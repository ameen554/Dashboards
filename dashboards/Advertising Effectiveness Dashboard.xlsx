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charts/chart10.xml" ContentType="application/vnd.openxmlformats-officedocument.drawingml.chart+xml"/>
  <Override PartName="/xl/charts/style6.xml" ContentType="application/vnd.ms-office.chartstyle+xml"/>
  <Override PartName="/xl/charts/colors6.xml" ContentType="application/vnd.ms-office.chartcolorstyle+xml"/>
  <Override PartName="/xl/charts/chart11.xml" ContentType="application/vnd.openxmlformats-officedocument.drawingml.chart+xml"/>
  <Override PartName="/xl/charts/style7.xml" ContentType="application/vnd.ms-office.chartstyle+xml"/>
  <Override PartName="/xl/charts/colors7.xml" ContentType="application/vnd.ms-office.chartcolorstyle+xml"/>
  <Override PartName="/xl/charts/chart12.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3.xml" ContentType="application/vnd.ms-excel.slicer+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style9.xml" ContentType="application/vnd.ms-office.chartstyle+xml"/>
  <Override PartName="/xl/charts/colors9.xml" ContentType="application/vnd.ms-office.chartcolorstyle+xml"/>
  <Override PartName="/xl/charts/chart16.xml" ContentType="application/vnd.openxmlformats-officedocument.drawingml.chart+xml"/>
  <Override PartName="/xl/charts/style10.xml" ContentType="application/vnd.ms-office.chartstyle+xml"/>
  <Override PartName="/xl/charts/colors10.xml" ContentType="application/vnd.ms-office.chartcolorstyle+xml"/>
  <Override PartName="/xl/charts/chart17.xml" ContentType="application/vnd.openxmlformats-officedocument.drawingml.chart+xml"/>
  <Override PartName="/xl/charts/style11.xml" ContentType="application/vnd.ms-office.chartstyle+xml"/>
  <Override PartName="/xl/charts/colors11.xml" ContentType="application/vnd.ms-office.chartcolorstyle+xml"/>
  <Override PartName="/xl/charts/chart18.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slicers/slicer4.xml" ContentType="application/vnd.ms-excel.slicer+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style13.xml" ContentType="application/vnd.ms-office.chartstyle+xml"/>
  <Override PartName="/xl/charts/colors13.xml" ContentType="application/vnd.ms-office.chartcolorstyle+xml"/>
  <Override PartName="/xl/charts/chart22.xml" ContentType="application/vnd.openxmlformats-officedocument.drawingml.chart+xml"/>
  <Override PartName="/xl/charts/style14.xml" ContentType="application/vnd.ms-office.chartstyle+xml"/>
  <Override PartName="/xl/charts/colors14.xml" ContentType="application/vnd.ms-office.chartcolorstyle+xml"/>
  <Override PartName="/xl/charts/chart23.xml" ContentType="application/vnd.openxmlformats-officedocument.drawingml.chart+xml"/>
  <Override PartName="/xl/charts/style15.xml" ContentType="application/vnd.ms-office.chartstyle+xml"/>
  <Override PartName="/xl/charts/colors15.xml" ContentType="application/vnd.ms-office.chartcolorstyle+xml"/>
  <Override PartName="/xl/charts/chart24.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c6e5fe5563ab6cfd/Desktop/Dashboard Projects/Dashboard/Chart76/"/>
    </mc:Choice>
  </mc:AlternateContent>
  <xr:revisionPtr revIDLastSave="1" documentId="13_ncr:1_{389C97E6-254F-4CF1-9CDB-E8F59D4F9D7A}" xr6:coauthVersionLast="47" xr6:coauthVersionMax="47" xr10:uidLastSave="{45BEB14C-50F7-49DE-82C2-DEDE22E02A80}"/>
  <bookViews>
    <workbookView xWindow="-120" yWindow="-120" windowWidth="20730" windowHeight="11310" tabRatio="742" activeTab="2" xr2:uid="{D851393A-787E-46CA-8899-164DB5A35D28}"/>
  </bookViews>
  <sheets>
    <sheet name="DASHBOARD" sheetId="5" r:id="rId1"/>
    <sheet name="Adv CR" sheetId="1" r:id="rId2"/>
    <sheet name="DASHBOARD Light" sheetId="6" r:id="rId3"/>
    <sheet name="Adv CR Light" sheetId="7" r:id="rId4"/>
    <sheet name="Processing" sheetId="2" r:id="rId5"/>
    <sheet name="Control" sheetId="9" r:id="rId6"/>
    <sheet name="Data" sheetId="8" r:id="rId7"/>
    <sheet name="Resource" sheetId="11" r:id="rId8"/>
  </sheets>
  <definedNames>
    <definedName name="Slicer_Month1">#N/A</definedName>
    <definedName name="Slicer_Year1">#N/A</definedName>
  </definedNames>
  <calcPr calcId="191029"/>
  <pivotCaches>
    <pivotCache cacheId="2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2" l="1"/>
  <c r="B3" i="2"/>
  <c r="G5" i="2"/>
  <c r="G13" i="2"/>
  <c r="G6" i="2"/>
  <c r="G7" i="2"/>
  <c r="G8" i="2"/>
  <c r="P2" i="2"/>
  <c r="L9" i="2"/>
  <c r="P7" i="2"/>
  <c r="P11" i="2"/>
  <c r="L3" i="2"/>
  <c r="E7" i="2"/>
  <c r="E3" i="2"/>
  <c r="H12" i="2"/>
  <c r="H6" i="2"/>
  <c r="H5" i="2"/>
  <c r="H8" i="2"/>
  <c r="G3" i="2"/>
  <c r="H4" i="2"/>
  <c r="D5" i="2"/>
  <c r="Q2" i="2"/>
  <c r="L4" i="2"/>
  <c r="D4" i="2"/>
  <c r="O2" i="2"/>
  <c r="D2" i="2"/>
  <c r="D12" i="2"/>
  <c r="C11" i="2"/>
  <c r="K13" i="2"/>
  <c r="H10" i="2"/>
  <c r="H13" i="2"/>
  <c r="H3" i="2"/>
  <c r="H11" i="2"/>
  <c r="G2" i="2"/>
  <c r="C5" i="2"/>
  <c r="D11" i="2"/>
  <c r="D8" i="2"/>
  <c r="E10" i="2"/>
  <c r="L7" i="2"/>
  <c r="D7" i="2"/>
  <c r="L12" i="2"/>
  <c r="K12" i="2"/>
  <c r="E12" i="2"/>
  <c r="E6" i="2"/>
  <c r="K6" i="2"/>
  <c r="H2" i="2"/>
  <c r="G12" i="2"/>
  <c r="B9" i="2"/>
  <c r="B2" i="2"/>
  <c r="H7" i="2"/>
  <c r="G9" i="2"/>
  <c r="L10" i="2"/>
  <c r="E9" i="2"/>
  <c r="P12" i="2"/>
  <c r="K2" i="2"/>
  <c r="L5" i="2"/>
  <c r="L11" i="2"/>
  <c r="D13" i="2"/>
  <c r="L13" i="2"/>
  <c r="C3" i="2"/>
  <c r="D9" i="2"/>
  <c r="B12" i="2"/>
  <c r="H9" i="2"/>
  <c r="B4" i="2"/>
  <c r="G4" i="2"/>
  <c r="C13" i="2"/>
  <c r="C12" i="2"/>
  <c r="E8" i="2"/>
  <c r="K8" i="2"/>
  <c r="L6" i="2"/>
  <c r="K3" i="2"/>
  <c r="P13" i="2"/>
  <c r="K11" i="2"/>
  <c r="E4" i="2"/>
  <c r="C2" i="2"/>
  <c r="E2" i="2"/>
  <c r="G10" i="2"/>
  <c r="B8" i="2"/>
  <c r="G11" i="2"/>
  <c r="C9" i="2"/>
  <c r="B10" i="2"/>
  <c r="B5" i="2"/>
  <c r="K10" i="2"/>
  <c r="K9" i="2"/>
  <c r="D6" i="2"/>
  <c r="K5" i="2"/>
  <c r="E13" i="2"/>
  <c r="C10" i="2"/>
  <c r="E11" i="2"/>
  <c r="B11" i="2"/>
  <c r="B7" i="2"/>
  <c r="B13" i="2"/>
  <c r="C6" i="2"/>
  <c r="C7" i="2"/>
  <c r="C8" i="2"/>
  <c r="L8" i="2"/>
  <c r="E5" i="2"/>
  <c r="D10" i="2"/>
  <c r="K4" i="2"/>
  <c r="L2" i="2"/>
  <c r="K7" i="2"/>
  <c r="D3" i="2"/>
  <c r="C4" i="2"/>
  <c r="P8" i="2"/>
  <c r="D14" i="2" l="1"/>
  <c r="E14" i="2"/>
  <c r="P4" i="2"/>
  <c r="R8" i="2" l="1"/>
  <c r="R7" i="2"/>
  <c r="Q8" i="2"/>
  <c r="S8" i="2" s="1"/>
  <c r="Q7" i="2"/>
  <c r="S7" i="2" s="1"/>
  <c r="J7" i="2" l="1"/>
  <c r="M7" i="2" s="1"/>
  <c r="K14" i="2" a="1"/>
  <c r="J6" i="2"/>
  <c r="M6" i="2" s="1"/>
  <c r="J5" i="2"/>
  <c r="M5" i="2" s="1"/>
  <c r="L14" i="2" a="1"/>
  <c r="J13" i="2"/>
  <c r="M13" i="2" s="1"/>
  <c r="J4" i="2"/>
  <c r="M4" i="2" s="1"/>
  <c r="J12" i="2"/>
  <c r="M12" i="2" s="1"/>
  <c r="J3" i="2"/>
  <c r="M3" i="2" s="1"/>
  <c r="J11" i="2"/>
  <c r="M11" i="2" s="1"/>
  <c r="J10" i="2"/>
  <c r="M10" i="2" s="1"/>
  <c r="J9" i="2"/>
  <c r="M9" i="2" s="1"/>
  <c r="J2" i="2"/>
  <c r="M2" i="2" s="1"/>
  <c r="J8" i="2"/>
  <c r="M8"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<sst xmlns="http://schemas.openxmlformats.org/spreadsheetml/2006/main" count="195" uniqueCount="76">
  <si>
    <t>JAN</t>
  </si>
  <si>
    <t>FEB</t>
  </si>
  <si>
    <t>MAR</t>
  </si>
  <si>
    <t>APR</t>
  </si>
  <si>
    <t>MAY</t>
  </si>
  <si>
    <t>JUN</t>
  </si>
  <si>
    <t>JUL</t>
  </si>
  <si>
    <t>AUG</t>
  </si>
  <si>
    <t>SEP</t>
  </si>
  <si>
    <t>OCT</t>
  </si>
  <si>
    <t>NOV</t>
  </si>
  <si>
    <t>DEC</t>
  </si>
  <si>
    <t>Total</t>
  </si>
  <si>
    <t>Select 1</t>
  </si>
  <si>
    <t>Select 2</t>
  </si>
  <si>
    <t>X</t>
  </si>
  <si>
    <t>Y</t>
  </si>
  <si>
    <t>Data</t>
  </si>
  <si>
    <t>CTR</t>
  </si>
  <si>
    <t>CR</t>
  </si>
  <si>
    <t>CTR Select</t>
  </si>
  <si>
    <t>CR Select</t>
  </si>
  <si>
    <t>Ads. Expenses</t>
  </si>
  <si>
    <t>Ads. Revenue</t>
  </si>
  <si>
    <t>Advertising Costs vs Returns</t>
  </si>
  <si>
    <t>User Behavior Breakdown After Ad Click</t>
  </si>
  <si>
    <t>Did Not Convert</t>
  </si>
  <si>
    <t>Watched Video</t>
  </si>
  <si>
    <t>Button Click Rate</t>
  </si>
  <si>
    <t>Offer Selection</t>
  </si>
  <si>
    <t>Chose Offer A</t>
  </si>
  <si>
    <t>Chose Offer B</t>
  </si>
  <si>
    <t>Seasonal Benchmark for Current Month</t>
  </si>
  <si>
    <t>Bounce Rate</t>
  </si>
  <si>
    <t>Advertising Effectiveness Dashboard</t>
  </si>
  <si>
    <t>Click-Through Rate vs Conversion Rate</t>
  </si>
  <si>
    <t>Value</t>
  </si>
  <si>
    <t>Year</t>
  </si>
  <si>
    <t>Month</t>
  </si>
  <si>
    <t>CR2</t>
  </si>
  <si>
    <t>Row Labels</t>
  </si>
  <si>
    <t>Grand Total</t>
  </si>
  <si>
    <t>Sum of Ads. Expenses</t>
  </si>
  <si>
    <t>Sum of Ads. Revenue</t>
  </si>
  <si>
    <t>Average of CTR</t>
  </si>
  <si>
    <t>Average of CR</t>
  </si>
  <si>
    <t>CTR2</t>
  </si>
  <si>
    <t>Average of Watched Video</t>
  </si>
  <si>
    <t>Average of Button Click Rate</t>
  </si>
  <si>
    <t>Average of Did Not Convert</t>
  </si>
  <si>
    <t>Average of Chose Offer A</t>
  </si>
  <si>
    <t>Average of Chose Offer B</t>
  </si>
  <si>
    <t>Average of CR2</t>
  </si>
  <si>
    <t>Average of Bounce Rate</t>
  </si>
  <si>
    <t>Average of CTR2</t>
  </si>
  <si>
    <t>#5F6885</t>
  </si>
  <si>
    <t>#2A3144</t>
  </si>
  <si>
    <t>#181B2C</t>
  </si>
  <si>
    <t>#272C42</t>
  </si>
  <si>
    <t>#1AFFD5</t>
  </si>
  <si>
    <t>#00E5BB</t>
  </si>
  <si>
    <t>#8F72FF</t>
  </si>
  <si>
    <t>#673FFF</t>
  </si>
  <si>
    <t>#4AA5FF</t>
  </si>
  <si>
    <t>#178BFF</t>
  </si>
  <si>
    <t>#F9F871</t>
  </si>
  <si>
    <t>#E34F10</t>
  </si>
  <si>
    <t>#5A6380</t>
  </si>
  <si>
    <t>#FF1492</t>
  </si>
  <si>
    <t>#9BFFEC</t>
  </si>
  <si>
    <t>#E5EDF8</t>
  </si>
  <si>
    <t>#DCE4F4</t>
  </si>
  <si>
    <t>#F3F6FD</t>
  </si>
  <si>
    <t>#00c6bb</t>
  </si>
  <si>
    <t>#A5ABBF</t>
  </si>
  <si>
    <t>https://exceltable.com/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</si>
</sst>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 ###\ ###"/>
    <numFmt numFmtId="165" formatCode="0.0%"/>
    <numFmt numFmtId="166" formatCode="_(&quot;$&quot;* #,##0_);_(&quot;$&quot;* \(#,##0\);_(&quot;$&quot;* &quot;-&quot;??_);_(@_)"/>
  </numFmts>
  <fonts count="7" x14ac:knownFonts="1">
    <font>
      <sz val="11"/>
      <color theme="1"/>
      <name val="Aptos Narrow"/>
      <family val="2"/>
      <scheme val="minor"/>
    </font>
    <font>
      <sz val="11"/>
      <color theme="1"/>
      <name val="Aptos Narrow"/>
      <family val="2"/>
      <scheme val="minor"/>
    </font>
    <font>
      <sz val="8"/>
      <name val="Aptos Narrow"/>
      <family val="2"/>
      <scheme val="minor"/>
    </font>
    <font>
      <b/>
      <sz val="11"/>
      <color theme="1"/>
      <name val="Aptos Narrow"/>
      <family val="2"/>
      <scheme val="minor"/>
    </font>
    <font>
      <sz val="26"/>
      <color theme="0"/>
      <name val="Aptos Narrow"/>
      <family val="2"/>
      <scheme val="minor"/>
    </font>
    <font>
      <u/>
      <sz val="11"/>
      <color theme="10"/>
      <name val="Aptos Narrow"/>
      <family val="2"/>
      <scheme val="minor"/>
    </font>
    <font>
      <u/>
      <sz val="26"/>
      <color theme="0"/>
      <name val="Aptos Narrow"/>
      <family val="2"/>
      <scheme val="minor"/>
    </font>
  </fonts>
  <fills count="22">
    <fill>
      <patternFill patternType="none"/>
    </fill>
    <fill>
      <patternFill patternType="gray125"/>
    </fill>
    <fill>
      <patternFill patternType="solid">
        <fgColor rgb="FF2A3144"/>
        <bgColor indexed="64"/>
      </patternFill>
    </fill>
    <fill>
      <patternFill patternType="solid">
        <fgColor rgb="FF5F6885"/>
        <bgColor indexed="64"/>
      </patternFill>
    </fill>
    <fill>
      <patternFill patternType="solid">
        <fgColor rgb="FF181B2C"/>
        <bgColor indexed="64"/>
      </patternFill>
    </fill>
    <fill>
      <patternFill patternType="solid">
        <fgColor rgb="FF272C42"/>
        <bgColor indexed="64"/>
      </patternFill>
    </fill>
    <fill>
      <patternFill patternType="solid">
        <fgColor rgb="FF1AFFD5"/>
        <bgColor indexed="64"/>
      </patternFill>
    </fill>
    <fill>
      <patternFill patternType="solid">
        <fgColor rgb="FF00E5BB"/>
        <bgColor indexed="64"/>
      </patternFill>
    </fill>
    <fill>
      <patternFill patternType="solid">
        <fgColor rgb="FF8F72FF"/>
        <bgColor indexed="64"/>
      </patternFill>
    </fill>
    <fill>
      <patternFill patternType="solid">
        <fgColor rgb="FF673FFF"/>
        <bgColor indexed="64"/>
      </patternFill>
    </fill>
    <fill>
      <patternFill patternType="solid">
        <fgColor rgb="FF4AA5FF"/>
        <bgColor indexed="64"/>
      </patternFill>
    </fill>
    <fill>
      <patternFill patternType="solid">
        <fgColor rgb="FF178BFF"/>
        <bgColor indexed="64"/>
      </patternFill>
    </fill>
    <fill>
      <patternFill patternType="solid">
        <fgColor rgb="FFF9F871"/>
        <bgColor indexed="64"/>
      </patternFill>
    </fill>
    <fill>
      <patternFill patternType="solid">
        <fgColor rgb="FFE34F10"/>
        <bgColor indexed="64"/>
      </patternFill>
    </fill>
    <fill>
      <patternFill patternType="solid">
        <fgColor rgb="FF5A6380"/>
        <bgColor indexed="64"/>
      </patternFill>
    </fill>
    <fill>
      <patternFill patternType="solid">
        <fgColor rgb="FFFF1492"/>
        <bgColor indexed="64"/>
      </patternFill>
    </fill>
    <fill>
      <patternFill patternType="solid">
        <fgColor rgb="FF9BFFEC"/>
        <bgColor indexed="64"/>
      </patternFill>
    </fill>
    <fill>
      <patternFill patternType="solid">
        <fgColor rgb="FFE5EDF8"/>
        <bgColor indexed="64"/>
      </patternFill>
    </fill>
    <fill>
      <patternFill patternType="solid">
        <fgColor rgb="FFDCE4F4"/>
        <bgColor indexed="64"/>
      </patternFill>
    </fill>
    <fill>
      <patternFill patternType="solid">
        <fgColor rgb="FFF3F6FD"/>
        <bgColor indexed="64"/>
      </patternFill>
    </fill>
    <fill>
      <patternFill patternType="solid">
        <fgColor rgb="FF00C6BB"/>
        <bgColor indexed="64"/>
      </patternFill>
    </fill>
    <fill>
      <patternFill patternType="solid">
        <fgColor rgb="FFA5ABBF"/>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5" fillId="0" borderId="0" applyNumberFormat="0" applyFill="0" applyBorder="0" applyAlignment="0" applyProtection="0"/>
  </cellStyleXfs>
  <cellXfs count="39">
    <xf numFmtId="0" fontId="0" fillId="0" borderId="0" xfId="0"/>
    <xf numFmtId="164" fontId="0" fillId="0" borderId="0" xfId="0" applyNumberFormat="1"/>
    <xf numFmtId="0" fontId="0" fillId="0" borderId="0" xfId="0" applyAlignment="1">
      <alignment horizontal="center"/>
    </xf>
    <xf numFmtId="9" fontId="0" fillId="0" borderId="0" xfId="0" applyNumberFormat="1"/>
    <xf numFmtId="9" fontId="0" fillId="0" borderId="0" xfId="1" applyFont="1"/>
    <xf numFmtId="0" fontId="0" fillId="2" borderId="0" xfId="0" applyFill="1"/>
    <xf numFmtId="9" fontId="0" fillId="0" borderId="0" xfId="0" applyNumberFormat="1" applyAlignment="1">
      <alignment horizontal="center"/>
    </xf>
    <xf numFmtId="9" fontId="0" fillId="0" borderId="0" xfId="1" applyFont="1" applyAlignment="1">
      <alignment horizontal="center"/>
    </xf>
    <xf numFmtId="0" fontId="3" fillId="0" borderId="0" xfId="0" applyFont="1"/>
    <xf numFmtId="165" fontId="0" fillId="0" borderId="0" xfId="1" applyNumberFormat="1" applyFont="1" applyAlignment="1">
      <alignment horizontal="center"/>
    </xf>
    <xf numFmtId="165" fontId="0" fillId="0" borderId="0" xfId="1" applyNumberFormat="1" applyFont="1"/>
    <xf numFmtId="166" fontId="0" fillId="0" borderId="0" xfId="2" applyNumberFormat="1" applyFont="1" applyAlignment="1">
      <alignment horizontal="center"/>
    </xf>
    <xf numFmtId="0" fontId="3" fillId="0" borderId="0" xfId="0" applyFont="1" applyAlignment="1">
      <alignment horizontal="center"/>
    </xf>
    <xf numFmtId="0" fontId="0" fillId="0" borderId="0" xfId="0" pivotButton="1"/>
    <xf numFmtId="0" fontId="0" fillId="0" borderId="0" xfId="0" applyAlignment="1">
      <alignment horizontal="left"/>
    </xf>
    <xf numFmtId="166" fontId="0" fillId="0" borderId="0" xfId="2" applyNumberFormat="1" applyFont="1"/>
    <xf numFmtId="10" fontId="0" fillId="0" borderId="0" xfId="0" applyNumberFormat="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0" fontId="0" fillId="16" borderId="0" xfId="0" applyFill="1"/>
    <xf numFmtId="0" fontId="0" fillId="17" borderId="0" xfId="0" applyFill="1"/>
    <xf numFmtId="0" fontId="0" fillId="18" borderId="0" xfId="0" applyFill="1"/>
    <xf numFmtId="0" fontId="0" fillId="19" borderId="0" xfId="0" applyFill="1"/>
    <xf numFmtId="0" fontId="0" fillId="20" borderId="0" xfId="0" applyFill="1"/>
    <xf numFmtId="0" fontId="0" fillId="21" borderId="0" xfId="0" applyFill="1"/>
    <xf numFmtId="165" fontId="3" fillId="0" borderId="0" xfId="1" applyNumberFormat="1" applyFont="1" applyAlignment="1">
      <alignment horizontal="center"/>
    </xf>
    <xf numFmtId="0" fontId="6" fillId="2" borderId="0" xfId="3" applyFont="1" applyFill="1"/>
    <xf numFmtId="0" fontId="4" fillId="2" borderId="0" xfId="0" applyFont="1" applyFill="1"/>
  </cellXfs>
  <cellStyles count="4">
    <cellStyle name="Currency" xfId="2" builtinId="4"/>
    <cellStyle name="Hyperlink" xfId="3" builtinId="8"/>
    <cellStyle name="Normal" xfId="0" builtinId="0"/>
    <cellStyle name="Percent" xfId="1" builtinId="5"/>
  </cellStyles>
  <dxfs count="21">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6" formatCode="_(&quot;$&quot;* #,##0_);_(&quot;$&quot;* \(#,##0\);_(&quot;$&quot;* &quot;-&quot;??_);_(@_)"/>
    </dxf>
    <dxf>
      <numFmt numFmtId="166" formatCode="_(&quot;$&quot;* #,##0_);_(&quot;$&quot;* \(#,##0\);_(&quot;$&quot;* &quot;-&quot;??_);_(@_)"/>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dxf>
    <dxf>
      <font>
        <b/>
        <color theme="1"/>
      </font>
      <border>
        <bottom style="thin">
          <color theme="4"/>
        </bottom>
        <vertical/>
        <horizontal/>
      </border>
    </dxf>
    <dxf>
      <font>
        <color theme="1"/>
      </font>
      <fill>
        <patternFill>
          <bgColor rgb="FFF3F6FD"/>
        </patternFill>
      </fill>
      <border diagonalUp="0" diagonalDown="0">
        <left/>
        <right/>
        <top/>
        <bottom/>
        <vertical/>
        <horizontal/>
      </border>
    </dxf>
    <dxf>
      <font>
        <b/>
        <color theme="1"/>
      </font>
      <border>
        <bottom style="thin">
          <color theme="4"/>
        </bottom>
        <vertical/>
        <horizontal/>
      </border>
    </dxf>
    <dxf>
      <font>
        <color theme="1"/>
      </font>
      <fill>
        <patternFill>
          <bgColor rgb="FF181B2C"/>
        </patternFill>
      </fill>
      <border diagonalUp="0" diagonalDown="0">
        <left/>
        <right/>
        <top/>
        <bottom/>
        <vertical/>
        <horizontal/>
      </border>
    </dxf>
    <dxf>
      <font>
        <b/>
        <color theme="1"/>
      </font>
      <border>
        <bottom style="thin">
          <color theme="4"/>
        </bottom>
        <vertical/>
        <horizontal/>
      </border>
    </dxf>
    <dxf>
      <font>
        <color theme="1"/>
      </font>
      <fill>
        <patternFill>
          <bgColor rgb="FF34394A"/>
        </patternFill>
      </fill>
      <border diagonalUp="0" diagonalDown="0">
        <left/>
        <right/>
        <top/>
        <bottom/>
        <vertical/>
        <horizontal/>
      </border>
    </dxf>
  </dxfs>
  <tableStyles count="3" defaultTableStyle="TableStyleMedium2" defaultPivotStyle="PivotStyleLight16">
    <tableStyle name="SlicerStyleLight1 2 2 2" pivot="0" table="0" count="10" xr9:uid="{0A9BA7B2-20E7-423B-AC52-16FEA6A3597E}">
      <tableStyleElement type="wholeTable" dxfId="20"/>
      <tableStyleElement type="headerRow" dxfId="19"/>
    </tableStyle>
    <tableStyle name="SlicerStyleLight1 2 3" pivot="0" table="0" count="10" xr9:uid="{0F2BD31B-44AE-447D-BE8E-9BA35A62694D}">
      <tableStyleElement type="wholeTable" dxfId="18"/>
      <tableStyleElement type="headerRow" dxfId="17"/>
    </tableStyle>
    <tableStyle name="SlicerStyleLight1 2 3 2" pivot="0" table="0" count="10" xr9:uid="{C697AE71-A281-43E7-9C1A-445321163CB7}">
      <tableStyleElement type="wholeTable" dxfId="16"/>
      <tableStyleElement type="headerRow" dxfId="15"/>
    </tableStyle>
  </tableStyles>
  <colors>
    <mruColors>
      <color rgb="FFA5ABBF"/>
      <color rgb="FF00C6BB"/>
      <color rgb="FF74FAC8"/>
      <color rgb="FF1DFFF4"/>
      <color rgb="FF19FFD3"/>
      <color rgb="FF9980FF"/>
      <color rgb="FF00E5BB"/>
      <color rgb="FF9BFFEC"/>
      <color rgb="FFF3F6FD"/>
      <color rgb="FFDCE4F4"/>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1AFFD5"/>
              </stop>
              <stop position="1">
                <color rgb="FF9BFFEC"/>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5A6380"/>
          </font>
          <fill>
            <patternFill patternType="solid">
              <fgColor auto="1"/>
              <bgColor rgb="FFF3F6FD"/>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1AFFD5"/>
              </stop>
              <stop position="1">
                <color rgb="FF9BFFEC"/>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tint="-0.34998626667073579"/>
          </font>
          <fill>
            <patternFill patternType="solid">
              <fgColor auto="1"/>
              <bgColor rgb="FF181B2C"/>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gradientFill degree="90">
              <stop position="0">
                <color rgb="FF9980FF"/>
              </stop>
              <stop position="1">
                <color rgb="FFB19E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1" tint="0.499984740745262"/>
          </font>
          <fill>
            <patternFill patternType="solid">
              <fgColor auto="1"/>
              <bgColor rgb="FF34394A"/>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x14:dxfs>
    </ext>
    <ext xmlns:x14="http://schemas.microsoft.com/office/spreadsheetml/2009/9/main" uri="{EB79DEF2-80B8-43e5-95BD-54CBDDF9020C}">
      <x14:slicerStyles defaultSlicerStyle="SlicerStyleLight1">
        <x14:slicerStyle name="SlicerStyleLight1 2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0.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2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2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2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4"/>
          <c:order val="4"/>
          <c:tx>
            <c:v>Fill1</c:v>
          </c:tx>
          <c:spPr>
            <a:gradFill>
              <a:gsLst>
                <a:gs pos="0">
                  <a:srgbClr val="1AFFD5">
                    <a:alpha val="30000"/>
                  </a:srgbClr>
                </a:gs>
                <a:gs pos="100000">
                  <a:srgbClr val="1AFFD5">
                    <a:alpha val="0"/>
                  </a:srgbClr>
                </a:gs>
              </a:gsLst>
              <a:lin ang="5400000" scaled="0"/>
            </a:gradFill>
            <a:ln w="25400" cap="rnd">
              <a:noFill/>
              <a:round/>
            </a:ln>
            <a:effectLst>
              <a:outerShdw blurRad="50800" dist="38100" dir="5400000" algn="t" rotWithShape="0">
                <a:prstClr val="black">
                  <a:alpha val="40000"/>
                </a:prstClr>
              </a:outerShdw>
            </a:effectLst>
          </c:spPr>
          <c:errBars>
            <c:errDir val="y"/>
            <c:errBarType val="minus"/>
            <c:errValType val="cust"/>
            <c:noEndCap val="0"/>
            <c:plus>
              <c:numLit>
                <c:formatCode>General</c:formatCode>
                <c:ptCount val="1"/>
                <c:pt idx="0">
                  <c:v>1</c:v>
                </c:pt>
              </c:numLit>
            </c:plus>
            <c:minus>
              <c:numRef>
                <c:f>Processing!$D$2:$D$13</c:f>
                <c:numCache>
                  <c:formatCode>General</c:formatCode>
                  <c:ptCount val="12"/>
                  <c:pt idx="0">
                    <c:v>8.3333333333333329E-2</c:v>
                  </c:pt>
                  <c:pt idx="1">
                    <c:v>0.10020833333333333</c:v>
                  </c:pt>
                  <c:pt idx="2">
                    <c:v>0.11177083333333333</c:v>
                  </c:pt>
                  <c:pt idx="3">
                    <c:v>0.11427083333333334</c:v>
                  </c:pt>
                  <c:pt idx="4">
                    <c:v>0.10697916666666667</c:v>
                  </c:pt>
                  <c:pt idx="5">
                    <c:v>9.2187500000000006E-2</c:v>
                  </c:pt>
                  <c:pt idx="6">
                    <c:v>7.4479166666666666E-2</c:v>
                  </c:pt>
                  <c:pt idx="7">
                    <c:v>5.9687499999999998E-2</c:v>
                  </c:pt>
                  <c:pt idx="8">
                    <c:v>5.2395833333333336E-2</c:v>
                  </c:pt>
                  <c:pt idx="9">
                    <c:v>5.4895833333333331E-2</c:v>
                  </c:pt>
                  <c:pt idx="10">
                    <c:v>6.6458333333333328E-2</c:v>
                  </c:pt>
                  <c:pt idx="11">
                    <c:v>8.3333333333333329E-2</c:v>
                  </c:pt>
                </c:numCache>
              </c:numRef>
            </c:minus>
            <c:spPr>
              <a:noFill/>
              <a:ln w="9525" cap="flat" cmpd="sng" algn="ctr">
                <a:solidFill>
                  <a:schemeClr val="bg1">
                    <a:lumMod val="50000"/>
                  </a:schemeClr>
                </a:solidFill>
                <a:round/>
              </a:ln>
              <a:effectLst/>
            </c:spPr>
          </c:errBars>
          <c:val>
            <c:numRef>
              <c:f>Processing!$B$2:$B$13</c:f>
              <c:numCache>
                <c:formatCode>0%</c:formatCode>
                <c:ptCount val="12"/>
                <c:pt idx="0">
                  <c:v>8.3333333333333329E-2</c:v>
                </c:pt>
                <c:pt idx="1">
                  <c:v>0.10020833333333333</c:v>
                </c:pt>
                <c:pt idx="2">
                  <c:v>0.11177083333333333</c:v>
                </c:pt>
                <c:pt idx="3">
                  <c:v>0.11427083333333334</c:v>
                </c:pt>
                <c:pt idx="4">
                  <c:v>0.10697916666666667</c:v>
                </c:pt>
                <c:pt idx="5">
                  <c:v>9.2187500000000006E-2</c:v>
                </c:pt>
                <c:pt idx="6">
                  <c:v>7.4479166666666666E-2</c:v>
                </c:pt>
                <c:pt idx="7">
                  <c:v>5.9687499999999998E-2</c:v>
                </c:pt>
                <c:pt idx="8">
                  <c:v>5.2395833333333336E-2</c:v>
                </c:pt>
                <c:pt idx="9">
                  <c:v>5.4895833333333331E-2</c:v>
                </c:pt>
                <c:pt idx="10">
                  <c:v>6.6458333333333328E-2</c:v>
                </c:pt>
                <c:pt idx="11">
                  <c:v>8.3333333333333329E-2</c:v>
                </c:pt>
              </c:numCache>
            </c:numRef>
          </c:val>
          <c:extLst>
            <c:ext xmlns:c16="http://schemas.microsoft.com/office/drawing/2014/chart" uri="{C3380CC4-5D6E-409C-BE32-E72D297353CC}">
              <c16:uniqueId val="{00000000-117B-4CDD-9063-F175CD18DC84}"/>
            </c:ext>
          </c:extLst>
        </c:ser>
        <c:ser>
          <c:idx val="5"/>
          <c:order val="5"/>
          <c:tx>
            <c:v>Fill2</c:v>
          </c:tx>
          <c:spPr>
            <a:gradFill>
              <a:gsLst>
                <a:gs pos="0">
                  <a:srgbClr val="9980FF">
                    <a:alpha val="30000"/>
                  </a:srgbClr>
                </a:gs>
                <a:gs pos="100000">
                  <a:srgbClr val="9980FF">
                    <a:alpha val="0"/>
                  </a:srgbClr>
                </a:gs>
              </a:gsLst>
              <a:lin ang="5400000" scaled="0"/>
            </a:gradFill>
            <a:ln w="25400" cap="rnd">
              <a:noFill/>
              <a:round/>
            </a:ln>
            <a:effectLst>
              <a:outerShdw blurRad="50800" dist="38100" dir="5400000" algn="t" rotWithShape="0">
                <a:prstClr val="black">
                  <a:alpha val="40000"/>
                </a:prstClr>
              </a:outerShdw>
            </a:effectLst>
          </c:spPr>
          <c:errBars>
            <c:errDir val="y"/>
            <c:errBarType val="minus"/>
            <c:errValType val="cust"/>
            <c:noEndCap val="0"/>
            <c:plus>
              <c:numLit>
                <c:formatCode>General</c:formatCode>
                <c:ptCount val="1"/>
                <c:pt idx="0">
                  <c:v>1</c:v>
                </c:pt>
              </c:numLit>
            </c:plus>
            <c:minus>
              <c:numRef>
                <c:f>Processing!$E$2:$E$13</c:f>
                <c:numCache>
                  <c:formatCode>General</c:formatCode>
                  <c:ptCount val="12"/>
                  <c:pt idx="0">
                    <c:v>7.8567302137492773E-2</c:v>
                  </c:pt>
                  <c:pt idx="1">
                    <c:v>7.3367995378393988E-2</c:v>
                  </c:pt>
                  <c:pt idx="2">
                    <c:v>8.0300404390525701E-2</c:v>
                  </c:pt>
                  <c:pt idx="3">
                    <c:v>8.9543616406701332E-2</c:v>
                  </c:pt>
                  <c:pt idx="4">
                    <c:v>8.3188908145580595E-2</c:v>
                  </c:pt>
                  <c:pt idx="5">
                    <c:v>6.9324090121317156E-2</c:v>
                  </c:pt>
                  <c:pt idx="6">
                    <c:v>6.8168688619295204E-2</c:v>
                  </c:pt>
                  <c:pt idx="7">
                    <c:v>7.7411900635470821E-2</c:v>
                  </c:pt>
                  <c:pt idx="8">
                    <c:v>9.4742923165800116E-2</c:v>
                  </c:pt>
                  <c:pt idx="9">
                    <c:v>0.10167533217793183</c:v>
                  </c:pt>
                  <c:pt idx="10">
                    <c:v>9.7053726169844021E-2</c:v>
                  </c:pt>
                  <c:pt idx="11">
                    <c:v>8.6655112651646451E-2</c:v>
                  </c:pt>
                </c:numCache>
              </c:numRef>
            </c:minus>
            <c:spPr>
              <a:noFill/>
              <a:ln w="9525" cap="flat" cmpd="sng" algn="ctr">
                <a:solidFill>
                  <a:schemeClr val="bg1">
                    <a:lumMod val="50000"/>
                  </a:schemeClr>
                </a:solidFill>
                <a:round/>
              </a:ln>
              <a:effectLst/>
            </c:spPr>
          </c:errBars>
          <c:val>
            <c:numRef>
              <c:f>Processing!$C$2:$C$13</c:f>
              <c:numCache>
                <c:formatCode>0%</c:formatCode>
                <c:ptCount val="12"/>
                <c:pt idx="0">
                  <c:v>7.8567302137492773E-2</c:v>
                </c:pt>
                <c:pt idx="1">
                  <c:v>7.3367995378393988E-2</c:v>
                </c:pt>
                <c:pt idx="2">
                  <c:v>8.0300404390525701E-2</c:v>
                </c:pt>
                <c:pt idx="3">
                  <c:v>8.9543616406701332E-2</c:v>
                </c:pt>
                <c:pt idx="4">
                  <c:v>8.3188908145580595E-2</c:v>
                </c:pt>
                <c:pt idx="5">
                  <c:v>6.9324090121317156E-2</c:v>
                </c:pt>
                <c:pt idx="6">
                  <c:v>6.8168688619295204E-2</c:v>
                </c:pt>
                <c:pt idx="7">
                  <c:v>7.7411900635470821E-2</c:v>
                </c:pt>
                <c:pt idx="8">
                  <c:v>9.4742923165800116E-2</c:v>
                </c:pt>
                <c:pt idx="9">
                  <c:v>0.10167533217793183</c:v>
                </c:pt>
                <c:pt idx="10">
                  <c:v>9.7053726169844021E-2</c:v>
                </c:pt>
                <c:pt idx="11">
                  <c:v>8.6655112651646451E-2</c:v>
                </c:pt>
              </c:numCache>
            </c:numRef>
          </c:val>
          <c:extLst>
            <c:ext xmlns:c16="http://schemas.microsoft.com/office/drawing/2014/chart" uri="{C3380CC4-5D6E-409C-BE32-E72D297353CC}">
              <c16:uniqueId val="{00000001-117B-4CDD-9063-F175CD18DC84}"/>
            </c:ext>
          </c:extLst>
        </c:ser>
        <c:dLbls>
          <c:showLegendKey val="0"/>
          <c:showVal val="0"/>
          <c:showCatName val="0"/>
          <c:showSerName val="0"/>
          <c:showPercent val="0"/>
          <c:showBubbleSize val="0"/>
        </c:dLbls>
        <c:axId val="1639660207"/>
        <c:axId val="1639660687"/>
      </c:areaChart>
      <c:lineChart>
        <c:grouping val="standard"/>
        <c:varyColors val="0"/>
        <c:ser>
          <c:idx val="0"/>
          <c:order val="0"/>
          <c:tx>
            <c:strRef>
              <c:f>Processing!$B$1</c:f>
              <c:strCache>
                <c:ptCount val="1"/>
                <c:pt idx="0">
                  <c:v>CTR</c:v>
                </c:pt>
              </c:strCache>
            </c:strRef>
          </c:tx>
          <c:spPr>
            <a:ln w="38100" cap="rnd">
              <a:solidFill>
                <a:srgbClr val="1AFFD5"/>
              </a:solidFill>
              <a:round/>
            </a:ln>
            <a:effectLst>
              <a:outerShdw blurRad="50800" dist="38100" dir="5400000" algn="t" rotWithShape="0">
                <a:prstClr val="black">
                  <a:alpha val="40000"/>
                </a:prstClr>
              </a:outerShdw>
            </a:effectLst>
          </c:spPr>
          <c:marker>
            <c:symbol val="none"/>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Processing!$B$2:$B$13</c:f>
              <c:numCache>
                <c:formatCode>0%</c:formatCode>
                <c:ptCount val="12"/>
                <c:pt idx="0">
                  <c:v>8.3333333333333329E-2</c:v>
                </c:pt>
                <c:pt idx="1">
                  <c:v>0.10020833333333333</c:v>
                </c:pt>
                <c:pt idx="2">
                  <c:v>0.11177083333333333</c:v>
                </c:pt>
                <c:pt idx="3">
                  <c:v>0.11427083333333334</c:v>
                </c:pt>
                <c:pt idx="4">
                  <c:v>0.10697916666666667</c:v>
                </c:pt>
                <c:pt idx="5">
                  <c:v>9.2187500000000006E-2</c:v>
                </c:pt>
                <c:pt idx="6">
                  <c:v>7.4479166666666666E-2</c:v>
                </c:pt>
                <c:pt idx="7">
                  <c:v>5.9687499999999998E-2</c:v>
                </c:pt>
                <c:pt idx="8">
                  <c:v>5.2395833333333336E-2</c:v>
                </c:pt>
                <c:pt idx="9">
                  <c:v>5.4895833333333331E-2</c:v>
                </c:pt>
                <c:pt idx="10">
                  <c:v>6.6458333333333328E-2</c:v>
                </c:pt>
                <c:pt idx="11">
                  <c:v>8.3333333333333329E-2</c:v>
                </c:pt>
              </c:numCache>
            </c:numRef>
          </c:val>
          <c:smooth val="1"/>
          <c:extLst>
            <c:ext xmlns:c16="http://schemas.microsoft.com/office/drawing/2014/chart" uri="{C3380CC4-5D6E-409C-BE32-E72D297353CC}">
              <c16:uniqueId val="{00000002-117B-4CDD-9063-F175CD18DC84}"/>
            </c:ext>
          </c:extLst>
        </c:ser>
        <c:ser>
          <c:idx val="1"/>
          <c:order val="1"/>
          <c:tx>
            <c:strRef>
              <c:f>Processing!$C$1</c:f>
              <c:strCache>
                <c:ptCount val="1"/>
                <c:pt idx="0">
                  <c:v>CR</c:v>
                </c:pt>
              </c:strCache>
            </c:strRef>
          </c:tx>
          <c:spPr>
            <a:ln w="38100" cap="rnd">
              <a:solidFill>
                <a:srgbClr val="9980FF"/>
              </a:solidFill>
              <a:round/>
            </a:ln>
            <a:effectLst>
              <a:outerShdw blurRad="50800" dist="38100" dir="5400000" algn="t" rotWithShape="0">
                <a:prstClr val="black">
                  <a:alpha val="40000"/>
                </a:prstClr>
              </a:outerShdw>
            </a:effectLst>
          </c:spPr>
          <c:marker>
            <c:symbol val="none"/>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Processing!$C$2:$C$13</c:f>
              <c:numCache>
                <c:formatCode>0%</c:formatCode>
                <c:ptCount val="12"/>
                <c:pt idx="0">
                  <c:v>7.8567302137492773E-2</c:v>
                </c:pt>
                <c:pt idx="1">
                  <c:v>7.3367995378393988E-2</c:v>
                </c:pt>
                <c:pt idx="2">
                  <c:v>8.0300404390525701E-2</c:v>
                </c:pt>
                <c:pt idx="3">
                  <c:v>8.9543616406701332E-2</c:v>
                </c:pt>
                <c:pt idx="4">
                  <c:v>8.3188908145580595E-2</c:v>
                </c:pt>
                <c:pt idx="5">
                  <c:v>6.9324090121317156E-2</c:v>
                </c:pt>
                <c:pt idx="6">
                  <c:v>6.8168688619295204E-2</c:v>
                </c:pt>
                <c:pt idx="7">
                  <c:v>7.7411900635470821E-2</c:v>
                </c:pt>
                <c:pt idx="8">
                  <c:v>9.4742923165800116E-2</c:v>
                </c:pt>
                <c:pt idx="9">
                  <c:v>0.10167533217793183</c:v>
                </c:pt>
                <c:pt idx="10">
                  <c:v>9.7053726169844021E-2</c:v>
                </c:pt>
                <c:pt idx="11">
                  <c:v>8.6655112651646451E-2</c:v>
                </c:pt>
              </c:numCache>
            </c:numRef>
          </c:val>
          <c:smooth val="1"/>
          <c:extLst>
            <c:ext xmlns:c16="http://schemas.microsoft.com/office/drawing/2014/chart" uri="{C3380CC4-5D6E-409C-BE32-E72D297353CC}">
              <c16:uniqueId val="{00000003-117B-4CDD-9063-F175CD18DC84}"/>
            </c:ext>
          </c:extLst>
        </c:ser>
        <c:dLbls>
          <c:showLegendKey val="0"/>
          <c:showVal val="0"/>
          <c:showCatName val="0"/>
          <c:showSerName val="0"/>
          <c:showPercent val="0"/>
          <c:showBubbleSize val="0"/>
        </c:dLbls>
        <c:marker val="1"/>
        <c:smooth val="0"/>
        <c:axId val="1639660207"/>
        <c:axId val="1639660687"/>
      </c:lineChart>
      <c:scatterChart>
        <c:scatterStyle val="lineMarker"/>
        <c:varyColors val="0"/>
        <c:ser>
          <c:idx val="2"/>
          <c:order val="2"/>
          <c:tx>
            <c:strRef>
              <c:f>Processing!$D$1</c:f>
              <c:strCache>
                <c:ptCount val="1"/>
                <c:pt idx="0">
                  <c:v>CTR Select</c:v>
                </c:pt>
              </c:strCache>
            </c:strRef>
          </c:tx>
          <c:spPr>
            <a:ln w="38100">
              <a:noFill/>
            </a:ln>
            <a:effectLst>
              <a:glow rad="139700">
                <a:srgbClr val="1AFFD5">
                  <a:alpha val="40000"/>
                </a:srgbClr>
              </a:glow>
            </a:effectLst>
          </c:spPr>
          <c:marker>
            <c:symbol val="circle"/>
            <c:size val="5"/>
            <c:spPr>
              <a:solidFill>
                <a:schemeClr val="bg1"/>
              </a:solidFill>
              <a:ln>
                <a:noFill/>
              </a:ln>
              <a:effectLst>
                <a:glow rad="139700">
                  <a:srgbClr val="1AFFD5">
                    <a:alpha val="40000"/>
                  </a:srgbClr>
                </a:glow>
              </a:effectLst>
            </c:spPr>
          </c:marker>
          <c:xVal>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Processing!$D$2:$D$13</c:f>
              <c:numCache>
                <c:formatCode>0.0%</c:formatCode>
                <c:ptCount val="12"/>
                <c:pt idx="0">
                  <c:v>8.3333333333333329E-2</c:v>
                </c:pt>
                <c:pt idx="1">
                  <c:v>0.10020833333333333</c:v>
                </c:pt>
                <c:pt idx="2">
                  <c:v>0.11177083333333333</c:v>
                </c:pt>
                <c:pt idx="3">
                  <c:v>0.11427083333333334</c:v>
                </c:pt>
                <c:pt idx="4">
                  <c:v>0.10697916666666667</c:v>
                </c:pt>
                <c:pt idx="5">
                  <c:v>9.2187500000000006E-2</c:v>
                </c:pt>
                <c:pt idx="6">
                  <c:v>7.4479166666666666E-2</c:v>
                </c:pt>
                <c:pt idx="7">
                  <c:v>5.9687499999999998E-2</c:v>
                </c:pt>
                <c:pt idx="8">
                  <c:v>5.2395833333333336E-2</c:v>
                </c:pt>
                <c:pt idx="9">
                  <c:v>5.4895833333333331E-2</c:v>
                </c:pt>
                <c:pt idx="10">
                  <c:v>6.6458333333333328E-2</c:v>
                </c:pt>
                <c:pt idx="11">
                  <c:v>8.3333333333333329E-2</c:v>
                </c:pt>
              </c:numCache>
            </c:numRef>
          </c:yVal>
          <c:smooth val="0"/>
          <c:extLst>
            <c:ext xmlns:c16="http://schemas.microsoft.com/office/drawing/2014/chart" uri="{C3380CC4-5D6E-409C-BE32-E72D297353CC}">
              <c16:uniqueId val="{00000004-117B-4CDD-9063-F175CD18DC84}"/>
            </c:ext>
          </c:extLst>
        </c:ser>
        <c:ser>
          <c:idx val="3"/>
          <c:order val="3"/>
          <c:tx>
            <c:strRef>
              <c:f>Processing!$E$1</c:f>
              <c:strCache>
                <c:ptCount val="1"/>
                <c:pt idx="0">
                  <c:v>CR Select</c:v>
                </c:pt>
              </c:strCache>
            </c:strRef>
          </c:tx>
          <c:spPr>
            <a:ln w="38100">
              <a:noFill/>
            </a:ln>
            <a:effectLst>
              <a:glow rad="139700">
                <a:srgbClr val="9980FF">
                  <a:alpha val="40000"/>
                </a:srgbClr>
              </a:glow>
            </a:effectLst>
          </c:spPr>
          <c:marker>
            <c:symbol val="circle"/>
            <c:size val="5"/>
            <c:spPr>
              <a:solidFill>
                <a:schemeClr val="bg1"/>
              </a:solidFill>
              <a:ln>
                <a:noFill/>
              </a:ln>
              <a:effectLst>
                <a:glow rad="139700">
                  <a:srgbClr val="9980FF">
                    <a:alpha val="40000"/>
                  </a:srgbClr>
                </a:glow>
              </a:effectLst>
            </c:spPr>
          </c:marker>
          <c:xVal>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Processing!$E$2:$E$13</c:f>
              <c:numCache>
                <c:formatCode>0.0%</c:formatCode>
                <c:ptCount val="12"/>
                <c:pt idx="0">
                  <c:v>7.8567302137492773E-2</c:v>
                </c:pt>
                <c:pt idx="1">
                  <c:v>7.3367995378393988E-2</c:v>
                </c:pt>
                <c:pt idx="2">
                  <c:v>8.0300404390525701E-2</c:v>
                </c:pt>
                <c:pt idx="3">
                  <c:v>8.9543616406701332E-2</c:v>
                </c:pt>
                <c:pt idx="4">
                  <c:v>8.3188908145580595E-2</c:v>
                </c:pt>
                <c:pt idx="5">
                  <c:v>6.9324090121317156E-2</c:v>
                </c:pt>
                <c:pt idx="6">
                  <c:v>6.8168688619295204E-2</c:v>
                </c:pt>
                <c:pt idx="7">
                  <c:v>7.7411900635470821E-2</c:v>
                </c:pt>
                <c:pt idx="8">
                  <c:v>9.4742923165800116E-2</c:v>
                </c:pt>
                <c:pt idx="9">
                  <c:v>0.10167533217793183</c:v>
                </c:pt>
                <c:pt idx="10">
                  <c:v>9.7053726169844021E-2</c:v>
                </c:pt>
                <c:pt idx="11">
                  <c:v>8.6655112651646451E-2</c:v>
                </c:pt>
              </c:numCache>
            </c:numRef>
          </c:yVal>
          <c:smooth val="0"/>
          <c:extLst>
            <c:ext xmlns:c16="http://schemas.microsoft.com/office/drawing/2014/chart" uri="{C3380CC4-5D6E-409C-BE32-E72D297353CC}">
              <c16:uniqueId val="{00000005-117B-4CDD-9063-F175CD18DC84}"/>
            </c:ext>
          </c:extLst>
        </c:ser>
        <c:dLbls>
          <c:showLegendKey val="0"/>
          <c:showVal val="0"/>
          <c:showCatName val="0"/>
          <c:showSerName val="0"/>
          <c:showPercent val="0"/>
          <c:showBubbleSize val="0"/>
        </c:dLbls>
        <c:axId val="1639660207"/>
        <c:axId val="1639660687"/>
      </c:scatterChart>
      <c:catAx>
        <c:axId val="163966020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639660687"/>
        <c:crosses val="autoZero"/>
        <c:auto val="1"/>
        <c:lblAlgn val="ctr"/>
        <c:lblOffset val="100"/>
        <c:noMultiLvlLbl val="0"/>
      </c:catAx>
      <c:valAx>
        <c:axId val="1639660687"/>
        <c:scaling>
          <c:orientation val="minMax"/>
        </c:scaling>
        <c:delete val="0"/>
        <c:axPos val="l"/>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ru-RU"/>
          </a:p>
        </c:txPr>
        <c:crossAx val="1639660207"/>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3"/>
          <c:order val="0"/>
          <c:tx>
            <c:strRef>
              <c:f>Processing!$J$1</c:f>
              <c:strCache>
                <c:ptCount val="1"/>
                <c:pt idx="0">
                  <c:v>Total</c:v>
                </c:pt>
              </c:strCache>
            </c:strRef>
          </c:tx>
          <c:spPr>
            <a:solidFill>
              <a:srgbClr val="5A6380"/>
            </a:solidFill>
            <a:ln>
              <a:noFill/>
            </a:ln>
            <a:effectLst>
              <a:outerShdw blurRad="50800" dist="38100" dir="8100000" algn="tr" rotWithShape="0">
                <a:prstClr val="black">
                  <a:alpha val="40000"/>
                </a:prstClr>
              </a:outerShdw>
            </a:effectLst>
          </c:spPr>
          <c:invertIfNegative val="0"/>
          <c:cat>
            <c:strRef>
              <c:f>Processing!$I$2:$I$13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Processing!$J$2:$J$13</c:f>
              <c:numCache>
                <c:formatCode>General</c:formatCode>
                <c:ptCount val="12"/>
                <c:pt idx="0">
                  <c:v>14120</c:v>
                </c:pt>
                <c:pt idx="1">
                  <c:v>17270</c:v>
                </c:pt>
                <c:pt idx="2">
                  <c:v>18370</c:v>
                </c:pt>
                <c:pt idx="3">
                  <c:v>16300</c:v>
                </c:pt>
                <c:pt idx="4">
                  <c:v>12590</c:v>
                </c:pt>
                <c:pt idx="5">
                  <c:v>10086</c:v>
                </c:pt>
                <c:pt idx="6">
                  <c:v>10350</c:v>
                </c:pt>
                <c:pt idx="7">
                  <c:v>13230</c:v>
                </c:pt>
                <c:pt idx="8">
                  <c:v>16116</c:v>
                </c:pt>
                <c:pt idx="9">
                  <c:v>16722</c:v>
                </c:pt>
                <c:pt idx="10">
                  <c:v>15470</c:v>
                </c:pt>
                <c:pt idx="11">
                  <c:v>13640</c:v>
                </c:pt>
              </c:numCache>
            </c:numRef>
          </c:val>
          <c:extLst>
            <c:ext xmlns:c16="http://schemas.microsoft.com/office/drawing/2014/chart" uri="{C3380CC4-5D6E-409C-BE32-E72D297353CC}">
              <c16:uniqueId val="{00000000-11C8-41EE-A68B-413BF5E7CF37}"/>
            </c:ext>
          </c:extLst>
        </c:ser>
        <c:dLbls>
          <c:showLegendKey val="0"/>
          <c:showVal val="0"/>
          <c:showCatName val="0"/>
          <c:showSerName val="0"/>
          <c:showPercent val="0"/>
          <c:showBubbleSize val="0"/>
        </c:dLbls>
        <c:gapWidth val="100"/>
        <c:overlap val="100"/>
        <c:axId val="935034783"/>
        <c:axId val="935018463"/>
      </c:barChart>
      <c:barChart>
        <c:barDir val="col"/>
        <c:grouping val="stacked"/>
        <c:varyColors val="0"/>
        <c:ser>
          <c:idx val="0"/>
          <c:order val="1"/>
          <c:tx>
            <c:strRef>
              <c:f>Processing!$K$1</c:f>
              <c:strCache>
                <c:ptCount val="1"/>
                <c:pt idx="0">
                  <c:v>Select 1</c:v>
                </c:pt>
              </c:strCache>
            </c:strRef>
          </c:tx>
          <c:spPr>
            <a:solidFill>
              <a:srgbClr val="9980FF"/>
            </a:solidFill>
            <a:ln>
              <a:noFill/>
            </a:ln>
            <a:effectLst/>
          </c:spPr>
          <c:invertIfNegative val="0"/>
          <c:dPt>
            <c:idx val="4"/>
            <c:invertIfNegative val="0"/>
            <c:bubble3D val="0"/>
            <c:spPr>
              <a:gradFill flip="none" rotWithShape="1">
                <a:gsLst>
                  <a:gs pos="0">
                    <a:srgbClr val="8F72FF"/>
                  </a:gs>
                  <a:gs pos="100000">
                    <a:srgbClr val="673FFF"/>
                  </a:gs>
                </a:gsLst>
                <a:lin ang="5400000" scaled="0"/>
                <a:tileRect/>
              </a:gradFill>
              <a:ln>
                <a:noFill/>
              </a:ln>
              <a:effectLst/>
            </c:spPr>
            <c:extLst>
              <c:ext xmlns:c16="http://schemas.microsoft.com/office/drawing/2014/chart" uri="{C3380CC4-5D6E-409C-BE32-E72D297353CC}">
                <c16:uniqueId val="{00000002-11C8-41EE-A68B-413BF5E7CF37}"/>
              </c:ext>
            </c:extLst>
          </c:dPt>
          <c:cat>
            <c:strRef>
              <c:f>Processing!$I$2:$I$13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Processing!$K$2:$K$13</c:f>
              <c:numCache>
                <c:formatCode>General</c:formatCode>
                <c:ptCount val="12"/>
                <c:pt idx="0">
                  <c:v>8000</c:v>
                </c:pt>
                <c:pt idx="1">
                  <c:v>10270</c:v>
                </c:pt>
                <c:pt idx="2">
                  <c:v>10970</c:v>
                </c:pt>
                <c:pt idx="3">
                  <c:v>9620</c:v>
                </c:pt>
                <c:pt idx="4">
                  <c:v>7150</c:v>
                </c:pt>
                <c:pt idx="5">
                  <c:v>5270</c:v>
                </c:pt>
                <c:pt idx="6">
                  <c:v>5270</c:v>
                </c:pt>
                <c:pt idx="7">
                  <c:v>7150</c:v>
                </c:pt>
                <c:pt idx="8">
                  <c:v>9620</c:v>
                </c:pt>
                <c:pt idx="9">
                  <c:v>10970</c:v>
                </c:pt>
                <c:pt idx="10">
                  <c:v>10270</c:v>
                </c:pt>
                <c:pt idx="11">
                  <c:v>8000</c:v>
                </c:pt>
              </c:numCache>
            </c:numRef>
          </c:val>
          <c:extLst>
            <c:ext xmlns:c16="http://schemas.microsoft.com/office/drawing/2014/chart" uri="{C3380CC4-5D6E-409C-BE32-E72D297353CC}">
              <c16:uniqueId val="{00000003-11C8-41EE-A68B-413BF5E7CF37}"/>
            </c:ext>
          </c:extLst>
        </c:ser>
        <c:ser>
          <c:idx val="1"/>
          <c:order val="2"/>
          <c:tx>
            <c:strRef>
              <c:f>Processing!$L$1</c:f>
              <c:strCache>
                <c:ptCount val="1"/>
                <c:pt idx="0">
                  <c:v>Select 2</c:v>
                </c:pt>
              </c:strCache>
            </c:strRef>
          </c:tx>
          <c:spPr>
            <a:gradFill flip="none" rotWithShape="1">
              <a:gsLst>
                <a:gs pos="0">
                  <a:srgbClr val="1AFFD5"/>
                </a:gs>
                <a:gs pos="100000">
                  <a:srgbClr val="00E5BB"/>
                </a:gs>
              </a:gsLst>
              <a:lin ang="5400000" scaled="0"/>
              <a:tileRect/>
            </a:gradFill>
            <a:ln>
              <a:noFill/>
            </a:ln>
            <a:effectLst/>
          </c:spPr>
          <c:invertIfNegative val="0"/>
          <c:cat>
            <c:strRef>
              <c:f>Processing!$I$2:$I$13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Processing!$L$2:$L$13</c:f>
              <c:numCache>
                <c:formatCode>General</c:formatCode>
                <c:ptCount val="12"/>
                <c:pt idx="0">
                  <c:v>6120</c:v>
                </c:pt>
                <c:pt idx="1">
                  <c:v>7000</c:v>
                </c:pt>
                <c:pt idx="2">
                  <c:v>7400</c:v>
                </c:pt>
                <c:pt idx="3">
                  <c:v>6680</c:v>
                </c:pt>
                <c:pt idx="4">
                  <c:v>5440</c:v>
                </c:pt>
                <c:pt idx="5">
                  <c:v>4816</c:v>
                </c:pt>
                <c:pt idx="6">
                  <c:v>5080</c:v>
                </c:pt>
                <c:pt idx="7">
                  <c:v>6080</c:v>
                </c:pt>
                <c:pt idx="8">
                  <c:v>6496</c:v>
                </c:pt>
                <c:pt idx="9">
                  <c:v>5752</c:v>
                </c:pt>
                <c:pt idx="10">
                  <c:v>5200</c:v>
                </c:pt>
                <c:pt idx="11">
                  <c:v>5640</c:v>
                </c:pt>
              </c:numCache>
            </c:numRef>
          </c:val>
          <c:extLst>
            <c:ext xmlns:c16="http://schemas.microsoft.com/office/drawing/2014/chart" uri="{C3380CC4-5D6E-409C-BE32-E72D297353CC}">
              <c16:uniqueId val="{00000004-11C8-41EE-A68B-413BF5E7CF37}"/>
            </c:ext>
          </c:extLst>
        </c:ser>
        <c:dLbls>
          <c:showLegendKey val="0"/>
          <c:showVal val="0"/>
          <c:showCatName val="0"/>
          <c:showSerName val="0"/>
          <c:showPercent val="0"/>
          <c:showBubbleSize val="0"/>
        </c:dLbls>
        <c:gapWidth val="100"/>
        <c:overlap val="100"/>
        <c:axId val="1656759599"/>
        <c:axId val="1656758159"/>
      </c:barChart>
      <c:catAx>
        <c:axId val="93503478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ru-RU"/>
          </a:p>
        </c:txPr>
        <c:crossAx val="935018463"/>
        <c:crosses val="autoZero"/>
        <c:auto val="1"/>
        <c:lblAlgn val="ctr"/>
        <c:lblOffset val="100"/>
        <c:noMultiLvlLbl val="0"/>
      </c:catAx>
      <c:valAx>
        <c:axId val="935018463"/>
        <c:scaling>
          <c:orientation val="minMax"/>
        </c:scaling>
        <c:delete val="1"/>
        <c:axPos val="l"/>
        <c:numFmt formatCode="General" sourceLinked="1"/>
        <c:majorTickMark val="out"/>
        <c:minorTickMark val="none"/>
        <c:tickLblPos val="nextTo"/>
        <c:crossAx val="935034783"/>
        <c:crosses val="autoZero"/>
        <c:crossBetween val="between"/>
      </c:valAx>
      <c:valAx>
        <c:axId val="1656758159"/>
        <c:scaling>
          <c:orientation val="minMax"/>
        </c:scaling>
        <c:delete val="1"/>
        <c:axPos val="r"/>
        <c:numFmt formatCode="General" sourceLinked="1"/>
        <c:majorTickMark val="out"/>
        <c:minorTickMark val="none"/>
        <c:tickLblPos val="nextTo"/>
        <c:crossAx val="1656759599"/>
        <c:crosses val="max"/>
        <c:crossBetween val="between"/>
      </c:valAx>
      <c:catAx>
        <c:axId val="1656759599"/>
        <c:scaling>
          <c:orientation val="minMax"/>
        </c:scaling>
        <c:delete val="1"/>
        <c:axPos val="b"/>
        <c:numFmt formatCode="General" sourceLinked="1"/>
        <c:majorTickMark val="out"/>
        <c:minorTickMark val="none"/>
        <c:tickLblPos val="nextTo"/>
        <c:crossAx val="1656758159"/>
        <c:crosses val="autoZero"/>
        <c:auto val="1"/>
        <c:lblAlgn val="ctr"/>
        <c:lblOffset val="100"/>
        <c:noMultiLvlLbl val="0"/>
      </c:cat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a:effectLst>
              <a:outerShdw blurRad="50800" dist="38100" dir="5400000" algn="t" rotWithShape="0">
                <a:prstClr val="black">
                  <a:alpha val="40000"/>
                </a:prstClr>
              </a:outerShdw>
            </a:effectLst>
          </c:spPr>
          <c:dPt>
            <c:idx val="0"/>
            <c:bubble3D val="0"/>
            <c:spPr>
              <a:gradFill>
                <a:gsLst>
                  <a:gs pos="0">
                    <a:srgbClr val="1AFFD5"/>
                  </a:gs>
                  <a:gs pos="100000">
                    <a:srgbClr val="00E5BB"/>
                  </a:gs>
                </a:gsLst>
                <a:path path="circle">
                  <a:fillToRect r="100000" b="100000"/>
                </a:path>
              </a:gradFill>
              <a:ln w="19050">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1-3324-4BE8-915F-D31904B884EF}"/>
              </c:ext>
            </c:extLst>
          </c:dPt>
          <c:dPt>
            <c:idx val="1"/>
            <c:bubble3D val="0"/>
            <c:spPr>
              <a:gradFill>
                <a:gsLst>
                  <a:gs pos="0">
                    <a:srgbClr val="F9F871"/>
                  </a:gs>
                  <a:gs pos="100000">
                    <a:srgbClr val="E34F10"/>
                  </a:gs>
                </a:gsLst>
                <a:path path="circle">
                  <a:fillToRect l="100000" b="100000"/>
                </a:path>
              </a:gradFill>
              <a:ln w="19050">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3-3324-4BE8-915F-D31904B884EF}"/>
              </c:ext>
            </c:extLst>
          </c:dPt>
          <c:dPt>
            <c:idx val="2"/>
            <c:bubble3D val="0"/>
            <c:spPr>
              <a:solidFill>
                <a:srgbClr val="5A6380"/>
              </a:solidFill>
              <a:ln w="19050">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5-3324-4BE8-915F-D31904B884EF}"/>
              </c:ext>
            </c:extLst>
          </c:dPt>
          <c:dLbls>
            <c:dLbl>
              <c:idx val="0"/>
              <c:spPr>
                <a:solidFill>
                  <a:schemeClr val="lt1"/>
                </a:solidFill>
                <a:ln>
                  <a:solidFill>
                    <a:schemeClr val="dk1">
                      <a:lumMod val="25000"/>
                      <a:lumOff val="75000"/>
                    </a:schemeClr>
                  </a:solidFill>
                </a:ln>
                <a:effectLst>
                  <a:outerShdw blurRad="50800" dist="38100" dir="5400000" algn="t"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8.5688538932633423E-2"/>
                      <c:h val="0.14333333333333334"/>
                    </c:manualLayout>
                  </c15:layout>
                </c:ext>
                <c:ext xmlns:c16="http://schemas.microsoft.com/office/drawing/2014/chart" uri="{C3380CC4-5D6E-409C-BE32-E72D297353CC}">
                  <c16:uniqueId val="{00000001-3324-4BE8-915F-D31904B884EF}"/>
                </c:ext>
              </c:extLst>
            </c:dLbl>
            <c:dLbl>
              <c:idx val="1"/>
              <c:spPr>
                <a:solidFill>
                  <a:schemeClr val="lt1"/>
                </a:solidFill>
                <a:ln>
                  <a:solidFill>
                    <a:schemeClr val="dk1">
                      <a:lumMod val="25000"/>
                      <a:lumOff val="75000"/>
                    </a:schemeClr>
                  </a:solidFill>
                </a:ln>
                <a:effectLst>
                  <a:outerShdw blurRad="50800" dist="38100" dir="5400000" algn="t"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8.5688538932633423E-2"/>
                      <c:h val="0.14333333333333334"/>
                    </c:manualLayout>
                  </c15:layout>
                </c:ext>
                <c:ext xmlns:c16="http://schemas.microsoft.com/office/drawing/2014/chart" uri="{C3380CC4-5D6E-409C-BE32-E72D297353CC}">
                  <c16:uniqueId val="{00000003-3324-4BE8-915F-D31904B884EF}"/>
                </c:ext>
              </c:extLst>
            </c:dLbl>
            <c:dLbl>
              <c:idx val="2"/>
              <c:delete val="1"/>
              <c:extLst>
                <c:ext xmlns:c15="http://schemas.microsoft.com/office/drawing/2012/chart" uri="{CE6537A1-D6FC-4f65-9D91-7224C49458BB}"/>
                <c:ext xmlns:c16="http://schemas.microsoft.com/office/drawing/2014/chart" uri="{C3380CC4-5D6E-409C-BE32-E72D297353CC}">
                  <c16:uniqueId val="{00000005-3324-4BE8-915F-D31904B884EF}"/>
                </c:ext>
              </c:extLst>
            </c:dLbl>
            <c:spPr>
              <a:no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ru-RU"/>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Processing!$O$2:$Q$2</c:f>
              <c:numCache>
                <c:formatCode>0%</c:formatCode>
                <c:ptCount val="3"/>
                <c:pt idx="0">
                  <c:v>0.38500000000000001</c:v>
                </c:pt>
                <c:pt idx="1">
                  <c:v>0.24083333333333334</c:v>
                </c:pt>
                <c:pt idx="2">
                  <c:v>0.3741666666666667</c:v>
                </c:pt>
              </c:numCache>
            </c:numRef>
          </c:val>
          <c:extLst>
            <c:ext xmlns:c16="http://schemas.microsoft.com/office/drawing/2014/chart" uri="{C3380CC4-5D6E-409C-BE32-E72D297353CC}">
              <c16:uniqueId val="{00000006-3324-4BE8-915F-D31904B884EF}"/>
            </c:ext>
          </c:extLst>
        </c:ser>
        <c:dLbls>
          <c:showLegendKey val="0"/>
          <c:showVal val="0"/>
          <c:showCatName val="0"/>
          <c:showSerName val="0"/>
          <c:showPercent val="0"/>
          <c:showBubbleSize val="0"/>
          <c:showLeaderLines val="1"/>
        </c:dLbls>
        <c:firstSliceAng val="0"/>
        <c:holeSize val="8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1492"/>
              </a:solidFill>
              <a:ln w="19050">
                <a:noFill/>
              </a:ln>
              <a:effectLst/>
            </c:spPr>
            <c:extLst>
              <c:ext xmlns:c16="http://schemas.microsoft.com/office/drawing/2014/chart" uri="{C3380CC4-5D6E-409C-BE32-E72D297353CC}">
                <c16:uniqueId val="{00000001-1269-4568-9394-9625C7D4A9D1}"/>
              </c:ext>
            </c:extLst>
          </c:dPt>
          <c:dPt>
            <c:idx val="1"/>
            <c:bubble3D val="0"/>
            <c:spPr>
              <a:solidFill>
                <a:srgbClr val="5A6380"/>
              </a:solidFill>
              <a:ln w="19050">
                <a:noFill/>
              </a:ln>
              <a:effectLst/>
            </c:spPr>
            <c:extLst>
              <c:ext xmlns:c16="http://schemas.microsoft.com/office/drawing/2014/chart" uri="{C3380CC4-5D6E-409C-BE32-E72D297353CC}">
                <c16:uniqueId val="{00000003-1269-4568-9394-9625C7D4A9D1}"/>
              </c:ext>
            </c:extLst>
          </c:dPt>
          <c:val>
            <c:numRef>
              <c:f>Processing!$P$7:$Q$7</c:f>
              <c:numCache>
                <c:formatCode>0%</c:formatCode>
                <c:ptCount val="2"/>
                <c:pt idx="0">
                  <c:v>0.55249999999999999</c:v>
                </c:pt>
                <c:pt idx="1">
                  <c:v>0.44750000000000001</c:v>
                </c:pt>
              </c:numCache>
            </c:numRef>
          </c:val>
          <c:extLst>
            <c:ext xmlns:c16="http://schemas.microsoft.com/office/drawing/2014/chart" uri="{C3380CC4-5D6E-409C-BE32-E72D297353CC}">
              <c16:uniqueId val="{00000004-1269-4568-9394-9625C7D4A9D1}"/>
            </c:ext>
          </c:extLst>
        </c:ser>
        <c:dLbls>
          <c:showLegendKey val="0"/>
          <c:showVal val="0"/>
          <c:showCatName val="0"/>
          <c:showSerName val="0"/>
          <c:showPercent val="0"/>
          <c:showBubbleSize val="0"/>
          <c:showLeaderLines val="1"/>
        </c:dLbls>
        <c:firstSliceAng val="0"/>
        <c:holeSize val="90"/>
      </c:doughnutChart>
      <c:scatterChart>
        <c:scatterStyle val="lineMarker"/>
        <c:varyColors val="0"/>
        <c:ser>
          <c:idx val="1"/>
          <c:order val="1"/>
          <c:tx>
            <c:v>Cursor</c:v>
          </c:tx>
          <c:spPr>
            <a:ln w="25400" cap="rnd">
              <a:noFill/>
              <a:round/>
            </a:ln>
            <a:effectLst/>
          </c:spPr>
          <c:marker>
            <c:symbol val="circle"/>
            <c:size val="10"/>
            <c:spPr>
              <a:solidFill>
                <a:schemeClr val="accent2"/>
              </a:solidFill>
              <a:ln w="9525">
                <a:noFill/>
              </a:ln>
              <a:effectLst/>
            </c:spPr>
          </c:marker>
          <c:dPt>
            <c:idx val="0"/>
            <c:marker>
              <c:symbol val="circle"/>
              <c:size val="10"/>
              <c:spPr>
                <a:solidFill>
                  <a:srgbClr val="FF1492"/>
                </a:solidFill>
                <a:ln w="9525">
                  <a:noFill/>
                </a:ln>
                <a:effectLst/>
              </c:spPr>
            </c:marker>
            <c:bubble3D val="0"/>
            <c:extLst>
              <c:ext xmlns:c16="http://schemas.microsoft.com/office/drawing/2014/chart" uri="{C3380CC4-5D6E-409C-BE32-E72D297353CC}">
                <c16:uniqueId val="{00000005-1269-4568-9394-9625C7D4A9D1}"/>
              </c:ext>
            </c:extLst>
          </c:dPt>
          <c:xVal>
            <c:numRef>
              <c:f>Processing!$R$7</c:f>
              <c:numCache>
                <c:formatCode>General</c:formatCode>
                <c:ptCount val="1"/>
                <c:pt idx="0">
                  <c:v>-0.30772154728824169</c:v>
                </c:pt>
              </c:numCache>
            </c:numRef>
          </c:xVal>
          <c:yVal>
            <c:numRef>
              <c:f>Processing!$S$7</c:f>
              <c:numCache>
                <c:formatCode>General</c:formatCode>
                <c:ptCount val="1"/>
                <c:pt idx="0">
                  <c:v>-0.89878109088616798</c:v>
                </c:pt>
              </c:numCache>
            </c:numRef>
          </c:yVal>
          <c:smooth val="0"/>
          <c:extLst>
            <c:ext xmlns:c16="http://schemas.microsoft.com/office/drawing/2014/chart" uri="{C3380CC4-5D6E-409C-BE32-E72D297353CC}">
              <c16:uniqueId val="{00000006-1269-4568-9394-9625C7D4A9D1}"/>
            </c:ext>
          </c:extLst>
        </c:ser>
        <c:dLbls>
          <c:showLegendKey val="0"/>
          <c:showVal val="0"/>
          <c:showCatName val="0"/>
          <c:showSerName val="0"/>
          <c:showPercent val="0"/>
          <c:showBubbleSize val="0"/>
        </c:dLbls>
        <c:axId val="134902143"/>
        <c:axId val="134912223"/>
      </c:scatterChart>
      <c:valAx>
        <c:axId val="134902143"/>
        <c:scaling>
          <c:orientation val="minMax"/>
          <c:max val="1"/>
          <c:min val="-1"/>
        </c:scaling>
        <c:delete val="1"/>
        <c:axPos val="b"/>
        <c:numFmt formatCode="General" sourceLinked="1"/>
        <c:majorTickMark val="out"/>
        <c:minorTickMark val="none"/>
        <c:tickLblPos val="nextTo"/>
        <c:crossAx val="134912223"/>
        <c:crosses val="autoZero"/>
        <c:crossBetween val="midCat"/>
      </c:valAx>
      <c:valAx>
        <c:axId val="134912223"/>
        <c:scaling>
          <c:orientation val="minMax"/>
          <c:max val="1"/>
          <c:min val="-1"/>
        </c:scaling>
        <c:delete val="1"/>
        <c:axPos val="l"/>
        <c:numFmt formatCode="General" sourceLinked="1"/>
        <c:majorTickMark val="out"/>
        <c:minorTickMark val="none"/>
        <c:tickLblPos val="nextTo"/>
        <c:crossAx val="1349021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178BFF"/>
                  </a:gs>
                  <a:gs pos="100000">
                    <a:srgbClr val="4AA5FF"/>
                  </a:gs>
                </a:gsLst>
                <a:lin ang="0" scaled="0"/>
              </a:gradFill>
              <a:ln w="19050">
                <a:noFill/>
              </a:ln>
              <a:effectLst/>
            </c:spPr>
            <c:extLst>
              <c:ext xmlns:c16="http://schemas.microsoft.com/office/drawing/2014/chart" uri="{C3380CC4-5D6E-409C-BE32-E72D297353CC}">
                <c16:uniqueId val="{00000001-79F2-491B-B21A-C034E02EAC75}"/>
              </c:ext>
            </c:extLst>
          </c:dPt>
          <c:dPt>
            <c:idx val="1"/>
            <c:bubble3D val="0"/>
            <c:spPr>
              <a:solidFill>
                <a:srgbClr val="5A6380"/>
              </a:solidFill>
              <a:ln w="19050">
                <a:noFill/>
              </a:ln>
              <a:effectLst/>
            </c:spPr>
            <c:extLst>
              <c:ext xmlns:c16="http://schemas.microsoft.com/office/drawing/2014/chart" uri="{C3380CC4-5D6E-409C-BE32-E72D297353CC}">
                <c16:uniqueId val="{00000003-79F2-491B-B21A-C034E02EAC75}"/>
              </c:ext>
            </c:extLst>
          </c:dPt>
          <c:val>
            <c:numRef>
              <c:f>Processing!$P$8:$Q$8</c:f>
              <c:numCache>
                <c:formatCode>0%</c:formatCode>
                <c:ptCount val="2"/>
                <c:pt idx="0">
                  <c:v>0.63416666666666666</c:v>
                </c:pt>
                <c:pt idx="1">
                  <c:v>0.36583333333333334</c:v>
                </c:pt>
              </c:numCache>
            </c:numRef>
          </c:val>
          <c:extLst>
            <c:ext xmlns:c16="http://schemas.microsoft.com/office/drawing/2014/chart" uri="{C3380CC4-5D6E-409C-BE32-E72D297353CC}">
              <c16:uniqueId val="{00000004-79F2-491B-B21A-C034E02EAC75}"/>
            </c:ext>
          </c:extLst>
        </c:ser>
        <c:dLbls>
          <c:showLegendKey val="0"/>
          <c:showVal val="0"/>
          <c:showCatName val="0"/>
          <c:showSerName val="0"/>
          <c:showPercent val="0"/>
          <c:showBubbleSize val="0"/>
          <c:showLeaderLines val="1"/>
        </c:dLbls>
        <c:firstSliceAng val="0"/>
        <c:holeSize val="90"/>
      </c:doughnutChart>
      <c:scatterChart>
        <c:scatterStyle val="lineMarker"/>
        <c:varyColors val="0"/>
        <c:ser>
          <c:idx val="1"/>
          <c:order val="1"/>
          <c:tx>
            <c:v>Cursor</c:v>
          </c:tx>
          <c:spPr>
            <a:ln w="25400" cap="rnd">
              <a:noFill/>
              <a:round/>
            </a:ln>
            <a:effectLst/>
          </c:spPr>
          <c:marker>
            <c:symbol val="circle"/>
            <c:size val="10"/>
            <c:spPr>
              <a:solidFill>
                <a:srgbClr val="178BFF"/>
              </a:solidFill>
              <a:ln w="9525">
                <a:noFill/>
              </a:ln>
              <a:effectLst/>
            </c:spPr>
          </c:marker>
          <c:dPt>
            <c:idx val="0"/>
            <c:marker>
              <c:symbol val="circle"/>
              <c:size val="10"/>
              <c:spPr>
                <a:solidFill>
                  <a:srgbClr val="178BFF"/>
                </a:solidFill>
                <a:ln w="9525">
                  <a:noFill/>
                </a:ln>
                <a:effectLst/>
              </c:spPr>
            </c:marker>
            <c:bubble3D val="0"/>
            <c:extLst>
              <c:ext xmlns:c16="http://schemas.microsoft.com/office/drawing/2014/chart" uri="{C3380CC4-5D6E-409C-BE32-E72D297353CC}">
                <c16:uniqueId val="{00000005-79F2-491B-B21A-C034E02EAC75}"/>
              </c:ext>
            </c:extLst>
          </c:dPt>
          <c:xVal>
            <c:numRef>
              <c:f>Processing!$R$8</c:f>
              <c:numCache>
                <c:formatCode>General</c:formatCode>
                <c:ptCount val="1"/>
                <c:pt idx="0">
                  <c:v>-0.7093062731711216</c:v>
                </c:pt>
              </c:numCache>
            </c:numRef>
          </c:xVal>
          <c:yVal>
            <c:numRef>
              <c:f>Processing!$S$8</c:f>
              <c:numCache>
                <c:formatCode>General</c:formatCode>
                <c:ptCount val="1"/>
                <c:pt idx="0">
                  <c:v>-0.63196883692164274</c:v>
                </c:pt>
              </c:numCache>
            </c:numRef>
          </c:yVal>
          <c:smooth val="0"/>
          <c:extLst>
            <c:ext xmlns:c16="http://schemas.microsoft.com/office/drawing/2014/chart" uri="{C3380CC4-5D6E-409C-BE32-E72D297353CC}">
              <c16:uniqueId val="{00000006-79F2-491B-B21A-C034E02EAC75}"/>
            </c:ext>
          </c:extLst>
        </c:ser>
        <c:dLbls>
          <c:showLegendKey val="0"/>
          <c:showVal val="0"/>
          <c:showCatName val="0"/>
          <c:showSerName val="0"/>
          <c:showPercent val="0"/>
          <c:showBubbleSize val="0"/>
        </c:dLbls>
        <c:axId val="134902143"/>
        <c:axId val="134912223"/>
      </c:scatterChart>
      <c:valAx>
        <c:axId val="134902143"/>
        <c:scaling>
          <c:orientation val="minMax"/>
          <c:max val="1"/>
          <c:min val="-1"/>
        </c:scaling>
        <c:delete val="1"/>
        <c:axPos val="b"/>
        <c:numFmt formatCode="General" sourceLinked="1"/>
        <c:majorTickMark val="out"/>
        <c:minorTickMark val="none"/>
        <c:tickLblPos val="nextTo"/>
        <c:crossAx val="134912223"/>
        <c:crosses val="autoZero"/>
        <c:crossBetween val="midCat"/>
      </c:valAx>
      <c:valAx>
        <c:axId val="134912223"/>
        <c:scaling>
          <c:orientation val="minMax"/>
          <c:max val="1"/>
          <c:min val="-1"/>
        </c:scaling>
        <c:delete val="1"/>
        <c:axPos val="l"/>
        <c:numFmt formatCode="General" sourceLinked="1"/>
        <c:majorTickMark val="out"/>
        <c:minorTickMark val="none"/>
        <c:tickLblPos val="nextTo"/>
        <c:crossAx val="1349021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Processing!$P$10</c:f>
              <c:strCache>
                <c:ptCount val="1"/>
                <c:pt idx="0">
                  <c:v>Data</c:v>
                </c:pt>
              </c:strCache>
            </c:strRef>
          </c:tx>
          <c:spPr>
            <a:solidFill>
              <a:schemeClr val="accent1"/>
            </a:solidFill>
            <a:ln>
              <a:noFill/>
            </a:ln>
            <a:effectLst>
              <a:outerShdw blurRad="50800" dist="38100" dir="5400000" algn="t" rotWithShape="0">
                <a:prstClr val="black">
                  <a:alpha val="40000"/>
                </a:prstClr>
              </a:outerShdw>
            </a:effectLst>
          </c:spPr>
          <c:invertIfNegative val="0"/>
          <c:dPt>
            <c:idx val="0"/>
            <c:invertIfNegative val="0"/>
            <c:bubble3D val="0"/>
            <c:spPr>
              <a:gradFill flip="none" rotWithShape="1">
                <a:gsLst>
                  <a:gs pos="100000">
                    <a:srgbClr val="1AFFD5"/>
                  </a:gs>
                  <a:gs pos="0">
                    <a:srgbClr val="00E5BB"/>
                  </a:gs>
                </a:gsLst>
                <a:lin ang="0" scaled="0"/>
                <a:tileRect/>
              </a:gra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1-5616-43C4-806F-5116F1EEF6D9}"/>
              </c:ext>
            </c:extLst>
          </c:dPt>
          <c:dPt>
            <c:idx val="1"/>
            <c:invertIfNegative val="0"/>
            <c:bubble3D val="0"/>
            <c:spPr>
              <a:gradFill flip="none" rotWithShape="1">
                <a:gsLst>
                  <a:gs pos="0">
                    <a:srgbClr val="178BFF"/>
                  </a:gs>
                  <a:gs pos="100000">
                    <a:srgbClr val="4AA5FF"/>
                  </a:gs>
                </a:gsLst>
                <a:lin ang="0" scaled="0"/>
                <a:tileRect/>
              </a:gra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3-5616-43C4-806F-5116F1EEF6D9}"/>
              </c:ext>
            </c:extLst>
          </c:dPt>
          <c:dPt>
            <c:idx val="2"/>
            <c:invertIfNegative val="0"/>
            <c:bubble3D val="0"/>
            <c:spPr>
              <a:gradFill flip="none" rotWithShape="1">
                <a:gsLst>
                  <a:gs pos="100000">
                    <a:srgbClr val="8F72FF"/>
                  </a:gs>
                  <a:gs pos="0">
                    <a:srgbClr val="673FFF"/>
                  </a:gs>
                </a:gsLst>
                <a:lin ang="0" scaled="0"/>
                <a:tileRect/>
              </a:gra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5-5616-43C4-806F-5116F1EEF6D9}"/>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Processing!$O$11:$O$13</c:f>
              <c:strCache>
                <c:ptCount val="3"/>
                <c:pt idx="0">
                  <c:v>CR2</c:v>
                </c:pt>
                <c:pt idx="1">
                  <c:v>Bounce Rate</c:v>
                </c:pt>
                <c:pt idx="2">
                  <c:v>CTR2</c:v>
                </c:pt>
              </c:strCache>
            </c:strRef>
          </c:cat>
          <c:val>
            <c:numRef>
              <c:f>Processing!$P$11:$P$13</c:f>
              <c:numCache>
                <c:formatCode>0.0%</c:formatCode>
                <c:ptCount val="3"/>
                <c:pt idx="0">
                  <c:v>3.9749999999999994E-2</c:v>
                </c:pt>
                <c:pt idx="1">
                  <c:v>1.4916666666666668E-2</c:v>
                </c:pt>
                <c:pt idx="2">
                  <c:v>4.2500000000000003E-2</c:v>
                </c:pt>
              </c:numCache>
            </c:numRef>
          </c:val>
          <c:extLst>
            <c:ext xmlns:c16="http://schemas.microsoft.com/office/drawing/2014/chart" uri="{C3380CC4-5D6E-409C-BE32-E72D297353CC}">
              <c16:uniqueId val="{00000006-5616-43C4-806F-5116F1EEF6D9}"/>
            </c:ext>
          </c:extLst>
        </c:ser>
        <c:dLbls>
          <c:showLegendKey val="0"/>
          <c:showVal val="0"/>
          <c:showCatName val="0"/>
          <c:showSerName val="0"/>
          <c:showPercent val="0"/>
          <c:showBubbleSize val="0"/>
        </c:dLbls>
        <c:gapWidth val="182"/>
        <c:axId val="134842143"/>
        <c:axId val="134886783"/>
      </c:barChart>
      <c:catAx>
        <c:axId val="134842143"/>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ru-RU"/>
          </a:p>
        </c:txPr>
        <c:crossAx val="134886783"/>
        <c:crosses val="autoZero"/>
        <c:auto val="1"/>
        <c:lblAlgn val="ctr"/>
        <c:lblOffset val="100"/>
        <c:noMultiLvlLbl val="0"/>
      </c:catAx>
      <c:valAx>
        <c:axId val="134886783"/>
        <c:scaling>
          <c:orientation val="minMax"/>
        </c:scaling>
        <c:delete val="1"/>
        <c:axPos val="b"/>
        <c:numFmt formatCode="0.0%" sourceLinked="1"/>
        <c:majorTickMark val="none"/>
        <c:minorTickMark val="none"/>
        <c:tickLblPos val="nextTo"/>
        <c:crossAx val="134842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4"/>
          <c:order val="4"/>
          <c:tx>
            <c:v>Fill1</c:v>
          </c:tx>
          <c:spPr>
            <a:gradFill>
              <a:gsLst>
                <a:gs pos="0">
                  <a:srgbClr val="1AFFD5">
                    <a:alpha val="30000"/>
                  </a:srgbClr>
                </a:gs>
                <a:gs pos="100000">
                  <a:srgbClr val="1AFFD5">
                    <a:alpha val="0"/>
                  </a:srgbClr>
                </a:gs>
              </a:gsLst>
              <a:lin ang="5400000" scaled="0"/>
            </a:gradFill>
            <a:ln w="25400" cap="rnd">
              <a:noFill/>
              <a:round/>
            </a:ln>
            <a:effectLst>
              <a:outerShdw blurRad="50800" dist="38100" dir="5400000" algn="t" rotWithShape="0">
                <a:prstClr val="black">
                  <a:alpha val="40000"/>
                </a:prstClr>
              </a:outerShdw>
            </a:effectLst>
          </c:spPr>
          <c:errBars>
            <c:errDir val="y"/>
            <c:errBarType val="minus"/>
            <c:errValType val="cust"/>
            <c:noEndCap val="0"/>
            <c:plus>
              <c:numLit>
                <c:formatCode>General</c:formatCode>
                <c:ptCount val="1"/>
                <c:pt idx="0">
                  <c:v>1</c:v>
                </c:pt>
              </c:numLit>
            </c:plus>
            <c:minus>
              <c:numRef>
                <c:f>Processing!$D$2:$D$13</c:f>
                <c:numCache>
                  <c:formatCode>General</c:formatCode>
                  <c:ptCount val="12"/>
                  <c:pt idx="0">
                    <c:v>8.3333333333333329E-2</c:v>
                  </c:pt>
                  <c:pt idx="1">
                    <c:v>0.10020833333333333</c:v>
                  </c:pt>
                  <c:pt idx="2">
                    <c:v>0.11177083333333333</c:v>
                  </c:pt>
                  <c:pt idx="3">
                    <c:v>0.11427083333333334</c:v>
                  </c:pt>
                  <c:pt idx="4">
                    <c:v>0.10697916666666667</c:v>
                  </c:pt>
                  <c:pt idx="5">
                    <c:v>9.2187500000000006E-2</c:v>
                  </c:pt>
                  <c:pt idx="6">
                    <c:v>7.4479166666666666E-2</c:v>
                  </c:pt>
                  <c:pt idx="7">
                    <c:v>5.9687499999999998E-2</c:v>
                  </c:pt>
                  <c:pt idx="8">
                    <c:v>5.2395833333333336E-2</c:v>
                  </c:pt>
                  <c:pt idx="9">
                    <c:v>5.4895833333333331E-2</c:v>
                  </c:pt>
                  <c:pt idx="10">
                    <c:v>6.6458333333333328E-2</c:v>
                  </c:pt>
                  <c:pt idx="11">
                    <c:v>8.3333333333333329E-2</c:v>
                  </c:pt>
                </c:numCache>
              </c:numRef>
            </c:minus>
            <c:spPr>
              <a:noFill/>
              <a:ln w="9525" cap="flat" cmpd="sng" algn="ctr">
                <a:solidFill>
                  <a:schemeClr val="bg1">
                    <a:lumMod val="50000"/>
                  </a:schemeClr>
                </a:solidFill>
                <a:round/>
              </a:ln>
              <a:effectLst/>
            </c:spPr>
          </c:errBars>
          <c:val>
            <c:numRef>
              <c:f>Processing!$B$2:$B$13</c:f>
              <c:numCache>
                <c:formatCode>0%</c:formatCode>
                <c:ptCount val="12"/>
                <c:pt idx="0">
                  <c:v>8.3333333333333329E-2</c:v>
                </c:pt>
                <c:pt idx="1">
                  <c:v>0.10020833333333333</c:v>
                </c:pt>
                <c:pt idx="2">
                  <c:v>0.11177083333333333</c:v>
                </c:pt>
                <c:pt idx="3">
                  <c:v>0.11427083333333334</c:v>
                </c:pt>
                <c:pt idx="4">
                  <c:v>0.10697916666666667</c:v>
                </c:pt>
                <c:pt idx="5">
                  <c:v>9.2187500000000006E-2</c:v>
                </c:pt>
                <c:pt idx="6">
                  <c:v>7.4479166666666666E-2</c:v>
                </c:pt>
                <c:pt idx="7">
                  <c:v>5.9687499999999998E-2</c:v>
                </c:pt>
                <c:pt idx="8">
                  <c:v>5.2395833333333336E-2</c:v>
                </c:pt>
                <c:pt idx="9">
                  <c:v>5.4895833333333331E-2</c:v>
                </c:pt>
                <c:pt idx="10">
                  <c:v>6.6458333333333328E-2</c:v>
                </c:pt>
                <c:pt idx="11">
                  <c:v>8.3333333333333329E-2</c:v>
                </c:pt>
              </c:numCache>
            </c:numRef>
          </c:val>
          <c:extLst>
            <c:ext xmlns:c16="http://schemas.microsoft.com/office/drawing/2014/chart" uri="{C3380CC4-5D6E-409C-BE32-E72D297353CC}">
              <c16:uniqueId val="{00000000-501E-491B-820B-95C30B9AE13C}"/>
            </c:ext>
          </c:extLst>
        </c:ser>
        <c:ser>
          <c:idx val="5"/>
          <c:order val="5"/>
          <c:tx>
            <c:v>Fill2</c:v>
          </c:tx>
          <c:spPr>
            <a:gradFill>
              <a:gsLst>
                <a:gs pos="0">
                  <a:srgbClr val="9980FF">
                    <a:alpha val="30000"/>
                  </a:srgbClr>
                </a:gs>
                <a:gs pos="100000">
                  <a:srgbClr val="9980FF">
                    <a:alpha val="0"/>
                  </a:srgbClr>
                </a:gs>
              </a:gsLst>
              <a:lin ang="5400000" scaled="0"/>
            </a:gradFill>
            <a:ln w="25400" cap="rnd">
              <a:noFill/>
              <a:round/>
            </a:ln>
            <a:effectLst>
              <a:outerShdw blurRad="50800" dist="38100" dir="5400000" algn="t" rotWithShape="0">
                <a:prstClr val="black">
                  <a:alpha val="40000"/>
                </a:prstClr>
              </a:outerShdw>
            </a:effectLst>
          </c:spPr>
          <c:errBars>
            <c:errDir val="y"/>
            <c:errBarType val="minus"/>
            <c:errValType val="cust"/>
            <c:noEndCap val="0"/>
            <c:plus>
              <c:numLit>
                <c:formatCode>General</c:formatCode>
                <c:ptCount val="1"/>
                <c:pt idx="0">
                  <c:v>1</c:v>
                </c:pt>
              </c:numLit>
            </c:plus>
            <c:minus>
              <c:numRef>
                <c:f>Processing!$E$2:$E$13</c:f>
                <c:numCache>
                  <c:formatCode>General</c:formatCode>
                  <c:ptCount val="12"/>
                  <c:pt idx="0">
                    <c:v>7.8567302137492773E-2</c:v>
                  </c:pt>
                  <c:pt idx="1">
                    <c:v>7.3367995378393988E-2</c:v>
                  </c:pt>
                  <c:pt idx="2">
                    <c:v>8.0300404390525701E-2</c:v>
                  </c:pt>
                  <c:pt idx="3">
                    <c:v>8.9543616406701332E-2</c:v>
                  </c:pt>
                  <c:pt idx="4">
                    <c:v>8.3188908145580595E-2</c:v>
                  </c:pt>
                  <c:pt idx="5">
                    <c:v>6.9324090121317156E-2</c:v>
                  </c:pt>
                  <c:pt idx="6">
                    <c:v>6.8168688619295204E-2</c:v>
                  </c:pt>
                  <c:pt idx="7">
                    <c:v>7.7411900635470821E-2</c:v>
                  </c:pt>
                  <c:pt idx="8">
                    <c:v>9.4742923165800116E-2</c:v>
                  </c:pt>
                  <c:pt idx="9">
                    <c:v>0.10167533217793183</c:v>
                  </c:pt>
                  <c:pt idx="10">
                    <c:v>9.7053726169844021E-2</c:v>
                  </c:pt>
                  <c:pt idx="11">
                    <c:v>8.6655112651646451E-2</c:v>
                  </c:pt>
                </c:numCache>
              </c:numRef>
            </c:minus>
            <c:spPr>
              <a:noFill/>
              <a:ln w="9525" cap="flat" cmpd="sng" algn="ctr">
                <a:solidFill>
                  <a:schemeClr val="bg1">
                    <a:lumMod val="50000"/>
                  </a:schemeClr>
                </a:solidFill>
                <a:round/>
              </a:ln>
              <a:effectLst/>
            </c:spPr>
          </c:errBars>
          <c:val>
            <c:numRef>
              <c:f>Processing!$C$2:$C$13</c:f>
              <c:numCache>
                <c:formatCode>0%</c:formatCode>
                <c:ptCount val="12"/>
                <c:pt idx="0">
                  <c:v>7.8567302137492773E-2</c:v>
                </c:pt>
                <c:pt idx="1">
                  <c:v>7.3367995378393988E-2</c:v>
                </c:pt>
                <c:pt idx="2">
                  <c:v>8.0300404390525701E-2</c:v>
                </c:pt>
                <c:pt idx="3">
                  <c:v>8.9543616406701332E-2</c:v>
                </c:pt>
                <c:pt idx="4">
                  <c:v>8.3188908145580595E-2</c:v>
                </c:pt>
                <c:pt idx="5">
                  <c:v>6.9324090121317156E-2</c:v>
                </c:pt>
                <c:pt idx="6">
                  <c:v>6.8168688619295204E-2</c:v>
                </c:pt>
                <c:pt idx="7">
                  <c:v>7.7411900635470821E-2</c:v>
                </c:pt>
                <c:pt idx="8">
                  <c:v>9.4742923165800116E-2</c:v>
                </c:pt>
                <c:pt idx="9">
                  <c:v>0.10167533217793183</c:v>
                </c:pt>
                <c:pt idx="10">
                  <c:v>9.7053726169844021E-2</c:v>
                </c:pt>
                <c:pt idx="11">
                  <c:v>8.6655112651646451E-2</c:v>
                </c:pt>
              </c:numCache>
            </c:numRef>
          </c:val>
          <c:extLst>
            <c:ext xmlns:c16="http://schemas.microsoft.com/office/drawing/2014/chart" uri="{C3380CC4-5D6E-409C-BE32-E72D297353CC}">
              <c16:uniqueId val="{00000001-501E-491B-820B-95C30B9AE13C}"/>
            </c:ext>
          </c:extLst>
        </c:ser>
        <c:dLbls>
          <c:showLegendKey val="0"/>
          <c:showVal val="0"/>
          <c:showCatName val="0"/>
          <c:showSerName val="0"/>
          <c:showPercent val="0"/>
          <c:showBubbleSize val="0"/>
        </c:dLbls>
        <c:axId val="1639660207"/>
        <c:axId val="1639660687"/>
      </c:areaChart>
      <c:lineChart>
        <c:grouping val="standard"/>
        <c:varyColors val="0"/>
        <c:ser>
          <c:idx val="0"/>
          <c:order val="0"/>
          <c:tx>
            <c:strRef>
              <c:f>Processing!$B$1</c:f>
              <c:strCache>
                <c:ptCount val="1"/>
                <c:pt idx="0">
                  <c:v>CTR</c:v>
                </c:pt>
              </c:strCache>
            </c:strRef>
          </c:tx>
          <c:spPr>
            <a:ln w="38100" cap="rnd">
              <a:solidFill>
                <a:srgbClr val="1AFFD5"/>
              </a:solidFill>
              <a:round/>
            </a:ln>
            <a:effectLst>
              <a:outerShdw blurRad="50800" dist="38100" dir="5400000" algn="t" rotWithShape="0">
                <a:prstClr val="black">
                  <a:alpha val="40000"/>
                </a:prstClr>
              </a:outerShdw>
            </a:effectLst>
          </c:spPr>
          <c:marker>
            <c:symbol val="none"/>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Processing!$B$2:$B$13</c:f>
              <c:numCache>
                <c:formatCode>0%</c:formatCode>
                <c:ptCount val="12"/>
                <c:pt idx="0">
                  <c:v>8.3333333333333329E-2</c:v>
                </c:pt>
                <c:pt idx="1">
                  <c:v>0.10020833333333333</c:v>
                </c:pt>
                <c:pt idx="2">
                  <c:v>0.11177083333333333</c:v>
                </c:pt>
                <c:pt idx="3">
                  <c:v>0.11427083333333334</c:v>
                </c:pt>
                <c:pt idx="4">
                  <c:v>0.10697916666666667</c:v>
                </c:pt>
                <c:pt idx="5">
                  <c:v>9.2187500000000006E-2</c:v>
                </c:pt>
                <c:pt idx="6">
                  <c:v>7.4479166666666666E-2</c:v>
                </c:pt>
                <c:pt idx="7">
                  <c:v>5.9687499999999998E-2</c:v>
                </c:pt>
                <c:pt idx="8">
                  <c:v>5.2395833333333336E-2</c:v>
                </c:pt>
                <c:pt idx="9">
                  <c:v>5.4895833333333331E-2</c:v>
                </c:pt>
                <c:pt idx="10">
                  <c:v>6.6458333333333328E-2</c:v>
                </c:pt>
                <c:pt idx="11">
                  <c:v>8.3333333333333329E-2</c:v>
                </c:pt>
              </c:numCache>
            </c:numRef>
          </c:val>
          <c:smooth val="1"/>
          <c:extLst>
            <c:ext xmlns:c16="http://schemas.microsoft.com/office/drawing/2014/chart" uri="{C3380CC4-5D6E-409C-BE32-E72D297353CC}">
              <c16:uniqueId val="{00000002-501E-491B-820B-95C30B9AE13C}"/>
            </c:ext>
          </c:extLst>
        </c:ser>
        <c:ser>
          <c:idx val="1"/>
          <c:order val="1"/>
          <c:tx>
            <c:strRef>
              <c:f>Processing!$C$1</c:f>
              <c:strCache>
                <c:ptCount val="1"/>
                <c:pt idx="0">
                  <c:v>CR</c:v>
                </c:pt>
              </c:strCache>
            </c:strRef>
          </c:tx>
          <c:spPr>
            <a:ln w="38100" cap="rnd">
              <a:solidFill>
                <a:srgbClr val="9980FF"/>
              </a:solidFill>
              <a:round/>
            </a:ln>
            <a:effectLst>
              <a:outerShdw blurRad="50800" dist="38100" dir="5400000" algn="t" rotWithShape="0">
                <a:prstClr val="black">
                  <a:alpha val="40000"/>
                </a:prstClr>
              </a:outerShdw>
            </a:effectLst>
          </c:spPr>
          <c:marker>
            <c:symbol val="none"/>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Processing!$C$2:$C$13</c:f>
              <c:numCache>
                <c:formatCode>0%</c:formatCode>
                <c:ptCount val="12"/>
                <c:pt idx="0">
                  <c:v>7.8567302137492773E-2</c:v>
                </c:pt>
                <c:pt idx="1">
                  <c:v>7.3367995378393988E-2</c:v>
                </c:pt>
                <c:pt idx="2">
                  <c:v>8.0300404390525701E-2</c:v>
                </c:pt>
                <c:pt idx="3">
                  <c:v>8.9543616406701332E-2</c:v>
                </c:pt>
                <c:pt idx="4">
                  <c:v>8.3188908145580595E-2</c:v>
                </c:pt>
                <c:pt idx="5">
                  <c:v>6.9324090121317156E-2</c:v>
                </c:pt>
                <c:pt idx="6">
                  <c:v>6.8168688619295204E-2</c:v>
                </c:pt>
                <c:pt idx="7">
                  <c:v>7.7411900635470821E-2</c:v>
                </c:pt>
                <c:pt idx="8">
                  <c:v>9.4742923165800116E-2</c:v>
                </c:pt>
                <c:pt idx="9">
                  <c:v>0.10167533217793183</c:v>
                </c:pt>
                <c:pt idx="10">
                  <c:v>9.7053726169844021E-2</c:v>
                </c:pt>
                <c:pt idx="11">
                  <c:v>8.6655112651646451E-2</c:v>
                </c:pt>
              </c:numCache>
            </c:numRef>
          </c:val>
          <c:smooth val="1"/>
          <c:extLst>
            <c:ext xmlns:c16="http://schemas.microsoft.com/office/drawing/2014/chart" uri="{C3380CC4-5D6E-409C-BE32-E72D297353CC}">
              <c16:uniqueId val="{00000003-501E-491B-820B-95C30B9AE13C}"/>
            </c:ext>
          </c:extLst>
        </c:ser>
        <c:dLbls>
          <c:showLegendKey val="0"/>
          <c:showVal val="0"/>
          <c:showCatName val="0"/>
          <c:showSerName val="0"/>
          <c:showPercent val="0"/>
          <c:showBubbleSize val="0"/>
        </c:dLbls>
        <c:marker val="1"/>
        <c:smooth val="0"/>
        <c:axId val="1639660207"/>
        <c:axId val="1639660687"/>
      </c:lineChart>
      <c:scatterChart>
        <c:scatterStyle val="lineMarker"/>
        <c:varyColors val="0"/>
        <c:ser>
          <c:idx val="2"/>
          <c:order val="2"/>
          <c:tx>
            <c:strRef>
              <c:f>Processing!$D$1</c:f>
              <c:strCache>
                <c:ptCount val="1"/>
                <c:pt idx="0">
                  <c:v>CTR Select</c:v>
                </c:pt>
              </c:strCache>
            </c:strRef>
          </c:tx>
          <c:spPr>
            <a:ln w="38100">
              <a:noFill/>
            </a:ln>
            <a:effectLst>
              <a:glow rad="139700">
                <a:srgbClr val="1AFFD5">
                  <a:alpha val="40000"/>
                </a:srgbClr>
              </a:glow>
            </a:effectLst>
          </c:spPr>
          <c:marker>
            <c:symbol val="circle"/>
            <c:size val="5"/>
            <c:spPr>
              <a:solidFill>
                <a:schemeClr val="bg1"/>
              </a:solidFill>
              <a:ln>
                <a:noFill/>
              </a:ln>
              <a:effectLst>
                <a:glow rad="139700">
                  <a:srgbClr val="1AFFD5">
                    <a:alpha val="40000"/>
                  </a:srgbClr>
                </a:glow>
              </a:effectLst>
            </c:spPr>
          </c:marker>
          <c:xVal>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Processing!$D$2:$D$13</c:f>
              <c:numCache>
                <c:formatCode>0.0%</c:formatCode>
                <c:ptCount val="12"/>
                <c:pt idx="0">
                  <c:v>8.3333333333333329E-2</c:v>
                </c:pt>
                <c:pt idx="1">
                  <c:v>0.10020833333333333</c:v>
                </c:pt>
                <c:pt idx="2">
                  <c:v>0.11177083333333333</c:v>
                </c:pt>
                <c:pt idx="3">
                  <c:v>0.11427083333333334</c:v>
                </c:pt>
                <c:pt idx="4">
                  <c:v>0.10697916666666667</c:v>
                </c:pt>
                <c:pt idx="5">
                  <c:v>9.2187500000000006E-2</c:v>
                </c:pt>
                <c:pt idx="6">
                  <c:v>7.4479166666666666E-2</c:v>
                </c:pt>
                <c:pt idx="7">
                  <c:v>5.9687499999999998E-2</c:v>
                </c:pt>
                <c:pt idx="8">
                  <c:v>5.2395833333333336E-2</c:v>
                </c:pt>
                <c:pt idx="9">
                  <c:v>5.4895833333333331E-2</c:v>
                </c:pt>
                <c:pt idx="10">
                  <c:v>6.6458333333333328E-2</c:v>
                </c:pt>
                <c:pt idx="11">
                  <c:v>8.3333333333333329E-2</c:v>
                </c:pt>
              </c:numCache>
            </c:numRef>
          </c:yVal>
          <c:smooth val="0"/>
          <c:extLst>
            <c:ext xmlns:c16="http://schemas.microsoft.com/office/drawing/2014/chart" uri="{C3380CC4-5D6E-409C-BE32-E72D297353CC}">
              <c16:uniqueId val="{00000004-501E-491B-820B-95C30B9AE13C}"/>
            </c:ext>
          </c:extLst>
        </c:ser>
        <c:ser>
          <c:idx val="3"/>
          <c:order val="3"/>
          <c:tx>
            <c:strRef>
              <c:f>Processing!$E$1</c:f>
              <c:strCache>
                <c:ptCount val="1"/>
                <c:pt idx="0">
                  <c:v>CR Select</c:v>
                </c:pt>
              </c:strCache>
            </c:strRef>
          </c:tx>
          <c:spPr>
            <a:ln w="38100">
              <a:noFill/>
            </a:ln>
            <a:effectLst>
              <a:glow rad="139700">
                <a:srgbClr val="9980FF">
                  <a:alpha val="40000"/>
                </a:srgbClr>
              </a:glow>
            </a:effectLst>
          </c:spPr>
          <c:marker>
            <c:symbol val="circle"/>
            <c:size val="5"/>
            <c:spPr>
              <a:solidFill>
                <a:schemeClr val="bg1"/>
              </a:solidFill>
              <a:ln>
                <a:noFill/>
              </a:ln>
              <a:effectLst>
                <a:glow rad="139700">
                  <a:srgbClr val="9980FF">
                    <a:alpha val="40000"/>
                  </a:srgbClr>
                </a:glow>
              </a:effectLst>
            </c:spPr>
          </c:marker>
          <c:xVal>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Processing!$E$2:$E$13</c:f>
              <c:numCache>
                <c:formatCode>0.0%</c:formatCode>
                <c:ptCount val="12"/>
                <c:pt idx="0">
                  <c:v>7.8567302137492773E-2</c:v>
                </c:pt>
                <c:pt idx="1">
                  <c:v>7.3367995378393988E-2</c:v>
                </c:pt>
                <c:pt idx="2">
                  <c:v>8.0300404390525701E-2</c:v>
                </c:pt>
                <c:pt idx="3">
                  <c:v>8.9543616406701332E-2</c:v>
                </c:pt>
                <c:pt idx="4">
                  <c:v>8.3188908145580595E-2</c:v>
                </c:pt>
                <c:pt idx="5">
                  <c:v>6.9324090121317156E-2</c:v>
                </c:pt>
                <c:pt idx="6">
                  <c:v>6.8168688619295204E-2</c:v>
                </c:pt>
                <c:pt idx="7">
                  <c:v>7.7411900635470821E-2</c:v>
                </c:pt>
                <c:pt idx="8">
                  <c:v>9.4742923165800116E-2</c:v>
                </c:pt>
                <c:pt idx="9">
                  <c:v>0.10167533217793183</c:v>
                </c:pt>
                <c:pt idx="10">
                  <c:v>9.7053726169844021E-2</c:v>
                </c:pt>
                <c:pt idx="11">
                  <c:v>8.6655112651646451E-2</c:v>
                </c:pt>
              </c:numCache>
            </c:numRef>
          </c:yVal>
          <c:smooth val="0"/>
          <c:extLst>
            <c:ext xmlns:c16="http://schemas.microsoft.com/office/drawing/2014/chart" uri="{C3380CC4-5D6E-409C-BE32-E72D297353CC}">
              <c16:uniqueId val="{00000005-501E-491B-820B-95C30B9AE13C}"/>
            </c:ext>
          </c:extLst>
        </c:ser>
        <c:dLbls>
          <c:showLegendKey val="0"/>
          <c:showVal val="0"/>
          <c:showCatName val="0"/>
          <c:showSerName val="0"/>
          <c:showPercent val="0"/>
          <c:showBubbleSize val="0"/>
        </c:dLbls>
        <c:axId val="1639660207"/>
        <c:axId val="1639660687"/>
      </c:scatterChart>
      <c:catAx>
        <c:axId val="163966020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ru-RU"/>
          </a:p>
        </c:txPr>
        <c:crossAx val="1639660687"/>
        <c:crosses val="autoZero"/>
        <c:auto val="1"/>
        <c:lblAlgn val="ctr"/>
        <c:lblOffset val="100"/>
        <c:noMultiLvlLbl val="0"/>
      </c:catAx>
      <c:valAx>
        <c:axId val="1639660687"/>
        <c:scaling>
          <c:orientation val="minMax"/>
        </c:scaling>
        <c:delete val="1"/>
        <c:axPos val="l"/>
        <c:numFmt formatCode="0%" sourceLinked="0"/>
        <c:majorTickMark val="out"/>
        <c:minorTickMark val="none"/>
        <c:tickLblPos val="nextTo"/>
        <c:crossAx val="1639660207"/>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3"/>
          <c:order val="0"/>
          <c:tx>
            <c:strRef>
              <c:f>Processing!$J$1</c:f>
              <c:strCache>
                <c:ptCount val="1"/>
                <c:pt idx="0">
                  <c:v>Total</c:v>
                </c:pt>
              </c:strCache>
            </c:strRef>
          </c:tx>
          <c:spPr>
            <a:solidFill>
              <a:srgbClr val="5A6380"/>
            </a:solidFill>
            <a:ln>
              <a:noFill/>
            </a:ln>
            <a:effectLst>
              <a:outerShdw blurRad="50800" dist="38100" dir="8100000" algn="tr" rotWithShape="0">
                <a:prstClr val="black">
                  <a:alpha val="40000"/>
                </a:prstClr>
              </a:outerShdw>
            </a:effectLst>
          </c:spPr>
          <c:invertIfNegative val="0"/>
          <c:cat>
            <c:strRef>
              <c:f>Processing!$I$2:$I$13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Processing!$J$2:$J$13</c:f>
              <c:numCache>
                <c:formatCode>General</c:formatCode>
                <c:ptCount val="12"/>
                <c:pt idx="0">
                  <c:v>14120</c:v>
                </c:pt>
                <c:pt idx="1">
                  <c:v>17270</c:v>
                </c:pt>
                <c:pt idx="2">
                  <c:v>18370</c:v>
                </c:pt>
                <c:pt idx="3">
                  <c:v>16300</c:v>
                </c:pt>
                <c:pt idx="4">
                  <c:v>12590</c:v>
                </c:pt>
                <c:pt idx="5">
                  <c:v>10086</c:v>
                </c:pt>
                <c:pt idx="6">
                  <c:v>10350</c:v>
                </c:pt>
                <c:pt idx="7">
                  <c:v>13230</c:v>
                </c:pt>
                <c:pt idx="8">
                  <c:v>16116</c:v>
                </c:pt>
                <c:pt idx="9">
                  <c:v>16722</c:v>
                </c:pt>
                <c:pt idx="10">
                  <c:v>15470</c:v>
                </c:pt>
                <c:pt idx="11">
                  <c:v>13640</c:v>
                </c:pt>
              </c:numCache>
            </c:numRef>
          </c:val>
          <c:extLst>
            <c:ext xmlns:c16="http://schemas.microsoft.com/office/drawing/2014/chart" uri="{C3380CC4-5D6E-409C-BE32-E72D297353CC}">
              <c16:uniqueId val="{00000001-FFA8-4022-95D9-E121FB408D69}"/>
            </c:ext>
          </c:extLst>
        </c:ser>
        <c:dLbls>
          <c:showLegendKey val="0"/>
          <c:showVal val="0"/>
          <c:showCatName val="0"/>
          <c:showSerName val="0"/>
          <c:showPercent val="0"/>
          <c:showBubbleSize val="0"/>
        </c:dLbls>
        <c:gapWidth val="100"/>
        <c:overlap val="100"/>
        <c:axId val="935034783"/>
        <c:axId val="935018463"/>
      </c:barChart>
      <c:barChart>
        <c:barDir val="col"/>
        <c:grouping val="stacked"/>
        <c:varyColors val="0"/>
        <c:ser>
          <c:idx val="0"/>
          <c:order val="1"/>
          <c:tx>
            <c:strRef>
              <c:f>Processing!$K$1</c:f>
              <c:strCache>
                <c:ptCount val="1"/>
                <c:pt idx="0">
                  <c:v>Select 1</c:v>
                </c:pt>
              </c:strCache>
            </c:strRef>
          </c:tx>
          <c:spPr>
            <a:solidFill>
              <a:srgbClr val="9980FF"/>
            </a:solidFill>
            <a:ln>
              <a:noFill/>
            </a:ln>
            <a:effectLst/>
          </c:spPr>
          <c:invertIfNegative val="0"/>
          <c:dPt>
            <c:idx val="4"/>
            <c:invertIfNegative val="0"/>
            <c:bubble3D val="0"/>
            <c:spPr>
              <a:gradFill flip="none" rotWithShape="1">
                <a:gsLst>
                  <a:gs pos="0">
                    <a:srgbClr val="8F72FF"/>
                  </a:gs>
                  <a:gs pos="100000">
                    <a:srgbClr val="673FFF"/>
                  </a:gs>
                </a:gsLst>
                <a:lin ang="5400000" scaled="0"/>
                <a:tileRect/>
              </a:gradFill>
              <a:ln>
                <a:noFill/>
              </a:ln>
              <a:effectLst/>
            </c:spPr>
            <c:extLst>
              <c:ext xmlns:c16="http://schemas.microsoft.com/office/drawing/2014/chart" uri="{C3380CC4-5D6E-409C-BE32-E72D297353CC}">
                <c16:uniqueId val="{00000007-FFA8-4022-95D9-E121FB408D69}"/>
              </c:ext>
            </c:extLst>
          </c:dPt>
          <c:cat>
            <c:strRef>
              <c:f>Processing!$I$2:$I$13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Processing!$K$2:$K$13</c:f>
              <c:numCache>
                <c:formatCode>General</c:formatCode>
                <c:ptCount val="12"/>
                <c:pt idx="0">
                  <c:v>8000</c:v>
                </c:pt>
                <c:pt idx="1">
                  <c:v>10270</c:v>
                </c:pt>
                <c:pt idx="2">
                  <c:v>10970</c:v>
                </c:pt>
                <c:pt idx="3">
                  <c:v>9620</c:v>
                </c:pt>
                <c:pt idx="4">
                  <c:v>7150</c:v>
                </c:pt>
                <c:pt idx="5">
                  <c:v>5270</c:v>
                </c:pt>
                <c:pt idx="6">
                  <c:v>5270</c:v>
                </c:pt>
                <c:pt idx="7">
                  <c:v>7150</c:v>
                </c:pt>
                <c:pt idx="8">
                  <c:v>9620</c:v>
                </c:pt>
                <c:pt idx="9">
                  <c:v>10970</c:v>
                </c:pt>
                <c:pt idx="10">
                  <c:v>10270</c:v>
                </c:pt>
                <c:pt idx="11">
                  <c:v>8000</c:v>
                </c:pt>
              </c:numCache>
            </c:numRef>
          </c:val>
          <c:extLst>
            <c:ext xmlns:c16="http://schemas.microsoft.com/office/drawing/2014/chart" uri="{C3380CC4-5D6E-409C-BE32-E72D297353CC}">
              <c16:uniqueId val="{00000004-FFA8-4022-95D9-E121FB408D69}"/>
            </c:ext>
          </c:extLst>
        </c:ser>
        <c:ser>
          <c:idx val="1"/>
          <c:order val="2"/>
          <c:tx>
            <c:strRef>
              <c:f>Processing!$L$1</c:f>
              <c:strCache>
                <c:ptCount val="1"/>
                <c:pt idx="0">
                  <c:v>Select 2</c:v>
                </c:pt>
              </c:strCache>
            </c:strRef>
          </c:tx>
          <c:spPr>
            <a:gradFill flip="none" rotWithShape="1">
              <a:gsLst>
                <a:gs pos="0">
                  <a:srgbClr val="1AFFD5"/>
                </a:gs>
                <a:gs pos="100000">
                  <a:srgbClr val="00E5BB"/>
                </a:gs>
              </a:gsLst>
              <a:lin ang="5400000" scaled="0"/>
              <a:tileRect/>
            </a:gradFill>
            <a:ln>
              <a:noFill/>
            </a:ln>
            <a:effectLst/>
          </c:spPr>
          <c:invertIfNegative val="0"/>
          <c:cat>
            <c:strRef>
              <c:f>Processing!$I$2:$I$13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Processing!$L$2:$L$13</c:f>
              <c:numCache>
                <c:formatCode>General</c:formatCode>
                <c:ptCount val="12"/>
                <c:pt idx="0">
                  <c:v>6120</c:v>
                </c:pt>
                <c:pt idx="1">
                  <c:v>7000</c:v>
                </c:pt>
                <c:pt idx="2">
                  <c:v>7400</c:v>
                </c:pt>
                <c:pt idx="3">
                  <c:v>6680</c:v>
                </c:pt>
                <c:pt idx="4">
                  <c:v>5440</c:v>
                </c:pt>
                <c:pt idx="5">
                  <c:v>4816</c:v>
                </c:pt>
                <c:pt idx="6">
                  <c:v>5080</c:v>
                </c:pt>
                <c:pt idx="7">
                  <c:v>6080</c:v>
                </c:pt>
                <c:pt idx="8">
                  <c:v>6496</c:v>
                </c:pt>
                <c:pt idx="9">
                  <c:v>5752</c:v>
                </c:pt>
                <c:pt idx="10">
                  <c:v>5200</c:v>
                </c:pt>
                <c:pt idx="11">
                  <c:v>5640</c:v>
                </c:pt>
              </c:numCache>
            </c:numRef>
          </c:val>
          <c:extLst>
            <c:ext xmlns:c16="http://schemas.microsoft.com/office/drawing/2014/chart" uri="{C3380CC4-5D6E-409C-BE32-E72D297353CC}">
              <c16:uniqueId val="{00000005-FFA8-4022-95D9-E121FB408D69}"/>
            </c:ext>
          </c:extLst>
        </c:ser>
        <c:dLbls>
          <c:showLegendKey val="0"/>
          <c:showVal val="0"/>
          <c:showCatName val="0"/>
          <c:showSerName val="0"/>
          <c:showPercent val="0"/>
          <c:showBubbleSize val="0"/>
        </c:dLbls>
        <c:gapWidth val="100"/>
        <c:overlap val="100"/>
        <c:axId val="1656759599"/>
        <c:axId val="1656758159"/>
      </c:barChart>
      <c:catAx>
        <c:axId val="93503478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ru-RU"/>
          </a:p>
        </c:txPr>
        <c:crossAx val="935018463"/>
        <c:crosses val="autoZero"/>
        <c:auto val="1"/>
        <c:lblAlgn val="ctr"/>
        <c:lblOffset val="100"/>
        <c:noMultiLvlLbl val="0"/>
      </c:catAx>
      <c:valAx>
        <c:axId val="935018463"/>
        <c:scaling>
          <c:orientation val="minMax"/>
        </c:scaling>
        <c:delete val="0"/>
        <c:axPos val="l"/>
        <c:numFmt formatCode="_(&quot;$&quot;* #,##0_);_(&quot;$&quot;* \(#,##0\);_(&quot;$&quot;* &quot;-&quot;_);_(@_)" sourceLinked="0"/>
        <c:majorTickMark val="out"/>
        <c:minorTickMark val="none"/>
        <c:tickLblPos val="nextTo"/>
        <c:spPr>
          <a:ln>
            <a:noFill/>
          </a:ln>
        </c:spPr>
        <c:txPr>
          <a:bodyPr/>
          <a:lstStyle/>
          <a:p>
            <a:pPr>
              <a:defRPr>
                <a:solidFill>
                  <a:schemeClr val="bg1">
                    <a:lumMod val="65000"/>
                  </a:schemeClr>
                </a:solidFill>
              </a:defRPr>
            </a:pPr>
            <a:endParaRPr lang="ru-RU"/>
          </a:p>
        </c:txPr>
        <c:crossAx val="935034783"/>
        <c:crosses val="autoZero"/>
        <c:crossBetween val="between"/>
      </c:valAx>
      <c:valAx>
        <c:axId val="1656758159"/>
        <c:scaling>
          <c:orientation val="minMax"/>
        </c:scaling>
        <c:delete val="1"/>
        <c:axPos val="r"/>
        <c:numFmt formatCode="General" sourceLinked="1"/>
        <c:majorTickMark val="out"/>
        <c:minorTickMark val="none"/>
        <c:tickLblPos val="nextTo"/>
        <c:crossAx val="1656759599"/>
        <c:crosses val="max"/>
        <c:crossBetween val="between"/>
      </c:valAx>
      <c:catAx>
        <c:axId val="1656759599"/>
        <c:scaling>
          <c:orientation val="minMax"/>
        </c:scaling>
        <c:delete val="1"/>
        <c:axPos val="b"/>
        <c:numFmt formatCode="General" sourceLinked="1"/>
        <c:majorTickMark val="out"/>
        <c:minorTickMark val="none"/>
        <c:tickLblPos val="nextTo"/>
        <c:crossAx val="1656758159"/>
        <c:crosses val="autoZero"/>
        <c:auto val="1"/>
        <c:lblAlgn val="ctr"/>
        <c:lblOffset val="100"/>
        <c:noMultiLvlLbl val="0"/>
      </c:cat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a:effectLst>
              <a:outerShdw blurRad="50800" dist="38100" dir="5400000" algn="t" rotWithShape="0">
                <a:prstClr val="black">
                  <a:alpha val="40000"/>
                </a:prstClr>
              </a:outerShdw>
            </a:effectLst>
          </c:spPr>
          <c:dPt>
            <c:idx val="0"/>
            <c:bubble3D val="0"/>
            <c:spPr>
              <a:gradFill>
                <a:gsLst>
                  <a:gs pos="0">
                    <a:srgbClr val="1AFFD5"/>
                  </a:gs>
                  <a:gs pos="100000">
                    <a:srgbClr val="00E5BB"/>
                  </a:gs>
                </a:gsLst>
                <a:path path="circle">
                  <a:fillToRect r="100000" b="100000"/>
                </a:path>
              </a:gradFill>
              <a:ln w="19050">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1-AAA6-4FBD-8DEE-3E4177BC478D}"/>
              </c:ext>
            </c:extLst>
          </c:dPt>
          <c:dPt>
            <c:idx val="1"/>
            <c:bubble3D val="0"/>
            <c:spPr>
              <a:gradFill>
                <a:gsLst>
                  <a:gs pos="0">
                    <a:srgbClr val="F9F871"/>
                  </a:gs>
                  <a:gs pos="100000">
                    <a:srgbClr val="E34F10"/>
                  </a:gs>
                </a:gsLst>
                <a:path path="circle">
                  <a:fillToRect l="100000" b="100000"/>
                </a:path>
              </a:gradFill>
              <a:ln w="19050">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3-AAA6-4FBD-8DEE-3E4177BC478D}"/>
              </c:ext>
            </c:extLst>
          </c:dPt>
          <c:dPt>
            <c:idx val="2"/>
            <c:bubble3D val="0"/>
            <c:spPr>
              <a:solidFill>
                <a:srgbClr val="5A6380"/>
              </a:solidFill>
              <a:ln w="19050">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5-AAA6-4FBD-8DEE-3E4177BC478D}"/>
              </c:ext>
            </c:extLst>
          </c:dPt>
          <c:dLbls>
            <c:dLbl>
              <c:idx val="0"/>
              <c:spPr>
                <a:solidFill>
                  <a:schemeClr val="lt1"/>
                </a:solidFill>
                <a:ln>
                  <a:solidFill>
                    <a:schemeClr val="dk1">
                      <a:lumMod val="25000"/>
                      <a:lumOff val="75000"/>
                    </a:schemeClr>
                  </a:solidFill>
                </a:ln>
                <a:effectLst>
                  <a:outerShdw blurRad="50800" dist="38100" dir="5400000" algn="t"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8.5688538932633423E-2"/>
                      <c:h val="0.14333333333333334"/>
                    </c:manualLayout>
                  </c15:layout>
                </c:ext>
                <c:ext xmlns:c16="http://schemas.microsoft.com/office/drawing/2014/chart" uri="{C3380CC4-5D6E-409C-BE32-E72D297353CC}">
                  <c16:uniqueId val="{00000001-AAA6-4FBD-8DEE-3E4177BC478D}"/>
                </c:ext>
              </c:extLst>
            </c:dLbl>
            <c:dLbl>
              <c:idx val="1"/>
              <c:spPr>
                <a:solidFill>
                  <a:schemeClr val="lt1"/>
                </a:solidFill>
                <a:ln>
                  <a:solidFill>
                    <a:schemeClr val="dk1">
                      <a:lumMod val="25000"/>
                      <a:lumOff val="75000"/>
                    </a:schemeClr>
                  </a:solidFill>
                </a:ln>
                <a:effectLst>
                  <a:outerShdw blurRad="50800" dist="38100" dir="5400000" algn="t"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8.5688538932633423E-2"/>
                      <c:h val="0.14333333333333334"/>
                    </c:manualLayout>
                  </c15:layout>
                </c:ext>
                <c:ext xmlns:c16="http://schemas.microsoft.com/office/drawing/2014/chart" uri="{C3380CC4-5D6E-409C-BE32-E72D297353CC}">
                  <c16:uniqueId val="{00000003-AAA6-4FBD-8DEE-3E4177BC478D}"/>
                </c:ext>
              </c:extLst>
            </c:dLbl>
            <c:dLbl>
              <c:idx val="2"/>
              <c:delete val="1"/>
              <c:extLst>
                <c:ext xmlns:c15="http://schemas.microsoft.com/office/drawing/2012/chart" uri="{CE6537A1-D6FC-4f65-9D91-7224C49458BB}"/>
                <c:ext xmlns:c16="http://schemas.microsoft.com/office/drawing/2014/chart" uri="{C3380CC4-5D6E-409C-BE32-E72D297353CC}">
                  <c16:uniqueId val="{00000005-AAA6-4FBD-8DEE-3E4177BC478D}"/>
                </c:ext>
              </c:extLst>
            </c:dLbl>
            <c:spPr>
              <a:no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ru-RU"/>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Processing!$O$2:$Q$2</c:f>
              <c:numCache>
                <c:formatCode>0%</c:formatCode>
                <c:ptCount val="3"/>
                <c:pt idx="0">
                  <c:v>0.38500000000000001</c:v>
                </c:pt>
                <c:pt idx="1">
                  <c:v>0.24083333333333334</c:v>
                </c:pt>
                <c:pt idx="2">
                  <c:v>0.3741666666666667</c:v>
                </c:pt>
              </c:numCache>
            </c:numRef>
          </c:val>
          <c:extLst>
            <c:ext xmlns:c16="http://schemas.microsoft.com/office/drawing/2014/chart" uri="{C3380CC4-5D6E-409C-BE32-E72D297353CC}">
              <c16:uniqueId val="{00000006-AAA6-4FBD-8DEE-3E4177BC478D}"/>
            </c:ext>
          </c:extLst>
        </c:ser>
        <c:dLbls>
          <c:showLegendKey val="0"/>
          <c:showVal val="0"/>
          <c:showCatName val="0"/>
          <c:showSerName val="0"/>
          <c:showPercent val="0"/>
          <c:showBubbleSize val="0"/>
          <c:showLeaderLines val="1"/>
        </c:dLbls>
        <c:firstSliceAng val="0"/>
        <c:holeSize val="8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1492"/>
              </a:solidFill>
              <a:ln w="19050">
                <a:noFill/>
              </a:ln>
              <a:effectLst/>
            </c:spPr>
            <c:extLst>
              <c:ext xmlns:c16="http://schemas.microsoft.com/office/drawing/2014/chart" uri="{C3380CC4-5D6E-409C-BE32-E72D297353CC}">
                <c16:uniqueId val="{00000001-E689-44B6-9A5D-5A86AA3D2DBA}"/>
              </c:ext>
            </c:extLst>
          </c:dPt>
          <c:dPt>
            <c:idx val="1"/>
            <c:bubble3D val="0"/>
            <c:spPr>
              <a:solidFill>
                <a:srgbClr val="5A6380"/>
              </a:solidFill>
              <a:ln w="19050">
                <a:noFill/>
              </a:ln>
              <a:effectLst/>
            </c:spPr>
            <c:extLst>
              <c:ext xmlns:c16="http://schemas.microsoft.com/office/drawing/2014/chart" uri="{C3380CC4-5D6E-409C-BE32-E72D297353CC}">
                <c16:uniqueId val="{00000003-E689-44B6-9A5D-5A86AA3D2DBA}"/>
              </c:ext>
            </c:extLst>
          </c:dPt>
          <c:val>
            <c:numRef>
              <c:f>Processing!$P$7:$Q$7</c:f>
              <c:numCache>
                <c:formatCode>0%</c:formatCode>
                <c:ptCount val="2"/>
                <c:pt idx="0">
                  <c:v>0.55249999999999999</c:v>
                </c:pt>
                <c:pt idx="1">
                  <c:v>0.44750000000000001</c:v>
                </c:pt>
              </c:numCache>
            </c:numRef>
          </c:val>
          <c:extLst>
            <c:ext xmlns:c16="http://schemas.microsoft.com/office/drawing/2014/chart" uri="{C3380CC4-5D6E-409C-BE32-E72D297353CC}">
              <c16:uniqueId val="{00000004-E689-44B6-9A5D-5A86AA3D2DBA}"/>
            </c:ext>
          </c:extLst>
        </c:ser>
        <c:dLbls>
          <c:showLegendKey val="0"/>
          <c:showVal val="0"/>
          <c:showCatName val="0"/>
          <c:showSerName val="0"/>
          <c:showPercent val="0"/>
          <c:showBubbleSize val="0"/>
          <c:showLeaderLines val="1"/>
        </c:dLbls>
        <c:firstSliceAng val="0"/>
        <c:holeSize val="90"/>
      </c:doughnutChart>
      <c:scatterChart>
        <c:scatterStyle val="lineMarker"/>
        <c:varyColors val="0"/>
        <c:ser>
          <c:idx val="1"/>
          <c:order val="1"/>
          <c:tx>
            <c:v>Cursor</c:v>
          </c:tx>
          <c:spPr>
            <a:ln w="25400" cap="rnd">
              <a:noFill/>
              <a:round/>
            </a:ln>
            <a:effectLst/>
          </c:spPr>
          <c:marker>
            <c:symbol val="circle"/>
            <c:size val="10"/>
            <c:spPr>
              <a:solidFill>
                <a:schemeClr val="accent2"/>
              </a:solidFill>
              <a:ln w="9525">
                <a:noFill/>
              </a:ln>
              <a:effectLst/>
            </c:spPr>
          </c:marker>
          <c:dPt>
            <c:idx val="0"/>
            <c:marker>
              <c:symbol val="circle"/>
              <c:size val="10"/>
              <c:spPr>
                <a:solidFill>
                  <a:srgbClr val="FF1492"/>
                </a:solidFill>
                <a:ln w="9525">
                  <a:noFill/>
                </a:ln>
                <a:effectLst/>
              </c:spPr>
            </c:marker>
            <c:bubble3D val="0"/>
            <c:extLst>
              <c:ext xmlns:c16="http://schemas.microsoft.com/office/drawing/2014/chart" uri="{C3380CC4-5D6E-409C-BE32-E72D297353CC}">
                <c16:uniqueId val="{00000006-E689-44B6-9A5D-5A86AA3D2DBA}"/>
              </c:ext>
            </c:extLst>
          </c:dPt>
          <c:xVal>
            <c:numRef>
              <c:f>Processing!$R$7</c:f>
              <c:numCache>
                <c:formatCode>General</c:formatCode>
                <c:ptCount val="1"/>
                <c:pt idx="0">
                  <c:v>-0.30772154728824169</c:v>
                </c:pt>
              </c:numCache>
            </c:numRef>
          </c:xVal>
          <c:yVal>
            <c:numRef>
              <c:f>Processing!$S$7</c:f>
              <c:numCache>
                <c:formatCode>General</c:formatCode>
                <c:ptCount val="1"/>
                <c:pt idx="0">
                  <c:v>-0.89878109088616798</c:v>
                </c:pt>
              </c:numCache>
            </c:numRef>
          </c:yVal>
          <c:smooth val="0"/>
          <c:extLst>
            <c:ext xmlns:c16="http://schemas.microsoft.com/office/drawing/2014/chart" uri="{C3380CC4-5D6E-409C-BE32-E72D297353CC}">
              <c16:uniqueId val="{00000005-E689-44B6-9A5D-5A86AA3D2DBA}"/>
            </c:ext>
          </c:extLst>
        </c:ser>
        <c:dLbls>
          <c:showLegendKey val="0"/>
          <c:showVal val="0"/>
          <c:showCatName val="0"/>
          <c:showSerName val="0"/>
          <c:showPercent val="0"/>
          <c:showBubbleSize val="0"/>
        </c:dLbls>
        <c:axId val="134902143"/>
        <c:axId val="134912223"/>
      </c:scatterChart>
      <c:valAx>
        <c:axId val="134902143"/>
        <c:scaling>
          <c:orientation val="minMax"/>
          <c:max val="1"/>
          <c:min val="-1"/>
        </c:scaling>
        <c:delete val="1"/>
        <c:axPos val="b"/>
        <c:numFmt formatCode="General" sourceLinked="1"/>
        <c:majorTickMark val="out"/>
        <c:minorTickMark val="none"/>
        <c:tickLblPos val="nextTo"/>
        <c:crossAx val="134912223"/>
        <c:crosses val="autoZero"/>
        <c:crossBetween val="midCat"/>
      </c:valAx>
      <c:valAx>
        <c:axId val="134912223"/>
        <c:scaling>
          <c:orientation val="minMax"/>
          <c:max val="1"/>
          <c:min val="-1"/>
        </c:scaling>
        <c:delete val="1"/>
        <c:axPos val="l"/>
        <c:numFmt formatCode="General" sourceLinked="1"/>
        <c:majorTickMark val="out"/>
        <c:minorTickMark val="none"/>
        <c:tickLblPos val="nextTo"/>
        <c:crossAx val="1349021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178BFF"/>
                  </a:gs>
                  <a:gs pos="100000">
                    <a:srgbClr val="4AA5FF"/>
                  </a:gs>
                </a:gsLst>
                <a:lin ang="0" scaled="0"/>
              </a:gradFill>
              <a:ln w="19050">
                <a:noFill/>
              </a:ln>
              <a:effectLst/>
            </c:spPr>
            <c:extLst>
              <c:ext xmlns:c16="http://schemas.microsoft.com/office/drawing/2014/chart" uri="{C3380CC4-5D6E-409C-BE32-E72D297353CC}">
                <c16:uniqueId val="{00000001-E689-44B6-9A5D-5A86AA3D2DBA}"/>
              </c:ext>
            </c:extLst>
          </c:dPt>
          <c:dPt>
            <c:idx val="1"/>
            <c:bubble3D val="0"/>
            <c:spPr>
              <a:solidFill>
                <a:srgbClr val="5A6380"/>
              </a:solidFill>
              <a:ln w="19050">
                <a:noFill/>
              </a:ln>
              <a:effectLst/>
            </c:spPr>
            <c:extLst>
              <c:ext xmlns:c16="http://schemas.microsoft.com/office/drawing/2014/chart" uri="{C3380CC4-5D6E-409C-BE32-E72D297353CC}">
                <c16:uniqueId val="{00000003-E689-44B6-9A5D-5A86AA3D2DBA}"/>
              </c:ext>
            </c:extLst>
          </c:dPt>
          <c:val>
            <c:numRef>
              <c:f>Processing!$P$8:$Q$8</c:f>
              <c:numCache>
                <c:formatCode>0%</c:formatCode>
                <c:ptCount val="2"/>
                <c:pt idx="0">
                  <c:v>0.63416666666666666</c:v>
                </c:pt>
                <c:pt idx="1">
                  <c:v>0.36583333333333334</c:v>
                </c:pt>
              </c:numCache>
            </c:numRef>
          </c:val>
          <c:extLst>
            <c:ext xmlns:c16="http://schemas.microsoft.com/office/drawing/2014/chart" uri="{C3380CC4-5D6E-409C-BE32-E72D297353CC}">
              <c16:uniqueId val="{00000004-E689-44B6-9A5D-5A86AA3D2DBA}"/>
            </c:ext>
          </c:extLst>
        </c:ser>
        <c:dLbls>
          <c:showLegendKey val="0"/>
          <c:showVal val="0"/>
          <c:showCatName val="0"/>
          <c:showSerName val="0"/>
          <c:showPercent val="0"/>
          <c:showBubbleSize val="0"/>
          <c:showLeaderLines val="1"/>
        </c:dLbls>
        <c:firstSliceAng val="0"/>
        <c:holeSize val="90"/>
      </c:doughnutChart>
      <c:scatterChart>
        <c:scatterStyle val="lineMarker"/>
        <c:varyColors val="0"/>
        <c:ser>
          <c:idx val="1"/>
          <c:order val="1"/>
          <c:tx>
            <c:v>Cursor</c:v>
          </c:tx>
          <c:spPr>
            <a:ln w="25400" cap="rnd">
              <a:noFill/>
              <a:round/>
            </a:ln>
            <a:effectLst/>
          </c:spPr>
          <c:marker>
            <c:symbol val="circle"/>
            <c:size val="10"/>
            <c:spPr>
              <a:solidFill>
                <a:srgbClr val="178BFF"/>
              </a:solidFill>
              <a:ln w="9525">
                <a:noFill/>
              </a:ln>
              <a:effectLst/>
            </c:spPr>
          </c:marker>
          <c:dPt>
            <c:idx val="0"/>
            <c:marker>
              <c:symbol val="circle"/>
              <c:size val="10"/>
              <c:spPr>
                <a:solidFill>
                  <a:srgbClr val="178BFF"/>
                </a:solidFill>
                <a:ln w="9525">
                  <a:noFill/>
                </a:ln>
                <a:effectLst/>
              </c:spPr>
            </c:marker>
            <c:bubble3D val="0"/>
            <c:extLst>
              <c:ext xmlns:c16="http://schemas.microsoft.com/office/drawing/2014/chart" uri="{C3380CC4-5D6E-409C-BE32-E72D297353CC}">
                <c16:uniqueId val="{00000004-4831-45FC-A161-241CE3E62DD3}"/>
              </c:ext>
            </c:extLst>
          </c:dPt>
          <c:xVal>
            <c:numRef>
              <c:f>Processing!$R$8</c:f>
              <c:numCache>
                <c:formatCode>General</c:formatCode>
                <c:ptCount val="1"/>
                <c:pt idx="0">
                  <c:v>-0.7093062731711216</c:v>
                </c:pt>
              </c:numCache>
            </c:numRef>
          </c:xVal>
          <c:yVal>
            <c:numRef>
              <c:f>Processing!$S$8</c:f>
              <c:numCache>
                <c:formatCode>General</c:formatCode>
                <c:ptCount val="1"/>
                <c:pt idx="0">
                  <c:v>-0.63196883692164274</c:v>
                </c:pt>
              </c:numCache>
            </c:numRef>
          </c:yVal>
          <c:smooth val="0"/>
          <c:extLst>
            <c:ext xmlns:c16="http://schemas.microsoft.com/office/drawing/2014/chart" uri="{C3380CC4-5D6E-409C-BE32-E72D297353CC}">
              <c16:uniqueId val="{00000005-E689-44B6-9A5D-5A86AA3D2DBA}"/>
            </c:ext>
          </c:extLst>
        </c:ser>
        <c:dLbls>
          <c:showLegendKey val="0"/>
          <c:showVal val="0"/>
          <c:showCatName val="0"/>
          <c:showSerName val="0"/>
          <c:showPercent val="0"/>
          <c:showBubbleSize val="0"/>
        </c:dLbls>
        <c:axId val="134902143"/>
        <c:axId val="134912223"/>
      </c:scatterChart>
      <c:valAx>
        <c:axId val="134902143"/>
        <c:scaling>
          <c:orientation val="minMax"/>
          <c:max val="1"/>
          <c:min val="-1"/>
        </c:scaling>
        <c:delete val="1"/>
        <c:axPos val="b"/>
        <c:numFmt formatCode="General" sourceLinked="1"/>
        <c:majorTickMark val="out"/>
        <c:minorTickMark val="none"/>
        <c:tickLblPos val="nextTo"/>
        <c:crossAx val="134912223"/>
        <c:crosses val="autoZero"/>
        <c:crossBetween val="midCat"/>
      </c:valAx>
      <c:valAx>
        <c:axId val="134912223"/>
        <c:scaling>
          <c:orientation val="minMax"/>
          <c:max val="1"/>
          <c:min val="-1"/>
        </c:scaling>
        <c:delete val="1"/>
        <c:axPos val="l"/>
        <c:numFmt formatCode="General" sourceLinked="1"/>
        <c:majorTickMark val="out"/>
        <c:minorTickMark val="none"/>
        <c:tickLblPos val="nextTo"/>
        <c:crossAx val="1349021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Processing!$P$10</c:f>
              <c:strCache>
                <c:ptCount val="1"/>
                <c:pt idx="0">
                  <c:v>Data</c:v>
                </c:pt>
              </c:strCache>
            </c:strRef>
          </c:tx>
          <c:spPr>
            <a:solidFill>
              <a:schemeClr val="accent1"/>
            </a:solidFill>
            <a:ln>
              <a:noFill/>
            </a:ln>
            <a:effectLst>
              <a:outerShdw blurRad="50800" dist="38100" dir="5400000" algn="t" rotWithShape="0">
                <a:prstClr val="black">
                  <a:alpha val="40000"/>
                </a:prstClr>
              </a:outerShdw>
            </a:effectLst>
          </c:spPr>
          <c:invertIfNegative val="0"/>
          <c:dPt>
            <c:idx val="0"/>
            <c:invertIfNegative val="0"/>
            <c:bubble3D val="0"/>
            <c:spPr>
              <a:gradFill flip="none" rotWithShape="1">
                <a:gsLst>
                  <a:gs pos="100000">
                    <a:srgbClr val="1AFFD5"/>
                  </a:gs>
                  <a:gs pos="0">
                    <a:srgbClr val="00E5BB"/>
                  </a:gs>
                </a:gsLst>
                <a:lin ang="0" scaled="0"/>
                <a:tileRect/>
              </a:gra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1-071C-4DEA-B32D-986074D8DDE7}"/>
              </c:ext>
            </c:extLst>
          </c:dPt>
          <c:dPt>
            <c:idx val="1"/>
            <c:invertIfNegative val="0"/>
            <c:bubble3D val="0"/>
            <c:spPr>
              <a:gradFill flip="none" rotWithShape="1">
                <a:gsLst>
                  <a:gs pos="0">
                    <a:srgbClr val="178BFF"/>
                  </a:gs>
                  <a:gs pos="100000">
                    <a:srgbClr val="4AA5FF"/>
                  </a:gs>
                </a:gsLst>
                <a:lin ang="0" scaled="0"/>
                <a:tileRect/>
              </a:gra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3-071C-4DEA-B32D-986074D8DDE7}"/>
              </c:ext>
            </c:extLst>
          </c:dPt>
          <c:dPt>
            <c:idx val="2"/>
            <c:invertIfNegative val="0"/>
            <c:bubble3D val="0"/>
            <c:spPr>
              <a:gradFill flip="none" rotWithShape="1">
                <a:gsLst>
                  <a:gs pos="100000">
                    <a:srgbClr val="8F72FF"/>
                  </a:gs>
                  <a:gs pos="0">
                    <a:srgbClr val="673FFF"/>
                  </a:gs>
                </a:gsLst>
                <a:lin ang="0" scaled="0"/>
                <a:tileRect/>
              </a:gra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2-071C-4DEA-B32D-986074D8DDE7}"/>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Processing!$O$11:$O$13</c:f>
              <c:strCache>
                <c:ptCount val="3"/>
                <c:pt idx="0">
                  <c:v>CR2</c:v>
                </c:pt>
                <c:pt idx="1">
                  <c:v>Bounce Rate</c:v>
                </c:pt>
                <c:pt idx="2">
                  <c:v>CTR2</c:v>
                </c:pt>
              </c:strCache>
            </c:strRef>
          </c:cat>
          <c:val>
            <c:numRef>
              <c:f>Processing!$P$11:$P$13</c:f>
              <c:numCache>
                <c:formatCode>0.0%</c:formatCode>
                <c:ptCount val="3"/>
                <c:pt idx="0">
                  <c:v>3.9749999999999994E-2</c:v>
                </c:pt>
                <c:pt idx="1">
                  <c:v>1.4916666666666668E-2</c:v>
                </c:pt>
                <c:pt idx="2">
                  <c:v>4.2500000000000003E-2</c:v>
                </c:pt>
              </c:numCache>
            </c:numRef>
          </c:val>
          <c:extLst>
            <c:ext xmlns:c16="http://schemas.microsoft.com/office/drawing/2014/chart" uri="{C3380CC4-5D6E-409C-BE32-E72D297353CC}">
              <c16:uniqueId val="{00000000-071C-4DEA-B32D-986074D8DDE7}"/>
            </c:ext>
          </c:extLst>
        </c:ser>
        <c:dLbls>
          <c:showLegendKey val="0"/>
          <c:showVal val="0"/>
          <c:showCatName val="0"/>
          <c:showSerName val="0"/>
          <c:showPercent val="0"/>
          <c:showBubbleSize val="0"/>
        </c:dLbls>
        <c:gapWidth val="180"/>
        <c:axId val="134842143"/>
        <c:axId val="134886783"/>
      </c:barChart>
      <c:catAx>
        <c:axId val="134842143"/>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ru-RU"/>
          </a:p>
        </c:txPr>
        <c:crossAx val="134886783"/>
        <c:crosses val="autoZero"/>
        <c:auto val="1"/>
        <c:lblAlgn val="ctr"/>
        <c:lblOffset val="100"/>
        <c:noMultiLvlLbl val="0"/>
      </c:catAx>
      <c:valAx>
        <c:axId val="134886783"/>
        <c:scaling>
          <c:orientation val="minMax"/>
        </c:scaling>
        <c:delete val="1"/>
        <c:axPos val="b"/>
        <c:numFmt formatCode="0.0%" sourceLinked="1"/>
        <c:majorTickMark val="none"/>
        <c:minorTickMark val="none"/>
        <c:tickLblPos val="nextTo"/>
        <c:crossAx val="134842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4"/>
          <c:order val="4"/>
          <c:tx>
            <c:v>Fill1</c:v>
          </c:tx>
          <c:spPr>
            <a:gradFill>
              <a:gsLst>
                <a:gs pos="0">
                  <a:srgbClr val="00C6BB">
                    <a:alpha val="3000"/>
                  </a:srgbClr>
                </a:gs>
                <a:gs pos="84000">
                  <a:srgbClr val="00C6BB">
                    <a:alpha val="4000"/>
                  </a:srgbClr>
                </a:gs>
              </a:gsLst>
              <a:lin ang="5400000" scaled="0"/>
            </a:gradFill>
            <a:ln w="25400" cap="rnd">
              <a:noFill/>
              <a:round/>
            </a:ln>
            <a:effectLst/>
          </c:spPr>
          <c:errBars>
            <c:errDir val="y"/>
            <c:errBarType val="minus"/>
            <c:errValType val="cust"/>
            <c:noEndCap val="0"/>
            <c:plus>
              <c:numLit>
                <c:formatCode>General</c:formatCode>
                <c:ptCount val="1"/>
                <c:pt idx="0">
                  <c:v>1</c:v>
                </c:pt>
              </c:numLit>
            </c:plus>
            <c:minus>
              <c:numRef>
                <c:f>Processing!$D$2:$D$13</c:f>
                <c:numCache>
                  <c:formatCode>General</c:formatCode>
                  <c:ptCount val="12"/>
                  <c:pt idx="0">
                    <c:v>8.3333333333333329E-2</c:v>
                  </c:pt>
                  <c:pt idx="1">
                    <c:v>0.10020833333333333</c:v>
                  </c:pt>
                  <c:pt idx="2">
                    <c:v>0.11177083333333333</c:v>
                  </c:pt>
                  <c:pt idx="3">
                    <c:v>0.11427083333333334</c:v>
                  </c:pt>
                  <c:pt idx="4">
                    <c:v>0.10697916666666667</c:v>
                  </c:pt>
                  <c:pt idx="5">
                    <c:v>9.2187500000000006E-2</c:v>
                  </c:pt>
                  <c:pt idx="6">
                    <c:v>7.4479166666666666E-2</c:v>
                  </c:pt>
                  <c:pt idx="7">
                    <c:v>5.9687499999999998E-2</c:v>
                  </c:pt>
                  <c:pt idx="8">
                    <c:v>5.2395833333333336E-2</c:v>
                  </c:pt>
                  <c:pt idx="9">
                    <c:v>5.4895833333333331E-2</c:v>
                  </c:pt>
                  <c:pt idx="10">
                    <c:v>6.6458333333333328E-2</c:v>
                  </c:pt>
                  <c:pt idx="11">
                    <c:v>8.3333333333333329E-2</c:v>
                  </c:pt>
                </c:numCache>
              </c:numRef>
            </c:minus>
            <c:spPr>
              <a:noFill/>
              <a:ln w="9525" cap="flat" cmpd="sng" algn="ctr">
                <a:solidFill>
                  <a:schemeClr val="bg1">
                    <a:lumMod val="50000"/>
                  </a:schemeClr>
                </a:solidFill>
                <a:round/>
              </a:ln>
              <a:effectLst/>
            </c:spPr>
          </c:errBars>
          <c:val>
            <c:numRef>
              <c:f>Processing!$B$2:$B$13</c:f>
              <c:numCache>
                <c:formatCode>0%</c:formatCode>
                <c:ptCount val="12"/>
                <c:pt idx="0">
                  <c:v>8.3333333333333329E-2</c:v>
                </c:pt>
                <c:pt idx="1">
                  <c:v>0.10020833333333333</c:v>
                </c:pt>
                <c:pt idx="2">
                  <c:v>0.11177083333333333</c:v>
                </c:pt>
                <c:pt idx="3">
                  <c:v>0.11427083333333334</c:v>
                </c:pt>
                <c:pt idx="4">
                  <c:v>0.10697916666666667</c:v>
                </c:pt>
                <c:pt idx="5">
                  <c:v>9.2187500000000006E-2</c:v>
                </c:pt>
                <c:pt idx="6">
                  <c:v>7.4479166666666666E-2</c:v>
                </c:pt>
                <c:pt idx="7">
                  <c:v>5.9687499999999998E-2</c:v>
                </c:pt>
                <c:pt idx="8">
                  <c:v>5.2395833333333336E-2</c:v>
                </c:pt>
                <c:pt idx="9">
                  <c:v>5.4895833333333331E-2</c:v>
                </c:pt>
                <c:pt idx="10">
                  <c:v>6.6458333333333328E-2</c:v>
                </c:pt>
                <c:pt idx="11">
                  <c:v>8.3333333333333329E-2</c:v>
                </c:pt>
              </c:numCache>
            </c:numRef>
          </c:val>
          <c:extLst>
            <c:ext xmlns:c16="http://schemas.microsoft.com/office/drawing/2014/chart" uri="{C3380CC4-5D6E-409C-BE32-E72D297353CC}">
              <c16:uniqueId val="{00000000-C38E-4906-94B3-5B8C3F824149}"/>
            </c:ext>
          </c:extLst>
        </c:ser>
        <c:ser>
          <c:idx val="5"/>
          <c:order val="5"/>
          <c:tx>
            <c:v>Fill2</c:v>
          </c:tx>
          <c:spPr>
            <a:gradFill>
              <a:gsLst>
                <a:gs pos="0">
                  <a:srgbClr val="9980FF">
                    <a:alpha val="3000"/>
                  </a:srgbClr>
                </a:gs>
                <a:gs pos="84000">
                  <a:srgbClr val="DCE4F4">
                    <a:alpha val="28000"/>
                  </a:srgbClr>
                </a:gs>
              </a:gsLst>
              <a:lin ang="5400000" scaled="0"/>
            </a:gradFill>
            <a:ln w="25400" cap="rnd">
              <a:noFill/>
              <a:round/>
            </a:ln>
            <a:effectLst/>
          </c:spPr>
          <c:errBars>
            <c:errDir val="y"/>
            <c:errBarType val="minus"/>
            <c:errValType val="cust"/>
            <c:noEndCap val="0"/>
            <c:plus>
              <c:numLit>
                <c:formatCode>General</c:formatCode>
                <c:ptCount val="1"/>
                <c:pt idx="0">
                  <c:v>1</c:v>
                </c:pt>
              </c:numLit>
            </c:plus>
            <c:minus>
              <c:numRef>
                <c:f>Processing!$E$2:$E$13</c:f>
                <c:numCache>
                  <c:formatCode>General</c:formatCode>
                  <c:ptCount val="12"/>
                  <c:pt idx="0">
                    <c:v>7.8567302137492773E-2</c:v>
                  </c:pt>
                  <c:pt idx="1">
                    <c:v>7.3367995378393988E-2</c:v>
                  </c:pt>
                  <c:pt idx="2">
                    <c:v>8.0300404390525701E-2</c:v>
                  </c:pt>
                  <c:pt idx="3">
                    <c:v>8.9543616406701332E-2</c:v>
                  </c:pt>
                  <c:pt idx="4">
                    <c:v>8.3188908145580595E-2</c:v>
                  </c:pt>
                  <c:pt idx="5">
                    <c:v>6.9324090121317156E-2</c:v>
                  </c:pt>
                  <c:pt idx="6">
                    <c:v>6.8168688619295204E-2</c:v>
                  </c:pt>
                  <c:pt idx="7">
                    <c:v>7.7411900635470821E-2</c:v>
                  </c:pt>
                  <c:pt idx="8">
                    <c:v>9.4742923165800116E-2</c:v>
                  </c:pt>
                  <c:pt idx="9">
                    <c:v>0.10167533217793183</c:v>
                  </c:pt>
                  <c:pt idx="10">
                    <c:v>9.7053726169844021E-2</c:v>
                  </c:pt>
                  <c:pt idx="11">
                    <c:v>8.6655112651646451E-2</c:v>
                  </c:pt>
                </c:numCache>
              </c:numRef>
            </c:minus>
            <c:spPr>
              <a:noFill/>
              <a:ln w="9525" cap="flat" cmpd="sng" algn="ctr">
                <a:solidFill>
                  <a:schemeClr val="bg1">
                    <a:lumMod val="50000"/>
                  </a:schemeClr>
                </a:solidFill>
                <a:round/>
              </a:ln>
              <a:effectLst/>
            </c:spPr>
          </c:errBars>
          <c:val>
            <c:numRef>
              <c:f>Processing!$C$2:$C$13</c:f>
              <c:numCache>
                <c:formatCode>0%</c:formatCode>
                <c:ptCount val="12"/>
                <c:pt idx="0">
                  <c:v>7.8567302137492773E-2</c:v>
                </c:pt>
                <c:pt idx="1">
                  <c:v>7.3367995378393988E-2</c:v>
                </c:pt>
                <c:pt idx="2">
                  <c:v>8.0300404390525701E-2</c:v>
                </c:pt>
                <c:pt idx="3">
                  <c:v>8.9543616406701332E-2</c:v>
                </c:pt>
                <c:pt idx="4">
                  <c:v>8.3188908145580595E-2</c:v>
                </c:pt>
                <c:pt idx="5">
                  <c:v>6.9324090121317156E-2</c:v>
                </c:pt>
                <c:pt idx="6">
                  <c:v>6.8168688619295204E-2</c:v>
                </c:pt>
                <c:pt idx="7">
                  <c:v>7.7411900635470821E-2</c:v>
                </c:pt>
                <c:pt idx="8">
                  <c:v>9.4742923165800116E-2</c:v>
                </c:pt>
                <c:pt idx="9">
                  <c:v>0.10167533217793183</c:v>
                </c:pt>
                <c:pt idx="10">
                  <c:v>9.7053726169844021E-2</c:v>
                </c:pt>
                <c:pt idx="11">
                  <c:v>8.6655112651646451E-2</c:v>
                </c:pt>
              </c:numCache>
            </c:numRef>
          </c:val>
          <c:extLst>
            <c:ext xmlns:c16="http://schemas.microsoft.com/office/drawing/2014/chart" uri="{C3380CC4-5D6E-409C-BE32-E72D297353CC}">
              <c16:uniqueId val="{00000001-C38E-4906-94B3-5B8C3F824149}"/>
            </c:ext>
          </c:extLst>
        </c:ser>
        <c:dLbls>
          <c:showLegendKey val="0"/>
          <c:showVal val="0"/>
          <c:showCatName val="0"/>
          <c:showSerName val="0"/>
          <c:showPercent val="0"/>
          <c:showBubbleSize val="0"/>
        </c:dLbls>
        <c:axId val="1639660207"/>
        <c:axId val="1639660687"/>
      </c:areaChart>
      <c:lineChart>
        <c:grouping val="standard"/>
        <c:varyColors val="0"/>
        <c:ser>
          <c:idx val="0"/>
          <c:order val="0"/>
          <c:tx>
            <c:strRef>
              <c:f>Processing!$B$1</c:f>
              <c:strCache>
                <c:ptCount val="1"/>
                <c:pt idx="0">
                  <c:v>CTR</c:v>
                </c:pt>
              </c:strCache>
            </c:strRef>
          </c:tx>
          <c:spPr>
            <a:ln w="19050" cap="rnd">
              <a:solidFill>
                <a:srgbClr val="00C6BB"/>
              </a:solidFill>
              <a:round/>
            </a:ln>
            <a:effectLst/>
          </c:spPr>
          <c:marker>
            <c:symbol val="circle"/>
            <c:size val="7"/>
            <c:spPr>
              <a:solidFill>
                <a:schemeClr val="bg1"/>
              </a:solidFill>
              <a:ln>
                <a:solidFill>
                  <a:srgbClr val="00C6BB"/>
                </a:solidFill>
              </a:ln>
              <a:effectLst/>
            </c:spPr>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Processing!$B$2:$B$13</c:f>
              <c:numCache>
                <c:formatCode>0%</c:formatCode>
                <c:ptCount val="12"/>
                <c:pt idx="0">
                  <c:v>8.3333333333333329E-2</c:v>
                </c:pt>
                <c:pt idx="1">
                  <c:v>0.10020833333333333</c:v>
                </c:pt>
                <c:pt idx="2">
                  <c:v>0.11177083333333333</c:v>
                </c:pt>
                <c:pt idx="3">
                  <c:v>0.11427083333333334</c:v>
                </c:pt>
                <c:pt idx="4">
                  <c:v>0.10697916666666667</c:v>
                </c:pt>
                <c:pt idx="5">
                  <c:v>9.2187500000000006E-2</c:v>
                </c:pt>
                <c:pt idx="6">
                  <c:v>7.4479166666666666E-2</c:v>
                </c:pt>
                <c:pt idx="7">
                  <c:v>5.9687499999999998E-2</c:v>
                </c:pt>
                <c:pt idx="8">
                  <c:v>5.2395833333333336E-2</c:v>
                </c:pt>
                <c:pt idx="9">
                  <c:v>5.4895833333333331E-2</c:v>
                </c:pt>
                <c:pt idx="10">
                  <c:v>6.6458333333333328E-2</c:v>
                </c:pt>
                <c:pt idx="11">
                  <c:v>8.3333333333333329E-2</c:v>
                </c:pt>
              </c:numCache>
            </c:numRef>
          </c:val>
          <c:smooth val="1"/>
          <c:extLst>
            <c:ext xmlns:c16="http://schemas.microsoft.com/office/drawing/2014/chart" uri="{C3380CC4-5D6E-409C-BE32-E72D297353CC}">
              <c16:uniqueId val="{00000002-C38E-4906-94B3-5B8C3F824149}"/>
            </c:ext>
          </c:extLst>
        </c:ser>
        <c:ser>
          <c:idx val="1"/>
          <c:order val="1"/>
          <c:tx>
            <c:strRef>
              <c:f>Processing!$C$1</c:f>
              <c:strCache>
                <c:ptCount val="1"/>
                <c:pt idx="0">
                  <c:v>CR</c:v>
                </c:pt>
              </c:strCache>
            </c:strRef>
          </c:tx>
          <c:spPr>
            <a:ln w="19050" cap="rnd">
              <a:solidFill>
                <a:srgbClr val="9980FF"/>
              </a:solidFill>
              <a:round/>
            </a:ln>
            <a:effectLst/>
          </c:spPr>
          <c:marker>
            <c:symbol val="circle"/>
            <c:size val="7"/>
            <c:spPr>
              <a:solidFill>
                <a:schemeClr val="bg1"/>
              </a:solidFill>
              <a:ln>
                <a:solidFill>
                  <a:srgbClr val="9980FF"/>
                </a:solidFill>
              </a:ln>
              <a:effectLst/>
            </c:spPr>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Processing!$C$2:$C$13</c:f>
              <c:numCache>
                <c:formatCode>0%</c:formatCode>
                <c:ptCount val="12"/>
                <c:pt idx="0">
                  <c:v>7.8567302137492773E-2</c:v>
                </c:pt>
                <c:pt idx="1">
                  <c:v>7.3367995378393988E-2</c:v>
                </c:pt>
                <c:pt idx="2">
                  <c:v>8.0300404390525701E-2</c:v>
                </c:pt>
                <c:pt idx="3">
                  <c:v>8.9543616406701332E-2</c:v>
                </c:pt>
                <c:pt idx="4">
                  <c:v>8.3188908145580595E-2</c:v>
                </c:pt>
                <c:pt idx="5">
                  <c:v>6.9324090121317156E-2</c:v>
                </c:pt>
                <c:pt idx="6">
                  <c:v>6.8168688619295204E-2</c:v>
                </c:pt>
                <c:pt idx="7">
                  <c:v>7.7411900635470821E-2</c:v>
                </c:pt>
                <c:pt idx="8">
                  <c:v>9.4742923165800116E-2</c:v>
                </c:pt>
                <c:pt idx="9">
                  <c:v>0.10167533217793183</c:v>
                </c:pt>
                <c:pt idx="10">
                  <c:v>9.7053726169844021E-2</c:v>
                </c:pt>
                <c:pt idx="11">
                  <c:v>8.6655112651646451E-2</c:v>
                </c:pt>
              </c:numCache>
            </c:numRef>
          </c:val>
          <c:smooth val="1"/>
          <c:extLst>
            <c:ext xmlns:c16="http://schemas.microsoft.com/office/drawing/2014/chart" uri="{C3380CC4-5D6E-409C-BE32-E72D297353CC}">
              <c16:uniqueId val="{00000003-C38E-4906-94B3-5B8C3F824149}"/>
            </c:ext>
          </c:extLst>
        </c:ser>
        <c:dLbls>
          <c:showLegendKey val="0"/>
          <c:showVal val="0"/>
          <c:showCatName val="0"/>
          <c:showSerName val="0"/>
          <c:showPercent val="0"/>
          <c:showBubbleSize val="0"/>
        </c:dLbls>
        <c:marker val="1"/>
        <c:smooth val="0"/>
        <c:axId val="1639660207"/>
        <c:axId val="1639660687"/>
      </c:lineChart>
      <c:scatterChart>
        <c:scatterStyle val="lineMarker"/>
        <c:varyColors val="0"/>
        <c:ser>
          <c:idx val="2"/>
          <c:order val="2"/>
          <c:tx>
            <c:strRef>
              <c:f>Processing!$D$1</c:f>
              <c:strCache>
                <c:ptCount val="1"/>
                <c:pt idx="0">
                  <c:v>CTR Select</c:v>
                </c:pt>
              </c:strCache>
            </c:strRef>
          </c:tx>
          <c:spPr>
            <a:ln w="38100">
              <a:noFill/>
            </a:ln>
            <a:effectLst/>
          </c:spPr>
          <c:marker>
            <c:symbol val="circle"/>
            <c:size val="5"/>
            <c:spPr>
              <a:solidFill>
                <a:srgbClr val="00C6BB"/>
              </a:solidFill>
              <a:ln w="12700">
                <a:solidFill>
                  <a:schemeClr val="bg1"/>
                </a:solidFill>
              </a:ln>
              <a:effectLst/>
            </c:spPr>
          </c:marker>
          <c:xVal>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Processing!$D$2:$D$13</c:f>
              <c:numCache>
                <c:formatCode>0.0%</c:formatCode>
                <c:ptCount val="12"/>
                <c:pt idx="0">
                  <c:v>8.3333333333333329E-2</c:v>
                </c:pt>
                <c:pt idx="1">
                  <c:v>0.10020833333333333</c:v>
                </c:pt>
                <c:pt idx="2">
                  <c:v>0.11177083333333333</c:v>
                </c:pt>
                <c:pt idx="3">
                  <c:v>0.11427083333333334</c:v>
                </c:pt>
                <c:pt idx="4">
                  <c:v>0.10697916666666667</c:v>
                </c:pt>
                <c:pt idx="5">
                  <c:v>9.2187500000000006E-2</c:v>
                </c:pt>
                <c:pt idx="6">
                  <c:v>7.4479166666666666E-2</c:v>
                </c:pt>
                <c:pt idx="7">
                  <c:v>5.9687499999999998E-2</c:v>
                </c:pt>
                <c:pt idx="8">
                  <c:v>5.2395833333333336E-2</c:v>
                </c:pt>
                <c:pt idx="9">
                  <c:v>5.4895833333333331E-2</c:v>
                </c:pt>
                <c:pt idx="10">
                  <c:v>6.6458333333333328E-2</c:v>
                </c:pt>
                <c:pt idx="11">
                  <c:v>8.3333333333333329E-2</c:v>
                </c:pt>
              </c:numCache>
            </c:numRef>
          </c:yVal>
          <c:smooth val="0"/>
          <c:extLst>
            <c:ext xmlns:c16="http://schemas.microsoft.com/office/drawing/2014/chart" uri="{C3380CC4-5D6E-409C-BE32-E72D297353CC}">
              <c16:uniqueId val="{00000004-C38E-4906-94B3-5B8C3F824149}"/>
            </c:ext>
          </c:extLst>
        </c:ser>
        <c:ser>
          <c:idx val="3"/>
          <c:order val="3"/>
          <c:tx>
            <c:strRef>
              <c:f>Processing!$E$1</c:f>
              <c:strCache>
                <c:ptCount val="1"/>
                <c:pt idx="0">
                  <c:v>CR Select</c:v>
                </c:pt>
              </c:strCache>
            </c:strRef>
          </c:tx>
          <c:spPr>
            <a:ln w="38100">
              <a:noFill/>
            </a:ln>
            <a:effectLst/>
          </c:spPr>
          <c:marker>
            <c:symbol val="circle"/>
            <c:size val="5"/>
            <c:spPr>
              <a:solidFill>
                <a:srgbClr val="9980FF"/>
              </a:solidFill>
              <a:ln>
                <a:solidFill>
                  <a:schemeClr val="bg1"/>
                </a:solidFill>
              </a:ln>
              <a:effectLst/>
            </c:spPr>
          </c:marker>
          <c:xVal>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Processing!$E$2:$E$13</c:f>
              <c:numCache>
                <c:formatCode>0.0%</c:formatCode>
                <c:ptCount val="12"/>
                <c:pt idx="0">
                  <c:v>7.8567302137492773E-2</c:v>
                </c:pt>
                <c:pt idx="1">
                  <c:v>7.3367995378393988E-2</c:v>
                </c:pt>
                <c:pt idx="2">
                  <c:v>8.0300404390525701E-2</c:v>
                </c:pt>
                <c:pt idx="3">
                  <c:v>8.9543616406701332E-2</c:v>
                </c:pt>
                <c:pt idx="4">
                  <c:v>8.3188908145580595E-2</c:v>
                </c:pt>
                <c:pt idx="5">
                  <c:v>6.9324090121317156E-2</c:v>
                </c:pt>
                <c:pt idx="6">
                  <c:v>6.8168688619295204E-2</c:v>
                </c:pt>
                <c:pt idx="7">
                  <c:v>7.7411900635470821E-2</c:v>
                </c:pt>
                <c:pt idx="8">
                  <c:v>9.4742923165800116E-2</c:v>
                </c:pt>
                <c:pt idx="9">
                  <c:v>0.10167533217793183</c:v>
                </c:pt>
                <c:pt idx="10">
                  <c:v>9.7053726169844021E-2</c:v>
                </c:pt>
                <c:pt idx="11">
                  <c:v>8.6655112651646451E-2</c:v>
                </c:pt>
              </c:numCache>
            </c:numRef>
          </c:yVal>
          <c:smooth val="0"/>
          <c:extLst>
            <c:ext xmlns:c16="http://schemas.microsoft.com/office/drawing/2014/chart" uri="{C3380CC4-5D6E-409C-BE32-E72D297353CC}">
              <c16:uniqueId val="{00000005-C38E-4906-94B3-5B8C3F824149}"/>
            </c:ext>
          </c:extLst>
        </c:ser>
        <c:dLbls>
          <c:showLegendKey val="0"/>
          <c:showVal val="0"/>
          <c:showCatName val="0"/>
          <c:showSerName val="0"/>
          <c:showPercent val="0"/>
          <c:showBubbleSize val="0"/>
        </c:dLbls>
        <c:axId val="1639660207"/>
        <c:axId val="1639660687"/>
      </c:scatterChart>
      <c:catAx>
        <c:axId val="163966020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639660687"/>
        <c:crosses val="autoZero"/>
        <c:auto val="1"/>
        <c:lblAlgn val="ctr"/>
        <c:lblOffset val="100"/>
        <c:noMultiLvlLbl val="0"/>
      </c:catAx>
      <c:valAx>
        <c:axId val="1639660687"/>
        <c:scaling>
          <c:orientation val="minMax"/>
        </c:scaling>
        <c:delete val="0"/>
        <c:axPos val="l"/>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A6380"/>
                </a:solidFill>
                <a:latin typeface="+mn-lt"/>
                <a:ea typeface="+mn-ea"/>
                <a:cs typeface="+mn-cs"/>
              </a:defRPr>
            </a:pPr>
            <a:endParaRPr lang="ru-RU"/>
          </a:p>
        </c:txPr>
        <c:crossAx val="1639660207"/>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3"/>
          <c:order val="0"/>
          <c:tx>
            <c:strRef>
              <c:f>Processing!$J$1</c:f>
              <c:strCache>
                <c:ptCount val="1"/>
                <c:pt idx="0">
                  <c:v>Total</c:v>
                </c:pt>
              </c:strCache>
            </c:strRef>
          </c:tx>
          <c:spPr>
            <a:solidFill>
              <a:srgbClr val="5A6380"/>
            </a:solidFill>
            <a:ln>
              <a:noFill/>
            </a:ln>
            <a:effectLst>
              <a:outerShdw blurRad="50800" dist="38100" dir="8100000" algn="tr" rotWithShape="0">
                <a:prstClr val="black">
                  <a:alpha val="40000"/>
                </a:prstClr>
              </a:outerShdw>
            </a:effectLst>
          </c:spPr>
          <c:invertIfNegative val="0"/>
          <c:cat>
            <c:strRef>
              <c:f>Processing!$I$2:$I$13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Processing!$J$2:$J$13</c:f>
              <c:numCache>
                <c:formatCode>General</c:formatCode>
                <c:ptCount val="12"/>
                <c:pt idx="0">
                  <c:v>14120</c:v>
                </c:pt>
                <c:pt idx="1">
                  <c:v>17270</c:v>
                </c:pt>
                <c:pt idx="2">
                  <c:v>18370</c:v>
                </c:pt>
                <c:pt idx="3">
                  <c:v>16300</c:v>
                </c:pt>
                <c:pt idx="4">
                  <c:v>12590</c:v>
                </c:pt>
                <c:pt idx="5">
                  <c:v>10086</c:v>
                </c:pt>
                <c:pt idx="6">
                  <c:v>10350</c:v>
                </c:pt>
                <c:pt idx="7">
                  <c:v>13230</c:v>
                </c:pt>
                <c:pt idx="8">
                  <c:v>16116</c:v>
                </c:pt>
                <c:pt idx="9">
                  <c:v>16722</c:v>
                </c:pt>
                <c:pt idx="10">
                  <c:v>15470</c:v>
                </c:pt>
                <c:pt idx="11">
                  <c:v>13640</c:v>
                </c:pt>
              </c:numCache>
            </c:numRef>
          </c:val>
          <c:extLst>
            <c:ext xmlns:c16="http://schemas.microsoft.com/office/drawing/2014/chart" uri="{C3380CC4-5D6E-409C-BE32-E72D297353CC}">
              <c16:uniqueId val="{00000000-D27E-4808-ABAF-C309428320D8}"/>
            </c:ext>
          </c:extLst>
        </c:ser>
        <c:dLbls>
          <c:showLegendKey val="0"/>
          <c:showVal val="0"/>
          <c:showCatName val="0"/>
          <c:showSerName val="0"/>
          <c:showPercent val="0"/>
          <c:showBubbleSize val="0"/>
        </c:dLbls>
        <c:gapWidth val="100"/>
        <c:overlap val="100"/>
        <c:axId val="935034783"/>
        <c:axId val="935018463"/>
      </c:barChart>
      <c:barChart>
        <c:barDir val="col"/>
        <c:grouping val="stacked"/>
        <c:varyColors val="0"/>
        <c:ser>
          <c:idx val="0"/>
          <c:order val="1"/>
          <c:tx>
            <c:strRef>
              <c:f>Processing!$K$1</c:f>
              <c:strCache>
                <c:ptCount val="1"/>
                <c:pt idx="0">
                  <c:v>Select 1</c:v>
                </c:pt>
              </c:strCache>
            </c:strRef>
          </c:tx>
          <c:spPr>
            <a:solidFill>
              <a:srgbClr val="9980FF"/>
            </a:solidFill>
            <a:ln>
              <a:noFill/>
            </a:ln>
            <a:effectLst/>
          </c:spPr>
          <c:invertIfNegative val="0"/>
          <c:dPt>
            <c:idx val="4"/>
            <c:invertIfNegative val="0"/>
            <c:bubble3D val="0"/>
            <c:spPr>
              <a:gradFill flip="none" rotWithShape="1">
                <a:gsLst>
                  <a:gs pos="0">
                    <a:srgbClr val="8F72FF"/>
                  </a:gs>
                  <a:gs pos="100000">
                    <a:srgbClr val="673FFF"/>
                  </a:gs>
                </a:gsLst>
                <a:lin ang="5400000" scaled="0"/>
                <a:tileRect/>
              </a:gradFill>
              <a:ln>
                <a:noFill/>
              </a:ln>
              <a:effectLst/>
            </c:spPr>
            <c:extLst>
              <c:ext xmlns:c16="http://schemas.microsoft.com/office/drawing/2014/chart" uri="{C3380CC4-5D6E-409C-BE32-E72D297353CC}">
                <c16:uniqueId val="{00000002-D27E-4808-ABAF-C309428320D8}"/>
              </c:ext>
            </c:extLst>
          </c:dPt>
          <c:cat>
            <c:strRef>
              <c:f>Processing!$I$2:$I$13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Processing!$K$2:$K$13</c:f>
              <c:numCache>
                <c:formatCode>General</c:formatCode>
                <c:ptCount val="12"/>
                <c:pt idx="0">
                  <c:v>8000</c:v>
                </c:pt>
                <c:pt idx="1">
                  <c:v>10270</c:v>
                </c:pt>
                <c:pt idx="2">
                  <c:v>10970</c:v>
                </c:pt>
                <c:pt idx="3">
                  <c:v>9620</c:v>
                </c:pt>
                <c:pt idx="4">
                  <c:v>7150</c:v>
                </c:pt>
                <c:pt idx="5">
                  <c:v>5270</c:v>
                </c:pt>
                <c:pt idx="6">
                  <c:v>5270</c:v>
                </c:pt>
                <c:pt idx="7">
                  <c:v>7150</c:v>
                </c:pt>
                <c:pt idx="8">
                  <c:v>9620</c:v>
                </c:pt>
                <c:pt idx="9">
                  <c:v>10970</c:v>
                </c:pt>
                <c:pt idx="10">
                  <c:v>10270</c:v>
                </c:pt>
                <c:pt idx="11">
                  <c:v>8000</c:v>
                </c:pt>
              </c:numCache>
            </c:numRef>
          </c:val>
          <c:extLst>
            <c:ext xmlns:c16="http://schemas.microsoft.com/office/drawing/2014/chart" uri="{C3380CC4-5D6E-409C-BE32-E72D297353CC}">
              <c16:uniqueId val="{00000003-D27E-4808-ABAF-C309428320D8}"/>
            </c:ext>
          </c:extLst>
        </c:ser>
        <c:ser>
          <c:idx val="1"/>
          <c:order val="2"/>
          <c:tx>
            <c:strRef>
              <c:f>Processing!$L$1</c:f>
              <c:strCache>
                <c:ptCount val="1"/>
                <c:pt idx="0">
                  <c:v>Select 2</c:v>
                </c:pt>
              </c:strCache>
            </c:strRef>
          </c:tx>
          <c:spPr>
            <a:gradFill flip="none" rotWithShape="1">
              <a:gsLst>
                <a:gs pos="0">
                  <a:srgbClr val="1AFFD5"/>
                </a:gs>
                <a:gs pos="100000">
                  <a:srgbClr val="00E5BB"/>
                </a:gs>
              </a:gsLst>
              <a:lin ang="5400000" scaled="0"/>
              <a:tileRect/>
            </a:gradFill>
            <a:ln>
              <a:noFill/>
            </a:ln>
            <a:effectLst/>
          </c:spPr>
          <c:invertIfNegative val="0"/>
          <c:cat>
            <c:strRef>
              <c:f>Processing!$I$2:$I$13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Processing!$L$2:$L$13</c:f>
              <c:numCache>
                <c:formatCode>General</c:formatCode>
                <c:ptCount val="12"/>
                <c:pt idx="0">
                  <c:v>6120</c:v>
                </c:pt>
                <c:pt idx="1">
                  <c:v>7000</c:v>
                </c:pt>
                <c:pt idx="2">
                  <c:v>7400</c:v>
                </c:pt>
                <c:pt idx="3">
                  <c:v>6680</c:v>
                </c:pt>
                <c:pt idx="4">
                  <c:v>5440</c:v>
                </c:pt>
                <c:pt idx="5">
                  <c:v>4816</c:v>
                </c:pt>
                <c:pt idx="6">
                  <c:v>5080</c:v>
                </c:pt>
                <c:pt idx="7">
                  <c:v>6080</c:v>
                </c:pt>
                <c:pt idx="8">
                  <c:v>6496</c:v>
                </c:pt>
                <c:pt idx="9">
                  <c:v>5752</c:v>
                </c:pt>
                <c:pt idx="10">
                  <c:v>5200</c:v>
                </c:pt>
                <c:pt idx="11">
                  <c:v>5640</c:v>
                </c:pt>
              </c:numCache>
            </c:numRef>
          </c:val>
          <c:extLst>
            <c:ext xmlns:c16="http://schemas.microsoft.com/office/drawing/2014/chart" uri="{C3380CC4-5D6E-409C-BE32-E72D297353CC}">
              <c16:uniqueId val="{00000004-D27E-4808-ABAF-C309428320D8}"/>
            </c:ext>
          </c:extLst>
        </c:ser>
        <c:dLbls>
          <c:showLegendKey val="0"/>
          <c:showVal val="0"/>
          <c:showCatName val="0"/>
          <c:showSerName val="0"/>
          <c:showPercent val="0"/>
          <c:showBubbleSize val="0"/>
        </c:dLbls>
        <c:gapWidth val="100"/>
        <c:overlap val="100"/>
        <c:axId val="1656759599"/>
        <c:axId val="1656758159"/>
      </c:barChart>
      <c:catAx>
        <c:axId val="93503478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5A6380"/>
                </a:solidFill>
                <a:latin typeface="+mn-lt"/>
                <a:ea typeface="+mn-ea"/>
                <a:cs typeface="+mn-cs"/>
              </a:defRPr>
            </a:pPr>
            <a:endParaRPr lang="ru-RU"/>
          </a:p>
        </c:txPr>
        <c:crossAx val="935018463"/>
        <c:crosses val="autoZero"/>
        <c:auto val="1"/>
        <c:lblAlgn val="ctr"/>
        <c:lblOffset val="100"/>
        <c:noMultiLvlLbl val="0"/>
      </c:catAx>
      <c:valAx>
        <c:axId val="935018463"/>
        <c:scaling>
          <c:orientation val="minMax"/>
        </c:scaling>
        <c:delete val="1"/>
        <c:axPos val="l"/>
        <c:numFmt formatCode="General" sourceLinked="1"/>
        <c:majorTickMark val="out"/>
        <c:minorTickMark val="none"/>
        <c:tickLblPos val="nextTo"/>
        <c:crossAx val="935034783"/>
        <c:crosses val="autoZero"/>
        <c:crossBetween val="between"/>
      </c:valAx>
      <c:valAx>
        <c:axId val="1656758159"/>
        <c:scaling>
          <c:orientation val="minMax"/>
        </c:scaling>
        <c:delete val="1"/>
        <c:axPos val="r"/>
        <c:numFmt formatCode="General" sourceLinked="1"/>
        <c:majorTickMark val="out"/>
        <c:minorTickMark val="none"/>
        <c:tickLblPos val="nextTo"/>
        <c:crossAx val="1656759599"/>
        <c:crosses val="max"/>
        <c:crossBetween val="between"/>
      </c:valAx>
      <c:catAx>
        <c:axId val="1656759599"/>
        <c:scaling>
          <c:orientation val="minMax"/>
        </c:scaling>
        <c:delete val="1"/>
        <c:axPos val="b"/>
        <c:numFmt formatCode="General" sourceLinked="1"/>
        <c:majorTickMark val="out"/>
        <c:minorTickMark val="none"/>
        <c:tickLblPos val="nextTo"/>
        <c:crossAx val="1656758159"/>
        <c:crosses val="autoZero"/>
        <c:auto val="1"/>
        <c:lblAlgn val="ctr"/>
        <c:lblOffset val="100"/>
        <c:noMultiLvlLbl val="0"/>
      </c:cat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a:effectLst>
              <a:outerShdw blurRad="50800" dist="38100" dir="5400000" algn="t" rotWithShape="0">
                <a:prstClr val="black">
                  <a:alpha val="40000"/>
                </a:prstClr>
              </a:outerShdw>
            </a:effectLst>
          </c:spPr>
          <c:dPt>
            <c:idx val="0"/>
            <c:bubble3D val="0"/>
            <c:spPr>
              <a:gradFill>
                <a:gsLst>
                  <a:gs pos="0">
                    <a:srgbClr val="1AFFD5"/>
                  </a:gs>
                  <a:gs pos="100000">
                    <a:srgbClr val="00C6BB"/>
                  </a:gs>
                </a:gsLst>
                <a:path path="circle">
                  <a:fillToRect r="100000" b="100000"/>
                </a:path>
              </a:gradFill>
              <a:ln w="19050">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1-E04A-4441-9855-3B3CB202733A}"/>
              </c:ext>
            </c:extLst>
          </c:dPt>
          <c:dPt>
            <c:idx val="1"/>
            <c:bubble3D val="0"/>
            <c:spPr>
              <a:gradFill>
                <a:gsLst>
                  <a:gs pos="0">
                    <a:srgbClr val="F9F871"/>
                  </a:gs>
                  <a:gs pos="100000">
                    <a:srgbClr val="E34F10"/>
                  </a:gs>
                </a:gsLst>
                <a:path path="circle">
                  <a:fillToRect l="100000" b="100000"/>
                </a:path>
              </a:gradFill>
              <a:ln w="19050">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3-E04A-4441-9855-3B3CB202733A}"/>
              </c:ext>
            </c:extLst>
          </c:dPt>
          <c:dPt>
            <c:idx val="2"/>
            <c:bubble3D val="0"/>
            <c:spPr>
              <a:solidFill>
                <a:srgbClr val="5A6380"/>
              </a:solidFill>
              <a:ln w="19050">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5-E04A-4441-9855-3B3CB202733A}"/>
              </c:ext>
            </c:extLst>
          </c:dPt>
          <c:dLbls>
            <c:dLbl>
              <c:idx val="0"/>
              <c:spPr>
                <a:solidFill>
                  <a:schemeClr val="lt1"/>
                </a:solidFill>
                <a:ln>
                  <a:solidFill>
                    <a:schemeClr val="dk1">
                      <a:lumMod val="25000"/>
                      <a:lumOff val="75000"/>
                    </a:schemeClr>
                  </a:solidFill>
                </a:ln>
                <a:effectLst>
                  <a:outerShdw blurRad="50800" dist="38100" dir="5400000" algn="t"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8.5688538932633423E-2"/>
                      <c:h val="0.14333333333333334"/>
                    </c:manualLayout>
                  </c15:layout>
                </c:ext>
                <c:ext xmlns:c16="http://schemas.microsoft.com/office/drawing/2014/chart" uri="{C3380CC4-5D6E-409C-BE32-E72D297353CC}">
                  <c16:uniqueId val="{00000001-E04A-4441-9855-3B3CB202733A}"/>
                </c:ext>
              </c:extLst>
            </c:dLbl>
            <c:dLbl>
              <c:idx val="1"/>
              <c:spPr>
                <a:solidFill>
                  <a:schemeClr val="lt1"/>
                </a:solidFill>
                <a:ln>
                  <a:solidFill>
                    <a:schemeClr val="dk1">
                      <a:lumMod val="25000"/>
                      <a:lumOff val="75000"/>
                    </a:schemeClr>
                  </a:solidFill>
                </a:ln>
                <a:effectLst>
                  <a:outerShdw blurRad="50800" dist="38100" dir="5400000" algn="t"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8.5688538932633423E-2"/>
                      <c:h val="0.14333333333333334"/>
                    </c:manualLayout>
                  </c15:layout>
                </c:ext>
                <c:ext xmlns:c16="http://schemas.microsoft.com/office/drawing/2014/chart" uri="{C3380CC4-5D6E-409C-BE32-E72D297353CC}">
                  <c16:uniqueId val="{00000003-E04A-4441-9855-3B3CB202733A}"/>
                </c:ext>
              </c:extLst>
            </c:dLbl>
            <c:dLbl>
              <c:idx val="2"/>
              <c:delete val="1"/>
              <c:extLst>
                <c:ext xmlns:c15="http://schemas.microsoft.com/office/drawing/2012/chart" uri="{CE6537A1-D6FC-4f65-9D91-7224C49458BB}"/>
                <c:ext xmlns:c16="http://schemas.microsoft.com/office/drawing/2014/chart" uri="{C3380CC4-5D6E-409C-BE32-E72D297353CC}">
                  <c16:uniqueId val="{00000005-E04A-4441-9855-3B3CB202733A}"/>
                </c:ext>
              </c:extLst>
            </c:dLbl>
            <c:spPr>
              <a:no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ru-RU"/>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Processing!$O$2:$Q$2</c:f>
              <c:numCache>
                <c:formatCode>0%</c:formatCode>
                <c:ptCount val="3"/>
                <c:pt idx="0">
                  <c:v>0.38500000000000001</c:v>
                </c:pt>
                <c:pt idx="1">
                  <c:v>0.24083333333333334</c:v>
                </c:pt>
                <c:pt idx="2">
                  <c:v>0.3741666666666667</c:v>
                </c:pt>
              </c:numCache>
            </c:numRef>
          </c:val>
          <c:extLst>
            <c:ext xmlns:c16="http://schemas.microsoft.com/office/drawing/2014/chart" uri="{C3380CC4-5D6E-409C-BE32-E72D297353CC}">
              <c16:uniqueId val="{00000006-E04A-4441-9855-3B3CB202733A}"/>
            </c:ext>
          </c:extLst>
        </c:ser>
        <c:dLbls>
          <c:showLegendKey val="0"/>
          <c:showVal val="0"/>
          <c:showCatName val="0"/>
          <c:showSerName val="0"/>
          <c:showPercent val="0"/>
          <c:showBubbleSize val="0"/>
          <c:showLeaderLines val="1"/>
        </c:dLbls>
        <c:firstSliceAng val="0"/>
        <c:holeSize val="8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1492"/>
              </a:solidFill>
              <a:ln w="19050">
                <a:noFill/>
              </a:ln>
              <a:effectLst/>
            </c:spPr>
            <c:extLst>
              <c:ext xmlns:c16="http://schemas.microsoft.com/office/drawing/2014/chart" uri="{C3380CC4-5D6E-409C-BE32-E72D297353CC}">
                <c16:uniqueId val="{00000001-C925-4C9C-9097-D736F89EB4B2}"/>
              </c:ext>
            </c:extLst>
          </c:dPt>
          <c:dPt>
            <c:idx val="1"/>
            <c:bubble3D val="0"/>
            <c:spPr>
              <a:solidFill>
                <a:srgbClr val="A5ABBF"/>
              </a:solidFill>
              <a:ln w="19050">
                <a:noFill/>
              </a:ln>
              <a:effectLst/>
            </c:spPr>
            <c:extLst>
              <c:ext xmlns:c16="http://schemas.microsoft.com/office/drawing/2014/chart" uri="{C3380CC4-5D6E-409C-BE32-E72D297353CC}">
                <c16:uniqueId val="{00000003-C925-4C9C-9097-D736F89EB4B2}"/>
              </c:ext>
            </c:extLst>
          </c:dPt>
          <c:val>
            <c:numRef>
              <c:f>Processing!$P$7:$Q$7</c:f>
              <c:numCache>
                <c:formatCode>0%</c:formatCode>
                <c:ptCount val="2"/>
                <c:pt idx="0">
                  <c:v>0.55249999999999999</c:v>
                </c:pt>
                <c:pt idx="1">
                  <c:v>0.44750000000000001</c:v>
                </c:pt>
              </c:numCache>
            </c:numRef>
          </c:val>
          <c:extLst>
            <c:ext xmlns:c16="http://schemas.microsoft.com/office/drawing/2014/chart" uri="{C3380CC4-5D6E-409C-BE32-E72D297353CC}">
              <c16:uniqueId val="{00000004-C925-4C9C-9097-D736F89EB4B2}"/>
            </c:ext>
          </c:extLst>
        </c:ser>
        <c:dLbls>
          <c:showLegendKey val="0"/>
          <c:showVal val="0"/>
          <c:showCatName val="0"/>
          <c:showSerName val="0"/>
          <c:showPercent val="0"/>
          <c:showBubbleSize val="0"/>
          <c:showLeaderLines val="1"/>
        </c:dLbls>
        <c:firstSliceAng val="0"/>
        <c:holeSize val="90"/>
      </c:doughnutChart>
      <c:scatterChart>
        <c:scatterStyle val="lineMarker"/>
        <c:varyColors val="0"/>
        <c:ser>
          <c:idx val="1"/>
          <c:order val="1"/>
          <c:tx>
            <c:v>Cursor</c:v>
          </c:tx>
          <c:spPr>
            <a:ln w="25400" cap="rnd">
              <a:noFill/>
              <a:round/>
            </a:ln>
            <a:effectLst/>
          </c:spPr>
          <c:marker>
            <c:symbol val="circle"/>
            <c:size val="10"/>
            <c:spPr>
              <a:solidFill>
                <a:schemeClr val="accent2"/>
              </a:solidFill>
              <a:ln w="9525">
                <a:noFill/>
              </a:ln>
              <a:effectLst/>
            </c:spPr>
          </c:marker>
          <c:dPt>
            <c:idx val="0"/>
            <c:marker>
              <c:symbol val="circle"/>
              <c:size val="10"/>
              <c:spPr>
                <a:solidFill>
                  <a:srgbClr val="FF1492"/>
                </a:solidFill>
                <a:ln w="9525">
                  <a:noFill/>
                </a:ln>
                <a:effectLst/>
              </c:spPr>
            </c:marker>
            <c:bubble3D val="0"/>
            <c:extLst>
              <c:ext xmlns:c16="http://schemas.microsoft.com/office/drawing/2014/chart" uri="{C3380CC4-5D6E-409C-BE32-E72D297353CC}">
                <c16:uniqueId val="{00000005-C925-4C9C-9097-D736F89EB4B2}"/>
              </c:ext>
            </c:extLst>
          </c:dPt>
          <c:xVal>
            <c:numRef>
              <c:f>Processing!$R$7</c:f>
              <c:numCache>
                <c:formatCode>General</c:formatCode>
                <c:ptCount val="1"/>
                <c:pt idx="0">
                  <c:v>-0.30772154728824169</c:v>
                </c:pt>
              </c:numCache>
            </c:numRef>
          </c:xVal>
          <c:yVal>
            <c:numRef>
              <c:f>Processing!$S$7</c:f>
              <c:numCache>
                <c:formatCode>General</c:formatCode>
                <c:ptCount val="1"/>
                <c:pt idx="0">
                  <c:v>-0.89878109088616798</c:v>
                </c:pt>
              </c:numCache>
            </c:numRef>
          </c:yVal>
          <c:smooth val="0"/>
          <c:extLst>
            <c:ext xmlns:c16="http://schemas.microsoft.com/office/drawing/2014/chart" uri="{C3380CC4-5D6E-409C-BE32-E72D297353CC}">
              <c16:uniqueId val="{00000006-C925-4C9C-9097-D736F89EB4B2}"/>
            </c:ext>
          </c:extLst>
        </c:ser>
        <c:dLbls>
          <c:showLegendKey val="0"/>
          <c:showVal val="0"/>
          <c:showCatName val="0"/>
          <c:showSerName val="0"/>
          <c:showPercent val="0"/>
          <c:showBubbleSize val="0"/>
        </c:dLbls>
        <c:axId val="134902143"/>
        <c:axId val="134912223"/>
      </c:scatterChart>
      <c:valAx>
        <c:axId val="134902143"/>
        <c:scaling>
          <c:orientation val="minMax"/>
          <c:max val="1"/>
          <c:min val="-1"/>
        </c:scaling>
        <c:delete val="1"/>
        <c:axPos val="b"/>
        <c:numFmt formatCode="General" sourceLinked="1"/>
        <c:majorTickMark val="out"/>
        <c:minorTickMark val="none"/>
        <c:tickLblPos val="nextTo"/>
        <c:crossAx val="134912223"/>
        <c:crosses val="autoZero"/>
        <c:crossBetween val="midCat"/>
      </c:valAx>
      <c:valAx>
        <c:axId val="134912223"/>
        <c:scaling>
          <c:orientation val="minMax"/>
          <c:max val="1"/>
          <c:min val="-1"/>
        </c:scaling>
        <c:delete val="1"/>
        <c:axPos val="l"/>
        <c:numFmt formatCode="General" sourceLinked="1"/>
        <c:majorTickMark val="out"/>
        <c:minorTickMark val="none"/>
        <c:tickLblPos val="nextTo"/>
        <c:crossAx val="1349021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178BFF"/>
                  </a:gs>
                  <a:gs pos="100000">
                    <a:srgbClr val="4AA5FF"/>
                  </a:gs>
                </a:gsLst>
                <a:lin ang="0" scaled="0"/>
              </a:gradFill>
              <a:ln w="19050">
                <a:noFill/>
              </a:ln>
              <a:effectLst/>
            </c:spPr>
            <c:extLst>
              <c:ext xmlns:c16="http://schemas.microsoft.com/office/drawing/2014/chart" uri="{C3380CC4-5D6E-409C-BE32-E72D297353CC}">
                <c16:uniqueId val="{00000001-FAE8-44C9-A8AB-41205F984AEF}"/>
              </c:ext>
            </c:extLst>
          </c:dPt>
          <c:dPt>
            <c:idx val="1"/>
            <c:bubble3D val="0"/>
            <c:spPr>
              <a:solidFill>
                <a:srgbClr val="A5ABBF"/>
              </a:solidFill>
              <a:ln w="19050">
                <a:noFill/>
              </a:ln>
              <a:effectLst/>
            </c:spPr>
            <c:extLst>
              <c:ext xmlns:c16="http://schemas.microsoft.com/office/drawing/2014/chart" uri="{C3380CC4-5D6E-409C-BE32-E72D297353CC}">
                <c16:uniqueId val="{00000003-FAE8-44C9-A8AB-41205F984AEF}"/>
              </c:ext>
            </c:extLst>
          </c:dPt>
          <c:val>
            <c:numRef>
              <c:f>Processing!$P$8:$Q$8</c:f>
              <c:numCache>
                <c:formatCode>0%</c:formatCode>
                <c:ptCount val="2"/>
                <c:pt idx="0">
                  <c:v>0.63416666666666666</c:v>
                </c:pt>
                <c:pt idx="1">
                  <c:v>0.36583333333333334</c:v>
                </c:pt>
              </c:numCache>
            </c:numRef>
          </c:val>
          <c:extLst>
            <c:ext xmlns:c16="http://schemas.microsoft.com/office/drawing/2014/chart" uri="{C3380CC4-5D6E-409C-BE32-E72D297353CC}">
              <c16:uniqueId val="{00000004-FAE8-44C9-A8AB-41205F984AEF}"/>
            </c:ext>
          </c:extLst>
        </c:ser>
        <c:dLbls>
          <c:showLegendKey val="0"/>
          <c:showVal val="0"/>
          <c:showCatName val="0"/>
          <c:showSerName val="0"/>
          <c:showPercent val="0"/>
          <c:showBubbleSize val="0"/>
          <c:showLeaderLines val="1"/>
        </c:dLbls>
        <c:firstSliceAng val="0"/>
        <c:holeSize val="90"/>
      </c:doughnutChart>
      <c:scatterChart>
        <c:scatterStyle val="lineMarker"/>
        <c:varyColors val="0"/>
        <c:ser>
          <c:idx val="1"/>
          <c:order val="1"/>
          <c:tx>
            <c:v>Cursor</c:v>
          </c:tx>
          <c:spPr>
            <a:ln w="25400" cap="rnd">
              <a:noFill/>
              <a:round/>
            </a:ln>
            <a:effectLst/>
          </c:spPr>
          <c:marker>
            <c:symbol val="circle"/>
            <c:size val="10"/>
            <c:spPr>
              <a:solidFill>
                <a:srgbClr val="178BFF"/>
              </a:solidFill>
              <a:ln w="9525">
                <a:noFill/>
              </a:ln>
              <a:effectLst/>
            </c:spPr>
          </c:marker>
          <c:dPt>
            <c:idx val="0"/>
            <c:marker>
              <c:symbol val="circle"/>
              <c:size val="10"/>
              <c:spPr>
                <a:solidFill>
                  <a:srgbClr val="178BFF"/>
                </a:solidFill>
                <a:ln w="9525">
                  <a:noFill/>
                </a:ln>
                <a:effectLst/>
              </c:spPr>
            </c:marker>
            <c:bubble3D val="0"/>
            <c:extLst>
              <c:ext xmlns:c16="http://schemas.microsoft.com/office/drawing/2014/chart" uri="{C3380CC4-5D6E-409C-BE32-E72D297353CC}">
                <c16:uniqueId val="{00000005-FAE8-44C9-A8AB-41205F984AEF}"/>
              </c:ext>
            </c:extLst>
          </c:dPt>
          <c:xVal>
            <c:numRef>
              <c:f>Processing!$R$8</c:f>
              <c:numCache>
                <c:formatCode>General</c:formatCode>
                <c:ptCount val="1"/>
                <c:pt idx="0">
                  <c:v>-0.7093062731711216</c:v>
                </c:pt>
              </c:numCache>
            </c:numRef>
          </c:xVal>
          <c:yVal>
            <c:numRef>
              <c:f>Processing!$S$8</c:f>
              <c:numCache>
                <c:formatCode>General</c:formatCode>
                <c:ptCount val="1"/>
                <c:pt idx="0">
                  <c:v>-0.63196883692164274</c:v>
                </c:pt>
              </c:numCache>
            </c:numRef>
          </c:yVal>
          <c:smooth val="0"/>
          <c:extLst>
            <c:ext xmlns:c16="http://schemas.microsoft.com/office/drawing/2014/chart" uri="{C3380CC4-5D6E-409C-BE32-E72D297353CC}">
              <c16:uniqueId val="{00000006-FAE8-44C9-A8AB-41205F984AEF}"/>
            </c:ext>
          </c:extLst>
        </c:ser>
        <c:dLbls>
          <c:showLegendKey val="0"/>
          <c:showVal val="0"/>
          <c:showCatName val="0"/>
          <c:showSerName val="0"/>
          <c:showPercent val="0"/>
          <c:showBubbleSize val="0"/>
        </c:dLbls>
        <c:axId val="134902143"/>
        <c:axId val="134912223"/>
      </c:scatterChart>
      <c:valAx>
        <c:axId val="134902143"/>
        <c:scaling>
          <c:orientation val="minMax"/>
          <c:max val="1"/>
          <c:min val="-1"/>
        </c:scaling>
        <c:delete val="1"/>
        <c:axPos val="b"/>
        <c:numFmt formatCode="General" sourceLinked="1"/>
        <c:majorTickMark val="out"/>
        <c:minorTickMark val="none"/>
        <c:tickLblPos val="nextTo"/>
        <c:crossAx val="134912223"/>
        <c:crosses val="autoZero"/>
        <c:crossBetween val="midCat"/>
      </c:valAx>
      <c:valAx>
        <c:axId val="134912223"/>
        <c:scaling>
          <c:orientation val="minMax"/>
          <c:max val="1"/>
          <c:min val="-1"/>
        </c:scaling>
        <c:delete val="1"/>
        <c:axPos val="l"/>
        <c:numFmt formatCode="General" sourceLinked="1"/>
        <c:majorTickMark val="out"/>
        <c:minorTickMark val="none"/>
        <c:tickLblPos val="nextTo"/>
        <c:crossAx val="1349021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Processing!$P$10</c:f>
              <c:strCache>
                <c:ptCount val="1"/>
                <c:pt idx="0">
                  <c:v>Data</c:v>
                </c:pt>
              </c:strCache>
            </c:strRef>
          </c:tx>
          <c:spPr>
            <a:solidFill>
              <a:schemeClr val="accent1"/>
            </a:solidFill>
            <a:ln>
              <a:noFill/>
            </a:ln>
            <a:effectLst>
              <a:outerShdw blurRad="50800" dist="38100" dir="5400000" algn="t" rotWithShape="0">
                <a:prstClr val="black">
                  <a:alpha val="40000"/>
                </a:prstClr>
              </a:outerShdw>
            </a:effectLst>
          </c:spPr>
          <c:invertIfNegative val="0"/>
          <c:dPt>
            <c:idx val="0"/>
            <c:invertIfNegative val="0"/>
            <c:bubble3D val="0"/>
            <c:spPr>
              <a:gradFill flip="none" rotWithShape="1">
                <a:gsLst>
                  <a:gs pos="100000">
                    <a:srgbClr val="1AFFD5"/>
                  </a:gs>
                  <a:gs pos="0">
                    <a:srgbClr val="00E5BB"/>
                  </a:gs>
                </a:gsLst>
                <a:lin ang="0" scaled="0"/>
                <a:tileRect/>
              </a:gra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1-841B-431C-B303-F16BA7899535}"/>
              </c:ext>
            </c:extLst>
          </c:dPt>
          <c:dPt>
            <c:idx val="1"/>
            <c:invertIfNegative val="0"/>
            <c:bubble3D val="0"/>
            <c:spPr>
              <a:gradFill flip="none" rotWithShape="1">
                <a:gsLst>
                  <a:gs pos="0">
                    <a:srgbClr val="178BFF"/>
                  </a:gs>
                  <a:gs pos="100000">
                    <a:srgbClr val="4AA5FF"/>
                  </a:gs>
                </a:gsLst>
                <a:lin ang="0" scaled="0"/>
                <a:tileRect/>
              </a:gra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3-841B-431C-B303-F16BA7899535}"/>
              </c:ext>
            </c:extLst>
          </c:dPt>
          <c:dPt>
            <c:idx val="2"/>
            <c:invertIfNegative val="0"/>
            <c:bubble3D val="0"/>
            <c:spPr>
              <a:gradFill flip="none" rotWithShape="1">
                <a:gsLst>
                  <a:gs pos="100000">
                    <a:srgbClr val="8F72FF"/>
                  </a:gs>
                  <a:gs pos="0">
                    <a:srgbClr val="673FFF"/>
                  </a:gs>
                </a:gsLst>
                <a:lin ang="0" scaled="0"/>
                <a:tileRect/>
              </a:gra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5-841B-431C-B303-F16BA7899535}"/>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5A6380"/>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Processing!$O$11:$O$13</c:f>
              <c:strCache>
                <c:ptCount val="3"/>
                <c:pt idx="0">
                  <c:v>CR2</c:v>
                </c:pt>
                <c:pt idx="1">
                  <c:v>Bounce Rate</c:v>
                </c:pt>
                <c:pt idx="2">
                  <c:v>CTR2</c:v>
                </c:pt>
              </c:strCache>
            </c:strRef>
          </c:cat>
          <c:val>
            <c:numRef>
              <c:f>Processing!$P$11:$P$13</c:f>
              <c:numCache>
                <c:formatCode>0.0%</c:formatCode>
                <c:ptCount val="3"/>
                <c:pt idx="0">
                  <c:v>3.9749999999999994E-2</c:v>
                </c:pt>
                <c:pt idx="1">
                  <c:v>1.4916666666666668E-2</c:v>
                </c:pt>
                <c:pt idx="2">
                  <c:v>4.2500000000000003E-2</c:v>
                </c:pt>
              </c:numCache>
            </c:numRef>
          </c:val>
          <c:extLst>
            <c:ext xmlns:c16="http://schemas.microsoft.com/office/drawing/2014/chart" uri="{C3380CC4-5D6E-409C-BE32-E72D297353CC}">
              <c16:uniqueId val="{00000006-841B-431C-B303-F16BA7899535}"/>
            </c:ext>
          </c:extLst>
        </c:ser>
        <c:dLbls>
          <c:showLegendKey val="0"/>
          <c:showVal val="0"/>
          <c:showCatName val="0"/>
          <c:showSerName val="0"/>
          <c:showPercent val="0"/>
          <c:showBubbleSize val="0"/>
        </c:dLbls>
        <c:gapWidth val="182"/>
        <c:axId val="134842143"/>
        <c:axId val="134886783"/>
      </c:barChart>
      <c:catAx>
        <c:axId val="134842143"/>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5A6380"/>
                </a:solidFill>
                <a:latin typeface="+mn-lt"/>
                <a:ea typeface="+mn-ea"/>
                <a:cs typeface="+mn-cs"/>
              </a:defRPr>
            </a:pPr>
            <a:endParaRPr lang="ru-RU"/>
          </a:p>
        </c:txPr>
        <c:crossAx val="134886783"/>
        <c:crosses val="autoZero"/>
        <c:auto val="1"/>
        <c:lblAlgn val="ctr"/>
        <c:lblOffset val="100"/>
        <c:noMultiLvlLbl val="0"/>
      </c:catAx>
      <c:valAx>
        <c:axId val="134886783"/>
        <c:scaling>
          <c:orientation val="minMax"/>
        </c:scaling>
        <c:delete val="1"/>
        <c:axPos val="b"/>
        <c:numFmt formatCode="0.0%" sourceLinked="1"/>
        <c:majorTickMark val="none"/>
        <c:minorTickMark val="none"/>
        <c:tickLblPos val="nextTo"/>
        <c:crossAx val="134842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4"/>
          <c:order val="4"/>
          <c:tx>
            <c:v>Fill1</c:v>
          </c:tx>
          <c:spPr>
            <a:gradFill>
              <a:gsLst>
                <a:gs pos="0">
                  <a:srgbClr val="1AFFD5">
                    <a:alpha val="30000"/>
                  </a:srgbClr>
                </a:gs>
                <a:gs pos="100000">
                  <a:srgbClr val="1AFFD5">
                    <a:alpha val="0"/>
                  </a:srgbClr>
                </a:gs>
              </a:gsLst>
              <a:lin ang="5400000" scaled="0"/>
            </a:gradFill>
            <a:ln w="25400" cap="rnd">
              <a:noFill/>
              <a:round/>
            </a:ln>
            <a:effectLst>
              <a:outerShdw blurRad="50800" dist="38100" dir="5400000" algn="t" rotWithShape="0">
                <a:prstClr val="black">
                  <a:alpha val="40000"/>
                </a:prstClr>
              </a:outerShdw>
            </a:effectLst>
          </c:spPr>
          <c:errBars>
            <c:errDir val="y"/>
            <c:errBarType val="minus"/>
            <c:errValType val="cust"/>
            <c:noEndCap val="0"/>
            <c:plus>
              <c:numLit>
                <c:formatCode>General</c:formatCode>
                <c:ptCount val="1"/>
                <c:pt idx="0">
                  <c:v>1</c:v>
                </c:pt>
              </c:numLit>
            </c:plus>
            <c:minus>
              <c:numRef>
                <c:f>Processing!$D$2:$D$13</c:f>
                <c:numCache>
                  <c:formatCode>General</c:formatCode>
                  <c:ptCount val="12"/>
                  <c:pt idx="0">
                    <c:v>8.3333333333333329E-2</c:v>
                  </c:pt>
                  <c:pt idx="1">
                    <c:v>0.10020833333333333</c:v>
                  </c:pt>
                  <c:pt idx="2">
                    <c:v>0.11177083333333333</c:v>
                  </c:pt>
                  <c:pt idx="3">
                    <c:v>0.11427083333333334</c:v>
                  </c:pt>
                  <c:pt idx="4">
                    <c:v>0.10697916666666667</c:v>
                  </c:pt>
                  <c:pt idx="5">
                    <c:v>9.2187500000000006E-2</c:v>
                  </c:pt>
                  <c:pt idx="6">
                    <c:v>7.4479166666666666E-2</c:v>
                  </c:pt>
                  <c:pt idx="7">
                    <c:v>5.9687499999999998E-2</c:v>
                  </c:pt>
                  <c:pt idx="8">
                    <c:v>5.2395833333333336E-2</c:v>
                  </c:pt>
                  <c:pt idx="9">
                    <c:v>5.4895833333333331E-2</c:v>
                  </c:pt>
                  <c:pt idx="10">
                    <c:v>6.6458333333333328E-2</c:v>
                  </c:pt>
                  <c:pt idx="11">
                    <c:v>8.3333333333333329E-2</c:v>
                  </c:pt>
                </c:numCache>
              </c:numRef>
            </c:minus>
            <c:spPr>
              <a:noFill/>
              <a:ln w="9525" cap="flat" cmpd="sng" algn="ctr">
                <a:solidFill>
                  <a:schemeClr val="bg1">
                    <a:lumMod val="50000"/>
                  </a:schemeClr>
                </a:solidFill>
                <a:round/>
              </a:ln>
              <a:effectLst/>
            </c:spPr>
          </c:errBars>
          <c:val>
            <c:numRef>
              <c:f>Processing!$B$2:$B$13</c:f>
              <c:numCache>
                <c:formatCode>0%</c:formatCode>
                <c:ptCount val="12"/>
                <c:pt idx="0">
                  <c:v>8.3333333333333329E-2</c:v>
                </c:pt>
                <c:pt idx="1">
                  <c:v>0.10020833333333333</c:v>
                </c:pt>
                <c:pt idx="2">
                  <c:v>0.11177083333333333</c:v>
                </c:pt>
                <c:pt idx="3">
                  <c:v>0.11427083333333334</c:v>
                </c:pt>
                <c:pt idx="4">
                  <c:v>0.10697916666666667</c:v>
                </c:pt>
                <c:pt idx="5">
                  <c:v>9.2187500000000006E-2</c:v>
                </c:pt>
                <c:pt idx="6">
                  <c:v>7.4479166666666666E-2</c:v>
                </c:pt>
                <c:pt idx="7">
                  <c:v>5.9687499999999998E-2</c:v>
                </c:pt>
                <c:pt idx="8">
                  <c:v>5.2395833333333336E-2</c:v>
                </c:pt>
                <c:pt idx="9">
                  <c:v>5.4895833333333331E-2</c:v>
                </c:pt>
                <c:pt idx="10">
                  <c:v>6.6458333333333328E-2</c:v>
                </c:pt>
                <c:pt idx="11">
                  <c:v>8.3333333333333329E-2</c:v>
                </c:pt>
              </c:numCache>
            </c:numRef>
          </c:val>
          <c:extLst>
            <c:ext xmlns:c16="http://schemas.microsoft.com/office/drawing/2014/chart" uri="{C3380CC4-5D6E-409C-BE32-E72D297353CC}">
              <c16:uniqueId val="{00000000-2A48-4376-A754-22E01181A92C}"/>
            </c:ext>
          </c:extLst>
        </c:ser>
        <c:ser>
          <c:idx val="5"/>
          <c:order val="5"/>
          <c:tx>
            <c:v>Fill2</c:v>
          </c:tx>
          <c:spPr>
            <a:gradFill>
              <a:gsLst>
                <a:gs pos="0">
                  <a:srgbClr val="9980FF">
                    <a:alpha val="30000"/>
                  </a:srgbClr>
                </a:gs>
                <a:gs pos="100000">
                  <a:srgbClr val="9980FF">
                    <a:alpha val="0"/>
                  </a:srgbClr>
                </a:gs>
              </a:gsLst>
              <a:lin ang="5400000" scaled="0"/>
            </a:gradFill>
            <a:ln w="25400" cap="rnd">
              <a:noFill/>
              <a:round/>
            </a:ln>
            <a:effectLst>
              <a:outerShdw blurRad="50800" dist="38100" dir="5400000" algn="t" rotWithShape="0">
                <a:prstClr val="black">
                  <a:alpha val="40000"/>
                </a:prstClr>
              </a:outerShdw>
            </a:effectLst>
          </c:spPr>
          <c:errBars>
            <c:errDir val="y"/>
            <c:errBarType val="minus"/>
            <c:errValType val="cust"/>
            <c:noEndCap val="0"/>
            <c:plus>
              <c:numLit>
                <c:formatCode>General</c:formatCode>
                <c:ptCount val="1"/>
                <c:pt idx="0">
                  <c:v>1</c:v>
                </c:pt>
              </c:numLit>
            </c:plus>
            <c:minus>
              <c:numRef>
                <c:f>Processing!$E$2:$E$13</c:f>
                <c:numCache>
                  <c:formatCode>General</c:formatCode>
                  <c:ptCount val="12"/>
                  <c:pt idx="0">
                    <c:v>7.8567302137492773E-2</c:v>
                  </c:pt>
                  <c:pt idx="1">
                    <c:v>7.3367995378393988E-2</c:v>
                  </c:pt>
                  <c:pt idx="2">
                    <c:v>8.0300404390525701E-2</c:v>
                  </c:pt>
                  <c:pt idx="3">
                    <c:v>8.9543616406701332E-2</c:v>
                  </c:pt>
                  <c:pt idx="4">
                    <c:v>8.3188908145580595E-2</c:v>
                  </c:pt>
                  <c:pt idx="5">
                    <c:v>6.9324090121317156E-2</c:v>
                  </c:pt>
                  <c:pt idx="6">
                    <c:v>6.8168688619295204E-2</c:v>
                  </c:pt>
                  <c:pt idx="7">
                    <c:v>7.7411900635470821E-2</c:v>
                  </c:pt>
                  <c:pt idx="8">
                    <c:v>9.4742923165800116E-2</c:v>
                  </c:pt>
                  <c:pt idx="9">
                    <c:v>0.10167533217793183</c:v>
                  </c:pt>
                  <c:pt idx="10">
                    <c:v>9.7053726169844021E-2</c:v>
                  </c:pt>
                  <c:pt idx="11">
                    <c:v>8.6655112651646451E-2</c:v>
                  </c:pt>
                </c:numCache>
              </c:numRef>
            </c:minus>
            <c:spPr>
              <a:noFill/>
              <a:ln w="9525" cap="flat" cmpd="sng" algn="ctr">
                <a:solidFill>
                  <a:schemeClr val="bg1">
                    <a:lumMod val="50000"/>
                  </a:schemeClr>
                </a:solidFill>
                <a:round/>
              </a:ln>
              <a:effectLst/>
            </c:spPr>
          </c:errBars>
          <c:val>
            <c:numRef>
              <c:f>Processing!$C$2:$C$13</c:f>
              <c:numCache>
                <c:formatCode>0%</c:formatCode>
                <c:ptCount val="12"/>
                <c:pt idx="0">
                  <c:v>7.8567302137492773E-2</c:v>
                </c:pt>
                <c:pt idx="1">
                  <c:v>7.3367995378393988E-2</c:v>
                </c:pt>
                <c:pt idx="2">
                  <c:v>8.0300404390525701E-2</c:v>
                </c:pt>
                <c:pt idx="3">
                  <c:v>8.9543616406701332E-2</c:v>
                </c:pt>
                <c:pt idx="4">
                  <c:v>8.3188908145580595E-2</c:v>
                </c:pt>
                <c:pt idx="5">
                  <c:v>6.9324090121317156E-2</c:v>
                </c:pt>
                <c:pt idx="6">
                  <c:v>6.8168688619295204E-2</c:v>
                </c:pt>
                <c:pt idx="7">
                  <c:v>7.7411900635470821E-2</c:v>
                </c:pt>
                <c:pt idx="8">
                  <c:v>9.4742923165800116E-2</c:v>
                </c:pt>
                <c:pt idx="9">
                  <c:v>0.10167533217793183</c:v>
                </c:pt>
                <c:pt idx="10">
                  <c:v>9.7053726169844021E-2</c:v>
                </c:pt>
                <c:pt idx="11">
                  <c:v>8.6655112651646451E-2</c:v>
                </c:pt>
              </c:numCache>
            </c:numRef>
          </c:val>
          <c:extLst>
            <c:ext xmlns:c16="http://schemas.microsoft.com/office/drawing/2014/chart" uri="{C3380CC4-5D6E-409C-BE32-E72D297353CC}">
              <c16:uniqueId val="{00000001-2A48-4376-A754-22E01181A92C}"/>
            </c:ext>
          </c:extLst>
        </c:ser>
        <c:dLbls>
          <c:showLegendKey val="0"/>
          <c:showVal val="0"/>
          <c:showCatName val="0"/>
          <c:showSerName val="0"/>
          <c:showPercent val="0"/>
          <c:showBubbleSize val="0"/>
        </c:dLbls>
        <c:axId val="1639660207"/>
        <c:axId val="1639660687"/>
      </c:areaChart>
      <c:lineChart>
        <c:grouping val="standard"/>
        <c:varyColors val="0"/>
        <c:ser>
          <c:idx val="0"/>
          <c:order val="0"/>
          <c:tx>
            <c:strRef>
              <c:f>Processing!$B$1</c:f>
              <c:strCache>
                <c:ptCount val="1"/>
                <c:pt idx="0">
                  <c:v>CTR</c:v>
                </c:pt>
              </c:strCache>
            </c:strRef>
          </c:tx>
          <c:spPr>
            <a:ln w="38100" cap="rnd">
              <a:solidFill>
                <a:srgbClr val="1AFFD5"/>
              </a:solidFill>
              <a:round/>
            </a:ln>
            <a:effectLst>
              <a:outerShdw blurRad="50800" dist="38100" dir="5400000" algn="t" rotWithShape="0">
                <a:prstClr val="black">
                  <a:alpha val="40000"/>
                </a:prstClr>
              </a:outerShdw>
            </a:effectLst>
          </c:spPr>
          <c:marker>
            <c:symbol val="none"/>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Processing!$B$2:$B$13</c:f>
              <c:numCache>
                <c:formatCode>0%</c:formatCode>
                <c:ptCount val="12"/>
                <c:pt idx="0">
                  <c:v>8.3333333333333329E-2</c:v>
                </c:pt>
                <c:pt idx="1">
                  <c:v>0.10020833333333333</c:v>
                </c:pt>
                <c:pt idx="2">
                  <c:v>0.11177083333333333</c:v>
                </c:pt>
                <c:pt idx="3">
                  <c:v>0.11427083333333334</c:v>
                </c:pt>
                <c:pt idx="4">
                  <c:v>0.10697916666666667</c:v>
                </c:pt>
                <c:pt idx="5">
                  <c:v>9.2187500000000006E-2</c:v>
                </c:pt>
                <c:pt idx="6">
                  <c:v>7.4479166666666666E-2</c:v>
                </c:pt>
                <c:pt idx="7">
                  <c:v>5.9687499999999998E-2</c:v>
                </c:pt>
                <c:pt idx="8">
                  <c:v>5.2395833333333336E-2</c:v>
                </c:pt>
                <c:pt idx="9">
                  <c:v>5.4895833333333331E-2</c:v>
                </c:pt>
                <c:pt idx="10">
                  <c:v>6.6458333333333328E-2</c:v>
                </c:pt>
                <c:pt idx="11">
                  <c:v>8.3333333333333329E-2</c:v>
                </c:pt>
              </c:numCache>
            </c:numRef>
          </c:val>
          <c:smooth val="1"/>
          <c:extLst>
            <c:ext xmlns:c16="http://schemas.microsoft.com/office/drawing/2014/chart" uri="{C3380CC4-5D6E-409C-BE32-E72D297353CC}">
              <c16:uniqueId val="{00000002-2A48-4376-A754-22E01181A92C}"/>
            </c:ext>
          </c:extLst>
        </c:ser>
        <c:ser>
          <c:idx val="1"/>
          <c:order val="1"/>
          <c:tx>
            <c:strRef>
              <c:f>Processing!$C$1</c:f>
              <c:strCache>
                <c:ptCount val="1"/>
                <c:pt idx="0">
                  <c:v>CR</c:v>
                </c:pt>
              </c:strCache>
            </c:strRef>
          </c:tx>
          <c:spPr>
            <a:ln w="38100" cap="rnd">
              <a:solidFill>
                <a:srgbClr val="9980FF"/>
              </a:solidFill>
              <a:round/>
            </a:ln>
            <a:effectLst>
              <a:outerShdw blurRad="50800" dist="38100" dir="5400000" algn="t" rotWithShape="0">
                <a:prstClr val="black">
                  <a:alpha val="40000"/>
                </a:prstClr>
              </a:outerShdw>
            </a:effectLst>
          </c:spPr>
          <c:marker>
            <c:symbol val="none"/>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Processing!$C$2:$C$13</c:f>
              <c:numCache>
                <c:formatCode>0%</c:formatCode>
                <c:ptCount val="12"/>
                <c:pt idx="0">
                  <c:v>7.8567302137492773E-2</c:v>
                </c:pt>
                <c:pt idx="1">
                  <c:v>7.3367995378393988E-2</c:v>
                </c:pt>
                <c:pt idx="2">
                  <c:v>8.0300404390525701E-2</c:v>
                </c:pt>
                <c:pt idx="3">
                  <c:v>8.9543616406701332E-2</c:v>
                </c:pt>
                <c:pt idx="4">
                  <c:v>8.3188908145580595E-2</c:v>
                </c:pt>
                <c:pt idx="5">
                  <c:v>6.9324090121317156E-2</c:v>
                </c:pt>
                <c:pt idx="6">
                  <c:v>6.8168688619295204E-2</c:v>
                </c:pt>
                <c:pt idx="7">
                  <c:v>7.7411900635470821E-2</c:v>
                </c:pt>
                <c:pt idx="8">
                  <c:v>9.4742923165800116E-2</c:v>
                </c:pt>
                <c:pt idx="9">
                  <c:v>0.10167533217793183</c:v>
                </c:pt>
                <c:pt idx="10">
                  <c:v>9.7053726169844021E-2</c:v>
                </c:pt>
                <c:pt idx="11">
                  <c:v>8.6655112651646451E-2</c:v>
                </c:pt>
              </c:numCache>
            </c:numRef>
          </c:val>
          <c:smooth val="1"/>
          <c:extLst>
            <c:ext xmlns:c16="http://schemas.microsoft.com/office/drawing/2014/chart" uri="{C3380CC4-5D6E-409C-BE32-E72D297353CC}">
              <c16:uniqueId val="{00000003-2A48-4376-A754-22E01181A92C}"/>
            </c:ext>
          </c:extLst>
        </c:ser>
        <c:dLbls>
          <c:showLegendKey val="0"/>
          <c:showVal val="0"/>
          <c:showCatName val="0"/>
          <c:showSerName val="0"/>
          <c:showPercent val="0"/>
          <c:showBubbleSize val="0"/>
        </c:dLbls>
        <c:marker val="1"/>
        <c:smooth val="0"/>
        <c:axId val="1639660207"/>
        <c:axId val="1639660687"/>
      </c:lineChart>
      <c:scatterChart>
        <c:scatterStyle val="lineMarker"/>
        <c:varyColors val="0"/>
        <c:ser>
          <c:idx val="2"/>
          <c:order val="2"/>
          <c:tx>
            <c:strRef>
              <c:f>Processing!$D$1</c:f>
              <c:strCache>
                <c:ptCount val="1"/>
                <c:pt idx="0">
                  <c:v>CTR Select</c:v>
                </c:pt>
              </c:strCache>
            </c:strRef>
          </c:tx>
          <c:spPr>
            <a:ln w="38100">
              <a:noFill/>
            </a:ln>
            <a:effectLst>
              <a:glow rad="139700">
                <a:srgbClr val="1AFFD5">
                  <a:alpha val="40000"/>
                </a:srgbClr>
              </a:glow>
            </a:effectLst>
          </c:spPr>
          <c:marker>
            <c:symbol val="circle"/>
            <c:size val="5"/>
            <c:spPr>
              <a:solidFill>
                <a:schemeClr val="bg1"/>
              </a:solidFill>
              <a:ln>
                <a:noFill/>
              </a:ln>
              <a:effectLst>
                <a:glow rad="139700">
                  <a:srgbClr val="1AFFD5">
                    <a:alpha val="40000"/>
                  </a:srgbClr>
                </a:glow>
              </a:effectLst>
            </c:spPr>
          </c:marker>
          <c:xVal>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Processing!$D$2:$D$13</c:f>
              <c:numCache>
                <c:formatCode>0.0%</c:formatCode>
                <c:ptCount val="12"/>
                <c:pt idx="0">
                  <c:v>8.3333333333333329E-2</c:v>
                </c:pt>
                <c:pt idx="1">
                  <c:v>0.10020833333333333</c:v>
                </c:pt>
                <c:pt idx="2">
                  <c:v>0.11177083333333333</c:v>
                </c:pt>
                <c:pt idx="3">
                  <c:v>0.11427083333333334</c:v>
                </c:pt>
                <c:pt idx="4">
                  <c:v>0.10697916666666667</c:v>
                </c:pt>
                <c:pt idx="5">
                  <c:v>9.2187500000000006E-2</c:v>
                </c:pt>
                <c:pt idx="6">
                  <c:v>7.4479166666666666E-2</c:v>
                </c:pt>
                <c:pt idx="7">
                  <c:v>5.9687499999999998E-2</c:v>
                </c:pt>
                <c:pt idx="8">
                  <c:v>5.2395833333333336E-2</c:v>
                </c:pt>
                <c:pt idx="9">
                  <c:v>5.4895833333333331E-2</c:v>
                </c:pt>
                <c:pt idx="10">
                  <c:v>6.6458333333333328E-2</c:v>
                </c:pt>
                <c:pt idx="11">
                  <c:v>8.3333333333333329E-2</c:v>
                </c:pt>
              </c:numCache>
            </c:numRef>
          </c:yVal>
          <c:smooth val="0"/>
          <c:extLst>
            <c:ext xmlns:c16="http://schemas.microsoft.com/office/drawing/2014/chart" uri="{C3380CC4-5D6E-409C-BE32-E72D297353CC}">
              <c16:uniqueId val="{00000004-2A48-4376-A754-22E01181A92C}"/>
            </c:ext>
          </c:extLst>
        </c:ser>
        <c:ser>
          <c:idx val="3"/>
          <c:order val="3"/>
          <c:tx>
            <c:strRef>
              <c:f>Processing!$E$1</c:f>
              <c:strCache>
                <c:ptCount val="1"/>
                <c:pt idx="0">
                  <c:v>CR Select</c:v>
                </c:pt>
              </c:strCache>
            </c:strRef>
          </c:tx>
          <c:spPr>
            <a:ln w="38100">
              <a:noFill/>
            </a:ln>
            <a:effectLst>
              <a:glow rad="139700">
                <a:srgbClr val="9980FF">
                  <a:alpha val="40000"/>
                </a:srgbClr>
              </a:glow>
            </a:effectLst>
          </c:spPr>
          <c:marker>
            <c:symbol val="circle"/>
            <c:size val="5"/>
            <c:spPr>
              <a:solidFill>
                <a:schemeClr val="bg1"/>
              </a:solidFill>
              <a:ln>
                <a:noFill/>
              </a:ln>
              <a:effectLst>
                <a:glow rad="139700">
                  <a:srgbClr val="9980FF">
                    <a:alpha val="40000"/>
                  </a:srgbClr>
                </a:glow>
              </a:effectLst>
            </c:spPr>
          </c:marker>
          <c:xVal>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Processing!$E$2:$E$13</c:f>
              <c:numCache>
                <c:formatCode>0.0%</c:formatCode>
                <c:ptCount val="12"/>
                <c:pt idx="0">
                  <c:v>7.8567302137492773E-2</c:v>
                </c:pt>
                <c:pt idx="1">
                  <c:v>7.3367995378393988E-2</c:v>
                </c:pt>
                <c:pt idx="2">
                  <c:v>8.0300404390525701E-2</c:v>
                </c:pt>
                <c:pt idx="3">
                  <c:v>8.9543616406701332E-2</c:v>
                </c:pt>
                <c:pt idx="4">
                  <c:v>8.3188908145580595E-2</c:v>
                </c:pt>
                <c:pt idx="5">
                  <c:v>6.9324090121317156E-2</c:v>
                </c:pt>
                <c:pt idx="6">
                  <c:v>6.8168688619295204E-2</c:v>
                </c:pt>
                <c:pt idx="7">
                  <c:v>7.7411900635470821E-2</c:v>
                </c:pt>
                <c:pt idx="8">
                  <c:v>9.4742923165800116E-2</c:v>
                </c:pt>
                <c:pt idx="9">
                  <c:v>0.10167533217793183</c:v>
                </c:pt>
                <c:pt idx="10">
                  <c:v>9.7053726169844021E-2</c:v>
                </c:pt>
                <c:pt idx="11">
                  <c:v>8.6655112651646451E-2</c:v>
                </c:pt>
              </c:numCache>
            </c:numRef>
          </c:yVal>
          <c:smooth val="0"/>
          <c:extLst>
            <c:ext xmlns:c16="http://schemas.microsoft.com/office/drawing/2014/chart" uri="{C3380CC4-5D6E-409C-BE32-E72D297353CC}">
              <c16:uniqueId val="{00000005-2A48-4376-A754-22E01181A92C}"/>
            </c:ext>
          </c:extLst>
        </c:ser>
        <c:dLbls>
          <c:showLegendKey val="0"/>
          <c:showVal val="0"/>
          <c:showCatName val="0"/>
          <c:showSerName val="0"/>
          <c:showPercent val="0"/>
          <c:showBubbleSize val="0"/>
        </c:dLbls>
        <c:axId val="1639660207"/>
        <c:axId val="1639660687"/>
      </c:scatterChart>
      <c:catAx>
        <c:axId val="163966020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5A6380"/>
                </a:solidFill>
                <a:latin typeface="+mn-lt"/>
                <a:ea typeface="+mn-ea"/>
                <a:cs typeface="+mn-cs"/>
              </a:defRPr>
            </a:pPr>
            <a:endParaRPr lang="ru-RU"/>
          </a:p>
        </c:txPr>
        <c:crossAx val="1639660687"/>
        <c:crosses val="autoZero"/>
        <c:auto val="1"/>
        <c:lblAlgn val="ctr"/>
        <c:lblOffset val="100"/>
        <c:noMultiLvlLbl val="0"/>
      </c:catAx>
      <c:valAx>
        <c:axId val="1639660687"/>
        <c:scaling>
          <c:orientation val="minMax"/>
        </c:scaling>
        <c:delete val="1"/>
        <c:axPos val="l"/>
        <c:numFmt formatCode="0%" sourceLinked="0"/>
        <c:majorTickMark val="out"/>
        <c:minorTickMark val="none"/>
        <c:tickLblPos val="nextTo"/>
        <c:crossAx val="1639660207"/>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3"/>
          <c:order val="0"/>
          <c:tx>
            <c:strRef>
              <c:f>Processing!$J$1</c:f>
              <c:strCache>
                <c:ptCount val="1"/>
                <c:pt idx="0">
                  <c:v>Total</c:v>
                </c:pt>
              </c:strCache>
            </c:strRef>
          </c:tx>
          <c:spPr>
            <a:solidFill>
              <a:srgbClr val="5A6380"/>
            </a:solidFill>
            <a:ln>
              <a:noFill/>
            </a:ln>
            <a:effectLst>
              <a:outerShdw blurRad="50800" dist="38100" dir="8100000" algn="tr" rotWithShape="0">
                <a:prstClr val="black">
                  <a:alpha val="40000"/>
                </a:prstClr>
              </a:outerShdw>
            </a:effectLst>
          </c:spPr>
          <c:invertIfNegative val="0"/>
          <c:cat>
            <c:strRef>
              <c:f>Processing!$I$2:$I$13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Processing!$J$2:$J$13</c:f>
              <c:numCache>
                <c:formatCode>General</c:formatCode>
                <c:ptCount val="12"/>
                <c:pt idx="0">
                  <c:v>14120</c:v>
                </c:pt>
                <c:pt idx="1">
                  <c:v>17270</c:v>
                </c:pt>
                <c:pt idx="2">
                  <c:v>18370</c:v>
                </c:pt>
                <c:pt idx="3">
                  <c:v>16300</c:v>
                </c:pt>
                <c:pt idx="4">
                  <c:v>12590</c:v>
                </c:pt>
                <c:pt idx="5">
                  <c:v>10086</c:v>
                </c:pt>
                <c:pt idx="6">
                  <c:v>10350</c:v>
                </c:pt>
                <c:pt idx="7">
                  <c:v>13230</c:v>
                </c:pt>
                <c:pt idx="8">
                  <c:v>16116</c:v>
                </c:pt>
                <c:pt idx="9">
                  <c:v>16722</c:v>
                </c:pt>
                <c:pt idx="10">
                  <c:v>15470</c:v>
                </c:pt>
                <c:pt idx="11">
                  <c:v>13640</c:v>
                </c:pt>
              </c:numCache>
            </c:numRef>
          </c:val>
          <c:extLst>
            <c:ext xmlns:c16="http://schemas.microsoft.com/office/drawing/2014/chart" uri="{C3380CC4-5D6E-409C-BE32-E72D297353CC}">
              <c16:uniqueId val="{00000000-E472-4370-93AB-E9DEB98C6130}"/>
            </c:ext>
          </c:extLst>
        </c:ser>
        <c:dLbls>
          <c:showLegendKey val="0"/>
          <c:showVal val="0"/>
          <c:showCatName val="0"/>
          <c:showSerName val="0"/>
          <c:showPercent val="0"/>
          <c:showBubbleSize val="0"/>
        </c:dLbls>
        <c:gapWidth val="100"/>
        <c:overlap val="100"/>
        <c:axId val="935034783"/>
        <c:axId val="935018463"/>
      </c:barChart>
      <c:barChart>
        <c:barDir val="col"/>
        <c:grouping val="stacked"/>
        <c:varyColors val="0"/>
        <c:ser>
          <c:idx val="0"/>
          <c:order val="1"/>
          <c:tx>
            <c:strRef>
              <c:f>Processing!$K$1</c:f>
              <c:strCache>
                <c:ptCount val="1"/>
                <c:pt idx="0">
                  <c:v>Select 1</c:v>
                </c:pt>
              </c:strCache>
            </c:strRef>
          </c:tx>
          <c:spPr>
            <a:solidFill>
              <a:srgbClr val="9980FF"/>
            </a:solidFill>
            <a:ln>
              <a:noFill/>
            </a:ln>
            <a:effectLst/>
          </c:spPr>
          <c:invertIfNegative val="0"/>
          <c:dPt>
            <c:idx val="4"/>
            <c:invertIfNegative val="0"/>
            <c:bubble3D val="0"/>
            <c:spPr>
              <a:gradFill flip="none" rotWithShape="1">
                <a:gsLst>
                  <a:gs pos="0">
                    <a:srgbClr val="8F72FF"/>
                  </a:gs>
                  <a:gs pos="100000">
                    <a:srgbClr val="673FFF"/>
                  </a:gs>
                </a:gsLst>
                <a:lin ang="5400000" scaled="0"/>
                <a:tileRect/>
              </a:gradFill>
              <a:ln>
                <a:noFill/>
              </a:ln>
              <a:effectLst/>
            </c:spPr>
            <c:extLst>
              <c:ext xmlns:c16="http://schemas.microsoft.com/office/drawing/2014/chart" uri="{C3380CC4-5D6E-409C-BE32-E72D297353CC}">
                <c16:uniqueId val="{00000002-E472-4370-93AB-E9DEB98C6130}"/>
              </c:ext>
            </c:extLst>
          </c:dPt>
          <c:cat>
            <c:strRef>
              <c:f>Processing!$I$2:$I$13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Processing!$K$2:$K$13</c:f>
              <c:numCache>
                <c:formatCode>General</c:formatCode>
                <c:ptCount val="12"/>
                <c:pt idx="0">
                  <c:v>8000</c:v>
                </c:pt>
                <c:pt idx="1">
                  <c:v>10270</c:v>
                </c:pt>
                <c:pt idx="2">
                  <c:v>10970</c:v>
                </c:pt>
                <c:pt idx="3">
                  <c:v>9620</c:v>
                </c:pt>
                <c:pt idx="4">
                  <c:v>7150</c:v>
                </c:pt>
                <c:pt idx="5">
                  <c:v>5270</c:v>
                </c:pt>
                <c:pt idx="6">
                  <c:v>5270</c:v>
                </c:pt>
                <c:pt idx="7">
                  <c:v>7150</c:v>
                </c:pt>
                <c:pt idx="8">
                  <c:v>9620</c:v>
                </c:pt>
                <c:pt idx="9">
                  <c:v>10970</c:v>
                </c:pt>
                <c:pt idx="10">
                  <c:v>10270</c:v>
                </c:pt>
                <c:pt idx="11">
                  <c:v>8000</c:v>
                </c:pt>
              </c:numCache>
            </c:numRef>
          </c:val>
          <c:extLst>
            <c:ext xmlns:c16="http://schemas.microsoft.com/office/drawing/2014/chart" uri="{C3380CC4-5D6E-409C-BE32-E72D297353CC}">
              <c16:uniqueId val="{00000003-E472-4370-93AB-E9DEB98C6130}"/>
            </c:ext>
          </c:extLst>
        </c:ser>
        <c:ser>
          <c:idx val="1"/>
          <c:order val="2"/>
          <c:tx>
            <c:strRef>
              <c:f>Processing!$L$1</c:f>
              <c:strCache>
                <c:ptCount val="1"/>
                <c:pt idx="0">
                  <c:v>Select 2</c:v>
                </c:pt>
              </c:strCache>
            </c:strRef>
          </c:tx>
          <c:spPr>
            <a:gradFill flip="none" rotWithShape="1">
              <a:gsLst>
                <a:gs pos="0">
                  <a:srgbClr val="1AFFD5"/>
                </a:gs>
                <a:gs pos="100000">
                  <a:srgbClr val="00E5BB"/>
                </a:gs>
              </a:gsLst>
              <a:lin ang="5400000" scaled="0"/>
              <a:tileRect/>
            </a:gradFill>
            <a:ln>
              <a:noFill/>
            </a:ln>
            <a:effectLst/>
          </c:spPr>
          <c:invertIfNegative val="0"/>
          <c:cat>
            <c:strRef>
              <c:f>Processing!$I$2:$I$13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Processing!$L$2:$L$13</c:f>
              <c:numCache>
                <c:formatCode>General</c:formatCode>
                <c:ptCount val="12"/>
                <c:pt idx="0">
                  <c:v>6120</c:v>
                </c:pt>
                <c:pt idx="1">
                  <c:v>7000</c:v>
                </c:pt>
                <c:pt idx="2">
                  <c:v>7400</c:v>
                </c:pt>
                <c:pt idx="3">
                  <c:v>6680</c:v>
                </c:pt>
                <c:pt idx="4">
                  <c:v>5440</c:v>
                </c:pt>
                <c:pt idx="5">
                  <c:v>4816</c:v>
                </c:pt>
                <c:pt idx="6">
                  <c:v>5080</c:v>
                </c:pt>
                <c:pt idx="7">
                  <c:v>6080</c:v>
                </c:pt>
                <c:pt idx="8">
                  <c:v>6496</c:v>
                </c:pt>
                <c:pt idx="9">
                  <c:v>5752</c:v>
                </c:pt>
                <c:pt idx="10">
                  <c:v>5200</c:v>
                </c:pt>
                <c:pt idx="11">
                  <c:v>5640</c:v>
                </c:pt>
              </c:numCache>
            </c:numRef>
          </c:val>
          <c:extLst>
            <c:ext xmlns:c16="http://schemas.microsoft.com/office/drawing/2014/chart" uri="{C3380CC4-5D6E-409C-BE32-E72D297353CC}">
              <c16:uniqueId val="{00000004-E472-4370-93AB-E9DEB98C6130}"/>
            </c:ext>
          </c:extLst>
        </c:ser>
        <c:dLbls>
          <c:showLegendKey val="0"/>
          <c:showVal val="0"/>
          <c:showCatName val="0"/>
          <c:showSerName val="0"/>
          <c:showPercent val="0"/>
          <c:showBubbleSize val="0"/>
        </c:dLbls>
        <c:gapWidth val="100"/>
        <c:overlap val="100"/>
        <c:axId val="1656759599"/>
        <c:axId val="1656758159"/>
      </c:barChart>
      <c:catAx>
        <c:axId val="93503478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ru-RU"/>
          </a:p>
        </c:txPr>
        <c:crossAx val="935018463"/>
        <c:crosses val="autoZero"/>
        <c:auto val="1"/>
        <c:lblAlgn val="ctr"/>
        <c:lblOffset val="100"/>
        <c:noMultiLvlLbl val="0"/>
      </c:catAx>
      <c:valAx>
        <c:axId val="935018463"/>
        <c:scaling>
          <c:orientation val="minMax"/>
        </c:scaling>
        <c:delete val="0"/>
        <c:axPos val="l"/>
        <c:numFmt formatCode="_(&quot;$&quot;* #,##0_);_(&quot;$&quot;* \(#,##0\);_(&quot;$&quot;* &quot;-&quot;_);_(@_)" sourceLinked="0"/>
        <c:majorTickMark val="out"/>
        <c:minorTickMark val="none"/>
        <c:tickLblPos val="nextTo"/>
        <c:spPr>
          <a:ln>
            <a:noFill/>
          </a:ln>
        </c:spPr>
        <c:txPr>
          <a:bodyPr/>
          <a:lstStyle/>
          <a:p>
            <a:pPr>
              <a:defRPr>
                <a:solidFill>
                  <a:srgbClr val="5A6380"/>
                </a:solidFill>
              </a:defRPr>
            </a:pPr>
            <a:endParaRPr lang="ru-RU"/>
          </a:p>
        </c:txPr>
        <c:crossAx val="935034783"/>
        <c:crosses val="autoZero"/>
        <c:crossBetween val="between"/>
      </c:valAx>
      <c:valAx>
        <c:axId val="1656758159"/>
        <c:scaling>
          <c:orientation val="minMax"/>
        </c:scaling>
        <c:delete val="1"/>
        <c:axPos val="r"/>
        <c:numFmt formatCode="General" sourceLinked="1"/>
        <c:majorTickMark val="out"/>
        <c:minorTickMark val="none"/>
        <c:tickLblPos val="nextTo"/>
        <c:crossAx val="1656759599"/>
        <c:crosses val="max"/>
        <c:crossBetween val="between"/>
      </c:valAx>
      <c:catAx>
        <c:axId val="1656759599"/>
        <c:scaling>
          <c:orientation val="minMax"/>
        </c:scaling>
        <c:delete val="1"/>
        <c:axPos val="b"/>
        <c:numFmt formatCode="General" sourceLinked="1"/>
        <c:majorTickMark val="out"/>
        <c:minorTickMark val="none"/>
        <c:tickLblPos val="nextTo"/>
        <c:crossAx val="1656758159"/>
        <c:crosses val="autoZero"/>
        <c:auto val="1"/>
        <c:lblAlgn val="ctr"/>
        <c:lblOffset val="100"/>
        <c:noMultiLvlLbl val="0"/>
      </c:cat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a:effectLst>
              <a:outerShdw blurRad="50800" dist="38100" dir="5400000" algn="t" rotWithShape="0">
                <a:prstClr val="black">
                  <a:alpha val="40000"/>
                </a:prstClr>
              </a:outerShdw>
            </a:effectLst>
          </c:spPr>
          <c:dPt>
            <c:idx val="0"/>
            <c:bubble3D val="0"/>
            <c:spPr>
              <a:gradFill>
                <a:gsLst>
                  <a:gs pos="0">
                    <a:srgbClr val="1AFFD5"/>
                  </a:gs>
                  <a:gs pos="100000">
                    <a:srgbClr val="00E5BB"/>
                  </a:gs>
                </a:gsLst>
                <a:path path="circle">
                  <a:fillToRect r="100000" b="100000"/>
                </a:path>
              </a:gradFill>
              <a:ln w="19050">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1-15BF-4921-90F6-B4208497EF50}"/>
              </c:ext>
            </c:extLst>
          </c:dPt>
          <c:dPt>
            <c:idx val="1"/>
            <c:bubble3D val="0"/>
            <c:spPr>
              <a:gradFill>
                <a:gsLst>
                  <a:gs pos="0">
                    <a:srgbClr val="F9F871"/>
                  </a:gs>
                  <a:gs pos="100000">
                    <a:srgbClr val="E34F10"/>
                  </a:gs>
                </a:gsLst>
                <a:path path="circle">
                  <a:fillToRect l="100000" b="100000"/>
                </a:path>
              </a:gradFill>
              <a:ln w="19050">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3-15BF-4921-90F6-B4208497EF50}"/>
              </c:ext>
            </c:extLst>
          </c:dPt>
          <c:dPt>
            <c:idx val="2"/>
            <c:bubble3D val="0"/>
            <c:spPr>
              <a:solidFill>
                <a:srgbClr val="5A6380"/>
              </a:solidFill>
              <a:ln w="19050">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5-15BF-4921-90F6-B4208497EF50}"/>
              </c:ext>
            </c:extLst>
          </c:dPt>
          <c:dLbls>
            <c:dLbl>
              <c:idx val="0"/>
              <c:spPr>
                <a:solidFill>
                  <a:schemeClr val="lt1"/>
                </a:solidFill>
                <a:ln>
                  <a:solidFill>
                    <a:schemeClr val="dk1">
                      <a:lumMod val="25000"/>
                      <a:lumOff val="75000"/>
                    </a:schemeClr>
                  </a:solidFill>
                </a:ln>
                <a:effectLst>
                  <a:outerShdw blurRad="50800" dist="38100" dir="5400000" algn="t"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8.5688538932633423E-2"/>
                      <c:h val="0.14333333333333334"/>
                    </c:manualLayout>
                  </c15:layout>
                </c:ext>
                <c:ext xmlns:c16="http://schemas.microsoft.com/office/drawing/2014/chart" uri="{C3380CC4-5D6E-409C-BE32-E72D297353CC}">
                  <c16:uniqueId val="{00000001-15BF-4921-90F6-B4208497EF50}"/>
                </c:ext>
              </c:extLst>
            </c:dLbl>
            <c:dLbl>
              <c:idx val="1"/>
              <c:spPr>
                <a:solidFill>
                  <a:schemeClr val="lt1"/>
                </a:solidFill>
                <a:ln>
                  <a:solidFill>
                    <a:schemeClr val="dk1">
                      <a:lumMod val="25000"/>
                      <a:lumOff val="75000"/>
                    </a:schemeClr>
                  </a:solidFill>
                </a:ln>
                <a:effectLst>
                  <a:outerShdw blurRad="50800" dist="38100" dir="5400000" algn="t"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8.5688538932633423E-2"/>
                      <c:h val="0.14333333333333334"/>
                    </c:manualLayout>
                  </c15:layout>
                </c:ext>
                <c:ext xmlns:c16="http://schemas.microsoft.com/office/drawing/2014/chart" uri="{C3380CC4-5D6E-409C-BE32-E72D297353CC}">
                  <c16:uniqueId val="{00000003-15BF-4921-90F6-B4208497EF50}"/>
                </c:ext>
              </c:extLst>
            </c:dLbl>
            <c:dLbl>
              <c:idx val="2"/>
              <c:delete val="1"/>
              <c:extLst>
                <c:ext xmlns:c15="http://schemas.microsoft.com/office/drawing/2012/chart" uri="{CE6537A1-D6FC-4f65-9D91-7224C49458BB}"/>
                <c:ext xmlns:c16="http://schemas.microsoft.com/office/drawing/2014/chart" uri="{C3380CC4-5D6E-409C-BE32-E72D297353CC}">
                  <c16:uniqueId val="{00000005-15BF-4921-90F6-B4208497EF50}"/>
                </c:ext>
              </c:extLst>
            </c:dLbl>
            <c:spPr>
              <a:no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ru-RU"/>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Processing!$O$2:$Q$2</c:f>
              <c:numCache>
                <c:formatCode>0%</c:formatCode>
                <c:ptCount val="3"/>
                <c:pt idx="0">
                  <c:v>0.38500000000000001</c:v>
                </c:pt>
                <c:pt idx="1">
                  <c:v>0.24083333333333334</c:v>
                </c:pt>
                <c:pt idx="2">
                  <c:v>0.3741666666666667</c:v>
                </c:pt>
              </c:numCache>
            </c:numRef>
          </c:val>
          <c:extLst>
            <c:ext xmlns:c16="http://schemas.microsoft.com/office/drawing/2014/chart" uri="{C3380CC4-5D6E-409C-BE32-E72D297353CC}">
              <c16:uniqueId val="{00000006-15BF-4921-90F6-B4208497EF50}"/>
            </c:ext>
          </c:extLst>
        </c:ser>
        <c:dLbls>
          <c:showLegendKey val="0"/>
          <c:showVal val="0"/>
          <c:showCatName val="0"/>
          <c:showSerName val="0"/>
          <c:showPercent val="0"/>
          <c:showBubbleSize val="0"/>
          <c:showLeaderLines val="1"/>
        </c:dLbls>
        <c:firstSliceAng val="0"/>
        <c:holeSize val="8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1492"/>
              </a:solidFill>
              <a:ln w="19050">
                <a:noFill/>
              </a:ln>
              <a:effectLst/>
            </c:spPr>
            <c:extLst>
              <c:ext xmlns:c16="http://schemas.microsoft.com/office/drawing/2014/chart" uri="{C3380CC4-5D6E-409C-BE32-E72D297353CC}">
                <c16:uniqueId val="{00000001-CA8D-40D0-9E06-5B9BDDE9A61A}"/>
              </c:ext>
            </c:extLst>
          </c:dPt>
          <c:dPt>
            <c:idx val="1"/>
            <c:bubble3D val="0"/>
            <c:spPr>
              <a:solidFill>
                <a:srgbClr val="A5ABBF"/>
              </a:solidFill>
              <a:ln w="19050">
                <a:noFill/>
              </a:ln>
              <a:effectLst/>
            </c:spPr>
            <c:extLst>
              <c:ext xmlns:c16="http://schemas.microsoft.com/office/drawing/2014/chart" uri="{C3380CC4-5D6E-409C-BE32-E72D297353CC}">
                <c16:uniqueId val="{00000003-CA8D-40D0-9E06-5B9BDDE9A61A}"/>
              </c:ext>
            </c:extLst>
          </c:dPt>
          <c:val>
            <c:numRef>
              <c:f>Processing!$P$7:$Q$7</c:f>
              <c:numCache>
                <c:formatCode>0%</c:formatCode>
                <c:ptCount val="2"/>
                <c:pt idx="0">
                  <c:v>0.55249999999999999</c:v>
                </c:pt>
                <c:pt idx="1">
                  <c:v>0.44750000000000001</c:v>
                </c:pt>
              </c:numCache>
            </c:numRef>
          </c:val>
          <c:extLst>
            <c:ext xmlns:c16="http://schemas.microsoft.com/office/drawing/2014/chart" uri="{C3380CC4-5D6E-409C-BE32-E72D297353CC}">
              <c16:uniqueId val="{00000004-CA8D-40D0-9E06-5B9BDDE9A61A}"/>
            </c:ext>
          </c:extLst>
        </c:ser>
        <c:dLbls>
          <c:showLegendKey val="0"/>
          <c:showVal val="0"/>
          <c:showCatName val="0"/>
          <c:showSerName val="0"/>
          <c:showPercent val="0"/>
          <c:showBubbleSize val="0"/>
          <c:showLeaderLines val="1"/>
        </c:dLbls>
        <c:firstSliceAng val="0"/>
        <c:holeSize val="90"/>
      </c:doughnutChart>
      <c:scatterChart>
        <c:scatterStyle val="lineMarker"/>
        <c:varyColors val="0"/>
        <c:ser>
          <c:idx val="1"/>
          <c:order val="1"/>
          <c:tx>
            <c:v>Cursor</c:v>
          </c:tx>
          <c:spPr>
            <a:ln w="25400" cap="rnd">
              <a:noFill/>
              <a:round/>
            </a:ln>
            <a:effectLst/>
          </c:spPr>
          <c:marker>
            <c:symbol val="circle"/>
            <c:size val="10"/>
            <c:spPr>
              <a:solidFill>
                <a:schemeClr val="accent2"/>
              </a:solidFill>
              <a:ln w="9525">
                <a:noFill/>
              </a:ln>
              <a:effectLst/>
            </c:spPr>
          </c:marker>
          <c:dPt>
            <c:idx val="0"/>
            <c:marker>
              <c:symbol val="circle"/>
              <c:size val="10"/>
              <c:spPr>
                <a:solidFill>
                  <a:srgbClr val="FF1492"/>
                </a:solidFill>
                <a:ln w="9525">
                  <a:noFill/>
                </a:ln>
                <a:effectLst/>
              </c:spPr>
            </c:marker>
            <c:bubble3D val="0"/>
            <c:extLst>
              <c:ext xmlns:c16="http://schemas.microsoft.com/office/drawing/2014/chart" uri="{C3380CC4-5D6E-409C-BE32-E72D297353CC}">
                <c16:uniqueId val="{00000005-CA8D-40D0-9E06-5B9BDDE9A61A}"/>
              </c:ext>
            </c:extLst>
          </c:dPt>
          <c:xVal>
            <c:numRef>
              <c:f>Processing!$R$7</c:f>
              <c:numCache>
                <c:formatCode>General</c:formatCode>
                <c:ptCount val="1"/>
                <c:pt idx="0">
                  <c:v>-0.30772154728824169</c:v>
                </c:pt>
              </c:numCache>
            </c:numRef>
          </c:xVal>
          <c:yVal>
            <c:numRef>
              <c:f>Processing!$S$7</c:f>
              <c:numCache>
                <c:formatCode>General</c:formatCode>
                <c:ptCount val="1"/>
                <c:pt idx="0">
                  <c:v>-0.89878109088616798</c:v>
                </c:pt>
              </c:numCache>
            </c:numRef>
          </c:yVal>
          <c:smooth val="0"/>
          <c:extLst>
            <c:ext xmlns:c16="http://schemas.microsoft.com/office/drawing/2014/chart" uri="{C3380CC4-5D6E-409C-BE32-E72D297353CC}">
              <c16:uniqueId val="{00000006-CA8D-40D0-9E06-5B9BDDE9A61A}"/>
            </c:ext>
          </c:extLst>
        </c:ser>
        <c:dLbls>
          <c:showLegendKey val="0"/>
          <c:showVal val="0"/>
          <c:showCatName val="0"/>
          <c:showSerName val="0"/>
          <c:showPercent val="0"/>
          <c:showBubbleSize val="0"/>
        </c:dLbls>
        <c:axId val="134902143"/>
        <c:axId val="134912223"/>
      </c:scatterChart>
      <c:valAx>
        <c:axId val="134902143"/>
        <c:scaling>
          <c:orientation val="minMax"/>
          <c:max val="1"/>
          <c:min val="-1"/>
        </c:scaling>
        <c:delete val="1"/>
        <c:axPos val="b"/>
        <c:numFmt formatCode="General" sourceLinked="1"/>
        <c:majorTickMark val="out"/>
        <c:minorTickMark val="none"/>
        <c:tickLblPos val="nextTo"/>
        <c:crossAx val="134912223"/>
        <c:crosses val="autoZero"/>
        <c:crossBetween val="midCat"/>
      </c:valAx>
      <c:valAx>
        <c:axId val="134912223"/>
        <c:scaling>
          <c:orientation val="minMax"/>
          <c:max val="1"/>
          <c:min val="-1"/>
        </c:scaling>
        <c:delete val="1"/>
        <c:axPos val="l"/>
        <c:numFmt formatCode="General" sourceLinked="1"/>
        <c:majorTickMark val="out"/>
        <c:minorTickMark val="none"/>
        <c:tickLblPos val="nextTo"/>
        <c:crossAx val="1349021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178BFF"/>
                  </a:gs>
                  <a:gs pos="100000">
                    <a:srgbClr val="4AA5FF"/>
                  </a:gs>
                </a:gsLst>
                <a:lin ang="0" scaled="0"/>
              </a:gradFill>
              <a:ln w="19050">
                <a:noFill/>
              </a:ln>
              <a:effectLst/>
            </c:spPr>
            <c:extLst>
              <c:ext xmlns:c16="http://schemas.microsoft.com/office/drawing/2014/chart" uri="{C3380CC4-5D6E-409C-BE32-E72D297353CC}">
                <c16:uniqueId val="{00000001-6D91-4D82-AF2A-010965ADA2E2}"/>
              </c:ext>
            </c:extLst>
          </c:dPt>
          <c:dPt>
            <c:idx val="1"/>
            <c:bubble3D val="0"/>
            <c:spPr>
              <a:solidFill>
                <a:srgbClr val="A5ABBF"/>
              </a:solidFill>
              <a:ln w="19050">
                <a:noFill/>
              </a:ln>
              <a:effectLst/>
            </c:spPr>
            <c:extLst>
              <c:ext xmlns:c16="http://schemas.microsoft.com/office/drawing/2014/chart" uri="{C3380CC4-5D6E-409C-BE32-E72D297353CC}">
                <c16:uniqueId val="{00000003-6D91-4D82-AF2A-010965ADA2E2}"/>
              </c:ext>
            </c:extLst>
          </c:dPt>
          <c:val>
            <c:numRef>
              <c:f>Processing!$P$8:$Q$8</c:f>
              <c:numCache>
                <c:formatCode>0%</c:formatCode>
                <c:ptCount val="2"/>
                <c:pt idx="0">
                  <c:v>0.63416666666666666</c:v>
                </c:pt>
                <c:pt idx="1">
                  <c:v>0.36583333333333334</c:v>
                </c:pt>
              </c:numCache>
            </c:numRef>
          </c:val>
          <c:extLst>
            <c:ext xmlns:c16="http://schemas.microsoft.com/office/drawing/2014/chart" uri="{C3380CC4-5D6E-409C-BE32-E72D297353CC}">
              <c16:uniqueId val="{00000004-6D91-4D82-AF2A-010965ADA2E2}"/>
            </c:ext>
          </c:extLst>
        </c:ser>
        <c:dLbls>
          <c:showLegendKey val="0"/>
          <c:showVal val="0"/>
          <c:showCatName val="0"/>
          <c:showSerName val="0"/>
          <c:showPercent val="0"/>
          <c:showBubbleSize val="0"/>
          <c:showLeaderLines val="1"/>
        </c:dLbls>
        <c:firstSliceAng val="0"/>
        <c:holeSize val="90"/>
      </c:doughnutChart>
      <c:scatterChart>
        <c:scatterStyle val="lineMarker"/>
        <c:varyColors val="0"/>
        <c:ser>
          <c:idx val="1"/>
          <c:order val="1"/>
          <c:tx>
            <c:v>Cursor</c:v>
          </c:tx>
          <c:spPr>
            <a:ln w="25400" cap="rnd">
              <a:noFill/>
              <a:round/>
            </a:ln>
            <a:effectLst/>
          </c:spPr>
          <c:marker>
            <c:symbol val="circle"/>
            <c:size val="10"/>
            <c:spPr>
              <a:solidFill>
                <a:srgbClr val="178BFF"/>
              </a:solidFill>
              <a:ln w="9525">
                <a:noFill/>
              </a:ln>
              <a:effectLst/>
            </c:spPr>
          </c:marker>
          <c:dPt>
            <c:idx val="0"/>
            <c:marker>
              <c:symbol val="circle"/>
              <c:size val="10"/>
              <c:spPr>
                <a:solidFill>
                  <a:srgbClr val="178BFF"/>
                </a:solidFill>
                <a:ln w="9525">
                  <a:noFill/>
                </a:ln>
                <a:effectLst/>
              </c:spPr>
            </c:marker>
            <c:bubble3D val="0"/>
            <c:extLst>
              <c:ext xmlns:c16="http://schemas.microsoft.com/office/drawing/2014/chart" uri="{C3380CC4-5D6E-409C-BE32-E72D297353CC}">
                <c16:uniqueId val="{00000005-6D91-4D82-AF2A-010965ADA2E2}"/>
              </c:ext>
            </c:extLst>
          </c:dPt>
          <c:xVal>
            <c:numRef>
              <c:f>Processing!$R$8</c:f>
              <c:numCache>
                <c:formatCode>General</c:formatCode>
                <c:ptCount val="1"/>
                <c:pt idx="0">
                  <c:v>-0.7093062731711216</c:v>
                </c:pt>
              </c:numCache>
            </c:numRef>
          </c:xVal>
          <c:yVal>
            <c:numRef>
              <c:f>Processing!$S$8</c:f>
              <c:numCache>
                <c:formatCode>General</c:formatCode>
                <c:ptCount val="1"/>
                <c:pt idx="0">
                  <c:v>-0.63196883692164274</c:v>
                </c:pt>
              </c:numCache>
            </c:numRef>
          </c:yVal>
          <c:smooth val="0"/>
          <c:extLst>
            <c:ext xmlns:c16="http://schemas.microsoft.com/office/drawing/2014/chart" uri="{C3380CC4-5D6E-409C-BE32-E72D297353CC}">
              <c16:uniqueId val="{00000006-6D91-4D82-AF2A-010965ADA2E2}"/>
            </c:ext>
          </c:extLst>
        </c:ser>
        <c:dLbls>
          <c:showLegendKey val="0"/>
          <c:showVal val="0"/>
          <c:showCatName val="0"/>
          <c:showSerName val="0"/>
          <c:showPercent val="0"/>
          <c:showBubbleSize val="0"/>
        </c:dLbls>
        <c:axId val="134902143"/>
        <c:axId val="134912223"/>
      </c:scatterChart>
      <c:valAx>
        <c:axId val="134902143"/>
        <c:scaling>
          <c:orientation val="minMax"/>
          <c:max val="1"/>
          <c:min val="-1"/>
        </c:scaling>
        <c:delete val="1"/>
        <c:axPos val="b"/>
        <c:numFmt formatCode="General" sourceLinked="1"/>
        <c:majorTickMark val="out"/>
        <c:minorTickMark val="none"/>
        <c:tickLblPos val="nextTo"/>
        <c:crossAx val="134912223"/>
        <c:crosses val="autoZero"/>
        <c:crossBetween val="midCat"/>
      </c:valAx>
      <c:valAx>
        <c:axId val="134912223"/>
        <c:scaling>
          <c:orientation val="minMax"/>
          <c:max val="1"/>
          <c:min val="-1"/>
        </c:scaling>
        <c:delete val="1"/>
        <c:axPos val="l"/>
        <c:numFmt formatCode="General" sourceLinked="1"/>
        <c:majorTickMark val="out"/>
        <c:minorTickMark val="none"/>
        <c:tickLblPos val="nextTo"/>
        <c:crossAx val="1349021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Processing!$P$10</c:f>
              <c:strCache>
                <c:ptCount val="1"/>
                <c:pt idx="0">
                  <c:v>Data</c:v>
                </c:pt>
              </c:strCache>
            </c:strRef>
          </c:tx>
          <c:spPr>
            <a:solidFill>
              <a:schemeClr val="accent1"/>
            </a:solidFill>
            <a:ln>
              <a:noFill/>
            </a:ln>
            <a:effectLst>
              <a:outerShdw blurRad="50800" dist="38100" dir="5400000" algn="t" rotWithShape="0">
                <a:prstClr val="black">
                  <a:alpha val="40000"/>
                </a:prstClr>
              </a:outerShdw>
            </a:effectLst>
          </c:spPr>
          <c:invertIfNegative val="0"/>
          <c:dPt>
            <c:idx val="0"/>
            <c:invertIfNegative val="0"/>
            <c:bubble3D val="0"/>
            <c:spPr>
              <a:gradFill flip="none" rotWithShape="1">
                <a:gsLst>
                  <a:gs pos="100000">
                    <a:srgbClr val="1AFFD5"/>
                  </a:gs>
                  <a:gs pos="0">
                    <a:srgbClr val="00E5BB"/>
                  </a:gs>
                </a:gsLst>
                <a:lin ang="0" scaled="0"/>
                <a:tileRect/>
              </a:gra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1-5BBA-4C1A-81D3-9A7B6C3EAF85}"/>
              </c:ext>
            </c:extLst>
          </c:dPt>
          <c:dPt>
            <c:idx val="1"/>
            <c:invertIfNegative val="0"/>
            <c:bubble3D val="0"/>
            <c:spPr>
              <a:gradFill flip="none" rotWithShape="1">
                <a:gsLst>
                  <a:gs pos="0">
                    <a:srgbClr val="178BFF"/>
                  </a:gs>
                  <a:gs pos="100000">
                    <a:srgbClr val="4AA5FF"/>
                  </a:gs>
                </a:gsLst>
                <a:lin ang="0" scaled="0"/>
                <a:tileRect/>
              </a:gra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3-5BBA-4C1A-81D3-9A7B6C3EAF85}"/>
              </c:ext>
            </c:extLst>
          </c:dPt>
          <c:dPt>
            <c:idx val="2"/>
            <c:invertIfNegative val="0"/>
            <c:bubble3D val="0"/>
            <c:spPr>
              <a:gradFill flip="none" rotWithShape="1">
                <a:gsLst>
                  <a:gs pos="100000">
                    <a:srgbClr val="8F72FF"/>
                  </a:gs>
                  <a:gs pos="0">
                    <a:srgbClr val="673FFF"/>
                  </a:gs>
                </a:gsLst>
                <a:lin ang="0" scaled="0"/>
                <a:tileRect/>
              </a:gra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5-5BBA-4C1A-81D3-9A7B6C3EAF85}"/>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5A6380"/>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Processing!$O$11:$O$13</c:f>
              <c:strCache>
                <c:ptCount val="3"/>
                <c:pt idx="0">
                  <c:v>CR2</c:v>
                </c:pt>
                <c:pt idx="1">
                  <c:v>Bounce Rate</c:v>
                </c:pt>
                <c:pt idx="2">
                  <c:v>CTR2</c:v>
                </c:pt>
              </c:strCache>
            </c:strRef>
          </c:cat>
          <c:val>
            <c:numRef>
              <c:f>Processing!$P$11:$P$13</c:f>
              <c:numCache>
                <c:formatCode>0.0%</c:formatCode>
                <c:ptCount val="3"/>
                <c:pt idx="0">
                  <c:v>3.9749999999999994E-2</c:v>
                </c:pt>
                <c:pt idx="1">
                  <c:v>1.4916666666666668E-2</c:v>
                </c:pt>
                <c:pt idx="2">
                  <c:v>4.2500000000000003E-2</c:v>
                </c:pt>
              </c:numCache>
            </c:numRef>
          </c:val>
          <c:extLst>
            <c:ext xmlns:c16="http://schemas.microsoft.com/office/drawing/2014/chart" uri="{C3380CC4-5D6E-409C-BE32-E72D297353CC}">
              <c16:uniqueId val="{00000006-5BBA-4C1A-81D3-9A7B6C3EAF85}"/>
            </c:ext>
          </c:extLst>
        </c:ser>
        <c:dLbls>
          <c:showLegendKey val="0"/>
          <c:showVal val="0"/>
          <c:showCatName val="0"/>
          <c:showSerName val="0"/>
          <c:showPercent val="0"/>
          <c:showBubbleSize val="0"/>
        </c:dLbls>
        <c:gapWidth val="182"/>
        <c:axId val="134842143"/>
        <c:axId val="134886783"/>
      </c:barChart>
      <c:catAx>
        <c:axId val="134842143"/>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5A6380"/>
                </a:solidFill>
                <a:latin typeface="+mn-lt"/>
                <a:ea typeface="+mn-ea"/>
                <a:cs typeface="+mn-cs"/>
              </a:defRPr>
            </a:pPr>
            <a:endParaRPr lang="ru-RU"/>
          </a:p>
        </c:txPr>
        <c:crossAx val="134886783"/>
        <c:crosses val="autoZero"/>
        <c:auto val="1"/>
        <c:lblAlgn val="ctr"/>
        <c:lblOffset val="100"/>
        <c:noMultiLvlLbl val="0"/>
      </c:catAx>
      <c:valAx>
        <c:axId val="134886783"/>
        <c:scaling>
          <c:orientation val="minMax"/>
        </c:scaling>
        <c:delete val="1"/>
        <c:axPos val="b"/>
        <c:numFmt formatCode="0.0%" sourceLinked="1"/>
        <c:majorTickMark val="none"/>
        <c:minorTickMark val="none"/>
        <c:tickLblPos val="nextTo"/>
        <c:crossAx val="134842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hyperlink" Target="#'DASHBOARD Light'!A1"/><Relationship Id="rId12" Type="http://schemas.openxmlformats.org/officeDocument/2006/relationships/hyperlink" Target="#'Adv CR'!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svg"/><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image" Target="../media/image2.svg"/></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9.xml"/><Relationship Id="rId7" Type="http://schemas.openxmlformats.org/officeDocument/2006/relationships/hyperlink" Target="#'Adv CR Light'!A1"/><Relationship Id="rId12" Type="http://schemas.openxmlformats.org/officeDocument/2006/relationships/hyperlink" Target="#DASHBOARD!A1"/><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4.svg"/><Relationship Id="rId5" Type="http://schemas.openxmlformats.org/officeDocument/2006/relationships/chart" Target="../charts/chart11.xml"/><Relationship Id="rId10" Type="http://schemas.openxmlformats.org/officeDocument/2006/relationships/image" Target="../media/image3.png"/><Relationship Id="rId4" Type="http://schemas.openxmlformats.org/officeDocument/2006/relationships/chart" Target="../charts/chart10.xml"/><Relationship Id="rId9" Type="http://schemas.openxmlformats.org/officeDocument/2006/relationships/image" Target="../media/image2.svg"/></Relationships>
</file>

<file path=xl/drawings/_rels/drawing3.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chart" Target="../charts/chart15.xml"/><Relationship Id="rId7" Type="http://schemas.openxmlformats.org/officeDocument/2006/relationships/image" Target="../media/image5.png"/><Relationship Id="rId12" Type="http://schemas.openxmlformats.org/officeDocument/2006/relationships/hyperlink" Target="#'Adv CR Light'!A1"/><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image" Target="../media/image8.svg"/><Relationship Id="rId5" Type="http://schemas.openxmlformats.org/officeDocument/2006/relationships/chart" Target="../charts/chart17.xml"/><Relationship Id="rId10" Type="http://schemas.openxmlformats.org/officeDocument/2006/relationships/image" Target="../media/image7.png"/><Relationship Id="rId4" Type="http://schemas.openxmlformats.org/officeDocument/2006/relationships/chart" Target="../charts/chart16.xml"/><Relationship Id="rId9" Type="http://schemas.openxmlformats.org/officeDocument/2006/relationships/hyperlink" Target="#DASHBOARD!A1"/></Relationships>
</file>

<file path=xl/drawings/_rels/drawing4.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chart" Target="../charts/chart21.xml"/><Relationship Id="rId7" Type="http://schemas.openxmlformats.org/officeDocument/2006/relationships/image" Target="../media/image5.png"/><Relationship Id="rId12" Type="http://schemas.openxmlformats.org/officeDocument/2006/relationships/hyperlink" Target="#'DASHBOARD Light'!A1"/><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11" Type="http://schemas.openxmlformats.org/officeDocument/2006/relationships/image" Target="../media/image8.svg"/><Relationship Id="rId5" Type="http://schemas.openxmlformats.org/officeDocument/2006/relationships/chart" Target="../charts/chart23.xml"/><Relationship Id="rId10" Type="http://schemas.openxmlformats.org/officeDocument/2006/relationships/image" Target="../media/image7.png"/><Relationship Id="rId4" Type="http://schemas.openxmlformats.org/officeDocument/2006/relationships/chart" Target="../charts/chart22.xml"/><Relationship Id="rId9" Type="http://schemas.openxmlformats.org/officeDocument/2006/relationships/hyperlink" Target="#'Adv CR'!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441960</xdr:colOff>
      <xdr:row>45</xdr:row>
      <xdr:rowOff>60960</xdr:rowOff>
    </xdr:to>
    <xdr:sp macro="" textlink="">
      <xdr:nvSpPr>
        <xdr:cNvPr id="2" name="Rectangle 1">
          <a:extLst>
            <a:ext uri="{FF2B5EF4-FFF2-40B4-BE49-F238E27FC236}">
              <a16:creationId xmlns:a16="http://schemas.microsoft.com/office/drawing/2014/main" id="{5912892A-49FA-4307-9D2E-3896D96045A6}"/>
            </a:ext>
          </a:extLst>
        </xdr:cNvPr>
        <xdr:cNvSpPr/>
      </xdr:nvSpPr>
      <xdr:spPr>
        <a:xfrm>
          <a:off x="0" y="0"/>
          <a:ext cx="15681960" cy="8290560"/>
        </a:xfrm>
        <a:prstGeom prst="rect">
          <a:avLst/>
        </a:prstGeom>
        <a:gradFill flip="none" rotWithShape="1">
          <a:gsLst>
            <a:gs pos="0">
              <a:srgbClr val="5F6885"/>
            </a:gs>
            <a:gs pos="84000">
              <a:srgbClr val="2A3144"/>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190499</xdr:colOff>
      <xdr:row>3</xdr:row>
      <xdr:rowOff>99059</xdr:rowOff>
    </xdr:from>
    <xdr:to>
      <xdr:col>14</xdr:col>
      <xdr:colOff>373379</xdr:colOff>
      <xdr:row>26</xdr:row>
      <xdr:rowOff>144779</xdr:rowOff>
    </xdr:to>
    <xdr:sp macro="" textlink="">
      <xdr:nvSpPr>
        <xdr:cNvPr id="3" name="Rectangle 2">
          <a:extLst>
            <a:ext uri="{FF2B5EF4-FFF2-40B4-BE49-F238E27FC236}">
              <a16:creationId xmlns:a16="http://schemas.microsoft.com/office/drawing/2014/main" id="{83207742-9453-4D68-AD85-5712F55D2E98}"/>
            </a:ext>
          </a:extLst>
        </xdr:cNvPr>
        <xdr:cNvSpPr/>
      </xdr:nvSpPr>
      <xdr:spPr>
        <a:xfrm>
          <a:off x="1409699" y="647699"/>
          <a:ext cx="7498080" cy="4251960"/>
        </a:xfrm>
        <a:prstGeom prst="rect">
          <a:avLst/>
        </a:prstGeom>
        <a:solidFill>
          <a:srgbClr val="181B2C"/>
        </a:solidFill>
        <a:ln>
          <a:noFill/>
        </a:ln>
        <a:effectLst>
          <a:outerShdw blurRad="50800" dist="1270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190501</xdr:colOff>
      <xdr:row>27</xdr:row>
      <xdr:rowOff>125810</xdr:rowOff>
    </xdr:from>
    <xdr:to>
      <xdr:col>9</xdr:col>
      <xdr:colOff>38101</xdr:colOff>
      <xdr:row>40</xdr:row>
      <xdr:rowOff>4647</xdr:rowOff>
    </xdr:to>
    <xdr:sp macro="" textlink="">
      <xdr:nvSpPr>
        <xdr:cNvPr id="4" name="Rectangle 3">
          <a:extLst>
            <a:ext uri="{FF2B5EF4-FFF2-40B4-BE49-F238E27FC236}">
              <a16:creationId xmlns:a16="http://schemas.microsoft.com/office/drawing/2014/main" id="{8FC06876-A666-4455-BC89-12A6484D513D}"/>
            </a:ext>
          </a:extLst>
        </xdr:cNvPr>
        <xdr:cNvSpPr/>
      </xdr:nvSpPr>
      <xdr:spPr>
        <a:xfrm>
          <a:off x="1409701" y="5063570"/>
          <a:ext cx="4114800" cy="2256277"/>
        </a:xfrm>
        <a:prstGeom prst="rect">
          <a:avLst/>
        </a:prstGeom>
        <a:gradFill>
          <a:gsLst>
            <a:gs pos="0">
              <a:srgbClr val="181B2C"/>
            </a:gs>
            <a:gs pos="100000">
              <a:srgbClr val="272C42"/>
            </a:gs>
          </a:gsLst>
          <a:lin ang="0" scaled="0"/>
        </a:gradFill>
        <a:ln>
          <a:noFill/>
        </a:ln>
        <a:effectLst>
          <a:outerShdw blurRad="50800" dist="1270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9</xdr:col>
      <xdr:colOff>220979</xdr:colOff>
      <xdr:row>27</xdr:row>
      <xdr:rowOff>125810</xdr:rowOff>
    </xdr:from>
    <xdr:to>
      <xdr:col>14</xdr:col>
      <xdr:colOff>373379</xdr:colOff>
      <xdr:row>40</xdr:row>
      <xdr:rowOff>4647</xdr:rowOff>
    </xdr:to>
    <xdr:sp macro="" textlink="">
      <xdr:nvSpPr>
        <xdr:cNvPr id="5" name="Rectangle 4">
          <a:extLst>
            <a:ext uri="{FF2B5EF4-FFF2-40B4-BE49-F238E27FC236}">
              <a16:creationId xmlns:a16="http://schemas.microsoft.com/office/drawing/2014/main" id="{ACF5552B-B12A-4AB4-BDB6-C6800634CB67}"/>
            </a:ext>
          </a:extLst>
        </xdr:cNvPr>
        <xdr:cNvSpPr/>
      </xdr:nvSpPr>
      <xdr:spPr>
        <a:xfrm>
          <a:off x="5707379" y="5063570"/>
          <a:ext cx="3200400" cy="2256277"/>
        </a:xfrm>
        <a:prstGeom prst="rect">
          <a:avLst/>
        </a:prstGeom>
        <a:gradFill>
          <a:gsLst>
            <a:gs pos="0">
              <a:srgbClr val="181B2C"/>
            </a:gs>
            <a:gs pos="100000">
              <a:srgbClr val="272C42"/>
            </a:gs>
          </a:gsLst>
          <a:lin ang="0" scaled="0"/>
        </a:gradFill>
        <a:ln>
          <a:noFill/>
        </a:ln>
        <a:effectLst>
          <a:outerShdw blurRad="50800" dist="1270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14</xdr:col>
      <xdr:colOff>536804</xdr:colOff>
      <xdr:row>3</xdr:row>
      <xdr:rowOff>99058</xdr:rowOff>
    </xdr:from>
    <xdr:to>
      <xdr:col>21</xdr:col>
      <xdr:colOff>201524</xdr:colOff>
      <xdr:row>20</xdr:row>
      <xdr:rowOff>7618</xdr:rowOff>
    </xdr:to>
    <xdr:sp macro="" textlink="">
      <xdr:nvSpPr>
        <xdr:cNvPr id="6" name="Rectangle 5">
          <a:extLst>
            <a:ext uri="{FF2B5EF4-FFF2-40B4-BE49-F238E27FC236}">
              <a16:creationId xmlns:a16="http://schemas.microsoft.com/office/drawing/2014/main" id="{056C0989-ADBE-4AA9-9307-B1BFA74CE78D}"/>
            </a:ext>
          </a:extLst>
        </xdr:cNvPr>
        <xdr:cNvSpPr/>
      </xdr:nvSpPr>
      <xdr:spPr>
        <a:xfrm>
          <a:off x="9071204" y="647698"/>
          <a:ext cx="3931920" cy="3017520"/>
        </a:xfrm>
        <a:prstGeom prst="rect">
          <a:avLst/>
        </a:prstGeom>
        <a:gradFill>
          <a:gsLst>
            <a:gs pos="0">
              <a:srgbClr val="181B2C"/>
            </a:gs>
            <a:gs pos="100000">
              <a:srgbClr val="272C42"/>
            </a:gs>
          </a:gsLst>
          <a:lin ang="0" scaled="0"/>
        </a:gradFill>
        <a:ln>
          <a:noFill/>
        </a:ln>
        <a:effectLst>
          <a:outerShdw blurRad="50800" dist="1270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14</xdr:col>
      <xdr:colOff>536804</xdr:colOff>
      <xdr:row>21</xdr:row>
      <xdr:rowOff>4647</xdr:rowOff>
    </xdr:from>
    <xdr:to>
      <xdr:col>21</xdr:col>
      <xdr:colOff>201524</xdr:colOff>
      <xdr:row>40</xdr:row>
      <xdr:rowOff>4647</xdr:rowOff>
    </xdr:to>
    <xdr:sp macro="" textlink="">
      <xdr:nvSpPr>
        <xdr:cNvPr id="7" name="Rectangle 6">
          <a:extLst>
            <a:ext uri="{FF2B5EF4-FFF2-40B4-BE49-F238E27FC236}">
              <a16:creationId xmlns:a16="http://schemas.microsoft.com/office/drawing/2014/main" id="{D6ED0EB6-8577-4019-BE22-652A734F3B37}"/>
            </a:ext>
          </a:extLst>
        </xdr:cNvPr>
        <xdr:cNvSpPr/>
      </xdr:nvSpPr>
      <xdr:spPr>
        <a:xfrm>
          <a:off x="9071204" y="3845127"/>
          <a:ext cx="3931920" cy="3474720"/>
        </a:xfrm>
        <a:prstGeom prst="rect">
          <a:avLst/>
        </a:prstGeom>
        <a:gradFill>
          <a:gsLst>
            <a:gs pos="0">
              <a:srgbClr val="181B2C"/>
            </a:gs>
            <a:gs pos="100000">
              <a:srgbClr val="272C42"/>
            </a:gs>
          </a:gsLst>
          <a:lin ang="0" scaled="0"/>
        </a:gradFill>
        <a:ln>
          <a:noFill/>
        </a:ln>
        <a:effectLst>
          <a:outerShdw blurRad="50800" dist="1270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365760</xdr:colOff>
      <xdr:row>9</xdr:row>
      <xdr:rowOff>83820</xdr:rowOff>
    </xdr:from>
    <xdr:to>
      <xdr:col>14</xdr:col>
      <xdr:colOff>251460</xdr:colOff>
      <xdr:row>25</xdr:row>
      <xdr:rowOff>83820</xdr:rowOff>
    </xdr:to>
    <xdr:graphicFrame macro="">
      <xdr:nvGraphicFramePr>
        <xdr:cNvPr id="8" name="Chart 7">
          <a:extLst>
            <a:ext uri="{FF2B5EF4-FFF2-40B4-BE49-F238E27FC236}">
              <a16:creationId xmlns:a16="http://schemas.microsoft.com/office/drawing/2014/main" id="{93BFFC62-A769-4599-B0A5-50F4CB7FF4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582524</xdr:colOff>
      <xdr:row>26</xdr:row>
      <xdr:rowOff>60960</xdr:rowOff>
    </xdr:from>
    <xdr:to>
      <xdr:col>21</xdr:col>
      <xdr:colOff>155804</xdr:colOff>
      <xdr:row>39</xdr:row>
      <xdr:rowOff>60960</xdr:rowOff>
    </xdr:to>
    <xdr:graphicFrame macro="">
      <xdr:nvGraphicFramePr>
        <xdr:cNvPr id="9" name="Chart 8">
          <a:extLst>
            <a:ext uri="{FF2B5EF4-FFF2-40B4-BE49-F238E27FC236}">
              <a16:creationId xmlns:a16="http://schemas.microsoft.com/office/drawing/2014/main" id="{601147E6-2EE9-4D7D-A48C-2E208ED391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396240</xdr:colOff>
      <xdr:row>6</xdr:row>
      <xdr:rowOff>129540</xdr:rowOff>
    </xdr:from>
    <xdr:to>
      <xdr:col>20</xdr:col>
      <xdr:colOff>335280</xdr:colOff>
      <xdr:row>20</xdr:row>
      <xdr:rowOff>38100</xdr:rowOff>
    </xdr:to>
    <xdr:graphicFrame macro="">
      <xdr:nvGraphicFramePr>
        <xdr:cNvPr id="10" name="Chart 9">
          <a:extLst>
            <a:ext uri="{FF2B5EF4-FFF2-40B4-BE49-F238E27FC236}">
              <a16:creationId xmlns:a16="http://schemas.microsoft.com/office/drawing/2014/main" id="{03CA2F1D-B135-4244-8365-3E87C64CBC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320040</xdr:colOff>
      <xdr:row>30</xdr:row>
      <xdr:rowOff>152400</xdr:rowOff>
    </xdr:from>
    <xdr:to>
      <xdr:col>12</xdr:col>
      <xdr:colOff>45720</xdr:colOff>
      <xdr:row>39</xdr:row>
      <xdr:rowOff>60960</xdr:rowOff>
    </xdr:to>
    <xdr:graphicFrame macro="">
      <xdr:nvGraphicFramePr>
        <xdr:cNvPr id="11" name="Chart 10">
          <a:extLst>
            <a:ext uri="{FF2B5EF4-FFF2-40B4-BE49-F238E27FC236}">
              <a16:creationId xmlns:a16="http://schemas.microsoft.com/office/drawing/2014/main" id="{CBA5FAAA-BA46-40D2-89C1-417B2402D1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563880</xdr:colOff>
      <xdr:row>30</xdr:row>
      <xdr:rowOff>152400</xdr:rowOff>
    </xdr:from>
    <xdr:to>
      <xdr:col>14</xdr:col>
      <xdr:colOff>289560</xdr:colOff>
      <xdr:row>39</xdr:row>
      <xdr:rowOff>60960</xdr:rowOff>
    </xdr:to>
    <xdr:graphicFrame macro="">
      <xdr:nvGraphicFramePr>
        <xdr:cNvPr id="12" name="Chart 11">
          <a:extLst>
            <a:ext uri="{FF2B5EF4-FFF2-40B4-BE49-F238E27FC236}">
              <a16:creationId xmlns:a16="http://schemas.microsoft.com/office/drawing/2014/main" id="{35CB2C67-9CA7-4828-9A1D-EC0BCB57E9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518160</xdr:colOff>
      <xdr:row>30</xdr:row>
      <xdr:rowOff>167640</xdr:rowOff>
    </xdr:from>
    <xdr:to>
      <xdr:col>8</xdr:col>
      <xdr:colOff>480060</xdr:colOff>
      <xdr:row>39</xdr:row>
      <xdr:rowOff>45720</xdr:rowOff>
    </xdr:to>
    <xdr:graphicFrame macro="">
      <xdr:nvGraphicFramePr>
        <xdr:cNvPr id="13" name="Chart 12">
          <a:extLst>
            <a:ext uri="{FF2B5EF4-FFF2-40B4-BE49-F238E27FC236}">
              <a16:creationId xmlns:a16="http://schemas.microsoft.com/office/drawing/2014/main" id="{82BD40A3-8707-4882-9F89-E4D20BC661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472440</xdr:colOff>
      <xdr:row>4</xdr:row>
      <xdr:rowOff>99060</xdr:rowOff>
    </xdr:from>
    <xdr:to>
      <xdr:col>10</xdr:col>
      <xdr:colOff>403860</xdr:colOff>
      <xdr:row>7</xdr:row>
      <xdr:rowOff>60960</xdr:rowOff>
    </xdr:to>
    <xdr:sp macro="" textlink="Processing!A1">
      <xdr:nvSpPr>
        <xdr:cNvPr id="14" name="TextBox 13">
          <a:extLst>
            <a:ext uri="{FF2B5EF4-FFF2-40B4-BE49-F238E27FC236}">
              <a16:creationId xmlns:a16="http://schemas.microsoft.com/office/drawing/2014/main" id="{A5089817-7C99-408A-A7BE-A16DFA79011F}"/>
            </a:ext>
          </a:extLst>
        </xdr:cNvPr>
        <xdr:cNvSpPr txBox="1"/>
      </xdr:nvSpPr>
      <xdr:spPr>
        <a:xfrm>
          <a:off x="1691640" y="830580"/>
          <a:ext cx="4808220"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389ECA2-5FCB-4E1A-B654-0E6B3094494A}" type="TxLink">
            <a:rPr lang="en-US" sz="2400" b="0" i="0" u="none" strike="noStrike">
              <a:gradFill>
                <a:gsLst>
                  <a:gs pos="9000">
                    <a:srgbClr val="1AFFD5"/>
                  </a:gs>
                  <a:gs pos="89000">
                    <a:srgbClr val="9980FF"/>
                  </a:gs>
                </a:gsLst>
                <a:lin ang="0" scaled="0"/>
              </a:gradFill>
              <a:latin typeface="Aptos Narrow"/>
              <a:ea typeface="+mn-ea"/>
              <a:cs typeface="+mn-cs"/>
            </a:rPr>
            <a:pPr marL="0" indent="0"/>
            <a:t>Click-Through Rate vs Conversion Rate</a:t>
          </a:fld>
          <a:endParaRPr lang="ru-RU" sz="2400" b="0" i="0" u="none" strike="noStrike">
            <a:gradFill>
              <a:gsLst>
                <a:gs pos="9000">
                  <a:srgbClr val="1AFFD5"/>
                </a:gs>
                <a:gs pos="89000">
                  <a:srgbClr val="9980FF"/>
                </a:gs>
              </a:gsLst>
              <a:lin ang="0" scaled="0"/>
            </a:gradFill>
            <a:latin typeface="Aptos Narrow"/>
            <a:ea typeface="+mn-ea"/>
            <a:cs typeface="+mn-cs"/>
          </a:endParaRPr>
        </a:p>
      </xdr:txBody>
    </xdr:sp>
    <xdr:clientData/>
  </xdr:twoCellAnchor>
  <xdr:twoCellAnchor>
    <xdr:from>
      <xdr:col>4</xdr:col>
      <xdr:colOff>114300</xdr:colOff>
      <xdr:row>6</xdr:row>
      <xdr:rowOff>167640</xdr:rowOff>
    </xdr:from>
    <xdr:to>
      <xdr:col>5</xdr:col>
      <xdr:colOff>91440</xdr:colOff>
      <xdr:row>9</xdr:row>
      <xdr:rowOff>7620</xdr:rowOff>
    </xdr:to>
    <xdr:sp macro="" textlink="Processing!B1">
      <xdr:nvSpPr>
        <xdr:cNvPr id="15" name="TextBox 14">
          <a:extLst>
            <a:ext uri="{FF2B5EF4-FFF2-40B4-BE49-F238E27FC236}">
              <a16:creationId xmlns:a16="http://schemas.microsoft.com/office/drawing/2014/main" id="{EBB6C555-FB81-492D-8B93-C2ED1A76CF69}"/>
            </a:ext>
          </a:extLst>
        </xdr:cNvPr>
        <xdr:cNvSpPr txBox="1"/>
      </xdr:nvSpPr>
      <xdr:spPr>
        <a:xfrm>
          <a:off x="2552700" y="1264920"/>
          <a:ext cx="58674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E62AE8F-1064-48B8-A6F0-AA6EF4145BA7}" type="TxLink">
            <a:rPr lang="en-US" sz="1800" b="0" i="0" u="none" strike="noStrike">
              <a:solidFill>
                <a:schemeClr val="bg1"/>
              </a:solidFill>
              <a:latin typeface="Aptos Narrow"/>
              <a:ea typeface="+mn-ea"/>
              <a:cs typeface="+mn-cs"/>
            </a:rPr>
            <a:pPr marL="0" indent="0"/>
            <a:t>CTR</a:t>
          </a:fld>
          <a:endParaRPr lang="ru-RU" sz="4000" b="0" i="0" u="none" strike="noStrike">
            <a:solidFill>
              <a:schemeClr val="bg1"/>
            </a:solidFill>
            <a:latin typeface="Aptos Narrow"/>
            <a:ea typeface="+mn-ea"/>
            <a:cs typeface="+mn-cs"/>
          </a:endParaRPr>
        </a:p>
      </xdr:txBody>
    </xdr:sp>
    <xdr:clientData/>
  </xdr:twoCellAnchor>
  <xdr:twoCellAnchor>
    <xdr:from>
      <xdr:col>6</xdr:col>
      <xdr:colOff>297180</xdr:colOff>
      <xdr:row>6</xdr:row>
      <xdr:rowOff>175260</xdr:rowOff>
    </xdr:from>
    <xdr:to>
      <xdr:col>7</xdr:col>
      <xdr:colOff>274320</xdr:colOff>
      <xdr:row>9</xdr:row>
      <xdr:rowOff>15240</xdr:rowOff>
    </xdr:to>
    <xdr:sp macro="" textlink="Processing!C1">
      <xdr:nvSpPr>
        <xdr:cNvPr id="16" name="TextBox 15">
          <a:extLst>
            <a:ext uri="{FF2B5EF4-FFF2-40B4-BE49-F238E27FC236}">
              <a16:creationId xmlns:a16="http://schemas.microsoft.com/office/drawing/2014/main" id="{D056DFC3-EFED-4053-B6C6-9C46DCCB3CC6}"/>
            </a:ext>
          </a:extLst>
        </xdr:cNvPr>
        <xdr:cNvSpPr txBox="1"/>
      </xdr:nvSpPr>
      <xdr:spPr>
        <a:xfrm>
          <a:off x="3954780" y="1272540"/>
          <a:ext cx="58674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C9EDD5B-41FB-44C2-A05E-8B221730B7AB}" type="TxLink">
            <a:rPr lang="en-US" sz="1800" b="0" i="0" u="none" strike="noStrike">
              <a:solidFill>
                <a:schemeClr val="bg1"/>
              </a:solidFill>
              <a:latin typeface="Aptos Narrow"/>
              <a:ea typeface="+mn-ea"/>
              <a:cs typeface="+mn-cs"/>
            </a:rPr>
            <a:pPr marL="0" indent="0"/>
            <a:t>CR</a:t>
          </a:fld>
          <a:endParaRPr lang="ru-RU" sz="1800" b="0" i="0" u="none" strike="noStrike">
            <a:solidFill>
              <a:schemeClr val="bg1"/>
            </a:solidFill>
            <a:latin typeface="Aptos Narrow"/>
            <a:ea typeface="+mn-ea"/>
            <a:cs typeface="+mn-cs"/>
          </a:endParaRPr>
        </a:p>
      </xdr:txBody>
    </xdr:sp>
    <xdr:clientData/>
  </xdr:twoCellAnchor>
  <xdr:twoCellAnchor>
    <xdr:from>
      <xdr:col>4</xdr:col>
      <xdr:colOff>587747</xdr:colOff>
      <xdr:row>6</xdr:row>
      <xdr:rowOff>167640</xdr:rowOff>
    </xdr:from>
    <xdr:to>
      <xdr:col>6</xdr:col>
      <xdr:colOff>227593</xdr:colOff>
      <xdr:row>9</xdr:row>
      <xdr:rowOff>7620</xdr:rowOff>
    </xdr:to>
    <xdr:sp macro="" textlink="Processing!D14">
      <xdr:nvSpPr>
        <xdr:cNvPr id="17" name="TextBox 16">
          <a:extLst>
            <a:ext uri="{FF2B5EF4-FFF2-40B4-BE49-F238E27FC236}">
              <a16:creationId xmlns:a16="http://schemas.microsoft.com/office/drawing/2014/main" id="{798D3EBC-FA6C-48E3-89E1-EC691F4AF7F9}"/>
            </a:ext>
          </a:extLst>
        </xdr:cNvPr>
        <xdr:cNvSpPr txBox="1"/>
      </xdr:nvSpPr>
      <xdr:spPr>
        <a:xfrm>
          <a:off x="3026147" y="1264920"/>
          <a:ext cx="859046"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A554EC0-5C9B-445B-B74D-80359F427E5A}" type="TxLink">
            <a:rPr lang="en-US" sz="2000" b="0" i="0" u="none" strike="noStrike">
              <a:solidFill>
                <a:srgbClr val="1AFFD5"/>
              </a:solidFill>
              <a:latin typeface="Aptos Narrow"/>
              <a:ea typeface="+mn-ea"/>
              <a:cs typeface="+mn-cs"/>
            </a:rPr>
            <a:pPr marL="0" indent="0" algn="l"/>
            <a:t>8.3%</a:t>
          </a:fld>
          <a:endParaRPr lang="ru-RU" sz="6600" b="0" i="0" u="none" strike="noStrike">
            <a:solidFill>
              <a:srgbClr val="1AFFD5"/>
            </a:solidFill>
            <a:latin typeface="Aptos Narrow"/>
            <a:ea typeface="+mn-ea"/>
            <a:cs typeface="+mn-cs"/>
          </a:endParaRPr>
        </a:p>
      </xdr:txBody>
    </xdr:sp>
    <xdr:clientData/>
  </xdr:twoCellAnchor>
  <xdr:twoCellAnchor>
    <xdr:from>
      <xdr:col>7</xdr:col>
      <xdr:colOff>84827</xdr:colOff>
      <xdr:row>6</xdr:row>
      <xdr:rowOff>167640</xdr:rowOff>
    </xdr:from>
    <xdr:to>
      <xdr:col>8</xdr:col>
      <xdr:colOff>334273</xdr:colOff>
      <xdr:row>9</xdr:row>
      <xdr:rowOff>7620</xdr:rowOff>
    </xdr:to>
    <xdr:sp macro="" textlink="Processing!E14">
      <xdr:nvSpPr>
        <xdr:cNvPr id="18" name="TextBox 17">
          <a:extLst>
            <a:ext uri="{FF2B5EF4-FFF2-40B4-BE49-F238E27FC236}">
              <a16:creationId xmlns:a16="http://schemas.microsoft.com/office/drawing/2014/main" id="{192A2513-3750-4E12-A3F2-4EBBE16B422C}"/>
            </a:ext>
          </a:extLst>
        </xdr:cNvPr>
        <xdr:cNvSpPr txBox="1"/>
      </xdr:nvSpPr>
      <xdr:spPr>
        <a:xfrm>
          <a:off x="4352027" y="1264920"/>
          <a:ext cx="859046"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8054028-52BC-484C-B26C-53E0EF08FF16}" type="TxLink">
            <a:rPr lang="en-US" sz="2000" b="0" i="0" u="none" strike="noStrike">
              <a:solidFill>
                <a:srgbClr val="9980FF"/>
              </a:solidFill>
              <a:latin typeface="Aptos Narrow"/>
              <a:ea typeface="+mn-ea"/>
              <a:cs typeface="+mn-cs"/>
            </a:rPr>
            <a:pPr marL="0" indent="0" algn="l"/>
            <a:t>8.3%</a:t>
          </a:fld>
          <a:endParaRPr lang="ru-RU" sz="2000" b="0" i="0" u="none" strike="noStrike">
            <a:solidFill>
              <a:srgbClr val="9980FF"/>
            </a:solidFill>
            <a:latin typeface="Aptos Narrow"/>
            <a:ea typeface="+mn-ea"/>
            <a:cs typeface="+mn-cs"/>
          </a:endParaRPr>
        </a:p>
      </xdr:txBody>
    </xdr:sp>
    <xdr:clientData/>
  </xdr:twoCellAnchor>
  <xdr:twoCellAnchor>
    <xdr:from>
      <xdr:col>14</xdr:col>
      <xdr:colOff>589573</xdr:colOff>
      <xdr:row>4</xdr:row>
      <xdr:rowOff>79248</xdr:rowOff>
    </xdr:from>
    <xdr:to>
      <xdr:col>21</xdr:col>
      <xdr:colOff>148756</xdr:colOff>
      <xdr:row>6</xdr:row>
      <xdr:rowOff>106680</xdr:rowOff>
    </xdr:to>
    <xdr:sp macro="" textlink="Processing!O1">
      <xdr:nvSpPr>
        <xdr:cNvPr id="19" name="TextBox 18">
          <a:extLst>
            <a:ext uri="{FF2B5EF4-FFF2-40B4-BE49-F238E27FC236}">
              <a16:creationId xmlns:a16="http://schemas.microsoft.com/office/drawing/2014/main" id="{169A0492-182E-4BE6-9204-ECBF7CC00AC7}"/>
            </a:ext>
          </a:extLst>
        </xdr:cNvPr>
        <xdr:cNvSpPr txBox="1"/>
      </xdr:nvSpPr>
      <xdr:spPr>
        <a:xfrm>
          <a:off x="9123973" y="810768"/>
          <a:ext cx="3826383"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B94635E-29AF-4648-9B8E-54AC3C2B778D}" type="TxLink">
            <a:rPr lang="en-US" sz="1600" b="0" i="0" u="none" strike="noStrike">
              <a:solidFill>
                <a:schemeClr val="bg1"/>
              </a:solidFill>
              <a:latin typeface="Aptos Narrow"/>
              <a:ea typeface="+mn-ea"/>
              <a:cs typeface="+mn-cs"/>
            </a:rPr>
            <a:pPr marL="0" indent="0" algn="ctr"/>
            <a:t>User Behavior Breakdown After Ad Click</a:t>
          </a:fld>
          <a:endParaRPr lang="ru-RU" sz="3600" b="0" i="0" u="none" strike="noStrike">
            <a:solidFill>
              <a:schemeClr val="bg1"/>
            </a:solidFill>
            <a:latin typeface="Aptos Narrow"/>
            <a:ea typeface="+mn-ea"/>
            <a:cs typeface="+mn-cs"/>
          </a:endParaRPr>
        </a:p>
      </xdr:txBody>
    </xdr:sp>
    <xdr:clientData/>
  </xdr:twoCellAnchor>
  <xdr:twoCellAnchor>
    <xdr:from>
      <xdr:col>19</xdr:col>
      <xdr:colOff>114300</xdr:colOff>
      <xdr:row>13</xdr:row>
      <xdr:rowOff>137160</xdr:rowOff>
    </xdr:from>
    <xdr:to>
      <xdr:col>21</xdr:col>
      <xdr:colOff>45720</xdr:colOff>
      <xdr:row>15</xdr:row>
      <xdr:rowOff>99060</xdr:rowOff>
    </xdr:to>
    <xdr:sp macro="" textlink="Processing!O3">
      <xdr:nvSpPr>
        <xdr:cNvPr id="20" name="TextBox 19">
          <a:extLst>
            <a:ext uri="{FF2B5EF4-FFF2-40B4-BE49-F238E27FC236}">
              <a16:creationId xmlns:a16="http://schemas.microsoft.com/office/drawing/2014/main" id="{B34381D8-7410-4B78-AF6F-94B540E14CF6}"/>
            </a:ext>
          </a:extLst>
        </xdr:cNvPr>
        <xdr:cNvSpPr txBox="1"/>
      </xdr:nvSpPr>
      <xdr:spPr>
        <a:xfrm>
          <a:off x="11696700" y="2514600"/>
          <a:ext cx="1150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6B15C8A-AB24-43BE-9219-3B5F6312F3A2}" type="TxLink">
            <a:rPr lang="en-US" sz="1100" b="0" i="0" u="none" strike="noStrike">
              <a:solidFill>
                <a:schemeClr val="bg1"/>
              </a:solidFill>
              <a:latin typeface="Aptos Narrow"/>
              <a:ea typeface="+mn-ea"/>
              <a:cs typeface="+mn-cs"/>
            </a:rPr>
            <a:pPr marL="0" indent="0"/>
            <a:t>Watched Video</a:t>
          </a:fld>
          <a:endParaRPr lang="ru-RU" sz="3200" b="0" i="0" u="none" strike="noStrike">
            <a:solidFill>
              <a:schemeClr val="bg1"/>
            </a:solidFill>
            <a:latin typeface="Aptos Narrow"/>
            <a:ea typeface="+mn-ea"/>
            <a:cs typeface="+mn-cs"/>
          </a:endParaRPr>
        </a:p>
      </xdr:txBody>
    </xdr:sp>
    <xdr:clientData/>
  </xdr:twoCellAnchor>
  <xdr:twoCellAnchor>
    <xdr:from>
      <xdr:col>19</xdr:col>
      <xdr:colOff>114300</xdr:colOff>
      <xdr:row>15</xdr:row>
      <xdr:rowOff>87630</xdr:rowOff>
    </xdr:from>
    <xdr:to>
      <xdr:col>21</xdr:col>
      <xdr:colOff>45720</xdr:colOff>
      <xdr:row>17</xdr:row>
      <xdr:rowOff>49530</xdr:rowOff>
    </xdr:to>
    <xdr:sp macro="" textlink="Processing!P3">
      <xdr:nvSpPr>
        <xdr:cNvPr id="21" name="TextBox 20">
          <a:extLst>
            <a:ext uri="{FF2B5EF4-FFF2-40B4-BE49-F238E27FC236}">
              <a16:creationId xmlns:a16="http://schemas.microsoft.com/office/drawing/2014/main" id="{F6925AF9-F1C2-40F2-96E3-BFD3E103D0DA}"/>
            </a:ext>
          </a:extLst>
        </xdr:cNvPr>
        <xdr:cNvSpPr txBox="1"/>
      </xdr:nvSpPr>
      <xdr:spPr>
        <a:xfrm>
          <a:off x="11696700" y="2830830"/>
          <a:ext cx="1150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9A5041C-CF67-4F72-A7FD-5A547A452746}" type="TxLink">
            <a:rPr lang="en-US" sz="1100" b="0" i="0" u="none" strike="noStrike">
              <a:solidFill>
                <a:schemeClr val="bg1"/>
              </a:solidFill>
              <a:latin typeface="Aptos Narrow"/>
              <a:ea typeface="+mn-ea"/>
              <a:cs typeface="+mn-cs"/>
            </a:rPr>
            <a:pPr marL="0" indent="0"/>
            <a:t>Button Click Rate</a:t>
          </a:fld>
          <a:endParaRPr lang="ru-RU" sz="3200" b="0" i="0" u="none" strike="noStrike">
            <a:solidFill>
              <a:schemeClr val="bg1"/>
            </a:solidFill>
            <a:latin typeface="Aptos Narrow"/>
            <a:ea typeface="+mn-ea"/>
            <a:cs typeface="+mn-cs"/>
          </a:endParaRPr>
        </a:p>
      </xdr:txBody>
    </xdr:sp>
    <xdr:clientData/>
  </xdr:twoCellAnchor>
  <xdr:twoCellAnchor>
    <xdr:from>
      <xdr:col>19</xdr:col>
      <xdr:colOff>114300</xdr:colOff>
      <xdr:row>17</xdr:row>
      <xdr:rowOff>38100</xdr:rowOff>
    </xdr:from>
    <xdr:to>
      <xdr:col>21</xdr:col>
      <xdr:colOff>45720</xdr:colOff>
      <xdr:row>19</xdr:row>
      <xdr:rowOff>0</xdr:rowOff>
    </xdr:to>
    <xdr:sp macro="" textlink="Processing!Q3">
      <xdr:nvSpPr>
        <xdr:cNvPr id="22" name="TextBox 21">
          <a:extLst>
            <a:ext uri="{FF2B5EF4-FFF2-40B4-BE49-F238E27FC236}">
              <a16:creationId xmlns:a16="http://schemas.microsoft.com/office/drawing/2014/main" id="{53DA142C-78C8-4A3F-A8BE-C159DA1FD44F}"/>
            </a:ext>
          </a:extLst>
        </xdr:cNvPr>
        <xdr:cNvSpPr txBox="1"/>
      </xdr:nvSpPr>
      <xdr:spPr>
        <a:xfrm>
          <a:off x="11696700" y="3147060"/>
          <a:ext cx="1150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4CDC8D7-FF26-4565-BF42-CE5FB9E25284}" type="TxLink">
            <a:rPr lang="en-US" sz="1100" b="0" i="0" u="none" strike="noStrike">
              <a:solidFill>
                <a:schemeClr val="bg1"/>
              </a:solidFill>
              <a:latin typeface="Aptos Narrow"/>
              <a:ea typeface="+mn-ea"/>
              <a:cs typeface="+mn-cs"/>
            </a:rPr>
            <a:pPr marL="0" indent="0"/>
            <a:t>Did Not Convert</a:t>
          </a:fld>
          <a:endParaRPr lang="ru-RU" sz="3200" b="0" i="0" u="none" strike="noStrike">
            <a:solidFill>
              <a:schemeClr val="bg1"/>
            </a:solidFill>
            <a:latin typeface="Aptos Narrow"/>
            <a:ea typeface="+mn-ea"/>
            <a:cs typeface="+mn-cs"/>
          </a:endParaRPr>
        </a:p>
      </xdr:txBody>
    </xdr:sp>
    <xdr:clientData/>
  </xdr:twoCellAnchor>
  <xdr:twoCellAnchor>
    <xdr:from>
      <xdr:col>18</xdr:col>
      <xdr:colOff>586740</xdr:colOff>
      <xdr:row>17</xdr:row>
      <xdr:rowOff>91440</xdr:rowOff>
    </xdr:from>
    <xdr:to>
      <xdr:col>19</xdr:col>
      <xdr:colOff>114300</xdr:colOff>
      <xdr:row>18</xdr:row>
      <xdr:rowOff>45720</xdr:rowOff>
    </xdr:to>
    <xdr:sp macro="" textlink="">
      <xdr:nvSpPr>
        <xdr:cNvPr id="23" name="Oval 22">
          <a:extLst>
            <a:ext uri="{FF2B5EF4-FFF2-40B4-BE49-F238E27FC236}">
              <a16:creationId xmlns:a16="http://schemas.microsoft.com/office/drawing/2014/main" id="{C5C0994F-3586-404A-95B7-0F5D23E405BA}"/>
            </a:ext>
          </a:extLst>
        </xdr:cNvPr>
        <xdr:cNvSpPr/>
      </xdr:nvSpPr>
      <xdr:spPr>
        <a:xfrm>
          <a:off x="11559540" y="3200400"/>
          <a:ext cx="137160" cy="137160"/>
        </a:xfrm>
        <a:prstGeom prst="ellipse">
          <a:avLst/>
        </a:prstGeom>
        <a:noFill/>
        <a:ln>
          <a:solidFill>
            <a:srgbClr val="A5ABB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586740</xdr:colOff>
      <xdr:row>15</xdr:row>
      <xdr:rowOff>144780</xdr:rowOff>
    </xdr:from>
    <xdr:to>
      <xdr:col>19</xdr:col>
      <xdr:colOff>114300</xdr:colOff>
      <xdr:row>16</xdr:row>
      <xdr:rowOff>99060</xdr:rowOff>
    </xdr:to>
    <xdr:sp macro="" textlink="">
      <xdr:nvSpPr>
        <xdr:cNvPr id="24" name="Oval 23">
          <a:extLst>
            <a:ext uri="{FF2B5EF4-FFF2-40B4-BE49-F238E27FC236}">
              <a16:creationId xmlns:a16="http://schemas.microsoft.com/office/drawing/2014/main" id="{C0A31B30-7E27-4DAD-A2F8-4D01721872F4}"/>
            </a:ext>
          </a:extLst>
        </xdr:cNvPr>
        <xdr:cNvSpPr/>
      </xdr:nvSpPr>
      <xdr:spPr>
        <a:xfrm>
          <a:off x="11559540" y="2887980"/>
          <a:ext cx="137160" cy="137160"/>
        </a:xfrm>
        <a:prstGeom prst="ellipse">
          <a:avLst/>
        </a:prstGeom>
        <a:noFill/>
        <a:ln>
          <a:gradFill flip="none" rotWithShape="1">
            <a:gsLst>
              <a:gs pos="0">
                <a:srgbClr val="F9F871"/>
              </a:gs>
              <a:gs pos="84000">
                <a:srgbClr val="E34F10"/>
              </a:gs>
            </a:gsLst>
            <a:path path="circle">
              <a:fillToRect l="100000" t="100000"/>
            </a:path>
            <a:tileRect r="-100000" b="-100000"/>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gradFill>
              <a:gsLst>
                <a:gs pos="0">
                  <a:srgbClr val="F9F871"/>
                </a:gs>
                <a:gs pos="100000">
                  <a:srgbClr val="E34F10"/>
                </a:gs>
              </a:gsLst>
              <a:path path="circle">
                <a:fillToRect l="100000" b="100000"/>
              </a:path>
            </a:gradFill>
          </a:endParaRPr>
        </a:p>
      </xdr:txBody>
    </xdr:sp>
    <xdr:clientData/>
  </xdr:twoCellAnchor>
  <xdr:twoCellAnchor>
    <xdr:from>
      <xdr:col>18</xdr:col>
      <xdr:colOff>586740</xdr:colOff>
      <xdr:row>14</xdr:row>
      <xdr:rowOff>15240</xdr:rowOff>
    </xdr:from>
    <xdr:to>
      <xdr:col>19</xdr:col>
      <xdr:colOff>114300</xdr:colOff>
      <xdr:row>14</xdr:row>
      <xdr:rowOff>152400</xdr:rowOff>
    </xdr:to>
    <xdr:sp macro="" textlink="">
      <xdr:nvSpPr>
        <xdr:cNvPr id="25" name="Oval 24">
          <a:extLst>
            <a:ext uri="{FF2B5EF4-FFF2-40B4-BE49-F238E27FC236}">
              <a16:creationId xmlns:a16="http://schemas.microsoft.com/office/drawing/2014/main" id="{2B4449E7-A6CB-443E-894F-006671F885D5}"/>
            </a:ext>
          </a:extLst>
        </xdr:cNvPr>
        <xdr:cNvSpPr/>
      </xdr:nvSpPr>
      <xdr:spPr>
        <a:xfrm>
          <a:off x="11559540" y="2575560"/>
          <a:ext cx="137160" cy="137160"/>
        </a:xfrm>
        <a:prstGeom prst="ellipse">
          <a:avLst/>
        </a:prstGeom>
        <a:noFill/>
        <a:ln>
          <a:solidFill>
            <a:srgbClr val="1AFFD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162267</xdr:colOff>
      <xdr:row>11</xdr:row>
      <xdr:rowOff>123181</xdr:rowOff>
    </xdr:from>
    <xdr:to>
      <xdr:col>17</xdr:col>
      <xdr:colOff>592113</xdr:colOff>
      <xdr:row>14</xdr:row>
      <xdr:rowOff>143519</xdr:rowOff>
    </xdr:to>
    <xdr:sp macro="" textlink="Processing!P4">
      <xdr:nvSpPr>
        <xdr:cNvPr id="26" name="TextBox 25">
          <a:extLst>
            <a:ext uri="{FF2B5EF4-FFF2-40B4-BE49-F238E27FC236}">
              <a16:creationId xmlns:a16="http://schemas.microsoft.com/office/drawing/2014/main" id="{3315556E-5BF2-4215-8D7B-3CD707E4ABF1}"/>
            </a:ext>
          </a:extLst>
        </xdr:cNvPr>
        <xdr:cNvSpPr txBox="1"/>
      </xdr:nvSpPr>
      <xdr:spPr>
        <a:xfrm>
          <a:off x="9915867" y="2134861"/>
          <a:ext cx="1039446" cy="568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30B2697-2EAA-4E17-9672-4AAB931F52F8}" type="TxLink">
            <a:rPr lang="en-US" sz="2800" b="0" i="0" u="none" strike="noStrike">
              <a:solidFill>
                <a:schemeClr val="bg1"/>
              </a:solidFill>
              <a:latin typeface="Aptos Narrow"/>
              <a:ea typeface="+mn-ea"/>
              <a:cs typeface="+mn-cs"/>
            </a:rPr>
            <a:pPr marL="0" indent="0" algn="ctr"/>
            <a:t>63%</a:t>
          </a:fld>
          <a:endParaRPr lang="ru-RU" sz="16600" b="0" i="0" u="none" strike="noStrike">
            <a:solidFill>
              <a:schemeClr val="bg1"/>
            </a:solidFill>
            <a:latin typeface="Aptos Narrow"/>
            <a:ea typeface="+mn-ea"/>
            <a:cs typeface="+mn-cs"/>
          </a:endParaRPr>
        </a:p>
      </xdr:txBody>
    </xdr:sp>
    <xdr:clientData/>
  </xdr:twoCellAnchor>
  <xdr:twoCellAnchor>
    <xdr:from>
      <xdr:col>14</xdr:col>
      <xdr:colOff>589573</xdr:colOff>
      <xdr:row>21</xdr:row>
      <xdr:rowOff>170688</xdr:rowOff>
    </xdr:from>
    <xdr:to>
      <xdr:col>21</xdr:col>
      <xdr:colOff>148756</xdr:colOff>
      <xdr:row>24</xdr:row>
      <xdr:rowOff>15240</xdr:rowOff>
    </xdr:to>
    <xdr:sp macro="" textlink="Processing!I1">
      <xdr:nvSpPr>
        <xdr:cNvPr id="27" name="TextBox 26">
          <a:extLst>
            <a:ext uri="{FF2B5EF4-FFF2-40B4-BE49-F238E27FC236}">
              <a16:creationId xmlns:a16="http://schemas.microsoft.com/office/drawing/2014/main" id="{E792E186-BA72-43D6-9BE6-EF47D06D729E}"/>
            </a:ext>
          </a:extLst>
        </xdr:cNvPr>
        <xdr:cNvSpPr txBox="1"/>
      </xdr:nvSpPr>
      <xdr:spPr>
        <a:xfrm>
          <a:off x="9123973" y="4011168"/>
          <a:ext cx="3826383"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C6974A0-E2F2-4F73-B1D1-22BB2058C467}" type="TxLink">
            <a:rPr lang="en-US" sz="1600" b="0" i="0" u="none" strike="noStrike">
              <a:solidFill>
                <a:schemeClr val="bg1"/>
              </a:solidFill>
              <a:latin typeface="Aptos Narrow"/>
              <a:ea typeface="+mn-ea"/>
              <a:cs typeface="+mn-cs"/>
            </a:rPr>
            <a:pPr marL="0" indent="0" algn="ctr"/>
            <a:t>Advertising Costs vs Returns</a:t>
          </a:fld>
          <a:endParaRPr lang="ru-RU" sz="1600" b="0" i="0" u="none" strike="noStrike">
            <a:solidFill>
              <a:schemeClr val="bg1"/>
            </a:solidFill>
            <a:latin typeface="Aptos Narrow"/>
            <a:ea typeface="+mn-ea"/>
            <a:cs typeface="+mn-cs"/>
          </a:endParaRPr>
        </a:p>
      </xdr:txBody>
    </xdr:sp>
    <xdr:clientData/>
  </xdr:twoCellAnchor>
  <xdr:twoCellAnchor>
    <xdr:from>
      <xdr:col>15</xdr:col>
      <xdr:colOff>118248</xdr:colOff>
      <xdr:row>23</xdr:row>
      <xdr:rowOff>151638</xdr:rowOff>
    </xdr:from>
    <xdr:to>
      <xdr:col>16</xdr:col>
      <xdr:colOff>555145</xdr:colOff>
      <xdr:row>25</xdr:row>
      <xdr:rowOff>179070</xdr:rowOff>
    </xdr:to>
    <xdr:sp macro="" textlink="Processing!H1">
      <xdr:nvSpPr>
        <xdr:cNvPr id="28" name="TextBox 27">
          <a:extLst>
            <a:ext uri="{FF2B5EF4-FFF2-40B4-BE49-F238E27FC236}">
              <a16:creationId xmlns:a16="http://schemas.microsoft.com/office/drawing/2014/main" id="{3907B717-29E6-4A7B-952A-B62218294E8B}"/>
            </a:ext>
          </a:extLst>
        </xdr:cNvPr>
        <xdr:cNvSpPr txBox="1"/>
      </xdr:nvSpPr>
      <xdr:spPr>
        <a:xfrm>
          <a:off x="9262248" y="4357878"/>
          <a:ext cx="1046497"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6A0CECC-0C21-4714-9BA1-68A5B7F1A934}" type="TxLink">
            <a:rPr lang="en-US" sz="1200" b="0" i="0" u="none" strike="noStrike">
              <a:solidFill>
                <a:schemeClr val="bg1"/>
              </a:solidFill>
              <a:latin typeface="Aptos Narrow"/>
              <a:ea typeface="+mn-ea"/>
              <a:cs typeface="+mn-cs"/>
            </a:rPr>
            <a:pPr marL="0" indent="0" algn="ctr"/>
            <a:t>Ads. Revenue</a:t>
          </a:fld>
          <a:endParaRPr lang="ru-RU" sz="1800" b="0" i="0" u="none" strike="noStrike">
            <a:solidFill>
              <a:schemeClr val="bg1"/>
            </a:solidFill>
            <a:latin typeface="Aptos Narrow"/>
            <a:ea typeface="+mn-ea"/>
            <a:cs typeface="+mn-cs"/>
          </a:endParaRPr>
        </a:p>
      </xdr:txBody>
    </xdr:sp>
    <xdr:clientData/>
  </xdr:twoCellAnchor>
  <xdr:twoCellAnchor>
    <xdr:from>
      <xdr:col>16</xdr:col>
      <xdr:colOff>377328</xdr:colOff>
      <xdr:row>23</xdr:row>
      <xdr:rowOff>151638</xdr:rowOff>
    </xdr:from>
    <xdr:to>
      <xdr:col>18</xdr:col>
      <xdr:colOff>204625</xdr:colOff>
      <xdr:row>25</xdr:row>
      <xdr:rowOff>179070</xdr:rowOff>
    </xdr:to>
    <xdr:sp macro="" textlink="Processing!L14">
      <xdr:nvSpPr>
        <xdr:cNvPr id="29" name="TextBox 28">
          <a:extLst>
            <a:ext uri="{FF2B5EF4-FFF2-40B4-BE49-F238E27FC236}">
              <a16:creationId xmlns:a16="http://schemas.microsoft.com/office/drawing/2014/main" id="{3D58319B-1D19-4ACF-B15F-7F1D52489D94}"/>
            </a:ext>
          </a:extLst>
        </xdr:cNvPr>
        <xdr:cNvSpPr txBox="1"/>
      </xdr:nvSpPr>
      <xdr:spPr>
        <a:xfrm>
          <a:off x="10130928" y="4357878"/>
          <a:ext cx="1046497"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F7EA3A2-0259-4FA4-8D14-94F449194B02}" type="TxLink">
            <a:rPr lang="en-US" sz="1800" b="0" i="0" u="none" strike="noStrike">
              <a:solidFill>
                <a:srgbClr val="1AFFD5"/>
              </a:solidFill>
              <a:latin typeface="Aptos Narrow"/>
              <a:ea typeface="+mn-ea"/>
              <a:cs typeface="+mn-cs"/>
            </a:rPr>
            <a:pPr marL="0" indent="0" algn="l"/>
            <a:t> $71,704 </a:t>
          </a:fld>
          <a:endParaRPr lang="ru-RU" sz="1800" b="0" i="0" u="none" strike="noStrike">
            <a:solidFill>
              <a:srgbClr val="1AFFD5"/>
            </a:solidFill>
            <a:latin typeface="Aptos Narrow"/>
            <a:ea typeface="+mn-ea"/>
            <a:cs typeface="+mn-cs"/>
          </a:endParaRPr>
        </a:p>
      </xdr:txBody>
    </xdr:sp>
    <xdr:clientData/>
  </xdr:twoCellAnchor>
  <xdr:twoCellAnchor>
    <xdr:from>
      <xdr:col>18</xdr:col>
      <xdr:colOff>20203</xdr:colOff>
      <xdr:row>23</xdr:row>
      <xdr:rowOff>151638</xdr:rowOff>
    </xdr:from>
    <xdr:to>
      <xdr:col>19</xdr:col>
      <xdr:colOff>561750</xdr:colOff>
      <xdr:row>25</xdr:row>
      <xdr:rowOff>179070</xdr:rowOff>
    </xdr:to>
    <xdr:sp macro="" textlink="Processing!G1">
      <xdr:nvSpPr>
        <xdr:cNvPr id="30" name="TextBox 29">
          <a:extLst>
            <a:ext uri="{FF2B5EF4-FFF2-40B4-BE49-F238E27FC236}">
              <a16:creationId xmlns:a16="http://schemas.microsoft.com/office/drawing/2014/main" id="{74AB8BD0-7D9F-486E-B931-4224EF38A0C9}"/>
            </a:ext>
          </a:extLst>
        </xdr:cNvPr>
        <xdr:cNvSpPr txBox="1"/>
      </xdr:nvSpPr>
      <xdr:spPr>
        <a:xfrm>
          <a:off x="10993003" y="4357878"/>
          <a:ext cx="1151147"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962AE91-2ABD-49D9-9E13-9EE1A705A577}" type="TxLink">
            <a:rPr lang="en-US" sz="1200" b="0" i="0" u="none" strike="noStrike">
              <a:solidFill>
                <a:schemeClr val="bg1"/>
              </a:solidFill>
              <a:latin typeface="Aptos Narrow"/>
              <a:ea typeface="+mn-ea"/>
              <a:cs typeface="+mn-cs"/>
            </a:rPr>
            <a:pPr marL="0" indent="0" algn="ctr"/>
            <a:t>Ads. Expenses</a:t>
          </a:fld>
          <a:endParaRPr lang="ru-RU" sz="1200" b="0" i="0" u="none" strike="noStrike">
            <a:solidFill>
              <a:schemeClr val="bg1"/>
            </a:solidFill>
            <a:latin typeface="Aptos Narrow"/>
            <a:ea typeface="+mn-ea"/>
            <a:cs typeface="+mn-cs"/>
          </a:endParaRPr>
        </a:p>
      </xdr:txBody>
    </xdr:sp>
    <xdr:clientData/>
  </xdr:twoCellAnchor>
  <xdr:twoCellAnchor>
    <xdr:from>
      <xdr:col>19</xdr:col>
      <xdr:colOff>347863</xdr:colOff>
      <xdr:row>23</xdr:row>
      <xdr:rowOff>151638</xdr:rowOff>
    </xdr:from>
    <xdr:to>
      <xdr:col>21</xdr:col>
      <xdr:colOff>279810</xdr:colOff>
      <xdr:row>25</xdr:row>
      <xdr:rowOff>179070</xdr:rowOff>
    </xdr:to>
    <xdr:sp macro="" textlink="Processing!K14">
      <xdr:nvSpPr>
        <xdr:cNvPr id="31" name="TextBox 30">
          <a:extLst>
            <a:ext uri="{FF2B5EF4-FFF2-40B4-BE49-F238E27FC236}">
              <a16:creationId xmlns:a16="http://schemas.microsoft.com/office/drawing/2014/main" id="{DD09B314-5AC8-4175-BFC3-B362729DEC95}"/>
            </a:ext>
          </a:extLst>
        </xdr:cNvPr>
        <xdr:cNvSpPr txBox="1"/>
      </xdr:nvSpPr>
      <xdr:spPr>
        <a:xfrm>
          <a:off x="11930263" y="4357878"/>
          <a:ext cx="1151147"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291ED3E-0AD7-43C3-83F9-3AACAA88B60C}" type="TxLink">
            <a:rPr lang="en-US" sz="1800" b="0" i="0" u="none" strike="noStrike">
              <a:solidFill>
                <a:srgbClr val="8F72FF"/>
              </a:solidFill>
              <a:latin typeface="Aptos Narrow"/>
              <a:ea typeface="+mn-ea"/>
              <a:cs typeface="+mn-cs"/>
            </a:rPr>
            <a:pPr marL="0" indent="0" algn="l"/>
            <a:t> $1,02,560 </a:t>
          </a:fld>
          <a:endParaRPr lang="ru-RU" sz="2800" b="0" i="0" u="none" strike="noStrike">
            <a:solidFill>
              <a:srgbClr val="8F72FF"/>
            </a:solidFill>
            <a:latin typeface="Aptos Narrow"/>
            <a:ea typeface="+mn-ea"/>
            <a:cs typeface="+mn-cs"/>
          </a:endParaRPr>
        </a:p>
      </xdr:txBody>
    </xdr:sp>
    <xdr:clientData/>
  </xdr:twoCellAnchor>
  <xdr:twoCellAnchor>
    <xdr:from>
      <xdr:col>9</xdr:col>
      <xdr:colOff>251054</xdr:colOff>
      <xdr:row>28</xdr:row>
      <xdr:rowOff>117348</xdr:rowOff>
    </xdr:from>
    <xdr:to>
      <xdr:col>14</xdr:col>
      <xdr:colOff>365354</xdr:colOff>
      <xdr:row>30</xdr:row>
      <xdr:rowOff>144780</xdr:rowOff>
    </xdr:to>
    <xdr:sp macro="" textlink="Processing!P6">
      <xdr:nvSpPr>
        <xdr:cNvPr id="32" name="TextBox 31">
          <a:extLst>
            <a:ext uri="{FF2B5EF4-FFF2-40B4-BE49-F238E27FC236}">
              <a16:creationId xmlns:a16="http://schemas.microsoft.com/office/drawing/2014/main" id="{8AB0F4F6-3925-441F-8E9A-950C9F0E6F07}"/>
            </a:ext>
          </a:extLst>
        </xdr:cNvPr>
        <xdr:cNvSpPr txBox="1"/>
      </xdr:nvSpPr>
      <xdr:spPr>
        <a:xfrm>
          <a:off x="5737454" y="5237988"/>
          <a:ext cx="3162300"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C79B3E6-BA78-4C59-989B-FF7104A3890C}" type="TxLink">
            <a:rPr lang="en-US" sz="1600" b="0" i="0" u="none" strike="noStrike">
              <a:solidFill>
                <a:schemeClr val="bg1"/>
              </a:solidFill>
              <a:latin typeface="Aptos Narrow"/>
              <a:ea typeface="+mn-ea"/>
              <a:cs typeface="+mn-cs"/>
            </a:rPr>
            <a:pPr marL="0" indent="0" algn="ctr"/>
            <a:t>Offer Selection</a:t>
          </a:fld>
          <a:endParaRPr lang="ru-RU" sz="1600" b="0" i="0" u="none" strike="noStrike">
            <a:solidFill>
              <a:schemeClr val="bg1"/>
            </a:solidFill>
            <a:latin typeface="Aptos Narrow"/>
            <a:ea typeface="+mn-ea"/>
            <a:cs typeface="+mn-cs"/>
          </a:endParaRPr>
        </a:p>
      </xdr:txBody>
    </xdr:sp>
    <xdr:clientData/>
  </xdr:twoCellAnchor>
  <xdr:twoCellAnchor>
    <xdr:from>
      <xdr:col>9</xdr:col>
      <xdr:colOff>567828</xdr:colOff>
      <xdr:row>34</xdr:row>
      <xdr:rowOff>105918</xdr:rowOff>
    </xdr:from>
    <xdr:to>
      <xdr:col>11</xdr:col>
      <xdr:colOff>395125</xdr:colOff>
      <xdr:row>36</xdr:row>
      <xdr:rowOff>133350</xdr:rowOff>
    </xdr:to>
    <xdr:sp macro="" textlink="Processing!O7">
      <xdr:nvSpPr>
        <xdr:cNvPr id="33" name="TextBox 32">
          <a:extLst>
            <a:ext uri="{FF2B5EF4-FFF2-40B4-BE49-F238E27FC236}">
              <a16:creationId xmlns:a16="http://schemas.microsoft.com/office/drawing/2014/main" id="{991FC5DA-436F-4EFC-9D2D-7E31EF948EA4}"/>
            </a:ext>
          </a:extLst>
        </xdr:cNvPr>
        <xdr:cNvSpPr txBox="1"/>
      </xdr:nvSpPr>
      <xdr:spPr>
        <a:xfrm>
          <a:off x="6054228" y="6323838"/>
          <a:ext cx="1046497"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DF95A73-1E12-4562-886F-2337959A0090}" type="TxLink">
            <a:rPr lang="en-US" sz="1100" b="0" i="0" u="none" strike="noStrike">
              <a:solidFill>
                <a:schemeClr val="bg1"/>
              </a:solidFill>
              <a:latin typeface="Aptos Narrow"/>
              <a:ea typeface="+mn-ea"/>
              <a:cs typeface="+mn-cs"/>
            </a:rPr>
            <a:pPr marL="0" indent="0" algn="ctr"/>
            <a:t>Chose Offer A</a:t>
          </a:fld>
          <a:endParaRPr lang="ru-RU" sz="1800" b="0" i="0" u="none" strike="noStrike">
            <a:solidFill>
              <a:schemeClr val="bg1"/>
            </a:solidFill>
            <a:latin typeface="Aptos Narrow"/>
            <a:ea typeface="+mn-ea"/>
            <a:cs typeface="+mn-cs"/>
          </a:endParaRPr>
        </a:p>
      </xdr:txBody>
    </xdr:sp>
    <xdr:clientData/>
  </xdr:twoCellAnchor>
  <xdr:twoCellAnchor>
    <xdr:from>
      <xdr:col>12</xdr:col>
      <xdr:colOff>209688</xdr:colOff>
      <xdr:row>34</xdr:row>
      <xdr:rowOff>105918</xdr:rowOff>
    </xdr:from>
    <xdr:to>
      <xdr:col>14</xdr:col>
      <xdr:colOff>36985</xdr:colOff>
      <xdr:row>36</xdr:row>
      <xdr:rowOff>133350</xdr:rowOff>
    </xdr:to>
    <xdr:sp macro="" textlink="Processing!O8">
      <xdr:nvSpPr>
        <xdr:cNvPr id="34" name="TextBox 33">
          <a:extLst>
            <a:ext uri="{FF2B5EF4-FFF2-40B4-BE49-F238E27FC236}">
              <a16:creationId xmlns:a16="http://schemas.microsoft.com/office/drawing/2014/main" id="{D85D9DB7-19B5-4991-87D4-C60A18BCE570}"/>
            </a:ext>
          </a:extLst>
        </xdr:cNvPr>
        <xdr:cNvSpPr txBox="1"/>
      </xdr:nvSpPr>
      <xdr:spPr>
        <a:xfrm>
          <a:off x="7524888" y="6323838"/>
          <a:ext cx="1046497"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7EC0A27-5E30-4573-A3B3-29AB665A4667}" type="TxLink">
            <a:rPr lang="en-US" sz="1100" b="0" i="0" u="none" strike="noStrike">
              <a:solidFill>
                <a:schemeClr val="bg1"/>
              </a:solidFill>
              <a:latin typeface="Aptos Narrow"/>
              <a:ea typeface="+mn-ea"/>
              <a:cs typeface="+mn-cs"/>
            </a:rPr>
            <a:pPr marL="0" indent="0" algn="ctr"/>
            <a:t>Chose Offer B</a:t>
          </a:fld>
          <a:endParaRPr lang="ru-RU" sz="1100" b="0" i="0" u="none" strike="noStrike">
            <a:solidFill>
              <a:schemeClr val="bg1"/>
            </a:solidFill>
            <a:latin typeface="Aptos Narrow"/>
            <a:ea typeface="+mn-ea"/>
            <a:cs typeface="+mn-cs"/>
          </a:endParaRPr>
        </a:p>
      </xdr:txBody>
    </xdr:sp>
    <xdr:clientData/>
  </xdr:twoCellAnchor>
  <xdr:twoCellAnchor>
    <xdr:from>
      <xdr:col>9</xdr:col>
      <xdr:colOff>567828</xdr:colOff>
      <xdr:row>33</xdr:row>
      <xdr:rowOff>52578</xdr:rowOff>
    </xdr:from>
    <xdr:to>
      <xdr:col>11</xdr:col>
      <xdr:colOff>395125</xdr:colOff>
      <xdr:row>35</xdr:row>
      <xdr:rowOff>80010</xdr:rowOff>
    </xdr:to>
    <xdr:sp macro="" textlink="Processing!P7">
      <xdr:nvSpPr>
        <xdr:cNvPr id="35" name="TextBox 34">
          <a:extLst>
            <a:ext uri="{FF2B5EF4-FFF2-40B4-BE49-F238E27FC236}">
              <a16:creationId xmlns:a16="http://schemas.microsoft.com/office/drawing/2014/main" id="{6B3A4D99-5405-4CEB-B7E5-DC42DBE2E0CA}"/>
            </a:ext>
          </a:extLst>
        </xdr:cNvPr>
        <xdr:cNvSpPr txBox="1"/>
      </xdr:nvSpPr>
      <xdr:spPr>
        <a:xfrm>
          <a:off x="6054228" y="6087618"/>
          <a:ext cx="1046497"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EDE4873-1EAB-4405-A579-9F82DC363E30}" type="TxLink">
            <a:rPr lang="en-US" sz="2000" b="0" i="0" u="none" strike="noStrike">
              <a:solidFill>
                <a:schemeClr val="bg1"/>
              </a:solidFill>
              <a:latin typeface="Aptos Narrow"/>
              <a:ea typeface="+mn-ea"/>
              <a:cs typeface="+mn-cs"/>
            </a:rPr>
            <a:pPr marL="0" indent="0" algn="ctr"/>
            <a:t>55%</a:t>
          </a:fld>
          <a:endParaRPr lang="ru-RU" sz="6000" b="0" i="0" u="none" strike="noStrike">
            <a:solidFill>
              <a:schemeClr val="bg1"/>
            </a:solidFill>
            <a:latin typeface="Aptos Narrow"/>
            <a:ea typeface="+mn-ea"/>
            <a:cs typeface="+mn-cs"/>
          </a:endParaRPr>
        </a:p>
      </xdr:txBody>
    </xdr:sp>
    <xdr:clientData/>
  </xdr:twoCellAnchor>
  <xdr:twoCellAnchor>
    <xdr:from>
      <xdr:col>12</xdr:col>
      <xdr:colOff>209688</xdr:colOff>
      <xdr:row>33</xdr:row>
      <xdr:rowOff>52578</xdr:rowOff>
    </xdr:from>
    <xdr:to>
      <xdr:col>14</xdr:col>
      <xdr:colOff>36985</xdr:colOff>
      <xdr:row>35</xdr:row>
      <xdr:rowOff>80010</xdr:rowOff>
    </xdr:to>
    <xdr:sp macro="" textlink="Processing!P8">
      <xdr:nvSpPr>
        <xdr:cNvPr id="36" name="TextBox 35">
          <a:extLst>
            <a:ext uri="{FF2B5EF4-FFF2-40B4-BE49-F238E27FC236}">
              <a16:creationId xmlns:a16="http://schemas.microsoft.com/office/drawing/2014/main" id="{CD0BAACB-A3C2-46E9-BC93-CA406663B72C}"/>
            </a:ext>
          </a:extLst>
        </xdr:cNvPr>
        <xdr:cNvSpPr txBox="1"/>
      </xdr:nvSpPr>
      <xdr:spPr>
        <a:xfrm>
          <a:off x="7524888" y="6087618"/>
          <a:ext cx="1046497"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A9F3461-B3A5-4F29-A29A-4C2EA75B08DC}" type="TxLink">
            <a:rPr lang="en-US" sz="2000" b="0" i="0" u="none" strike="noStrike">
              <a:solidFill>
                <a:schemeClr val="bg1"/>
              </a:solidFill>
              <a:latin typeface="Aptos Narrow"/>
              <a:ea typeface="+mn-ea"/>
              <a:cs typeface="+mn-cs"/>
            </a:rPr>
            <a:pPr marL="0" indent="0" algn="ctr"/>
            <a:t>63%</a:t>
          </a:fld>
          <a:endParaRPr lang="ru-RU" sz="4000" b="0" i="0" u="none" strike="noStrike">
            <a:solidFill>
              <a:schemeClr val="bg1"/>
            </a:solidFill>
            <a:latin typeface="Aptos Narrow"/>
            <a:ea typeface="+mn-ea"/>
            <a:cs typeface="+mn-cs"/>
          </a:endParaRPr>
        </a:p>
      </xdr:txBody>
    </xdr:sp>
    <xdr:clientData/>
  </xdr:twoCellAnchor>
  <xdr:twoCellAnchor>
    <xdr:from>
      <xdr:col>3</xdr:col>
      <xdr:colOff>57151</xdr:colOff>
      <xdr:row>28</xdr:row>
      <xdr:rowOff>117348</xdr:rowOff>
    </xdr:from>
    <xdr:to>
      <xdr:col>8</xdr:col>
      <xdr:colOff>171451</xdr:colOff>
      <xdr:row>30</xdr:row>
      <xdr:rowOff>144780</xdr:rowOff>
    </xdr:to>
    <xdr:sp macro="" textlink="Processing!O10">
      <xdr:nvSpPr>
        <xdr:cNvPr id="37" name="TextBox 36">
          <a:extLst>
            <a:ext uri="{FF2B5EF4-FFF2-40B4-BE49-F238E27FC236}">
              <a16:creationId xmlns:a16="http://schemas.microsoft.com/office/drawing/2014/main" id="{D8E4BB5E-4866-403F-A27D-9E3EBCC7BF1E}"/>
            </a:ext>
          </a:extLst>
        </xdr:cNvPr>
        <xdr:cNvSpPr txBox="1"/>
      </xdr:nvSpPr>
      <xdr:spPr>
        <a:xfrm>
          <a:off x="1885951" y="5237988"/>
          <a:ext cx="3162300"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E3E2A48-7ED6-4F60-8494-9178FCC4042F}" type="TxLink">
            <a:rPr lang="en-US" sz="1600" b="0" i="0" u="none" strike="noStrike">
              <a:solidFill>
                <a:schemeClr val="bg1"/>
              </a:solidFill>
              <a:latin typeface="Aptos Narrow"/>
              <a:ea typeface="+mn-ea"/>
              <a:cs typeface="+mn-cs"/>
            </a:rPr>
            <a:pPr marL="0" indent="0" algn="ctr"/>
            <a:t>Seasonal Benchmark for Current Month</a:t>
          </a:fld>
          <a:endParaRPr lang="ru-RU" sz="1600" b="0" i="0" u="none" strike="noStrike">
            <a:solidFill>
              <a:schemeClr val="bg1"/>
            </a:solidFill>
            <a:latin typeface="Aptos Narrow"/>
            <a:ea typeface="+mn-ea"/>
            <a:cs typeface="+mn-cs"/>
          </a:endParaRPr>
        </a:p>
      </xdr:txBody>
    </xdr:sp>
    <xdr:clientData/>
  </xdr:twoCellAnchor>
  <xdr:twoCellAnchor>
    <xdr:from>
      <xdr:col>6</xdr:col>
      <xdr:colOff>563880</xdr:colOff>
      <xdr:row>0</xdr:row>
      <xdr:rowOff>60960</xdr:rowOff>
    </xdr:from>
    <xdr:to>
      <xdr:col>16</xdr:col>
      <xdr:colOff>411480</xdr:colOff>
      <xdr:row>3</xdr:row>
      <xdr:rowOff>30480</xdr:rowOff>
    </xdr:to>
    <xdr:sp macro="" textlink="Processing!A14">
      <xdr:nvSpPr>
        <xdr:cNvPr id="38" name="TextBox 37">
          <a:extLst>
            <a:ext uri="{FF2B5EF4-FFF2-40B4-BE49-F238E27FC236}">
              <a16:creationId xmlns:a16="http://schemas.microsoft.com/office/drawing/2014/main" id="{E0297975-C35C-48C6-938C-0C9878B0E0A2}"/>
            </a:ext>
          </a:extLst>
        </xdr:cNvPr>
        <xdr:cNvSpPr txBox="1"/>
      </xdr:nvSpPr>
      <xdr:spPr>
        <a:xfrm>
          <a:off x="4221480" y="60960"/>
          <a:ext cx="594360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4D2D6F0-E2AB-474C-B0DD-1FD1C2709114}" type="TxLink">
            <a:rPr lang="en-US" sz="2800" b="0" i="0" u="none" strike="noStrike">
              <a:solidFill>
                <a:schemeClr val="bg1"/>
              </a:solidFill>
              <a:latin typeface="Aptos Narrow"/>
              <a:ea typeface="+mn-ea"/>
              <a:cs typeface="+mn-cs"/>
            </a:rPr>
            <a:pPr marL="0" indent="0"/>
            <a:t>Advertising Effectiveness Dashboard</a:t>
          </a:fld>
          <a:endParaRPr lang="ru-RU" sz="5400" b="0" i="0" u="none" strike="noStrike">
            <a:solidFill>
              <a:schemeClr val="bg1"/>
            </a:solidFill>
            <a:latin typeface="Aptos Narrow"/>
            <a:ea typeface="+mn-ea"/>
            <a:cs typeface="+mn-cs"/>
          </a:endParaRPr>
        </a:p>
      </xdr:txBody>
    </xdr:sp>
    <xdr:clientData/>
  </xdr:twoCellAnchor>
  <xdr:twoCellAnchor editAs="oneCell">
    <xdr:from>
      <xdr:col>19</xdr:col>
      <xdr:colOff>251460</xdr:colOff>
      <xdr:row>1</xdr:row>
      <xdr:rowOff>7620</xdr:rowOff>
    </xdr:from>
    <xdr:to>
      <xdr:col>19</xdr:col>
      <xdr:colOff>525780</xdr:colOff>
      <xdr:row>2</xdr:row>
      <xdr:rowOff>99060</xdr:rowOff>
    </xdr:to>
    <xdr:pic>
      <xdr:nvPicPr>
        <xdr:cNvPr id="41" name="Graphic 40" descr="Sun with solid fill">
          <a:hlinkClick xmlns:r="http://schemas.openxmlformats.org/officeDocument/2006/relationships" r:id="rId7"/>
          <a:extLst>
            <a:ext uri="{FF2B5EF4-FFF2-40B4-BE49-F238E27FC236}">
              <a16:creationId xmlns:a16="http://schemas.microsoft.com/office/drawing/2014/main" id="{8069D79D-4B0A-4DC3-88F2-10CE7D90066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833860" y="190500"/>
          <a:ext cx="274320" cy="274320"/>
        </a:xfrm>
        <a:prstGeom prst="rect">
          <a:avLst/>
        </a:prstGeom>
      </xdr:spPr>
    </xdr:pic>
    <xdr:clientData/>
  </xdr:twoCellAnchor>
  <xdr:twoCellAnchor editAs="oneCell">
    <xdr:from>
      <xdr:col>20</xdr:col>
      <xdr:colOff>266700</xdr:colOff>
      <xdr:row>1</xdr:row>
      <xdr:rowOff>7620</xdr:rowOff>
    </xdr:from>
    <xdr:to>
      <xdr:col>20</xdr:col>
      <xdr:colOff>541020</xdr:colOff>
      <xdr:row>2</xdr:row>
      <xdr:rowOff>99060</xdr:rowOff>
    </xdr:to>
    <xdr:pic>
      <xdr:nvPicPr>
        <xdr:cNvPr id="42" name="Graphic 41" descr="Moon and stars with solid fill">
          <a:extLst>
            <a:ext uri="{FF2B5EF4-FFF2-40B4-BE49-F238E27FC236}">
              <a16:creationId xmlns:a16="http://schemas.microsoft.com/office/drawing/2014/main" id="{ADC6F482-F08F-4182-95DF-CA171AAE644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2458700" y="190500"/>
          <a:ext cx="274320" cy="274320"/>
        </a:xfrm>
        <a:prstGeom prst="rect">
          <a:avLst/>
        </a:prstGeom>
      </xdr:spPr>
    </xdr:pic>
    <xdr:clientData/>
  </xdr:twoCellAnchor>
  <xdr:twoCellAnchor>
    <xdr:from>
      <xdr:col>14</xdr:col>
      <xdr:colOff>533400</xdr:colOff>
      <xdr:row>21</xdr:row>
      <xdr:rowOff>7620</xdr:rowOff>
    </xdr:from>
    <xdr:to>
      <xdr:col>21</xdr:col>
      <xdr:colOff>205740</xdr:colOff>
      <xdr:row>40</xdr:row>
      <xdr:rowOff>30480</xdr:rowOff>
    </xdr:to>
    <xdr:sp macro="" textlink="">
      <xdr:nvSpPr>
        <xdr:cNvPr id="43" name="Rectangle 42">
          <a:hlinkClick xmlns:r="http://schemas.openxmlformats.org/officeDocument/2006/relationships" r:id="rId12"/>
          <a:extLst>
            <a:ext uri="{FF2B5EF4-FFF2-40B4-BE49-F238E27FC236}">
              <a16:creationId xmlns:a16="http://schemas.microsoft.com/office/drawing/2014/main" id="{CB4CBCE9-CE2C-4F2E-8605-1E8D87EC95BE}"/>
            </a:ext>
          </a:extLst>
        </xdr:cNvPr>
        <xdr:cNvSpPr/>
      </xdr:nvSpPr>
      <xdr:spPr>
        <a:xfrm>
          <a:off x="9067800" y="3848100"/>
          <a:ext cx="3939540" cy="34975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10</xdr:col>
      <xdr:colOff>403860</xdr:colOff>
      <xdr:row>4</xdr:row>
      <xdr:rowOff>121920</xdr:rowOff>
    </xdr:from>
    <xdr:to>
      <xdr:col>14</xdr:col>
      <xdr:colOff>205740</xdr:colOff>
      <xdr:row>7</xdr:row>
      <xdr:rowOff>12192</xdr:rowOff>
    </xdr:to>
    <mc:AlternateContent xmlns:mc="http://schemas.openxmlformats.org/markup-compatibility/2006" xmlns:a14="http://schemas.microsoft.com/office/drawing/2010/main">
      <mc:Choice Requires="a14">
        <xdr:graphicFrame macro="">
          <xdr:nvGraphicFramePr>
            <xdr:cNvPr id="44" name="Year">
              <a:extLst>
                <a:ext uri="{FF2B5EF4-FFF2-40B4-BE49-F238E27FC236}">
                  <a16:creationId xmlns:a16="http://schemas.microsoft.com/office/drawing/2014/main" id="{7C1F5DCD-6D77-4B81-A99A-B8A8B7155A0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499860" y="853440"/>
              <a:ext cx="2240280" cy="438912"/>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117348</xdr:colOff>
      <xdr:row>23</xdr:row>
      <xdr:rowOff>135636</xdr:rowOff>
    </xdr:from>
    <xdr:to>
      <xdr:col>14</xdr:col>
      <xdr:colOff>205740</xdr:colOff>
      <xdr:row>26</xdr:row>
      <xdr:rowOff>7620</xdr:rowOff>
    </xdr:to>
    <mc:AlternateContent xmlns:mc="http://schemas.openxmlformats.org/markup-compatibility/2006" xmlns:a14="http://schemas.microsoft.com/office/drawing/2010/main">
      <mc:Choice Requires="a14">
        <xdr:graphicFrame macro="">
          <xdr:nvGraphicFramePr>
            <xdr:cNvPr id="45" name="Month">
              <a:extLst>
                <a:ext uri="{FF2B5EF4-FFF2-40B4-BE49-F238E27FC236}">
                  <a16:creationId xmlns:a16="http://schemas.microsoft.com/office/drawing/2014/main" id="{3EC907C7-7719-41E0-B332-1E95BFD2F8A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946148" y="4341876"/>
              <a:ext cx="6793992" cy="420624"/>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441960</xdr:colOff>
      <xdr:row>44</xdr:row>
      <xdr:rowOff>76200</xdr:rowOff>
    </xdr:to>
    <xdr:sp macro="" textlink="">
      <xdr:nvSpPr>
        <xdr:cNvPr id="2" name="Rectangle 1">
          <a:extLst>
            <a:ext uri="{FF2B5EF4-FFF2-40B4-BE49-F238E27FC236}">
              <a16:creationId xmlns:a16="http://schemas.microsoft.com/office/drawing/2014/main" id="{E4D82148-05C4-DE97-4E08-80DDE4D88917}"/>
            </a:ext>
          </a:extLst>
        </xdr:cNvPr>
        <xdr:cNvSpPr/>
      </xdr:nvSpPr>
      <xdr:spPr>
        <a:xfrm>
          <a:off x="0" y="0"/>
          <a:ext cx="15681960" cy="8122920"/>
        </a:xfrm>
        <a:prstGeom prst="rect">
          <a:avLst/>
        </a:prstGeom>
        <a:gradFill flip="none" rotWithShape="1">
          <a:gsLst>
            <a:gs pos="0">
              <a:srgbClr val="5F6885"/>
            </a:gs>
            <a:gs pos="84000">
              <a:srgbClr val="2A3144"/>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190499</xdr:colOff>
      <xdr:row>3</xdr:row>
      <xdr:rowOff>99059</xdr:rowOff>
    </xdr:from>
    <xdr:to>
      <xdr:col>14</xdr:col>
      <xdr:colOff>373379</xdr:colOff>
      <xdr:row>26</xdr:row>
      <xdr:rowOff>144779</xdr:rowOff>
    </xdr:to>
    <xdr:sp macro="" textlink="">
      <xdr:nvSpPr>
        <xdr:cNvPr id="3" name="Rectangle 2">
          <a:extLst>
            <a:ext uri="{FF2B5EF4-FFF2-40B4-BE49-F238E27FC236}">
              <a16:creationId xmlns:a16="http://schemas.microsoft.com/office/drawing/2014/main" id="{3C6877ED-D170-7BC7-F398-2F41CDB6AC6E}"/>
            </a:ext>
          </a:extLst>
        </xdr:cNvPr>
        <xdr:cNvSpPr/>
      </xdr:nvSpPr>
      <xdr:spPr>
        <a:xfrm>
          <a:off x="1409699" y="464819"/>
          <a:ext cx="7498080" cy="4251960"/>
        </a:xfrm>
        <a:prstGeom prst="rect">
          <a:avLst/>
        </a:prstGeom>
        <a:solidFill>
          <a:srgbClr val="181B2C"/>
        </a:solidFill>
        <a:ln>
          <a:noFill/>
        </a:ln>
        <a:effectLst>
          <a:outerShdw blurRad="50800" dist="1270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190501</xdr:colOff>
      <xdr:row>27</xdr:row>
      <xdr:rowOff>125810</xdr:rowOff>
    </xdr:from>
    <xdr:to>
      <xdr:col>9</xdr:col>
      <xdr:colOff>38101</xdr:colOff>
      <xdr:row>40</xdr:row>
      <xdr:rowOff>4647</xdr:rowOff>
    </xdr:to>
    <xdr:sp macro="" textlink="">
      <xdr:nvSpPr>
        <xdr:cNvPr id="5" name="Rectangle 4">
          <a:extLst>
            <a:ext uri="{FF2B5EF4-FFF2-40B4-BE49-F238E27FC236}">
              <a16:creationId xmlns:a16="http://schemas.microsoft.com/office/drawing/2014/main" id="{50E70D69-E8A7-DC94-A73D-99446A38155E}"/>
            </a:ext>
          </a:extLst>
        </xdr:cNvPr>
        <xdr:cNvSpPr/>
      </xdr:nvSpPr>
      <xdr:spPr>
        <a:xfrm>
          <a:off x="1409701" y="4880690"/>
          <a:ext cx="4114800" cy="2256277"/>
        </a:xfrm>
        <a:prstGeom prst="rect">
          <a:avLst/>
        </a:prstGeom>
        <a:gradFill>
          <a:gsLst>
            <a:gs pos="0">
              <a:srgbClr val="181B2C"/>
            </a:gs>
            <a:gs pos="100000">
              <a:srgbClr val="272C42"/>
            </a:gs>
          </a:gsLst>
          <a:lin ang="0" scaled="0"/>
        </a:gradFill>
        <a:ln>
          <a:noFill/>
        </a:ln>
        <a:effectLst>
          <a:outerShdw blurRad="50800" dist="1270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9</xdr:col>
      <xdr:colOff>220979</xdr:colOff>
      <xdr:row>27</xdr:row>
      <xdr:rowOff>125810</xdr:rowOff>
    </xdr:from>
    <xdr:to>
      <xdr:col>14</xdr:col>
      <xdr:colOff>373379</xdr:colOff>
      <xdr:row>40</xdr:row>
      <xdr:rowOff>4647</xdr:rowOff>
    </xdr:to>
    <xdr:sp macro="" textlink="">
      <xdr:nvSpPr>
        <xdr:cNvPr id="6" name="Rectangle 5">
          <a:extLst>
            <a:ext uri="{FF2B5EF4-FFF2-40B4-BE49-F238E27FC236}">
              <a16:creationId xmlns:a16="http://schemas.microsoft.com/office/drawing/2014/main" id="{F6584454-3AFE-D6DB-40F2-12B07155716B}"/>
            </a:ext>
          </a:extLst>
        </xdr:cNvPr>
        <xdr:cNvSpPr/>
      </xdr:nvSpPr>
      <xdr:spPr>
        <a:xfrm>
          <a:off x="5707379" y="4880690"/>
          <a:ext cx="3200400" cy="2256277"/>
        </a:xfrm>
        <a:prstGeom prst="rect">
          <a:avLst/>
        </a:prstGeom>
        <a:gradFill>
          <a:gsLst>
            <a:gs pos="0">
              <a:srgbClr val="181B2C"/>
            </a:gs>
            <a:gs pos="100000">
              <a:srgbClr val="272C42"/>
            </a:gs>
          </a:gsLst>
          <a:lin ang="0" scaled="0"/>
        </a:gradFill>
        <a:ln>
          <a:noFill/>
        </a:ln>
        <a:effectLst>
          <a:outerShdw blurRad="50800" dist="1270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14</xdr:col>
      <xdr:colOff>536804</xdr:colOff>
      <xdr:row>3</xdr:row>
      <xdr:rowOff>99058</xdr:rowOff>
    </xdr:from>
    <xdr:to>
      <xdr:col>21</xdr:col>
      <xdr:colOff>201524</xdr:colOff>
      <xdr:row>20</xdr:row>
      <xdr:rowOff>7618</xdr:rowOff>
    </xdr:to>
    <xdr:sp macro="" textlink="">
      <xdr:nvSpPr>
        <xdr:cNvPr id="7" name="Rectangle 6">
          <a:extLst>
            <a:ext uri="{FF2B5EF4-FFF2-40B4-BE49-F238E27FC236}">
              <a16:creationId xmlns:a16="http://schemas.microsoft.com/office/drawing/2014/main" id="{6769EF73-FE24-7F75-35F0-45F9A9ED6256}"/>
            </a:ext>
          </a:extLst>
        </xdr:cNvPr>
        <xdr:cNvSpPr/>
      </xdr:nvSpPr>
      <xdr:spPr>
        <a:xfrm>
          <a:off x="9071204" y="464818"/>
          <a:ext cx="3931920" cy="3017520"/>
        </a:xfrm>
        <a:prstGeom prst="rect">
          <a:avLst/>
        </a:prstGeom>
        <a:gradFill>
          <a:gsLst>
            <a:gs pos="0">
              <a:srgbClr val="181B2C"/>
            </a:gs>
            <a:gs pos="100000">
              <a:srgbClr val="272C42"/>
            </a:gs>
          </a:gsLst>
          <a:lin ang="0" scaled="0"/>
        </a:gradFill>
        <a:ln>
          <a:noFill/>
        </a:ln>
        <a:effectLst>
          <a:outerShdw blurRad="50800" dist="1270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14</xdr:col>
      <xdr:colOff>536804</xdr:colOff>
      <xdr:row>21</xdr:row>
      <xdr:rowOff>4647</xdr:rowOff>
    </xdr:from>
    <xdr:to>
      <xdr:col>21</xdr:col>
      <xdr:colOff>201524</xdr:colOff>
      <xdr:row>40</xdr:row>
      <xdr:rowOff>4647</xdr:rowOff>
    </xdr:to>
    <xdr:sp macro="" textlink="">
      <xdr:nvSpPr>
        <xdr:cNvPr id="8" name="Rectangle 7">
          <a:extLst>
            <a:ext uri="{FF2B5EF4-FFF2-40B4-BE49-F238E27FC236}">
              <a16:creationId xmlns:a16="http://schemas.microsoft.com/office/drawing/2014/main" id="{97CDFE57-DDAF-FD2D-8B3A-2E647105B657}"/>
            </a:ext>
          </a:extLst>
        </xdr:cNvPr>
        <xdr:cNvSpPr/>
      </xdr:nvSpPr>
      <xdr:spPr>
        <a:xfrm>
          <a:off x="9071204" y="3662247"/>
          <a:ext cx="3931920" cy="3474720"/>
        </a:xfrm>
        <a:prstGeom prst="rect">
          <a:avLst/>
        </a:prstGeom>
        <a:gradFill>
          <a:gsLst>
            <a:gs pos="0">
              <a:srgbClr val="181B2C"/>
            </a:gs>
            <a:gs pos="100000">
              <a:srgbClr val="272C42"/>
            </a:gs>
          </a:gsLst>
          <a:lin ang="0" scaled="0"/>
        </a:gradFill>
        <a:ln>
          <a:noFill/>
        </a:ln>
        <a:effectLst>
          <a:outerShdw blurRad="50800" dist="1270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14</xdr:col>
      <xdr:colOff>563880</xdr:colOff>
      <xdr:row>25</xdr:row>
      <xdr:rowOff>68580</xdr:rowOff>
    </xdr:from>
    <xdr:to>
      <xdr:col>21</xdr:col>
      <xdr:colOff>137160</xdr:colOff>
      <xdr:row>39</xdr:row>
      <xdr:rowOff>68580</xdr:rowOff>
    </xdr:to>
    <xdr:graphicFrame macro="">
      <xdr:nvGraphicFramePr>
        <xdr:cNvPr id="10" name="Chart 9">
          <a:extLst>
            <a:ext uri="{FF2B5EF4-FFF2-40B4-BE49-F238E27FC236}">
              <a16:creationId xmlns:a16="http://schemas.microsoft.com/office/drawing/2014/main" id="{39E5DDFD-34DD-4EA2-BC62-2934F38A1C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365760</xdr:colOff>
      <xdr:row>9</xdr:row>
      <xdr:rowOff>22860</xdr:rowOff>
    </xdr:from>
    <xdr:to>
      <xdr:col>14</xdr:col>
      <xdr:colOff>274320</xdr:colOff>
      <xdr:row>25</xdr:row>
      <xdr:rowOff>22860</xdr:rowOff>
    </xdr:to>
    <xdr:graphicFrame macro="">
      <xdr:nvGraphicFramePr>
        <xdr:cNvPr id="11" name="Chart 10">
          <a:extLst>
            <a:ext uri="{FF2B5EF4-FFF2-40B4-BE49-F238E27FC236}">
              <a16:creationId xmlns:a16="http://schemas.microsoft.com/office/drawing/2014/main" id="{8859421D-0DA5-4A50-83C9-5010E8C6D6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396240</xdr:colOff>
      <xdr:row>6</xdr:row>
      <xdr:rowOff>129540</xdr:rowOff>
    </xdr:from>
    <xdr:to>
      <xdr:col>20</xdr:col>
      <xdr:colOff>335280</xdr:colOff>
      <xdr:row>20</xdr:row>
      <xdr:rowOff>38100</xdr:rowOff>
    </xdr:to>
    <xdr:graphicFrame macro="">
      <xdr:nvGraphicFramePr>
        <xdr:cNvPr id="12" name="Chart 11">
          <a:extLst>
            <a:ext uri="{FF2B5EF4-FFF2-40B4-BE49-F238E27FC236}">
              <a16:creationId xmlns:a16="http://schemas.microsoft.com/office/drawing/2014/main" id="{1B45CAD2-646F-4F5B-A4D0-F55579EB3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320040</xdr:colOff>
      <xdr:row>30</xdr:row>
      <xdr:rowOff>152400</xdr:rowOff>
    </xdr:from>
    <xdr:to>
      <xdr:col>12</xdr:col>
      <xdr:colOff>45720</xdr:colOff>
      <xdr:row>39</xdr:row>
      <xdr:rowOff>60960</xdr:rowOff>
    </xdr:to>
    <xdr:graphicFrame macro="">
      <xdr:nvGraphicFramePr>
        <xdr:cNvPr id="13" name="Chart 12">
          <a:extLst>
            <a:ext uri="{FF2B5EF4-FFF2-40B4-BE49-F238E27FC236}">
              <a16:creationId xmlns:a16="http://schemas.microsoft.com/office/drawing/2014/main" id="{4C7302B6-4FEC-4519-A31F-5F3EE82CC5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563880</xdr:colOff>
      <xdr:row>30</xdr:row>
      <xdr:rowOff>152400</xdr:rowOff>
    </xdr:from>
    <xdr:to>
      <xdr:col>14</xdr:col>
      <xdr:colOff>289560</xdr:colOff>
      <xdr:row>39</xdr:row>
      <xdr:rowOff>60960</xdr:rowOff>
    </xdr:to>
    <xdr:graphicFrame macro="">
      <xdr:nvGraphicFramePr>
        <xdr:cNvPr id="14" name="Chart 13">
          <a:extLst>
            <a:ext uri="{FF2B5EF4-FFF2-40B4-BE49-F238E27FC236}">
              <a16:creationId xmlns:a16="http://schemas.microsoft.com/office/drawing/2014/main" id="{47BF9C32-4A98-EB66-5DF9-F8EBC4E287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518160</xdr:colOff>
      <xdr:row>30</xdr:row>
      <xdr:rowOff>167640</xdr:rowOff>
    </xdr:from>
    <xdr:to>
      <xdr:col>8</xdr:col>
      <xdr:colOff>480060</xdr:colOff>
      <xdr:row>39</xdr:row>
      <xdr:rowOff>45720</xdr:rowOff>
    </xdr:to>
    <xdr:graphicFrame macro="">
      <xdr:nvGraphicFramePr>
        <xdr:cNvPr id="15" name="Chart 14">
          <a:extLst>
            <a:ext uri="{FF2B5EF4-FFF2-40B4-BE49-F238E27FC236}">
              <a16:creationId xmlns:a16="http://schemas.microsoft.com/office/drawing/2014/main" id="{9FEA2B12-9E52-4570-A503-093A661917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114300</xdr:colOff>
      <xdr:row>4</xdr:row>
      <xdr:rowOff>99060</xdr:rowOff>
    </xdr:from>
    <xdr:to>
      <xdr:col>11</xdr:col>
      <xdr:colOff>45720</xdr:colOff>
      <xdr:row>7</xdr:row>
      <xdr:rowOff>60960</xdr:rowOff>
    </xdr:to>
    <xdr:sp macro="" textlink="Processing!I1">
      <xdr:nvSpPr>
        <xdr:cNvPr id="4" name="TextBox 3">
          <a:extLst>
            <a:ext uri="{FF2B5EF4-FFF2-40B4-BE49-F238E27FC236}">
              <a16:creationId xmlns:a16="http://schemas.microsoft.com/office/drawing/2014/main" id="{48956DB7-AD0D-FA85-8487-A66B57092F8C}"/>
            </a:ext>
          </a:extLst>
        </xdr:cNvPr>
        <xdr:cNvSpPr txBox="1"/>
      </xdr:nvSpPr>
      <xdr:spPr>
        <a:xfrm>
          <a:off x="1943100" y="830580"/>
          <a:ext cx="4808220"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62E5C72-0991-4857-9C03-0D913FB0C7E3}" type="TxLink">
            <a:rPr lang="en-US" sz="2400" b="0" i="0" u="none" strike="noStrike">
              <a:gradFill>
                <a:gsLst>
                  <a:gs pos="9000">
                    <a:srgbClr val="1AFFD5"/>
                  </a:gs>
                  <a:gs pos="89000">
                    <a:srgbClr val="9980FF"/>
                  </a:gs>
                </a:gsLst>
                <a:lin ang="0" scaled="0"/>
              </a:gradFill>
              <a:latin typeface="Aptos Narrow"/>
              <a:ea typeface="+mn-ea"/>
              <a:cs typeface="+mn-cs"/>
            </a:rPr>
            <a:pPr marL="0" indent="0"/>
            <a:t>Advertising Costs vs Returns</a:t>
          </a:fld>
          <a:endParaRPr lang="ru-RU" sz="2400" b="0" i="0" u="none" strike="noStrike">
            <a:gradFill>
              <a:gsLst>
                <a:gs pos="9000">
                  <a:srgbClr val="1AFFD5"/>
                </a:gs>
                <a:gs pos="89000">
                  <a:srgbClr val="9980FF"/>
                </a:gs>
              </a:gsLst>
              <a:lin ang="0" scaled="0"/>
            </a:gradFill>
            <a:latin typeface="Aptos Narrow"/>
            <a:ea typeface="+mn-ea"/>
            <a:cs typeface="+mn-cs"/>
          </a:endParaRPr>
        </a:p>
      </xdr:txBody>
    </xdr:sp>
    <xdr:clientData/>
  </xdr:twoCellAnchor>
  <xdr:twoCellAnchor>
    <xdr:from>
      <xdr:col>3</xdr:col>
      <xdr:colOff>441960</xdr:colOff>
      <xdr:row>6</xdr:row>
      <xdr:rowOff>167640</xdr:rowOff>
    </xdr:from>
    <xdr:to>
      <xdr:col>6</xdr:col>
      <xdr:colOff>60960</xdr:colOff>
      <xdr:row>9</xdr:row>
      <xdr:rowOff>7620</xdr:rowOff>
    </xdr:to>
    <xdr:sp macro="" textlink="Processing!H1">
      <xdr:nvSpPr>
        <xdr:cNvPr id="16" name="TextBox 15">
          <a:extLst>
            <a:ext uri="{FF2B5EF4-FFF2-40B4-BE49-F238E27FC236}">
              <a16:creationId xmlns:a16="http://schemas.microsoft.com/office/drawing/2014/main" id="{B136809A-1E3C-7E5E-6F5B-7C70A0D78152}"/>
            </a:ext>
          </a:extLst>
        </xdr:cNvPr>
        <xdr:cNvSpPr txBox="1"/>
      </xdr:nvSpPr>
      <xdr:spPr>
        <a:xfrm>
          <a:off x="2270760" y="1264920"/>
          <a:ext cx="144780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19E5FD8-5A53-48DC-A574-C33F51EF1C40}" type="TxLink">
            <a:rPr lang="en-US" sz="1800" b="0" i="0" u="none" strike="noStrike">
              <a:solidFill>
                <a:schemeClr val="bg1"/>
              </a:solidFill>
              <a:latin typeface="Aptos Narrow"/>
              <a:ea typeface="+mn-ea"/>
              <a:cs typeface="+mn-cs"/>
            </a:rPr>
            <a:pPr marL="0" indent="0"/>
            <a:t>Ads. Revenue</a:t>
          </a:fld>
          <a:endParaRPr lang="ru-RU" sz="1800" b="0" i="0" u="none" strike="noStrike">
            <a:solidFill>
              <a:schemeClr val="bg1"/>
            </a:solidFill>
            <a:latin typeface="Aptos Narrow"/>
            <a:ea typeface="+mn-ea"/>
            <a:cs typeface="+mn-cs"/>
          </a:endParaRPr>
        </a:p>
      </xdr:txBody>
    </xdr:sp>
    <xdr:clientData/>
  </xdr:twoCellAnchor>
  <xdr:twoCellAnchor>
    <xdr:from>
      <xdr:col>7</xdr:col>
      <xdr:colOff>480060</xdr:colOff>
      <xdr:row>6</xdr:row>
      <xdr:rowOff>175260</xdr:rowOff>
    </xdr:from>
    <xdr:to>
      <xdr:col>10</xdr:col>
      <xdr:colOff>259080</xdr:colOff>
      <xdr:row>9</xdr:row>
      <xdr:rowOff>15240</xdr:rowOff>
    </xdr:to>
    <xdr:sp macro="" textlink="Processing!G1">
      <xdr:nvSpPr>
        <xdr:cNvPr id="17" name="TextBox 16">
          <a:extLst>
            <a:ext uri="{FF2B5EF4-FFF2-40B4-BE49-F238E27FC236}">
              <a16:creationId xmlns:a16="http://schemas.microsoft.com/office/drawing/2014/main" id="{EA87D1B6-CAD7-48FD-43FA-AE3CACB2E637}"/>
            </a:ext>
          </a:extLst>
        </xdr:cNvPr>
        <xdr:cNvSpPr txBox="1"/>
      </xdr:nvSpPr>
      <xdr:spPr>
        <a:xfrm>
          <a:off x="4747260" y="1272540"/>
          <a:ext cx="160782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086681A-ADC0-45C3-A363-7803C3D95FD4}" type="TxLink">
            <a:rPr lang="en-US" sz="1800" b="0" i="0" u="none" strike="noStrike">
              <a:solidFill>
                <a:schemeClr val="bg1"/>
              </a:solidFill>
              <a:latin typeface="Aptos Narrow"/>
              <a:ea typeface="+mn-ea"/>
              <a:cs typeface="+mn-cs"/>
            </a:rPr>
            <a:pPr marL="0" indent="0"/>
            <a:t>Ads. Expenses</a:t>
          </a:fld>
          <a:endParaRPr lang="ru-RU" sz="1800" b="0" i="0" u="none" strike="noStrike">
            <a:solidFill>
              <a:schemeClr val="bg1"/>
            </a:solidFill>
            <a:latin typeface="Aptos Narrow"/>
            <a:ea typeface="+mn-ea"/>
            <a:cs typeface="+mn-cs"/>
          </a:endParaRPr>
        </a:p>
      </xdr:txBody>
    </xdr:sp>
    <xdr:clientData/>
  </xdr:twoCellAnchor>
  <xdr:twoCellAnchor>
    <xdr:from>
      <xdr:col>5</xdr:col>
      <xdr:colOff>571285</xdr:colOff>
      <xdr:row>6</xdr:row>
      <xdr:rowOff>167640</xdr:rowOff>
    </xdr:from>
    <xdr:to>
      <xdr:col>8</xdr:col>
      <xdr:colOff>215</xdr:colOff>
      <xdr:row>9</xdr:row>
      <xdr:rowOff>7620</xdr:rowOff>
    </xdr:to>
    <xdr:sp macro="" textlink="Processing!L14">
      <xdr:nvSpPr>
        <xdr:cNvPr id="18" name="TextBox 17">
          <a:extLst>
            <a:ext uri="{FF2B5EF4-FFF2-40B4-BE49-F238E27FC236}">
              <a16:creationId xmlns:a16="http://schemas.microsoft.com/office/drawing/2014/main" id="{17181915-E00E-4464-B265-FB244526D793}"/>
            </a:ext>
          </a:extLst>
        </xdr:cNvPr>
        <xdr:cNvSpPr txBox="1"/>
      </xdr:nvSpPr>
      <xdr:spPr>
        <a:xfrm>
          <a:off x="3619285" y="1264920"/>
          <a:ext cx="125773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23551CE-0B1D-4181-A264-BDA2F30F5073}" type="TxLink">
            <a:rPr lang="en-US" sz="2000" b="0" i="0" u="none" strike="noStrike">
              <a:solidFill>
                <a:srgbClr val="1AFFD5"/>
              </a:solidFill>
              <a:latin typeface="Aptos Narrow"/>
              <a:ea typeface="+mn-ea"/>
              <a:cs typeface="+mn-cs"/>
            </a:rPr>
            <a:pPr marL="0" indent="0" algn="l"/>
            <a:t> $71,704 </a:t>
          </a:fld>
          <a:endParaRPr lang="ru-RU" sz="2000" b="0" i="0" u="none" strike="noStrike">
            <a:solidFill>
              <a:srgbClr val="1AFFD5"/>
            </a:solidFill>
            <a:latin typeface="Aptos Narrow"/>
            <a:ea typeface="+mn-ea"/>
            <a:cs typeface="+mn-cs"/>
          </a:endParaRPr>
        </a:p>
      </xdr:txBody>
    </xdr:sp>
    <xdr:clientData/>
  </xdr:twoCellAnchor>
  <xdr:twoCellAnchor>
    <xdr:from>
      <xdr:col>10</xdr:col>
      <xdr:colOff>15025</xdr:colOff>
      <xdr:row>6</xdr:row>
      <xdr:rowOff>167640</xdr:rowOff>
    </xdr:from>
    <xdr:to>
      <xdr:col>12</xdr:col>
      <xdr:colOff>53555</xdr:colOff>
      <xdr:row>9</xdr:row>
      <xdr:rowOff>7620</xdr:rowOff>
    </xdr:to>
    <xdr:sp macro="" textlink="Processing!K14">
      <xdr:nvSpPr>
        <xdr:cNvPr id="19" name="TextBox 18">
          <a:extLst>
            <a:ext uri="{FF2B5EF4-FFF2-40B4-BE49-F238E27FC236}">
              <a16:creationId xmlns:a16="http://schemas.microsoft.com/office/drawing/2014/main" id="{5E28B404-102D-2CA3-8EEC-E2D54FFE045F}"/>
            </a:ext>
          </a:extLst>
        </xdr:cNvPr>
        <xdr:cNvSpPr txBox="1"/>
      </xdr:nvSpPr>
      <xdr:spPr>
        <a:xfrm>
          <a:off x="6111025" y="1264920"/>
          <a:ext cx="125773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6F7F749-2A08-494F-92CA-8C110B8163AE}" type="TxLink">
            <a:rPr lang="en-US" sz="2000" b="0" i="0" u="none" strike="noStrike">
              <a:solidFill>
                <a:srgbClr val="9980FF"/>
              </a:solidFill>
              <a:latin typeface="Aptos Narrow"/>
              <a:ea typeface="+mn-ea"/>
              <a:cs typeface="+mn-cs"/>
            </a:rPr>
            <a:pPr marL="0" indent="0" algn="l"/>
            <a:t> $1,02,560 </a:t>
          </a:fld>
          <a:endParaRPr lang="ru-RU" sz="2000" b="0" i="0" u="none" strike="noStrike">
            <a:solidFill>
              <a:srgbClr val="9980FF"/>
            </a:solidFill>
            <a:latin typeface="Aptos Narrow"/>
            <a:ea typeface="+mn-ea"/>
            <a:cs typeface="+mn-cs"/>
          </a:endParaRPr>
        </a:p>
      </xdr:txBody>
    </xdr:sp>
    <xdr:clientData/>
  </xdr:twoCellAnchor>
  <xdr:twoCellAnchor>
    <xdr:from>
      <xdr:col>14</xdr:col>
      <xdr:colOff>589573</xdr:colOff>
      <xdr:row>4</xdr:row>
      <xdr:rowOff>79248</xdr:rowOff>
    </xdr:from>
    <xdr:to>
      <xdr:col>21</xdr:col>
      <xdr:colOff>148756</xdr:colOff>
      <xdr:row>6</xdr:row>
      <xdr:rowOff>106680</xdr:rowOff>
    </xdr:to>
    <xdr:sp macro="" textlink="Processing!O1">
      <xdr:nvSpPr>
        <xdr:cNvPr id="20" name="TextBox 19">
          <a:extLst>
            <a:ext uri="{FF2B5EF4-FFF2-40B4-BE49-F238E27FC236}">
              <a16:creationId xmlns:a16="http://schemas.microsoft.com/office/drawing/2014/main" id="{24DFE08A-6CE5-7FDC-D4F2-AF8CAA2FCFCC}"/>
            </a:ext>
          </a:extLst>
        </xdr:cNvPr>
        <xdr:cNvSpPr txBox="1"/>
      </xdr:nvSpPr>
      <xdr:spPr>
        <a:xfrm>
          <a:off x="9123973" y="627888"/>
          <a:ext cx="3826383"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B94635E-29AF-4648-9B8E-54AC3C2B778D}" type="TxLink">
            <a:rPr lang="en-US" sz="1600" b="0" i="0" u="none" strike="noStrike">
              <a:solidFill>
                <a:schemeClr val="bg1"/>
              </a:solidFill>
              <a:latin typeface="Aptos Narrow"/>
              <a:ea typeface="+mn-ea"/>
              <a:cs typeface="+mn-cs"/>
            </a:rPr>
            <a:pPr marL="0" indent="0" algn="ctr"/>
            <a:t>User Behavior Breakdown After Ad Click</a:t>
          </a:fld>
          <a:endParaRPr lang="ru-RU" sz="3600" b="0" i="0" u="none" strike="noStrike">
            <a:solidFill>
              <a:schemeClr val="bg1"/>
            </a:solidFill>
            <a:latin typeface="Aptos Narrow"/>
            <a:ea typeface="+mn-ea"/>
            <a:cs typeface="+mn-cs"/>
          </a:endParaRPr>
        </a:p>
      </xdr:txBody>
    </xdr:sp>
    <xdr:clientData/>
  </xdr:twoCellAnchor>
  <xdr:twoCellAnchor>
    <xdr:from>
      <xdr:col>19</xdr:col>
      <xdr:colOff>114300</xdr:colOff>
      <xdr:row>13</xdr:row>
      <xdr:rowOff>137160</xdr:rowOff>
    </xdr:from>
    <xdr:to>
      <xdr:col>21</xdr:col>
      <xdr:colOff>45720</xdr:colOff>
      <xdr:row>15</xdr:row>
      <xdr:rowOff>99060</xdr:rowOff>
    </xdr:to>
    <xdr:sp macro="" textlink="Processing!O3">
      <xdr:nvSpPr>
        <xdr:cNvPr id="21" name="TextBox 20">
          <a:extLst>
            <a:ext uri="{FF2B5EF4-FFF2-40B4-BE49-F238E27FC236}">
              <a16:creationId xmlns:a16="http://schemas.microsoft.com/office/drawing/2014/main" id="{14BF6632-7CBB-AF3E-BE7F-A888E9149940}"/>
            </a:ext>
          </a:extLst>
        </xdr:cNvPr>
        <xdr:cNvSpPr txBox="1"/>
      </xdr:nvSpPr>
      <xdr:spPr>
        <a:xfrm>
          <a:off x="11696700" y="2331720"/>
          <a:ext cx="1150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6B15C8A-AB24-43BE-9219-3B5F6312F3A2}" type="TxLink">
            <a:rPr lang="en-US" sz="1100" b="0" i="0" u="none" strike="noStrike">
              <a:solidFill>
                <a:schemeClr val="bg1"/>
              </a:solidFill>
              <a:latin typeface="Aptos Narrow"/>
              <a:ea typeface="+mn-ea"/>
              <a:cs typeface="+mn-cs"/>
            </a:rPr>
            <a:pPr marL="0" indent="0"/>
            <a:t>Watched Video</a:t>
          </a:fld>
          <a:endParaRPr lang="ru-RU" sz="3200" b="0" i="0" u="none" strike="noStrike">
            <a:solidFill>
              <a:schemeClr val="bg1"/>
            </a:solidFill>
            <a:latin typeface="Aptos Narrow"/>
            <a:ea typeface="+mn-ea"/>
            <a:cs typeface="+mn-cs"/>
          </a:endParaRPr>
        </a:p>
      </xdr:txBody>
    </xdr:sp>
    <xdr:clientData/>
  </xdr:twoCellAnchor>
  <xdr:twoCellAnchor>
    <xdr:from>
      <xdr:col>19</xdr:col>
      <xdr:colOff>114300</xdr:colOff>
      <xdr:row>15</xdr:row>
      <xdr:rowOff>87630</xdr:rowOff>
    </xdr:from>
    <xdr:to>
      <xdr:col>21</xdr:col>
      <xdr:colOff>45720</xdr:colOff>
      <xdr:row>17</xdr:row>
      <xdr:rowOff>49530</xdr:rowOff>
    </xdr:to>
    <xdr:sp macro="" textlink="Processing!P3">
      <xdr:nvSpPr>
        <xdr:cNvPr id="22" name="TextBox 21">
          <a:extLst>
            <a:ext uri="{FF2B5EF4-FFF2-40B4-BE49-F238E27FC236}">
              <a16:creationId xmlns:a16="http://schemas.microsoft.com/office/drawing/2014/main" id="{06B096D1-A843-9D73-6B80-0E0146E8D2F4}"/>
            </a:ext>
          </a:extLst>
        </xdr:cNvPr>
        <xdr:cNvSpPr txBox="1"/>
      </xdr:nvSpPr>
      <xdr:spPr>
        <a:xfrm>
          <a:off x="11696700" y="2647950"/>
          <a:ext cx="1150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9A5041C-CF67-4F72-A7FD-5A547A452746}" type="TxLink">
            <a:rPr lang="en-US" sz="1100" b="0" i="0" u="none" strike="noStrike">
              <a:solidFill>
                <a:schemeClr val="bg1"/>
              </a:solidFill>
              <a:latin typeface="Aptos Narrow"/>
              <a:ea typeface="+mn-ea"/>
              <a:cs typeface="+mn-cs"/>
            </a:rPr>
            <a:pPr marL="0" indent="0"/>
            <a:t>Button Click Rate</a:t>
          </a:fld>
          <a:endParaRPr lang="ru-RU" sz="3200" b="0" i="0" u="none" strike="noStrike">
            <a:solidFill>
              <a:schemeClr val="bg1"/>
            </a:solidFill>
            <a:latin typeface="Aptos Narrow"/>
            <a:ea typeface="+mn-ea"/>
            <a:cs typeface="+mn-cs"/>
          </a:endParaRPr>
        </a:p>
      </xdr:txBody>
    </xdr:sp>
    <xdr:clientData/>
  </xdr:twoCellAnchor>
  <xdr:twoCellAnchor>
    <xdr:from>
      <xdr:col>19</xdr:col>
      <xdr:colOff>114300</xdr:colOff>
      <xdr:row>17</xdr:row>
      <xdr:rowOff>38100</xdr:rowOff>
    </xdr:from>
    <xdr:to>
      <xdr:col>21</xdr:col>
      <xdr:colOff>45720</xdr:colOff>
      <xdr:row>19</xdr:row>
      <xdr:rowOff>0</xdr:rowOff>
    </xdr:to>
    <xdr:sp macro="" textlink="Processing!Q3">
      <xdr:nvSpPr>
        <xdr:cNvPr id="23" name="TextBox 22">
          <a:extLst>
            <a:ext uri="{FF2B5EF4-FFF2-40B4-BE49-F238E27FC236}">
              <a16:creationId xmlns:a16="http://schemas.microsoft.com/office/drawing/2014/main" id="{627F896E-A72D-24E8-A995-15F24D5D21EC}"/>
            </a:ext>
          </a:extLst>
        </xdr:cNvPr>
        <xdr:cNvSpPr txBox="1"/>
      </xdr:nvSpPr>
      <xdr:spPr>
        <a:xfrm>
          <a:off x="11696700" y="2964180"/>
          <a:ext cx="1150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4CDC8D7-FF26-4565-BF42-CE5FB9E25284}" type="TxLink">
            <a:rPr lang="en-US" sz="1100" b="0" i="0" u="none" strike="noStrike">
              <a:solidFill>
                <a:schemeClr val="bg1"/>
              </a:solidFill>
              <a:latin typeface="Aptos Narrow"/>
              <a:ea typeface="+mn-ea"/>
              <a:cs typeface="+mn-cs"/>
            </a:rPr>
            <a:pPr marL="0" indent="0"/>
            <a:t>Did Not Convert</a:t>
          </a:fld>
          <a:endParaRPr lang="ru-RU" sz="3200" b="0" i="0" u="none" strike="noStrike">
            <a:solidFill>
              <a:schemeClr val="bg1"/>
            </a:solidFill>
            <a:latin typeface="Aptos Narrow"/>
            <a:ea typeface="+mn-ea"/>
            <a:cs typeface="+mn-cs"/>
          </a:endParaRPr>
        </a:p>
      </xdr:txBody>
    </xdr:sp>
    <xdr:clientData/>
  </xdr:twoCellAnchor>
  <xdr:twoCellAnchor>
    <xdr:from>
      <xdr:col>18</xdr:col>
      <xdr:colOff>586740</xdr:colOff>
      <xdr:row>17</xdr:row>
      <xdr:rowOff>91440</xdr:rowOff>
    </xdr:from>
    <xdr:to>
      <xdr:col>19</xdr:col>
      <xdr:colOff>114300</xdr:colOff>
      <xdr:row>18</xdr:row>
      <xdr:rowOff>45720</xdr:rowOff>
    </xdr:to>
    <xdr:sp macro="" textlink="">
      <xdr:nvSpPr>
        <xdr:cNvPr id="24" name="Oval 23">
          <a:extLst>
            <a:ext uri="{FF2B5EF4-FFF2-40B4-BE49-F238E27FC236}">
              <a16:creationId xmlns:a16="http://schemas.microsoft.com/office/drawing/2014/main" id="{6DB0D16C-7FF4-5666-0758-0CD3FA1F3431}"/>
            </a:ext>
          </a:extLst>
        </xdr:cNvPr>
        <xdr:cNvSpPr/>
      </xdr:nvSpPr>
      <xdr:spPr>
        <a:xfrm>
          <a:off x="11559540" y="3017520"/>
          <a:ext cx="137160" cy="137160"/>
        </a:xfrm>
        <a:prstGeom prst="ellipse">
          <a:avLst/>
        </a:prstGeom>
        <a:noFill/>
        <a:ln>
          <a:solidFill>
            <a:srgbClr val="A5ABB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586740</xdr:colOff>
      <xdr:row>15</xdr:row>
      <xdr:rowOff>144780</xdr:rowOff>
    </xdr:from>
    <xdr:to>
      <xdr:col>19</xdr:col>
      <xdr:colOff>114300</xdr:colOff>
      <xdr:row>16</xdr:row>
      <xdr:rowOff>99060</xdr:rowOff>
    </xdr:to>
    <xdr:sp macro="" textlink="">
      <xdr:nvSpPr>
        <xdr:cNvPr id="25" name="Oval 24">
          <a:extLst>
            <a:ext uri="{FF2B5EF4-FFF2-40B4-BE49-F238E27FC236}">
              <a16:creationId xmlns:a16="http://schemas.microsoft.com/office/drawing/2014/main" id="{F687BAF4-86CA-FD00-579F-12EAF335ECF8}"/>
            </a:ext>
          </a:extLst>
        </xdr:cNvPr>
        <xdr:cNvSpPr/>
      </xdr:nvSpPr>
      <xdr:spPr>
        <a:xfrm>
          <a:off x="11559540" y="2705100"/>
          <a:ext cx="137160" cy="137160"/>
        </a:xfrm>
        <a:prstGeom prst="ellipse">
          <a:avLst/>
        </a:prstGeom>
        <a:noFill/>
        <a:ln>
          <a:gradFill flip="none" rotWithShape="1">
            <a:gsLst>
              <a:gs pos="0">
                <a:srgbClr val="F9F871"/>
              </a:gs>
              <a:gs pos="84000">
                <a:srgbClr val="E34F10"/>
              </a:gs>
            </a:gsLst>
            <a:path path="circle">
              <a:fillToRect l="100000" t="100000"/>
            </a:path>
            <a:tileRect r="-100000" b="-100000"/>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gradFill>
              <a:gsLst>
                <a:gs pos="0">
                  <a:srgbClr val="F9F871"/>
                </a:gs>
                <a:gs pos="100000">
                  <a:srgbClr val="E34F10"/>
                </a:gs>
              </a:gsLst>
              <a:path path="circle">
                <a:fillToRect l="100000" b="100000"/>
              </a:path>
            </a:gradFill>
          </a:endParaRPr>
        </a:p>
      </xdr:txBody>
    </xdr:sp>
    <xdr:clientData/>
  </xdr:twoCellAnchor>
  <xdr:twoCellAnchor>
    <xdr:from>
      <xdr:col>18</xdr:col>
      <xdr:colOff>586740</xdr:colOff>
      <xdr:row>14</xdr:row>
      <xdr:rowOff>15240</xdr:rowOff>
    </xdr:from>
    <xdr:to>
      <xdr:col>19</xdr:col>
      <xdr:colOff>114300</xdr:colOff>
      <xdr:row>14</xdr:row>
      <xdr:rowOff>152400</xdr:rowOff>
    </xdr:to>
    <xdr:sp macro="" textlink="">
      <xdr:nvSpPr>
        <xdr:cNvPr id="26" name="Oval 25">
          <a:extLst>
            <a:ext uri="{FF2B5EF4-FFF2-40B4-BE49-F238E27FC236}">
              <a16:creationId xmlns:a16="http://schemas.microsoft.com/office/drawing/2014/main" id="{051D0D71-21CA-66EF-0772-84795831AF9E}"/>
            </a:ext>
          </a:extLst>
        </xdr:cNvPr>
        <xdr:cNvSpPr/>
      </xdr:nvSpPr>
      <xdr:spPr>
        <a:xfrm>
          <a:off x="11559540" y="2392680"/>
          <a:ext cx="137160" cy="137160"/>
        </a:xfrm>
        <a:prstGeom prst="ellipse">
          <a:avLst/>
        </a:prstGeom>
        <a:noFill/>
        <a:ln>
          <a:solidFill>
            <a:srgbClr val="1AFFD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162267</xdr:colOff>
      <xdr:row>11</xdr:row>
      <xdr:rowOff>123181</xdr:rowOff>
    </xdr:from>
    <xdr:to>
      <xdr:col>17</xdr:col>
      <xdr:colOff>592113</xdr:colOff>
      <xdr:row>14</xdr:row>
      <xdr:rowOff>143519</xdr:rowOff>
    </xdr:to>
    <xdr:sp macro="" textlink="Processing!P4">
      <xdr:nvSpPr>
        <xdr:cNvPr id="27" name="TextBox 26">
          <a:extLst>
            <a:ext uri="{FF2B5EF4-FFF2-40B4-BE49-F238E27FC236}">
              <a16:creationId xmlns:a16="http://schemas.microsoft.com/office/drawing/2014/main" id="{BD1DB9FC-6E12-E4C5-CF58-D2CF016D154A}"/>
            </a:ext>
          </a:extLst>
        </xdr:cNvPr>
        <xdr:cNvSpPr txBox="1"/>
      </xdr:nvSpPr>
      <xdr:spPr>
        <a:xfrm>
          <a:off x="9915867" y="1951981"/>
          <a:ext cx="1039446" cy="568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30B2697-2EAA-4E17-9672-4AAB931F52F8}" type="TxLink">
            <a:rPr lang="en-US" sz="2800" b="0" i="0" u="none" strike="noStrike">
              <a:solidFill>
                <a:schemeClr val="bg1"/>
              </a:solidFill>
              <a:latin typeface="Aptos Narrow"/>
              <a:ea typeface="+mn-ea"/>
              <a:cs typeface="+mn-cs"/>
            </a:rPr>
            <a:pPr marL="0" indent="0" algn="ctr"/>
            <a:t>63%</a:t>
          </a:fld>
          <a:endParaRPr lang="ru-RU" sz="16600" b="0" i="0" u="none" strike="noStrike">
            <a:solidFill>
              <a:schemeClr val="bg1"/>
            </a:solidFill>
            <a:latin typeface="Aptos Narrow"/>
            <a:ea typeface="+mn-ea"/>
            <a:cs typeface="+mn-cs"/>
          </a:endParaRPr>
        </a:p>
      </xdr:txBody>
    </xdr:sp>
    <xdr:clientData/>
  </xdr:twoCellAnchor>
  <xdr:twoCellAnchor>
    <xdr:from>
      <xdr:col>14</xdr:col>
      <xdr:colOff>589573</xdr:colOff>
      <xdr:row>21</xdr:row>
      <xdr:rowOff>170688</xdr:rowOff>
    </xdr:from>
    <xdr:to>
      <xdr:col>21</xdr:col>
      <xdr:colOff>148756</xdr:colOff>
      <xdr:row>24</xdr:row>
      <xdr:rowOff>15240</xdr:rowOff>
    </xdr:to>
    <xdr:sp macro="" textlink="Processing!A1">
      <xdr:nvSpPr>
        <xdr:cNvPr id="28" name="TextBox 27">
          <a:extLst>
            <a:ext uri="{FF2B5EF4-FFF2-40B4-BE49-F238E27FC236}">
              <a16:creationId xmlns:a16="http://schemas.microsoft.com/office/drawing/2014/main" id="{F743182D-A337-17B6-7C80-F2656DDE8635}"/>
            </a:ext>
          </a:extLst>
        </xdr:cNvPr>
        <xdr:cNvSpPr txBox="1"/>
      </xdr:nvSpPr>
      <xdr:spPr>
        <a:xfrm>
          <a:off x="9123973" y="3828288"/>
          <a:ext cx="3826383"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A05FFF0-74A2-4953-980D-E088AA7CD2D4}" type="TxLink">
            <a:rPr lang="en-US" sz="1600" b="0" i="0" u="none" strike="noStrike">
              <a:solidFill>
                <a:schemeClr val="bg1"/>
              </a:solidFill>
              <a:latin typeface="Aptos Narrow"/>
              <a:ea typeface="+mn-ea"/>
              <a:cs typeface="+mn-cs"/>
            </a:rPr>
            <a:pPr marL="0" indent="0" algn="ctr"/>
            <a:t>Click-Through Rate vs Conversion Rate</a:t>
          </a:fld>
          <a:endParaRPr lang="ru-RU" sz="1600" b="0" i="0" u="none" strike="noStrike">
            <a:solidFill>
              <a:schemeClr val="bg1"/>
            </a:solidFill>
            <a:latin typeface="Aptos Narrow"/>
            <a:ea typeface="+mn-ea"/>
            <a:cs typeface="+mn-cs"/>
          </a:endParaRPr>
        </a:p>
      </xdr:txBody>
    </xdr:sp>
    <xdr:clientData/>
  </xdr:twoCellAnchor>
  <xdr:twoCellAnchor>
    <xdr:from>
      <xdr:col>15</xdr:col>
      <xdr:colOff>445908</xdr:colOff>
      <xdr:row>23</xdr:row>
      <xdr:rowOff>151638</xdr:rowOff>
    </xdr:from>
    <xdr:to>
      <xdr:col>17</xdr:col>
      <xdr:colOff>273205</xdr:colOff>
      <xdr:row>25</xdr:row>
      <xdr:rowOff>179070</xdr:rowOff>
    </xdr:to>
    <xdr:sp macro="" textlink="Processing!B1">
      <xdr:nvSpPr>
        <xdr:cNvPr id="29" name="TextBox 28">
          <a:extLst>
            <a:ext uri="{FF2B5EF4-FFF2-40B4-BE49-F238E27FC236}">
              <a16:creationId xmlns:a16="http://schemas.microsoft.com/office/drawing/2014/main" id="{B0D8FF98-AD38-4230-ACDA-AD018C782A4A}"/>
            </a:ext>
          </a:extLst>
        </xdr:cNvPr>
        <xdr:cNvSpPr txBox="1"/>
      </xdr:nvSpPr>
      <xdr:spPr>
        <a:xfrm>
          <a:off x="9589908" y="4357878"/>
          <a:ext cx="1046497"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29BB49C-440A-4B2A-A614-2FC32AB014BB}" type="TxLink">
            <a:rPr lang="en-US" sz="1200" b="0" i="0" u="none" strike="noStrike">
              <a:solidFill>
                <a:schemeClr val="bg1"/>
              </a:solidFill>
              <a:latin typeface="Aptos Narrow"/>
              <a:ea typeface="+mn-ea"/>
              <a:cs typeface="+mn-cs"/>
            </a:rPr>
            <a:pPr marL="0" indent="0" algn="ctr"/>
            <a:t>CTR</a:t>
          </a:fld>
          <a:endParaRPr lang="ru-RU" sz="1200" b="0" i="0" u="none" strike="noStrike">
            <a:solidFill>
              <a:schemeClr val="bg1"/>
            </a:solidFill>
            <a:latin typeface="Aptos Narrow"/>
            <a:ea typeface="+mn-ea"/>
            <a:cs typeface="+mn-cs"/>
          </a:endParaRPr>
        </a:p>
      </xdr:txBody>
    </xdr:sp>
    <xdr:clientData/>
  </xdr:twoCellAnchor>
  <xdr:twoCellAnchor>
    <xdr:from>
      <xdr:col>16</xdr:col>
      <xdr:colOff>491628</xdr:colOff>
      <xdr:row>23</xdr:row>
      <xdr:rowOff>151638</xdr:rowOff>
    </xdr:from>
    <xdr:to>
      <xdr:col>18</xdr:col>
      <xdr:colOff>318925</xdr:colOff>
      <xdr:row>25</xdr:row>
      <xdr:rowOff>179070</xdr:rowOff>
    </xdr:to>
    <xdr:sp macro="" textlink="Processing!D14">
      <xdr:nvSpPr>
        <xdr:cNvPr id="30" name="TextBox 29">
          <a:extLst>
            <a:ext uri="{FF2B5EF4-FFF2-40B4-BE49-F238E27FC236}">
              <a16:creationId xmlns:a16="http://schemas.microsoft.com/office/drawing/2014/main" id="{0DF855A5-9453-B42B-C88D-62669598E957}"/>
            </a:ext>
          </a:extLst>
        </xdr:cNvPr>
        <xdr:cNvSpPr txBox="1"/>
      </xdr:nvSpPr>
      <xdr:spPr>
        <a:xfrm>
          <a:off x="10245228" y="4357878"/>
          <a:ext cx="1046497"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C5A7813-CAE0-4368-A99E-A30786CEBF22}" type="TxLink">
            <a:rPr lang="en-US" sz="2000" b="0" i="0" u="none" strike="noStrike">
              <a:solidFill>
                <a:srgbClr val="1AFFD5"/>
              </a:solidFill>
              <a:latin typeface="Aptos Narrow"/>
              <a:ea typeface="+mn-ea"/>
              <a:cs typeface="+mn-cs"/>
            </a:rPr>
            <a:pPr marL="0" indent="0" algn="l"/>
            <a:t>8.3%</a:t>
          </a:fld>
          <a:endParaRPr lang="ru-RU" sz="2000" b="0" i="0" u="none" strike="noStrike">
            <a:solidFill>
              <a:srgbClr val="1AFFD5"/>
            </a:solidFill>
            <a:latin typeface="Aptos Narrow"/>
            <a:ea typeface="+mn-ea"/>
            <a:cs typeface="+mn-cs"/>
          </a:endParaRPr>
        </a:p>
      </xdr:txBody>
    </xdr:sp>
    <xdr:clientData/>
  </xdr:twoCellAnchor>
  <xdr:twoCellAnchor>
    <xdr:from>
      <xdr:col>17</xdr:col>
      <xdr:colOff>477403</xdr:colOff>
      <xdr:row>23</xdr:row>
      <xdr:rowOff>144018</xdr:rowOff>
    </xdr:from>
    <xdr:to>
      <xdr:col>19</xdr:col>
      <xdr:colOff>409350</xdr:colOff>
      <xdr:row>25</xdr:row>
      <xdr:rowOff>171450</xdr:rowOff>
    </xdr:to>
    <xdr:sp macro="" textlink="Processing!C1">
      <xdr:nvSpPr>
        <xdr:cNvPr id="31" name="TextBox 30">
          <a:extLst>
            <a:ext uri="{FF2B5EF4-FFF2-40B4-BE49-F238E27FC236}">
              <a16:creationId xmlns:a16="http://schemas.microsoft.com/office/drawing/2014/main" id="{B523DDDD-AE30-9A83-9837-4EFA48C810AA}"/>
            </a:ext>
          </a:extLst>
        </xdr:cNvPr>
        <xdr:cNvSpPr txBox="1"/>
      </xdr:nvSpPr>
      <xdr:spPr>
        <a:xfrm>
          <a:off x="10840603" y="4350258"/>
          <a:ext cx="1151147"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E7656B9-8258-4CA3-837E-E0DBACA09C59}" type="TxLink">
            <a:rPr lang="en-US" sz="1200" b="0" i="0" u="none" strike="noStrike">
              <a:solidFill>
                <a:schemeClr val="bg1"/>
              </a:solidFill>
              <a:latin typeface="Aptos Narrow"/>
              <a:ea typeface="+mn-ea"/>
              <a:cs typeface="+mn-cs"/>
            </a:rPr>
            <a:pPr marL="0" indent="0" algn="ctr"/>
            <a:t>CR</a:t>
          </a:fld>
          <a:endParaRPr lang="ru-RU" sz="1200" b="0" i="0" u="none" strike="noStrike">
            <a:solidFill>
              <a:schemeClr val="bg1"/>
            </a:solidFill>
            <a:latin typeface="Aptos Narrow"/>
            <a:ea typeface="+mn-ea"/>
            <a:cs typeface="+mn-cs"/>
          </a:endParaRPr>
        </a:p>
      </xdr:txBody>
    </xdr:sp>
    <xdr:clientData/>
  </xdr:twoCellAnchor>
  <xdr:twoCellAnchor>
    <xdr:from>
      <xdr:col>18</xdr:col>
      <xdr:colOff>567828</xdr:colOff>
      <xdr:row>23</xdr:row>
      <xdr:rowOff>144018</xdr:rowOff>
    </xdr:from>
    <xdr:to>
      <xdr:col>20</xdr:col>
      <xdr:colOff>395125</xdr:colOff>
      <xdr:row>25</xdr:row>
      <xdr:rowOff>171450</xdr:rowOff>
    </xdr:to>
    <xdr:sp macro="" textlink="Processing!E14">
      <xdr:nvSpPr>
        <xdr:cNvPr id="32" name="TextBox 31">
          <a:extLst>
            <a:ext uri="{FF2B5EF4-FFF2-40B4-BE49-F238E27FC236}">
              <a16:creationId xmlns:a16="http://schemas.microsoft.com/office/drawing/2014/main" id="{5D0B2534-598C-36C5-5E33-43709E15DCEE}"/>
            </a:ext>
          </a:extLst>
        </xdr:cNvPr>
        <xdr:cNvSpPr txBox="1"/>
      </xdr:nvSpPr>
      <xdr:spPr>
        <a:xfrm>
          <a:off x="11540628" y="4350258"/>
          <a:ext cx="1046497"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5007F1C-5E1C-4A72-BC95-03017369EA22}" type="TxLink">
            <a:rPr lang="en-US" sz="2000" b="0" i="0" u="none" strike="noStrike">
              <a:solidFill>
                <a:srgbClr val="8F72FF"/>
              </a:solidFill>
              <a:latin typeface="Aptos Narrow"/>
              <a:ea typeface="+mn-ea"/>
              <a:cs typeface="+mn-cs"/>
            </a:rPr>
            <a:pPr marL="0" indent="0" algn="l"/>
            <a:t>8.3%</a:t>
          </a:fld>
          <a:endParaRPr lang="ru-RU" sz="2000" b="0" i="0" u="none" strike="noStrike">
            <a:solidFill>
              <a:srgbClr val="8F72FF"/>
            </a:solidFill>
            <a:latin typeface="Aptos Narrow"/>
            <a:ea typeface="+mn-ea"/>
            <a:cs typeface="+mn-cs"/>
          </a:endParaRPr>
        </a:p>
      </xdr:txBody>
    </xdr:sp>
    <xdr:clientData/>
  </xdr:twoCellAnchor>
  <xdr:twoCellAnchor>
    <xdr:from>
      <xdr:col>9</xdr:col>
      <xdr:colOff>251054</xdr:colOff>
      <xdr:row>28</xdr:row>
      <xdr:rowOff>117348</xdr:rowOff>
    </xdr:from>
    <xdr:to>
      <xdr:col>14</xdr:col>
      <xdr:colOff>365354</xdr:colOff>
      <xdr:row>30</xdr:row>
      <xdr:rowOff>144780</xdr:rowOff>
    </xdr:to>
    <xdr:sp macro="" textlink="Processing!P6">
      <xdr:nvSpPr>
        <xdr:cNvPr id="33" name="TextBox 32">
          <a:extLst>
            <a:ext uri="{FF2B5EF4-FFF2-40B4-BE49-F238E27FC236}">
              <a16:creationId xmlns:a16="http://schemas.microsoft.com/office/drawing/2014/main" id="{B9EC652C-EF38-599C-8CB6-9FEBAC368EC4}"/>
            </a:ext>
          </a:extLst>
        </xdr:cNvPr>
        <xdr:cNvSpPr txBox="1"/>
      </xdr:nvSpPr>
      <xdr:spPr>
        <a:xfrm>
          <a:off x="5737454" y="5055108"/>
          <a:ext cx="3162300"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C79B3E6-BA78-4C59-989B-FF7104A3890C}" type="TxLink">
            <a:rPr lang="en-US" sz="1600" b="0" i="0" u="none" strike="noStrike">
              <a:solidFill>
                <a:schemeClr val="bg1"/>
              </a:solidFill>
              <a:latin typeface="Aptos Narrow"/>
              <a:ea typeface="+mn-ea"/>
              <a:cs typeface="+mn-cs"/>
            </a:rPr>
            <a:pPr marL="0" indent="0" algn="ctr"/>
            <a:t>Offer Selection</a:t>
          </a:fld>
          <a:endParaRPr lang="ru-RU" sz="1600" b="0" i="0" u="none" strike="noStrike">
            <a:solidFill>
              <a:schemeClr val="bg1"/>
            </a:solidFill>
            <a:latin typeface="Aptos Narrow"/>
            <a:ea typeface="+mn-ea"/>
            <a:cs typeface="+mn-cs"/>
          </a:endParaRPr>
        </a:p>
      </xdr:txBody>
    </xdr:sp>
    <xdr:clientData/>
  </xdr:twoCellAnchor>
  <xdr:twoCellAnchor>
    <xdr:from>
      <xdr:col>9</xdr:col>
      <xdr:colOff>567828</xdr:colOff>
      <xdr:row>34</xdr:row>
      <xdr:rowOff>105918</xdr:rowOff>
    </xdr:from>
    <xdr:to>
      <xdr:col>11</xdr:col>
      <xdr:colOff>395125</xdr:colOff>
      <xdr:row>36</xdr:row>
      <xdr:rowOff>133350</xdr:rowOff>
    </xdr:to>
    <xdr:sp macro="" textlink="Processing!O7">
      <xdr:nvSpPr>
        <xdr:cNvPr id="34" name="TextBox 33">
          <a:extLst>
            <a:ext uri="{FF2B5EF4-FFF2-40B4-BE49-F238E27FC236}">
              <a16:creationId xmlns:a16="http://schemas.microsoft.com/office/drawing/2014/main" id="{2FBED6C8-3EBE-7869-C600-1010ECAB1EBC}"/>
            </a:ext>
          </a:extLst>
        </xdr:cNvPr>
        <xdr:cNvSpPr txBox="1"/>
      </xdr:nvSpPr>
      <xdr:spPr>
        <a:xfrm>
          <a:off x="6054228" y="6140958"/>
          <a:ext cx="1046497"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DF95A73-1E12-4562-886F-2337959A0090}" type="TxLink">
            <a:rPr lang="en-US" sz="1100" b="0" i="0" u="none" strike="noStrike">
              <a:solidFill>
                <a:schemeClr val="bg1"/>
              </a:solidFill>
              <a:latin typeface="Aptos Narrow"/>
              <a:ea typeface="+mn-ea"/>
              <a:cs typeface="+mn-cs"/>
            </a:rPr>
            <a:pPr marL="0" indent="0" algn="ctr"/>
            <a:t>Chose Offer A</a:t>
          </a:fld>
          <a:endParaRPr lang="ru-RU" sz="1800" b="0" i="0" u="none" strike="noStrike">
            <a:solidFill>
              <a:schemeClr val="bg1"/>
            </a:solidFill>
            <a:latin typeface="Aptos Narrow"/>
            <a:ea typeface="+mn-ea"/>
            <a:cs typeface="+mn-cs"/>
          </a:endParaRPr>
        </a:p>
      </xdr:txBody>
    </xdr:sp>
    <xdr:clientData/>
  </xdr:twoCellAnchor>
  <xdr:twoCellAnchor>
    <xdr:from>
      <xdr:col>12</xdr:col>
      <xdr:colOff>209688</xdr:colOff>
      <xdr:row>34</xdr:row>
      <xdr:rowOff>105918</xdr:rowOff>
    </xdr:from>
    <xdr:to>
      <xdr:col>14</xdr:col>
      <xdr:colOff>36985</xdr:colOff>
      <xdr:row>36</xdr:row>
      <xdr:rowOff>133350</xdr:rowOff>
    </xdr:to>
    <xdr:sp macro="" textlink="Processing!O8">
      <xdr:nvSpPr>
        <xdr:cNvPr id="35" name="TextBox 34">
          <a:extLst>
            <a:ext uri="{FF2B5EF4-FFF2-40B4-BE49-F238E27FC236}">
              <a16:creationId xmlns:a16="http://schemas.microsoft.com/office/drawing/2014/main" id="{354E6A39-4B11-0FB4-BC4C-B1311EFF1014}"/>
            </a:ext>
          </a:extLst>
        </xdr:cNvPr>
        <xdr:cNvSpPr txBox="1"/>
      </xdr:nvSpPr>
      <xdr:spPr>
        <a:xfrm>
          <a:off x="7524888" y="6140958"/>
          <a:ext cx="1046497"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7EC0A27-5E30-4573-A3B3-29AB665A4667}" type="TxLink">
            <a:rPr lang="en-US" sz="1100" b="0" i="0" u="none" strike="noStrike">
              <a:solidFill>
                <a:schemeClr val="bg1"/>
              </a:solidFill>
              <a:latin typeface="Aptos Narrow"/>
              <a:ea typeface="+mn-ea"/>
              <a:cs typeface="+mn-cs"/>
            </a:rPr>
            <a:pPr marL="0" indent="0" algn="ctr"/>
            <a:t>Chose Offer B</a:t>
          </a:fld>
          <a:endParaRPr lang="ru-RU" sz="1100" b="0" i="0" u="none" strike="noStrike">
            <a:solidFill>
              <a:schemeClr val="bg1"/>
            </a:solidFill>
            <a:latin typeface="Aptos Narrow"/>
            <a:ea typeface="+mn-ea"/>
            <a:cs typeface="+mn-cs"/>
          </a:endParaRPr>
        </a:p>
      </xdr:txBody>
    </xdr:sp>
    <xdr:clientData/>
  </xdr:twoCellAnchor>
  <xdr:twoCellAnchor>
    <xdr:from>
      <xdr:col>9</xdr:col>
      <xdr:colOff>567828</xdr:colOff>
      <xdr:row>33</xdr:row>
      <xdr:rowOff>52578</xdr:rowOff>
    </xdr:from>
    <xdr:to>
      <xdr:col>11</xdr:col>
      <xdr:colOff>395125</xdr:colOff>
      <xdr:row>35</xdr:row>
      <xdr:rowOff>80010</xdr:rowOff>
    </xdr:to>
    <xdr:sp macro="" textlink="Processing!P7">
      <xdr:nvSpPr>
        <xdr:cNvPr id="36" name="TextBox 35">
          <a:extLst>
            <a:ext uri="{FF2B5EF4-FFF2-40B4-BE49-F238E27FC236}">
              <a16:creationId xmlns:a16="http://schemas.microsoft.com/office/drawing/2014/main" id="{7DD29769-3EB6-867A-DED9-5A089579F697}"/>
            </a:ext>
          </a:extLst>
        </xdr:cNvPr>
        <xdr:cNvSpPr txBox="1"/>
      </xdr:nvSpPr>
      <xdr:spPr>
        <a:xfrm>
          <a:off x="6054228" y="5904738"/>
          <a:ext cx="1046497"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EDE4873-1EAB-4405-A579-9F82DC363E30}" type="TxLink">
            <a:rPr lang="en-US" sz="2000" b="0" i="0" u="none" strike="noStrike">
              <a:solidFill>
                <a:schemeClr val="bg1"/>
              </a:solidFill>
              <a:latin typeface="Aptos Narrow"/>
              <a:ea typeface="+mn-ea"/>
              <a:cs typeface="+mn-cs"/>
            </a:rPr>
            <a:pPr marL="0" indent="0" algn="ctr"/>
            <a:t>55%</a:t>
          </a:fld>
          <a:endParaRPr lang="ru-RU" sz="6000" b="0" i="0" u="none" strike="noStrike">
            <a:solidFill>
              <a:schemeClr val="bg1"/>
            </a:solidFill>
            <a:latin typeface="Aptos Narrow"/>
            <a:ea typeface="+mn-ea"/>
            <a:cs typeface="+mn-cs"/>
          </a:endParaRPr>
        </a:p>
      </xdr:txBody>
    </xdr:sp>
    <xdr:clientData/>
  </xdr:twoCellAnchor>
  <xdr:twoCellAnchor>
    <xdr:from>
      <xdr:col>12</xdr:col>
      <xdr:colOff>209688</xdr:colOff>
      <xdr:row>33</xdr:row>
      <xdr:rowOff>52578</xdr:rowOff>
    </xdr:from>
    <xdr:to>
      <xdr:col>14</xdr:col>
      <xdr:colOff>36985</xdr:colOff>
      <xdr:row>35</xdr:row>
      <xdr:rowOff>80010</xdr:rowOff>
    </xdr:to>
    <xdr:sp macro="" textlink="Processing!P8">
      <xdr:nvSpPr>
        <xdr:cNvPr id="37" name="TextBox 36">
          <a:extLst>
            <a:ext uri="{FF2B5EF4-FFF2-40B4-BE49-F238E27FC236}">
              <a16:creationId xmlns:a16="http://schemas.microsoft.com/office/drawing/2014/main" id="{2DE75C1D-0519-06B8-D673-0664FC65B5B8}"/>
            </a:ext>
          </a:extLst>
        </xdr:cNvPr>
        <xdr:cNvSpPr txBox="1"/>
      </xdr:nvSpPr>
      <xdr:spPr>
        <a:xfrm>
          <a:off x="7524888" y="5904738"/>
          <a:ext cx="1046497"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A9F3461-B3A5-4F29-A29A-4C2EA75B08DC}" type="TxLink">
            <a:rPr lang="en-US" sz="2000" b="0" i="0" u="none" strike="noStrike">
              <a:solidFill>
                <a:schemeClr val="bg1"/>
              </a:solidFill>
              <a:latin typeface="Aptos Narrow"/>
              <a:ea typeface="+mn-ea"/>
              <a:cs typeface="+mn-cs"/>
            </a:rPr>
            <a:pPr marL="0" indent="0" algn="ctr"/>
            <a:t>63%</a:t>
          </a:fld>
          <a:endParaRPr lang="ru-RU" sz="4000" b="0" i="0" u="none" strike="noStrike">
            <a:solidFill>
              <a:schemeClr val="bg1"/>
            </a:solidFill>
            <a:latin typeface="Aptos Narrow"/>
            <a:ea typeface="+mn-ea"/>
            <a:cs typeface="+mn-cs"/>
          </a:endParaRPr>
        </a:p>
      </xdr:txBody>
    </xdr:sp>
    <xdr:clientData/>
  </xdr:twoCellAnchor>
  <xdr:twoCellAnchor>
    <xdr:from>
      <xdr:col>3</xdr:col>
      <xdr:colOff>57151</xdr:colOff>
      <xdr:row>28</xdr:row>
      <xdr:rowOff>117348</xdr:rowOff>
    </xdr:from>
    <xdr:to>
      <xdr:col>8</xdr:col>
      <xdr:colOff>171451</xdr:colOff>
      <xdr:row>30</xdr:row>
      <xdr:rowOff>144780</xdr:rowOff>
    </xdr:to>
    <xdr:sp macro="" textlink="Processing!O10">
      <xdr:nvSpPr>
        <xdr:cNvPr id="38" name="TextBox 37">
          <a:extLst>
            <a:ext uri="{FF2B5EF4-FFF2-40B4-BE49-F238E27FC236}">
              <a16:creationId xmlns:a16="http://schemas.microsoft.com/office/drawing/2014/main" id="{D4F5A620-9789-10BF-91F1-0C260BFEE070}"/>
            </a:ext>
          </a:extLst>
        </xdr:cNvPr>
        <xdr:cNvSpPr txBox="1"/>
      </xdr:nvSpPr>
      <xdr:spPr>
        <a:xfrm>
          <a:off x="1885951" y="5055108"/>
          <a:ext cx="3162300"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E3E2A48-7ED6-4F60-8494-9178FCC4042F}" type="TxLink">
            <a:rPr lang="en-US" sz="1600" b="0" i="0" u="none" strike="noStrike">
              <a:solidFill>
                <a:schemeClr val="bg1"/>
              </a:solidFill>
              <a:latin typeface="Aptos Narrow"/>
              <a:ea typeface="+mn-ea"/>
              <a:cs typeface="+mn-cs"/>
            </a:rPr>
            <a:pPr marL="0" indent="0" algn="ctr"/>
            <a:t>Seasonal Benchmark for Current Month</a:t>
          </a:fld>
          <a:endParaRPr lang="ru-RU" sz="1600" b="0" i="0" u="none" strike="noStrike">
            <a:solidFill>
              <a:schemeClr val="bg1"/>
            </a:solidFill>
            <a:latin typeface="Aptos Narrow"/>
            <a:ea typeface="+mn-ea"/>
            <a:cs typeface="+mn-cs"/>
          </a:endParaRPr>
        </a:p>
      </xdr:txBody>
    </xdr:sp>
    <xdr:clientData/>
  </xdr:twoCellAnchor>
  <xdr:twoCellAnchor>
    <xdr:from>
      <xdr:col>6</xdr:col>
      <xdr:colOff>563880</xdr:colOff>
      <xdr:row>0</xdr:row>
      <xdr:rowOff>60960</xdr:rowOff>
    </xdr:from>
    <xdr:to>
      <xdr:col>16</xdr:col>
      <xdr:colOff>411480</xdr:colOff>
      <xdr:row>3</xdr:row>
      <xdr:rowOff>30480</xdr:rowOff>
    </xdr:to>
    <xdr:sp macro="" textlink="Processing!A14">
      <xdr:nvSpPr>
        <xdr:cNvPr id="39" name="TextBox 38" hidden="1">
          <a:extLst>
            <a:ext uri="{FF2B5EF4-FFF2-40B4-BE49-F238E27FC236}">
              <a16:creationId xmlns:a16="http://schemas.microsoft.com/office/drawing/2014/main" id="{850D181C-F9B7-DD3E-F74E-0F3D7839C80F}"/>
            </a:ext>
          </a:extLst>
        </xdr:cNvPr>
        <xdr:cNvSpPr txBox="1"/>
      </xdr:nvSpPr>
      <xdr:spPr>
        <a:xfrm>
          <a:off x="4221480" y="60960"/>
          <a:ext cx="594360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4D2D6F0-E2AB-474C-B0DD-1FD1C2709114}" type="TxLink">
            <a:rPr lang="en-US" sz="2800" b="0" i="0" u="none" strike="noStrike">
              <a:solidFill>
                <a:schemeClr val="bg1"/>
              </a:solidFill>
              <a:latin typeface="Aptos Narrow"/>
              <a:ea typeface="+mn-ea"/>
              <a:cs typeface="+mn-cs"/>
            </a:rPr>
            <a:pPr marL="0" indent="0"/>
            <a:t>Advertising Effectiveness Dashboard</a:t>
          </a:fld>
          <a:endParaRPr lang="ru-RU" sz="5400" b="0" i="0" u="none" strike="noStrike">
            <a:solidFill>
              <a:schemeClr val="bg1"/>
            </a:solidFill>
            <a:latin typeface="Aptos Narrow"/>
            <a:ea typeface="+mn-ea"/>
            <a:cs typeface="+mn-cs"/>
          </a:endParaRPr>
        </a:p>
      </xdr:txBody>
    </xdr:sp>
    <xdr:clientData/>
  </xdr:twoCellAnchor>
  <xdr:twoCellAnchor editAs="oneCell">
    <xdr:from>
      <xdr:col>19</xdr:col>
      <xdr:colOff>251460</xdr:colOff>
      <xdr:row>1</xdr:row>
      <xdr:rowOff>7620</xdr:rowOff>
    </xdr:from>
    <xdr:to>
      <xdr:col>19</xdr:col>
      <xdr:colOff>525780</xdr:colOff>
      <xdr:row>2</xdr:row>
      <xdr:rowOff>99060</xdr:rowOff>
    </xdr:to>
    <xdr:pic>
      <xdr:nvPicPr>
        <xdr:cNvPr id="42" name="Graphic 41" descr="Sun with solid fill">
          <a:hlinkClick xmlns:r="http://schemas.openxmlformats.org/officeDocument/2006/relationships" r:id="rId7"/>
          <a:extLst>
            <a:ext uri="{FF2B5EF4-FFF2-40B4-BE49-F238E27FC236}">
              <a16:creationId xmlns:a16="http://schemas.microsoft.com/office/drawing/2014/main" id="{90ED18E1-24B2-43FB-9AD4-9276E82BA6F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833860" y="190500"/>
          <a:ext cx="274320" cy="274320"/>
        </a:xfrm>
        <a:prstGeom prst="rect">
          <a:avLst/>
        </a:prstGeom>
      </xdr:spPr>
    </xdr:pic>
    <xdr:clientData/>
  </xdr:twoCellAnchor>
  <xdr:twoCellAnchor editAs="oneCell">
    <xdr:from>
      <xdr:col>20</xdr:col>
      <xdr:colOff>266700</xdr:colOff>
      <xdr:row>1</xdr:row>
      <xdr:rowOff>7620</xdr:rowOff>
    </xdr:from>
    <xdr:to>
      <xdr:col>20</xdr:col>
      <xdr:colOff>541020</xdr:colOff>
      <xdr:row>2</xdr:row>
      <xdr:rowOff>99060</xdr:rowOff>
    </xdr:to>
    <xdr:pic>
      <xdr:nvPicPr>
        <xdr:cNvPr id="43" name="Graphic 42" descr="Moon and stars with solid fill">
          <a:extLst>
            <a:ext uri="{FF2B5EF4-FFF2-40B4-BE49-F238E27FC236}">
              <a16:creationId xmlns:a16="http://schemas.microsoft.com/office/drawing/2014/main" id="{7F8F45FB-7494-4071-A6A1-29EE12F2145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2458700" y="190500"/>
          <a:ext cx="274320" cy="274320"/>
        </a:xfrm>
        <a:prstGeom prst="rect">
          <a:avLst/>
        </a:prstGeom>
      </xdr:spPr>
    </xdr:pic>
    <xdr:clientData/>
  </xdr:twoCellAnchor>
  <xdr:twoCellAnchor>
    <xdr:from>
      <xdr:col>14</xdr:col>
      <xdr:colOff>525780</xdr:colOff>
      <xdr:row>21</xdr:row>
      <xdr:rowOff>15240</xdr:rowOff>
    </xdr:from>
    <xdr:to>
      <xdr:col>21</xdr:col>
      <xdr:colOff>198120</xdr:colOff>
      <xdr:row>40</xdr:row>
      <xdr:rowOff>38100</xdr:rowOff>
    </xdr:to>
    <xdr:sp macro="" textlink="">
      <xdr:nvSpPr>
        <xdr:cNvPr id="44" name="Rectangle 43">
          <a:hlinkClick xmlns:r="http://schemas.openxmlformats.org/officeDocument/2006/relationships" r:id="rId12"/>
          <a:extLst>
            <a:ext uri="{FF2B5EF4-FFF2-40B4-BE49-F238E27FC236}">
              <a16:creationId xmlns:a16="http://schemas.microsoft.com/office/drawing/2014/main" id="{794C4121-1DC6-4B13-96B8-C354621B3E38}"/>
            </a:ext>
          </a:extLst>
        </xdr:cNvPr>
        <xdr:cNvSpPr/>
      </xdr:nvSpPr>
      <xdr:spPr>
        <a:xfrm>
          <a:off x="9060180" y="3855720"/>
          <a:ext cx="3939540" cy="34975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10</xdr:col>
      <xdr:colOff>403860</xdr:colOff>
      <xdr:row>4</xdr:row>
      <xdr:rowOff>121920</xdr:rowOff>
    </xdr:from>
    <xdr:to>
      <xdr:col>14</xdr:col>
      <xdr:colOff>205740</xdr:colOff>
      <xdr:row>7</xdr:row>
      <xdr:rowOff>12192</xdr:rowOff>
    </xdr:to>
    <mc:AlternateContent xmlns:mc="http://schemas.openxmlformats.org/markup-compatibility/2006" xmlns:a14="http://schemas.microsoft.com/office/drawing/2010/main">
      <mc:Choice Requires="a14">
        <xdr:graphicFrame macro="">
          <xdr:nvGraphicFramePr>
            <xdr:cNvPr id="45" name="Year 4">
              <a:extLst>
                <a:ext uri="{FF2B5EF4-FFF2-40B4-BE49-F238E27FC236}">
                  <a16:creationId xmlns:a16="http://schemas.microsoft.com/office/drawing/2014/main" id="{6D186E78-A983-4C6A-B8C2-81434AFB8D7A}"/>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6499860" y="853440"/>
              <a:ext cx="2240280" cy="438912"/>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396240</xdr:colOff>
      <xdr:row>23</xdr:row>
      <xdr:rowOff>137160</xdr:rowOff>
    </xdr:from>
    <xdr:to>
      <xdr:col>14</xdr:col>
      <xdr:colOff>274320</xdr:colOff>
      <xdr:row>26</xdr:row>
      <xdr:rowOff>9144</xdr:rowOff>
    </xdr:to>
    <mc:AlternateContent xmlns:mc="http://schemas.openxmlformats.org/markup-compatibility/2006" xmlns:a14="http://schemas.microsoft.com/office/drawing/2010/main">
      <mc:Choice Requires="a14">
        <xdr:graphicFrame macro="">
          <xdr:nvGraphicFramePr>
            <xdr:cNvPr id="46" name="Month 4">
              <a:extLst>
                <a:ext uri="{FF2B5EF4-FFF2-40B4-BE49-F238E27FC236}">
                  <a16:creationId xmlns:a16="http://schemas.microsoft.com/office/drawing/2014/main" id="{FB8B8747-72C2-45E4-89F7-B7DE2824D1E8}"/>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2225040" y="4343400"/>
              <a:ext cx="6583680" cy="420624"/>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441960</xdr:colOff>
      <xdr:row>44</xdr:row>
      <xdr:rowOff>0</xdr:rowOff>
    </xdr:to>
    <xdr:sp macro="" textlink="">
      <xdr:nvSpPr>
        <xdr:cNvPr id="2" name="Rectangle 1">
          <a:extLst>
            <a:ext uri="{FF2B5EF4-FFF2-40B4-BE49-F238E27FC236}">
              <a16:creationId xmlns:a16="http://schemas.microsoft.com/office/drawing/2014/main" id="{9F483BB3-7CDB-40CA-8232-BEE83AB31F79}"/>
            </a:ext>
          </a:extLst>
        </xdr:cNvPr>
        <xdr:cNvSpPr/>
      </xdr:nvSpPr>
      <xdr:spPr>
        <a:xfrm>
          <a:off x="0" y="0"/>
          <a:ext cx="15681960" cy="8046720"/>
        </a:xfrm>
        <a:prstGeom prst="rect">
          <a:avLst/>
        </a:prstGeom>
        <a:gradFill flip="none" rotWithShape="1">
          <a:gsLst>
            <a:gs pos="0">
              <a:srgbClr val="E5EDF8"/>
            </a:gs>
            <a:gs pos="84000">
              <a:srgbClr val="DCE4F4"/>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190499</xdr:colOff>
      <xdr:row>3</xdr:row>
      <xdr:rowOff>99059</xdr:rowOff>
    </xdr:from>
    <xdr:to>
      <xdr:col>14</xdr:col>
      <xdr:colOff>373379</xdr:colOff>
      <xdr:row>26</xdr:row>
      <xdr:rowOff>144779</xdr:rowOff>
    </xdr:to>
    <xdr:sp macro="" textlink="">
      <xdr:nvSpPr>
        <xdr:cNvPr id="3" name="Rectangle 2">
          <a:extLst>
            <a:ext uri="{FF2B5EF4-FFF2-40B4-BE49-F238E27FC236}">
              <a16:creationId xmlns:a16="http://schemas.microsoft.com/office/drawing/2014/main" id="{EF10C626-8570-411A-B99D-F5FA033384CF}"/>
            </a:ext>
          </a:extLst>
        </xdr:cNvPr>
        <xdr:cNvSpPr/>
      </xdr:nvSpPr>
      <xdr:spPr>
        <a:xfrm>
          <a:off x="1409699" y="647699"/>
          <a:ext cx="7498080" cy="4251960"/>
        </a:xfrm>
        <a:prstGeom prst="rect">
          <a:avLst/>
        </a:prstGeom>
        <a:solidFill>
          <a:srgbClr val="F3F6FD"/>
        </a:solidFill>
        <a:ln w="12700">
          <a:solidFill>
            <a:schemeClr val="bg1"/>
          </a:solidFill>
        </a:ln>
        <a:effectLst>
          <a:outerShdw blurRad="50800" dist="1270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190501</xdr:colOff>
      <xdr:row>27</xdr:row>
      <xdr:rowOff>125810</xdr:rowOff>
    </xdr:from>
    <xdr:to>
      <xdr:col>9</xdr:col>
      <xdr:colOff>38101</xdr:colOff>
      <xdr:row>40</xdr:row>
      <xdr:rowOff>4647</xdr:rowOff>
    </xdr:to>
    <xdr:sp macro="" textlink="">
      <xdr:nvSpPr>
        <xdr:cNvPr id="4" name="Rectangle 3">
          <a:extLst>
            <a:ext uri="{FF2B5EF4-FFF2-40B4-BE49-F238E27FC236}">
              <a16:creationId xmlns:a16="http://schemas.microsoft.com/office/drawing/2014/main" id="{1008D72A-2BE9-4C3F-B5D8-514D7CAEB07D}"/>
            </a:ext>
          </a:extLst>
        </xdr:cNvPr>
        <xdr:cNvSpPr/>
      </xdr:nvSpPr>
      <xdr:spPr>
        <a:xfrm>
          <a:off x="1409701" y="5063570"/>
          <a:ext cx="4114800" cy="2256277"/>
        </a:xfrm>
        <a:prstGeom prst="rect">
          <a:avLst/>
        </a:prstGeom>
        <a:gradFill flip="none" rotWithShape="1">
          <a:gsLst>
            <a:gs pos="51000">
              <a:srgbClr val="F3F6FD"/>
            </a:gs>
            <a:gs pos="100000">
              <a:schemeClr val="bg1"/>
            </a:gs>
          </a:gsLst>
          <a:lin ang="18900000" scaled="1"/>
          <a:tileRect/>
        </a:gradFill>
        <a:ln w="12700">
          <a:solidFill>
            <a:schemeClr val="bg1"/>
          </a:solidFill>
        </a:ln>
        <a:effectLst>
          <a:outerShdw blurRad="50800" dist="889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9</xdr:col>
      <xdr:colOff>220979</xdr:colOff>
      <xdr:row>27</xdr:row>
      <xdr:rowOff>125810</xdr:rowOff>
    </xdr:from>
    <xdr:to>
      <xdr:col>14</xdr:col>
      <xdr:colOff>373379</xdr:colOff>
      <xdr:row>40</xdr:row>
      <xdr:rowOff>4647</xdr:rowOff>
    </xdr:to>
    <xdr:sp macro="" textlink="">
      <xdr:nvSpPr>
        <xdr:cNvPr id="5" name="Rectangle 4">
          <a:extLst>
            <a:ext uri="{FF2B5EF4-FFF2-40B4-BE49-F238E27FC236}">
              <a16:creationId xmlns:a16="http://schemas.microsoft.com/office/drawing/2014/main" id="{C34597A7-EAA4-4CB1-8656-BF6989EE47FD}"/>
            </a:ext>
          </a:extLst>
        </xdr:cNvPr>
        <xdr:cNvSpPr/>
      </xdr:nvSpPr>
      <xdr:spPr>
        <a:xfrm>
          <a:off x="5707379" y="5063570"/>
          <a:ext cx="3200400" cy="2256277"/>
        </a:xfrm>
        <a:prstGeom prst="rect">
          <a:avLst/>
        </a:prstGeom>
        <a:gradFill flip="none" rotWithShape="1">
          <a:gsLst>
            <a:gs pos="51000">
              <a:srgbClr val="F3F6FD"/>
            </a:gs>
            <a:gs pos="100000">
              <a:schemeClr val="bg1"/>
            </a:gs>
          </a:gsLst>
          <a:lin ang="18900000" scaled="1"/>
          <a:tileRect/>
        </a:gradFill>
        <a:ln w="12700">
          <a:solidFill>
            <a:schemeClr val="bg1"/>
          </a:solidFill>
        </a:ln>
        <a:effectLst>
          <a:outerShdw blurRad="50800" dist="889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14</xdr:col>
      <xdr:colOff>536804</xdr:colOff>
      <xdr:row>3</xdr:row>
      <xdr:rowOff>99058</xdr:rowOff>
    </xdr:from>
    <xdr:to>
      <xdr:col>21</xdr:col>
      <xdr:colOff>201524</xdr:colOff>
      <xdr:row>20</xdr:row>
      <xdr:rowOff>7618</xdr:rowOff>
    </xdr:to>
    <xdr:sp macro="" textlink="">
      <xdr:nvSpPr>
        <xdr:cNvPr id="6" name="Rectangle 5">
          <a:extLst>
            <a:ext uri="{FF2B5EF4-FFF2-40B4-BE49-F238E27FC236}">
              <a16:creationId xmlns:a16="http://schemas.microsoft.com/office/drawing/2014/main" id="{73D598E1-A906-468E-8C46-0C78CBC289D8}"/>
            </a:ext>
          </a:extLst>
        </xdr:cNvPr>
        <xdr:cNvSpPr/>
      </xdr:nvSpPr>
      <xdr:spPr>
        <a:xfrm>
          <a:off x="9071204" y="647698"/>
          <a:ext cx="3931920" cy="3017520"/>
        </a:xfrm>
        <a:prstGeom prst="rect">
          <a:avLst/>
        </a:prstGeom>
        <a:gradFill flip="none" rotWithShape="1">
          <a:gsLst>
            <a:gs pos="51000">
              <a:srgbClr val="F3F6FD"/>
            </a:gs>
            <a:gs pos="100000">
              <a:schemeClr val="bg1"/>
            </a:gs>
          </a:gsLst>
          <a:lin ang="18900000" scaled="1"/>
          <a:tileRect/>
        </a:gradFill>
        <a:ln w="12700">
          <a:solidFill>
            <a:schemeClr val="bg1"/>
          </a:solidFill>
        </a:ln>
        <a:effectLst>
          <a:outerShdw blurRad="50800" dist="889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14</xdr:col>
      <xdr:colOff>536804</xdr:colOff>
      <xdr:row>21</xdr:row>
      <xdr:rowOff>4647</xdr:rowOff>
    </xdr:from>
    <xdr:to>
      <xdr:col>21</xdr:col>
      <xdr:colOff>201524</xdr:colOff>
      <xdr:row>40</xdr:row>
      <xdr:rowOff>4647</xdr:rowOff>
    </xdr:to>
    <xdr:sp macro="" textlink="">
      <xdr:nvSpPr>
        <xdr:cNvPr id="7" name="Rectangle 6">
          <a:extLst>
            <a:ext uri="{FF2B5EF4-FFF2-40B4-BE49-F238E27FC236}">
              <a16:creationId xmlns:a16="http://schemas.microsoft.com/office/drawing/2014/main" id="{5DCCF277-5B50-4DBA-8EF6-D7F04E4D63E7}"/>
            </a:ext>
          </a:extLst>
        </xdr:cNvPr>
        <xdr:cNvSpPr/>
      </xdr:nvSpPr>
      <xdr:spPr>
        <a:xfrm>
          <a:off x="9071204" y="3845127"/>
          <a:ext cx="3931920" cy="3474720"/>
        </a:xfrm>
        <a:prstGeom prst="rect">
          <a:avLst/>
        </a:prstGeom>
        <a:gradFill flip="none" rotWithShape="1">
          <a:gsLst>
            <a:gs pos="51000">
              <a:srgbClr val="F3F6FD"/>
            </a:gs>
            <a:gs pos="100000">
              <a:schemeClr val="bg1"/>
            </a:gs>
          </a:gsLst>
          <a:lin ang="18900000" scaled="1"/>
          <a:tileRect/>
        </a:gradFill>
        <a:ln w="12700">
          <a:solidFill>
            <a:schemeClr val="bg1"/>
          </a:solidFill>
        </a:ln>
        <a:effectLst>
          <a:outerShdw blurRad="50800" dist="889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365760</xdr:colOff>
      <xdr:row>9</xdr:row>
      <xdr:rowOff>83820</xdr:rowOff>
    </xdr:from>
    <xdr:to>
      <xdr:col>14</xdr:col>
      <xdr:colOff>251460</xdr:colOff>
      <xdr:row>25</xdr:row>
      <xdr:rowOff>83820</xdr:rowOff>
    </xdr:to>
    <xdr:graphicFrame macro="">
      <xdr:nvGraphicFramePr>
        <xdr:cNvPr id="8" name="Chart 7">
          <a:extLst>
            <a:ext uri="{FF2B5EF4-FFF2-40B4-BE49-F238E27FC236}">
              <a16:creationId xmlns:a16="http://schemas.microsoft.com/office/drawing/2014/main" id="{E03936A5-809E-40C0-9827-1D2644D2CA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582524</xdr:colOff>
      <xdr:row>26</xdr:row>
      <xdr:rowOff>60960</xdr:rowOff>
    </xdr:from>
    <xdr:to>
      <xdr:col>21</xdr:col>
      <xdr:colOff>155804</xdr:colOff>
      <xdr:row>39</xdr:row>
      <xdr:rowOff>60960</xdr:rowOff>
    </xdr:to>
    <xdr:graphicFrame macro="">
      <xdr:nvGraphicFramePr>
        <xdr:cNvPr id="9" name="Chart 8">
          <a:extLst>
            <a:ext uri="{FF2B5EF4-FFF2-40B4-BE49-F238E27FC236}">
              <a16:creationId xmlns:a16="http://schemas.microsoft.com/office/drawing/2014/main" id="{BA25A7F0-8B34-43BC-BF2F-8CAB8BC3CE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396240</xdr:colOff>
      <xdr:row>6</xdr:row>
      <xdr:rowOff>129540</xdr:rowOff>
    </xdr:from>
    <xdr:to>
      <xdr:col>20</xdr:col>
      <xdr:colOff>335280</xdr:colOff>
      <xdr:row>20</xdr:row>
      <xdr:rowOff>38100</xdr:rowOff>
    </xdr:to>
    <xdr:graphicFrame macro="">
      <xdr:nvGraphicFramePr>
        <xdr:cNvPr id="10" name="Chart 9">
          <a:extLst>
            <a:ext uri="{FF2B5EF4-FFF2-40B4-BE49-F238E27FC236}">
              <a16:creationId xmlns:a16="http://schemas.microsoft.com/office/drawing/2014/main" id="{FC4145AF-0D8D-4F1C-9E5F-8A1383A0CB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320040</xdr:colOff>
      <xdr:row>30</xdr:row>
      <xdr:rowOff>152400</xdr:rowOff>
    </xdr:from>
    <xdr:to>
      <xdr:col>12</xdr:col>
      <xdr:colOff>45720</xdr:colOff>
      <xdr:row>39</xdr:row>
      <xdr:rowOff>60960</xdr:rowOff>
    </xdr:to>
    <xdr:graphicFrame macro="">
      <xdr:nvGraphicFramePr>
        <xdr:cNvPr id="11" name="Chart 10">
          <a:extLst>
            <a:ext uri="{FF2B5EF4-FFF2-40B4-BE49-F238E27FC236}">
              <a16:creationId xmlns:a16="http://schemas.microsoft.com/office/drawing/2014/main" id="{BA9740BF-C961-41A1-8963-B99C7B809C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563880</xdr:colOff>
      <xdr:row>30</xdr:row>
      <xdr:rowOff>152400</xdr:rowOff>
    </xdr:from>
    <xdr:to>
      <xdr:col>14</xdr:col>
      <xdr:colOff>289560</xdr:colOff>
      <xdr:row>39</xdr:row>
      <xdr:rowOff>60960</xdr:rowOff>
    </xdr:to>
    <xdr:graphicFrame macro="">
      <xdr:nvGraphicFramePr>
        <xdr:cNvPr id="12" name="Chart 11">
          <a:extLst>
            <a:ext uri="{FF2B5EF4-FFF2-40B4-BE49-F238E27FC236}">
              <a16:creationId xmlns:a16="http://schemas.microsoft.com/office/drawing/2014/main" id="{69EDA332-AABC-4620-8569-6BCC2BB0D6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518160</xdr:colOff>
      <xdr:row>30</xdr:row>
      <xdr:rowOff>167640</xdr:rowOff>
    </xdr:from>
    <xdr:to>
      <xdr:col>8</xdr:col>
      <xdr:colOff>480060</xdr:colOff>
      <xdr:row>39</xdr:row>
      <xdr:rowOff>45720</xdr:rowOff>
    </xdr:to>
    <xdr:graphicFrame macro="">
      <xdr:nvGraphicFramePr>
        <xdr:cNvPr id="13" name="Chart 12">
          <a:extLst>
            <a:ext uri="{FF2B5EF4-FFF2-40B4-BE49-F238E27FC236}">
              <a16:creationId xmlns:a16="http://schemas.microsoft.com/office/drawing/2014/main" id="{C0E90D6E-BBEF-4848-8F09-D480F7843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472440</xdr:colOff>
      <xdr:row>4</xdr:row>
      <xdr:rowOff>99060</xdr:rowOff>
    </xdr:from>
    <xdr:to>
      <xdr:col>10</xdr:col>
      <xdr:colOff>403860</xdr:colOff>
      <xdr:row>7</xdr:row>
      <xdr:rowOff>60960</xdr:rowOff>
    </xdr:to>
    <xdr:sp macro="" textlink="Processing!A1">
      <xdr:nvSpPr>
        <xdr:cNvPr id="14" name="TextBox 13">
          <a:extLst>
            <a:ext uri="{FF2B5EF4-FFF2-40B4-BE49-F238E27FC236}">
              <a16:creationId xmlns:a16="http://schemas.microsoft.com/office/drawing/2014/main" id="{87CD73A2-8C6B-434B-8E4E-B8B397BF0353}"/>
            </a:ext>
          </a:extLst>
        </xdr:cNvPr>
        <xdr:cNvSpPr txBox="1"/>
      </xdr:nvSpPr>
      <xdr:spPr>
        <a:xfrm>
          <a:off x="1691640" y="830580"/>
          <a:ext cx="4808220"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389ECA2-5FCB-4E1A-B654-0E6B3094494A}" type="TxLink">
            <a:rPr lang="en-US" sz="2400" b="0" i="0" u="none" strike="noStrike">
              <a:solidFill>
                <a:srgbClr val="5A6380"/>
              </a:solidFill>
              <a:latin typeface="Aptos Narrow"/>
              <a:ea typeface="+mn-ea"/>
              <a:cs typeface="+mn-cs"/>
            </a:rPr>
            <a:pPr marL="0" indent="0"/>
            <a:t>Click-Through Rate vs Conversion Rate</a:t>
          </a:fld>
          <a:endParaRPr lang="ru-RU" sz="2400" b="0" i="0" u="none" strike="noStrike">
            <a:solidFill>
              <a:srgbClr val="5A6380"/>
            </a:solidFill>
            <a:latin typeface="Aptos Narrow"/>
            <a:ea typeface="+mn-ea"/>
            <a:cs typeface="+mn-cs"/>
          </a:endParaRPr>
        </a:p>
      </xdr:txBody>
    </xdr:sp>
    <xdr:clientData/>
  </xdr:twoCellAnchor>
  <xdr:twoCellAnchor>
    <xdr:from>
      <xdr:col>4</xdr:col>
      <xdr:colOff>114300</xdr:colOff>
      <xdr:row>6</xdr:row>
      <xdr:rowOff>167640</xdr:rowOff>
    </xdr:from>
    <xdr:to>
      <xdr:col>5</xdr:col>
      <xdr:colOff>91440</xdr:colOff>
      <xdr:row>9</xdr:row>
      <xdr:rowOff>7620</xdr:rowOff>
    </xdr:to>
    <xdr:sp macro="" textlink="Processing!B1">
      <xdr:nvSpPr>
        <xdr:cNvPr id="15" name="TextBox 14">
          <a:extLst>
            <a:ext uri="{FF2B5EF4-FFF2-40B4-BE49-F238E27FC236}">
              <a16:creationId xmlns:a16="http://schemas.microsoft.com/office/drawing/2014/main" id="{0AC8843B-906F-4872-AEE2-276E06AD229D}"/>
            </a:ext>
          </a:extLst>
        </xdr:cNvPr>
        <xdr:cNvSpPr txBox="1"/>
      </xdr:nvSpPr>
      <xdr:spPr>
        <a:xfrm>
          <a:off x="2552700" y="1264920"/>
          <a:ext cx="58674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E62AE8F-1064-48B8-A6F0-AA6EF4145BA7}" type="TxLink">
            <a:rPr lang="en-US" sz="1800" b="0" i="0" u="none" strike="noStrike">
              <a:solidFill>
                <a:srgbClr val="5A6380"/>
              </a:solidFill>
              <a:latin typeface="Aptos Narrow"/>
              <a:ea typeface="+mn-ea"/>
              <a:cs typeface="+mn-cs"/>
            </a:rPr>
            <a:pPr marL="0" indent="0"/>
            <a:t>CTR</a:t>
          </a:fld>
          <a:endParaRPr lang="ru-RU" sz="4000" b="0" i="0" u="none" strike="noStrike">
            <a:solidFill>
              <a:srgbClr val="5A6380"/>
            </a:solidFill>
            <a:latin typeface="Aptos Narrow"/>
            <a:ea typeface="+mn-ea"/>
            <a:cs typeface="+mn-cs"/>
          </a:endParaRPr>
        </a:p>
      </xdr:txBody>
    </xdr:sp>
    <xdr:clientData/>
  </xdr:twoCellAnchor>
  <xdr:twoCellAnchor>
    <xdr:from>
      <xdr:col>6</xdr:col>
      <xdr:colOff>297180</xdr:colOff>
      <xdr:row>6</xdr:row>
      <xdr:rowOff>175260</xdr:rowOff>
    </xdr:from>
    <xdr:to>
      <xdr:col>7</xdr:col>
      <xdr:colOff>274320</xdr:colOff>
      <xdr:row>9</xdr:row>
      <xdr:rowOff>15240</xdr:rowOff>
    </xdr:to>
    <xdr:sp macro="" textlink="Processing!C1">
      <xdr:nvSpPr>
        <xdr:cNvPr id="16" name="TextBox 15">
          <a:extLst>
            <a:ext uri="{FF2B5EF4-FFF2-40B4-BE49-F238E27FC236}">
              <a16:creationId xmlns:a16="http://schemas.microsoft.com/office/drawing/2014/main" id="{B2A0D6BA-6DC5-43F6-9E9F-6B208F32F7BA}"/>
            </a:ext>
          </a:extLst>
        </xdr:cNvPr>
        <xdr:cNvSpPr txBox="1"/>
      </xdr:nvSpPr>
      <xdr:spPr>
        <a:xfrm>
          <a:off x="3954780" y="1272540"/>
          <a:ext cx="58674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C9EDD5B-41FB-44C2-A05E-8B221730B7AB}" type="TxLink">
            <a:rPr lang="en-US" sz="1800" b="0" i="0" u="none" strike="noStrike">
              <a:solidFill>
                <a:srgbClr val="5A6380"/>
              </a:solidFill>
              <a:latin typeface="Aptos Narrow"/>
              <a:ea typeface="+mn-ea"/>
              <a:cs typeface="+mn-cs"/>
            </a:rPr>
            <a:pPr marL="0" indent="0"/>
            <a:t>CR</a:t>
          </a:fld>
          <a:endParaRPr lang="ru-RU" sz="1800" b="0" i="0" u="none" strike="noStrike">
            <a:solidFill>
              <a:srgbClr val="5A6380"/>
            </a:solidFill>
            <a:latin typeface="Aptos Narrow"/>
            <a:ea typeface="+mn-ea"/>
            <a:cs typeface="+mn-cs"/>
          </a:endParaRPr>
        </a:p>
      </xdr:txBody>
    </xdr:sp>
    <xdr:clientData/>
  </xdr:twoCellAnchor>
  <xdr:twoCellAnchor>
    <xdr:from>
      <xdr:col>4</xdr:col>
      <xdr:colOff>587747</xdr:colOff>
      <xdr:row>6</xdr:row>
      <xdr:rowOff>167640</xdr:rowOff>
    </xdr:from>
    <xdr:to>
      <xdr:col>6</xdr:col>
      <xdr:colOff>227593</xdr:colOff>
      <xdr:row>9</xdr:row>
      <xdr:rowOff>7620</xdr:rowOff>
    </xdr:to>
    <xdr:sp macro="" textlink="Processing!D14">
      <xdr:nvSpPr>
        <xdr:cNvPr id="17" name="TextBox 16">
          <a:extLst>
            <a:ext uri="{FF2B5EF4-FFF2-40B4-BE49-F238E27FC236}">
              <a16:creationId xmlns:a16="http://schemas.microsoft.com/office/drawing/2014/main" id="{2BC433DB-CEFF-44B1-B527-81EF6258827A}"/>
            </a:ext>
          </a:extLst>
        </xdr:cNvPr>
        <xdr:cNvSpPr txBox="1"/>
      </xdr:nvSpPr>
      <xdr:spPr>
        <a:xfrm>
          <a:off x="3026147" y="1264920"/>
          <a:ext cx="859046"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A554EC0-5C9B-445B-B74D-80359F427E5A}" type="TxLink">
            <a:rPr lang="en-US" sz="2000" b="0" i="0" u="none" strike="noStrike">
              <a:solidFill>
                <a:srgbClr val="00E5BB"/>
              </a:solidFill>
              <a:latin typeface="Aptos Narrow"/>
              <a:ea typeface="+mn-ea"/>
              <a:cs typeface="+mn-cs"/>
            </a:rPr>
            <a:pPr marL="0" indent="0" algn="l"/>
            <a:t>8.3%</a:t>
          </a:fld>
          <a:endParaRPr lang="ru-RU" sz="6600" b="0" i="0" u="none" strike="noStrike">
            <a:solidFill>
              <a:srgbClr val="00E5BB"/>
            </a:solidFill>
            <a:latin typeface="Aptos Narrow"/>
            <a:ea typeface="+mn-ea"/>
            <a:cs typeface="+mn-cs"/>
          </a:endParaRPr>
        </a:p>
      </xdr:txBody>
    </xdr:sp>
    <xdr:clientData/>
  </xdr:twoCellAnchor>
  <xdr:twoCellAnchor>
    <xdr:from>
      <xdr:col>7</xdr:col>
      <xdr:colOff>84827</xdr:colOff>
      <xdr:row>6</xdr:row>
      <xdr:rowOff>167640</xdr:rowOff>
    </xdr:from>
    <xdr:to>
      <xdr:col>8</xdr:col>
      <xdr:colOff>334273</xdr:colOff>
      <xdr:row>9</xdr:row>
      <xdr:rowOff>7620</xdr:rowOff>
    </xdr:to>
    <xdr:sp macro="" textlink="Processing!E14">
      <xdr:nvSpPr>
        <xdr:cNvPr id="18" name="TextBox 17">
          <a:extLst>
            <a:ext uri="{FF2B5EF4-FFF2-40B4-BE49-F238E27FC236}">
              <a16:creationId xmlns:a16="http://schemas.microsoft.com/office/drawing/2014/main" id="{BFB41B97-B4B6-4E5D-9D64-01CCBFF94B9A}"/>
            </a:ext>
          </a:extLst>
        </xdr:cNvPr>
        <xdr:cNvSpPr txBox="1"/>
      </xdr:nvSpPr>
      <xdr:spPr>
        <a:xfrm>
          <a:off x="4352027" y="1264920"/>
          <a:ext cx="859046"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8054028-52BC-484C-B26C-53E0EF08FF16}" type="TxLink">
            <a:rPr lang="en-US" sz="2000" b="0" i="0" u="none" strike="noStrike">
              <a:solidFill>
                <a:srgbClr val="9980FF"/>
              </a:solidFill>
              <a:latin typeface="Aptos Narrow"/>
              <a:ea typeface="+mn-ea"/>
              <a:cs typeface="+mn-cs"/>
            </a:rPr>
            <a:pPr marL="0" indent="0" algn="l"/>
            <a:t>8.3%</a:t>
          </a:fld>
          <a:endParaRPr lang="ru-RU" sz="2000" b="0" i="0" u="none" strike="noStrike">
            <a:solidFill>
              <a:srgbClr val="9980FF"/>
            </a:solidFill>
            <a:latin typeface="Aptos Narrow"/>
            <a:ea typeface="+mn-ea"/>
            <a:cs typeface="+mn-cs"/>
          </a:endParaRPr>
        </a:p>
      </xdr:txBody>
    </xdr:sp>
    <xdr:clientData/>
  </xdr:twoCellAnchor>
  <xdr:twoCellAnchor>
    <xdr:from>
      <xdr:col>14</xdr:col>
      <xdr:colOff>589573</xdr:colOff>
      <xdr:row>4</xdr:row>
      <xdr:rowOff>79248</xdr:rowOff>
    </xdr:from>
    <xdr:to>
      <xdr:col>21</xdr:col>
      <xdr:colOff>148756</xdr:colOff>
      <xdr:row>6</xdr:row>
      <xdr:rowOff>106680</xdr:rowOff>
    </xdr:to>
    <xdr:sp macro="" textlink="Processing!O1">
      <xdr:nvSpPr>
        <xdr:cNvPr id="19" name="TextBox 18">
          <a:extLst>
            <a:ext uri="{FF2B5EF4-FFF2-40B4-BE49-F238E27FC236}">
              <a16:creationId xmlns:a16="http://schemas.microsoft.com/office/drawing/2014/main" id="{429BE097-061B-447B-9019-186BC5E984D4}"/>
            </a:ext>
          </a:extLst>
        </xdr:cNvPr>
        <xdr:cNvSpPr txBox="1"/>
      </xdr:nvSpPr>
      <xdr:spPr>
        <a:xfrm>
          <a:off x="9123973" y="810768"/>
          <a:ext cx="3826383"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B94635E-29AF-4648-9B8E-54AC3C2B778D}" type="TxLink">
            <a:rPr lang="en-US" sz="1600" b="0" i="0" u="none" strike="noStrike">
              <a:solidFill>
                <a:srgbClr val="5A6380"/>
              </a:solidFill>
              <a:latin typeface="Aptos Narrow"/>
              <a:ea typeface="+mn-ea"/>
              <a:cs typeface="+mn-cs"/>
            </a:rPr>
            <a:pPr marL="0" indent="0" algn="ctr"/>
            <a:t>User Behavior Breakdown After Ad Click</a:t>
          </a:fld>
          <a:endParaRPr lang="ru-RU" sz="3600" b="0" i="0" u="none" strike="noStrike">
            <a:solidFill>
              <a:srgbClr val="5A6380"/>
            </a:solidFill>
            <a:latin typeface="Aptos Narrow"/>
            <a:ea typeface="+mn-ea"/>
            <a:cs typeface="+mn-cs"/>
          </a:endParaRPr>
        </a:p>
      </xdr:txBody>
    </xdr:sp>
    <xdr:clientData/>
  </xdr:twoCellAnchor>
  <xdr:twoCellAnchor>
    <xdr:from>
      <xdr:col>19</xdr:col>
      <xdr:colOff>114300</xdr:colOff>
      <xdr:row>13</xdr:row>
      <xdr:rowOff>137160</xdr:rowOff>
    </xdr:from>
    <xdr:to>
      <xdr:col>21</xdr:col>
      <xdr:colOff>45720</xdr:colOff>
      <xdr:row>15</xdr:row>
      <xdr:rowOff>99060</xdr:rowOff>
    </xdr:to>
    <xdr:sp macro="" textlink="Processing!O3">
      <xdr:nvSpPr>
        <xdr:cNvPr id="20" name="TextBox 19">
          <a:extLst>
            <a:ext uri="{FF2B5EF4-FFF2-40B4-BE49-F238E27FC236}">
              <a16:creationId xmlns:a16="http://schemas.microsoft.com/office/drawing/2014/main" id="{FE55F38E-C296-4640-B405-4B1BE1B81CE6}"/>
            </a:ext>
          </a:extLst>
        </xdr:cNvPr>
        <xdr:cNvSpPr txBox="1"/>
      </xdr:nvSpPr>
      <xdr:spPr>
        <a:xfrm>
          <a:off x="11696700" y="2514600"/>
          <a:ext cx="1150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6B15C8A-AB24-43BE-9219-3B5F6312F3A2}" type="TxLink">
            <a:rPr lang="en-US" sz="1100" b="0" i="0" u="none" strike="noStrike">
              <a:solidFill>
                <a:srgbClr val="5A6380"/>
              </a:solidFill>
              <a:latin typeface="Aptos Narrow"/>
              <a:ea typeface="+mn-ea"/>
              <a:cs typeface="+mn-cs"/>
            </a:rPr>
            <a:pPr marL="0" indent="0"/>
            <a:t>Watched Video</a:t>
          </a:fld>
          <a:endParaRPr lang="ru-RU" sz="3200" b="0" i="0" u="none" strike="noStrike">
            <a:solidFill>
              <a:srgbClr val="5A6380"/>
            </a:solidFill>
            <a:latin typeface="Aptos Narrow"/>
            <a:ea typeface="+mn-ea"/>
            <a:cs typeface="+mn-cs"/>
          </a:endParaRPr>
        </a:p>
      </xdr:txBody>
    </xdr:sp>
    <xdr:clientData/>
  </xdr:twoCellAnchor>
  <xdr:twoCellAnchor>
    <xdr:from>
      <xdr:col>19</xdr:col>
      <xdr:colOff>114300</xdr:colOff>
      <xdr:row>15</xdr:row>
      <xdr:rowOff>87630</xdr:rowOff>
    </xdr:from>
    <xdr:to>
      <xdr:col>21</xdr:col>
      <xdr:colOff>45720</xdr:colOff>
      <xdr:row>17</xdr:row>
      <xdr:rowOff>49530</xdr:rowOff>
    </xdr:to>
    <xdr:sp macro="" textlink="Processing!P3">
      <xdr:nvSpPr>
        <xdr:cNvPr id="21" name="TextBox 20">
          <a:extLst>
            <a:ext uri="{FF2B5EF4-FFF2-40B4-BE49-F238E27FC236}">
              <a16:creationId xmlns:a16="http://schemas.microsoft.com/office/drawing/2014/main" id="{F014B652-806C-46D9-8E31-C4C5D330099B}"/>
            </a:ext>
          </a:extLst>
        </xdr:cNvPr>
        <xdr:cNvSpPr txBox="1"/>
      </xdr:nvSpPr>
      <xdr:spPr>
        <a:xfrm>
          <a:off x="11696700" y="2830830"/>
          <a:ext cx="1150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9A5041C-CF67-4F72-A7FD-5A547A452746}" type="TxLink">
            <a:rPr lang="en-US" sz="1100" b="0" i="0" u="none" strike="noStrike">
              <a:solidFill>
                <a:srgbClr val="5A6380"/>
              </a:solidFill>
              <a:latin typeface="Aptos Narrow"/>
              <a:ea typeface="+mn-ea"/>
              <a:cs typeface="+mn-cs"/>
            </a:rPr>
            <a:pPr marL="0" indent="0"/>
            <a:t>Button Click Rate</a:t>
          </a:fld>
          <a:endParaRPr lang="ru-RU" sz="3200" b="0" i="0" u="none" strike="noStrike">
            <a:solidFill>
              <a:srgbClr val="5A6380"/>
            </a:solidFill>
            <a:latin typeface="Aptos Narrow"/>
            <a:ea typeface="+mn-ea"/>
            <a:cs typeface="+mn-cs"/>
          </a:endParaRPr>
        </a:p>
      </xdr:txBody>
    </xdr:sp>
    <xdr:clientData/>
  </xdr:twoCellAnchor>
  <xdr:twoCellAnchor>
    <xdr:from>
      <xdr:col>19</xdr:col>
      <xdr:colOff>114300</xdr:colOff>
      <xdr:row>17</xdr:row>
      <xdr:rowOff>38100</xdr:rowOff>
    </xdr:from>
    <xdr:to>
      <xdr:col>21</xdr:col>
      <xdr:colOff>45720</xdr:colOff>
      <xdr:row>19</xdr:row>
      <xdr:rowOff>0</xdr:rowOff>
    </xdr:to>
    <xdr:sp macro="" textlink="Processing!Q3">
      <xdr:nvSpPr>
        <xdr:cNvPr id="22" name="TextBox 21">
          <a:extLst>
            <a:ext uri="{FF2B5EF4-FFF2-40B4-BE49-F238E27FC236}">
              <a16:creationId xmlns:a16="http://schemas.microsoft.com/office/drawing/2014/main" id="{44AB00EB-D634-441D-8230-78EDE0F6D1C3}"/>
            </a:ext>
          </a:extLst>
        </xdr:cNvPr>
        <xdr:cNvSpPr txBox="1"/>
      </xdr:nvSpPr>
      <xdr:spPr>
        <a:xfrm>
          <a:off x="11696700" y="3147060"/>
          <a:ext cx="1150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4CDC8D7-FF26-4565-BF42-CE5FB9E25284}" type="TxLink">
            <a:rPr lang="en-US" sz="1100" b="0" i="0" u="none" strike="noStrike">
              <a:solidFill>
                <a:srgbClr val="5A6380"/>
              </a:solidFill>
              <a:latin typeface="Aptos Narrow"/>
              <a:ea typeface="+mn-ea"/>
              <a:cs typeface="+mn-cs"/>
            </a:rPr>
            <a:pPr marL="0" indent="0"/>
            <a:t>Did Not Convert</a:t>
          </a:fld>
          <a:endParaRPr lang="ru-RU" sz="3200" b="0" i="0" u="none" strike="noStrike">
            <a:solidFill>
              <a:srgbClr val="5A6380"/>
            </a:solidFill>
            <a:latin typeface="Aptos Narrow"/>
            <a:ea typeface="+mn-ea"/>
            <a:cs typeface="+mn-cs"/>
          </a:endParaRPr>
        </a:p>
      </xdr:txBody>
    </xdr:sp>
    <xdr:clientData/>
  </xdr:twoCellAnchor>
  <xdr:twoCellAnchor>
    <xdr:from>
      <xdr:col>18</xdr:col>
      <xdr:colOff>586740</xdr:colOff>
      <xdr:row>17</xdr:row>
      <xdr:rowOff>91440</xdr:rowOff>
    </xdr:from>
    <xdr:to>
      <xdr:col>19</xdr:col>
      <xdr:colOff>114300</xdr:colOff>
      <xdr:row>18</xdr:row>
      <xdr:rowOff>45720</xdr:rowOff>
    </xdr:to>
    <xdr:sp macro="" textlink="">
      <xdr:nvSpPr>
        <xdr:cNvPr id="23" name="Oval 22">
          <a:extLst>
            <a:ext uri="{FF2B5EF4-FFF2-40B4-BE49-F238E27FC236}">
              <a16:creationId xmlns:a16="http://schemas.microsoft.com/office/drawing/2014/main" id="{1BEA7193-D8F8-4DB7-A0B0-FF28423AEF7A}"/>
            </a:ext>
          </a:extLst>
        </xdr:cNvPr>
        <xdr:cNvSpPr/>
      </xdr:nvSpPr>
      <xdr:spPr>
        <a:xfrm>
          <a:off x="11559540" y="3200400"/>
          <a:ext cx="137160" cy="137160"/>
        </a:xfrm>
        <a:prstGeom prst="ellipse">
          <a:avLst/>
        </a:prstGeom>
        <a:noFill/>
        <a:ln>
          <a:solidFill>
            <a:srgbClr val="A5ABB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586740</xdr:colOff>
      <xdr:row>15</xdr:row>
      <xdr:rowOff>144780</xdr:rowOff>
    </xdr:from>
    <xdr:to>
      <xdr:col>19</xdr:col>
      <xdr:colOff>114300</xdr:colOff>
      <xdr:row>16</xdr:row>
      <xdr:rowOff>99060</xdr:rowOff>
    </xdr:to>
    <xdr:sp macro="" textlink="">
      <xdr:nvSpPr>
        <xdr:cNvPr id="24" name="Oval 23">
          <a:extLst>
            <a:ext uri="{FF2B5EF4-FFF2-40B4-BE49-F238E27FC236}">
              <a16:creationId xmlns:a16="http://schemas.microsoft.com/office/drawing/2014/main" id="{94C27AE6-EC41-42B5-B3C6-E2F098192B90}"/>
            </a:ext>
          </a:extLst>
        </xdr:cNvPr>
        <xdr:cNvSpPr/>
      </xdr:nvSpPr>
      <xdr:spPr>
        <a:xfrm>
          <a:off x="11559540" y="2887980"/>
          <a:ext cx="137160" cy="137160"/>
        </a:xfrm>
        <a:prstGeom prst="ellipse">
          <a:avLst/>
        </a:prstGeom>
        <a:noFill/>
        <a:ln>
          <a:gradFill flip="none" rotWithShape="1">
            <a:gsLst>
              <a:gs pos="0">
                <a:srgbClr val="F9F871"/>
              </a:gs>
              <a:gs pos="84000">
                <a:srgbClr val="E34F10"/>
              </a:gs>
            </a:gsLst>
            <a:path path="circle">
              <a:fillToRect l="100000" t="100000"/>
            </a:path>
            <a:tileRect r="-100000" b="-100000"/>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gradFill>
              <a:gsLst>
                <a:gs pos="0">
                  <a:srgbClr val="F9F871"/>
                </a:gs>
                <a:gs pos="100000">
                  <a:srgbClr val="E34F10"/>
                </a:gs>
              </a:gsLst>
              <a:path path="circle">
                <a:fillToRect l="100000" b="100000"/>
              </a:path>
            </a:gradFill>
          </a:endParaRPr>
        </a:p>
      </xdr:txBody>
    </xdr:sp>
    <xdr:clientData/>
  </xdr:twoCellAnchor>
  <xdr:twoCellAnchor>
    <xdr:from>
      <xdr:col>18</xdr:col>
      <xdr:colOff>586740</xdr:colOff>
      <xdr:row>14</xdr:row>
      <xdr:rowOff>15240</xdr:rowOff>
    </xdr:from>
    <xdr:to>
      <xdr:col>19</xdr:col>
      <xdr:colOff>114300</xdr:colOff>
      <xdr:row>14</xdr:row>
      <xdr:rowOff>152400</xdr:rowOff>
    </xdr:to>
    <xdr:sp macro="" textlink="">
      <xdr:nvSpPr>
        <xdr:cNvPr id="25" name="Oval 24">
          <a:extLst>
            <a:ext uri="{FF2B5EF4-FFF2-40B4-BE49-F238E27FC236}">
              <a16:creationId xmlns:a16="http://schemas.microsoft.com/office/drawing/2014/main" id="{52A95791-FEB8-4D51-B465-AFB186E75D03}"/>
            </a:ext>
          </a:extLst>
        </xdr:cNvPr>
        <xdr:cNvSpPr/>
      </xdr:nvSpPr>
      <xdr:spPr>
        <a:xfrm>
          <a:off x="11559540" y="2575560"/>
          <a:ext cx="137160" cy="137160"/>
        </a:xfrm>
        <a:prstGeom prst="ellipse">
          <a:avLst/>
        </a:prstGeom>
        <a:noFill/>
        <a:ln>
          <a:solidFill>
            <a:srgbClr val="00E5B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162267</xdr:colOff>
      <xdr:row>11</xdr:row>
      <xdr:rowOff>123181</xdr:rowOff>
    </xdr:from>
    <xdr:to>
      <xdr:col>17</xdr:col>
      <xdr:colOff>592113</xdr:colOff>
      <xdr:row>14</xdr:row>
      <xdr:rowOff>143519</xdr:rowOff>
    </xdr:to>
    <xdr:sp macro="" textlink="Processing!P4">
      <xdr:nvSpPr>
        <xdr:cNvPr id="26" name="TextBox 25">
          <a:extLst>
            <a:ext uri="{FF2B5EF4-FFF2-40B4-BE49-F238E27FC236}">
              <a16:creationId xmlns:a16="http://schemas.microsoft.com/office/drawing/2014/main" id="{410B955A-212F-4A77-8390-5FE8E6B8A278}"/>
            </a:ext>
          </a:extLst>
        </xdr:cNvPr>
        <xdr:cNvSpPr txBox="1"/>
      </xdr:nvSpPr>
      <xdr:spPr>
        <a:xfrm>
          <a:off x="9915867" y="2134861"/>
          <a:ext cx="1039446" cy="568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30B2697-2EAA-4E17-9672-4AAB931F52F8}" type="TxLink">
            <a:rPr lang="en-US" sz="2800" b="0" i="0" u="none" strike="noStrike">
              <a:solidFill>
                <a:srgbClr val="5A6380"/>
              </a:solidFill>
              <a:latin typeface="Aptos Narrow"/>
              <a:ea typeface="+mn-ea"/>
              <a:cs typeface="+mn-cs"/>
            </a:rPr>
            <a:pPr marL="0" indent="0" algn="ctr"/>
            <a:t>63%</a:t>
          </a:fld>
          <a:endParaRPr lang="ru-RU" sz="16600" b="0" i="0" u="none" strike="noStrike">
            <a:solidFill>
              <a:srgbClr val="5A6380"/>
            </a:solidFill>
            <a:latin typeface="Aptos Narrow"/>
            <a:ea typeface="+mn-ea"/>
            <a:cs typeface="+mn-cs"/>
          </a:endParaRPr>
        </a:p>
      </xdr:txBody>
    </xdr:sp>
    <xdr:clientData/>
  </xdr:twoCellAnchor>
  <xdr:twoCellAnchor>
    <xdr:from>
      <xdr:col>14</xdr:col>
      <xdr:colOff>589573</xdr:colOff>
      <xdr:row>21</xdr:row>
      <xdr:rowOff>170688</xdr:rowOff>
    </xdr:from>
    <xdr:to>
      <xdr:col>21</xdr:col>
      <xdr:colOff>148756</xdr:colOff>
      <xdr:row>24</xdr:row>
      <xdr:rowOff>15240</xdr:rowOff>
    </xdr:to>
    <xdr:sp macro="" textlink="Processing!I1">
      <xdr:nvSpPr>
        <xdr:cNvPr id="27" name="TextBox 26">
          <a:extLst>
            <a:ext uri="{FF2B5EF4-FFF2-40B4-BE49-F238E27FC236}">
              <a16:creationId xmlns:a16="http://schemas.microsoft.com/office/drawing/2014/main" id="{00B88B6A-2D98-44AF-98B3-CB9639088F91}"/>
            </a:ext>
          </a:extLst>
        </xdr:cNvPr>
        <xdr:cNvSpPr txBox="1"/>
      </xdr:nvSpPr>
      <xdr:spPr>
        <a:xfrm>
          <a:off x="9123973" y="4011168"/>
          <a:ext cx="3826383"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C6974A0-E2F2-4F73-B1D1-22BB2058C467}" type="TxLink">
            <a:rPr lang="en-US" sz="1600" b="0" i="0" u="none" strike="noStrike">
              <a:solidFill>
                <a:srgbClr val="5A6380"/>
              </a:solidFill>
              <a:latin typeface="Aptos Narrow"/>
              <a:ea typeface="+mn-ea"/>
              <a:cs typeface="+mn-cs"/>
            </a:rPr>
            <a:pPr marL="0" indent="0" algn="ctr"/>
            <a:t>Advertising Costs vs Returns</a:t>
          </a:fld>
          <a:endParaRPr lang="ru-RU" sz="1600" b="0" i="0" u="none" strike="noStrike">
            <a:solidFill>
              <a:srgbClr val="5A6380"/>
            </a:solidFill>
            <a:latin typeface="Aptos Narrow"/>
            <a:ea typeface="+mn-ea"/>
            <a:cs typeface="+mn-cs"/>
          </a:endParaRPr>
        </a:p>
      </xdr:txBody>
    </xdr:sp>
    <xdr:clientData/>
  </xdr:twoCellAnchor>
  <xdr:twoCellAnchor>
    <xdr:from>
      <xdr:col>15</xdr:col>
      <xdr:colOff>118248</xdr:colOff>
      <xdr:row>23</xdr:row>
      <xdr:rowOff>151638</xdr:rowOff>
    </xdr:from>
    <xdr:to>
      <xdr:col>16</xdr:col>
      <xdr:colOff>555145</xdr:colOff>
      <xdr:row>25</xdr:row>
      <xdr:rowOff>179070</xdr:rowOff>
    </xdr:to>
    <xdr:sp macro="" textlink="Processing!H1">
      <xdr:nvSpPr>
        <xdr:cNvPr id="28" name="TextBox 27">
          <a:extLst>
            <a:ext uri="{FF2B5EF4-FFF2-40B4-BE49-F238E27FC236}">
              <a16:creationId xmlns:a16="http://schemas.microsoft.com/office/drawing/2014/main" id="{EAE21533-59B9-424F-B2EA-407F6CF66B67}"/>
            </a:ext>
          </a:extLst>
        </xdr:cNvPr>
        <xdr:cNvSpPr txBox="1"/>
      </xdr:nvSpPr>
      <xdr:spPr>
        <a:xfrm>
          <a:off x="9262248" y="4357878"/>
          <a:ext cx="1046497"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6A0CECC-0C21-4714-9BA1-68A5B7F1A934}" type="TxLink">
            <a:rPr lang="en-US" sz="1200" b="0" i="0" u="none" strike="noStrike">
              <a:solidFill>
                <a:srgbClr val="5A6380"/>
              </a:solidFill>
              <a:latin typeface="Aptos Narrow"/>
              <a:ea typeface="+mn-ea"/>
              <a:cs typeface="+mn-cs"/>
            </a:rPr>
            <a:pPr marL="0" indent="0" algn="ctr"/>
            <a:t>Ads. Revenue</a:t>
          </a:fld>
          <a:endParaRPr lang="ru-RU" sz="1800" b="0" i="0" u="none" strike="noStrike">
            <a:solidFill>
              <a:srgbClr val="5A6380"/>
            </a:solidFill>
            <a:latin typeface="Aptos Narrow"/>
            <a:ea typeface="+mn-ea"/>
            <a:cs typeface="+mn-cs"/>
          </a:endParaRPr>
        </a:p>
      </xdr:txBody>
    </xdr:sp>
    <xdr:clientData/>
  </xdr:twoCellAnchor>
  <xdr:twoCellAnchor>
    <xdr:from>
      <xdr:col>16</xdr:col>
      <xdr:colOff>354468</xdr:colOff>
      <xdr:row>23</xdr:row>
      <xdr:rowOff>151638</xdr:rowOff>
    </xdr:from>
    <xdr:to>
      <xdr:col>18</xdr:col>
      <xdr:colOff>181765</xdr:colOff>
      <xdr:row>25</xdr:row>
      <xdr:rowOff>179070</xdr:rowOff>
    </xdr:to>
    <xdr:sp macro="" textlink="Processing!L14">
      <xdr:nvSpPr>
        <xdr:cNvPr id="29" name="TextBox 28">
          <a:extLst>
            <a:ext uri="{FF2B5EF4-FFF2-40B4-BE49-F238E27FC236}">
              <a16:creationId xmlns:a16="http://schemas.microsoft.com/office/drawing/2014/main" id="{EF66A2F2-34FA-433D-9483-4EE8424E942B}"/>
            </a:ext>
          </a:extLst>
        </xdr:cNvPr>
        <xdr:cNvSpPr txBox="1"/>
      </xdr:nvSpPr>
      <xdr:spPr>
        <a:xfrm>
          <a:off x="10108068" y="4357878"/>
          <a:ext cx="1046497"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F7EA3A2-0259-4FA4-8D14-94F449194B02}" type="TxLink">
            <a:rPr lang="en-US" sz="1800" b="0" i="0" u="none" strike="noStrike">
              <a:solidFill>
                <a:srgbClr val="00E5BB"/>
              </a:solidFill>
              <a:latin typeface="Aptos Narrow"/>
              <a:ea typeface="+mn-ea"/>
              <a:cs typeface="+mn-cs"/>
            </a:rPr>
            <a:pPr marL="0" indent="0" algn="l"/>
            <a:t> $71,704 </a:t>
          </a:fld>
          <a:endParaRPr lang="ru-RU" sz="1800" b="0" i="0" u="none" strike="noStrike">
            <a:solidFill>
              <a:srgbClr val="00E5BB"/>
            </a:solidFill>
            <a:latin typeface="Aptos Narrow"/>
            <a:ea typeface="+mn-ea"/>
            <a:cs typeface="+mn-cs"/>
          </a:endParaRPr>
        </a:p>
      </xdr:txBody>
    </xdr:sp>
    <xdr:clientData/>
  </xdr:twoCellAnchor>
  <xdr:twoCellAnchor>
    <xdr:from>
      <xdr:col>18</xdr:col>
      <xdr:colOff>20203</xdr:colOff>
      <xdr:row>23</xdr:row>
      <xdr:rowOff>151638</xdr:rowOff>
    </xdr:from>
    <xdr:to>
      <xdr:col>19</xdr:col>
      <xdr:colOff>561750</xdr:colOff>
      <xdr:row>25</xdr:row>
      <xdr:rowOff>179070</xdr:rowOff>
    </xdr:to>
    <xdr:sp macro="" textlink="Processing!G1">
      <xdr:nvSpPr>
        <xdr:cNvPr id="30" name="TextBox 29">
          <a:extLst>
            <a:ext uri="{FF2B5EF4-FFF2-40B4-BE49-F238E27FC236}">
              <a16:creationId xmlns:a16="http://schemas.microsoft.com/office/drawing/2014/main" id="{97230194-4B50-43CF-B22F-D3C1149BDD86}"/>
            </a:ext>
          </a:extLst>
        </xdr:cNvPr>
        <xdr:cNvSpPr txBox="1"/>
      </xdr:nvSpPr>
      <xdr:spPr>
        <a:xfrm>
          <a:off x="10993003" y="4357878"/>
          <a:ext cx="1151147"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962AE91-2ABD-49D9-9E13-9EE1A705A577}" type="TxLink">
            <a:rPr lang="en-US" sz="1200" b="0" i="0" u="none" strike="noStrike">
              <a:solidFill>
                <a:srgbClr val="5A6380"/>
              </a:solidFill>
              <a:latin typeface="Aptos Narrow"/>
              <a:ea typeface="+mn-ea"/>
              <a:cs typeface="+mn-cs"/>
            </a:rPr>
            <a:pPr marL="0" indent="0" algn="ctr"/>
            <a:t>Ads. Expenses</a:t>
          </a:fld>
          <a:endParaRPr lang="ru-RU" sz="1200" b="0" i="0" u="none" strike="noStrike">
            <a:solidFill>
              <a:srgbClr val="5A6380"/>
            </a:solidFill>
            <a:latin typeface="Aptos Narrow"/>
            <a:ea typeface="+mn-ea"/>
            <a:cs typeface="+mn-cs"/>
          </a:endParaRPr>
        </a:p>
      </xdr:txBody>
    </xdr:sp>
    <xdr:clientData/>
  </xdr:twoCellAnchor>
  <xdr:twoCellAnchor>
    <xdr:from>
      <xdr:col>19</xdr:col>
      <xdr:colOff>340243</xdr:colOff>
      <xdr:row>23</xdr:row>
      <xdr:rowOff>151638</xdr:rowOff>
    </xdr:from>
    <xdr:to>
      <xdr:col>21</xdr:col>
      <xdr:colOff>272190</xdr:colOff>
      <xdr:row>25</xdr:row>
      <xdr:rowOff>179070</xdr:rowOff>
    </xdr:to>
    <xdr:sp macro="" textlink="Processing!K14">
      <xdr:nvSpPr>
        <xdr:cNvPr id="31" name="TextBox 30">
          <a:extLst>
            <a:ext uri="{FF2B5EF4-FFF2-40B4-BE49-F238E27FC236}">
              <a16:creationId xmlns:a16="http://schemas.microsoft.com/office/drawing/2014/main" id="{66AB276C-D124-45BB-A3A3-F712EA73D3A0}"/>
            </a:ext>
          </a:extLst>
        </xdr:cNvPr>
        <xdr:cNvSpPr txBox="1"/>
      </xdr:nvSpPr>
      <xdr:spPr>
        <a:xfrm>
          <a:off x="11922643" y="4357878"/>
          <a:ext cx="1151147"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291ED3E-0AD7-43C3-83F9-3AACAA88B60C}" type="TxLink">
            <a:rPr lang="en-US" sz="1800" b="0" i="0" u="none" strike="noStrike">
              <a:solidFill>
                <a:srgbClr val="8F72FF"/>
              </a:solidFill>
              <a:latin typeface="Aptos Narrow"/>
              <a:ea typeface="+mn-ea"/>
              <a:cs typeface="+mn-cs"/>
            </a:rPr>
            <a:pPr marL="0" indent="0" algn="l"/>
            <a:t> $1,02,560 </a:t>
          </a:fld>
          <a:endParaRPr lang="ru-RU" sz="2800" b="0" i="0" u="none" strike="noStrike">
            <a:solidFill>
              <a:srgbClr val="8F72FF"/>
            </a:solidFill>
            <a:latin typeface="Aptos Narrow"/>
            <a:ea typeface="+mn-ea"/>
            <a:cs typeface="+mn-cs"/>
          </a:endParaRPr>
        </a:p>
      </xdr:txBody>
    </xdr:sp>
    <xdr:clientData/>
  </xdr:twoCellAnchor>
  <xdr:twoCellAnchor>
    <xdr:from>
      <xdr:col>9</xdr:col>
      <xdr:colOff>251054</xdr:colOff>
      <xdr:row>28</xdr:row>
      <xdr:rowOff>117348</xdr:rowOff>
    </xdr:from>
    <xdr:to>
      <xdr:col>14</xdr:col>
      <xdr:colOff>365354</xdr:colOff>
      <xdr:row>30</xdr:row>
      <xdr:rowOff>144780</xdr:rowOff>
    </xdr:to>
    <xdr:sp macro="" textlink="Processing!P6">
      <xdr:nvSpPr>
        <xdr:cNvPr id="32" name="TextBox 31">
          <a:extLst>
            <a:ext uri="{FF2B5EF4-FFF2-40B4-BE49-F238E27FC236}">
              <a16:creationId xmlns:a16="http://schemas.microsoft.com/office/drawing/2014/main" id="{B105A5F8-C2A4-4510-9E03-3AF9034A0A27}"/>
            </a:ext>
          </a:extLst>
        </xdr:cNvPr>
        <xdr:cNvSpPr txBox="1"/>
      </xdr:nvSpPr>
      <xdr:spPr>
        <a:xfrm>
          <a:off x="5737454" y="5237988"/>
          <a:ext cx="3162300"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C79B3E6-BA78-4C59-989B-FF7104A3890C}" type="TxLink">
            <a:rPr lang="en-US" sz="1600" b="0" i="0" u="none" strike="noStrike">
              <a:solidFill>
                <a:srgbClr val="5A6380"/>
              </a:solidFill>
              <a:latin typeface="Aptos Narrow"/>
              <a:ea typeface="+mn-ea"/>
              <a:cs typeface="+mn-cs"/>
            </a:rPr>
            <a:pPr marL="0" indent="0" algn="ctr"/>
            <a:t>Offer Selection</a:t>
          </a:fld>
          <a:endParaRPr lang="ru-RU" sz="1600" b="0" i="0" u="none" strike="noStrike">
            <a:solidFill>
              <a:srgbClr val="5A6380"/>
            </a:solidFill>
            <a:latin typeface="Aptos Narrow"/>
            <a:ea typeface="+mn-ea"/>
            <a:cs typeface="+mn-cs"/>
          </a:endParaRPr>
        </a:p>
      </xdr:txBody>
    </xdr:sp>
    <xdr:clientData/>
  </xdr:twoCellAnchor>
  <xdr:twoCellAnchor>
    <xdr:from>
      <xdr:col>9</xdr:col>
      <xdr:colOff>567828</xdr:colOff>
      <xdr:row>34</xdr:row>
      <xdr:rowOff>105918</xdr:rowOff>
    </xdr:from>
    <xdr:to>
      <xdr:col>11</xdr:col>
      <xdr:colOff>395125</xdr:colOff>
      <xdr:row>36</xdr:row>
      <xdr:rowOff>133350</xdr:rowOff>
    </xdr:to>
    <xdr:sp macro="" textlink="Processing!O7">
      <xdr:nvSpPr>
        <xdr:cNvPr id="33" name="TextBox 32">
          <a:extLst>
            <a:ext uri="{FF2B5EF4-FFF2-40B4-BE49-F238E27FC236}">
              <a16:creationId xmlns:a16="http://schemas.microsoft.com/office/drawing/2014/main" id="{9F115A7E-3CFB-43E8-BF39-377F6D226A6D}"/>
            </a:ext>
          </a:extLst>
        </xdr:cNvPr>
        <xdr:cNvSpPr txBox="1"/>
      </xdr:nvSpPr>
      <xdr:spPr>
        <a:xfrm>
          <a:off x="6054228" y="6323838"/>
          <a:ext cx="1046497"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DF95A73-1E12-4562-886F-2337959A0090}" type="TxLink">
            <a:rPr lang="en-US" sz="1100" b="0" i="0" u="none" strike="noStrike">
              <a:solidFill>
                <a:srgbClr val="5A6380"/>
              </a:solidFill>
              <a:latin typeface="Aptos Narrow"/>
              <a:ea typeface="+mn-ea"/>
              <a:cs typeface="+mn-cs"/>
            </a:rPr>
            <a:pPr marL="0" indent="0" algn="ctr"/>
            <a:t>Chose Offer A</a:t>
          </a:fld>
          <a:endParaRPr lang="ru-RU" sz="1800" b="0" i="0" u="none" strike="noStrike">
            <a:solidFill>
              <a:srgbClr val="5A6380"/>
            </a:solidFill>
            <a:latin typeface="Aptos Narrow"/>
            <a:ea typeface="+mn-ea"/>
            <a:cs typeface="+mn-cs"/>
          </a:endParaRPr>
        </a:p>
      </xdr:txBody>
    </xdr:sp>
    <xdr:clientData/>
  </xdr:twoCellAnchor>
  <xdr:twoCellAnchor>
    <xdr:from>
      <xdr:col>12</xdr:col>
      <xdr:colOff>209688</xdr:colOff>
      <xdr:row>34</xdr:row>
      <xdr:rowOff>105918</xdr:rowOff>
    </xdr:from>
    <xdr:to>
      <xdr:col>14</xdr:col>
      <xdr:colOff>36985</xdr:colOff>
      <xdr:row>36</xdr:row>
      <xdr:rowOff>133350</xdr:rowOff>
    </xdr:to>
    <xdr:sp macro="" textlink="Processing!O8">
      <xdr:nvSpPr>
        <xdr:cNvPr id="34" name="TextBox 33">
          <a:extLst>
            <a:ext uri="{FF2B5EF4-FFF2-40B4-BE49-F238E27FC236}">
              <a16:creationId xmlns:a16="http://schemas.microsoft.com/office/drawing/2014/main" id="{229214C0-BEC3-4D4B-B736-98DC256A6A08}"/>
            </a:ext>
          </a:extLst>
        </xdr:cNvPr>
        <xdr:cNvSpPr txBox="1"/>
      </xdr:nvSpPr>
      <xdr:spPr>
        <a:xfrm>
          <a:off x="7524888" y="6323838"/>
          <a:ext cx="1046497"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7EC0A27-5E30-4573-A3B3-29AB665A4667}" type="TxLink">
            <a:rPr lang="en-US" sz="1100" b="0" i="0" u="none" strike="noStrike">
              <a:solidFill>
                <a:srgbClr val="5A6380"/>
              </a:solidFill>
              <a:latin typeface="Aptos Narrow"/>
              <a:ea typeface="+mn-ea"/>
              <a:cs typeface="+mn-cs"/>
            </a:rPr>
            <a:pPr marL="0" indent="0" algn="ctr"/>
            <a:t>Chose Offer B</a:t>
          </a:fld>
          <a:endParaRPr lang="ru-RU" sz="1100" b="0" i="0" u="none" strike="noStrike">
            <a:solidFill>
              <a:srgbClr val="5A6380"/>
            </a:solidFill>
            <a:latin typeface="Aptos Narrow"/>
            <a:ea typeface="+mn-ea"/>
            <a:cs typeface="+mn-cs"/>
          </a:endParaRPr>
        </a:p>
      </xdr:txBody>
    </xdr:sp>
    <xdr:clientData/>
  </xdr:twoCellAnchor>
  <xdr:twoCellAnchor>
    <xdr:from>
      <xdr:col>9</xdr:col>
      <xdr:colOff>567828</xdr:colOff>
      <xdr:row>33</xdr:row>
      <xdr:rowOff>52578</xdr:rowOff>
    </xdr:from>
    <xdr:to>
      <xdr:col>11</xdr:col>
      <xdr:colOff>395125</xdr:colOff>
      <xdr:row>35</xdr:row>
      <xdr:rowOff>80010</xdr:rowOff>
    </xdr:to>
    <xdr:sp macro="" textlink="Processing!P7">
      <xdr:nvSpPr>
        <xdr:cNvPr id="35" name="TextBox 34">
          <a:extLst>
            <a:ext uri="{FF2B5EF4-FFF2-40B4-BE49-F238E27FC236}">
              <a16:creationId xmlns:a16="http://schemas.microsoft.com/office/drawing/2014/main" id="{3F76084D-1F54-4A16-A39D-4480CC263DE8}"/>
            </a:ext>
          </a:extLst>
        </xdr:cNvPr>
        <xdr:cNvSpPr txBox="1"/>
      </xdr:nvSpPr>
      <xdr:spPr>
        <a:xfrm>
          <a:off x="6054228" y="6087618"/>
          <a:ext cx="1046497"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EDE4873-1EAB-4405-A579-9F82DC363E30}" type="TxLink">
            <a:rPr lang="en-US" sz="2000" b="0" i="0" u="none" strike="noStrike">
              <a:solidFill>
                <a:srgbClr val="5A6380"/>
              </a:solidFill>
              <a:latin typeface="Aptos Narrow"/>
              <a:ea typeface="+mn-ea"/>
              <a:cs typeface="+mn-cs"/>
            </a:rPr>
            <a:pPr marL="0" indent="0" algn="ctr"/>
            <a:t>55%</a:t>
          </a:fld>
          <a:endParaRPr lang="ru-RU" sz="6000" b="0" i="0" u="none" strike="noStrike">
            <a:solidFill>
              <a:srgbClr val="5A6380"/>
            </a:solidFill>
            <a:latin typeface="Aptos Narrow"/>
            <a:ea typeface="+mn-ea"/>
            <a:cs typeface="+mn-cs"/>
          </a:endParaRPr>
        </a:p>
      </xdr:txBody>
    </xdr:sp>
    <xdr:clientData/>
  </xdr:twoCellAnchor>
  <xdr:twoCellAnchor>
    <xdr:from>
      <xdr:col>12</xdr:col>
      <xdr:colOff>209688</xdr:colOff>
      <xdr:row>33</xdr:row>
      <xdr:rowOff>52578</xdr:rowOff>
    </xdr:from>
    <xdr:to>
      <xdr:col>14</xdr:col>
      <xdr:colOff>36985</xdr:colOff>
      <xdr:row>35</xdr:row>
      <xdr:rowOff>80010</xdr:rowOff>
    </xdr:to>
    <xdr:sp macro="" textlink="Processing!P8">
      <xdr:nvSpPr>
        <xdr:cNvPr id="36" name="TextBox 35">
          <a:extLst>
            <a:ext uri="{FF2B5EF4-FFF2-40B4-BE49-F238E27FC236}">
              <a16:creationId xmlns:a16="http://schemas.microsoft.com/office/drawing/2014/main" id="{2E1DDEFF-D134-4F9E-8BB5-23B4D39C1561}"/>
            </a:ext>
          </a:extLst>
        </xdr:cNvPr>
        <xdr:cNvSpPr txBox="1"/>
      </xdr:nvSpPr>
      <xdr:spPr>
        <a:xfrm>
          <a:off x="7524888" y="6087618"/>
          <a:ext cx="1046497"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A9F3461-B3A5-4F29-A29A-4C2EA75B08DC}" type="TxLink">
            <a:rPr lang="en-US" sz="2000" b="0" i="0" u="none" strike="noStrike">
              <a:solidFill>
                <a:srgbClr val="5A6380"/>
              </a:solidFill>
              <a:latin typeface="Aptos Narrow"/>
              <a:ea typeface="+mn-ea"/>
              <a:cs typeface="+mn-cs"/>
            </a:rPr>
            <a:pPr marL="0" indent="0" algn="ctr"/>
            <a:t>63%</a:t>
          </a:fld>
          <a:endParaRPr lang="ru-RU" sz="4000" b="0" i="0" u="none" strike="noStrike">
            <a:solidFill>
              <a:srgbClr val="5A6380"/>
            </a:solidFill>
            <a:latin typeface="Aptos Narrow"/>
            <a:ea typeface="+mn-ea"/>
            <a:cs typeface="+mn-cs"/>
          </a:endParaRPr>
        </a:p>
      </xdr:txBody>
    </xdr:sp>
    <xdr:clientData/>
  </xdr:twoCellAnchor>
  <xdr:twoCellAnchor>
    <xdr:from>
      <xdr:col>3</xdr:col>
      <xdr:colOff>57151</xdr:colOff>
      <xdr:row>28</xdr:row>
      <xdr:rowOff>117348</xdr:rowOff>
    </xdr:from>
    <xdr:to>
      <xdr:col>8</xdr:col>
      <xdr:colOff>171451</xdr:colOff>
      <xdr:row>30</xdr:row>
      <xdr:rowOff>144780</xdr:rowOff>
    </xdr:to>
    <xdr:sp macro="" textlink="Processing!O10">
      <xdr:nvSpPr>
        <xdr:cNvPr id="37" name="TextBox 36">
          <a:extLst>
            <a:ext uri="{FF2B5EF4-FFF2-40B4-BE49-F238E27FC236}">
              <a16:creationId xmlns:a16="http://schemas.microsoft.com/office/drawing/2014/main" id="{90A6D0E3-E10A-420E-9C57-EB8C6E28551D}"/>
            </a:ext>
          </a:extLst>
        </xdr:cNvPr>
        <xdr:cNvSpPr txBox="1"/>
      </xdr:nvSpPr>
      <xdr:spPr>
        <a:xfrm>
          <a:off x="1885951" y="5237988"/>
          <a:ext cx="3162300"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E3E2A48-7ED6-4F60-8494-9178FCC4042F}" type="TxLink">
            <a:rPr lang="en-US" sz="1600" b="0" i="0" u="none" strike="noStrike">
              <a:solidFill>
                <a:srgbClr val="5A6380"/>
              </a:solidFill>
              <a:latin typeface="Aptos Narrow"/>
              <a:ea typeface="+mn-ea"/>
              <a:cs typeface="+mn-cs"/>
            </a:rPr>
            <a:pPr marL="0" indent="0" algn="ctr"/>
            <a:t>Seasonal Benchmark for Current Month</a:t>
          </a:fld>
          <a:endParaRPr lang="ru-RU" sz="1600" b="0" i="0" u="none" strike="noStrike">
            <a:solidFill>
              <a:srgbClr val="5A6380"/>
            </a:solidFill>
            <a:latin typeface="Aptos Narrow"/>
            <a:ea typeface="+mn-ea"/>
            <a:cs typeface="+mn-cs"/>
          </a:endParaRPr>
        </a:p>
      </xdr:txBody>
    </xdr:sp>
    <xdr:clientData/>
  </xdr:twoCellAnchor>
  <xdr:twoCellAnchor>
    <xdr:from>
      <xdr:col>6</xdr:col>
      <xdr:colOff>563880</xdr:colOff>
      <xdr:row>0</xdr:row>
      <xdr:rowOff>60960</xdr:rowOff>
    </xdr:from>
    <xdr:to>
      <xdr:col>16</xdr:col>
      <xdr:colOff>411480</xdr:colOff>
      <xdr:row>3</xdr:row>
      <xdr:rowOff>30480</xdr:rowOff>
    </xdr:to>
    <xdr:sp macro="" textlink="Processing!A14">
      <xdr:nvSpPr>
        <xdr:cNvPr id="38" name="TextBox 37">
          <a:extLst>
            <a:ext uri="{FF2B5EF4-FFF2-40B4-BE49-F238E27FC236}">
              <a16:creationId xmlns:a16="http://schemas.microsoft.com/office/drawing/2014/main" id="{7058ECA0-7550-4B50-8DDE-2677FEC0492A}"/>
            </a:ext>
          </a:extLst>
        </xdr:cNvPr>
        <xdr:cNvSpPr txBox="1"/>
      </xdr:nvSpPr>
      <xdr:spPr>
        <a:xfrm>
          <a:off x="4221480" y="60960"/>
          <a:ext cx="594360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4D2D6F0-E2AB-474C-B0DD-1FD1C2709114}" type="TxLink">
            <a:rPr lang="en-US" sz="2800" b="0" i="0" u="none" strike="noStrike">
              <a:solidFill>
                <a:srgbClr val="5A6380"/>
              </a:solidFill>
              <a:latin typeface="Aptos Narrow"/>
              <a:ea typeface="+mn-ea"/>
              <a:cs typeface="+mn-cs"/>
            </a:rPr>
            <a:pPr marL="0" indent="0"/>
            <a:t>Advertising Effectiveness Dashboard</a:t>
          </a:fld>
          <a:endParaRPr lang="ru-RU" sz="5400" b="0" i="0" u="none" strike="noStrike">
            <a:solidFill>
              <a:srgbClr val="5A6380"/>
            </a:solidFill>
            <a:latin typeface="Aptos Narrow"/>
            <a:ea typeface="+mn-ea"/>
            <a:cs typeface="+mn-cs"/>
          </a:endParaRPr>
        </a:p>
      </xdr:txBody>
    </xdr:sp>
    <xdr:clientData/>
  </xdr:twoCellAnchor>
  <xdr:twoCellAnchor editAs="oneCell">
    <xdr:from>
      <xdr:col>19</xdr:col>
      <xdr:colOff>251460</xdr:colOff>
      <xdr:row>1</xdr:row>
      <xdr:rowOff>7620</xdr:rowOff>
    </xdr:from>
    <xdr:to>
      <xdr:col>19</xdr:col>
      <xdr:colOff>525780</xdr:colOff>
      <xdr:row>2</xdr:row>
      <xdr:rowOff>99060</xdr:rowOff>
    </xdr:to>
    <xdr:pic>
      <xdr:nvPicPr>
        <xdr:cNvPr id="41" name="Graphic 40" descr="Sun with solid fill">
          <a:extLst>
            <a:ext uri="{FF2B5EF4-FFF2-40B4-BE49-F238E27FC236}">
              <a16:creationId xmlns:a16="http://schemas.microsoft.com/office/drawing/2014/main" id="{7398EAB8-9DE1-4069-AD1A-700DFC50161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833860" y="190500"/>
          <a:ext cx="274320" cy="274320"/>
        </a:xfrm>
        <a:prstGeom prst="rect">
          <a:avLst/>
        </a:prstGeom>
      </xdr:spPr>
    </xdr:pic>
    <xdr:clientData/>
  </xdr:twoCellAnchor>
  <xdr:twoCellAnchor editAs="oneCell">
    <xdr:from>
      <xdr:col>20</xdr:col>
      <xdr:colOff>266700</xdr:colOff>
      <xdr:row>1</xdr:row>
      <xdr:rowOff>7620</xdr:rowOff>
    </xdr:from>
    <xdr:to>
      <xdr:col>20</xdr:col>
      <xdr:colOff>541020</xdr:colOff>
      <xdr:row>2</xdr:row>
      <xdr:rowOff>99060</xdr:rowOff>
    </xdr:to>
    <xdr:pic>
      <xdr:nvPicPr>
        <xdr:cNvPr id="42" name="Graphic 41" descr="Moon and stars with solid fill">
          <a:hlinkClick xmlns:r="http://schemas.openxmlformats.org/officeDocument/2006/relationships" r:id="rId9"/>
          <a:extLst>
            <a:ext uri="{FF2B5EF4-FFF2-40B4-BE49-F238E27FC236}">
              <a16:creationId xmlns:a16="http://schemas.microsoft.com/office/drawing/2014/main" id="{A7BFA223-F084-42F1-A884-CBB46E8B943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2458700" y="190500"/>
          <a:ext cx="274320" cy="274320"/>
        </a:xfrm>
        <a:prstGeom prst="rect">
          <a:avLst/>
        </a:prstGeom>
      </xdr:spPr>
    </xdr:pic>
    <xdr:clientData/>
  </xdr:twoCellAnchor>
  <xdr:twoCellAnchor>
    <xdr:from>
      <xdr:col>14</xdr:col>
      <xdr:colOff>533400</xdr:colOff>
      <xdr:row>21</xdr:row>
      <xdr:rowOff>7620</xdr:rowOff>
    </xdr:from>
    <xdr:to>
      <xdr:col>21</xdr:col>
      <xdr:colOff>205740</xdr:colOff>
      <xdr:row>40</xdr:row>
      <xdr:rowOff>30480</xdr:rowOff>
    </xdr:to>
    <xdr:sp macro="" textlink="">
      <xdr:nvSpPr>
        <xdr:cNvPr id="43" name="Rectangle 42">
          <a:hlinkClick xmlns:r="http://schemas.openxmlformats.org/officeDocument/2006/relationships" r:id="rId12"/>
          <a:extLst>
            <a:ext uri="{FF2B5EF4-FFF2-40B4-BE49-F238E27FC236}">
              <a16:creationId xmlns:a16="http://schemas.microsoft.com/office/drawing/2014/main" id="{E8118CA3-BD57-4E39-93FC-49356A924614}"/>
            </a:ext>
          </a:extLst>
        </xdr:cNvPr>
        <xdr:cNvSpPr/>
      </xdr:nvSpPr>
      <xdr:spPr>
        <a:xfrm>
          <a:off x="9067800" y="3848100"/>
          <a:ext cx="3939540" cy="34975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3</xdr:col>
      <xdr:colOff>117348</xdr:colOff>
      <xdr:row>23</xdr:row>
      <xdr:rowOff>137160</xdr:rowOff>
    </xdr:from>
    <xdr:to>
      <xdr:col>14</xdr:col>
      <xdr:colOff>205740</xdr:colOff>
      <xdr:row>26</xdr:row>
      <xdr:rowOff>9144</xdr:rowOff>
    </xdr:to>
    <mc:AlternateContent xmlns:mc="http://schemas.openxmlformats.org/markup-compatibility/2006" xmlns:a14="http://schemas.microsoft.com/office/drawing/2010/main">
      <mc:Choice Requires="a14">
        <xdr:graphicFrame macro="">
          <xdr:nvGraphicFramePr>
            <xdr:cNvPr id="44" name="Month 1">
              <a:extLst>
                <a:ext uri="{FF2B5EF4-FFF2-40B4-BE49-F238E27FC236}">
                  <a16:creationId xmlns:a16="http://schemas.microsoft.com/office/drawing/2014/main" id="{2CA79ED6-7576-4E0F-B323-842651900956}"/>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946148" y="4343400"/>
              <a:ext cx="6793992" cy="420624"/>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403860</xdr:colOff>
      <xdr:row>4</xdr:row>
      <xdr:rowOff>121920</xdr:rowOff>
    </xdr:from>
    <xdr:to>
      <xdr:col>14</xdr:col>
      <xdr:colOff>205740</xdr:colOff>
      <xdr:row>7</xdr:row>
      <xdr:rowOff>12192</xdr:rowOff>
    </xdr:to>
    <mc:AlternateContent xmlns:mc="http://schemas.openxmlformats.org/markup-compatibility/2006" xmlns:a14="http://schemas.microsoft.com/office/drawing/2010/main">
      <mc:Choice Requires="a14">
        <xdr:graphicFrame macro="">
          <xdr:nvGraphicFramePr>
            <xdr:cNvPr id="45" name="Year 1">
              <a:extLst>
                <a:ext uri="{FF2B5EF4-FFF2-40B4-BE49-F238E27FC236}">
                  <a16:creationId xmlns:a16="http://schemas.microsoft.com/office/drawing/2014/main" id="{9B5C3DE8-6AAF-4CFF-80A2-4103599F48A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6499860" y="853440"/>
              <a:ext cx="2240280" cy="438912"/>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441960</xdr:colOff>
      <xdr:row>44</xdr:row>
      <xdr:rowOff>129540</xdr:rowOff>
    </xdr:to>
    <xdr:sp macro="" textlink="">
      <xdr:nvSpPr>
        <xdr:cNvPr id="2" name="Rectangle 1">
          <a:extLst>
            <a:ext uri="{FF2B5EF4-FFF2-40B4-BE49-F238E27FC236}">
              <a16:creationId xmlns:a16="http://schemas.microsoft.com/office/drawing/2014/main" id="{0D5270A4-3D4F-418D-B1CA-A22EDD6AB740}"/>
            </a:ext>
          </a:extLst>
        </xdr:cNvPr>
        <xdr:cNvSpPr/>
      </xdr:nvSpPr>
      <xdr:spPr>
        <a:xfrm>
          <a:off x="0" y="0"/>
          <a:ext cx="15681960" cy="8176260"/>
        </a:xfrm>
        <a:prstGeom prst="rect">
          <a:avLst/>
        </a:prstGeom>
        <a:gradFill flip="none" rotWithShape="1">
          <a:gsLst>
            <a:gs pos="0">
              <a:srgbClr val="E5EDF8"/>
            </a:gs>
            <a:gs pos="84000">
              <a:srgbClr val="DCE4F4"/>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190499</xdr:colOff>
      <xdr:row>3</xdr:row>
      <xdr:rowOff>99059</xdr:rowOff>
    </xdr:from>
    <xdr:to>
      <xdr:col>14</xdr:col>
      <xdr:colOff>373379</xdr:colOff>
      <xdr:row>26</xdr:row>
      <xdr:rowOff>144779</xdr:rowOff>
    </xdr:to>
    <xdr:sp macro="" textlink="">
      <xdr:nvSpPr>
        <xdr:cNvPr id="3" name="Rectangle 2">
          <a:extLst>
            <a:ext uri="{FF2B5EF4-FFF2-40B4-BE49-F238E27FC236}">
              <a16:creationId xmlns:a16="http://schemas.microsoft.com/office/drawing/2014/main" id="{0327190E-D5F4-40EF-B33D-D0E7DBAA4983}"/>
            </a:ext>
          </a:extLst>
        </xdr:cNvPr>
        <xdr:cNvSpPr/>
      </xdr:nvSpPr>
      <xdr:spPr>
        <a:xfrm>
          <a:off x="1409699" y="647699"/>
          <a:ext cx="7498080" cy="4251960"/>
        </a:xfrm>
        <a:prstGeom prst="rect">
          <a:avLst/>
        </a:prstGeom>
        <a:solidFill>
          <a:srgbClr val="F3F6FD"/>
        </a:solidFill>
        <a:ln w="12700">
          <a:solidFill>
            <a:schemeClr val="bg1"/>
          </a:solidFill>
        </a:ln>
        <a:effectLst>
          <a:outerShdw blurRad="50800" dist="1270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190501</xdr:colOff>
      <xdr:row>27</xdr:row>
      <xdr:rowOff>125810</xdr:rowOff>
    </xdr:from>
    <xdr:to>
      <xdr:col>9</xdr:col>
      <xdr:colOff>38101</xdr:colOff>
      <xdr:row>40</xdr:row>
      <xdr:rowOff>4647</xdr:rowOff>
    </xdr:to>
    <xdr:sp macro="" textlink="">
      <xdr:nvSpPr>
        <xdr:cNvPr id="4" name="Rectangle 3">
          <a:extLst>
            <a:ext uri="{FF2B5EF4-FFF2-40B4-BE49-F238E27FC236}">
              <a16:creationId xmlns:a16="http://schemas.microsoft.com/office/drawing/2014/main" id="{77F0F297-8A2D-4A1F-B1DD-35BEBABC1681}"/>
            </a:ext>
          </a:extLst>
        </xdr:cNvPr>
        <xdr:cNvSpPr/>
      </xdr:nvSpPr>
      <xdr:spPr>
        <a:xfrm>
          <a:off x="1409701" y="5063570"/>
          <a:ext cx="4114800" cy="2256277"/>
        </a:xfrm>
        <a:prstGeom prst="rect">
          <a:avLst/>
        </a:prstGeom>
        <a:gradFill flip="none" rotWithShape="1">
          <a:gsLst>
            <a:gs pos="51000">
              <a:srgbClr val="F3F6FD"/>
            </a:gs>
            <a:gs pos="100000">
              <a:schemeClr val="bg1"/>
            </a:gs>
          </a:gsLst>
          <a:lin ang="18900000" scaled="1"/>
          <a:tileRect/>
        </a:gradFill>
        <a:ln w="12700">
          <a:solidFill>
            <a:schemeClr val="bg1"/>
          </a:solidFill>
        </a:ln>
        <a:effectLst>
          <a:outerShdw blurRad="50800" dist="889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9</xdr:col>
      <xdr:colOff>220979</xdr:colOff>
      <xdr:row>27</xdr:row>
      <xdr:rowOff>125810</xdr:rowOff>
    </xdr:from>
    <xdr:to>
      <xdr:col>14</xdr:col>
      <xdr:colOff>373379</xdr:colOff>
      <xdr:row>40</xdr:row>
      <xdr:rowOff>4647</xdr:rowOff>
    </xdr:to>
    <xdr:sp macro="" textlink="">
      <xdr:nvSpPr>
        <xdr:cNvPr id="5" name="Rectangle 4">
          <a:extLst>
            <a:ext uri="{FF2B5EF4-FFF2-40B4-BE49-F238E27FC236}">
              <a16:creationId xmlns:a16="http://schemas.microsoft.com/office/drawing/2014/main" id="{332988DB-A162-4E8C-B0C8-B13C9F524A30}"/>
            </a:ext>
          </a:extLst>
        </xdr:cNvPr>
        <xdr:cNvSpPr/>
      </xdr:nvSpPr>
      <xdr:spPr>
        <a:xfrm>
          <a:off x="5707379" y="5063570"/>
          <a:ext cx="3200400" cy="2256277"/>
        </a:xfrm>
        <a:prstGeom prst="rect">
          <a:avLst/>
        </a:prstGeom>
        <a:gradFill flip="none" rotWithShape="1">
          <a:gsLst>
            <a:gs pos="51000">
              <a:srgbClr val="F3F6FD"/>
            </a:gs>
            <a:gs pos="100000">
              <a:schemeClr val="bg1"/>
            </a:gs>
          </a:gsLst>
          <a:lin ang="18900000" scaled="1"/>
          <a:tileRect/>
        </a:gradFill>
        <a:ln w="12700">
          <a:solidFill>
            <a:schemeClr val="bg1"/>
          </a:solidFill>
        </a:ln>
        <a:effectLst>
          <a:outerShdw blurRad="50800" dist="889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14</xdr:col>
      <xdr:colOff>536804</xdr:colOff>
      <xdr:row>3</xdr:row>
      <xdr:rowOff>99058</xdr:rowOff>
    </xdr:from>
    <xdr:to>
      <xdr:col>21</xdr:col>
      <xdr:colOff>201524</xdr:colOff>
      <xdr:row>20</xdr:row>
      <xdr:rowOff>7618</xdr:rowOff>
    </xdr:to>
    <xdr:sp macro="" textlink="">
      <xdr:nvSpPr>
        <xdr:cNvPr id="6" name="Rectangle 5">
          <a:extLst>
            <a:ext uri="{FF2B5EF4-FFF2-40B4-BE49-F238E27FC236}">
              <a16:creationId xmlns:a16="http://schemas.microsoft.com/office/drawing/2014/main" id="{10422A32-B588-4A05-9B15-56C7EA0D6689}"/>
            </a:ext>
          </a:extLst>
        </xdr:cNvPr>
        <xdr:cNvSpPr/>
      </xdr:nvSpPr>
      <xdr:spPr>
        <a:xfrm>
          <a:off x="9071204" y="647698"/>
          <a:ext cx="3931920" cy="3017520"/>
        </a:xfrm>
        <a:prstGeom prst="rect">
          <a:avLst/>
        </a:prstGeom>
        <a:gradFill flip="none" rotWithShape="1">
          <a:gsLst>
            <a:gs pos="51000">
              <a:srgbClr val="F3F6FD"/>
            </a:gs>
            <a:gs pos="100000">
              <a:schemeClr val="bg1"/>
            </a:gs>
          </a:gsLst>
          <a:lin ang="18900000" scaled="1"/>
          <a:tileRect/>
        </a:gradFill>
        <a:ln w="12700">
          <a:solidFill>
            <a:schemeClr val="bg1"/>
          </a:solidFill>
        </a:ln>
        <a:effectLst>
          <a:outerShdw blurRad="50800" dist="889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14</xdr:col>
      <xdr:colOff>536804</xdr:colOff>
      <xdr:row>21</xdr:row>
      <xdr:rowOff>4647</xdr:rowOff>
    </xdr:from>
    <xdr:to>
      <xdr:col>21</xdr:col>
      <xdr:colOff>201524</xdr:colOff>
      <xdr:row>40</xdr:row>
      <xdr:rowOff>4647</xdr:rowOff>
    </xdr:to>
    <xdr:sp macro="" textlink="">
      <xdr:nvSpPr>
        <xdr:cNvPr id="7" name="Rectangle 6">
          <a:extLst>
            <a:ext uri="{FF2B5EF4-FFF2-40B4-BE49-F238E27FC236}">
              <a16:creationId xmlns:a16="http://schemas.microsoft.com/office/drawing/2014/main" id="{9A9B7212-5DDC-4B39-91A3-A696235EC641}"/>
            </a:ext>
          </a:extLst>
        </xdr:cNvPr>
        <xdr:cNvSpPr/>
      </xdr:nvSpPr>
      <xdr:spPr>
        <a:xfrm>
          <a:off x="9071204" y="3845127"/>
          <a:ext cx="3931920" cy="3474720"/>
        </a:xfrm>
        <a:prstGeom prst="rect">
          <a:avLst/>
        </a:prstGeom>
        <a:gradFill flip="none" rotWithShape="1">
          <a:gsLst>
            <a:gs pos="51000">
              <a:srgbClr val="F3F6FD"/>
            </a:gs>
            <a:gs pos="100000">
              <a:schemeClr val="bg1"/>
            </a:gs>
          </a:gsLst>
          <a:lin ang="18900000" scaled="1"/>
          <a:tileRect/>
        </a:gradFill>
        <a:ln w="12700">
          <a:solidFill>
            <a:schemeClr val="bg1"/>
          </a:solidFill>
        </a:ln>
        <a:effectLst>
          <a:outerShdw blurRad="50800" dist="889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14</xdr:col>
      <xdr:colOff>563880</xdr:colOff>
      <xdr:row>25</xdr:row>
      <xdr:rowOff>68580</xdr:rowOff>
    </xdr:from>
    <xdr:to>
      <xdr:col>21</xdr:col>
      <xdr:colOff>137160</xdr:colOff>
      <xdr:row>39</xdr:row>
      <xdr:rowOff>68580</xdr:rowOff>
    </xdr:to>
    <xdr:graphicFrame macro="">
      <xdr:nvGraphicFramePr>
        <xdr:cNvPr id="8" name="Chart 7">
          <a:extLst>
            <a:ext uri="{FF2B5EF4-FFF2-40B4-BE49-F238E27FC236}">
              <a16:creationId xmlns:a16="http://schemas.microsoft.com/office/drawing/2014/main" id="{BDDFA150-2216-4397-9199-4CF5010F79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365760</xdr:colOff>
      <xdr:row>9</xdr:row>
      <xdr:rowOff>22860</xdr:rowOff>
    </xdr:from>
    <xdr:to>
      <xdr:col>14</xdr:col>
      <xdr:colOff>182880</xdr:colOff>
      <xdr:row>25</xdr:row>
      <xdr:rowOff>22860</xdr:rowOff>
    </xdr:to>
    <xdr:graphicFrame macro="">
      <xdr:nvGraphicFramePr>
        <xdr:cNvPr id="9" name="Chart 8">
          <a:extLst>
            <a:ext uri="{FF2B5EF4-FFF2-40B4-BE49-F238E27FC236}">
              <a16:creationId xmlns:a16="http://schemas.microsoft.com/office/drawing/2014/main" id="{39BCA328-BF01-40CC-81AE-CFC68BFCF9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396240</xdr:colOff>
      <xdr:row>6</xdr:row>
      <xdr:rowOff>129540</xdr:rowOff>
    </xdr:from>
    <xdr:to>
      <xdr:col>20</xdr:col>
      <xdr:colOff>335280</xdr:colOff>
      <xdr:row>20</xdr:row>
      <xdr:rowOff>38100</xdr:rowOff>
    </xdr:to>
    <xdr:graphicFrame macro="">
      <xdr:nvGraphicFramePr>
        <xdr:cNvPr id="10" name="Chart 9">
          <a:extLst>
            <a:ext uri="{FF2B5EF4-FFF2-40B4-BE49-F238E27FC236}">
              <a16:creationId xmlns:a16="http://schemas.microsoft.com/office/drawing/2014/main" id="{99FAAA61-B042-4FE9-8E7E-723B196DF7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320040</xdr:colOff>
      <xdr:row>30</xdr:row>
      <xdr:rowOff>152400</xdr:rowOff>
    </xdr:from>
    <xdr:to>
      <xdr:col>12</xdr:col>
      <xdr:colOff>45720</xdr:colOff>
      <xdr:row>39</xdr:row>
      <xdr:rowOff>60960</xdr:rowOff>
    </xdr:to>
    <xdr:graphicFrame macro="">
      <xdr:nvGraphicFramePr>
        <xdr:cNvPr id="11" name="Chart 10">
          <a:extLst>
            <a:ext uri="{FF2B5EF4-FFF2-40B4-BE49-F238E27FC236}">
              <a16:creationId xmlns:a16="http://schemas.microsoft.com/office/drawing/2014/main" id="{2650B391-7E14-4739-9EF7-56A415D24C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563880</xdr:colOff>
      <xdr:row>30</xdr:row>
      <xdr:rowOff>152400</xdr:rowOff>
    </xdr:from>
    <xdr:to>
      <xdr:col>14</xdr:col>
      <xdr:colOff>289560</xdr:colOff>
      <xdr:row>39</xdr:row>
      <xdr:rowOff>60960</xdr:rowOff>
    </xdr:to>
    <xdr:graphicFrame macro="">
      <xdr:nvGraphicFramePr>
        <xdr:cNvPr id="12" name="Chart 11">
          <a:extLst>
            <a:ext uri="{FF2B5EF4-FFF2-40B4-BE49-F238E27FC236}">
              <a16:creationId xmlns:a16="http://schemas.microsoft.com/office/drawing/2014/main" id="{B174E960-946C-4839-8C74-2C471600A7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518160</xdr:colOff>
      <xdr:row>30</xdr:row>
      <xdr:rowOff>167640</xdr:rowOff>
    </xdr:from>
    <xdr:to>
      <xdr:col>8</xdr:col>
      <xdr:colOff>480060</xdr:colOff>
      <xdr:row>39</xdr:row>
      <xdr:rowOff>45720</xdr:rowOff>
    </xdr:to>
    <xdr:graphicFrame macro="">
      <xdr:nvGraphicFramePr>
        <xdr:cNvPr id="13" name="Chart 12">
          <a:extLst>
            <a:ext uri="{FF2B5EF4-FFF2-40B4-BE49-F238E27FC236}">
              <a16:creationId xmlns:a16="http://schemas.microsoft.com/office/drawing/2014/main" id="{CD29A596-9FA5-46B4-8F18-56D5946F21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114300</xdr:colOff>
      <xdr:row>4</xdr:row>
      <xdr:rowOff>99060</xdr:rowOff>
    </xdr:from>
    <xdr:to>
      <xdr:col>11</xdr:col>
      <xdr:colOff>45720</xdr:colOff>
      <xdr:row>7</xdr:row>
      <xdr:rowOff>60960</xdr:rowOff>
    </xdr:to>
    <xdr:sp macro="" textlink="Processing!I1">
      <xdr:nvSpPr>
        <xdr:cNvPr id="14" name="TextBox 13">
          <a:extLst>
            <a:ext uri="{FF2B5EF4-FFF2-40B4-BE49-F238E27FC236}">
              <a16:creationId xmlns:a16="http://schemas.microsoft.com/office/drawing/2014/main" id="{71D9473F-5B2F-4355-B181-2820CD847F14}"/>
            </a:ext>
          </a:extLst>
        </xdr:cNvPr>
        <xdr:cNvSpPr txBox="1"/>
      </xdr:nvSpPr>
      <xdr:spPr>
        <a:xfrm>
          <a:off x="1943100" y="830580"/>
          <a:ext cx="4808220"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62E5C72-0991-4857-9C03-0D913FB0C7E3}" type="TxLink">
            <a:rPr lang="en-US" sz="2400" b="0" i="0" u="none" strike="noStrike">
              <a:gradFill>
                <a:gsLst>
                  <a:gs pos="9000">
                    <a:srgbClr val="00E5BB"/>
                  </a:gs>
                  <a:gs pos="89000">
                    <a:srgbClr val="9980FF"/>
                  </a:gs>
                </a:gsLst>
                <a:lin ang="0" scaled="0"/>
              </a:gradFill>
              <a:latin typeface="Aptos Narrow"/>
              <a:ea typeface="+mn-ea"/>
              <a:cs typeface="+mn-cs"/>
            </a:rPr>
            <a:pPr marL="0" indent="0"/>
            <a:t>Advertising Costs vs Returns</a:t>
          </a:fld>
          <a:endParaRPr lang="ru-RU" sz="2400" b="0" i="0" u="none" strike="noStrike">
            <a:gradFill>
              <a:gsLst>
                <a:gs pos="9000">
                  <a:srgbClr val="00E5BB"/>
                </a:gs>
                <a:gs pos="89000">
                  <a:srgbClr val="9980FF"/>
                </a:gs>
              </a:gsLst>
              <a:lin ang="0" scaled="0"/>
            </a:gradFill>
            <a:latin typeface="Aptos Narrow"/>
            <a:ea typeface="+mn-ea"/>
            <a:cs typeface="+mn-cs"/>
          </a:endParaRPr>
        </a:p>
      </xdr:txBody>
    </xdr:sp>
    <xdr:clientData/>
  </xdr:twoCellAnchor>
  <xdr:twoCellAnchor>
    <xdr:from>
      <xdr:col>3</xdr:col>
      <xdr:colOff>441960</xdr:colOff>
      <xdr:row>6</xdr:row>
      <xdr:rowOff>167640</xdr:rowOff>
    </xdr:from>
    <xdr:to>
      <xdr:col>6</xdr:col>
      <xdr:colOff>60960</xdr:colOff>
      <xdr:row>9</xdr:row>
      <xdr:rowOff>7620</xdr:rowOff>
    </xdr:to>
    <xdr:sp macro="" textlink="Processing!H1">
      <xdr:nvSpPr>
        <xdr:cNvPr id="15" name="TextBox 14">
          <a:extLst>
            <a:ext uri="{FF2B5EF4-FFF2-40B4-BE49-F238E27FC236}">
              <a16:creationId xmlns:a16="http://schemas.microsoft.com/office/drawing/2014/main" id="{276DA6C7-70F0-4947-8601-034DD246636E}"/>
            </a:ext>
          </a:extLst>
        </xdr:cNvPr>
        <xdr:cNvSpPr txBox="1"/>
      </xdr:nvSpPr>
      <xdr:spPr>
        <a:xfrm>
          <a:off x="2270760" y="1264920"/>
          <a:ext cx="144780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19E5FD8-5A53-48DC-A574-C33F51EF1C40}" type="TxLink">
            <a:rPr lang="en-US" sz="1800" b="0" i="0" u="none" strike="noStrike">
              <a:solidFill>
                <a:srgbClr val="5A6380"/>
              </a:solidFill>
              <a:latin typeface="Aptos Narrow"/>
              <a:ea typeface="+mn-ea"/>
              <a:cs typeface="+mn-cs"/>
            </a:rPr>
            <a:pPr marL="0" indent="0"/>
            <a:t>Ads. Revenue</a:t>
          </a:fld>
          <a:endParaRPr lang="ru-RU" sz="1800" b="0" i="0" u="none" strike="noStrike">
            <a:solidFill>
              <a:srgbClr val="5A6380"/>
            </a:solidFill>
            <a:latin typeface="Aptos Narrow"/>
            <a:ea typeface="+mn-ea"/>
            <a:cs typeface="+mn-cs"/>
          </a:endParaRPr>
        </a:p>
      </xdr:txBody>
    </xdr:sp>
    <xdr:clientData/>
  </xdr:twoCellAnchor>
  <xdr:twoCellAnchor>
    <xdr:from>
      <xdr:col>7</xdr:col>
      <xdr:colOff>480060</xdr:colOff>
      <xdr:row>6</xdr:row>
      <xdr:rowOff>175260</xdr:rowOff>
    </xdr:from>
    <xdr:to>
      <xdr:col>10</xdr:col>
      <xdr:colOff>259080</xdr:colOff>
      <xdr:row>9</xdr:row>
      <xdr:rowOff>15240</xdr:rowOff>
    </xdr:to>
    <xdr:sp macro="" textlink="Processing!G1">
      <xdr:nvSpPr>
        <xdr:cNvPr id="16" name="TextBox 15">
          <a:extLst>
            <a:ext uri="{FF2B5EF4-FFF2-40B4-BE49-F238E27FC236}">
              <a16:creationId xmlns:a16="http://schemas.microsoft.com/office/drawing/2014/main" id="{ADB60C31-975E-4217-8676-9F6168E53C20}"/>
            </a:ext>
          </a:extLst>
        </xdr:cNvPr>
        <xdr:cNvSpPr txBox="1"/>
      </xdr:nvSpPr>
      <xdr:spPr>
        <a:xfrm>
          <a:off x="4747260" y="1272540"/>
          <a:ext cx="160782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086681A-ADC0-45C3-A363-7803C3D95FD4}" type="TxLink">
            <a:rPr lang="en-US" sz="1800" b="0" i="0" u="none" strike="noStrike">
              <a:solidFill>
                <a:srgbClr val="5A6380"/>
              </a:solidFill>
              <a:latin typeface="Aptos Narrow"/>
              <a:ea typeface="+mn-ea"/>
              <a:cs typeface="+mn-cs"/>
            </a:rPr>
            <a:pPr marL="0" indent="0"/>
            <a:t>Ads. Expenses</a:t>
          </a:fld>
          <a:endParaRPr lang="ru-RU" sz="1800" b="0" i="0" u="none" strike="noStrike">
            <a:solidFill>
              <a:srgbClr val="5A6380"/>
            </a:solidFill>
            <a:latin typeface="Aptos Narrow"/>
            <a:ea typeface="+mn-ea"/>
            <a:cs typeface="+mn-cs"/>
          </a:endParaRPr>
        </a:p>
      </xdr:txBody>
    </xdr:sp>
    <xdr:clientData/>
  </xdr:twoCellAnchor>
  <xdr:twoCellAnchor>
    <xdr:from>
      <xdr:col>5</xdr:col>
      <xdr:colOff>571285</xdr:colOff>
      <xdr:row>6</xdr:row>
      <xdr:rowOff>167640</xdr:rowOff>
    </xdr:from>
    <xdr:to>
      <xdr:col>8</xdr:col>
      <xdr:colOff>215</xdr:colOff>
      <xdr:row>9</xdr:row>
      <xdr:rowOff>7620</xdr:rowOff>
    </xdr:to>
    <xdr:sp macro="" textlink="Processing!L14">
      <xdr:nvSpPr>
        <xdr:cNvPr id="17" name="TextBox 16">
          <a:extLst>
            <a:ext uri="{FF2B5EF4-FFF2-40B4-BE49-F238E27FC236}">
              <a16:creationId xmlns:a16="http://schemas.microsoft.com/office/drawing/2014/main" id="{0E307FC2-8AE6-4328-9A37-29E96F8C30E3}"/>
            </a:ext>
          </a:extLst>
        </xdr:cNvPr>
        <xdr:cNvSpPr txBox="1"/>
      </xdr:nvSpPr>
      <xdr:spPr>
        <a:xfrm>
          <a:off x="3619285" y="1264920"/>
          <a:ext cx="125773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23551CE-0B1D-4181-A264-BDA2F30F5073}" type="TxLink">
            <a:rPr lang="en-US" sz="2000" b="0" i="0" u="none" strike="noStrike">
              <a:solidFill>
                <a:srgbClr val="00E5BB"/>
              </a:solidFill>
              <a:latin typeface="Aptos Narrow"/>
              <a:ea typeface="+mn-ea"/>
              <a:cs typeface="+mn-cs"/>
            </a:rPr>
            <a:pPr marL="0" indent="0" algn="l"/>
            <a:t> $71,704 </a:t>
          </a:fld>
          <a:endParaRPr lang="ru-RU" sz="2000" b="0" i="0" u="none" strike="noStrike">
            <a:solidFill>
              <a:srgbClr val="00E5BB"/>
            </a:solidFill>
            <a:latin typeface="Aptos Narrow"/>
            <a:ea typeface="+mn-ea"/>
            <a:cs typeface="+mn-cs"/>
          </a:endParaRPr>
        </a:p>
      </xdr:txBody>
    </xdr:sp>
    <xdr:clientData/>
  </xdr:twoCellAnchor>
  <xdr:twoCellAnchor>
    <xdr:from>
      <xdr:col>10</xdr:col>
      <xdr:colOff>15025</xdr:colOff>
      <xdr:row>6</xdr:row>
      <xdr:rowOff>167640</xdr:rowOff>
    </xdr:from>
    <xdr:to>
      <xdr:col>12</xdr:col>
      <xdr:colOff>53555</xdr:colOff>
      <xdr:row>9</xdr:row>
      <xdr:rowOff>7620</xdr:rowOff>
    </xdr:to>
    <xdr:sp macro="" textlink="Processing!K14">
      <xdr:nvSpPr>
        <xdr:cNvPr id="18" name="TextBox 17">
          <a:extLst>
            <a:ext uri="{FF2B5EF4-FFF2-40B4-BE49-F238E27FC236}">
              <a16:creationId xmlns:a16="http://schemas.microsoft.com/office/drawing/2014/main" id="{77EB1232-A84B-4190-9DF0-77EBD7596DEF}"/>
            </a:ext>
          </a:extLst>
        </xdr:cNvPr>
        <xdr:cNvSpPr txBox="1"/>
      </xdr:nvSpPr>
      <xdr:spPr>
        <a:xfrm>
          <a:off x="6111025" y="1264920"/>
          <a:ext cx="125773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6F7F749-2A08-494F-92CA-8C110B8163AE}" type="TxLink">
            <a:rPr lang="en-US" sz="2000" b="0" i="0" u="none" strike="noStrike">
              <a:solidFill>
                <a:srgbClr val="9980FF"/>
              </a:solidFill>
              <a:latin typeface="Aptos Narrow"/>
              <a:ea typeface="+mn-ea"/>
              <a:cs typeface="+mn-cs"/>
            </a:rPr>
            <a:pPr marL="0" indent="0" algn="l"/>
            <a:t> $1,02,560 </a:t>
          </a:fld>
          <a:endParaRPr lang="ru-RU" sz="2000" b="0" i="0" u="none" strike="noStrike">
            <a:solidFill>
              <a:srgbClr val="9980FF"/>
            </a:solidFill>
            <a:latin typeface="Aptos Narrow"/>
            <a:ea typeface="+mn-ea"/>
            <a:cs typeface="+mn-cs"/>
          </a:endParaRPr>
        </a:p>
      </xdr:txBody>
    </xdr:sp>
    <xdr:clientData/>
  </xdr:twoCellAnchor>
  <xdr:twoCellAnchor>
    <xdr:from>
      <xdr:col>14</xdr:col>
      <xdr:colOff>589573</xdr:colOff>
      <xdr:row>4</xdr:row>
      <xdr:rowOff>79248</xdr:rowOff>
    </xdr:from>
    <xdr:to>
      <xdr:col>21</xdr:col>
      <xdr:colOff>148756</xdr:colOff>
      <xdr:row>6</xdr:row>
      <xdr:rowOff>106680</xdr:rowOff>
    </xdr:to>
    <xdr:sp macro="" textlink="Processing!O1">
      <xdr:nvSpPr>
        <xdr:cNvPr id="19" name="TextBox 18">
          <a:extLst>
            <a:ext uri="{FF2B5EF4-FFF2-40B4-BE49-F238E27FC236}">
              <a16:creationId xmlns:a16="http://schemas.microsoft.com/office/drawing/2014/main" id="{79241CFD-8732-49D5-8F6B-54EA502DC399}"/>
            </a:ext>
          </a:extLst>
        </xdr:cNvPr>
        <xdr:cNvSpPr txBox="1"/>
      </xdr:nvSpPr>
      <xdr:spPr>
        <a:xfrm>
          <a:off x="9123973" y="810768"/>
          <a:ext cx="3826383"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B94635E-29AF-4648-9B8E-54AC3C2B778D}" type="TxLink">
            <a:rPr lang="en-US" sz="1600" b="0" i="0" u="none" strike="noStrike">
              <a:solidFill>
                <a:srgbClr val="5A6380"/>
              </a:solidFill>
              <a:latin typeface="Aptos Narrow"/>
              <a:ea typeface="+mn-ea"/>
              <a:cs typeface="+mn-cs"/>
            </a:rPr>
            <a:pPr marL="0" indent="0" algn="ctr"/>
            <a:t>User Behavior Breakdown After Ad Click</a:t>
          </a:fld>
          <a:endParaRPr lang="ru-RU" sz="3600" b="0" i="0" u="none" strike="noStrike">
            <a:solidFill>
              <a:srgbClr val="5A6380"/>
            </a:solidFill>
            <a:latin typeface="Aptos Narrow"/>
            <a:ea typeface="+mn-ea"/>
            <a:cs typeface="+mn-cs"/>
          </a:endParaRPr>
        </a:p>
      </xdr:txBody>
    </xdr:sp>
    <xdr:clientData/>
  </xdr:twoCellAnchor>
  <xdr:twoCellAnchor>
    <xdr:from>
      <xdr:col>19</xdr:col>
      <xdr:colOff>114300</xdr:colOff>
      <xdr:row>13</xdr:row>
      <xdr:rowOff>137160</xdr:rowOff>
    </xdr:from>
    <xdr:to>
      <xdr:col>21</xdr:col>
      <xdr:colOff>45720</xdr:colOff>
      <xdr:row>15</xdr:row>
      <xdr:rowOff>99060</xdr:rowOff>
    </xdr:to>
    <xdr:sp macro="" textlink="Processing!O3">
      <xdr:nvSpPr>
        <xdr:cNvPr id="20" name="TextBox 19">
          <a:extLst>
            <a:ext uri="{FF2B5EF4-FFF2-40B4-BE49-F238E27FC236}">
              <a16:creationId xmlns:a16="http://schemas.microsoft.com/office/drawing/2014/main" id="{1B874CF6-4867-4962-8A77-4C19CC96F572}"/>
            </a:ext>
          </a:extLst>
        </xdr:cNvPr>
        <xdr:cNvSpPr txBox="1"/>
      </xdr:nvSpPr>
      <xdr:spPr>
        <a:xfrm>
          <a:off x="11696700" y="2514600"/>
          <a:ext cx="1150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6B15C8A-AB24-43BE-9219-3B5F6312F3A2}" type="TxLink">
            <a:rPr lang="en-US" sz="1100" b="0" i="0" u="none" strike="noStrike">
              <a:solidFill>
                <a:srgbClr val="5A6380"/>
              </a:solidFill>
              <a:latin typeface="Aptos Narrow"/>
              <a:ea typeface="+mn-ea"/>
              <a:cs typeface="+mn-cs"/>
            </a:rPr>
            <a:pPr marL="0" indent="0"/>
            <a:t>Watched Video</a:t>
          </a:fld>
          <a:endParaRPr lang="ru-RU" sz="3200" b="0" i="0" u="none" strike="noStrike">
            <a:solidFill>
              <a:srgbClr val="5A6380"/>
            </a:solidFill>
            <a:latin typeface="Aptos Narrow"/>
            <a:ea typeface="+mn-ea"/>
            <a:cs typeface="+mn-cs"/>
          </a:endParaRPr>
        </a:p>
      </xdr:txBody>
    </xdr:sp>
    <xdr:clientData/>
  </xdr:twoCellAnchor>
  <xdr:twoCellAnchor>
    <xdr:from>
      <xdr:col>19</xdr:col>
      <xdr:colOff>114300</xdr:colOff>
      <xdr:row>15</xdr:row>
      <xdr:rowOff>87630</xdr:rowOff>
    </xdr:from>
    <xdr:to>
      <xdr:col>21</xdr:col>
      <xdr:colOff>45720</xdr:colOff>
      <xdr:row>17</xdr:row>
      <xdr:rowOff>49530</xdr:rowOff>
    </xdr:to>
    <xdr:sp macro="" textlink="Processing!P3">
      <xdr:nvSpPr>
        <xdr:cNvPr id="21" name="TextBox 20">
          <a:extLst>
            <a:ext uri="{FF2B5EF4-FFF2-40B4-BE49-F238E27FC236}">
              <a16:creationId xmlns:a16="http://schemas.microsoft.com/office/drawing/2014/main" id="{A700FDA7-FEC7-4097-9256-85D844C634CF}"/>
            </a:ext>
          </a:extLst>
        </xdr:cNvPr>
        <xdr:cNvSpPr txBox="1"/>
      </xdr:nvSpPr>
      <xdr:spPr>
        <a:xfrm>
          <a:off x="11696700" y="2830830"/>
          <a:ext cx="1150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9A5041C-CF67-4F72-A7FD-5A547A452746}" type="TxLink">
            <a:rPr lang="en-US" sz="1100" b="0" i="0" u="none" strike="noStrike">
              <a:solidFill>
                <a:srgbClr val="5A6380"/>
              </a:solidFill>
              <a:latin typeface="Aptos Narrow"/>
              <a:ea typeface="+mn-ea"/>
              <a:cs typeface="+mn-cs"/>
            </a:rPr>
            <a:pPr marL="0" indent="0"/>
            <a:t>Button Click Rate</a:t>
          </a:fld>
          <a:endParaRPr lang="ru-RU" sz="3200" b="0" i="0" u="none" strike="noStrike">
            <a:solidFill>
              <a:srgbClr val="5A6380"/>
            </a:solidFill>
            <a:latin typeface="Aptos Narrow"/>
            <a:ea typeface="+mn-ea"/>
            <a:cs typeface="+mn-cs"/>
          </a:endParaRPr>
        </a:p>
      </xdr:txBody>
    </xdr:sp>
    <xdr:clientData/>
  </xdr:twoCellAnchor>
  <xdr:twoCellAnchor>
    <xdr:from>
      <xdr:col>19</xdr:col>
      <xdr:colOff>114300</xdr:colOff>
      <xdr:row>17</xdr:row>
      <xdr:rowOff>38100</xdr:rowOff>
    </xdr:from>
    <xdr:to>
      <xdr:col>21</xdr:col>
      <xdr:colOff>45720</xdr:colOff>
      <xdr:row>19</xdr:row>
      <xdr:rowOff>0</xdr:rowOff>
    </xdr:to>
    <xdr:sp macro="" textlink="Processing!Q3">
      <xdr:nvSpPr>
        <xdr:cNvPr id="22" name="TextBox 21">
          <a:extLst>
            <a:ext uri="{FF2B5EF4-FFF2-40B4-BE49-F238E27FC236}">
              <a16:creationId xmlns:a16="http://schemas.microsoft.com/office/drawing/2014/main" id="{0CB11A40-B7DB-4A12-9C97-1D52D611FB99}"/>
            </a:ext>
          </a:extLst>
        </xdr:cNvPr>
        <xdr:cNvSpPr txBox="1"/>
      </xdr:nvSpPr>
      <xdr:spPr>
        <a:xfrm>
          <a:off x="11696700" y="3147060"/>
          <a:ext cx="11506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4CDC8D7-FF26-4565-BF42-CE5FB9E25284}" type="TxLink">
            <a:rPr lang="en-US" sz="1100" b="0" i="0" u="none" strike="noStrike">
              <a:solidFill>
                <a:srgbClr val="5A6380"/>
              </a:solidFill>
              <a:latin typeface="Aptos Narrow"/>
              <a:ea typeface="+mn-ea"/>
              <a:cs typeface="+mn-cs"/>
            </a:rPr>
            <a:pPr marL="0" indent="0"/>
            <a:t>Did Not Convert</a:t>
          </a:fld>
          <a:endParaRPr lang="ru-RU" sz="3200" b="0" i="0" u="none" strike="noStrike">
            <a:solidFill>
              <a:srgbClr val="5A6380"/>
            </a:solidFill>
            <a:latin typeface="Aptos Narrow"/>
            <a:ea typeface="+mn-ea"/>
            <a:cs typeface="+mn-cs"/>
          </a:endParaRPr>
        </a:p>
      </xdr:txBody>
    </xdr:sp>
    <xdr:clientData/>
  </xdr:twoCellAnchor>
  <xdr:twoCellAnchor>
    <xdr:from>
      <xdr:col>18</xdr:col>
      <xdr:colOff>586740</xdr:colOff>
      <xdr:row>17</xdr:row>
      <xdr:rowOff>91440</xdr:rowOff>
    </xdr:from>
    <xdr:to>
      <xdr:col>19</xdr:col>
      <xdr:colOff>114300</xdr:colOff>
      <xdr:row>18</xdr:row>
      <xdr:rowOff>45720</xdr:rowOff>
    </xdr:to>
    <xdr:sp macro="" textlink="">
      <xdr:nvSpPr>
        <xdr:cNvPr id="23" name="Oval 22">
          <a:extLst>
            <a:ext uri="{FF2B5EF4-FFF2-40B4-BE49-F238E27FC236}">
              <a16:creationId xmlns:a16="http://schemas.microsoft.com/office/drawing/2014/main" id="{A4E2B61F-41AD-422E-870D-8E85FEA6BF38}"/>
            </a:ext>
          </a:extLst>
        </xdr:cNvPr>
        <xdr:cNvSpPr/>
      </xdr:nvSpPr>
      <xdr:spPr>
        <a:xfrm>
          <a:off x="11559540" y="3200400"/>
          <a:ext cx="137160" cy="137160"/>
        </a:xfrm>
        <a:prstGeom prst="ellipse">
          <a:avLst/>
        </a:prstGeom>
        <a:noFill/>
        <a:ln>
          <a:solidFill>
            <a:srgbClr val="A5ABB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586740</xdr:colOff>
      <xdr:row>15</xdr:row>
      <xdr:rowOff>144780</xdr:rowOff>
    </xdr:from>
    <xdr:to>
      <xdr:col>19</xdr:col>
      <xdr:colOff>114300</xdr:colOff>
      <xdr:row>16</xdr:row>
      <xdr:rowOff>99060</xdr:rowOff>
    </xdr:to>
    <xdr:sp macro="" textlink="">
      <xdr:nvSpPr>
        <xdr:cNvPr id="24" name="Oval 23">
          <a:extLst>
            <a:ext uri="{FF2B5EF4-FFF2-40B4-BE49-F238E27FC236}">
              <a16:creationId xmlns:a16="http://schemas.microsoft.com/office/drawing/2014/main" id="{E26E3CE6-425F-4568-8865-223C6CF79A58}"/>
            </a:ext>
          </a:extLst>
        </xdr:cNvPr>
        <xdr:cNvSpPr/>
      </xdr:nvSpPr>
      <xdr:spPr>
        <a:xfrm>
          <a:off x="11559540" y="2887980"/>
          <a:ext cx="137160" cy="137160"/>
        </a:xfrm>
        <a:prstGeom prst="ellipse">
          <a:avLst/>
        </a:prstGeom>
        <a:noFill/>
        <a:ln>
          <a:gradFill flip="none" rotWithShape="1">
            <a:gsLst>
              <a:gs pos="0">
                <a:srgbClr val="F9F871"/>
              </a:gs>
              <a:gs pos="84000">
                <a:srgbClr val="E34F10"/>
              </a:gs>
            </a:gsLst>
            <a:path path="circle">
              <a:fillToRect l="100000" t="100000"/>
            </a:path>
            <a:tileRect r="-100000" b="-100000"/>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gradFill>
              <a:gsLst>
                <a:gs pos="0">
                  <a:srgbClr val="F9F871"/>
                </a:gs>
                <a:gs pos="100000">
                  <a:srgbClr val="E34F10"/>
                </a:gs>
              </a:gsLst>
              <a:path path="circle">
                <a:fillToRect l="100000" b="100000"/>
              </a:path>
            </a:gradFill>
          </a:endParaRPr>
        </a:p>
      </xdr:txBody>
    </xdr:sp>
    <xdr:clientData/>
  </xdr:twoCellAnchor>
  <xdr:twoCellAnchor>
    <xdr:from>
      <xdr:col>18</xdr:col>
      <xdr:colOff>586740</xdr:colOff>
      <xdr:row>14</xdr:row>
      <xdr:rowOff>15240</xdr:rowOff>
    </xdr:from>
    <xdr:to>
      <xdr:col>19</xdr:col>
      <xdr:colOff>114300</xdr:colOff>
      <xdr:row>14</xdr:row>
      <xdr:rowOff>152400</xdr:rowOff>
    </xdr:to>
    <xdr:sp macro="" textlink="">
      <xdr:nvSpPr>
        <xdr:cNvPr id="25" name="Oval 24">
          <a:extLst>
            <a:ext uri="{FF2B5EF4-FFF2-40B4-BE49-F238E27FC236}">
              <a16:creationId xmlns:a16="http://schemas.microsoft.com/office/drawing/2014/main" id="{6CFCDB65-B948-4EF2-A33D-83348DE305AC}"/>
            </a:ext>
          </a:extLst>
        </xdr:cNvPr>
        <xdr:cNvSpPr/>
      </xdr:nvSpPr>
      <xdr:spPr>
        <a:xfrm>
          <a:off x="11559540" y="2575560"/>
          <a:ext cx="137160" cy="137160"/>
        </a:xfrm>
        <a:prstGeom prst="ellipse">
          <a:avLst/>
        </a:prstGeom>
        <a:noFill/>
        <a:ln>
          <a:solidFill>
            <a:srgbClr val="00E5B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162267</xdr:colOff>
      <xdr:row>11</xdr:row>
      <xdr:rowOff>123181</xdr:rowOff>
    </xdr:from>
    <xdr:to>
      <xdr:col>17</xdr:col>
      <xdr:colOff>592113</xdr:colOff>
      <xdr:row>14</xdr:row>
      <xdr:rowOff>143519</xdr:rowOff>
    </xdr:to>
    <xdr:sp macro="" textlink="Processing!P4">
      <xdr:nvSpPr>
        <xdr:cNvPr id="26" name="TextBox 25">
          <a:extLst>
            <a:ext uri="{FF2B5EF4-FFF2-40B4-BE49-F238E27FC236}">
              <a16:creationId xmlns:a16="http://schemas.microsoft.com/office/drawing/2014/main" id="{89066A17-5D2D-4DDC-8F2C-218C2098A6BF}"/>
            </a:ext>
          </a:extLst>
        </xdr:cNvPr>
        <xdr:cNvSpPr txBox="1"/>
      </xdr:nvSpPr>
      <xdr:spPr>
        <a:xfrm>
          <a:off x="9915867" y="2134861"/>
          <a:ext cx="1039446" cy="568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30B2697-2EAA-4E17-9672-4AAB931F52F8}" type="TxLink">
            <a:rPr lang="en-US" sz="2800" b="0" i="0" u="none" strike="noStrike">
              <a:solidFill>
                <a:srgbClr val="5A6380"/>
              </a:solidFill>
              <a:latin typeface="Aptos Narrow"/>
              <a:ea typeface="+mn-ea"/>
              <a:cs typeface="+mn-cs"/>
            </a:rPr>
            <a:pPr marL="0" indent="0" algn="ctr"/>
            <a:t>63%</a:t>
          </a:fld>
          <a:endParaRPr lang="ru-RU" sz="16600" b="0" i="0" u="none" strike="noStrike">
            <a:solidFill>
              <a:srgbClr val="5A6380"/>
            </a:solidFill>
            <a:latin typeface="Aptos Narrow"/>
            <a:ea typeface="+mn-ea"/>
            <a:cs typeface="+mn-cs"/>
          </a:endParaRPr>
        </a:p>
      </xdr:txBody>
    </xdr:sp>
    <xdr:clientData/>
  </xdr:twoCellAnchor>
  <xdr:twoCellAnchor>
    <xdr:from>
      <xdr:col>14</xdr:col>
      <xdr:colOff>589573</xdr:colOff>
      <xdr:row>21</xdr:row>
      <xdr:rowOff>170688</xdr:rowOff>
    </xdr:from>
    <xdr:to>
      <xdr:col>21</xdr:col>
      <xdr:colOff>148756</xdr:colOff>
      <xdr:row>24</xdr:row>
      <xdr:rowOff>15240</xdr:rowOff>
    </xdr:to>
    <xdr:sp macro="" textlink="Processing!A1">
      <xdr:nvSpPr>
        <xdr:cNvPr id="27" name="TextBox 26">
          <a:extLst>
            <a:ext uri="{FF2B5EF4-FFF2-40B4-BE49-F238E27FC236}">
              <a16:creationId xmlns:a16="http://schemas.microsoft.com/office/drawing/2014/main" id="{3283A270-E82C-4F88-9C5A-B1AFD621721A}"/>
            </a:ext>
          </a:extLst>
        </xdr:cNvPr>
        <xdr:cNvSpPr txBox="1"/>
      </xdr:nvSpPr>
      <xdr:spPr>
        <a:xfrm>
          <a:off x="9123973" y="4011168"/>
          <a:ext cx="3826383"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A05FFF0-74A2-4953-980D-E088AA7CD2D4}" type="TxLink">
            <a:rPr lang="en-US" sz="1600" b="0" i="0" u="none" strike="noStrike">
              <a:solidFill>
                <a:srgbClr val="5A6380"/>
              </a:solidFill>
              <a:latin typeface="Aptos Narrow"/>
              <a:ea typeface="+mn-ea"/>
              <a:cs typeface="+mn-cs"/>
            </a:rPr>
            <a:pPr marL="0" indent="0" algn="ctr"/>
            <a:t>Click-Through Rate vs Conversion Rate</a:t>
          </a:fld>
          <a:endParaRPr lang="ru-RU" sz="1600" b="0" i="0" u="none" strike="noStrike">
            <a:solidFill>
              <a:srgbClr val="5A6380"/>
            </a:solidFill>
            <a:latin typeface="Aptos Narrow"/>
            <a:ea typeface="+mn-ea"/>
            <a:cs typeface="+mn-cs"/>
          </a:endParaRPr>
        </a:p>
      </xdr:txBody>
    </xdr:sp>
    <xdr:clientData/>
  </xdr:twoCellAnchor>
  <xdr:twoCellAnchor>
    <xdr:from>
      <xdr:col>15</xdr:col>
      <xdr:colOff>445908</xdr:colOff>
      <xdr:row>23</xdr:row>
      <xdr:rowOff>151638</xdr:rowOff>
    </xdr:from>
    <xdr:to>
      <xdr:col>17</xdr:col>
      <xdr:colOff>273205</xdr:colOff>
      <xdr:row>25</xdr:row>
      <xdr:rowOff>179070</xdr:rowOff>
    </xdr:to>
    <xdr:sp macro="" textlink="Processing!B1">
      <xdr:nvSpPr>
        <xdr:cNvPr id="28" name="TextBox 27">
          <a:extLst>
            <a:ext uri="{FF2B5EF4-FFF2-40B4-BE49-F238E27FC236}">
              <a16:creationId xmlns:a16="http://schemas.microsoft.com/office/drawing/2014/main" id="{C14E65B8-2887-435F-B1C6-2F54BC7E6C86}"/>
            </a:ext>
          </a:extLst>
        </xdr:cNvPr>
        <xdr:cNvSpPr txBox="1"/>
      </xdr:nvSpPr>
      <xdr:spPr>
        <a:xfrm>
          <a:off x="9589908" y="4357878"/>
          <a:ext cx="1046497"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29BB49C-440A-4B2A-A614-2FC32AB014BB}" type="TxLink">
            <a:rPr lang="en-US" sz="1200" b="0" i="0" u="none" strike="noStrike">
              <a:solidFill>
                <a:srgbClr val="5A6380"/>
              </a:solidFill>
              <a:latin typeface="Aptos Narrow"/>
              <a:ea typeface="+mn-ea"/>
              <a:cs typeface="+mn-cs"/>
            </a:rPr>
            <a:pPr marL="0" indent="0" algn="ctr"/>
            <a:t>CTR</a:t>
          </a:fld>
          <a:endParaRPr lang="ru-RU" sz="1200" b="0" i="0" u="none" strike="noStrike">
            <a:solidFill>
              <a:srgbClr val="5A6380"/>
            </a:solidFill>
            <a:latin typeface="Aptos Narrow"/>
            <a:ea typeface="+mn-ea"/>
            <a:cs typeface="+mn-cs"/>
          </a:endParaRPr>
        </a:p>
      </xdr:txBody>
    </xdr:sp>
    <xdr:clientData/>
  </xdr:twoCellAnchor>
  <xdr:twoCellAnchor>
    <xdr:from>
      <xdr:col>16</xdr:col>
      <xdr:colOff>491628</xdr:colOff>
      <xdr:row>23</xdr:row>
      <xdr:rowOff>151638</xdr:rowOff>
    </xdr:from>
    <xdr:to>
      <xdr:col>18</xdr:col>
      <xdr:colOff>318925</xdr:colOff>
      <xdr:row>25</xdr:row>
      <xdr:rowOff>179070</xdr:rowOff>
    </xdr:to>
    <xdr:sp macro="" textlink="Processing!D14">
      <xdr:nvSpPr>
        <xdr:cNvPr id="29" name="TextBox 28">
          <a:extLst>
            <a:ext uri="{FF2B5EF4-FFF2-40B4-BE49-F238E27FC236}">
              <a16:creationId xmlns:a16="http://schemas.microsoft.com/office/drawing/2014/main" id="{9D44DE3D-45BD-4401-9BCD-6331D2D4046D}"/>
            </a:ext>
          </a:extLst>
        </xdr:cNvPr>
        <xdr:cNvSpPr txBox="1"/>
      </xdr:nvSpPr>
      <xdr:spPr>
        <a:xfrm>
          <a:off x="10245228" y="4357878"/>
          <a:ext cx="1046497"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C5A7813-CAE0-4368-A99E-A30786CEBF22}" type="TxLink">
            <a:rPr lang="en-US" sz="2000" b="0" i="0" u="none" strike="noStrike">
              <a:solidFill>
                <a:srgbClr val="00E5BB"/>
              </a:solidFill>
              <a:latin typeface="Aptos Narrow"/>
              <a:ea typeface="+mn-ea"/>
              <a:cs typeface="+mn-cs"/>
            </a:rPr>
            <a:pPr marL="0" indent="0" algn="l"/>
            <a:t>8.3%</a:t>
          </a:fld>
          <a:endParaRPr lang="ru-RU" sz="2000" b="0" i="0" u="none" strike="noStrike">
            <a:solidFill>
              <a:srgbClr val="00E5BB"/>
            </a:solidFill>
            <a:latin typeface="Aptos Narrow"/>
            <a:ea typeface="+mn-ea"/>
            <a:cs typeface="+mn-cs"/>
          </a:endParaRPr>
        </a:p>
      </xdr:txBody>
    </xdr:sp>
    <xdr:clientData/>
  </xdr:twoCellAnchor>
  <xdr:twoCellAnchor>
    <xdr:from>
      <xdr:col>17</xdr:col>
      <xdr:colOff>477403</xdr:colOff>
      <xdr:row>23</xdr:row>
      <xdr:rowOff>144018</xdr:rowOff>
    </xdr:from>
    <xdr:to>
      <xdr:col>19</xdr:col>
      <xdr:colOff>409350</xdr:colOff>
      <xdr:row>25</xdr:row>
      <xdr:rowOff>171450</xdr:rowOff>
    </xdr:to>
    <xdr:sp macro="" textlink="Processing!C1">
      <xdr:nvSpPr>
        <xdr:cNvPr id="30" name="TextBox 29">
          <a:extLst>
            <a:ext uri="{FF2B5EF4-FFF2-40B4-BE49-F238E27FC236}">
              <a16:creationId xmlns:a16="http://schemas.microsoft.com/office/drawing/2014/main" id="{20DFD734-F714-4BD9-8C10-C240159FC87E}"/>
            </a:ext>
          </a:extLst>
        </xdr:cNvPr>
        <xdr:cNvSpPr txBox="1"/>
      </xdr:nvSpPr>
      <xdr:spPr>
        <a:xfrm>
          <a:off x="10840603" y="4350258"/>
          <a:ext cx="1151147"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E7656B9-8258-4CA3-837E-E0DBACA09C59}" type="TxLink">
            <a:rPr lang="en-US" sz="1200" b="0" i="0" u="none" strike="noStrike">
              <a:solidFill>
                <a:srgbClr val="5A6380"/>
              </a:solidFill>
              <a:latin typeface="Aptos Narrow"/>
              <a:ea typeface="+mn-ea"/>
              <a:cs typeface="+mn-cs"/>
            </a:rPr>
            <a:pPr marL="0" indent="0" algn="ctr"/>
            <a:t>CR</a:t>
          </a:fld>
          <a:endParaRPr lang="ru-RU" sz="1200" b="0" i="0" u="none" strike="noStrike">
            <a:solidFill>
              <a:srgbClr val="5A6380"/>
            </a:solidFill>
            <a:latin typeface="Aptos Narrow"/>
            <a:ea typeface="+mn-ea"/>
            <a:cs typeface="+mn-cs"/>
          </a:endParaRPr>
        </a:p>
      </xdr:txBody>
    </xdr:sp>
    <xdr:clientData/>
  </xdr:twoCellAnchor>
  <xdr:twoCellAnchor>
    <xdr:from>
      <xdr:col>18</xdr:col>
      <xdr:colOff>567828</xdr:colOff>
      <xdr:row>23</xdr:row>
      <xdr:rowOff>144018</xdr:rowOff>
    </xdr:from>
    <xdr:to>
      <xdr:col>20</xdr:col>
      <xdr:colOff>395125</xdr:colOff>
      <xdr:row>25</xdr:row>
      <xdr:rowOff>171450</xdr:rowOff>
    </xdr:to>
    <xdr:sp macro="" textlink="Processing!E14">
      <xdr:nvSpPr>
        <xdr:cNvPr id="31" name="TextBox 30">
          <a:extLst>
            <a:ext uri="{FF2B5EF4-FFF2-40B4-BE49-F238E27FC236}">
              <a16:creationId xmlns:a16="http://schemas.microsoft.com/office/drawing/2014/main" id="{BCCF6DD7-9F49-43CC-8485-E2DB49669A3C}"/>
            </a:ext>
          </a:extLst>
        </xdr:cNvPr>
        <xdr:cNvSpPr txBox="1"/>
      </xdr:nvSpPr>
      <xdr:spPr>
        <a:xfrm>
          <a:off x="11540628" y="4350258"/>
          <a:ext cx="1046497"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5007F1C-5E1C-4A72-BC95-03017369EA22}" type="TxLink">
            <a:rPr lang="en-US" sz="2000" b="0" i="0" u="none" strike="noStrike">
              <a:solidFill>
                <a:srgbClr val="8F72FF"/>
              </a:solidFill>
              <a:latin typeface="Aptos Narrow"/>
              <a:ea typeface="+mn-ea"/>
              <a:cs typeface="+mn-cs"/>
            </a:rPr>
            <a:pPr marL="0" indent="0" algn="l"/>
            <a:t>8.3%</a:t>
          </a:fld>
          <a:endParaRPr lang="ru-RU" sz="2000" b="0" i="0" u="none" strike="noStrike">
            <a:solidFill>
              <a:srgbClr val="8F72FF"/>
            </a:solidFill>
            <a:latin typeface="Aptos Narrow"/>
            <a:ea typeface="+mn-ea"/>
            <a:cs typeface="+mn-cs"/>
          </a:endParaRPr>
        </a:p>
      </xdr:txBody>
    </xdr:sp>
    <xdr:clientData/>
  </xdr:twoCellAnchor>
  <xdr:twoCellAnchor>
    <xdr:from>
      <xdr:col>9</xdr:col>
      <xdr:colOff>251054</xdr:colOff>
      <xdr:row>28</xdr:row>
      <xdr:rowOff>117348</xdr:rowOff>
    </xdr:from>
    <xdr:to>
      <xdr:col>14</xdr:col>
      <xdr:colOff>365354</xdr:colOff>
      <xdr:row>30</xdr:row>
      <xdr:rowOff>144780</xdr:rowOff>
    </xdr:to>
    <xdr:sp macro="" textlink="Processing!P6">
      <xdr:nvSpPr>
        <xdr:cNvPr id="32" name="TextBox 31">
          <a:extLst>
            <a:ext uri="{FF2B5EF4-FFF2-40B4-BE49-F238E27FC236}">
              <a16:creationId xmlns:a16="http://schemas.microsoft.com/office/drawing/2014/main" id="{7BE3983A-2290-485B-BAAD-435D4A9CFF97}"/>
            </a:ext>
          </a:extLst>
        </xdr:cNvPr>
        <xdr:cNvSpPr txBox="1"/>
      </xdr:nvSpPr>
      <xdr:spPr>
        <a:xfrm>
          <a:off x="5737454" y="5237988"/>
          <a:ext cx="3162300"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C79B3E6-BA78-4C59-989B-FF7104A3890C}" type="TxLink">
            <a:rPr lang="en-US" sz="1600" b="0" i="0" u="none" strike="noStrike">
              <a:solidFill>
                <a:srgbClr val="5A6380"/>
              </a:solidFill>
              <a:latin typeface="Aptos Narrow"/>
              <a:ea typeface="+mn-ea"/>
              <a:cs typeface="+mn-cs"/>
            </a:rPr>
            <a:pPr marL="0" indent="0" algn="ctr"/>
            <a:t>Offer Selection</a:t>
          </a:fld>
          <a:endParaRPr lang="ru-RU" sz="1600" b="0" i="0" u="none" strike="noStrike">
            <a:solidFill>
              <a:srgbClr val="5A6380"/>
            </a:solidFill>
            <a:latin typeface="Aptos Narrow"/>
            <a:ea typeface="+mn-ea"/>
            <a:cs typeface="+mn-cs"/>
          </a:endParaRPr>
        </a:p>
      </xdr:txBody>
    </xdr:sp>
    <xdr:clientData/>
  </xdr:twoCellAnchor>
  <xdr:twoCellAnchor>
    <xdr:from>
      <xdr:col>9</xdr:col>
      <xdr:colOff>567828</xdr:colOff>
      <xdr:row>34</xdr:row>
      <xdr:rowOff>105918</xdr:rowOff>
    </xdr:from>
    <xdr:to>
      <xdr:col>11</xdr:col>
      <xdr:colOff>395125</xdr:colOff>
      <xdr:row>36</xdr:row>
      <xdr:rowOff>133350</xdr:rowOff>
    </xdr:to>
    <xdr:sp macro="" textlink="Processing!O7">
      <xdr:nvSpPr>
        <xdr:cNvPr id="33" name="TextBox 32">
          <a:extLst>
            <a:ext uri="{FF2B5EF4-FFF2-40B4-BE49-F238E27FC236}">
              <a16:creationId xmlns:a16="http://schemas.microsoft.com/office/drawing/2014/main" id="{CE9E84D6-9CFB-46FC-B500-2A5BA9EB25E8}"/>
            </a:ext>
          </a:extLst>
        </xdr:cNvPr>
        <xdr:cNvSpPr txBox="1"/>
      </xdr:nvSpPr>
      <xdr:spPr>
        <a:xfrm>
          <a:off x="6054228" y="6323838"/>
          <a:ext cx="1046497"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DF95A73-1E12-4562-886F-2337959A0090}" type="TxLink">
            <a:rPr lang="en-US" sz="1100" b="0" i="0" u="none" strike="noStrike">
              <a:solidFill>
                <a:srgbClr val="5A6380"/>
              </a:solidFill>
              <a:latin typeface="Aptos Narrow"/>
              <a:ea typeface="+mn-ea"/>
              <a:cs typeface="+mn-cs"/>
            </a:rPr>
            <a:pPr marL="0" indent="0" algn="ctr"/>
            <a:t>Chose Offer A</a:t>
          </a:fld>
          <a:endParaRPr lang="ru-RU" sz="1800" b="0" i="0" u="none" strike="noStrike">
            <a:solidFill>
              <a:srgbClr val="5A6380"/>
            </a:solidFill>
            <a:latin typeface="Aptos Narrow"/>
            <a:ea typeface="+mn-ea"/>
            <a:cs typeface="+mn-cs"/>
          </a:endParaRPr>
        </a:p>
      </xdr:txBody>
    </xdr:sp>
    <xdr:clientData/>
  </xdr:twoCellAnchor>
  <xdr:twoCellAnchor>
    <xdr:from>
      <xdr:col>12</xdr:col>
      <xdr:colOff>209688</xdr:colOff>
      <xdr:row>34</xdr:row>
      <xdr:rowOff>105918</xdr:rowOff>
    </xdr:from>
    <xdr:to>
      <xdr:col>14</xdr:col>
      <xdr:colOff>36985</xdr:colOff>
      <xdr:row>36</xdr:row>
      <xdr:rowOff>133350</xdr:rowOff>
    </xdr:to>
    <xdr:sp macro="" textlink="Processing!O8">
      <xdr:nvSpPr>
        <xdr:cNvPr id="34" name="TextBox 33">
          <a:extLst>
            <a:ext uri="{FF2B5EF4-FFF2-40B4-BE49-F238E27FC236}">
              <a16:creationId xmlns:a16="http://schemas.microsoft.com/office/drawing/2014/main" id="{354D1F14-A586-4000-9B9A-C4259538F9B7}"/>
            </a:ext>
          </a:extLst>
        </xdr:cNvPr>
        <xdr:cNvSpPr txBox="1"/>
      </xdr:nvSpPr>
      <xdr:spPr>
        <a:xfrm>
          <a:off x="7524888" y="6323838"/>
          <a:ext cx="1046497"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7EC0A27-5E30-4573-A3B3-29AB665A4667}" type="TxLink">
            <a:rPr lang="en-US" sz="1100" b="0" i="0" u="none" strike="noStrike">
              <a:solidFill>
                <a:srgbClr val="5A6380"/>
              </a:solidFill>
              <a:latin typeface="Aptos Narrow"/>
              <a:ea typeface="+mn-ea"/>
              <a:cs typeface="+mn-cs"/>
            </a:rPr>
            <a:pPr marL="0" indent="0" algn="ctr"/>
            <a:t>Chose Offer B</a:t>
          </a:fld>
          <a:endParaRPr lang="ru-RU" sz="1100" b="0" i="0" u="none" strike="noStrike">
            <a:solidFill>
              <a:srgbClr val="5A6380"/>
            </a:solidFill>
            <a:latin typeface="Aptos Narrow"/>
            <a:ea typeface="+mn-ea"/>
            <a:cs typeface="+mn-cs"/>
          </a:endParaRPr>
        </a:p>
      </xdr:txBody>
    </xdr:sp>
    <xdr:clientData/>
  </xdr:twoCellAnchor>
  <xdr:twoCellAnchor>
    <xdr:from>
      <xdr:col>9</xdr:col>
      <xdr:colOff>567828</xdr:colOff>
      <xdr:row>33</xdr:row>
      <xdr:rowOff>52578</xdr:rowOff>
    </xdr:from>
    <xdr:to>
      <xdr:col>11</xdr:col>
      <xdr:colOff>395125</xdr:colOff>
      <xdr:row>35</xdr:row>
      <xdr:rowOff>80010</xdr:rowOff>
    </xdr:to>
    <xdr:sp macro="" textlink="Processing!P7">
      <xdr:nvSpPr>
        <xdr:cNvPr id="35" name="TextBox 34">
          <a:extLst>
            <a:ext uri="{FF2B5EF4-FFF2-40B4-BE49-F238E27FC236}">
              <a16:creationId xmlns:a16="http://schemas.microsoft.com/office/drawing/2014/main" id="{D84ED4C2-07DA-49CD-8C49-75BA006279B7}"/>
            </a:ext>
          </a:extLst>
        </xdr:cNvPr>
        <xdr:cNvSpPr txBox="1"/>
      </xdr:nvSpPr>
      <xdr:spPr>
        <a:xfrm>
          <a:off x="6054228" y="6087618"/>
          <a:ext cx="1046497"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EDE4873-1EAB-4405-A579-9F82DC363E30}" type="TxLink">
            <a:rPr lang="en-US" sz="2000" b="0" i="0" u="none" strike="noStrike">
              <a:solidFill>
                <a:srgbClr val="5A6380"/>
              </a:solidFill>
              <a:latin typeface="Aptos Narrow"/>
              <a:ea typeface="+mn-ea"/>
              <a:cs typeface="+mn-cs"/>
            </a:rPr>
            <a:pPr marL="0" indent="0" algn="ctr"/>
            <a:t>55%</a:t>
          </a:fld>
          <a:endParaRPr lang="ru-RU" sz="6000" b="0" i="0" u="none" strike="noStrike">
            <a:solidFill>
              <a:srgbClr val="5A6380"/>
            </a:solidFill>
            <a:latin typeface="Aptos Narrow"/>
            <a:ea typeface="+mn-ea"/>
            <a:cs typeface="+mn-cs"/>
          </a:endParaRPr>
        </a:p>
      </xdr:txBody>
    </xdr:sp>
    <xdr:clientData/>
  </xdr:twoCellAnchor>
  <xdr:twoCellAnchor>
    <xdr:from>
      <xdr:col>12</xdr:col>
      <xdr:colOff>209688</xdr:colOff>
      <xdr:row>33</xdr:row>
      <xdr:rowOff>52578</xdr:rowOff>
    </xdr:from>
    <xdr:to>
      <xdr:col>14</xdr:col>
      <xdr:colOff>36985</xdr:colOff>
      <xdr:row>35</xdr:row>
      <xdr:rowOff>80010</xdr:rowOff>
    </xdr:to>
    <xdr:sp macro="" textlink="Processing!P8">
      <xdr:nvSpPr>
        <xdr:cNvPr id="36" name="TextBox 35">
          <a:extLst>
            <a:ext uri="{FF2B5EF4-FFF2-40B4-BE49-F238E27FC236}">
              <a16:creationId xmlns:a16="http://schemas.microsoft.com/office/drawing/2014/main" id="{EA419DA0-9D63-4CA6-AC60-8EB39B94003D}"/>
            </a:ext>
          </a:extLst>
        </xdr:cNvPr>
        <xdr:cNvSpPr txBox="1"/>
      </xdr:nvSpPr>
      <xdr:spPr>
        <a:xfrm>
          <a:off x="7524888" y="6087618"/>
          <a:ext cx="1046497"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A9F3461-B3A5-4F29-A29A-4C2EA75B08DC}" type="TxLink">
            <a:rPr lang="en-US" sz="2000" b="0" i="0" u="none" strike="noStrike">
              <a:solidFill>
                <a:srgbClr val="5A6380"/>
              </a:solidFill>
              <a:latin typeface="Aptos Narrow"/>
              <a:ea typeface="+mn-ea"/>
              <a:cs typeface="+mn-cs"/>
            </a:rPr>
            <a:pPr marL="0" indent="0" algn="ctr"/>
            <a:t>63%</a:t>
          </a:fld>
          <a:endParaRPr lang="ru-RU" sz="4000" b="0" i="0" u="none" strike="noStrike">
            <a:solidFill>
              <a:srgbClr val="5A6380"/>
            </a:solidFill>
            <a:latin typeface="Aptos Narrow"/>
            <a:ea typeface="+mn-ea"/>
            <a:cs typeface="+mn-cs"/>
          </a:endParaRPr>
        </a:p>
      </xdr:txBody>
    </xdr:sp>
    <xdr:clientData/>
  </xdr:twoCellAnchor>
  <xdr:twoCellAnchor>
    <xdr:from>
      <xdr:col>3</xdr:col>
      <xdr:colOff>57151</xdr:colOff>
      <xdr:row>28</xdr:row>
      <xdr:rowOff>117348</xdr:rowOff>
    </xdr:from>
    <xdr:to>
      <xdr:col>8</xdr:col>
      <xdr:colOff>171451</xdr:colOff>
      <xdr:row>30</xdr:row>
      <xdr:rowOff>144780</xdr:rowOff>
    </xdr:to>
    <xdr:sp macro="" textlink="Processing!O10">
      <xdr:nvSpPr>
        <xdr:cNvPr id="37" name="TextBox 36">
          <a:extLst>
            <a:ext uri="{FF2B5EF4-FFF2-40B4-BE49-F238E27FC236}">
              <a16:creationId xmlns:a16="http://schemas.microsoft.com/office/drawing/2014/main" id="{0DEA99F3-C459-4393-BA0E-E471AC5B4360}"/>
            </a:ext>
          </a:extLst>
        </xdr:cNvPr>
        <xdr:cNvSpPr txBox="1"/>
      </xdr:nvSpPr>
      <xdr:spPr>
        <a:xfrm>
          <a:off x="1885951" y="5237988"/>
          <a:ext cx="3162300" cy="39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E3E2A48-7ED6-4F60-8494-9178FCC4042F}" type="TxLink">
            <a:rPr lang="en-US" sz="1600" b="0" i="0" u="none" strike="noStrike">
              <a:solidFill>
                <a:srgbClr val="5A6380"/>
              </a:solidFill>
              <a:latin typeface="Aptos Narrow"/>
              <a:ea typeface="+mn-ea"/>
              <a:cs typeface="+mn-cs"/>
            </a:rPr>
            <a:pPr marL="0" indent="0" algn="ctr"/>
            <a:t>Seasonal Benchmark for Current Month</a:t>
          </a:fld>
          <a:endParaRPr lang="ru-RU" sz="1600" b="0" i="0" u="none" strike="noStrike">
            <a:solidFill>
              <a:srgbClr val="5A6380"/>
            </a:solidFill>
            <a:latin typeface="Aptos Narrow"/>
            <a:ea typeface="+mn-ea"/>
            <a:cs typeface="+mn-cs"/>
          </a:endParaRPr>
        </a:p>
      </xdr:txBody>
    </xdr:sp>
    <xdr:clientData/>
  </xdr:twoCellAnchor>
  <xdr:twoCellAnchor>
    <xdr:from>
      <xdr:col>6</xdr:col>
      <xdr:colOff>563880</xdr:colOff>
      <xdr:row>0</xdr:row>
      <xdr:rowOff>60960</xdr:rowOff>
    </xdr:from>
    <xdr:to>
      <xdr:col>16</xdr:col>
      <xdr:colOff>411480</xdr:colOff>
      <xdr:row>3</xdr:row>
      <xdr:rowOff>30480</xdr:rowOff>
    </xdr:to>
    <xdr:sp macro="" textlink="Processing!A14">
      <xdr:nvSpPr>
        <xdr:cNvPr id="38" name="TextBox 37" hidden="1">
          <a:extLst>
            <a:ext uri="{FF2B5EF4-FFF2-40B4-BE49-F238E27FC236}">
              <a16:creationId xmlns:a16="http://schemas.microsoft.com/office/drawing/2014/main" id="{0B2CF2D8-0202-4F8A-8D42-7CE89ADDDA1D}"/>
            </a:ext>
          </a:extLst>
        </xdr:cNvPr>
        <xdr:cNvSpPr txBox="1"/>
      </xdr:nvSpPr>
      <xdr:spPr>
        <a:xfrm>
          <a:off x="4221480" y="60960"/>
          <a:ext cx="594360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4D2D6F0-E2AB-474C-B0DD-1FD1C2709114}" type="TxLink">
            <a:rPr lang="en-US" sz="2800" b="0" i="0" u="none" strike="noStrike">
              <a:solidFill>
                <a:srgbClr val="5A6380"/>
              </a:solidFill>
              <a:latin typeface="Aptos Narrow"/>
              <a:ea typeface="+mn-ea"/>
              <a:cs typeface="+mn-cs"/>
            </a:rPr>
            <a:pPr marL="0" indent="0"/>
            <a:t>Advertising Effectiveness Dashboard</a:t>
          </a:fld>
          <a:endParaRPr lang="ru-RU" sz="5400" b="0" i="0" u="none" strike="noStrike">
            <a:solidFill>
              <a:srgbClr val="5A6380"/>
            </a:solidFill>
            <a:latin typeface="Aptos Narrow"/>
            <a:ea typeface="+mn-ea"/>
            <a:cs typeface="+mn-cs"/>
          </a:endParaRPr>
        </a:p>
      </xdr:txBody>
    </xdr:sp>
    <xdr:clientData/>
  </xdr:twoCellAnchor>
  <xdr:twoCellAnchor editAs="oneCell">
    <xdr:from>
      <xdr:col>19</xdr:col>
      <xdr:colOff>251460</xdr:colOff>
      <xdr:row>1</xdr:row>
      <xdr:rowOff>7620</xdr:rowOff>
    </xdr:from>
    <xdr:to>
      <xdr:col>19</xdr:col>
      <xdr:colOff>525780</xdr:colOff>
      <xdr:row>2</xdr:row>
      <xdr:rowOff>99060</xdr:rowOff>
    </xdr:to>
    <xdr:pic>
      <xdr:nvPicPr>
        <xdr:cNvPr id="41" name="Graphic 40" descr="Sun with solid fill">
          <a:extLst>
            <a:ext uri="{FF2B5EF4-FFF2-40B4-BE49-F238E27FC236}">
              <a16:creationId xmlns:a16="http://schemas.microsoft.com/office/drawing/2014/main" id="{58F264DC-31EE-4C41-8118-55BBF70B63C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833860" y="190500"/>
          <a:ext cx="274320" cy="274320"/>
        </a:xfrm>
        <a:prstGeom prst="rect">
          <a:avLst/>
        </a:prstGeom>
      </xdr:spPr>
    </xdr:pic>
    <xdr:clientData/>
  </xdr:twoCellAnchor>
  <xdr:twoCellAnchor editAs="oneCell">
    <xdr:from>
      <xdr:col>20</xdr:col>
      <xdr:colOff>266700</xdr:colOff>
      <xdr:row>1</xdr:row>
      <xdr:rowOff>7620</xdr:rowOff>
    </xdr:from>
    <xdr:to>
      <xdr:col>20</xdr:col>
      <xdr:colOff>541020</xdr:colOff>
      <xdr:row>2</xdr:row>
      <xdr:rowOff>99060</xdr:rowOff>
    </xdr:to>
    <xdr:pic>
      <xdr:nvPicPr>
        <xdr:cNvPr id="42" name="Graphic 41" descr="Moon and stars with solid fill">
          <a:hlinkClick xmlns:r="http://schemas.openxmlformats.org/officeDocument/2006/relationships" r:id="rId9"/>
          <a:extLst>
            <a:ext uri="{FF2B5EF4-FFF2-40B4-BE49-F238E27FC236}">
              <a16:creationId xmlns:a16="http://schemas.microsoft.com/office/drawing/2014/main" id="{1BEDCA2A-CA38-4B19-8529-94C48117EF8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2458700" y="190500"/>
          <a:ext cx="274320" cy="274320"/>
        </a:xfrm>
        <a:prstGeom prst="rect">
          <a:avLst/>
        </a:prstGeom>
      </xdr:spPr>
    </xdr:pic>
    <xdr:clientData/>
  </xdr:twoCellAnchor>
  <xdr:twoCellAnchor>
    <xdr:from>
      <xdr:col>14</xdr:col>
      <xdr:colOff>525780</xdr:colOff>
      <xdr:row>20</xdr:row>
      <xdr:rowOff>167640</xdr:rowOff>
    </xdr:from>
    <xdr:to>
      <xdr:col>21</xdr:col>
      <xdr:colOff>198120</xdr:colOff>
      <xdr:row>40</xdr:row>
      <xdr:rowOff>7620</xdr:rowOff>
    </xdr:to>
    <xdr:sp macro="" textlink="">
      <xdr:nvSpPr>
        <xdr:cNvPr id="43" name="Rectangle 42">
          <a:hlinkClick xmlns:r="http://schemas.openxmlformats.org/officeDocument/2006/relationships" r:id="rId12"/>
          <a:extLst>
            <a:ext uri="{FF2B5EF4-FFF2-40B4-BE49-F238E27FC236}">
              <a16:creationId xmlns:a16="http://schemas.microsoft.com/office/drawing/2014/main" id="{CA027E62-F43A-B087-A167-C2CAF0FBCB27}"/>
            </a:ext>
          </a:extLst>
        </xdr:cNvPr>
        <xdr:cNvSpPr/>
      </xdr:nvSpPr>
      <xdr:spPr>
        <a:xfrm>
          <a:off x="9060180" y="3825240"/>
          <a:ext cx="3939540" cy="34975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3</xdr:col>
      <xdr:colOff>396240</xdr:colOff>
      <xdr:row>23</xdr:row>
      <xdr:rowOff>137160</xdr:rowOff>
    </xdr:from>
    <xdr:to>
      <xdr:col>14</xdr:col>
      <xdr:colOff>164592</xdr:colOff>
      <xdr:row>26</xdr:row>
      <xdr:rowOff>9144</xdr:rowOff>
    </xdr:to>
    <mc:AlternateContent xmlns:mc="http://schemas.openxmlformats.org/markup-compatibility/2006" xmlns:a14="http://schemas.microsoft.com/office/drawing/2010/main">
      <mc:Choice Requires="a14">
        <xdr:graphicFrame macro="">
          <xdr:nvGraphicFramePr>
            <xdr:cNvPr id="44" name="Month 3">
              <a:extLst>
                <a:ext uri="{FF2B5EF4-FFF2-40B4-BE49-F238E27FC236}">
                  <a16:creationId xmlns:a16="http://schemas.microsoft.com/office/drawing/2014/main" id="{C7A1976A-B1D4-48C9-96D6-2EFD5E6BF133}"/>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2225040" y="4343400"/>
              <a:ext cx="6473952" cy="420624"/>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403860</xdr:colOff>
      <xdr:row>4</xdr:row>
      <xdr:rowOff>121920</xdr:rowOff>
    </xdr:from>
    <xdr:to>
      <xdr:col>14</xdr:col>
      <xdr:colOff>205740</xdr:colOff>
      <xdr:row>7</xdr:row>
      <xdr:rowOff>12192</xdr:rowOff>
    </xdr:to>
    <mc:AlternateContent xmlns:mc="http://schemas.openxmlformats.org/markup-compatibility/2006" xmlns:a14="http://schemas.microsoft.com/office/drawing/2010/main">
      <mc:Choice Requires="a14">
        <xdr:graphicFrame macro="">
          <xdr:nvGraphicFramePr>
            <xdr:cNvPr id="45" name="Year 3">
              <a:extLst>
                <a:ext uri="{FF2B5EF4-FFF2-40B4-BE49-F238E27FC236}">
                  <a16:creationId xmlns:a16="http://schemas.microsoft.com/office/drawing/2014/main" id="{A623CB81-7A2D-470E-8C94-991A77CB0563}"/>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6499860" y="853440"/>
              <a:ext cx="2240280" cy="438912"/>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777.742298958336" createdVersion="8" refreshedVersion="8" minRefreshableVersion="3" recordCount="48" xr:uid="{B5ADB736-9962-4C60-8B30-B349B94960E4}">
  <cacheSource type="worksheet">
    <worksheetSource name="mydata"/>
  </cacheSource>
  <cacheFields count="14">
    <cacheField name="Year" numFmtId="0">
      <sharedItems containsSemiMixedTypes="0" containsString="0" containsNumber="1" containsInteger="1" minValue="2025" maxValue="2028" count="4">
        <n v="2025"/>
        <n v="2026"/>
        <n v="2027"/>
        <n v="2028"/>
      </sharedItems>
    </cacheField>
    <cacheField name="Month" numFmtId="0">
      <sharedItems count="12">
        <s v="JAN"/>
        <s v="FEB"/>
        <s v="MAR"/>
        <s v="APR"/>
        <s v="MAY"/>
        <s v="JUN"/>
        <s v="JUL"/>
        <s v="AUG"/>
        <s v="SEP"/>
        <s v="OCT"/>
        <s v="NOV"/>
        <s v="DEC"/>
      </sharedItems>
    </cacheField>
    <cacheField name="CTR" numFmtId="9">
      <sharedItems containsSemiMixedTypes="0" containsString="0" containsNumber="1" minValue="4.8032593545620242E-2" maxValue="0.11900932775812158"/>
    </cacheField>
    <cacheField name="CR" numFmtId="9">
      <sharedItems containsSemiMixedTypes="0" containsString="0" containsNumber="1" minValue="5.7770075101097634E-2" maxValue="0.12420566146735991"/>
    </cacheField>
    <cacheField name="Ads. Expenses" numFmtId="166">
      <sharedItems containsSemiMixedTypes="0" containsString="0" containsNumber="1" containsInteger="1" minValue="4480" maxValue="11350"/>
    </cacheField>
    <cacheField name="Ads. Revenue" numFmtId="166">
      <sharedItems containsSemiMixedTypes="0" containsString="0" containsNumber="1" containsInteger="1" minValue="4000" maxValue="8800"/>
    </cacheField>
    <cacheField name="Watched Video" numFmtId="9">
      <sharedItems containsSemiMixedTypes="0" containsString="0" containsNumber="1" minValue="0.2" maxValue="0.6"/>
    </cacheField>
    <cacheField name="Button Click Rate" numFmtId="9">
      <sharedItems containsSemiMixedTypes="0" containsString="0" containsNumber="1" minValue="0.12" maxValue="0.4"/>
    </cacheField>
    <cacheField name="Did Not Convert" numFmtId="9">
      <sharedItems containsSemiMixedTypes="0" containsString="0" containsNumber="1" minValue="2.0000000000000018E-2" maxValue="0.65"/>
    </cacheField>
    <cacheField name="Chose Offer A" numFmtId="9">
      <sharedItems containsSemiMixedTypes="0" containsString="0" containsNumber="1" minValue="0.4" maxValue="0.75"/>
    </cacheField>
    <cacheField name="Chose Offer B" numFmtId="9">
      <sharedItems containsSemiMixedTypes="0" containsString="0" containsNumber="1" minValue="0.46" maxValue="0.8"/>
    </cacheField>
    <cacheField name="CR2" numFmtId="0">
      <sharedItems containsSemiMixedTypes="0" containsString="0" containsNumber="1" minValue="0.03" maxValue="5.2999999999999999E-2"/>
    </cacheField>
    <cacheField name="Bounce Rate" numFmtId="0">
      <sharedItems containsSemiMixedTypes="0" containsString="0" containsNumber="1" minValue="5.0000000000000001E-3" maxValue="2.5000000000000001E-2"/>
    </cacheField>
    <cacheField name="CTR2" numFmtId="0">
      <sharedItems containsSemiMixedTypes="0" containsString="0" containsNumber="1" minValue="3.1E-2" maxValue="5.5E-2"/>
    </cacheField>
  </cacheFields>
  <extLst>
    <ext xmlns:x14="http://schemas.microsoft.com/office/spreadsheetml/2009/9/main" uri="{725AE2AE-9491-48be-B2B4-4EB974FC3084}">
      <x14:pivotCacheDefinition pivotCacheId="10979715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n v="6.3257210249812373E-2"/>
    <n v="7.7971583689499829E-2"/>
    <n v="9300"/>
    <n v="7600"/>
    <n v="0.21"/>
    <n v="0.14000000000000001"/>
    <n v="0.65"/>
    <n v="0.54"/>
    <n v="0.68"/>
    <n v="4.9000000000000002E-2"/>
    <n v="6.0000000000000001E-3"/>
    <n v="3.9E-2"/>
  </r>
  <r>
    <x v="0"/>
    <x v="1"/>
    <n v="8.6951860190843791E-2"/>
    <n v="7.2311424280928724E-2"/>
    <n v="9550"/>
    <n v="6400"/>
    <n v="0.43"/>
    <n v="0.28999999999999998"/>
    <n v="0.28000000000000003"/>
    <n v="0.5"/>
    <n v="0.67"/>
    <n v="4.5999999999999999E-2"/>
    <n v="1.6E-2"/>
    <n v="5.3999999999999999E-2"/>
  </r>
  <r>
    <x v="0"/>
    <x v="2"/>
    <n v="9.0382759729816659E-2"/>
    <n v="7.9357745177313158E-2"/>
    <n v="10800"/>
    <n v="4960"/>
    <n v="0.3"/>
    <n v="0.25"/>
    <n v="0.44999999999999996"/>
    <n v="0.4"/>
    <n v="0.8"/>
    <n v="4.2999999999999997E-2"/>
    <n v="1.7000000000000001E-2"/>
    <n v="4.5999999999999999E-2"/>
  </r>
  <r>
    <x v="0"/>
    <x v="3"/>
    <n v="7.8481826954004505E-2"/>
    <n v="9.0793577451773133E-2"/>
    <n v="11350"/>
    <n v="4000"/>
    <n v="0.4"/>
    <n v="0.23"/>
    <n v="0.37"/>
    <n v="0.69"/>
    <n v="0.71"/>
    <n v="3.9E-2"/>
    <n v="8.0000000000000002E-3"/>
    <n v="0.04"/>
  </r>
  <r>
    <x v="0"/>
    <x v="4"/>
    <n v="6.1220113648547229E-2"/>
    <n v="8.4902391128566485E-2"/>
    <n v="9900"/>
    <n v="5120"/>
    <n v="0.57999999999999996"/>
    <n v="0.4"/>
    <n v="2.0000000000000018E-2"/>
    <n v="0.71"/>
    <n v="0.8"/>
    <n v="3.2000000000000001E-2"/>
    <n v="8.9999999999999993E-3"/>
    <n v="3.5999999999999997E-2"/>
  </r>
  <r>
    <x v="0"/>
    <x v="5"/>
    <n v="4.8032593545620242E-2"/>
    <n v="7.0925262793115396E-2"/>
    <n v="5450"/>
    <n v="6480"/>
    <n v="0.43"/>
    <n v="0.19"/>
    <n v="0.38"/>
    <n v="0.69"/>
    <n v="0.77"/>
    <n v="0.03"/>
    <n v="2.1000000000000001E-2"/>
    <n v="4.5999999999999999E-2"/>
  </r>
  <r>
    <x v="0"/>
    <x v="6"/>
    <n v="5.5966548729495018E-2"/>
    <n v="6.6997805244310968E-2"/>
    <n v="4700"/>
    <n v="7840"/>
    <n v="0.52"/>
    <n v="0.21"/>
    <n v="0.27"/>
    <n v="0.69"/>
    <n v="0.67"/>
    <n v="4.2000000000000003E-2"/>
    <n v="1.7000000000000001E-2"/>
    <n v="0.04"/>
  </r>
  <r>
    <x v="0"/>
    <x v="7"/>
    <n v="0.10367749544333656"/>
    <n v="7.589234145777983E-2"/>
    <n v="5980"/>
    <n v="8800"/>
    <n v="0.35"/>
    <n v="0.15"/>
    <n v="0.5"/>
    <n v="0.66"/>
    <n v="0.7"/>
    <n v="3.5999999999999997E-2"/>
    <n v="2.1000000000000001E-2"/>
    <n v="0.04"/>
  </r>
  <r>
    <x v="0"/>
    <x v="8"/>
    <n v="0.11900932775812158"/>
    <n v="9.3450386970082011E-2"/>
    <n v="7550"/>
    <n v="8240"/>
    <n v="0.34"/>
    <n v="0.2"/>
    <n v="0.45999999999999996"/>
    <n v="0.72"/>
    <n v="0.47"/>
    <n v="3.9E-2"/>
    <n v="2.1000000000000001E-2"/>
    <n v="3.1E-2"/>
  </r>
  <r>
    <x v="0"/>
    <x v="9"/>
    <n v="0.11321968478610486"/>
    <n v="0.10373108467136422"/>
    <n v="8510"/>
    <n v="6800"/>
    <n v="0.59"/>
    <n v="0.31"/>
    <n v="0.10000000000000009"/>
    <n v="0.56000000000000005"/>
    <n v="0.59"/>
    <n v="4.4999999999999998E-2"/>
    <n v="5.0000000000000001E-3"/>
    <n v="0.04"/>
  </r>
  <r>
    <x v="0"/>
    <x v="10"/>
    <n v="8.2556020156534793E-2"/>
    <n v="9.8186438720110888E-2"/>
    <n v="8150"/>
    <n v="5360"/>
    <n v="0.45"/>
    <n v="0.17"/>
    <n v="0.38"/>
    <n v="0.57999999999999996"/>
    <n v="0.51"/>
    <n v="4.1000000000000002E-2"/>
    <n v="2.5000000000000001E-2"/>
    <n v="3.6999999999999998E-2"/>
  </r>
  <r>
    <x v="0"/>
    <x v="11"/>
    <n v="9.7244558807762407E-2"/>
    <n v="8.5479958415155363E-2"/>
    <n v="6120"/>
    <n v="4160"/>
    <n v="0.3"/>
    <n v="0.24"/>
    <n v="0.45999999999999996"/>
    <n v="0.4"/>
    <n v="0.46"/>
    <n v="4.2000000000000003E-2"/>
    <n v="2.1000000000000001E-2"/>
    <n v="4.2000000000000003E-2"/>
  </r>
  <r>
    <x v="1"/>
    <x v="0"/>
    <n v="8.3333333333333329E-2"/>
    <n v="7.8567302137492773E-2"/>
    <n v="8000"/>
    <n v="6120"/>
    <n v="0.45"/>
    <n v="0.21"/>
    <n v="0.33999999999999997"/>
    <n v="0.69"/>
    <n v="0.61"/>
    <n v="3.3000000000000002E-2"/>
    <n v="1.4999999999999999E-2"/>
    <n v="5.3999999999999999E-2"/>
  </r>
  <r>
    <x v="1"/>
    <x v="1"/>
    <n v="0.10020833333333333"/>
    <n v="7.3367995378393988E-2"/>
    <n v="10270"/>
    <n v="7000"/>
    <n v="0.48"/>
    <n v="0.18"/>
    <n v="0.34000000000000008"/>
    <n v="0.56999999999999995"/>
    <n v="0.71"/>
    <n v="4.1000000000000002E-2"/>
    <n v="1.6E-2"/>
    <n v="4.5999999999999999E-2"/>
  </r>
  <r>
    <x v="1"/>
    <x v="2"/>
    <n v="0.11177083333333333"/>
    <n v="8.0300404390525701E-2"/>
    <n v="10970"/>
    <n v="7400"/>
    <n v="0.32"/>
    <n v="0.24"/>
    <n v="0.43999999999999995"/>
    <n v="0.57999999999999996"/>
    <n v="0.59"/>
    <n v="3.2000000000000001E-2"/>
    <n v="1.4E-2"/>
    <n v="3.1E-2"/>
  </r>
  <r>
    <x v="1"/>
    <x v="3"/>
    <n v="0.11427083333333334"/>
    <n v="8.9543616406701332E-2"/>
    <n v="9620"/>
    <n v="6680"/>
    <n v="0.35"/>
    <n v="0.21"/>
    <n v="0.44000000000000006"/>
    <n v="0.44"/>
    <n v="0.79"/>
    <n v="4.3999999999999997E-2"/>
    <n v="0.02"/>
    <n v="4.2000000000000003E-2"/>
  </r>
  <r>
    <x v="1"/>
    <x v="4"/>
    <n v="0.10697916666666667"/>
    <n v="8.3188908145580595E-2"/>
    <n v="7150"/>
    <n v="5440"/>
    <n v="0.34"/>
    <n v="0.14000000000000001"/>
    <n v="0.52"/>
    <n v="0.61"/>
    <n v="0.64"/>
    <n v="3.9E-2"/>
    <n v="1.2E-2"/>
    <n v="0.04"/>
  </r>
  <r>
    <x v="1"/>
    <x v="5"/>
    <n v="9.2187500000000006E-2"/>
    <n v="6.9324090121317156E-2"/>
    <n v="5270"/>
    <n v="4816"/>
    <n v="0.42"/>
    <n v="0.35"/>
    <n v="0.22999999999999998"/>
    <n v="0.42"/>
    <n v="0.59"/>
    <n v="4.7E-2"/>
    <n v="1.0999999999999999E-2"/>
    <n v="4.8000000000000001E-2"/>
  </r>
  <r>
    <x v="1"/>
    <x v="6"/>
    <n v="7.4479166666666666E-2"/>
    <n v="6.8168688619295204E-2"/>
    <n v="5270"/>
    <n v="5080"/>
    <n v="0.21"/>
    <n v="0.16"/>
    <n v="0.63"/>
    <n v="0.4"/>
    <n v="0.67"/>
    <n v="4.2999999999999997E-2"/>
    <n v="1.4999999999999999E-2"/>
    <n v="3.7999999999999999E-2"/>
  </r>
  <r>
    <x v="1"/>
    <x v="7"/>
    <n v="5.9687499999999998E-2"/>
    <n v="7.7411900635470821E-2"/>
    <n v="7150"/>
    <n v="6080"/>
    <n v="0.45"/>
    <n v="0.3"/>
    <n v="0.25"/>
    <n v="0.43"/>
    <n v="0.46"/>
    <n v="3.6999999999999998E-2"/>
    <n v="0.01"/>
    <n v="5.2999999999999999E-2"/>
  </r>
  <r>
    <x v="1"/>
    <x v="8"/>
    <n v="5.2395833333333336E-2"/>
    <n v="9.4742923165800116E-2"/>
    <n v="9620"/>
    <n v="6496"/>
    <n v="0.38"/>
    <n v="0.27"/>
    <n v="0.35"/>
    <n v="0.5"/>
    <n v="0.57999999999999996"/>
    <n v="4.2000000000000003E-2"/>
    <n v="1.6E-2"/>
    <n v="3.4000000000000002E-2"/>
  </r>
  <r>
    <x v="1"/>
    <x v="9"/>
    <n v="5.4895833333333331E-2"/>
    <n v="0.10167533217793183"/>
    <n v="10970"/>
    <n v="5752"/>
    <n v="0.5"/>
    <n v="0.37"/>
    <n v="0.13"/>
    <n v="0.74"/>
    <n v="0.71"/>
    <n v="4.3999999999999997E-2"/>
    <n v="1.4E-2"/>
    <n v="4.1000000000000002E-2"/>
  </r>
  <r>
    <x v="1"/>
    <x v="10"/>
    <n v="6.6458333333333328E-2"/>
    <n v="9.7053726169844021E-2"/>
    <n v="10270"/>
    <n v="5200"/>
    <n v="0.3"/>
    <n v="0.34"/>
    <n v="0.36"/>
    <n v="0.57999999999999996"/>
    <n v="0.61"/>
    <n v="3.3000000000000002E-2"/>
    <n v="2.4E-2"/>
    <n v="3.3000000000000002E-2"/>
  </r>
  <r>
    <x v="1"/>
    <x v="11"/>
    <n v="8.3333333333333329E-2"/>
    <n v="8.6655112651646451E-2"/>
    <n v="8000"/>
    <n v="5640"/>
    <n v="0.42"/>
    <n v="0.12"/>
    <n v="0.45999999999999996"/>
    <n v="0.67"/>
    <n v="0.65"/>
    <n v="4.2000000000000003E-2"/>
    <n v="1.2E-2"/>
    <n v="0.05"/>
  </r>
  <r>
    <x v="2"/>
    <x v="0"/>
    <n v="7.8003120124804995E-2"/>
    <n v="7.8656699765703442E-2"/>
    <n v="8000"/>
    <n v="6000"/>
    <n v="0.6"/>
    <n v="0.2"/>
    <n v="0.19999999999999996"/>
    <n v="0.53"/>
    <n v="0.74"/>
    <n v="3.4000000000000002E-2"/>
    <n v="1.7000000000000001E-2"/>
    <n v="4.2000000000000003E-2"/>
  </r>
  <r>
    <x v="2"/>
    <x v="1"/>
    <n v="0.10013650546021841"/>
    <n v="7.2520361486109561E-2"/>
    <n v="6380"/>
    <n v="6720"/>
    <n v="0.44"/>
    <n v="0.35"/>
    <n v="0.20999999999999996"/>
    <n v="0.57999999999999996"/>
    <n v="0.8"/>
    <n v="4.2000000000000003E-2"/>
    <n v="1.4999999999999999E-2"/>
    <n v="0.05"/>
  </r>
  <r>
    <x v="2"/>
    <x v="2"/>
    <n v="0.10696177847113884"/>
    <n v="8.0218676782327344E-2"/>
    <n v="5270"/>
    <n v="7040"/>
    <n v="0.35"/>
    <n v="0.13"/>
    <n v="0.52"/>
    <n v="0.72"/>
    <n v="0.63"/>
    <n v="4.4999999999999998E-2"/>
    <n v="1.4999999999999999E-2"/>
    <n v="5.2999999999999999E-2"/>
  </r>
  <r>
    <x v="2"/>
    <x v="3"/>
    <n v="9.3798751950078002E-2"/>
    <n v="9.0594666964186096E-2"/>
    <n v="5030"/>
    <n v="6560"/>
    <n v="0.2"/>
    <n v="0.17"/>
    <n v="0.63"/>
    <n v="0.4"/>
    <n v="0.75"/>
    <n v="0.03"/>
    <n v="1.9E-2"/>
    <n v="3.4000000000000002E-2"/>
  </r>
  <r>
    <x v="2"/>
    <x v="4"/>
    <n v="6.9715288611544468E-2"/>
    <n v="8.4793038045297336E-2"/>
    <n v="5730"/>
    <n v="5360"/>
    <n v="0.52"/>
    <n v="0.37"/>
    <n v="0.10999999999999999"/>
    <n v="0.5"/>
    <n v="0.68"/>
    <n v="0.05"/>
    <n v="1.7999999999999999E-2"/>
    <n v="3.1E-2"/>
  </r>
  <r>
    <x v="2"/>
    <x v="5"/>
    <n v="5.1384555382215286E-2"/>
    <n v="7.0846814682583956E-2"/>
    <n v="7150"/>
    <n v="4720"/>
    <n v="0.54"/>
    <n v="0.17"/>
    <n v="0.28999999999999992"/>
    <n v="0.53"/>
    <n v="0.59"/>
    <n v="5.1999999999999998E-2"/>
    <n v="1.9E-2"/>
    <n v="3.1E-2"/>
  </r>
  <r>
    <x v="2"/>
    <x v="6"/>
    <n v="5.1384555382215286E-2"/>
    <n v="6.7165011714827624E-2"/>
    <n v="8850"/>
    <n v="4800"/>
    <n v="0.42"/>
    <n v="0.39"/>
    <n v="0.18999999999999995"/>
    <n v="0.61"/>
    <n v="0.63"/>
    <n v="4.5999999999999999E-2"/>
    <n v="0.02"/>
    <n v="3.2000000000000001E-2"/>
  </r>
  <r>
    <x v="2"/>
    <x v="7"/>
    <n v="6.9715288611544468E-2"/>
    <n v="7.5867455093160771E-2"/>
    <n v="10270"/>
    <n v="5760"/>
    <n v="0.31"/>
    <n v="0.4"/>
    <n v="0.29000000000000004"/>
    <n v="0.67"/>
    <n v="0.78"/>
    <n v="0.03"/>
    <n v="1.0999999999999999E-2"/>
    <n v="3.4000000000000002E-2"/>
  </r>
  <r>
    <x v="2"/>
    <x v="8"/>
    <n v="9.3798751950078002E-2"/>
    <n v="9.3160772062925362E-2"/>
    <n v="10970"/>
    <n v="6200"/>
    <n v="0.57999999999999996"/>
    <n v="0.36"/>
    <n v="6.0000000000000053E-2"/>
    <n v="0.42"/>
    <n v="0.61"/>
    <n v="4.9000000000000002E-2"/>
    <n v="5.0000000000000001E-3"/>
    <n v="4.5999999999999999E-2"/>
  </r>
  <r>
    <x v="2"/>
    <x v="9"/>
    <n v="0.10696177847113884"/>
    <n v="0.10320205288407899"/>
    <n v="10730"/>
    <n v="5560"/>
    <n v="0.51"/>
    <n v="0.36"/>
    <n v="0.13"/>
    <n v="0.6"/>
    <n v="0.71"/>
    <n v="4.2000000000000003E-2"/>
    <n v="8.9999999999999993E-3"/>
    <n v="5.2999999999999999E-2"/>
  </r>
  <r>
    <x v="2"/>
    <x v="10"/>
    <n v="0.10013650546021841"/>
    <n v="9.7623563538993638E-2"/>
    <n v="9620"/>
    <n v="5080"/>
    <n v="0.53"/>
    <n v="0.38"/>
    <n v="8.9999999999999969E-2"/>
    <n v="0.72"/>
    <n v="0.52"/>
    <n v="4.8000000000000001E-2"/>
    <n v="2.3E-2"/>
    <n v="3.4000000000000002E-2"/>
  </r>
  <r>
    <x v="2"/>
    <x v="11"/>
    <n v="7.8003120124804995E-2"/>
    <n v="8.5350886979805862E-2"/>
    <n v="8000"/>
    <n v="5440"/>
    <n v="0.25"/>
    <n v="0.23"/>
    <n v="0.52"/>
    <n v="0.65"/>
    <n v="0.49"/>
    <n v="3.5999999999999997E-2"/>
    <n v="2.1999999999999999E-2"/>
    <n v="4.7E-2"/>
  </r>
  <r>
    <x v="3"/>
    <x v="0"/>
    <n v="6.3750000000000001E-2"/>
    <n v="6.0080878105141539E-2"/>
    <n v="9070"/>
    <n v="5920"/>
    <n v="0.4"/>
    <n v="0.39"/>
    <n v="0.20999999999999996"/>
    <n v="0.56000000000000005"/>
    <n v="0.75"/>
    <n v="4.7E-2"/>
    <n v="5.0000000000000001E-3"/>
    <n v="3.5000000000000003E-2"/>
  </r>
  <r>
    <x v="3"/>
    <x v="1"/>
    <n v="8.4895833333333337E-2"/>
    <n v="7.7411900635470821E-2"/>
    <n v="7700"/>
    <n v="6800"/>
    <n v="0.22"/>
    <n v="0.16"/>
    <n v="0.62"/>
    <n v="0.51"/>
    <n v="0.74"/>
    <n v="3.5000000000000003E-2"/>
    <n v="2.4E-2"/>
    <n v="5.5E-2"/>
  </r>
  <r>
    <x v="3"/>
    <x v="2"/>
    <n v="8.8645833333333326E-2"/>
    <n v="9.8209127671865973E-2"/>
    <n v="10560"/>
    <n v="7184"/>
    <n v="0.49"/>
    <n v="0.37"/>
    <n v="0.14000000000000001"/>
    <n v="0.44"/>
    <n v="0.79"/>
    <n v="0.05"/>
    <n v="1.2999999999999999E-2"/>
    <n v="3.1E-2"/>
  </r>
  <r>
    <x v="3"/>
    <x v="3"/>
    <n v="7.8645833333333331E-2"/>
    <n v="0.11900635470826113"/>
    <n v="11100"/>
    <n v="6472"/>
    <n v="0.22"/>
    <n v="0.19"/>
    <n v="0.59"/>
    <n v="0.44"/>
    <n v="0.76"/>
    <n v="3.1E-2"/>
    <n v="1.2999999999999999E-2"/>
    <n v="3.2000000000000001E-2"/>
  </r>
  <r>
    <x v="3"/>
    <x v="4"/>
    <n v="6.2291666666666669E-2"/>
    <n v="0.12420566146735991"/>
    <n v="9670"/>
    <n v="5256"/>
    <n v="0.25"/>
    <n v="0.35"/>
    <n v="0.4"/>
    <n v="0.64"/>
    <n v="0.59"/>
    <n v="4.9000000000000002E-2"/>
    <n v="6.0000000000000001E-3"/>
    <n v="3.5999999999999997E-2"/>
  </r>
  <r>
    <x v="3"/>
    <x v="5"/>
    <n v="4.8958333333333333E-2"/>
    <n v="0.11322934719815136"/>
    <n v="5220"/>
    <n v="4640"/>
    <n v="0.49"/>
    <n v="0.13"/>
    <n v="0.38"/>
    <n v="0.62"/>
    <n v="0.53"/>
    <n v="5.2999999999999999E-2"/>
    <n v="2.3E-2"/>
    <n v="4.5999999999999999E-2"/>
  </r>
  <r>
    <x v="3"/>
    <x v="6"/>
    <n v="5.6770833333333333E-2"/>
    <n v="9.3587521663778164E-2"/>
    <n v="4480"/>
    <n v="4912"/>
    <n v="0.46"/>
    <n v="0.26"/>
    <n v="0.28000000000000003"/>
    <n v="0.6"/>
    <n v="0.56999999999999995"/>
    <n v="4.8000000000000001E-2"/>
    <n v="2.1000000000000001E-2"/>
    <n v="3.3000000000000002E-2"/>
  </r>
  <r>
    <x v="3"/>
    <x v="7"/>
    <n v="0.10312499999999999"/>
    <n v="7.3945696129404964E-2"/>
    <n v="5710"/>
    <n v="5880"/>
    <n v="0.37"/>
    <n v="0.12"/>
    <n v="0.51"/>
    <n v="0.71"/>
    <n v="0.61"/>
    <n v="3.1E-2"/>
    <n v="2.3E-2"/>
    <n v="3.7999999999999999E-2"/>
  </r>
  <r>
    <x v="3"/>
    <x v="8"/>
    <n v="0.11822916666666666"/>
    <n v="5.7770075101097634E-2"/>
    <n v="7320"/>
    <n v="6288"/>
    <n v="0.56999999999999995"/>
    <n v="0.22"/>
    <n v="0.21000000000000008"/>
    <n v="0.61"/>
    <n v="0.47"/>
    <n v="3.4000000000000002E-2"/>
    <n v="2.3E-2"/>
    <n v="4.7E-2"/>
  </r>
  <r>
    <x v="3"/>
    <x v="9"/>
    <n v="0.1125"/>
    <n v="7.163489312536106E-2"/>
    <n v="8430"/>
    <n v="5496"/>
    <n v="0.48"/>
    <n v="0.19"/>
    <n v="0.33000000000000007"/>
    <n v="0.66"/>
    <n v="0.5"/>
    <n v="4.3999999999999997E-2"/>
    <n v="2.3E-2"/>
    <n v="0.05"/>
  </r>
  <r>
    <x v="3"/>
    <x v="10"/>
    <n v="9.947916666666666E-2"/>
    <n v="9.2432120161756212E-2"/>
    <n v="8110"/>
    <n v="5008"/>
    <n v="0.42"/>
    <n v="0.17"/>
    <n v="0.41000000000000003"/>
    <n v="0.75"/>
    <n v="0.55000000000000004"/>
    <n v="4.4999999999999998E-2"/>
    <n v="1.7000000000000001E-2"/>
    <n v="5.0999999999999997E-2"/>
  </r>
  <r>
    <x v="3"/>
    <x v="11"/>
    <n v="9.6875000000000003E-2"/>
    <n v="0.10976314269208549"/>
    <n v="5900"/>
    <n v="5400"/>
    <n v="0.34"/>
    <n v="0.35"/>
    <n v="0.31000000000000005"/>
    <n v="0.54"/>
    <n v="0.57999999999999996"/>
    <n v="3.5000000000000003E-2"/>
    <n v="0.02"/>
    <n v="4.9000000000000002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5BED72-E7D0-4854-83C7-67DEDAB21CEC}" name="PivotTable1" cacheId="2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M16" firstHeaderRow="0" firstDataRow="1" firstDataCol="1"/>
  <pivotFields count="14">
    <pivotField showAll="0">
      <items count="5">
        <item h="1" x="0"/>
        <item x="1"/>
        <item h="1" x="2"/>
        <item h="1" x="3"/>
        <item t="default"/>
      </items>
    </pivotField>
    <pivotField axis="axisRow" showAll="0">
      <items count="13">
        <item x="0"/>
        <item x="1"/>
        <item x="2"/>
        <item x="3"/>
        <item x="4"/>
        <item x="5"/>
        <item x="6"/>
        <item x="7"/>
        <item x="8"/>
        <item x="9"/>
        <item x="10"/>
        <item x="11"/>
        <item t="default"/>
      </items>
    </pivotField>
    <pivotField dataField="1" numFmtId="9" showAll="0"/>
    <pivotField dataField="1" numFmtId="9"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1"/>
  </rowFields>
  <rowItems count="13">
    <i>
      <x/>
    </i>
    <i>
      <x v="1"/>
    </i>
    <i>
      <x v="2"/>
    </i>
    <i>
      <x v="3"/>
    </i>
    <i>
      <x v="4"/>
    </i>
    <i>
      <x v="5"/>
    </i>
    <i>
      <x v="6"/>
    </i>
    <i>
      <x v="7"/>
    </i>
    <i>
      <x v="8"/>
    </i>
    <i>
      <x v="9"/>
    </i>
    <i>
      <x v="10"/>
    </i>
    <i>
      <x v="11"/>
    </i>
    <i t="grand">
      <x/>
    </i>
  </rowItems>
  <colFields count="1">
    <field x="-2"/>
  </colFields>
  <colItems count="12">
    <i>
      <x/>
    </i>
    <i i="1">
      <x v="1"/>
    </i>
    <i i="2">
      <x v="2"/>
    </i>
    <i i="3">
      <x v="3"/>
    </i>
    <i i="4">
      <x v="4"/>
    </i>
    <i i="5">
      <x v="5"/>
    </i>
    <i i="6">
      <x v="6"/>
    </i>
    <i i="7">
      <x v="7"/>
    </i>
    <i i="8">
      <x v="8"/>
    </i>
    <i i="9">
      <x v="9"/>
    </i>
    <i i="10">
      <x v="10"/>
    </i>
    <i i="11">
      <x v="11"/>
    </i>
  </colItems>
  <dataFields count="12">
    <dataField name="Average of CTR" fld="2" subtotal="average" baseField="1" baseItem="0" numFmtId="9"/>
    <dataField name="Average of CR" fld="3" subtotal="average" baseField="1" baseItem="0" numFmtId="9"/>
    <dataField name="Sum of Ads. Expenses" fld="4" baseField="1" baseItem="0"/>
    <dataField name="Sum of Ads. Revenue" fld="5" baseField="1" baseItem="0"/>
    <dataField name="Average of Watched Video" fld="6" subtotal="average" baseField="1" baseItem="0"/>
    <dataField name="Average of Button Click Rate" fld="7" subtotal="average" baseField="1" baseItem="0"/>
    <dataField name="Average of Did Not Convert" fld="8" subtotal="average" baseField="1" baseItem="0"/>
    <dataField name="Average of Chose Offer A" fld="9" subtotal="average" baseField="1" baseItem="0"/>
    <dataField name="Average of Chose Offer B" fld="10" subtotal="average" baseField="1" baseItem="0"/>
    <dataField name="Average of CR2" fld="11" subtotal="average" baseField="1" baseItem="0"/>
    <dataField name="Average of Bounce Rate" fld="12" subtotal="average" baseField="1" baseItem="0"/>
    <dataField name="Average of CTR2" fld="13"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C70588-26B8-4DF7-B4A7-FC1016C2B06B}" name="PivotTable2" cacheId="2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20:M33" firstHeaderRow="0" firstDataRow="1" firstDataCol="1"/>
  <pivotFields count="14">
    <pivotField showAll="0">
      <items count="5">
        <item h="1" x="0"/>
        <item x="1"/>
        <item h="1" x="2"/>
        <item h="1" x="3"/>
        <item t="default"/>
      </items>
    </pivotField>
    <pivotField axis="axisRow" showAll="0">
      <items count="13">
        <item x="0"/>
        <item x="1"/>
        <item x="2"/>
        <item x="3"/>
        <item x="4"/>
        <item x="5"/>
        <item x="6"/>
        <item x="7"/>
        <item x="8"/>
        <item x="9"/>
        <item x="10"/>
        <item x="11"/>
        <item t="default"/>
      </items>
    </pivotField>
    <pivotField dataField="1" numFmtId="9" showAll="0"/>
    <pivotField dataField="1" numFmtId="9"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1"/>
  </rowFields>
  <rowItems count="13">
    <i>
      <x/>
    </i>
    <i>
      <x v="1"/>
    </i>
    <i>
      <x v="2"/>
    </i>
    <i>
      <x v="3"/>
    </i>
    <i>
      <x v="4"/>
    </i>
    <i>
      <x v="5"/>
    </i>
    <i>
      <x v="6"/>
    </i>
    <i>
      <x v="7"/>
    </i>
    <i>
      <x v="8"/>
    </i>
    <i>
      <x v="9"/>
    </i>
    <i>
      <x v="10"/>
    </i>
    <i>
      <x v="11"/>
    </i>
    <i t="grand">
      <x/>
    </i>
  </rowItems>
  <colFields count="1">
    <field x="-2"/>
  </colFields>
  <colItems count="12">
    <i>
      <x/>
    </i>
    <i i="1">
      <x v="1"/>
    </i>
    <i i="2">
      <x v="2"/>
    </i>
    <i i="3">
      <x v="3"/>
    </i>
    <i i="4">
      <x v="4"/>
    </i>
    <i i="5">
      <x v="5"/>
    </i>
    <i i="6">
      <x v="6"/>
    </i>
    <i i="7">
      <x v="7"/>
    </i>
    <i i="8">
      <x v="8"/>
    </i>
    <i i="9">
      <x v="9"/>
    </i>
    <i i="10">
      <x v="10"/>
    </i>
    <i i="11">
      <x v="11"/>
    </i>
  </colItems>
  <dataFields count="12">
    <dataField name="Average of CTR" fld="2" subtotal="average" baseField="1" baseItem="0" numFmtId="9"/>
    <dataField name="Average of CR" fld="3" subtotal="average" baseField="1" baseItem="0" numFmtId="9"/>
    <dataField name="Sum of Ads. Expenses" fld="4" baseField="0" baseItem="0"/>
    <dataField name="Sum of Ads. Revenue" fld="5" baseField="0" baseItem="0"/>
    <dataField name="Average of Watched Video" fld="6" subtotal="average" baseField="1" baseItem="0"/>
    <dataField name="Average of Button Click Rate" fld="7" subtotal="average" baseField="1" baseItem="0"/>
    <dataField name="Average of Did Not Convert" fld="8" subtotal="average" baseField="1" baseItem="0"/>
    <dataField name="Average of Chose Offer A" fld="9" subtotal="average" baseField="1" baseItem="0"/>
    <dataField name="Average of Chose Offer B" fld="10" subtotal="average" baseField="1" baseItem="0"/>
    <dataField name="Average of CR2" fld="11" subtotal="average" baseField="1" baseItem="0"/>
    <dataField name="Average of Bounce Rate" fld="12" subtotal="average" baseField="1" baseItem="0"/>
    <dataField name="Average of CTR2" fld="13"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34DC5669-08EA-4035-8740-F04BCF1D015B}" sourceName="Year">
  <pivotTables>
    <pivotTable tabId="9" name="PivotTable1"/>
    <pivotTable tabId="9" name="PivotTable2"/>
  </pivotTables>
  <data>
    <tabular pivotCacheId="1097971510">
      <items count="4">
        <i x="0"/>
        <i x="1" s="1"/>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6BA17797-F9E9-4545-A91C-93B65F83A32B}" sourceName="Month">
  <pivotTables>
    <pivotTable tabId="9" name="PivotTable1"/>
  </pivotTables>
  <data>
    <tabular pivotCacheId="1097971510">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D2DAB67-7CB4-4243-B7FA-B305E0FA4269}" cache="Slicer_Year1" caption="Year" columnCount="4" showCaption="0" style="SlicerStyleLight1 2 3" rowHeight="247650"/>
  <slicer name="Month" xr10:uid="{E4AD13E3-D003-47FB-B952-42A5E9147832}" cache="Slicer_Month1" caption="Month" columnCount="12" showCaption="0" style="SlicerStyleLight1 2 3"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4" xr10:uid="{308726C1-0061-4F2A-A318-2EC1FDD18A8A}" cache="Slicer_Year1" caption="Year" columnCount="4" showCaption="0" style="SlicerStyleLight1 2 3" rowHeight="247650"/>
  <slicer name="Month 4" xr10:uid="{63C4B9F2-AC09-4FD0-B2F5-975019BB16DC}" cache="Slicer_Month1" caption="Month" columnCount="12" showCaption="0" style="SlicerStyleLight1 2 3"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313F8F86-59A6-499F-9CDE-FE7B3712DBA6}" cache="Slicer_Year1" caption="Year" columnCount="4" showCaption="0" style="SlicerStyleLight1 2 3 2" rowHeight="247650"/>
  <slicer name="Month 1" xr10:uid="{D3CC9063-FF8A-41E4-8328-D259B321B569}" cache="Slicer_Month1" caption="Month" columnCount="12" showCaption="0" style="SlicerStyleLight1 2 3 2"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26B0C86D-4AF9-4B67-A232-77C6CF91253C}" cache="Slicer_Year1" caption="Year" columnCount="4" showCaption="0" style="SlicerStyleLight1 2 3 2" rowHeight="247650"/>
  <slicer name="Month 3" xr10:uid="{8CD26477-6A1B-4336-8A81-EE70C7CBC5FF}" cache="Slicer_Month1" caption="Month" columnCount="12" showCaption="0" style="SlicerStyleLight1 2 3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63E062-5322-41D1-9C2B-E53DD774BC3D}" name="mydata" displayName="mydata" ref="A2:N50" totalsRowShown="0" headerRowDxfId="14">
  <autoFilter ref="A2:N50" xr:uid="{E963E062-5322-41D1-9C2B-E53DD774BC3D}"/>
  <tableColumns count="14">
    <tableColumn id="1" xr3:uid="{3D33D891-CA4E-4640-BA1F-079B6E9B5117}" name="Year" dataDxfId="13"/>
    <tableColumn id="2" xr3:uid="{63EFEA8E-BB8A-4428-82F2-78622BE218B5}" name="Month" dataDxfId="12"/>
    <tableColumn id="3" xr3:uid="{E4111C8D-7F28-4E7E-8A1C-6BA5CE90AA29}" name="CTR" dataDxfId="11" dataCellStyle="Percent"/>
    <tableColumn id="4" xr3:uid="{4A600E6F-0470-4C8F-8615-C3B53E000CAD}" name="CR" dataDxfId="10" dataCellStyle="Percent"/>
    <tableColumn id="5" xr3:uid="{166A1C98-95E3-491E-AC7B-086A9134F722}" name="Ads. Expenses" dataDxfId="9" dataCellStyle="Currency"/>
    <tableColumn id="6" xr3:uid="{917CB7D5-F09B-4BF4-BD1C-711577DD14F0}" name="Ads. Revenue" dataDxfId="8" dataCellStyle="Currency"/>
    <tableColumn id="7" xr3:uid="{ABE5C72F-4789-4983-AC04-5C78ACAB08DF}" name="Watched Video" dataDxfId="7" dataCellStyle="Percent"/>
    <tableColumn id="8" xr3:uid="{F5AE84D5-4E9F-4466-B40D-DA2E1008B7A8}" name="Button Click Rate" dataDxfId="6" dataCellStyle="Percent"/>
    <tableColumn id="9" xr3:uid="{1D023D92-C6FE-462F-B249-A906B7932F67}" name="Did Not Convert" dataDxfId="5" dataCellStyle="Percent"/>
    <tableColumn id="10" xr3:uid="{E1B12993-55FF-4FAD-807E-AEC97DDDE9C9}" name="Chose Offer A" dataDxfId="4" dataCellStyle="Percent"/>
    <tableColumn id="11" xr3:uid="{669BE74F-770A-4CEF-85B4-203BB4A35D38}" name="Chose Offer B" dataDxfId="3" dataCellStyle="Percent"/>
    <tableColumn id="12" xr3:uid="{FC3542D9-2F1F-46AD-A34B-9BFF8E1AB677}" name="CR2" dataDxfId="2" dataCellStyle="Percent"/>
    <tableColumn id="13" xr3:uid="{B589CE09-672B-4621-A0CE-8BB6FB4F9F5F}" name="Bounce Rate" dataDxfId="1" dataCellStyle="Percent"/>
    <tableColumn id="14" xr3:uid="{80B5BC69-3C30-40A6-9D45-D64C505BBEA9}" name="CTR2" dataDxfId="0"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hyperlink" Target="https://exceltable.com/" TargetMode="Externa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hyperlink" Target="https://exceltable.com/" TargetMode="Externa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hyperlink" Target="https://exceltable.com/" TargetMode="Externa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hyperlink" Target="https://exceltable.com/" TargetMode="Externa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908FF-A7FC-4498-BF73-20F0AFDCB3C6}">
  <dimension ref="D1:AE48"/>
  <sheetViews>
    <sheetView showRowColHeaders="0" zoomScale="90" zoomScaleNormal="90" workbookViewId="0"/>
  </sheetViews>
  <sheetFormatPr defaultColWidth="8.85546875" defaultRowHeight="15" x14ac:dyDescent="0.25"/>
  <cols>
    <col min="1" max="16384" width="8.85546875" style="5"/>
  </cols>
  <sheetData>
    <row r="1" spans="27:31" ht="14.45" customHeight="1" x14ac:dyDescent="0.25">
      <c r="AA1" s="37" t="s">
        <v>75</v>
      </c>
      <c r="AB1" s="38"/>
      <c r="AC1" s="38"/>
      <c r="AD1" s="38"/>
      <c r="AE1" s="38"/>
    </row>
    <row r="2" spans="27:31" ht="14.45" customHeight="1" x14ac:dyDescent="0.25">
      <c r="AA2" s="38"/>
      <c r="AB2" s="38"/>
      <c r="AC2" s="38"/>
      <c r="AD2" s="38"/>
      <c r="AE2" s="38"/>
    </row>
    <row r="47" spans="4:8" x14ac:dyDescent="0.25">
      <c r="D47" s="37"/>
      <c r="E47" s="38"/>
      <c r="F47" s="38"/>
      <c r="G47" s="38"/>
      <c r="H47" s="38"/>
    </row>
    <row r="48" spans="4:8" x14ac:dyDescent="0.25">
      <c r="D48" s="38"/>
      <c r="E48" s="38"/>
      <c r="F48" s="38"/>
      <c r="G48" s="38"/>
      <c r="H48" s="38"/>
    </row>
  </sheetData>
  <mergeCells count="2">
    <mergeCell ref="AA1:AE2"/>
    <mergeCell ref="D47:H48"/>
  </mergeCells>
  <hyperlinks>
    <hyperlink ref="AA1" r:id="rId1" xr:uid="{2F12924E-BBB4-45C6-843F-7F293F193ED7}"/>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77DF0-49CB-4EED-A110-A4E423CE5721}">
  <dimension ref="C1:AE47"/>
  <sheetViews>
    <sheetView showRowColHeaders="0" zoomScale="90" zoomScaleNormal="90" workbookViewId="0"/>
  </sheetViews>
  <sheetFormatPr defaultColWidth="8.85546875" defaultRowHeight="15" x14ac:dyDescent="0.25"/>
  <cols>
    <col min="1" max="16384" width="8.85546875" style="5"/>
  </cols>
  <sheetData>
    <row r="1" spans="27:31" ht="14.45" customHeight="1" x14ac:dyDescent="0.25">
      <c r="AA1" s="37" t="s">
        <v>75</v>
      </c>
      <c r="AB1" s="38"/>
      <c r="AC1" s="38"/>
      <c r="AD1" s="38"/>
      <c r="AE1" s="38"/>
    </row>
    <row r="2" spans="27:31" ht="14.45" customHeight="1" x14ac:dyDescent="0.25">
      <c r="AA2" s="38"/>
      <c r="AB2" s="38"/>
      <c r="AC2" s="38"/>
      <c r="AD2" s="38"/>
      <c r="AE2" s="38"/>
    </row>
    <row r="46" spans="3:7" x14ac:dyDescent="0.25">
      <c r="C46" s="37"/>
      <c r="D46" s="38"/>
      <c r="E46" s="38"/>
      <c r="F46" s="38"/>
      <c r="G46" s="38"/>
    </row>
    <row r="47" spans="3:7" x14ac:dyDescent="0.25">
      <c r="C47" s="38"/>
      <c r="D47" s="38"/>
      <c r="E47" s="38"/>
      <c r="F47" s="38"/>
      <c r="G47" s="38"/>
    </row>
  </sheetData>
  <mergeCells count="2">
    <mergeCell ref="AA1:AE2"/>
    <mergeCell ref="C46:G47"/>
  </mergeCells>
  <hyperlinks>
    <hyperlink ref="AA1" r:id="rId1" xr:uid="{C3DFD9D7-8CE8-4655-A469-64D0A030720E}"/>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2A382-39BF-44CE-8458-5FCD4C7EE018}">
  <dimension ref="D4:AE47"/>
  <sheetViews>
    <sheetView showRowColHeaders="0" tabSelected="1" zoomScale="90" zoomScaleNormal="90" workbookViewId="0"/>
  </sheetViews>
  <sheetFormatPr defaultColWidth="8.85546875" defaultRowHeight="15" x14ac:dyDescent="0.25"/>
  <cols>
    <col min="1" max="16384" width="8.85546875" style="5"/>
  </cols>
  <sheetData>
    <row r="4" spans="27:31" ht="14.45" customHeight="1" x14ac:dyDescent="0.25">
      <c r="AA4" s="37" t="s">
        <v>75</v>
      </c>
      <c r="AB4" s="38"/>
      <c r="AC4" s="38"/>
      <c r="AD4" s="38"/>
      <c r="AE4" s="38"/>
    </row>
    <row r="5" spans="27:31" ht="14.45" customHeight="1" x14ac:dyDescent="0.25">
      <c r="AA5" s="38"/>
      <c r="AB5" s="38"/>
      <c r="AC5" s="38"/>
      <c r="AD5" s="38"/>
      <c r="AE5" s="38"/>
    </row>
    <row r="46" spans="4:8" x14ac:dyDescent="0.25">
      <c r="D46" s="37"/>
      <c r="E46" s="38"/>
      <c r="F46" s="38"/>
      <c r="G46" s="38"/>
      <c r="H46" s="38"/>
    </row>
    <row r="47" spans="4:8" x14ac:dyDescent="0.25">
      <c r="D47" s="38"/>
      <c r="E47" s="38"/>
      <c r="F47" s="38"/>
      <c r="G47" s="38"/>
      <c r="H47" s="38"/>
    </row>
  </sheetData>
  <mergeCells count="2">
    <mergeCell ref="AA4:AE5"/>
    <mergeCell ref="D46:H47"/>
  </mergeCells>
  <hyperlinks>
    <hyperlink ref="AA4" r:id="rId1" xr:uid="{34FE034F-1C1C-488E-8AD0-9471CB35C7C9}"/>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01016-1959-4362-8642-B98F07C8D3B3}">
  <dimension ref="D1:AE48"/>
  <sheetViews>
    <sheetView showRowColHeaders="0" zoomScale="90" zoomScaleNormal="90" workbookViewId="0"/>
  </sheetViews>
  <sheetFormatPr defaultColWidth="8.85546875" defaultRowHeight="15" x14ac:dyDescent="0.25"/>
  <cols>
    <col min="1" max="16384" width="8.85546875" style="5"/>
  </cols>
  <sheetData>
    <row r="1" spans="27:31" ht="14.45" customHeight="1" x14ac:dyDescent="0.25">
      <c r="AA1" s="37" t="s">
        <v>75</v>
      </c>
      <c r="AB1" s="38"/>
      <c r="AC1" s="38"/>
      <c r="AD1" s="38"/>
      <c r="AE1" s="38"/>
    </row>
    <row r="2" spans="27:31" ht="14.45" customHeight="1" x14ac:dyDescent="0.25">
      <c r="AA2" s="38"/>
      <c r="AB2" s="38"/>
      <c r="AC2" s="38"/>
      <c r="AD2" s="38"/>
      <c r="AE2" s="38"/>
    </row>
    <row r="47" spans="4:8" x14ac:dyDescent="0.25">
      <c r="D47" s="37"/>
      <c r="E47" s="38"/>
      <c r="F47" s="38"/>
      <c r="G47" s="38"/>
      <c r="H47" s="38"/>
    </row>
    <row r="48" spans="4:8" x14ac:dyDescent="0.25">
      <c r="D48" s="38"/>
      <c r="E48" s="38"/>
      <c r="F48" s="38"/>
      <c r="G48" s="38"/>
      <c r="H48" s="38"/>
    </row>
  </sheetData>
  <mergeCells count="2">
    <mergeCell ref="AA1:AE2"/>
    <mergeCell ref="D47:H48"/>
  </mergeCells>
  <hyperlinks>
    <hyperlink ref="AA1" r:id="rId1" xr:uid="{E85B0353-7A62-4CE3-BE65-F72BEC1C92C6}"/>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768DD-6521-4B69-908A-B357504C6F01}">
  <dimension ref="A1:S14"/>
  <sheetViews>
    <sheetView topLeftCell="K1" workbookViewId="0">
      <selection activeCell="T1" sqref="T1:X2"/>
    </sheetView>
  </sheetViews>
  <sheetFormatPr defaultRowHeight="15" x14ac:dyDescent="0.25"/>
  <cols>
    <col min="2" max="3" width="8.85546875" style="2"/>
    <col min="4" max="4" width="9.5703125" style="2" bestFit="1" customWidth="1"/>
    <col min="5" max="5" width="8.85546875" style="2"/>
    <col min="11" max="12" width="10.28515625" bestFit="1" customWidth="1"/>
  </cols>
  <sheetData>
    <row r="1" spans="1:19" ht="15" customHeight="1" x14ac:dyDescent="0.25">
      <c r="A1" t="s">
        <v>35</v>
      </c>
      <c r="B1" s="2" t="s">
        <v>18</v>
      </c>
      <c r="C1" s="2" t="s">
        <v>19</v>
      </c>
      <c r="D1" s="2" t="s">
        <v>20</v>
      </c>
      <c r="E1" s="2" t="s">
        <v>21</v>
      </c>
      <c r="G1" t="s">
        <v>22</v>
      </c>
      <c r="H1" t="s">
        <v>23</v>
      </c>
      <c r="I1" t="s">
        <v>24</v>
      </c>
      <c r="J1" t="s">
        <v>12</v>
      </c>
      <c r="K1" t="s">
        <v>13</v>
      </c>
      <c r="L1" t="s">
        <v>14</v>
      </c>
      <c r="O1" t="s">
        <v>25</v>
      </c>
    </row>
    <row r="2" spans="1:19" ht="15" customHeight="1" x14ac:dyDescent="0.25">
      <c r="A2" t="s">
        <v>0</v>
      </c>
      <c r="B2" s="7">
        <f>GETPIVOTDATA(""&amp;B$1,Control!$A$20,"Month",""&amp;$A2)</f>
        <v>8.3333333333333329E-2</v>
      </c>
      <c r="C2" s="7">
        <f>GETPIVOTDATA(""&amp;C$1,Control!$A$20,"Month",""&amp;$A2)</f>
        <v>7.8567302137492773E-2</v>
      </c>
      <c r="D2" s="9">
        <f>IFERROR(GETPIVOTDATA(""&amp;B$1,Control!$A$3,"Month",""&amp;$A2),NA())</f>
        <v>8.3333333333333329E-2</v>
      </c>
      <c r="E2" s="9">
        <f>IFERROR(GETPIVOTDATA(""&amp;C$1,Control!$A$3,"Month",""&amp;$A2),NA())</f>
        <v>7.8567302137492773E-2</v>
      </c>
      <c r="F2" s="4"/>
      <c r="G2">
        <f>GETPIVOTDATA(""&amp;G$1,Control!$A$20,"Month",""&amp;$A2)</f>
        <v>8000</v>
      </c>
      <c r="H2">
        <f>GETPIVOTDATA(""&amp;H$1,Control!$A$20,"Month",""&amp;$A2)</f>
        <v>6120</v>
      </c>
      <c r="I2" s="2" t="s">
        <v>0</v>
      </c>
      <c r="J2" s="2">
        <f>G2+H2</f>
        <v>14120</v>
      </c>
      <c r="K2">
        <f>IFERROR(GETPIVOTDATA(""&amp;G$1,Control!$A$3,"Month",""&amp;$A2),NA())</f>
        <v>8000</v>
      </c>
      <c r="L2">
        <f>IFERROR(GETPIVOTDATA(""&amp;H$1,Control!$A$3,"Month",""&amp;$A2),NA())</f>
        <v>6120</v>
      </c>
      <c r="M2" s="1">
        <f>IF(ISNA(E2),E2,J2)</f>
        <v>14120</v>
      </c>
      <c r="O2" s="6">
        <f>GETPIVOTDATA(""&amp;O3,Control!$A$3)</f>
        <v>0.38500000000000001</v>
      </c>
      <c r="P2" s="6">
        <f>GETPIVOTDATA(""&amp;P3,Control!$A$3)</f>
        <v>0.24083333333333334</v>
      </c>
      <c r="Q2" s="6">
        <f>GETPIVOTDATA(""&amp;Q3,Control!$A$3)</f>
        <v>0.3741666666666667</v>
      </c>
    </row>
    <row r="3" spans="1:19" x14ac:dyDescent="0.25">
      <c r="A3" t="s">
        <v>1</v>
      </c>
      <c r="B3" s="7">
        <f>GETPIVOTDATA(""&amp;B$1,Control!$A$20,"Month",""&amp;$A3)</f>
        <v>0.10020833333333333</v>
      </c>
      <c r="C3" s="7">
        <f>GETPIVOTDATA(""&amp;C$1,Control!$A$20,"Month",""&amp;$A3)</f>
        <v>7.3367995378393988E-2</v>
      </c>
      <c r="D3" s="9">
        <f>IFERROR(GETPIVOTDATA(""&amp;B$1,Control!$A$3,"Month",""&amp;$A3),NA())</f>
        <v>0.10020833333333333</v>
      </c>
      <c r="E3" s="9">
        <f>IFERROR(GETPIVOTDATA(""&amp;C$1,Control!$A$3,"Month",""&amp;$A3),NA())</f>
        <v>7.3367995378393988E-2</v>
      </c>
      <c r="F3" s="4"/>
      <c r="G3">
        <f>GETPIVOTDATA(""&amp;G$1,Control!$A$20,"Month",""&amp;$A3)</f>
        <v>10270</v>
      </c>
      <c r="H3">
        <f>GETPIVOTDATA(""&amp;H$1,Control!$A$20,"Month",""&amp;$A3)</f>
        <v>7000</v>
      </c>
      <c r="I3" s="2" t="s">
        <v>1</v>
      </c>
      <c r="J3" s="2">
        <f t="shared" ref="J3:J13" si="0">G3+H3</f>
        <v>17270</v>
      </c>
      <c r="K3">
        <f>IFERROR(GETPIVOTDATA(""&amp;G$1,Control!$A$3,"Month",""&amp;$A3),NA())</f>
        <v>10270</v>
      </c>
      <c r="L3">
        <f>IFERROR(GETPIVOTDATA(""&amp;H$1,Control!$A$3,"Month",""&amp;$A3),NA())</f>
        <v>7000</v>
      </c>
      <c r="M3" s="1">
        <f t="shared" ref="M3:M13" si="1">IF(ISNA(E3),E3,J3)</f>
        <v>17270</v>
      </c>
      <c r="O3" t="s">
        <v>27</v>
      </c>
      <c r="P3" t="s">
        <v>28</v>
      </c>
      <c r="Q3" t="s">
        <v>26</v>
      </c>
    </row>
    <row r="4" spans="1:19" x14ac:dyDescent="0.25">
      <c r="A4" t="s">
        <v>2</v>
      </c>
      <c r="B4" s="7">
        <f>GETPIVOTDATA(""&amp;B$1,Control!$A$20,"Month",""&amp;$A4)</f>
        <v>0.11177083333333333</v>
      </c>
      <c r="C4" s="7">
        <f>GETPIVOTDATA(""&amp;C$1,Control!$A$20,"Month",""&amp;$A4)</f>
        <v>8.0300404390525701E-2</v>
      </c>
      <c r="D4" s="9">
        <f>IFERROR(GETPIVOTDATA(""&amp;B$1,Control!$A$3,"Month",""&amp;$A4),NA())</f>
        <v>0.11177083333333333</v>
      </c>
      <c r="E4" s="9">
        <f>IFERROR(GETPIVOTDATA(""&amp;C$1,Control!$A$3,"Month",""&amp;$A4),NA())</f>
        <v>8.0300404390525701E-2</v>
      </c>
      <c r="F4" s="4"/>
      <c r="G4">
        <f>GETPIVOTDATA(""&amp;G$1,Control!$A$20,"Month",""&amp;$A4)</f>
        <v>10970</v>
      </c>
      <c r="H4">
        <f>GETPIVOTDATA(""&amp;H$1,Control!$A$20,"Month",""&amp;$A4)</f>
        <v>7400</v>
      </c>
      <c r="I4" s="2" t="s">
        <v>2</v>
      </c>
      <c r="J4" s="2">
        <f t="shared" si="0"/>
        <v>18370</v>
      </c>
      <c r="K4">
        <f>IFERROR(GETPIVOTDATA(""&amp;G$1,Control!$A$3,"Month",""&amp;$A4),NA())</f>
        <v>10970</v>
      </c>
      <c r="L4">
        <f>IFERROR(GETPIVOTDATA(""&amp;H$1,Control!$A$3,"Month",""&amp;$A4),NA())</f>
        <v>7400</v>
      </c>
      <c r="M4" s="1">
        <f t="shared" si="1"/>
        <v>18370</v>
      </c>
      <c r="O4" t="s">
        <v>36</v>
      </c>
      <c r="P4" s="3">
        <f>O2+P2</f>
        <v>0.62583333333333335</v>
      </c>
    </row>
    <row r="5" spans="1:19" x14ac:dyDescent="0.25">
      <c r="A5" t="s">
        <v>3</v>
      </c>
      <c r="B5" s="7">
        <f>GETPIVOTDATA(""&amp;B$1,Control!$A$20,"Month",""&amp;$A5)</f>
        <v>0.11427083333333334</v>
      </c>
      <c r="C5" s="7">
        <f>GETPIVOTDATA(""&amp;C$1,Control!$A$20,"Month",""&amp;$A5)</f>
        <v>8.9543616406701332E-2</v>
      </c>
      <c r="D5" s="9">
        <f>IFERROR(GETPIVOTDATA(""&amp;B$1,Control!$A$3,"Month",""&amp;$A5),NA())</f>
        <v>0.11427083333333334</v>
      </c>
      <c r="E5" s="9">
        <f>IFERROR(GETPIVOTDATA(""&amp;C$1,Control!$A$3,"Month",""&amp;$A5),NA())</f>
        <v>8.9543616406701332E-2</v>
      </c>
      <c r="F5" s="4"/>
      <c r="G5">
        <f>GETPIVOTDATA(""&amp;G$1,Control!$A$20,"Month",""&amp;$A5)</f>
        <v>9620</v>
      </c>
      <c r="H5">
        <f>GETPIVOTDATA(""&amp;H$1,Control!$A$20,"Month",""&amp;$A5)</f>
        <v>6680</v>
      </c>
      <c r="I5" s="2" t="s">
        <v>3</v>
      </c>
      <c r="J5" s="2">
        <f t="shared" si="0"/>
        <v>16300</v>
      </c>
      <c r="K5">
        <f>IFERROR(GETPIVOTDATA(""&amp;G$1,Control!$A$3,"Month",""&amp;$A5),NA())</f>
        <v>9620</v>
      </c>
      <c r="L5">
        <f>IFERROR(GETPIVOTDATA(""&amp;H$1,Control!$A$3,"Month",""&amp;$A5),NA())</f>
        <v>6680</v>
      </c>
      <c r="M5" s="1">
        <f t="shared" si="1"/>
        <v>16300</v>
      </c>
      <c r="R5" t="s">
        <v>15</v>
      </c>
      <c r="S5" t="s">
        <v>16</v>
      </c>
    </row>
    <row r="6" spans="1:19" x14ac:dyDescent="0.25">
      <c r="A6" t="s">
        <v>4</v>
      </c>
      <c r="B6" s="7">
        <f>GETPIVOTDATA(""&amp;B$1,Control!$A$20,"Month",""&amp;$A6)</f>
        <v>0.10697916666666667</v>
      </c>
      <c r="C6" s="7">
        <f>GETPIVOTDATA(""&amp;C$1,Control!$A$20,"Month",""&amp;$A6)</f>
        <v>8.3188908145580595E-2</v>
      </c>
      <c r="D6" s="9">
        <f>IFERROR(GETPIVOTDATA(""&amp;B$1,Control!$A$3,"Month",""&amp;$A6),NA())</f>
        <v>0.10697916666666667</v>
      </c>
      <c r="E6" s="9">
        <f>IFERROR(GETPIVOTDATA(""&amp;C$1,Control!$A$3,"Month",""&amp;$A6),NA())</f>
        <v>8.3188908145580595E-2</v>
      </c>
      <c r="F6" s="4"/>
      <c r="G6">
        <f>GETPIVOTDATA(""&amp;G$1,Control!$A$20,"Month",""&amp;$A6)</f>
        <v>7150</v>
      </c>
      <c r="H6">
        <f>GETPIVOTDATA(""&amp;H$1,Control!$A$20,"Month",""&amp;$A6)</f>
        <v>5440</v>
      </c>
      <c r="I6" s="2" t="s">
        <v>4</v>
      </c>
      <c r="J6" s="2">
        <f t="shared" si="0"/>
        <v>12590</v>
      </c>
      <c r="K6">
        <f>IFERROR(GETPIVOTDATA(""&amp;G$1,Control!$A$3,"Month",""&amp;$A6),NA())</f>
        <v>7150</v>
      </c>
      <c r="L6">
        <f>IFERROR(GETPIVOTDATA(""&amp;H$1,Control!$A$3,"Month",""&amp;$A6),NA())</f>
        <v>5440</v>
      </c>
      <c r="M6" s="1">
        <f>IF(ISNA(E6),E6,J6)</f>
        <v>12590</v>
      </c>
      <c r="P6" t="s">
        <v>29</v>
      </c>
      <c r="R6">
        <v>0.95</v>
      </c>
      <c r="S6">
        <v>0.95</v>
      </c>
    </row>
    <row r="7" spans="1:19" x14ac:dyDescent="0.25">
      <c r="A7" t="s">
        <v>5</v>
      </c>
      <c r="B7" s="7">
        <f>GETPIVOTDATA(""&amp;B$1,Control!$A$20,"Month",""&amp;$A7)</f>
        <v>9.2187500000000006E-2</v>
      </c>
      <c r="C7" s="7">
        <f>GETPIVOTDATA(""&amp;C$1,Control!$A$20,"Month",""&amp;$A7)</f>
        <v>6.9324090121317156E-2</v>
      </c>
      <c r="D7" s="9">
        <f>IFERROR(GETPIVOTDATA(""&amp;B$1,Control!$A$3,"Month",""&amp;$A7),NA())</f>
        <v>9.2187500000000006E-2</v>
      </c>
      <c r="E7" s="9">
        <f>IFERROR(GETPIVOTDATA(""&amp;C$1,Control!$A$3,"Month",""&amp;$A7),NA())</f>
        <v>6.9324090121317156E-2</v>
      </c>
      <c r="F7" s="4"/>
      <c r="G7">
        <f>GETPIVOTDATA(""&amp;G$1,Control!$A$20,"Month",""&amp;$A7)</f>
        <v>5270</v>
      </c>
      <c r="H7">
        <f>GETPIVOTDATA(""&amp;H$1,Control!$A$20,"Month",""&amp;$A7)</f>
        <v>4816</v>
      </c>
      <c r="I7" s="2" t="s">
        <v>5</v>
      </c>
      <c r="J7" s="2">
        <f t="shared" si="0"/>
        <v>10086</v>
      </c>
      <c r="K7">
        <f>IFERROR(GETPIVOTDATA(""&amp;G$1,Control!$A$3,"Month",""&amp;$A7),NA())</f>
        <v>5270</v>
      </c>
      <c r="L7">
        <f>IFERROR(GETPIVOTDATA(""&amp;H$1,Control!$A$3,"Month",""&amp;$A7),NA())</f>
        <v>4816</v>
      </c>
      <c r="M7" s="1">
        <f t="shared" si="1"/>
        <v>10086</v>
      </c>
      <c r="O7" t="s">
        <v>30</v>
      </c>
      <c r="P7" s="3">
        <f>GETPIVOTDATA(""&amp;O7,Control!$A$3)</f>
        <v>0.55249999999999999</v>
      </c>
      <c r="Q7" s="4">
        <f>100%-P7</f>
        <v>0.44750000000000001</v>
      </c>
      <c r="R7">
        <f>SIN(P7*2*PI())*R$6</f>
        <v>-0.30772154728824169</v>
      </c>
      <c r="S7">
        <f>COS(Q7*2*PI())*S$6</f>
        <v>-0.89878109088616798</v>
      </c>
    </row>
    <row r="8" spans="1:19" x14ac:dyDescent="0.25">
      <c r="A8" t="s">
        <v>6</v>
      </c>
      <c r="B8" s="7">
        <f>GETPIVOTDATA(""&amp;B$1,Control!$A$20,"Month",""&amp;$A8)</f>
        <v>7.4479166666666666E-2</v>
      </c>
      <c r="C8" s="7">
        <f>GETPIVOTDATA(""&amp;C$1,Control!$A$20,"Month",""&amp;$A8)</f>
        <v>6.8168688619295204E-2</v>
      </c>
      <c r="D8" s="9">
        <f>IFERROR(GETPIVOTDATA(""&amp;B$1,Control!$A$3,"Month",""&amp;$A8),NA())</f>
        <v>7.4479166666666666E-2</v>
      </c>
      <c r="E8" s="9">
        <f>IFERROR(GETPIVOTDATA(""&amp;C$1,Control!$A$3,"Month",""&amp;$A8),NA())</f>
        <v>6.8168688619295204E-2</v>
      </c>
      <c r="F8" s="4"/>
      <c r="G8">
        <f>GETPIVOTDATA(""&amp;G$1,Control!$A$20,"Month",""&amp;$A8)</f>
        <v>5270</v>
      </c>
      <c r="H8">
        <f>GETPIVOTDATA(""&amp;H$1,Control!$A$20,"Month",""&amp;$A8)</f>
        <v>5080</v>
      </c>
      <c r="I8" s="2" t="s">
        <v>6</v>
      </c>
      <c r="J8" s="2">
        <f t="shared" si="0"/>
        <v>10350</v>
      </c>
      <c r="K8">
        <f>IFERROR(GETPIVOTDATA(""&amp;G$1,Control!$A$3,"Month",""&amp;$A8),NA())</f>
        <v>5270</v>
      </c>
      <c r="L8">
        <f>IFERROR(GETPIVOTDATA(""&amp;H$1,Control!$A$3,"Month",""&amp;$A8),NA())</f>
        <v>5080</v>
      </c>
      <c r="M8" s="1">
        <f t="shared" si="1"/>
        <v>10350</v>
      </c>
      <c r="O8" t="s">
        <v>31</v>
      </c>
      <c r="P8" s="3">
        <f>GETPIVOTDATA(""&amp;O8,Control!$A$3)</f>
        <v>0.63416666666666666</v>
      </c>
      <c r="Q8" s="4">
        <f>100%-P8</f>
        <v>0.36583333333333334</v>
      </c>
      <c r="R8">
        <f>SIN(P8*2*PI())*R$6</f>
        <v>-0.7093062731711216</v>
      </c>
      <c r="S8">
        <f>COS(Q8*2*PI())*S$6</f>
        <v>-0.63196883692164274</v>
      </c>
    </row>
    <row r="9" spans="1:19" x14ac:dyDescent="0.25">
      <c r="A9" t="s">
        <v>7</v>
      </c>
      <c r="B9" s="7">
        <f>GETPIVOTDATA(""&amp;B$1,Control!$A$20,"Month",""&amp;$A9)</f>
        <v>5.9687499999999998E-2</v>
      </c>
      <c r="C9" s="7">
        <f>GETPIVOTDATA(""&amp;C$1,Control!$A$20,"Month",""&amp;$A9)</f>
        <v>7.7411900635470821E-2</v>
      </c>
      <c r="D9" s="9">
        <f>IFERROR(GETPIVOTDATA(""&amp;B$1,Control!$A$3,"Month",""&amp;$A9),NA())</f>
        <v>5.9687499999999998E-2</v>
      </c>
      <c r="E9" s="9">
        <f>IFERROR(GETPIVOTDATA(""&amp;C$1,Control!$A$3,"Month",""&amp;$A9),NA())</f>
        <v>7.7411900635470821E-2</v>
      </c>
      <c r="F9" s="4"/>
      <c r="G9">
        <f>GETPIVOTDATA(""&amp;G$1,Control!$A$20,"Month",""&amp;$A9)</f>
        <v>7150</v>
      </c>
      <c r="H9">
        <f>GETPIVOTDATA(""&amp;H$1,Control!$A$20,"Month",""&amp;$A9)</f>
        <v>6080</v>
      </c>
      <c r="I9" s="2" t="s">
        <v>7</v>
      </c>
      <c r="J9" s="2">
        <f t="shared" si="0"/>
        <v>13230</v>
      </c>
      <c r="K9">
        <f>IFERROR(GETPIVOTDATA(""&amp;G$1,Control!$A$3,"Month",""&amp;$A9),NA())</f>
        <v>7150</v>
      </c>
      <c r="L9">
        <f>IFERROR(GETPIVOTDATA(""&amp;H$1,Control!$A$3,"Month",""&amp;$A9),NA())</f>
        <v>6080</v>
      </c>
      <c r="M9" s="1">
        <f t="shared" si="1"/>
        <v>13230</v>
      </c>
    </row>
    <row r="10" spans="1:19" x14ac:dyDescent="0.25">
      <c r="A10" t="s">
        <v>8</v>
      </c>
      <c r="B10" s="7">
        <f>GETPIVOTDATA(""&amp;B$1,Control!$A$20,"Month",""&amp;$A10)</f>
        <v>5.2395833333333336E-2</v>
      </c>
      <c r="C10" s="7">
        <f>GETPIVOTDATA(""&amp;C$1,Control!$A$20,"Month",""&amp;$A10)</f>
        <v>9.4742923165800116E-2</v>
      </c>
      <c r="D10" s="9">
        <f>IFERROR(GETPIVOTDATA(""&amp;B$1,Control!$A$3,"Month",""&amp;$A10),NA())</f>
        <v>5.2395833333333336E-2</v>
      </c>
      <c r="E10" s="9">
        <f>IFERROR(GETPIVOTDATA(""&amp;C$1,Control!$A$3,"Month",""&amp;$A10),NA())</f>
        <v>9.4742923165800116E-2</v>
      </c>
      <c r="F10" s="4"/>
      <c r="G10">
        <f>GETPIVOTDATA(""&amp;G$1,Control!$A$20,"Month",""&amp;$A10)</f>
        <v>9620</v>
      </c>
      <c r="H10">
        <f>GETPIVOTDATA(""&amp;H$1,Control!$A$20,"Month",""&amp;$A10)</f>
        <v>6496</v>
      </c>
      <c r="I10" s="2" t="s">
        <v>8</v>
      </c>
      <c r="J10" s="2">
        <f t="shared" si="0"/>
        <v>16116</v>
      </c>
      <c r="K10">
        <f>IFERROR(GETPIVOTDATA(""&amp;G$1,Control!$A$3,"Month",""&amp;$A10),NA())</f>
        <v>9620</v>
      </c>
      <c r="L10">
        <f>IFERROR(GETPIVOTDATA(""&amp;H$1,Control!$A$3,"Month",""&amp;$A10),NA())</f>
        <v>6496</v>
      </c>
      <c r="M10" s="1">
        <f t="shared" si="1"/>
        <v>16116</v>
      </c>
      <c r="O10" t="s">
        <v>32</v>
      </c>
      <c r="P10" t="s">
        <v>17</v>
      </c>
    </row>
    <row r="11" spans="1:19" x14ac:dyDescent="0.25">
      <c r="A11" t="s">
        <v>9</v>
      </c>
      <c r="B11" s="7">
        <f>GETPIVOTDATA(""&amp;B$1,Control!$A$20,"Month",""&amp;$A11)</f>
        <v>5.4895833333333331E-2</v>
      </c>
      <c r="C11" s="7">
        <f>GETPIVOTDATA(""&amp;C$1,Control!$A$20,"Month",""&amp;$A11)</f>
        <v>0.10167533217793183</v>
      </c>
      <c r="D11" s="9">
        <f>IFERROR(GETPIVOTDATA(""&amp;B$1,Control!$A$3,"Month",""&amp;$A11),NA())</f>
        <v>5.4895833333333331E-2</v>
      </c>
      <c r="E11" s="9">
        <f>IFERROR(GETPIVOTDATA(""&amp;C$1,Control!$A$3,"Month",""&amp;$A11),NA())</f>
        <v>0.10167533217793183</v>
      </c>
      <c r="F11" s="4"/>
      <c r="G11">
        <f>GETPIVOTDATA(""&amp;G$1,Control!$A$20,"Month",""&amp;$A11)</f>
        <v>10970</v>
      </c>
      <c r="H11">
        <f>GETPIVOTDATA(""&amp;H$1,Control!$A$20,"Month",""&amp;$A11)</f>
        <v>5752</v>
      </c>
      <c r="I11" s="2" t="s">
        <v>9</v>
      </c>
      <c r="J11" s="2">
        <f t="shared" si="0"/>
        <v>16722</v>
      </c>
      <c r="K11">
        <f>IFERROR(GETPIVOTDATA(""&amp;G$1,Control!$A$3,"Month",""&amp;$A11),NA())</f>
        <v>10970</v>
      </c>
      <c r="L11">
        <f>IFERROR(GETPIVOTDATA(""&amp;H$1,Control!$A$3,"Month",""&amp;$A11),NA())</f>
        <v>5752</v>
      </c>
      <c r="M11" s="1">
        <f t="shared" si="1"/>
        <v>16722</v>
      </c>
      <c r="O11" t="s">
        <v>39</v>
      </c>
      <c r="P11" s="10">
        <f>GETPIVOTDATA(""&amp;O11,Control!$A$3)</f>
        <v>3.9749999999999994E-2</v>
      </c>
    </row>
    <row r="12" spans="1:19" x14ac:dyDescent="0.25">
      <c r="A12" t="s">
        <v>10</v>
      </c>
      <c r="B12" s="7">
        <f>GETPIVOTDATA(""&amp;B$1,Control!$A$20,"Month",""&amp;$A12)</f>
        <v>6.6458333333333328E-2</v>
      </c>
      <c r="C12" s="7">
        <f>GETPIVOTDATA(""&amp;C$1,Control!$A$20,"Month",""&amp;$A12)</f>
        <v>9.7053726169844021E-2</v>
      </c>
      <c r="D12" s="9">
        <f>IFERROR(GETPIVOTDATA(""&amp;B$1,Control!$A$3,"Month",""&amp;$A12),NA())</f>
        <v>6.6458333333333328E-2</v>
      </c>
      <c r="E12" s="9">
        <f>IFERROR(GETPIVOTDATA(""&amp;C$1,Control!$A$3,"Month",""&amp;$A12),NA())</f>
        <v>9.7053726169844021E-2</v>
      </c>
      <c r="F12" s="4"/>
      <c r="G12">
        <f>GETPIVOTDATA(""&amp;G$1,Control!$A$20,"Month",""&amp;$A12)</f>
        <v>10270</v>
      </c>
      <c r="H12">
        <f>GETPIVOTDATA(""&amp;H$1,Control!$A$20,"Month",""&amp;$A12)</f>
        <v>5200</v>
      </c>
      <c r="I12" s="2" t="s">
        <v>10</v>
      </c>
      <c r="J12" s="2">
        <f t="shared" si="0"/>
        <v>15470</v>
      </c>
      <c r="K12">
        <f>IFERROR(GETPIVOTDATA(""&amp;G$1,Control!$A$3,"Month",""&amp;$A12),NA())</f>
        <v>10270</v>
      </c>
      <c r="L12">
        <f>IFERROR(GETPIVOTDATA(""&amp;H$1,Control!$A$3,"Month",""&amp;$A12),NA())</f>
        <v>5200</v>
      </c>
      <c r="M12" s="1">
        <f t="shared" si="1"/>
        <v>15470</v>
      </c>
      <c r="O12" t="s">
        <v>33</v>
      </c>
      <c r="P12" s="10">
        <f>GETPIVOTDATA(""&amp;O12,Control!$A$3)</f>
        <v>1.4916666666666668E-2</v>
      </c>
    </row>
    <row r="13" spans="1:19" x14ac:dyDescent="0.25">
      <c r="A13" t="s">
        <v>11</v>
      </c>
      <c r="B13" s="7">
        <f>GETPIVOTDATA(""&amp;B$1,Control!$A$20,"Month",""&amp;$A13)</f>
        <v>8.3333333333333329E-2</v>
      </c>
      <c r="C13" s="7">
        <f>GETPIVOTDATA(""&amp;C$1,Control!$A$20,"Month",""&amp;$A13)</f>
        <v>8.6655112651646451E-2</v>
      </c>
      <c r="D13" s="9">
        <f>IFERROR(GETPIVOTDATA(""&amp;B$1,Control!$A$3,"Month",""&amp;$A13),NA())</f>
        <v>8.3333333333333329E-2</v>
      </c>
      <c r="E13" s="9">
        <f>IFERROR(GETPIVOTDATA(""&amp;C$1,Control!$A$3,"Month",""&amp;$A13),NA())</f>
        <v>8.6655112651646451E-2</v>
      </c>
      <c r="F13" s="4"/>
      <c r="G13">
        <f>GETPIVOTDATA(""&amp;G$1,Control!$A$20,"Month",""&amp;$A13)</f>
        <v>8000</v>
      </c>
      <c r="H13">
        <f>GETPIVOTDATA(""&amp;H$1,Control!$A$20,"Month",""&amp;$A13)</f>
        <v>5640</v>
      </c>
      <c r="I13" s="2" t="s">
        <v>11</v>
      </c>
      <c r="J13" s="2">
        <f t="shared" si="0"/>
        <v>13640</v>
      </c>
      <c r="K13">
        <f>IFERROR(GETPIVOTDATA(""&amp;G$1,Control!$A$3,"Month",""&amp;$A13),NA())</f>
        <v>8000</v>
      </c>
      <c r="L13">
        <f>IFERROR(GETPIVOTDATA(""&amp;H$1,Control!$A$3,"Month",""&amp;$A13),NA())</f>
        <v>5640</v>
      </c>
      <c r="M13" s="1">
        <f t="shared" si="1"/>
        <v>13640</v>
      </c>
      <c r="O13" t="s">
        <v>46</v>
      </c>
      <c r="P13" s="10">
        <f>GETPIVOTDATA(""&amp;O13,Control!$A$3)</f>
        <v>4.2500000000000003E-2</v>
      </c>
    </row>
    <row r="14" spans="1:19" x14ac:dyDescent="0.25">
      <c r="A14" t="s">
        <v>34</v>
      </c>
      <c r="C14" s="2" t="s">
        <v>12</v>
      </c>
      <c r="D14" s="36">
        <f>AVERAGEIF(D2:D13,"&gt;0")</f>
        <v>8.3333333333333329E-2</v>
      </c>
      <c r="E14" s="36">
        <f>AVERAGEIF(E2:E13,"&gt;0")</f>
        <v>8.3333333333333329E-2</v>
      </c>
      <c r="K14" s="11" cm="1">
        <f t="array" ref="K14">SUM(IFERROR(K2:K13,0))</f>
        <v>102560</v>
      </c>
      <c r="L14" s="11" cm="1">
        <f t="array" ref="L14">SUM(IFERROR(L2:L13,0))</f>
        <v>71704</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69E01-5A7B-422F-B677-69BC62DA7AEA}">
  <dimension ref="A1:M33"/>
  <sheetViews>
    <sheetView workbookViewId="0">
      <selection sqref="A1:E2"/>
    </sheetView>
  </sheetViews>
  <sheetFormatPr defaultRowHeight="15" x14ac:dyDescent="0.25"/>
  <cols>
    <col min="1" max="1" width="12.42578125" bestFit="1" customWidth="1"/>
    <col min="2" max="2" width="13.140625" bestFit="1" customWidth="1"/>
    <col min="3" max="3" width="12.140625" bestFit="1" customWidth="1"/>
    <col min="4" max="4" width="19" bestFit="1" customWidth="1"/>
    <col min="5" max="5" width="18.28515625" bestFit="1" customWidth="1"/>
    <col min="6" max="6" width="22.7109375" bestFit="1" customWidth="1"/>
    <col min="7" max="7" width="24.28515625" bestFit="1" customWidth="1"/>
    <col min="8" max="8" width="23.140625" bestFit="1" customWidth="1"/>
    <col min="9" max="10" width="21" bestFit="1" customWidth="1"/>
    <col min="11" max="11" width="13.28515625" bestFit="1" customWidth="1"/>
    <col min="12" max="12" width="20.28515625" bestFit="1" customWidth="1"/>
    <col min="13" max="13" width="14.140625" bestFit="1" customWidth="1"/>
  </cols>
  <sheetData>
    <row r="1" spans="1:13" ht="15" customHeight="1" x14ac:dyDescent="0.25"/>
    <row r="2" spans="1:13" ht="15" customHeight="1" x14ac:dyDescent="0.25"/>
    <row r="3" spans="1:13" x14ac:dyDescent="0.25">
      <c r="A3" s="13" t="s">
        <v>40</v>
      </c>
      <c r="B3" t="s">
        <v>44</v>
      </c>
      <c r="C3" t="s">
        <v>45</v>
      </c>
      <c r="D3" t="s">
        <v>42</v>
      </c>
      <c r="E3" t="s">
        <v>43</v>
      </c>
      <c r="F3" t="s">
        <v>47</v>
      </c>
      <c r="G3" t="s">
        <v>48</v>
      </c>
      <c r="H3" t="s">
        <v>49</v>
      </c>
      <c r="I3" t="s">
        <v>50</v>
      </c>
      <c r="J3" t="s">
        <v>51</v>
      </c>
      <c r="K3" t="s">
        <v>52</v>
      </c>
      <c r="L3" t="s">
        <v>53</v>
      </c>
      <c r="M3" t="s">
        <v>54</v>
      </c>
    </row>
    <row r="4" spans="1:13" x14ac:dyDescent="0.25">
      <c r="A4" s="14" t="s">
        <v>0</v>
      </c>
      <c r="B4" s="3">
        <v>8.3333333333333329E-2</v>
      </c>
      <c r="C4" s="3">
        <v>7.8567302137492773E-2</v>
      </c>
      <c r="D4">
        <v>8000</v>
      </c>
      <c r="E4">
        <v>6120</v>
      </c>
      <c r="F4">
        <v>0.45</v>
      </c>
      <c r="G4">
        <v>0.21</v>
      </c>
      <c r="H4">
        <v>0.33999999999999997</v>
      </c>
      <c r="I4">
        <v>0.69</v>
      </c>
      <c r="J4">
        <v>0.61</v>
      </c>
      <c r="K4">
        <v>3.3000000000000002E-2</v>
      </c>
      <c r="L4">
        <v>1.4999999999999999E-2</v>
      </c>
      <c r="M4">
        <v>5.3999999999999999E-2</v>
      </c>
    </row>
    <row r="5" spans="1:13" x14ac:dyDescent="0.25">
      <c r="A5" s="14" t="s">
        <v>1</v>
      </c>
      <c r="B5" s="3">
        <v>0.10020833333333333</v>
      </c>
      <c r="C5" s="3">
        <v>7.3367995378393988E-2</v>
      </c>
      <c r="D5">
        <v>10270</v>
      </c>
      <c r="E5">
        <v>7000</v>
      </c>
      <c r="F5">
        <v>0.48</v>
      </c>
      <c r="G5">
        <v>0.18</v>
      </c>
      <c r="H5">
        <v>0.34000000000000008</v>
      </c>
      <c r="I5">
        <v>0.56999999999999995</v>
      </c>
      <c r="J5">
        <v>0.71</v>
      </c>
      <c r="K5">
        <v>4.1000000000000002E-2</v>
      </c>
      <c r="L5">
        <v>1.6E-2</v>
      </c>
      <c r="M5">
        <v>4.5999999999999999E-2</v>
      </c>
    </row>
    <row r="6" spans="1:13" x14ac:dyDescent="0.25">
      <c r="A6" s="14" t="s">
        <v>2</v>
      </c>
      <c r="B6" s="3">
        <v>0.11177083333333333</v>
      </c>
      <c r="C6" s="3">
        <v>8.0300404390525701E-2</v>
      </c>
      <c r="D6">
        <v>10970</v>
      </c>
      <c r="E6">
        <v>7400</v>
      </c>
      <c r="F6">
        <v>0.32</v>
      </c>
      <c r="G6">
        <v>0.24</v>
      </c>
      <c r="H6">
        <v>0.43999999999999995</v>
      </c>
      <c r="I6">
        <v>0.57999999999999996</v>
      </c>
      <c r="J6">
        <v>0.59</v>
      </c>
      <c r="K6">
        <v>3.2000000000000001E-2</v>
      </c>
      <c r="L6">
        <v>1.4E-2</v>
      </c>
      <c r="M6">
        <v>3.1E-2</v>
      </c>
    </row>
    <row r="7" spans="1:13" x14ac:dyDescent="0.25">
      <c r="A7" s="14" t="s">
        <v>3</v>
      </c>
      <c r="B7" s="3">
        <v>0.11427083333333334</v>
      </c>
      <c r="C7" s="3">
        <v>8.9543616406701332E-2</v>
      </c>
      <c r="D7">
        <v>9620</v>
      </c>
      <c r="E7">
        <v>6680</v>
      </c>
      <c r="F7">
        <v>0.35</v>
      </c>
      <c r="G7">
        <v>0.21</v>
      </c>
      <c r="H7">
        <v>0.44000000000000006</v>
      </c>
      <c r="I7">
        <v>0.44</v>
      </c>
      <c r="J7">
        <v>0.79</v>
      </c>
      <c r="K7">
        <v>4.3999999999999997E-2</v>
      </c>
      <c r="L7">
        <v>0.02</v>
      </c>
      <c r="M7">
        <v>4.2000000000000003E-2</v>
      </c>
    </row>
    <row r="8" spans="1:13" x14ac:dyDescent="0.25">
      <c r="A8" s="14" t="s">
        <v>4</v>
      </c>
      <c r="B8" s="3">
        <v>0.10697916666666667</v>
      </c>
      <c r="C8" s="3">
        <v>8.3188908145580595E-2</v>
      </c>
      <c r="D8">
        <v>7150</v>
      </c>
      <c r="E8">
        <v>5440</v>
      </c>
      <c r="F8">
        <v>0.34</v>
      </c>
      <c r="G8">
        <v>0.14000000000000001</v>
      </c>
      <c r="H8">
        <v>0.52</v>
      </c>
      <c r="I8">
        <v>0.61</v>
      </c>
      <c r="J8">
        <v>0.64</v>
      </c>
      <c r="K8">
        <v>3.9E-2</v>
      </c>
      <c r="L8">
        <v>1.2E-2</v>
      </c>
      <c r="M8">
        <v>0.04</v>
      </c>
    </row>
    <row r="9" spans="1:13" x14ac:dyDescent="0.25">
      <c r="A9" s="14" t="s">
        <v>5</v>
      </c>
      <c r="B9" s="3">
        <v>9.2187500000000006E-2</v>
      </c>
      <c r="C9" s="3">
        <v>6.9324090121317156E-2</v>
      </c>
      <c r="D9">
        <v>5270</v>
      </c>
      <c r="E9">
        <v>4816</v>
      </c>
      <c r="F9">
        <v>0.42</v>
      </c>
      <c r="G9">
        <v>0.35</v>
      </c>
      <c r="H9">
        <v>0.22999999999999998</v>
      </c>
      <c r="I9">
        <v>0.42</v>
      </c>
      <c r="J9">
        <v>0.59</v>
      </c>
      <c r="K9">
        <v>4.7E-2</v>
      </c>
      <c r="L9">
        <v>1.0999999999999999E-2</v>
      </c>
      <c r="M9">
        <v>4.8000000000000001E-2</v>
      </c>
    </row>
    <row r="10" spans="1:13" x14ac:dyDescent="0.25">
      <c r="A10" s="14" t="s">
        <v>6</v>
      </c>
      <c r="B10" s="3">
        <v>7.4479166666666666E-2</v>
      </c>
      <c r="C10" s="3">
        <v>6.8168688619295204E-2</v>
      </c>
      <c r="D10">
        <v>5270</v>
      </c>
      <c r="E10">
        <v>5080</v>
      </c>
      <c r="F10">
        <v>0.21</v>
      </c>
      <c r="G10">
        <v>0.16</v>
      </c>
      <c r="H10">
        <v>0.63</v>
      </c>
      <c r="I10">
        <v>0.4</v>
      </c>
      <c r="J10">
        <v>0.67</v>
      </c>
      <c r="K10">
        <v>4.2999999999999997E-2</v>
      </c>
      <c r="L10">
        <v>1.4999999999999999E-2</v>
      </c>
      <c r="M10">
        <v>3.7999999999999999E-2</v>
      </c>
    </row>
    <row r="11" spans="1:13" x14ac:dyDescent="0.25">
      <c r="A11" s="14" t="s">
        <v>7</v>
      </c>
      <c r="B11" s="3">
        <v>5.9687499999999998E-2</v>
      </c>
      <c r="C11" s="3">
        <v>7.7411900635470821E-2</v>
      </c>
      <c r="D11">
        <v>7150</v>
      </c>
      <c r="E11">
        <v>6080</v>
      </c>
      <c r="F11">
        <v>0.45</v>
      </c>
      <c r="G11">
        <v>0.3</v>
      </c>
      <c r="H11">
        <v>0.25</v>
      </c>
      <c r="I11">
        <v>0.43</v>
      </c>
      <c r="J11">
        <v>0.46</v>
      </c>
      <c r="K11">
        <v>3.6999999999999998E-2</v>
      </c>
      <c r="L11">
        <v>0.01</v>
      </c>
      <c r="M11">
        <v>5.2999999999999999E-2</v>
      </c>
    </row>
    <row r="12" spans="1:13" x14ac:dyDescent="0.25">
      <c r="A12" s="14" t="s">
        <v>8</v>
      </c>
      <c r="B12" s="3">
        <v>5.2395833333333336E-2</v>
      </c>
      <c r="C12" s="3">
        <v>9.4742923165800116E-2</v>
      </c>
      <c r="D12">
        <v>9620</v>
      </c>
      <c r="E12">
        <v>6496</v>
      </c>
      <c r="F12">
        <v>0.38</v>
      </c>
      <c r="G12">
        <v>0.27</v>
      </c>
      <c r="H12">
        <v>0.35</v>
      </c>
      <c r="I12">
        <v>0.5</v>
      </c>
      <c r="J12">
        <v>0.57999999999999996</v>
      </c>
      <c r="K12">
        <v>4.2000000000000003E-2</v>
      </c>
      <c r="L12">
        <v>1.6E-2</v>
      </c>
      <c r="M12">
        <v>3.4000000000000002E-2</v>
      </c>
    </row>
    <row r="13" spans="1:13" x14ac:dyDescent="0.25">
      <c r="A13" s="14" t="s">
        <v>9</v>
      </c>
      <c r="B13" s="3">
        <v>5.4895833333333331E-2</v>
      </c>
      <c r="C13" s="3">
        <v>0.10167533217793183</v>
      </c>
      <c r="D13">
        <v>10970</v>
      </c>
      <c r="E13">
        <v>5752</v>
      </c>
      <c r="F13">
        <v>0.5</v>
      </c>
      <c r="G13">
        <v>0.37</v>
      </c>
      <c r="H13">
        <v>0.13</v>
      </c>
      <c r="I13">
        <v>0.74</v>
      </c>
      <c r="J13">
        <v>0.71</v>
      </c>
      <c r="K13">
        <v>4.3999999999999997E-2</v>
      </c>
      <c r="L13">
        <v>1.4E-2</v>
      </c>
      <c r="M13">
        <v>4.1000000000000002E-2</v>
      </c>
    </row>
    <row r="14" spans="1:13" x14ac:dyDescent="0.25">
      <c r="A14" s="14" t="s">
        <v>10</v>
      </c>
      <c r="B14" s="3">
        <v>6.6458333333333328E-2</v>
      </c>
      <c r="C14" s="3">
        <v>9.7053726169844021E-2</v>
      </c>
      <c r="D14">
        <v>10270</v>
      </c>
      <c r="E14">
        <v>5200</v>
      </c>
      <c r="F14">
        <v>0.3</v>
      </c>
      <c r="G14">
        <v>0.34</v>
      </c>
      <c r="H14">
        <v>0.36</v>
      </c>
      <c r="I14">
        <v>0.57999999999999996</v>
      </c>
      <c r="J14">
        <v>0.61</v>
      </c>
      <c r="K14">
        <v>3.3000000000000002E-2</v>
      </c>
      <c r="L14">
        <v>2.4E-2</v>
      </c>
      <c r="M14">
        <v>3.3000000000000002E-2</v>
      </c>
    </row>
    <row r="15" spans="1:13" x14ac:dyDescent="0.25">
      <c r="A15" s="14" t="s">
        <v>11</v>
      </c>
      <c r="B15" s="3">
        <v>8.3333333333333329E-2</v>
      </c>
      <c r="C15" s="3">
        <v>8.6655112651646451E-2</v>
      </c>
      <c r="D15">
        <v>8000</v>
      </c>
      <c r="E15">
        <v>5640</v>
      </c>
      <c r="F15">
        <v>0.42</v>
      </c>
      <c r="G15">
        <v>0.12</v>
      </c>
      <c r="H15">
        <v>0.45999999999999996</v>
      </c>
      <c r="I15">
        <v>0.67</v>
      </c>
      <c r="J15">
        <v>0.65</v>
      </c>
      <c r="K15">
        <v>4.2000000000000003E-2</v>
      </c>
      <c r="L15">
        <v>1.2E-2</v>
      </c>
      <c r="M15">
        <v>0.05</v>
      </c>
    </row>
    <row r="16" spans="1:13" x14ac:dyDescent="0.25">
      <c r="A16" s="14" t="s">
        <v>41</v>
      </c>
      <c r="B16" s="3">
        <v>8.3333333333333329E-2</v>
      </c>
      <c r="C16" s="3">
        <v>8.3333333333333329E-2</v>
      </c>
      <c r="D16">
        <v>102560</v>
      </c>
      <c r="E16">
        <v>71704</v>
      </c>
      <c r="F16">
        <v>0.38500000000000001</v>
      </c>
      <c r="G16">
        <v>0.24083333333333334</v>
      </c>
      <c r="H16">
        <v>0.3741666666666667</v>
      </c>
      <c r="I16">
        <v>0.55249999999999999</v>
      </c>
      <c r="J16">
        <v>0.63416666666666666</v>
      </c>
      <c r="K16">
        <v>3.9749999999999994E-2</v>
      </c>
      <c r="L16">
        <v>1.4916666666666668E-2</v>
      </c>
      <c r="M16">
        <v>4.2500000000000003E-2</v>
      </c>
    </row>
    <row r="20" spans="1:13" x14ac:dyDescent="0.25">
      <c r="A20" s="13" t="s">
        <v>40</v>
      </c>
      <c r="B20" t="s">
        <v>44</v>
      </c>
      <c r="C20" t="s">
        <v>45</v>
      </c>
      <c r="D20" t="s">
        <v>42</v>
      </c>
      <c r="E20" t="s">
        <v>43</v>
      </c>
      <c r="F20" t="s">
        <v>47</v>
      </c>
      <c r="G20" t="s">
        <v>48</v>
      </c>
      <c r="H20" t="s">
        <v>49</v>
      </c>
      <c r="I20" t="s">
        <v>50</v>
      </c>
      <c r="J20" t="s">
        <v>51</v>
      </c>
      <c r="K20" t="s">
        <v>52</v>
      </c>
      <c r="L20" t="s">
        <v>53</v>
      </c>
      <c r="M20" t="s">
        <v>54</v>
      </c>
    </row>
    <row r="21" spans="1:13" x14ac:dyDescent="0.25">
      <c r="A21" s="14" t="s">
        <v>0</v>
      </c>
      <c r="B21" s="3">
        <v>8.3333333333333329E-2</v>
      </c>
      <c r="C21" s="3">
        <v>7.8567302137492773E-2</v>
      </c>
      <c r="D21">
        <v>8000</v>
      </c>
      <c r="E21">
        <v>6120</v>
      </c>
      <c r="F21">
        <v>0.45</v>
      </c>
      <c r="G21">
        <v>0.21</v>
      </c>
      <c r="H21">
        <v>0.33999999999999997</v>
      </c>
      <c r="I21">
        <v>0.69</v>
      </c>
      <c r="J21">
        <v>0.61</v>
      </c>
      <c r="K21">
        <v>3.3000000000000002E-2</v>
      </c>
      <c r="L21">
        <v>1.4999999999999999E-2</v>
      </c>
      <c r="M21">
        <v>5.3999999999999999E-2</v>
      </c>
    </row>
    <row r="22" spans="1:13" x14ac:dyDescent="0.25">
      <c r="A22" s="14" t="s">
        <v>1</v>
      </c>
      <c r="B22" s="3">
        <v>0.10020833333333333</v>
      </c>
      <c r="C22" s="3">
        <v>7.3367995378393988E-2</v>
      </c>
      <c r="D22">
        <v>10270</v>
      </c>
      <c r="E22">
        <v>7000</v>
      </c>
      <c r="F22">
        <v>0.48</v>
      </c>
      <c r="G22">
        <v>0.18</v>
      </c>
      <c r="H22">
        <v>0.34000000000000008</v>
      </c>
      <c r="I22">
        <v>0.56999999999999995</v>
      </c>
      <c r="J22">
        <v>0.71</v>
      </c>
      <c r="K22">
        <v>4.1000000000000002E-2</v>
      </c>
      <c r="L22">
        <v>1.6E-2</v>
      </c>
      <c r="M22">
        <v>4.5999999999999999E-2</v>
      </c>
    </row>
    <row r="23" spans="1:13" x14ac:dyDescent="0.25">
      <c r="A23" s="14" t="s">
        <v>2</v>
      </c>
      <c r="B23" s="3">
        <v>0.11177083333333333</v>
      </c>
      <c r="C23" s="3">
        <v>8.0300404390525701E-2</v>
      </c>
      <c r="D23">
        <v>10970</v>
      </c>
      <c r="E23">
        <v>7400</v>
      </c>
      <c r="F23">
        <v>0.32</v>
      </c>
      <c r="G23">
        <v>0.24</v>
      </c>
      <c r="H23">
        <v>0.43999999999999995</v>
      </c>
      <c r="I23">
        <v>0.57999999999999996</v>
      </c>
      <c r="J23">
        <v>0.59</v>
      </c>
      <c r="K23">
        <v>3.2000000000000001E-2</v>
      </c>
      <c r="L23">
        <v>1.4E-2</v>
      </c>
      <c r="M23">
        <v>3.1E-2</v>
      </c>
    </row>
    <row r="24" spans="1:13" x14ac:dyDescent="0.25">
      <c r="A24" s="14" t="s">
        <v>3</v>
      </c>
      <c r="B24" s="3">
        <v>0.11427083333333334</v>
      </c>
      <c r="C24" s="3">
        <v>8.9543616406701332E-2</v>
      </c>
      <c r="D24">
        <v>9620</v>
      </c>
      <c r="E24">
        <v>6680</v>
      </c>
      <c r="F24">
        <v>0.35</v>
      </c>
      <c r="G24">
        <v>0.21</v>
      </c>
      <c r="H24">
        <v>0.44000000000000006</v>
      </c>
      <c r="I24">
        <v>0.44</v>
      </c>
      <c r="J24">
        <v>0.79</v>
      </c>
      <c r="K24">
        <v>4.3999999999999997E-2</v>
      </c>
      <c r="L24">
        <v>0.02</v>
      </c>
      <c r="M24">
        <v>4.2000000000000003E-2</v>
      </c>
    </row>
    <row r="25" spans="1:13" x14ac:dyDescent="0.25">
      <c r="A25" s="14" t="s">
        <v>4</v>
      </c>
      <c r="B25" s="3">
        <v>0.10697916666666667</v>
      </c>
      <c r="C25" s="3">
        <v>8.3188908145580595E-2</v>
      </c>
      <c r="D25">
        <v>7150</v>
      </c>
      <c r="E25">
        <v>5440</v>
      </c>
      <c r="F25">
        <v>0.34</v>
      </c>
      <c r="G25">
        <v>0.14000000000000001</v>
      </c>
      <c r="H25">
        <v>0.52</v>
      </c>
      <c r="I25">
        <v>0.61</v>
      </c>
      <c r="J25">
        <v>0.64</v>
      </c>
      <c r="K25">
        <v>3.9E-2</v>
      </c>
      <c r="L25">
        <v>1.2E-2</v>
      </c>
      <c r="M25">
        <v>0.04</v>
      </c>
    </row>
    <row r="26" spans="1:13" x14ac:dyDescent="0.25">
      <c r="A26" s="14" t="s">
        <v>5</v>
      </c>
      <c r="B26" s="3">
        <v>9.2187500000000006E-2</v>
      </c>
      <c r="C26" s="3">
        <v>6.9324090121317156E-2</v>
      </c>
      <c r="D26">
        <v>5270</v>
      </c>
      <c r="E26">
        <v>4816</v>
      </c>
      <c r="F26">
        <v>0.42</v>
      </c>
      <c r="G26">
        <v>0.35</v>
      </c>
      <c r="H26">
        <v>0.22999999999999998</v>
      </c>
      <c r="I26">
        <v>0.42</v>
      </c>
      <c r="J26">
        <v>0.59</v>
      </c>
      <c r="K26">
        <v>4.7E-2</v>
      </c>
      <c r="L26">
        <v>1.0999999999999999E-2</v>
      </c>
      <c r="M26">
        <v>4.8000000000000001E-2</v>
      </c>
    </row>
    <row r="27" spans="1:13" x14ac:dyDescent="0.25">
      <c r="A27" s="14" t="s">
        <v>6</v>
      </c>
      <c r="B27" s="3">
        <v>7.4479166666666666E-2</v>
      </c>
      <c r="C27" s="3">
        <v>6.8168688619295204E-2</v>
      </c>
      <c r="D27">
        <v>5270</v>
      </c>
      <c r="E27">
        <v>5080</v>
      </c>
      <c r="F27">
        <v>0.21</v>
      </c>
      <c r="G27">
        <v>0.16</v>
      </c>
      <c r="H27">
        <v>0.63</v>
      </c>
      <c r="I27">
        <v>0.4</v>
      </c>
      <c r="J27">
        <v>0.67</v>
      </c>
      <c r="K27">
        <v>4.2999999999999997E-2</v>
      </c>
      <c r="L27">
        <v>1.4999999999999999E-2</v>
      </c>
      <c r="M27">
        <v>3.7999999999999999E-2</v>
      </c>
    </row>
    <row r="28" spans="1:13" x14ac:dyDescent="0.25">
      <c r="A28" s="14" t="s">
        <v>7</v>
      </c>
      <c r="B28" s="3">
        <v>5.9687499999999998E-2</v>
      </c>
      <c r="C28" s="3">
        <v>7.7411900635470821E-2</v>
      </c>
      <c r="D28">
        <v>7150</v>
      </c>
      <c r="E28">
        <v>6080</v>
      </c>
      <c r="F28">
        <v>0.45</v>
      </c>
      <c r="G28">
        <v>0.3</v>
      </c>
      <c r="H28">
        <v>0.25</v>
      </c>
      <c r="I28">
        <v>0.43</v>
      </c>
      <c r="J28">
        <v>0.46</v>
      </c>
      <c r="K28">
        <v>3.6999999999999998E-2</v>
      </c>
      <c r="L28">
        <v>0.01</v>
      </c>
      <c r="M28">
        <v>5.2999999999999999E-2</v>
      </c>
    </row>
    <row r="29" spans="1:13" x14ac:dyDescent="0.25">
      <c r="A29" s="14" t="s">
        <v>8</v>
      </c>
      <c r="B29" s="3">
        <v>5.2395833333333336E-2</v>
      </c>
      <c r="C29" s="3">
        <v>9.4742923165800116E-2</v>
      </c>
      <c r="D29">
        <v>9620</v>
      </c>
      <c r="E29">
        <v>6496</v>
      </c>
      <c r="F29">
        <v>0.38</v>
      </c>
      <c r="G29">
        <v>0.27</v>
      </c>
      <c r="H29">
        <v>0.35</v>
      </c>
      <c r="I29">
        <v>0.5</v>
      </c>
      <c r="J29">
        <v>0.57999999999999996</v>
      </c>
      <c r="K29">
        <v>4.2000000000000003E-2</v>
      </c>
      <c r="L29">
        <v>1.6E-2</v>
      </c>
      <c r="M29">
        <v>3.4000000000000002E-2</v>
      </c>
    </row>
    <row r="30" spans="1:13" x14ac:dyDescent="0.25">
      <c r="A30" s="14" t="s">
        <v>9</v>
      </c>
      <c r="B30" s="3">
        <v>5.4895833333333331E-2</v>
      </c>
      <c r="C30" s="3">
        <v>0.10167533217793183</v>
      </c>
      <c r="D30">
        <v>10970</v>
      </c>
      <c r="E30">
        <v>5752</v>
      </c>
      <c r="F30">
        <v>0.5</v>
      </c>
      <c r="G30">
        <v>0.37</v>
      </c>
      <c r="H30">
        <v>0.13</v>
      </c>
      <c r="I30">
        <v>0.74</v>
      </c>
      <c r="J30">
        <v>0.71</v>
      </c>
      <c r="K30">
        <v>4.3999999999999997E-2</v>
      </c>
      <c r="L30">
        <v>1.4E-2</v>
      </c>
      <c r="M30">
        <v>4.1000000000000002E-2</v>
      </c>
    </row>
    <row r="31" spans="1:13" x14ac:dyDescent="0.25">
      <c r="A31" s="14" t="s">
        <v>10</v>
      </c>
      <c r="B31" s="3">
        <v>6.6458333333333328E-2</v>
      </c>
      <c r="C31" s="3">
        <v>9.7053726169844021E-2</v>
      </c>
      <c r="D31">
        <v>10270</v>
      </c>
      <c r="E31">
        <v>5200</v>
      </c>
      <c r="F31">
        <v>0.3</v>
      </c>
      <c r="G31">
        <v>0.34</v>
      </c>
      <c r="H31">
        <v>0.36</v>
      </c>
      <c r="I31">
        <v>0.57999999999999996</v>
      </c>
      <c r="J31">
        <v>0.61</v>
      </c>
      <c r="K31">
        <v>3.3000000000000002E-2</v>
      </c>
      <c r="L31">
        <v>2.4E-2</v>
      </c>
      <c r="M31">
        <v>3.3000000000000002E-2</v>
      </c>
    </row>
    <row r="32" spans="1:13" x14ac:dyDescent="0.25">
      <c r="A32" s="14" t="s">
        <v>11</v>
      </c>
      <c r="B32" s="3">
        <v>8.3333333333333329E-2</v>
      </c>
      <c r="C32" s="3">
        <v>8.6655112651646451E-2</v>
      </c>
      <c r="D32">
        <v>8000</v>
      </c>
      <c r="E32">
        <v>5640</v>
      </c>
      <c r="F32">
        <v>0.42</v>
      </c>
      <c r="G32">
        <v>0.12</v>
      </c>
      <c r="H32">
        <v>0.45999999999999996</v>
      </c>
      <c r="I32">
        <v>0.67</v>
      </c>
      <c r="J32">
        <v>0.65</v>
      </c>
      <c r="K32">
        <v>4.2000000000000003E-2</v>
      </c>
      <c r="L32">
        <v>1.2E-2</v>
      </c>
      <c r="M32">
        <v>0.05</v>
      </c>
    </row>
    <row r="33" spans="1:13" x14ac:dyDescent="0.25">
      <c r="A33" s="14" t="s">
        <v>41</v>
      </c>
      <c r="B33" s="3">
        <v>8.3333333333333329E-2</v>
      </c>
      <c r="C33" s="3">
        <v>8.3333333333333329E-2</v>
      </c>
      <c r="D33">
        <v>102560</v>
      </c>
      <c r="E33">
        <v>71704</v>
      </c>
      <c r="F33">
        <v>0.38500000000000001</v>
      </c>
      <c r="G33">
        <v>0.24083333333333334</v>
      </c>
      <c r="H33">
        <v>0.3741666666666667</v>
      </c>
      <c r="I33">
        <v>0.55249999999999999</v>
      </c>
      <c r="J33">
        <v>0.63416666666666666</v>
      </c>
      <c r="K33">
        <v>3.9749999999999994E-2</v>
      </c>
      <c r="L33">
        <v>1.4916666666666668E-2</v>
      </c>
      <c r="M33">
        <v>4.2500000000000003E-2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00B30-71FD-4CCB-84CF-5ABC55148D8F}">
  <dimension ref="A1:T50"/>
  <sheetViews>
    <sheetView topLeftCell="I1" workbookViewId="0">
      <selection activeCell="P1" sqref="P1:T2"/>
    </sheetView>
  </sheetViews>
  <sheetFormatPr defaultRowHeight="15" x14ac:dyDescent="0.25"/>
  <cols>
    <col min="5" max="5" width="14.7109375" customWidth="1"/>
    <col min="6" max="6" width="13.85546875" customWidth="1"/>
    <col min="7" max="7" width="15.42578125" customWidth="1"/>
    <col min="8" max="8" width="17.140625" customWidth="1"/>
    <col min="9" max="9" width="15.85546875" customWidth="1"/>
    <col min="10" max="11" width="13.85546875" customWidth="1"/>
    <col min="13" max="13" width="13.140625" customWidth="1"/>
  </cols>
  <sheetData>
    <row r="1" spans="1:20" ht="15" customHeight="1" x14ac:dyDescent="0.25">
      <c r="C1" t="s">
        <v>35</v>
      </c>
      <c r="E1" t="s">
        <v>24</v>
      </c>
      <c r="G1" t="s">
        <v>25</v>
      </c>
      <c r="J1" t="s">
        <v>29</v>
      </c>
      <c r="L1" t="s">
        <v>32</v>
      </c>
      <c r="P1" s="16"/>
      <c r="Q1" s="16"/>
      <c r="R1" s="16"/>
      <c r="S1" s="16"/>
      <c r="T1" s="16"/>
    </row>
    <row r="2" spans="1:20" ht="15" customHeight="1" x14ac:dyDescent="0.25">
      <c r="A2" s="12" t="s">
        <v>37</v>
      </c>
      <c r="B2" s="12" t="s">
        <v>38</v>
      </c>
      <c r="C2" s="12" t="s">
        <v>18</v>
      </c>
      <c r="D2" s="12" t="s">
        <v>19</v>
      </c>
      <c r="E2" s="8" t="s">
        <v>22</v>
      </c>
      <c r="F2" s="8" t="s">
        <v>23</v>
      </c>
      <c r="G2" s="8" t="s">
        <v>27</v>
      </c>
      <c r="H2" s="8" t="s">
        <v>28</v>
      </c>
      <c r="I2" s="8" t="s">
        <v>26</v>
      </c>
      <c r="J2" s="8" t="s">
        <v>30</v>
      </c>
      <c r="K2" s="8" t="s">
        <v>31</v>
      </c>
      <c r="L2" s="8" t="s">
        <v>39</v>
      </c>
      <c r="M2" s="8" t="s">
        <v>33</v>
      </c>
      <c r="N2" s="8" t="s">
        <v>46</v>
      </c>
      <c r="P2" s="16"/>
      <c r="Q2" s="16"/>
      <c r="R2" s="16"/>
      <c r="S2" s="16"/>
      <c r="T2" s="16"/>
    </row>
    <row r="3" spans="1:20" x14ac:dyDescent="0.25">
      <c r="A3" s="2">
        <v>2025</v>
      </c>
      <c r="B3" s="2" t="s">
        <v>0</v>
      </c>
      <c r="C3" s="7">
        <v>6.3257210249812373E-2</v>
      </c>
      <c r="D3" s="7">
        <v>7.7971583689499829E-2</v>
      </c>
      <c r="E3" s="15">
        <v>9300</v>
      </c>
      <c r="F3" s="15">
        <v>7600</v>
      </c>
      <c r="G3" s="7">
        <v>0.21</v>
      </c>
      <c r="H3" s="7">
        <v>0.14000000000000001</v>
      </c>
      <c r="I3" s="7">
        <v>0.65</v>
      </c>
      <c r="J3" s="7">
        <v>0.54</v>
      </c>
      <c r="K3" s="7">
        <v>0.68</v>
      </c>
      <c r="L3" s="7">
        <v>4.9000000000000002E-2</v>
      </c>
      <c r="M3" s="7">
        <v>6.0000000000000001E-3</v>
      </c>
      <c r="N3" s="7">
        <v>3.9E-2</v>
      </c>
      <c r="P3" s="16"/>
    </row>
    <row r="4" spans="1:20" x14ac:dyDescent="0.25">
      <c r="A4" s="2">
        <v>2025</v>
      </c>
      <c r="B4" s="2" t="s">
        <v>1</v>
      </c>
      <c r="C4" s="7">
        <v>8.6951860190843791E-2</v>
      </c>
      <c r="D4" s="7">
        <v>7.2311424280928724E-2</v>
      </c>
      <c r="E4" s="15">
        <v>9550</v>
      </c>
      <c r="F4" s="15">
        <v>6400</v>
      </c>
      <c r="G4" s="7">
        <v>0.43</v>
      </c>
      <c r="H4" s="7">
        <v>0.28999999999999998</v>
      </c>
      <c r="I4" s="7">
        <v>0.28000000000000003</v>
      </c>
      <c r="J4" s="7">
        <v>0.5</v>
      </c>
      <c r="K4" s="7">
        <v>0.67</v>
      </c>
      <c r="L4" s="7">
        <v>4.5999999999999999E-2</v>
      </c>
      <c r="M4" s="7">
        <v>1.6E-2</v>
      </c>
      <c r="N4" s="7">
        <v>5.3999999999999999E-2</v>
      </c>
      <c r="P4" s="16"/>
    </row>
    <row r="5" spans="1:20" x14ac:dyDescent="0.25">
      <c r="A5" s="2">
        <v>2025</v>
      </c>
      <c r="B5" s="2" t="s">
        <v>2</v>
      </c>
      <c r="C5" s="7">
        <v>9.0382759729816659E-2</v>
      </c>
      <c r="D5" s="7">
        <v>7.9357745177313158E-2</v>
      </c>
      <c r="E5" s="15">
        <v>10800</v>
      </c>
      <c r="F5" s="15">
        <v>4960</v>
      </c>
      <c r="G5" s="7">
        <v>0.3</v>
      </c>
      <c r="H5" s="7">
        <v>0.25</v>
      </c>
      <c r="I5" s="7">
        <v>0.44999999999999996</v>
      </c>
      <c r="J5" s="7">
        <v>0.4</v>
      </c>
      <c r="K5" s="7">
        <v>0.8</v>
      </c>
      <c r="L5" s="7">
        <v>4.2999999999999997E-2</v>
      </c>
      <c r="M5" s="7">
        <v>1.7000000000000001E-2</v>
      </c>
      <c r="N5" s="7">
        <v>4.5999999999999999E-2</v>
      </c>
      <c r="P5" s="16"/>
    </row>
    <row r="6" spans="1:20" x14ac:dyDescent="0.25">
      <c r="A6" s="2">
        <v>2025</v>
      </c>
      <c r="B6" s="2" t="s">
        <v>3</v>
      </c>
      <c r="C6" s="7">
        <v>7.8481826954004505E-2</v>
      </c>
      <c r="D6" s="7">
        <v>9.0793577451773133E-2</v>
      </c>
      <c r="E6" s="15">
        <v>11350</v>
      </c>
      <c r="F6" s="15">
        <v>4000</v>
      </c>
      <c r="G6" s="7">
        <v>0.4</v>
      </c>
      <c r="H6" s="7">
        <v>0.23</v>
      </c>
      <c r="I6" s="7">
        <v>0.37</v>
      </c>
      <c r="J6" s="7">
        <v>0.69</v>
      </c>
      <c r="K6" s="7">
        <v>0.71</v>
      </c>
      <c r="L6" s="7">
        <v>3.9E-2</v>
      </c>
      <c r="M6" s="7">
        <v>8.0000000000000002E-3</v>
      </c>
      <c r="N6" s="7">
        <v>0.04</v>
      </c>
      <c r="P6" s="16"/>
    </row>
    <row r="7" spans="1:20" x14ac:dyDescent="0.25">
      <c r="A7" s="2">
        <v>2025</v>
      </c>
      <c r="B7" s="2" t="s">
        <v>4</v>
      </c>
      <c r="C7" s="7">
        <v>6.1220113648547229E-2</v>
      </c>
      <c r="D7" s="7">
        <v>8.4902391128566485E-2</v>
      </c>
      <c r="E7" s="15">
        <v>9900</v>
      </c>
      <c r="F7" s="15">
        <v>5120</v>
      </c>
      <c r="G7" s="7">
        <v>0.57999999999999996</v>
      </c>
      <c r="H7" s="7">
        <v>0.4</v>
      </c>
      <c r="I7" s="7">
        <v>2.0000000000000018E-2</v>
      </c>
      <c r="J7" s="7">
        <v>0.71</v>
      </c>
      <c r="K7" s="7">
        <v>0.8</v>
      </c>
      <c r="L7" s="7">
        <v>3.2000000000000001E-2</v>
      </c>
      <c r="M7" s="7">
        <v>8.9999999999999993E-3</v>
      </c>
      <c r="N7" s="7">
        <v>3.5999999999999997E-2</v>
      </c>
      <c r="P7" s="16"/>
    </row>
    <row r="8" spans="1:20" x14ac:dyDescent="0.25">
      <c r="A8" s="2">
        <v>2025</v>
      </c>
      <c r="B8" s="2" t="s">
        <v>5</v>
      </c>
      <c r="C8" s="7">
        <v>4.8032593545620242E-2</v>
      </c>
      <c r="D8" s="7">
        <v>7.0925262793115396E-2</v>
      </c>
      <c r="E8" s="15">
        <v>5450</v>
      </c>
      <c r="F8" s="15">
        <v>6480</v>
      </c>
      <c r="G8" s="7">
        <v>0.43</v>
      </c>
      <c r="H8" s="7">
        <v>0.19</v>
      </c>
      <c r="I8" s="7">
        <v>0.38</v>
      </c>
      <c r="J8" s="7">
        <v>0.69</v>
      </c>
      <c r="K8" s="7">
        <v>0.77</v>
      </c>
      <c r="L8" s="7">
        <v>0.03</v>
      </c>
      <c r="M8" s="7">
        <v>2.1000000000000001E-2</v>
      </c>
      <c r="N8" s="7">
        <v>4.5999999999999999E-2</v>
      </c>
      <c r="P8" s="16"/>
    </row>
    <row r="9" spans="1:20" x14ac:dyDescent="0.25">
      <c r="A9" s="2">
        <v>2025</v>
      </c>
      <c r="B9" s="2" t="s">
        <v>6</v>
      </c>
      <c r="C9" s="7">
        <v>5.5966548729495018E-2</v>
      </c>
      <c r="D9" s="7">
        <v>6.6997805244310968E-2</v>
      </c>
      <c r="E9" s="15">
        <v>4700</v>
      </c>
      <c r="F9" s="15">
        <v>7840</v>
      </c>
      <c r="G9" s="7">
        <v>0.52</v>
      </c>
      <c r="H9" s="7">
        <v>0.21</v>
      </c>
      <c r="I9" s="7">
        <v>0.27</v>
      </c>
      <c r="J9" s="7">
        <v>0.69</v>
      </c>
      <c r="K9" s="7">
        <v>0.67</v>
      </c>
      <c r="L9" s="7">
        <v>4.2000000000000003E-2</v>
      </c>
      <c r="M9" s="7">
        <v>1.7000000000000001E-2</v>
      </c>
      <c r="N9" s="7">
        <v>0.04</v>
      </c>
      <c r="P9" s="16"/>
    </row>
    <row r="10" spans="1:20" x14ac:dyDescent="0.25">
      <c r="A10" s="2">
        <v>2025</v>
      </c>
      <c r="B10" s="2" t="s">
        <v>7</v>
      </c>
      <c r="C10" s="7">
        <v>0.10367749544333656</v>
      </c>
      <c r="D10" s="7">
        <v>7.589234145777983E-2</v>
      </c>
      <c r="E10" s="15">
        <v>5980</v>
      </c>
      <c r="F10" s="15">
        <v>8800</v>
      </c>
      <c r="G10" s="7">
        <v>0.35</v>
      </c>
      <c r="H10" s="7">
        <v>0.15</v>
      </c>
      <c r="I10" s="7">
        <v>0.5</v>
      </c>
      <c r="J10" s="7">
        <v>0.66</v>
      </c>
      <c r="K10" s="7">
        <v>0.7</v>
      </c>
      <c r="L10" s="7">
        <v>3.5999999999999997E-2</v>
      </c>
      <c r="M10" s="7">
        <v>2.1000000000000001E-2</v>
      </c>
      <c r="N10" s="7">
        <v>0.04</v>
      </c>
      <c r="P10" s="16"/>
    </row>
    <row r="11" spans="1:20" x14ac:dyDescent="0.25">
      <c r="A11" s="2">
        <v>2025</v>
      </c>
      <c r="B11" s="2" t="s">
        <v>8</v>
      </c>
      <c r="C11" s="7">
        <v>0.11900932775812158</v>
      </c>
      <c r="D11" s="7">
        <v>9.3450386970082011E-2</v>
      </c>
      <c r="E11" s="15">
        <v>7550</v>
      </c>
      <c r="F11" s="15">
        <v>8240</v>
      </c>
      <c r="G11" s="7">
        <v>0.34</v>
      </c>
      <c r="H11" s="7">
        <v>0.2</v>
      </c>
      <c r="I11" s="7">
        <v>0.45999999999999996</v>
      </c>
      <c r="J11" s="7">
        <v>0.72</v>
      </c>
      <c r="K11" s="7">
        <v>0.47</v>
      </c>
      <c r="L11" s="7">
        <v>3.9E-2</v>
      </c>
      <c r="M11" s="7">
        <v>2.1000000000000001E-2</v>
      </c>
      <c r="N11" s="7">
        <v>3.1E-2</v>
      </c>
      <c r="P11" s="16"/>
    </row>
    <row r="12" spans="1:20" x14ac:dyDescent="0.25">
      <c r="A12" s="2">
        <v>2025</v>
      </c>
      <c r="B12" s="2" t="s">
        <v>9</v>
      </c>
      <c r="C12" s="7">
        <v>0.11321968478610486</v>
      </c>
      <c r="D12" s="7">
        <v>0.10373108467136422</v>
      </c>
      <c r="E12" s="15">
        <v>8510</v>
      </c>
      <c r="F12" s="15">
        <v>6800</v>
      </c>
      <c r="G12" s="7">
        <v>0.59</v>
      </c>
      <c r="H12" s="7">
        <v>0.31</v>
      </c>
      <c r="I12" s="7">
        <v>0.10000000000000009</v>
      </c>
      <c r="J12" s="7">
        <v>0.56000000000000005</v>
      </c>
      <c r="K12" s="7">
        <v>0.59</v>
      </c>
      <c r="L12" s="7">
        <v>4.4999999999999998E-2</v>
      </c>
      <c r="M12" s="7">
        <v>5.0000000000000001E-3</v>
      </c>
      <c r="N12" s="7">
        <v>0.04</v>
      </c>
      <c r="P12" s="16"/>
    </row>
    <row r="13" spans="1:20" x14ac:dyDescent="0.25">
      <c r="A13" s="2">
        <v>2025</v>
      </c>
      <c r="B13" s="2" t="s">
        <v>10</v>
      </c>
      <c r="C13" s="7">
        <v>8.2556020156534793E-2</v>
      </c>
      <c r="D13" s="7">
        <v>9.8186438720110888E-2</v>
      </c>
      <c r="E13" s="15">
        <v>8150</v>
      </c>
      <c r="F13" s="15">
        <v>5360</v>
      </c>
      <c r="G13" s="7">
        <v>0.45</v>
      </c>
      <c r="H13" s="7">
        <v>0.17</v>
      </c>
      <c r="I13" s="7">
        <v>0.38</v>
      </c>
      <c r="J13" s="7">
        <v>0.57999999999999996</v>
      </c>
      <c r="K13" s="7">
        <v>0.51</v>
      </c>
      <c r="L13" s="7">
        <v>4.1000000000000002E-2</v>
      </c>
      <c r="M13" s="7">
        <v>2.5000000000000001E-2</v>
      </c>
      <c r="N13" s="7">
        <v>3.6999999999999998E-2</v>
      </c>
      <c r="P13" s="16"/>
    </row>
    <row r="14" spans="1:20" x14ac:dyDescent="0.25">
      <c r="A14" s="2">
        <v>2025</v>
      </c>
      <c r="B14" s="2" t="s">
        <v>11</v>
      </c>
      <c r="C14" s="7">
        <v>9.7244558807762407E-2</v>
      </c>
      <c r="D14" s="7">
        <v>8.5479958415155363E-2</v>
      </c>
      <c r="E14" s="15">
        <v>6120</v>
      </c>
      <c r="F14" s="15">
        <v>4160</v>
      </c>
      <c r="G14" s="7">
        <v>0.3</v>
      </c>
      <c r="H14" s="7">
        <v>0.24</v>
      </c>
      <c r="I14" s="7">
        <v>0.45999999999999996</v>
      </c>
      <c r="J14" s="7">
        <v>0.4</v>
      </c>
      <c r="K14" s="7">
        <v>0.46</v>
      </c>
      <c r="L14" s="7">
        <v>4.2000000000000003E-2</v>
      </c>
      <c r="M14" s="7">
        <v>2.1000000000000001E-2</v>
      </c>
      <c r="N14" s="7">
        <v>4.2000000000000003E-2</v>
      </c>
      <c r="P14" s="16"/>
    </row>
    <row r="15" spans="1:20" x14ac:dyDescent="0.25">
      <c r="A15" s="2">
        <v>2026</v>
      </c>
      <c r="B15" s="2" t="s">
        <v>0</v>
      </c>
      <c r="C15" s="7">
        <v>8.3333333333333329E-2</v>
      </c>
      <c r="D15" s="7">
        <v>7.8567302137492773E-2</v>
      </c>
      <c r="E15" s="15">
        <v>8000</v>
      </c>
      <c r="F15" s="15">
        <v>6120</v>
      </c>
      <c r="G15" s="7">
        <v>0.45</v>
      </c>
      <c r="H15" s="7">
        <v>0.21</v>
      </c>
      <c r="I15" s="7">
        <v>0.33999999999999997</v>
      </c>
      <c r="J15" s="7">
        <v>0.69</v>
      </c>
      <c r="K15" s="7">
        <v>0.61</v>
      </c>
      <c r="L15" s="7">
        <v>3.3000000000000002E-2</v>
      </c>
      <c r="M15" s="7">
        <v>1.4999999999999999E-2</v>
      </c>
      <c r="N15" s="7">
        <v>5.3999999999999999E-2</v>
      </c>
      <c r="P15" s="16"/>
    </row>
    <row r="16" spans="1:20" x14ac:dyDescent="0.25">
      <c r="A16" s="2">
        <v>2026</v>
      </c>
      <c r="B16" s="2" t="s">
        <v>1</v>
      </c>
      <c r="C16" s="7">
        <v>0.10020833333333333</v>
      </c>
      <c r="D16" s="7">
        <v>7.3367995378393988E-2</v>
      </c>
      <c r="E16" s="15">
        <v>10270</v>
      </c>
      <c r="F16" s="15">
        <v>7000</v>
      </c>
      <c r="G16" s="7">
        <v>0.48</v>
      </c>
      <c r="H16" s="7">
        <v>0.18</v>
      </c>
      <c r="I16" s="7">
        <v>0.34000000000000008</v>
      </c>
      <c r="J16" s="7">
        <v>0.56999999999999995</v>
      </c>
      <c r="K16" s="7">
        <v>0.71</v>
      </c>
      <c r="L16" s="7">
        <v>4.1000000000000002E-2</v>
      </c>
      <c r="M16" s="7">
        <v>1.6E-2</v>
      </c>
      <c r="N16" s="7">
        <v>4.5999999999999999E-2</v>
      </c>
      <c r="P16" s="16"/>
    </row>
    <row r="17" spans="1:16" x14ac:dyDescent="0.25">
      <c r="A17" s="2">
        <v>2026</v>
      </c>
      <c r="B17" s="2" t="s">
        <v>2</v>
      </c>
      <c r="C17" s="7">
        <v>0.11177083333333333</v>
      </c>
      <c r="D17" s="7">
        <v>8.0300404390525701E-2</v>
      </c>
      <c r="E17" s="15">
        <v>10970</v>
      </c>
      <c r="F17" s="15">
        <v>7400</v>
      </c>
      <c r="G17" s="7">
        <v>0.32</v>
      </c>
      <c r="H17" s="7">
        <v>0.24</v>
      </c>
      <c r="I17" s="7">
        <v>0.43999999999999995</v>
      </c>
      <c r="J17" s="7">
        <v>0.57999999999999996</v>
      </c>
      <c r="K17" s="7">
        <v>0.59</v>
      </c>
      <c r="L17" s="7">
        <v>3.2000000000000001E-2</v>
      </c>
      <c r="M17" s="7">
        <v>1.4E-2</v>
      </c>
      <c r="N17" s="7">
        <v>3.1E-2</v>
      </c>
      <c r="P17" s="16"/>
    </row>
    <row r="18" spans="1:16" x14ac:dyDescent="0.25">
      <c r="A18" s="2">
        <v>2026</v>
      </c>
      <c r="B18" s="2" t="s">
        <v>3</v>
      </c>
      <c r="C18" s="7">
        <v>0.11427083333333334</v>
      </c>
      <c r="D18" s="7">
        <v>8.9543616406701332E-2</v>
      </c>
      <c r="E18" s="15">
        <v>9620</v>
      </c>
      <c r="F18" s="15">
        <v>6680</v>
      </c>
      <c r="G18" s="7">
        <v>0.35</v>
      </c>
      <c r="H18" s="7">
        <v>0.21</v>
      </c>
      <c r="I18" s="7">
        <v>0.44000000000000006</v>
      </c>
      <c r="J18" s="7">
        <v>0.44</v>
      </c>
      <c r="K18" s="7">
        <v>0.79</v>
      </c>
      <c r="L18" s="7">
        <v>4.3999999999999997E-2</v>
      </c>
      <c r="M18" s="7">
        <v>0.02</v>
      </c>
      <c r="N18" s="7">
        <v>4.2000000000000003E-2</v>
      </c>
      <c r="P18" s="16"/>
    </row>
    <row r="19" spans="1:16" x14ac:dyDescent="0.25">
      <c r="A19" s="2">
        <v>2026</v>
      </c>
      <c r="B19" s="2" t="s">
        <v>4</v>
      </c>
      <c r="C19" s="7">
        <v>0.10697916666666667</v>
      </c>
      <c r="D19" s="7">
        <v>8.3188908145580595E-2</v>
      </c>
      <c r="E19" s="15">
        <v>7150</v>
      </c>
      <c r="F19" s="15">
        <v>5440</v>
      </c>
      <c r="G19" s="7">
        <v>0.34</v>
      </c>
      <c r="H19" s="7">
        <v>0.14000000000000001</v>
      </c>
      <c r="I19" s="7">
        <v>0.52</v>
      </c>
      <c r="J19" s="7">
        <v>0.61</v>
      </c>
      <c r="K19" s="7">
        <v>0.64</v>
      </c>
      <c r="L19" s="7">
        <v>3.9E-2</v>
      </c>
      <c r="M19" s="7">
        <v>1.2E-2</v>
      </c>
      <c r="N19" s="7">
        <v>0.04</v>
      </c>
      <c r="P19" s="16"/>
    </row>
    <row r="20" spans="1:16" x14ac:dyDescent="0.25">
      <c r="A20" s="2">
        <v>2026</v>
      </c>
      <c r="B20" s="2" t="s">
        <v>5</v>
      </c>
      <c r="C20" s="7">
        <v>9.2187500000000006E-2</v>
      </c>
      <c r="D20" s="7">
        <v>6.9324090121317156E-2</v>
      </c>
      <c r="E20" s="15">
        <v>5270</v>
      </c>
      <c r="F20" s="15">
        <v>4816</v>
      </c>
      <c r="G20" s="7">
        <v>0.42</v>
      </c>
      <c r="H20" s="7">
        <v>0.35</v>
      </c>
      <c r="I20" s="7">
        <v>0.22999999999999998</v>
      </c>
      <c r="J20" s="7">
        <v>0.42</v>
      </c>
      <c r="K20" s="7">
        <v>0.59</v>
      </c>
      <c r="L20" s="7">
        <v>4.7E-2</v>
      </c>
      <c r="M20" s="7">
        <v>1.0999999999999999E-2</v>
      </c>
      <c r="N20" s="7">
        <v>4.8000000000000001E-2</v>
      </c>
      <c r="P20" s="16"/>
    </row>
    <row r="21" spans="1:16" x14ac:dyDescent="0.25">
      <c r="A21" s="2">
        <v>2026</v>
      </c>
      <c r="B21" s="2" t="s">
        <v>6</v>
      </c>
      <c r="C21" s="7">
        <v>7.4479166666666666E-2</v>
      </c>
      <c r="D21" s="7">
        <v>6.8168688619295204E-2</v>
      </c>
      <c r="E21" s="15">
        <v>5270</v>
      </c>
      <c r="F21" s="15">
        <v>5080</v>
      </c>
      <c r="G21" s="7">
        <v>0.21</v>
      </c>
      <c r="H21" s="7">
        <v>0.16</v>
      </c>
      <c r="I21" s="7">
        <v>0.63</v>
      </c>
      <c r="J21" s="7">
        <v>0.4</v>
      </c>
      <c r="K21" s="7">
        <v>0.67</v>
      </c>
      <c r="L21" s="7">
        <v>4.2999999999999997E-2</v>
      </c>
      <c r="M21" s="7">
        <v>1.4999999999999999E-2</v>
      </c>
      <c r="N21" s="7">
        <v>3.7999999999999999E-2</v>
      </c>
      <c r="P21" s="16"/>
    </row>
    <row r="22" spans="1:16" x14ac:dyDescent="0.25">
      <c r="A22" s="2">
        <v>2026</v>
      </c>
      <c r="B22" s="2" t="s">
        <v>7</v>
      </c>
      <c r="C22" s="7">
        <v>5.9687499999999998E-2</v>
      </c>
      <c r="D22" s="7">
        <v>7.7411900635470821E-2</v>
      </c>
      <c r="E22" s="15">
        <v>7150</v>
      </c>
      <c r="F22" s="15">
        <v>6080</v>
      </c>
      <c r="G22" s="7">
        <v>0.45</v>
      </c>
      <c r="H22" s="7">
        <v>0.3</v>
      </c>
      <c r="I22" s="7">
        <v>0.25</v>
      </c>
      <c r="J22" s="7">
        <v>0.43</v>
      </c>
      <c r="K22" s="7">
        <v>0.46</v>
      </c>
      <c r="L22" s="7">
        <v>3.6999999999999998E-2</v>
      </c>
      <c r="M22" s="7">
        <v>0.01</v>
      </c>
      <c r="N22" s="7">
        <v>5.2999999999999999E-2</v>
      </c>
      <c r="P22" s="16"/>
    </row>
    <row r="23" spans="1:16" x14ac:dyDescent="0.25">
      <c r="A23" s="2">
        <v>2026</v>
      </c>
      <c r="B23" s="2" t="s">
        <v>8</v>
      </c>
      <c r="C23" s="7">
        <v>5.2395833333333336E-2</v>
      </c>
      <c r="D23" s="7">
        <v>9.4742923165800116E-2</v>
      </c>
      <c r="E23" s="15">
        <v>9620</v>
      </c>
      <c r="F23" s="15">
        <v>6496</v>
      </c>
      <c r="G23" s="7">
        <v>0.38</v>
      </c>
      <c r="H23" s="7">
        <v>0.27</v>
      </c>
      <c r="I23" s="7">
        <v>0.35</v>
      </c>
      <c r="J23" s="7">
        <v>0.5</v>
      </c>
      <c r="K23" s="7">
        <v>0.57999999999999996</v>
      </c>
      <c r="L23" s="7">
        <v>4.2000000000000003E-2</v>
      </c>
      <c r="M23" s="7">
        <v>1.6E-2</v>
      </c>
      <c r="N23" s="7">
        <v>3.4000000000000002E-2</v>
      </c>
      <c r="P23" s="16"/>
    </row>
    <row r="24" spans="1:16" x14ac:dyDescent="0.25">
      <c r="A24" s="2">
        <v>2026</v>
      </c>
      <c r="B24" s="2" t="s">
        <v>9</v>
      </c>
      <c r="C24" s="7">
        <v>5.4895833333333331E-2</v>
      </c>
      <c r="D24" s="7">
        <v>0.10167533217793183</v>
      </c>
      <c r="E24" s="15">
        <v>10970</v>
      </c>
      <c r="F24" s="15">
        <v>5752</v>
      </c>
      <c r="G24" s="7">
        <v>0.5</v>
      </c>
      <c r="H24" s="7">
        <v>0.37</v>
      </c>
      <c r="I24" s="7">
        <v>0.13</v>
      </c>
      <c r="J24" s="7">
        <v>0.74</v>
      </c>
      <c r="K24" s="7">
        <v>0.71</v>
      </c>
      <c r="L24" s="7">
        <v>4.3999999999999997E-2</v>
      </c>
      <c r="M24" s="7">
        <v>1.4E-2</v>
      </c>
      <c r="N24" s="7">
        <v>4.1000000000000002E-2</v>
      </c>
      <c r="P24" s="16"/>
    </row>
    <row r="25" spans="1:16" x14ac:dyDescent="0.25">
      <c r="A25" s="2">
        <v>2026</v>
      </c>
      <c r="B25" s="2" t="s">
        <v>10</v>
      </c>
      <c r="C25" s="7">
        <v>6.6458333333333328E-2</v>
      </c>
      <c r="D25" s="7">
        <v>9.7053726169844021E-2</v>
      </c>
      <c r="E25" s="15">
        <v>10270</v>
      </c>
      <c r="F25" s="15">
        <v>5200</v>
      </c>
      <c r="G25" s="7">
        <v>0.3</v>
      </c>
      <c r="H25" s="7">
        <v>0.34</v>
      </c>
      <c r="I25" s="7">
        <v>0.36</v>
      </c>
      <c r="J25" s="7">
        <v>0.57999999999999996</v>
      </c>
      <c r="K25" s="7">
        <v>0.61</v>
      </c>
      <c r="L25" s="7">
        <v>3.3000000000000002E-2</v>
      </c>
      <c r="M25" s="7">
        <v>2.4E-2</v>
      </c>
      <c r="N25" s="7">
        <v>3.3000000000000002E-2</v>
      </c>
      <c r="P25" s="16"/>
    </row>
    <row r="26" spans="1:16" x14ac:dyDescent="0.25">
      <c r="A26" s="2">
        <v>2026</v>
      </c>
      <c r="B26" s="2" t="s">
        <v>11</v>
      </c>
      <c r="C26" s="7">
        <v>8.3333333333333329E-2</v>
      </c>
      <c r="D26" s="7">
        <v>8.6655112651646451E-2</v>
      </c>
      <c r="E26" s="15">
        <v>8000</v>
      </c>
      <c r="F26" s="15">
        <v>5640</v>
      </c>
      <c r="G26" s="7">
        <v>0.42</v>
      </c>
      <c r="H26" s="7">
        <v>0.12</v>
      </c>
      <c r="I26" s="7">
        <v>0.45999999999999996</v>
      </c>
      <c r="J26" s="7">
        <v>0.67</v>
      </c>
      <c r="K26" s="7">
        <v>0.65</v>
      </c>
      <c r="L26" s="7">
        <v>4.2000000000000003E-2</v>
      </c>
      <c r="M26" s="7">
        <v>1.2E-2</v>
      </c>
      <c r="N26" s="7">
        <v>0.05</v>
      </c>
      <c r="P26" s="16"/>
    </row>
    <row r="27" spans="1:16" x14ac:dyDescent="0.25">
      <c r="A27" s="2">
        <v>2027</v>
      </c>
      <c r="B27" s="2" t="s">
        <v>0</v>
      </c>
      <c r="C27" s="7">
        <v>7.8003120124804995E-2</v>
      </c>
      <c r="D27" s="7">
        <v>7.8656699765703442E-2</v>
      </c>
      <c r="E27" s="15">
        <v>8000</v>
      </c>
      <c r="F27" s="15">
        <v>6000</v>
      </c>
      <c r="G27" s="7">
        <v>0.6</v>
      </c>
      <c r="H27" s="7">
        <v>0.2</v>
      </c>
      <c r="I27" s="7">
        <v>0.19999999999999996</v>
      </c>
      <c r="J27" s="7">
        <v>0.53</v>
      </c>
      <c r="K27" s="7">
        <v>0.74</v>
      </c>
      <c r="L27" s="7">
        <v>3.4000000000000002E-2</v>
      </c>
      <c r="M27" s="7">
        <v>1.7000000000000001E-2</v>
      </c>
      <c r="N27" s="7">
        <v>4.2000000000000003E-2</v>
      </c>
      <c r="P27" s="16"/>
    </row>
    <row r="28" spans="1:16" x14ac:dyDescent="0.25">
      <c r="A28" s="2">
        <v>2027</v>
      </c>
      <c r="B28" s="2" t="s">
        <v>1</v>
      </c>
      <c r="C28" s="7">
        <v>0.10013650546021841</v>
      </c>
      <c r="D28" s="7">
        <v>7.2520361486109561E-2</v>
      </c>
      <c r="E28" s="15">
        <v>6380</v>
      </c>
      <c r="F28" s="15">
        <v>6720</v>
      </c>
      <c r="G28" s="7">
        <v>0.44</v>
      </c>
      <c r="H28" s="7">
        <v>0.35</v>
      </c>
      <c r="I28" s="7">
        <v>0.20999999999999996</v>
      </c>
      <c r="J28" s="7">
        <v>0.57999999999999996</v>
      </c>
      <c r="K28" s="7">
        <v>0.8</v>
      </c>
      <c r="L28" s="7">
        <v>4.2000000000000003E-2</v>
      </c>
      <c r="M28" s="7">
        <v>1.4999999999999999E-2</v>
      </c>
      <c r="N28" s="7">
        <v>0.05</v>
      </c>
      <c r="P28" s="16"/>
    </row>
    <row r="29" spans="1:16" x14ac:dyDescent="0.25">
      <c r="A29" s="2">
        <v>2027</v>
      </c>
      <c r="B29" s="2" t="s">
        <v>2</v>
      </c>
      <c r="C29" s="7">
        <v>0.10696177847113884</v>
      </c>
      <c r="D29" s="7">
        <v>8.0218676782327344E-2</v>
      </c>
      <c r="E29" s="15">
        <v>5270</v>
      </c>
      <c r="F29" s="15">
        <v>7040</v>
      </c>
      <c r="G29" s="7">
        <v>0.35</v>
      </c>
      <c r="H29" s="7">
        <v>0.13</v>
      </c>
      <c r="I29" s="7">
        <v>0.52</v>
      </c>
      <c r="J29" s="7">
        <v>0.72</v>
      </c>
      <c r="K29" s="7">
        <v>0.63</v>
      </c>
      <c r="L29" s="7">
        <v>4.4999999999999998E-2</v>
      </c>
      <c r="M29" s="7">
        <v>1.4999999999999999E-2</v>
      </c>
      <c r="N29" s="7">
        <v>5.2999999999999999E-2</v>
      </c>
      <c r="P29" s="16"/>
    </row>
    <row r="30" spans="1:16" x14ac:dyDescent="0.25">
      <c r="A30" s="2">
        <v>2027</v>
      </c>
      <c r="B30" s="2" t="s">
        <v>3</v>
      </c>
      <c r="C30" s="7">
        <v>9.3798751950078002E-2</v>
      </c>
      <c r="D30" s="7">
        <v>9.0594666964186096E-2</v>
      </c>
      <c r="E30" s="15">
        <v>5030</v>
      </c>
      <c r="F30" s="15">
        <v>6560</v>
      </c>
      <c r="G30" s="7">
        <v>0.2</v>
      </c>
      <c r="H30" s="7">
        <v>0.17</v>
      </c>
      <c r="I30" s="7">
        <v>0.63</v>
      </c>
      <c r="J30" s="7">
        <v>0.4</v>
      </c>
      <c r="K30" s="7">
        <v>0.75</v>
      </c>
      <c r="L30" s="7">
        <v>0.03</v>
      </c>
      <c r="M30" s="7">
        <v>1.9E-2</v>
      </c>
      <c r="N30" s="7">
        <v>3.4000000000000002E-2</v>
      </c>
      <c r="P30" s="16"/>
    </row>
    <row r="31" spans="1:16" x14ac:dyDescent="0.25">
      <c r="A31" s="2">
        <v>2027</v>
      </c>
      <c r="B31" s="2" t="s">
        <v>4</v>
      </c>
      <c r="C31" s="7">
        <v>6.9715288611544468E-2</v>
      </c>
      <c r="D31" s="7">
        <v>8.4793038045297336E-2</v>
      </c>
      <c r="E31" s="15">
        <v>5730</v>
      </c>
      <c r="F31" s="15">
        <v>5360</v>
      </c>
      <c r="G31" s="7">
        <v>0.52</v>
      </c>
      <c r="H31" s="7">
        <v>0.37</v>
      </c>
      <c r="I31" s="7">
        <v>0.10999999999999999</v>
      </c>
      <c r="J31" s="7">
        <v>0.5</v>
      </c>
      <c r="K31" s="7">
        <v>0.68</v>
      </c>
      <c r="L31" s="7">
        <v>0.05</v>
      </c>
      <c r="M31" s="7">
        <v>1.7999999999999999E-2</v>
      </c>
      <c r="N31" s="7">
        <v>3.1E-2</v>
      </c>
      <c r="P31" s="16"/>
    </row>
    <row r="32" spans="1:16" x14ac:dyDescent="0.25">
      <c r="A32" s="2">
        <v>2027</v>
      </c>
      <c r="B32" s="2" t="s">
        <v>5</v>
      </c>
      <c r="C32" s="7">
        <v>5.1384555382215286E-2</v>
      </c>
      <c r="D32" s="7">
        <v>7.0846814682583956E-2</v>
      </c>
      <c r="E32" s="15">
        <v>7150</v>
      </c>
      <c r="F32" s="15">
        <v>4720</v>
      </c>
      <c r="G32" s="7">
        <v>0.54</v>
      </c>
      <c r="H32" s="7">
        <v>0.17</v>
      </c>
      <c r="I32" s="7">
        <v>0.28999999999999992</v>
      </c>
      <c r="J32" s="7">
        <v>0.53</v>
      </c>
      <c r="K32" s="7">
        <v>0.59</v>
      </c>
      <c r="L32" s="7">
        <v>5.1999999999999998E-2</v>
      </c>
      <c r="M32" s="7">
        <v>1.9E-2</v>
      </c>
      <c r="N32" s="7">
        <v>3.1E-2</v>
      </c>
      <c r="P32" s="16"/>
    </row>
    <row r="33" spans="1:16" x14ac:dyDescent="0.25">
      <c r="A33" s="2">
        <v>2027</v>
      </c>
      <c r="B33" s="2" t="s">
        <v>6</v>
      </c>
      <c r="C33" s="7">
        <v>5.1384555382215286E-2</v>
      </c>
      <c r="D33" s="7">
        <v>6.7165011714827624E-2</v>
      </c>
      <c r="E33" s="15">
        <v>8850</v>
      </c>
      <c r="F33" s="15">
        <v>4800</v>
      </c>
      <c r="G33" s="7">
        <v>0.42</v>
      </c>
      <c r="H33" s="7">
        <v>0.39</v>
      </c>
      <c r="I33" s="7">
        <v>0.18999999999999995</v>
      </c>
      <c r="J33" s="7">
        <v>0.61</v>
      </c>
      <c r="K33" s="7">
        <v>0.63</v>
      </c>
      <c r="L33" s="7">
        <v>4.5999999999999999E-2</v>
      </c>
      <c r="M33" s="7">
        <v>0.02</v>
      </c>
      <c r="N33" s="7">
        <v>3.2000000000000001E-2</v>
      </c>
      <c r="P33" s="16"/>
    </row>
    <row r="34" spans="1:16" x14ac:dyDescent="0.25">
      <c r="A34" s="2">
        <v>2027</v>
      </c>
      <c r="B34" s="2" t="s">
        <v>7</v>
      </c>
      <c r="C34" s="7">
        <v>6.9715288611544468E-2</v>
      </c>
      <c r="D34" s="7">
        <v>7.5867455093160771E-2</v>
      </c>
      <c r="E34" s="15">
        <v>10270</v>
      </c>
      <c r="F34" s="15">
        <v>5760</v>
      </c>
      <c r="G34" s="7">
        <v>0.31</v>
      </c>
      <c r="H34" s="7">
        <v>0.4</v>
      </c>
      <c r="I34" s="7">
        <v>0.29000000000000004</v>
      </c>
      <c r="J34" s="7">
        <v>0.67</v>
      </c>
      <c r="K34" s="7">
        <v>0.78</v>
      </c>
      <c r="L34" s="7">
        <v>0.03</v>
      </c>
      <c r="M34" s="7">
        <v>1.0999999999999999E-2</v>
      </c>
      <c r="N34" s="7">
        <v>3.4000000000000002E-2</v>
      </c>
      <c r="P34" s="16"/>
    </row>
    <row r="35" spans="1:16" x14ac:dyDescent="0.25">
      <c r="A35" s="2">
        <v>2027</v>
      </c>
      <c r="B35" s="2" t="s">
        <v>8</v>
      </c>
      <c r="C35" s="7">
        <v>9.3798751950078002E-2</v>
      </c>
      <c r="D35" s="7">
        <v>9.3160772062925362E-2</v>
      </c>
      <c r="E35" s="15">
        <v>10970</v>
      </c>
      <c r="F35" s="15">
        <v>6200</v>
      </c>
      <c r="G35" s="7">
        <v>0.57999999999999996</v>
      </c>
      <c r="H35" s="7">
        <v>0.36</v>
      </c>
      <c r="I35" s="7">
        <v>6.0000000000000053E-2</v>
      </c>
      <c r="J35" s="7">
        <v>0.42</v>
      </c>
      <c r="K35" s="7">
        <v>0.61</v>
      </c>
      <c r="L35" s="7">
        <v>4.9000000000000002E-2</v>
      </c>
      <c r="M35" s="7">
        <v>5.0000000000000001E-3</v>
      </c>
      <c r="N35" s="7">
        <v>4.5999999999999999E-2</v>
      </c>
      <c r="P35" s="16"/>
    </row>
    <row r="36" spans="1:16" x14ac:dyDescent="0.25">
      <c r="A36" s="2">
        <v>2027</v>
      </c>
      <c r="B36" s="2" t="s">
        <v>9</v>
      </c>
      <c r="C36" s="7">
        <v>0.10696177847113884</v>
      </c>
      <c r="D36" s="7">
        <v>0.10320205288407899</v>
      </c>
      <c r="E36" s="15">
        <v>10730</v>
      </c>
      <c r="F36" s="15">
        <v>5560</v>
      </c>
      <c r="G36" s="7">
        <v>0.51</v>
      </c>
      <c r="H36" s="7">
        <v>0.36</v>
      </c>
      <c r="I36" s="7">
        <v>0.13</v>
      </c>
      <c r="J36" s="7">
        <v>0.6</v>
      </c>
      <c r="K36" s="7">
        <v>0.71</v>
      </c>
      <c r="L36" s="7">
        <v>4.2000000000000003E-2</v>
      </c>
      <c r="M36" s="7">
        <v>8.9999999999999993E-3</v>
      </c>
      <c r="N36" s="7">
        <v>5.2999999999999999E-2</v>
      </c>
      <c r="P36" s="16"/>
    </row>
    <row r="37" spans="1:16" x14ac:dyDescent="0.25">
      <c r="A37" s="2">
        <v>2027</v>
      </c>
      <c r="B37" s="2" t="s">
        <v>10</v>
      </c>
      <c r="C37" s="7">
        <v>0.10013650546021841</v>
      </c>
      <c r="D37" s="7">
        <v>9.7623563538993638E-2</v>
      </c>
      <c r="E37" s="15">
        <v>9620</v>
      </c>
      <c r="F37" s="15">
        <v>5080</v>
      </c>
      <c r="G37" s="7">
        <v>0.53</v>
      </c>
      <c r="H37" s="7">
        <v>0.38</v>
      </c>
      <c r="I37" s="7">
        <v>8.9999999999999969E-2</v>
      </c>
      <c r="J37" s="7">
        <v>0.72</v>
      </c>
      <c r="K37" s="7">
        <v>0.52</v>
      </c>
      <c r="L37" s="7">
        <v>4.8000000000000001E-2</v>
      </c>
      <c r="M37" s="7">
        <v>2.3E-2</v>
      </c>
      <c r="N37" s="7">
        <v>3.4000000000000002E-2</v>
      </c>
      <c r="P37" s="16"/>
    </row>
    <row r="38" spans="1:16" x14ac:dyDescent="0.25">
      <c r="A38" s="2">
        <v>2027</v>
      </c>
      <c r="B38" s="2" t="s">
        <v>11</v>
      </c>
      <c r="C38" s="7">
        <v>7.8003120124804995E-2</v>
      </c>
      <c r="D38" s="7">
        <v>8.5350886979805862E-2</v>
      </c>
      <c r="E38" s="15">
        <v>8000</v>
      </c>
      <c r="F38" s="15">
        <v>5440</v>
      </c>
      <c r="G38" s="7">
        <v>0.25</v>
      </c>
      <c r="H38" s="7">
        <v>0.23</v>
      </c>
      <c r="I38" s="7">
        <v>0.52</v>
      </c>
      <c r="J38" s="7">
        <v>0.65</v>
      </c>
      <c r="K38" s="7">
        <v>0.49</v>
      </c>
      <c r="L38" s="7">
        <v>3.5999999999999997E-2</v>
      </c>
      <c r="M38" s="7">
        <v>2.1999999999999999E-2</v>
      </c>
      <c r="N38" s="7">
        <v>4.7E-2</v>
      </c>
      <c r="P38" s="16"/>
    </row>
    <row r="39" spans="1:16" x14ac:dyDescent="0.25">
      <c r="A39" s="2">
        <v>2028</v>
      </c>
      <c r="B39" s="2" t="s">
        <v>0</v>
      </c>
      <c r="C39" s="7">
        <v>6.3750000000000001E-2</v>
      </c>
      <c r="D39" s="7">
        <v>6.0080878105141539E-2</v>
      </c>
      <c r="E39" s="15">
        <v>9070</v>
      </c>
      <c r="F39" s="15">
        <v>5920</v>
      </c>
      <c r="G39" s="7">
        <v>0.4</v>
      </c>
      <c r="H39" s="7">
        <v>0.39</v>
      </c>
      <c r="I39" s="7">
        <v>0.20999999999999996</v>
      </c>
      <c r="J39" s="7">
        <v>0.56000000000000005</v>
      </c>
      <c r="K39" s="7">
        <v>0.75</v>
      </c>
      <c r="L39" s="7">
        <v>4.7E-2</v>
      </c>
      <c r="M39" s="7">
        <v>5.0000000000000001E-3</v>
      </c>
      <c r="N39" s="7">
        <v>3.5000000000000003E-2</v>
      </c>
      <c r="P39" s="16"/>
    </row>
    <row r="40" spans="1:16" x14ac:dyDescent="0.25">
      <c r="A40" s="2">
        <v>2028</v>
      </c>
      <c r="B40" s="2" t="s">
        <v>1</v>
      </c>
      <c r="C40" s="7">
        <v>8.4895833333333337E-2</v>
      </c>
      <c r="D40" s="7">
        <v>7.7411900635470821E-2</v>
      </c>
      <c r="E40" s="15">
        <v>7700</v>
      </c>
      <c r="F40" s="15">
        <v>6800</v>
      </c>
      <c r="G40" s="7">
        <v>0.22</v>
      </c>
      <c r="H40" s="7">
        <v>0.16</v>
      </c>
      <c r="I40" s="7">
        <v>0.62</v>
      </c>
      <c r="J40" s="7">
        <v>0.51</v>
      </c>
      <c r="K40" s="7">
        <v>0.74</v>
      </c>
      <c r="L40" s="7">
        <v>3.5000000000000003E-2</v>
      </c>
      <c r="M40" s="7">
        <v>2.4E-2</v>
      </c>
      <c r="N40" s="7">
        <v>5.5E-2</v>
      </c>
      <c r="P40" s="16"/>
    </row>
    <row r="41" spans="1:16" x14ac:dyDescent="0.25">
      <c r="A41" s="2">
        <v>2028</v>
      </c>
      <c r="B41" s="2" t="s">
        <v>2</v>
      </c>
      <c r="C41" s="7">
        <v>8.8645833333333326E-2</v>
      </c>
      <c r="D41" s="7">
        <v>9.8209127671865973E-2</v>
      </c>
      <c r="E41" s="15">
        <v>10560</v>
      </c>
      <c r="F41" s="15">
        <v>7184</v>
      </c>
      <c r="G41" s="7">
        <v>0.49</v>
      </c>
      <c r="H41" s="7">
        <v>0.37</v>
      </c>
      <c r="I41" s="7">
        <v>0.14000000000000001</v>
      </c>
      <c r="J41" s="7">
        <v>0.44</v>
      </c>
      <c r="K41" s="7">
        <v>0.79</v>
      </c>
      <c r="L41" s="7">
        <v>0.05</v>
      </c>
      <c r="M41" s="7">
        <v>1.2999999999999999E-2</v>
      </c>
      <c r="N41" s="7">
        <v>3.1E-2</v>
      </c>
      <c r="P41" s="16"/>
    </row>
    <row r="42" spans="1:16" x14ac:dyDescent="0.25">
      <c r="A42" s="2">
        <v>2028</v>
      </c>
      <c r="B42" s="2" t="s">
        <v>3</v>
      </c>
      <c r="C42" s="7">
        <v>7.8645833333333331E-2</v>
      </c>
      <c r="D42" s="7">
        <v>0.11900635470826113</v>
      </c>
      <c r="E42" s="15">
        <v>11100</v>
      </c>
      <c r="F42" s="15">
        <v>6472</v>
      </c>
      <c r="G42" s="7">
        <v>0.22</v>
      </c>
      <c r="H42" s="7">
        <v>0.19</v>
      </c>
      <c r="I42" s="7">
        <v>0.59</v>
      </c>
      <c r="J42" s="7">
        <v>0.44</v>
      </c>
      <c r="K42" s="7">
        <v>0.76</v>
      </c>
      <c r="L42" s="7">
        <v>3.1E-2</v>
      </c>
      <c r="M42" s="7">
        <v>1.2999999999999999E-2</v>
      </c>
      <c r="N42" s="7">
        <v>3.2000000000000001E-2</v>
      </c>
      <c r="P42" s="16"/>
    </row>
    <row r="43" spans="1:16" x14ac:dyDescent="0.25">
      <c r="A43" s="2">
        <v>2028</v>
      </c>
      <c r="B43" s="2" t="s">
        <v>4</v>
      </c>
      <c r="C43" s="7">
        <v>6.2291666666666669E-2</v>
      </c>
      <c r="D43" s="7">
        <v>0.12420566146735991</v>
      </c>
      <c r="E43" s="15">
        <v>9670</v>
      </c>
      <c r="F43" s="15">
        <v>5256</v>
      </c>
      <c r="G43" s="7">
        <v>0.25</v>
      </c>
      <c r="H43" s="7">
        <v>0.35</v>
      </c>
      <c r="I43" s="7">
        <v>0.4</v>
      </c>
      <c r="J43" s="7">
        <v>0.64</v>
      </c>
      <c r="K43" s="7">
        <v>0.59</v>
      </c>
      <c r="L43" s="7">
        <v>4.9000000000000002E-2</v>
      </c>
      <c r="M43" s="7">
        <v>6.0000000000000001E-3</v>
      </c>
      <c r="N43" s="7">
        <v>3.5999999999999997E-2</v>
      </c>
      <c r="P43" s="16"/>
    </row>
    <row r="44" spans="1:16" x14ac:dyDescent="0.25">
      <c r="A44" s="2">
        <v>2028</v>
      </c>
      <c r="B44" s="2" t="s">
        <v>5</v>
      </c>
      <c r="C44" s="7">
        <v>4.8958333333333333E-2</v>
      </c>
      <c r="D44" s="7">
        <v>0.11322934719815136</v>
      </c>
      <c r="E44" s="15">
        <v>5220</v>
      </c>
      <c r="F44" s="15">
        <v>4640</v>
      </c>
      <c r="G44" s="7">
        <v>0.49</v>
      </c>
      <c r="H44" s="7">
        <v>0.13</v>
      </c>
      <c r="I44" s="7">
        <v>0.38</v>
      </c>
      <c r="J44" s="7">
        <v>0.62</v>
      </c>
      <c r="K44" s="7">
        <v>0.53</v>
      </c>
      <c r="L44" s="7">
        <v>5.2999999999999999E-2</v>
      </c>
      <c r="M44" s="7">
        <v>2.3E-2</v>
      </c>
      <c r="N44" s="7">
        <v>4.5999999999999999E-2</v>
      </c>
      <c r="P44" s="16"/>
    </row>
    <row r="45" spans="1:16" x14ac:dyDescent="0.25">
      <c r="A45" s="2">
        <v>2028</v>
      </c>
      <c r="B45" s="2" t="s">
        <v>6</v>
      </c>
      <c r="C45" s="7">
        <v>5.6770833333333333E-2</v>
      </c>
      <c r="D45" s="7">
        <v>9.3587521663778164E-2</v>
      </c>
      <c r="E45" s="15">
        <v>4480</v>
      </c>
      <c r="F45" s="15">
        <v>4912</v>
      </c>
      <c r="G45" s="7">
        <v>0.46</v>
      </c>
      <c r="H45" s="7">
        <v>0.26</v>
      </c>
      <c r="I45" s="7">
        <v>0.28000000000000003</v>
      </c>
      <c r="J45" s="7">
        <v>0.6</v>
      </c>
      <c r="K45" s="7">
        <v>0.56999999999999995</v>
      </c>
      <c r="L45" s="7">
        <v>4.8000000000000001E-2</v>
      </c>
      <c r="M45" s="7">
        <v>2.1000000000000001E-2</v>
      </c>
      <c r="N45" s="7">
        <v>3.3000000000000002E-2</v>
      </c>
      <c r="P45" s="16"/>
    </row>
    <row r="46" spans="1:16" x14ac:dyDescent="0.25">
      <c r="A46" s="2">
        <v>2028</v>
      </c>
      <c r="B46" s="2" t="s">
        <v>7</v>
      </c>
      <c r="C46" s="7">
        <v>0.10312499999999999</v>
      </c>
      <c r="D46" s="7">
        <v>7.3945696129404964E-2</v>
      </c>
      <c r="E46" s="15">
        <v>5710</v>
      </c>
      <c r="F46" s="15">
        <v>5880</v>
      </c>
      <c r="G46" s="7">
        <v>0.37</v>
      </c>
      <c r="H46" s="7">
        <v>0.12</v>
      </c>
      <c r="I46" s="7">
        <v>0.51</v>
      </c>
      <c r="J46" s="7">
        <v>0.71</v>
      </c>
      <c r="K46" s="7">
        <v>0.61</v>
      </c>
      <c r="L46" s="7">
        <v>3.1E-2</v>
      </c>
      <c r="M46" s="7">
        <v>2.3E-2</v>
      </c>
      <c r="N46" s="7">
        <v>3.7999999999999999E-2</v>
      </c>
      <c r="P46" s="16"/>
    </row>
    <row r="47" spans="1:16" x14ac:dyDescent="0.25">
      <c r="A47" s="2">
        <v>2028</v>
      </c>
      <c r="B47" s="2" t="s">
        <v>8</v>
      </c>
      <c r="C47" s="7">
        <v>0.11822916666666666</v>
      </c>
      <c r="D47" s="7">
        <v>5.7770075101097634E-2</v>
      </c>
      <c r="E47" s="15">
        <v>7320</v>
      </c>
      <c r="F47" s="15">
        <v>6288</v>
      </c>
      <c r="G47" s="7">
        <v>0.56999999999999995</v>
      </c>
      <c r="H47" s="7">
        <v>0.22</v>
      </c>
      <c r="I47" s="7">
        <v>0.21000000000000008</v>
      </c>
      <c r="J47" s="7">
        <v>0.61</v>
      </c>
      <c r="K47" s="7">
        <v>0.47</v>
      </c>
      <c r="L47" s="7">
        <v>3.4000000000000002E-2</v>
      </c>
      <c r="M47" s="7">
        <v>2.3E-2</v>
      </c>
      <c r="N47" s="7">
        <v>4.7E-2</v>
      </c>
      <c r="P47" s="16"/>
    </row>
    <row r="48" spans="1:16" x14ac:dyDescent="0.25">
      <c r="A48" s="2">
        <v>2028</v>
      </c>
      <c r="B48" s="2" t="s">
        <v>9</v>
      </c>
      <c r="C48" s="7">
        <v>0.1125</v>
      </c>
      <c r="D48" s="7">
        <v>7.163489312536106E-2</v>
      </c>
      <c r="E48" s="15">
        <v>8430</v>
      </c>
      <c r="F48" s="15">
        <v>5496</v>
      </c>
      <c r="G48" s="7">
        <v>0.48</v>
      </c>
      <c r="H48" s="7">
        <v>0.19</v>
      </c>
      <c r="I48" s="7">
        <v>0.33000000000000007</v>
      </c>
      <c r="J48" s="7">
        <v>0.66</v>
      </c>
      <c r="K48" s="7">
        <v>0.5</v>
      </c>
      <c r="L48" s="7">
        <v>4.3999999999999997E-2</v>
      </c>
      <c r="M48" s="7">
        <v>2.3E-2</v>
      </c>
      <c r="N48" s="7">
        <v>0.05</v>
      </c>
      <c r="P48" s="16"/>
    </row>
    <row r="49" spans="1:16" x14ac:dyDescent="0.25">
      <c r="A49" s="2">
        <v>2028</v>
      </c>
      <c r="B49" s="2" t="s">
        <v>10</v>
      </c>
      <c r="C49" s="7">
        <v>9.947916666666666E-2</v>
      </c>
      <c r="D49" s="7">
        <v>9.2432120161756212E-2</v>
      </c>
      <c r="E49" s="15">
        <v>8110</v>
      </c>
      <c r="F49" s="15">
        <v>5008</v>
      </c>
      <c r="G49" s="7">
        <v>0.42</v>
      </c>
      <c r="H49" s="7">
        <v>0.17</v>
      </c>
      <c r="I49" s="7">
        <v>0.41000000000000003</v>
      </c>
      <c r="J49" s="7">
        <v>0.75</v>
      </c>
      <c r="K49" s="7">
        <v>0.55000000000000004</v>
      </c>
      <c r="L49" s="7">
        <v>4.4999999999999998E-2</v>
      </c>
      <c r="M49" s="7">
        <v>1.7000000000000001E-2</v>
      </c>
      <c r="N49" s="7">
        <v>5.0999999999999997E-2</v>
      </c>
      <c r="P49" s="16"/>
    </row>
    <row r="50" spans="1:16" x14ac:dyDescent="0.25">
      <c r="A50" s="2">
        <v>2028</v>
      </c>
      <c r="B50" s="2" t="s">
        <v>11</v>
      </c>
      <c r="C50" s="7">
        <v>9.6875000000000003E-2</v>
      </c>
      <c r="D50" s="7">
        <v>0.10976314269208549</v>
      </c>
      <c r="E50" s="15">
        <v>5900</v>
      </c>
      <c r="F50" s="15">
        <v>5400</v>
      </c>
      <c r="G50" s="7">
        <v>0.34</v>
      </c>
      <c r="H50" s="7">
        <v>0.35</v>
      </c>
      <c r="I50" s="7">
        <v>0.31000000000000005</v>
      </c>
      <c r="J50" s="7">
        <v>0.54</v>
      </c>
      <c r="K50" s="7">
        <v>0.57999999999999996</v>
      </c>
      <c r="L50" s="7">
        <v>3.5000000000000003E-2</v>
      </c>
      <c r="M50" s="7">
        <v>0.02</v>
      </c>
      <c r="N50" s="7">
        <v>4.9000000000000002E-2</v>
      </c>
      <c r="P50" s="16"/>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B2D3D-A2CD-40A9-9AEF-F9D749FF45C7}">
  <dimension ref="B1:E20"/>
  <sheetViews>
    <sheetView workbookViewId="0">
      <selection activeCell="G1" sqref="G1:K2"/>
    </sheetView>
  </sheetViews>
  <sheetFormatPr defaultRowHeight="15" x14ac:dyDescent="0.25"/>
  <sheetData>
    <row r="1" spans="2:5" ht="15" customHeight="1" x14ac:dyDescent="0.25">
      <c r="B1" s="17" t="s">
        <v>55</v>
      </c>
      <c r="C1">
        <v>135</v>
      </c>
      <c r="E1" s="31" t="s">
        <v>70</v>
      </c>
    </row>
    <row r="2" spans="2:5" ht="15" customHeight="1" x14ac:dyDescent="0.25">
      <c r="B2" s="5" t="s">
        <v>56</v>
      </c>
      <c r="D2">
        <v>84</v>
      </c>
      <c r="E2" s="32" t="s">
        <v>71</v>
      </c>
    </row>
    <row r="4" spans="2:5" x14ac:dyDescent="0.25">
      <c r="B4" s="18" t="s">
        <v>57</v>
      </c>
      <c r="E4" s="33" t="s">
        <v>72</v>
      </c>
    </row>
    <row r="5" spans="2:5" x14ac:dyDescent="0.25">
      <c r="B5" s="19" t="s">
        <v>58</v>
      </c>
    </row>
    <row r="7" spans="2:5" x14ac:dyDescent="0.25">
      <c r="B7" s="20" t="s">
        <v>59</v>
      </c>
      <c r="E7" s="34" t="s">
        <v>73</v>
      </c>
    </row>
    <row r="8" spans="2:5" x14ac:dyDescent="0.25">
      <c r="B8" s="21" t="s">
        <v>60</v>
      </c>
    </row>
    <row r="10" spans="2:5" x14ac:dyDescent="0.25">
      <c r="B10" s="22" t="s">
        <v>61</v>
      </c>
    </row>
    <row r="11" spans="2:5" x14ac:dyDescent="0.25">
      <c r="B11" s="23" t="s">
        <v>62</v>
      </c>
    </row>
    <row r="12" spans="2:5" x14ac:dyDescent="0.25">
      <c r="B12" s="24" t="s">
        <v>63</v>
      </c>
    </row>
    <row r="13" spans="2:5" x14ac:dyDescent="0.25">
      <c r="B13" s="25" t="s">
        <v>64</v>
      </c>
    </row>
    <row r="14" spans="2:5" x14ac:dyDescent="0.25">
      <c r="B14" s="26" t="s">
        <v>65</v>
      </c>
    </row>
    <row r="15" spans="2:5" x14ac:dyDescent="0.25">
      <c r="B15" s="27" t="s">
        <v>66</v>
      </c>
    </row>
    <row r="16" spans="2:5" x14ac:dyDescent="0.25">
      <c r="B16" s="28" t="s">
        <v>67</v>
      </c>
      <c r="E16" s="35" t="s">
        <v>74</v>
      </c>
    </row>
    <row r="18" spans="2:2" x14ac:dyDescent="0.25">
      <c r="B18" s="29" t="s">
        <v>68</v>
      </c>
    </row>
    <row r="20" spans="2:2" x14ac:dyDescent="0.25">
      <c r="B20" s="30"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Adv CR</vt:lpstr>
      <vt:lpstr>DASHBOARD Light</vt:lpstr>
      <vt:lpstr>Adv CR Light</vt:lpstr>
      <vt:lpstr>Processing</vt:lpstr>
      <vt:lpstr>Control</vt:lpstr>
      <vt:lpstr>Data</vt:lpstr>
      <vt:lpstr>Resource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Serhii Ivanyk</dc:creator>
  <cp:lastModifiedBy>User</cp:lastModifiedBy>
  <dcterms:created xsi:type="dcterms:W3CDTF">2025-04-29T17:43:03Z</dcterms:created>
  <dcterms:modified xsi:type="dcterms:W3CDTF">2026-09-18T06:50:15Z</dcterms:modified>
</cp:coreProperties>
</file>