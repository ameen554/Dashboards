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slicers/slicer4.xml" ContentType="application/vnd.ms-excel.slicer+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charts/chart23.xml" ContentType="application/vnd.openxmlformats-officedocument.drawingml.chart+xml"/>
  <Override PartName="/xl/charts/style20.xml" ContentType="application/vnd.ms-office.chartstyle+xml"/>
  <Override PartName="/xl/charts/colors20.xml" ContentType="application/vnd.ms-office.chartcolorstyle+xml"/>
  <Override PartName="/xl/charts/chart24.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c6e5fe5563ab6cfd/Desktop/Dashboard Projects/Dashboard/Chart75/"/>
    </mc:Choice>
  </mc:AlternateContent>
  <xr:revisionPtr revIDLastSave="1" documentId="13_ncr:1_{4199EA4F-28E9-497D-A474-8E668D1BED53}" xr6:coauthVersionLast="47" xr6:coauthVersionMax="47" xr10:uidLastSave="{A582FAC3-5320-4C82-8488-1999187C811F}"/>
  <bookViews>
    <workbookView xWindow="-120" yWindow="-120" windowWidth="20730" windowHeight="11310" tabRatio="855" xr2:uid="{E49FB938-949E-468F-ABAA-6639A5408E26}"/>
  </bookViews>
  <sheets>
    <sheet name="DASHBOARD" sheetId="2" r:id="rId1"/>
    <sheet name="Client Structure" sheetId="7" r:id="rId2"/>
    <sheet name="DASHBOARD Dark" sheetId="8" r:id="rId3"/>
    <sheet name="Client Structure Dark" sheetId="9" r:id="rId4"/>
    <sheet name="Processing" sheetId="3" r:id="rId5"/>
    <sheet name="Control" sheetId="6" r:id="rId6"/>
    <sheet name="Data" sheetId="5" r:id="rId7"/>
    <sheet name="Resources" sheetId="4" r:id="rId8"/>
  </sheets>
  <definedNames>
    <definedName name="Slicer_Month">#N/A</definedName>
    <definedName name="Slicer_Year">#N/A</definedName>
  </definedNames>
  <calcPr calcId="191029"/>
  <pivotCaches>
    <pivotCache cacheId="19"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3" l="1"/>
  <c r="E12" i="3"/>
  <c r="C13" i="3"/>
  <c r="G13" i="3"/>
  <c r="E5" i="3"/>
  <c r="B9" i="3"/>
  <c r="B2" i="3"/>
  <c r="C7" i="3"/>
  <c r="B5" i="3"/>
  <c r="C6" i="3"/>
  <c r="E13" i="3"/>
  <c r="B8" i="3"/>
  <c r="Q5" i="3"/>
  <c r="H6" i="3"/>
  <c r="D4" i="3"/>
  <c r="B13" i="3"/>
  <c r="C3" i="3"/>
  <c r="D11" i="3"/>
  <c r="B10" i="3"/>
  <c r="Q13" i="3"/>
  <c r="D9" i="3"/>
  <c r="D13" i="3"/>
  <c r="B3" i="3"/>
  <c r="E9" i="3"/>
  <c r="B12" i="3"/>
  <c r="E4" i="3"/>
  <c r="R3" i="3"/>
  <c r="G10" i="3"/>
  <c r="Q2" i="3"/>
  <c r="C10" i="3"/>
  <c r="D12" i="3"/>
  <c r="D8" i="3"/>
  <c r="C8" i="3"/>
  <c r="Q4" i="3"/>
  <c r="H12" i="3"/>
  <c r="H9" i="3"/>
  <c r="E6" i="3"/>
  <c r="Q12" i="3"/>
  <c r="D3" i="3"/>
  <c r="H4" i="3"/>
  <c r="G11" i="3"/>
  <c r="G4" i="3"/>
  <c r="D7" i="3"/>
  <c r="Q3" i="3"/>
  <c r="C9" i="3"/>
  <c r="Q6" i="3"/>
  <c r="B11" i="3"/>
  <c r="H3" i="3"/>
  <c r="R4" i="3"/>
  <c r="D6" i="3"/>
  <c r="H8" i="3"/>
  <c r="G7" i="3"/>
  <c r="G8" i="3"/>
  <c r="G9" i="3"/>
  <c r="H13" i="3"/>
  <c r="E2" i="3"/>
  <c r="G5" i="3"/>
  <c r="H10" i="3"/>
  <c r="D2" i="3"/>
  <c r="C11" i="3"/>
  <c r="B6" i="3"/>
  <c r="B7" i="3"/>
  <c r="B4" i="3"/>
  <c r="G2" i="3"/>
  <c r="E8" i="3"/>
  <c r="R2" i="3"/>
  <c r="Q11" i="3"/>
  <c r="C2" i="3"/>
  <c r="E10" i="3"/>
  <c r="H5" i="3"/>
  <c r="D10" i="3"/>
  <c r="D5" i="3"/>
  <c r="G3" i="3"/>
  <c r="E7" i="3"/>
  <c r="E3" i="3"/>
  <c r="H7" i="3"/>
  <c r="H11" i="3"/>
  <c r="E11" i="3"/>
  <c r="G6" i="3"/>
  <c r="C4" i="3"/>
  <c r="C12" i="3"/>
  <c r="C5" i="3"/>
  <c r="G12" i="3"/>
  <c r="R5" i="3"/>
  <c r="R6" i="3"/>
  <c r="S12" i="3" l="1"/>
  <c r="R12" i="3"/>
  <c r="T12" i="3" s="1"/>
  <c r="L10" i="3"/>
  <c r="L9" i="3"/>
  <c r="L13" i="3"/>
  <c r="L8" i="3"/>
  <c r="E14" i="3" a="1"/>
  <c r="L2" i="3"/>
  <c r="K7" i="3"/>
  <c r="K10" i="3"/>
  <c r="M14" i="3"/>
  <c r="J2" i="3"/>
  <c r="J12" i="3"/>
  <c r="L7" i="3"/>
  <c r="L6" i="3"/>
  <c r="S11" i="3"/>
  <c r="R11" i="3"/>
  <c r="T11" i="3" s="1"/>
  <c r="K13" i="3"/>
  <c r="J9" i="3"/>
  <c r="J4" i="3"/>
  <c r="K9" i="3"/>
  <c r="J8" i="3"/>
  <c r="J11" i="3"/>
  <c r="R13" i="3"/>
  <c r="T13" i="3" s="1"/>
  <c r="S13" i="3"/>
  <c r="J7" i="3"/>
  <c r="J3" i="3"/>
  <c r="J6" i="3"/>
  <c r="L4" i="3"/>
  <c r="K11" i="3"/>
  <c r="L5" i="3"/>
  <c r="K2" i="3"/>
  <c r="D14" i="3" a="1"/>
  <c r="L11" i="3"/>
  <c r="K6" i="3"/>
  <c r="K3" i="3"/>
  <c r="J13" i="3"/>
  <c r="K5" i="3"/>
  <c r="K8" i="3"/>
  <c r="J5" i="3"/>
  <c r="K12" i="3"/>
  <c r="K4" i="3"/>
  <c r="L12" i="3"/>
  <c r="L3" i="3"/>
  <c r="J10" i="3"/>
  <c r="K14" i="3" l="1" a="1"/>
  <c r="L14" i="3" a="1"/>
  <c r="M3" i="3"/>
  <c r="N3" i="3" s="1"/>
  <c r="M10" i="3"/>
  <c r="N10" i="3" s="1"/>
  <c r="M13" i="3"/>
  <c r="N13" i="3" s="1"/>
  <c r="M5" i="3"/>
  <c r="N5" i="3" s="1"/>
  <c r="M7" i="3"/>
  <c r="N7" i="3" s="1"/>
  <c r="M4" i="3"/>
  <c r="N4" i="3" s="1"/>
  <c r="M2" i="3"/>
  <c r="N2" i="3" s="1"/>
  <c r="M6" i="3"/>
  <c r="N6" i="3" s="1"/>
  <c r="M12" i="3"/>
  <c r="N12" i="3" s="1"/>
  <c r="M11" i="3"/>
  <c r="N11" i="3" s="1"/>
  <c r="M9" i="3"/>
  <c r="N9" i="3" s="1"/>
  <c r="M8" i="3"/>
  <c r="N8"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<sst xmlns="http://schemas.openxmlformats.org/spreadsheetml/2006/main" count="173" uniqueCount="84">
  <si>
    <t>JAN</t>
  </si>
  <si>
    <t>FEB</t>
  </si>
  <si>
    <t>MAR</t>
  </si>
  <si>
    <t>APR</t>
  </si>
  <si>
    <t>MAY</t>
  </si>
  <si>
    <t>JUN</t>
  </si>
  <si>
    <t>JUL</t>
  </si>
  <si>
    <t>AUG</t>
  </si>
  <si>
    <t>SEP</t>
  </si>
  <si>
    <t>OCT</t>
  </si>
  <si>
    <t>NOV</t>
  </si>
  <si>
    <t>DEC</t>
  </si>
  <si>
    <t>KPI</t>
  </si>
  <si>
    <t>Point 1</t>
  </si>
  <si>
    <t>Point 2</t>
  </si>
  <si>
    <t>Point 3</t>
  </si>
  <si>
    <t>Point 4</t>
  </si>
  <si>
    <t>Point 5</t>
  </si>
  <si>
    <t>Cost</t>
  </si>
  <si>
    <t>Indent</t>
  </si>
  <si>
    <t>Total</t>
  </si>
  <si>
    <t>Indent S</t>
  </si>
  <si>
    <t>Select 1</t>
  </si>
  <si>
    <t>Select 2</t>
  </si>
  <si>
    <t>X</t>
  </si>
  <si>
    <t>Y</t>
  </si>
  <si>
    <t>Average Client Count</t>
  </si>
  <si>
    <t>Active Client Count</t>
  </si>
  <si>
    <t>New Clients</t>
  </si>
  <si>
    <t>Regular Clients</t>
  </si>
  <si>
    <t>Active Select</t>
  </si>
  <si>
    <t>Average Select</t>
  </si>
  <si>
    <t>Customer  Activity</t>
  </si>
  <si>
    <t>Client Structure</t>
  </si>
  <si>
    <t>Points of Sale</t>
  </si>
  <si>
    <t>Customer</t>
  </si>
  <si>
    <t xml:space="preserve">Relationship </t>
  </si>
  <si>
    <t>Management</t>
  </si>
  <si>
    <t>Year</t>
  </si>
  <si>
    <t>Month</t>
  </si>
  <si>
    <t>K Point 1</t>
  </si>
  <si>
    <t>K Point 2</t>
  </si>
  <si>
    <t>K Point 3</t>
  </si>
  <si>
    <t>K Point 4</t>
  </si>
  <si>
    <t>K Point 5</t>
  </si>
  <si>
    <t>C Point 1</t>
  </si>
  <si>
    <t>C Point 2</t>
  </si>
  <si>
    <t>C Point 3</t>
  </si>
  <si>
    <t>C Point 4</t>
  </si>
  <si>
    <t>C Point 5</t>
  </si>
  <si>
    <t>Costs</t>
  </si>
  <si>
    <t>Row Labels</t>
  </si>
  <si>
    <t>Grand Total</t>
  </si>
  <si>
    <t>Sum of Active Client Count</t>
  </si>
  <si>
    <t>Sum of Average Client Count</t>
  </si>
  <si>
    <t>Sum of New Clients</t>
  </si>
  <si>
    <t>Sum of Regular Clients</t>
  </si>
  <si>
    <t>Sum of K Point 1</t>
  </si>
  <si>
    <t>Sum of K Point 2</t>
  </si>
  <si>
    <t>Sum of K Point 3</t>
  </si>
  <si>
    <t>Sum of K Point 4</t>
  </si>
  <si>
    <t>Sum of K Point 5</t>
  </si>
  <si>
    <t>Sum of C Point 1</t>
  </si>
  <si>
    <t>Sum of C Point 2</t>
  </si>
  <si>
    <t>Sum of C Point 3</t>
  </si>
  <si>
    <t>Sum of C Point 4</t>
  </si>
  <si>
    <t>Sum of C Point 5</t>
  </si>
  <si>
    <t>Average of Customer</t>
  </si>
  <si>
    <t xml:space="preserve">Average of Relationship </t>
  </si>
  <si>
    <t>Average of Management</t>
  </si>
  <si>
    <t>#5A6380</t>
  </si>
  <si>
    <t>#D6E7F1</t>
  </si>
  <si>
    <t>#D6F5D3</t>
  </si>
  <si>
    <t>#66D98E</t>
  </si>
  <si>
    <t>#E1D9FF</t>
  </si>
  <si>
    <t>#B7A6FF</t>
  </si>
  <si>
    <t>C3DCEB</t>
  </si>
  <si>
    <t>EEF5F9</t>
  </si>
  <si>
    <t>#103231</t>
  </si>
  <si>
    <t>#241B3F</t>
  </si>
  <si>
    <t>#00FFFF</t>
  </si>
  <si>
    <t>#9980FF</t>
  </si>
  <si>
    <t>#1B1B21</t>
  </si>
  <si>
    <t>252A3E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</si>
</sst>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 ###\ ###"/>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17">
    <fill>
      <patternFill patternType="none"/>
    </fill>
    <fill>
      <patternFill patternType="gray125"/>
    </fill>
    <fill>
      <patternFill patternType="solid">
        <fgColor rgb="FFD6E7F1"/>
        <bgColor indexed="64"/>
      </patternFill>
    </fill>
    <fill>
      <patternFill patternType="solid">
        <fgColor theme="1"/>
        <bgColor indexed="64"/>
      </patternFill>
    </fill>
    <fill>
      <patternFill patternType="solid">
        <fgColor rgb="FFD6F5D3"/>
        <bgColor indexed="64"/>
      </patternFill>
    </fill>
    <fill>
      <patternFill patternType="solid">
        <fgColor rgb="FF66D98E"/>
        <bgColor indexed="64"/>
      </patternFill>
    </fill>
    <fill>
      <patternFill patternType="solid">
        <fgColor rgb="FFE1D9FF"/>
        <bgColor indexed="64"/>
      </patternFill>
    </fill>
    <fill>
      <patternFill patternType="solid">
        <fgColor rgb="FFB7A6FF"/>
        <bgColor indexed="64"/>
      </patternFill>
    </fill>
    <fill>
      <patternFill patternType="solid">
        <fgColor rgb="FFC3DCEB"/>
        <bgColor indexed="64"/>
      </patternFill>
    </fill>
    <fill>
      <patternFill patternType="solid">
        <fgColor rgb="FFEFF3F5"/>
        <bgColor indexed="64"/>
      </patternFill>
    </fill>
    <fill>
      <patternFill patternType="solid">
        <fgColor rgb="FF5A6380"/>
        <bgColor indexed="64"/>
      </patternFill>
    </fill>
    <fill>
      <patternFill patternType="solid">
        <fgColor rgb="FF103231"/>
        <bgColor indexed="64"/>
      </patternFill>
    </fill>
    <fill>
      <patternFill patternType="solid">
        <fgColor rgb="FF241B3F"/>
        <bgColor indexed="64"/>
      </patternFill>
    </fill>
    <fill>
      <patternFill patternType="solid">
        <fgColor rgb="FF00FFFF"/>
        <bgColor indexed="64"/>
      </patternFill>
    </fill>
    <fill>
      <patternFill patternType="solid">
        <fgColor rgb="FF9980FF"/>
        <bgColor indexed="64"/>
      </patternFill>
    </fill>
    <fill>
      <patternFill patternType="solid">
        <fgColor rgb="FF1B1B21"/>
        <bgColor indexed="64"/>
      </patternFill>
    </fill>
    <fill>
      <patternFill patternType="solid">
        <fgColor rgb="FF252A3E"/>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4" fillId="0" borderId="0" applyNumberFormat="0" applyFill="0" applyBorder="0" applyAlignment="0" applyProtection="0"/>
  </cellStyleXfs>
  <cellXfs count="30">
    <xf numFmtId="0" fontId="0" fillId="0" borderId="0" xfId="0"/>
    <xf numFmtId="0" fontId="0" fillId="2" borderId="0" xfId="0" applyFill="1"/>
    <xf numFmtId="0" fontId="0" fillId="0" borderId="0" xfId="0" applyAlignment="1">
      <alignment horizontal="center"/>
    </xf>
    <xf numFmtId="9" fontId="0" fillId="0" borderId="0" xfId="0" applyNumberFormat="1"/>
    <xf numFmtId="9" fontId="0" fillId="0" borderId="0" xfId="1" applyFont="1"/>
    <xf numFmtId="164" fontId="0" fillId="0" borderId="0" xfId="0" applyNumberFormat="1"/>
    <xf numFmtId="0" fontId="2" fillId="0" borderId="0" xfId="0" applyFont="1" applyAlignment="1">
      <alignment horizontal="center" vertical="center"/>
    </xf>
    <xf numFmtId="0" fontId="2" fillId="0" borderId="0" xfId="0" applyFont="1"/>
    <xf numFmtId="9" fontId="0" fillId="0" borderId="0" xfId="0" applyNumberFormat="1" applyAlignment="1">
      <alignment horizontal="center"/>
    </xf>
    <xf numFmtId="0" fontId="0" fillId="0" borderId="0" xfId="0" pivotButton="1"/>
    <xf numFmtId="0" fontId="0" fillId="0" borderId="0" xfId="0" applyAlignment="1">
      <alignment horizontal="left"/>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0" borderId="0" xfId="0" applyAlignment="1">
      <alignment horizontal="right"/>
    </xf>
    <xf numFmtId="0" fontId="4" fillId="0" borderId="0" xfId="2"/>
    <xf numFmtId="0" fontId="4" fillId="2" borderId="0" xfId="2" applyFill="1"/>
    <xf numFmtId="0" fontId="0" fillId="0" borderId="0" xfId="0" applyAlignment="1">
      <alignment horizontal="center"/>
    </xf>
    <xf numFmtId="0" fontId="0" fillId="0" borderId="0" xfId="0" applyNumberFormat="1"/>
  </cellXfs>
  <cellStyles count="3">
    <cellStyle name="Hyperlink" xfId="2" builtinId="8"/>
    <cellStyle name="Normal" xfId="0" builtinId="0"/>
    <cellStyle name="Percent" xfId="1" builtinId="5"/>
  </cellStyles>
  <dxfs count="18">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
      <font>
        <b/>
        <color theme="1"/>
      </font>
      <border>
        <bottom style="thin">
          <color theme="4"/>
        </bottom>
        <vertical/>
        <horizontal/>
      </border>
    </dxf>
    <dxf>
      <font>
        <color theme="1"/>
      </font>
      <fill>
        <patternFill>
          <bgColor rgb="FF1B1B21"/>
        </patternFill>
      </fill>
      <border diagonalUp="0" diagonalDown="0">
        <left/>
        <right/>
        <top/>
        <bottom/>
        <vertical/>
        <horizontal/>
      </border>
    </dxf>
    <dxf>
      <font>
        <b/>
        <color theme="1"/>
      </font>
      <border>
        <bottom style="thin">
          <color theme="4"/>
        </bottom>
        <vertical/>
        <horizontal/>
      </border>
    </dxf>
    <dxf>
      <font>
        <color theme="1"/>
      </font>
      <fill>
        <patternFill>
          <bgColor rgb="FF34394A"/>
        </patternFill>
      </fill>
      <border diagonalUp="0" diagonalDown="0">
        <left/>
        <right/>
        <top/>
        <bottom/>
        <vertical/>
        <horizontal/>
      </border>
    </dxf>
    <dxf>
      <font>
        <b/>
        <color theme="1"/>
      </font>
      <border>
        <bottom style="thin">
          <color theme="4"/>
        </bottom>
        <vertical/>
        <horizontal/>
      </border>
    </dxf>
    <dxf>
      <font>
        <color theme="1"/>
      </font>
      <fill>
        <patternFill>
          <bgColor rgb="FFEEF5F9"/>
        </patternFill>
      </fill>
      <border diagonalUp="0" diagonalDown="0">
        <left/>
        <right/>
        <top/>
        <bottom/>
        <vertical/>
        <horizontal/>
      </border>
    </dxf>
    <dxf>
      <font>
        <b/>
        <color theme="1"/>
      </font>
      <border>
        <bottom style="thin">
          <color theme="4"/>
        </bottom>
        <vertical/>
        <horizontal/>
      </border>
    </dxf>
    <dxf>
      <font>
        <color theme="1"/>
      </font>
      <fill>
        <patternFill>
          <bgColor rgb="FFF7F9FA"/>
        </patternFill>
      </fill>
      <border diagonalUp="0" diagonalDown="0">
        <left/>
        <right/>
        <top/>
        <bottom/>
        <vertical/>
        <horizontal/>
      </border>
    </dxf>
  </dxfs>
  <tableStyles count="4" defaultTableStyle="TableStyleMedium2" defaultPivotStyle="PivotStyleLight16">
    <tableStyle name="SlicerStyleLight1 2" pivot="0" table="0" count="10" xr9:uid="{1571D37C-27DE-4AE5-A599-401B2C0C81A1}">
      <tableStyleElement type="wholeTable" dxfId="17"/>
      <tableStyleElement type="headerRow" dxfId="16"/>
    </tableStyle>
    <tableStyle name="SlicerStyleLight1 2 2" pivot="0" table="0" count="10" xr9:uid="{CA324190-B92E-40D2-98EB-4B3BD4BBAB70}">
      <tableStyleElement type="wholeTable" dxfId="15"/>
      <tableStyleElement type="headerRow" dxfId="14"/>
    </tableStyle>
    <tableStyle name="SlicerStyleLight1 2 2 2" pivot="0" table="0" count="10" xr9:uid="{E53D5453-01C9-4C35-A66C-87DB01C05C49}">
      <tableStyleElement type="wholeTable" dxfId="13"/>
      <tableStyleElement type="headerRow" dxfId="12"/>
    </tableStyle>
    <tableStyle name="SlicerStyleLight1 2 3" pivot="0" table="0" count="10" xr9:uid="{CCDDCA25-1EF5-43D9-953E-32E6A2BDB33C}">
      <tableStyleElement type="wholeTable" dxfId="11"/>
      <tableStyleElement type="headerRow" dxfId="10"/>
    </tableStyle>
  </tableStyles>
  <colors>
    <mruColors>
      <color rgb="FF252A3E"/>
      <color rgb="FF1B1B21"/>
      <color rgb="FF9980FF"/>
      <color rgb="FF00FFFF"/>
      <color rgb="FF241B3F"/>
      <color rgb="FF103231"/>
      <color rgb="FF5A6380"/>
      <color rgb="FFD6E7F1"/>
      <color rgb="FFFF6600"/>
      <color rgb="FFFF5050"/>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1AFFD5"/>
              </stop>
              <stop position="1">
                <color rgb="FF9BFFEC"/>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34998626667073579"/>
          </font>
          <fill>
            <patternFill patternType="solid">
              <fgColor auto="1"/>
              <bgColor rgb="FF1B1B2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rgb="FF9980FF"/>
              </stop>
              <stop position="1">
                <color rgb="FFB19E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1" tint="0.499984740745262"/>
          </font>
          <fill>
            <patternFill patternType="solid">
              <fgColor auto="1"/>
              <bgColor rgb="FF34394A"/>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rgb="FF9980FF"/>
              </stop>
              <stop position="1">
                <color rgb="FFB19E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34998626667073579"/>
          </font>
          <fill>
            <patternFill patternType="solid">
              <fgColor auto="1"/>
              <bgColor rgb="FFFFFF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rgb="FF5BDD81"/>
              </stop>
              <stop position="1">
                <color rgb="FFBCF5B8"/>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499984740745262"/>
          </font>
          <fill>
            <patternFill patternType="solid">
              <fgColor auto="1"/>
              <bgColor rgb="FFF7F9FA"/>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3.xml"/><Relationship Id="rId1" Type="http://schemas.microsoft.com/office/2011/relationships/chartStyle" Target="style3.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9.xml"/><Relationship Id="rId1" Type="http://schemas.microsoft.com/office/2011/relationships/chartStyle" Target="style9.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image" Target="../media/image9.png"/><Relationship Id="rId2" Type="http://schemas.microsoft.com/office/2011/relationships/chartColorStyle" Target="colors15.xml"/><Relationship Id="rId1" Type="http://schemas.microsoft.com/office/2011/relationships/chartStyle" Target="style15.xml"/><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charts/_rels/chart2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Processing!$Q$1</c:f>
              <c:strCache>
                <c:ptCount val="1"/>
                <c:pt idx="0">
                  <c:v>KPI</c:v>
                </c:pt>
              </c:strCache>
            </c:strRef>
          </c:tx>
          <c:spPr>
            <a:gradFill>
              <a:gsLst>
                <a:gs pos="0">
                  <a:srgbClr val="BCF5B8">
                    <a:alpha val="48000"/>
                  </a:srgbClr>
                </a:gs>
                <a:gs pos="100000">
                  <a:srgbClr val="00C74D">
                    <a:alpha val="50000"/>
                  </a:srgbClr>
                </a:gs>
              </a:gsLst>
              <a:path path="circle">
                <a:fillToRect l="100000" b="100000"/>
              </a:path>
            </a:gradFill>
            <a:ln w="9525">
              <a:solidFill>
                <a:srgbClr val="00C74D"/>
              </a:solidFill>
            </a:ln>
            <a:effectLst/>
          </c:spPr>
          <c:cat>
            <c:strRef>
              <c:f>Processing!$P$2:$P$6</c:f>
              <c:strCache>
                <c:ptCount val="5"/>
                <c:pt idx="0">
                  <c:v>Point 1</c:v>
                </c:pt>
                <c:pt idx="1">
                  <c:v>Point 2</c:v>
                </c:pt>
                <c:pt idx="2">
                  <c:v>Point 3</c:v>
                </c:pt>
                <c:pt idx="3">
                  <c:v>Point 4</c:v>
                </c:pt>
                <c:pt idx="4">
                  <c:v>Point 5</c:v>
                </c:pt>
              </c:strCache>
            </c:strRef>
          </c:cat>
          <c:val>
            <c:numRef>
              <c:f>Processing!$Q$2:$Q$6</c:f>
              <c:numCache>
                <c:formatCode>General</c:formatCode>
                <c:ptCount val="5"/>
                <c:pt idx="0">
                  <c:v>21331</c:v>
                </c:pt>
                <c:pt idx="1">
                  <c:v>32190</c:v>
                </c:pt>
                <c:pt idx="2">
                  <c:v>34484</c:v>
                </c:pt>
                <c:pt idx="3">
                  <c:v>39213</c:v>
                </c:pt>
                <c:pt idx="4">
                  <c:v>34138</c:v>
                </c:pt>
              </c:numCache>
            </c:numRef>
          </c:val>
          <c:extLst>
            <c:ext xmlns:c16="http://schemas.microsoft.com/office/drawing/2014/chart" uri="{C3380CC4-5D6E-409C-BE32-E72D297353CC}">
              <c16:uniqueId val="{00000000-DB72-48EF-B559-9C29728EA52B}"/>
            </c:ext>
          </c:extLst>
        </c:ser>
        <c:ser>
          <c:idx val="1"/>
          <c:order val="1"/>
          <c:tx>
            <c:strRef>
              <c:f>Processing!$R$1</c:f>
              <c:strCache>
                <c:ptCount val="1"/>
                <c:pt idx="0">
                  <c:v>Cost</c:v>
                </c:pt>
              </c:strCache>
            </c:strRef>
          </c:tx>
          <c:spPr>
            <a:gradFill>
              <a:gsLst>
                <a:gs pos="0">
                  <a:srgbClr val="CCBFFF">
                    <a:alpha val="70000"/>
                  </a:srgbClr>
                </a:gs>
                <a:gs pos="100000">
                  <a:srgbClr val="9980FF">
                    <a:alpha val="70000"/>
                  </a:srgbClr>
                </a:gs>
              </a:gsLst>
              <a:path path="circle">
                <a:fillToRect l="100000" b="100000"/>
              </a:path>
            </a:gradFill>
            <a:ln w="9525">
              <a:solidFill>
                <a:srgbClr val="9980FF"/>
              </a:solidFill>
            </a:ln>
            <a:effectLst/>
          </c:spPr>
          <c:cat>
            <c:strRef>
              <c:f>Processing!$P$2:$P$6</c:f>
              <c:strCache>
                <c:ptCount val="5"/>
                <c:pt idx="0">
                  <c:v>Point 1</c:v>
                </c:pt>
                <c:pt idx="1">
                  <c:v>Point 2</c:v>
                </c:pt>
                <c:pt idx="2">
                  <c:v>Point 3</c:v>
                </c:pt>
                <c:pt idx="3">
                  <c:v>Point 4</c:v>
                </c:pt>
                <c:pt idx="4">
                  <c:v>Point 5</c:v>
                </c:pt>
              </c:strCache>
            </c:strRef>
          </c:cat>
          <c:val>
            <c:numRef>
              <c:f>Processing!$R$2:$R$6</c:f>
              <c:numCache>
                <c:formatCode>General</c:formatCode>
                <c:ptCount val="5"/>
                <c:pt idx="0">
                  <c:v>33169</c:v>
                </c:pt>
                <c:pt idx="1">
                  <c:v>23348</c:v>
                </c:pt>
                <c:pt idx="2">
                  <c:v>24244</c:v>
                </c:pt>
                <c:pt idx="3">
                  <c:v>26367</c:v>
                </c:pt>
                <c:pt idx="4">
                  <c:v>30946</c:v>
                </c:pt>
              </c:numCache>
            </c:numRef>
          </c:val>
          <c:extLst>
            <c:ext xmlns:c16="http://schemas.microsoft.com/office/drawing/2014/chart" uri="{C3380CC4-5D6E-409C-BE32-E72D297353CC}">
              <c16:uniqueId val="{00000001-DB72-48EF-B559-9C29728EA52B}"/>
            </c:ext>
          </c:extLst>
        </c:ser>
        <c:dLbls>
          <c:showLegendKey val="0"/>
          <c:showVal val="0"/>
          <c:showCatName val="0"/>
          <c:showSerName val="0"/>
          <c:showPercent val="0"/>
          <c:showBubbleSize val="0"/>
        </c:dLbls>
        <c:axId val="1656786479"/>
        <c:axId val="1656821999"/>
      </c:radarChart>
      <c:catAx>
        <c:axId val="165678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ru-RU"/>
          </a:p>
        </c:txPr>
        <c:crossAx val="1656821999"/>
        <c:crosses val="autoZero"/>
        <c:auto val="1"/>
        <c:lblAlgn val="ctr"/>
        <c:lblOffset val="100"/>
        <c:noMultiLvlLbl val="0"/>
      </c:catAx>
      <c:valAx>
        <c:axId val="1656821999"/>
        <c:scaling>
          <c:orientation val="minMax"/>
        </c:scaling>
        <c:delete val="1"/>
        <c:axPos val="l"/>
        <c:numFmt formatCode="General" sourceLinked="1"/>
        <c:majorTickMark val="none"/>
        <c:minorTickMark val="none"/>
        <c:tickLblPos val="nextTo"/>
        <c:crossAx val="165678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Fill1</c:v>
          </c:tx>
          <c:spPr>
            <a:gradFill flip="none" rotWithShape="1">
              <a:gsLst>
                <a:gs pos="0">
                  <a:srgbClr val="BCF5B8">
                    <a:alpha val="30000"/>
                  </a:srgbClr>
                </a:gs>
                <a:gs pos="100000">
                  <a:srgbClr val="ABF1AE">
                    <a:alpha val="0"/>
                  </a:srgbClr>
                </a:gs>
              </a:gsLst>
              <a:lin ang="5400000" scaled="0"/>
              <a:tileRect/>
            </a:gradFill>
            <a:ln>
              <a:noFill/>
            </a:ln>
            <a:effectLst/>
          </c:spPr>
          <c:val>
            <c:numRef>
              <c:f>Processing!$B$2:$B$13</c:f>
              <c:numCache>
                <c:formatCode>General</c:formatCode>
                <c:ptCount val="12"/>
                <c:pt idx="0">
                  <c:v>612</c:v>
                </c:pt>
                <c:pt idx="1">
                  <c:v>815</c:v>
                </c:pt>
                <c:pt idx="2">
                  <c:v>851</c:v>
                </c:pt>
                <c:pt idx="3">
                  <c:v>755</c:v>
                </c:pt>
                <c:pt idx="4">
                  <c:v>598</c:v>
                </c:pt>
                <c:pt idx="5">
                  <c:v>470</c:v>
                </c:pt>
                <c:pt idx="6">
                  <c:v>545</c:v>
                </c:pt>
                <c:pt idx="7">
                  <c:v>990</c:v>
                </c:pt>
                <c:pt idx="8">
                  <c:v>1135</c:v>
                </c:pt>
                <c:pt idx="9">
                  <c:v>1080</c:v>
                </c:pt>
                <c:pt idx="10">
                  <c:v>955</c:v>
                </c:pt>
                <c:pt idx="11">
                  <c:v>930</c:v>
                </c:pt>
              </c:numCache>
            </c:numRef>
          </c:val>
          <c:extLst>
            <c:ext xmlns:c16="http://schemas.microsoft.com/office/drawing/2014/chart" uri="{C3380CC4-5D6E-409C-BE32-E72D297353CC}">
              <c16:uniqueId val="{00000002-4BD3-4A68-866A-82E73FFF318A}"/>
            </c:ext>
          </c:extLst>
        </c:ser>
        <c:ser>
          <c:idx val="3"/>
          <c:order val="3"/>
          <c:tx>
            <c:v>Fill2</c:v>
          </c:tx>
          <c:spPr>
            <a:gradFill flip="none" rotWithShape="1">
              <a:gsLst>
                <a:gs pos="0">
                  <a:srgbClr val="CCBFFF">
                    <a:alpha val="40000"/>
                  </a:srgbClr>
                </a:gs>
                <a:gs pos="100000">
                  <a:srgbClr val="C8BBFF">
                    <a:alpha val="0"/>
                  </a:srgbClr>
                </a:gs>
              </a:gsLst>
              <a:lin ang="5400000" scaled="0"/>
              <a:tileRect/>
            </a:gradFill>
            <a:ln>
              <a:noFill/>
            </a:ln>
            <a:effectLst/>
          </c:spPr>
          <c:val>
            <c:numRef>
              <c:f>Processing!$C$2:$C$13</c:f>
              <c:numCache>
                <c:formatCode>General</c:formatCode>
                <c:ptCount val="12"/>
                <c:pt idx="0">
                  <c:v>520</c:v>
                </c:pt>
                <c:pt idx="1">
                  <c:v>670</c:v>
                </c:pt>
                <c:pt idx="2">
                  <c:v>850</c:v>
                </c:pt>
                <c:pt idx="3">
                  <c:v>1030</c:v>
                </c:pt>
                <c:pt idx="4">
                  <c:v>1075</c:v>
                </c:pt>
                <c:pt idx="5">
                  <c:v>980</c:v>
                </c:pt>
                <c:pt idx="6">
                  <c:v>810</c:v>
                </c:pt>
                <c:pt idx="7">
                  <c:v>640</c:v>
                </c:pt>
                <c:pt idx="8">
                  <c:v>500</c:v>
                </c:pt>
                <c:pt idx="9">
                  <c:v>620</c:v>
                </c:pt>
                <c:pt idx="10">
                  <c:v>800</c:v>
                </c:pt>
                <c:pt idx="11">
                  <c:v>950</c:v>
                </c:pt>
              </c:numCache>
            </c:numRef>
          </c:val>
          <c:extLst>
            <c:ext xmlns:c16="http://schemas.microsoft.com/office/drawing/2014/chart" uri="{C3380CC4-5D6E-409C-BE32-E72D297353CC}">
              <c16:uniqueId val="{00000003-4BD3-4A68-866A-82E73FFF318A}"/>
            </c:ext>
          </c:extLst>
        </c:ser>
        <c:dLbls>
          <c:showLegendKey val="0"/>
          <c:showVal val="0"/>
          <c:showCatName val="0"/>
          <c:showSerName val="0"/>
          <c:showPercent val="0"/>
          <c:showBubbleSize val="0"/>
        </c:dLbls>
        <c:axId val="1639660207"/>
        <c:axId val="1639660687"/>
      </c:areaChart>
      <c:lineChart>
        <c:grouping val="standard"/>
        <c:varyColors val="0"/>
        <c:ser>
          <c:idx val="0"/>
          <c:order val="0"/>
          <c:spPr>
            <a:ln w="19050" cap="rnd">
              <a:solidFill>
                <a:srgbClr val="00C74D"/>
              </a:solidFill>
              <a:round/>
            </a:ln>
            <a:effectLst/>
          </c:spPr>
          <c:marker>
            <c:symbol val="circle"/>
            <c:size val="7"/>
            <c:spPr>
              <a:solidFill>
                <a:schemeClr val="bg1"/>
              </a:solidFill>
              <a:ln w="9525">
                <a:solidFill>
                  <a:srgbClr val="00C74D"/>
                </a:solidFill>
              </a:ln>
              <a:effectLst/>
            </c:spPr>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612</c:v>
                </c:pt>
                <c:pt idx="1">
                  <c:v>815</c:v>
                </c:pt>
                <c:pt idx="2">
                  <c:v>851</c:v>
                </c:pt>
                <c:pt idx="3">
                  <c:v>755</c:v>
                </c:pt>
                <c:pt idx="4">
                  <c:v>598</c:v>
                </c:pt>
                <c:pt idx="5">
                  <c:v>470</c:v>
                </c:pt>
                <c:pt idx="6">
                  <c:v>545</c:v>
                </c:pt>
                <c:pt idx="7">
                  <c:v>990</c:v>
                </c:pt>
                <c:pt idx="8">
                  <c:v>1135</c:v>
                </c:pt>
                <c:pt idx="9">
                  <c:v>1080</c:v>
                </c:pt>
                <c:pt idx="10">
                  <c:v>955</c:v>
                </c:pt>
                <c:pt idx="11">
                  <c:v>930</c:v>
                </c:pt>
              </c:numCache>
            </c:numRef>
          </c:val>
          <c:smooth val="1"/>
          <c:extLst>
            <c:ext xmlns:c16="http://schemas.microsoft.com/office/drawing/2014/chart" uri="{C3380CC4-5D6E-409C-BE32-E72D297353CC}">
              <c16:uniqueId val="{00000000-4BD3-4A68-866A-82E73FFF318A}"/>
            </c:ext>
          </c:extLst>
        </c:ser>
        <c:ser>
          <c:idx val="1"/>
          <c:order val="1"/>
          <c:spPr>
            <a:ln w="19050" cap="rnd">
              <a:solidFill>
                <a:srgbClr val="9980FF"/>
              </a:solidFill>
              <a:round/>
            </a:ln>
            <a:effectLst/>
          </c:spPr>
          <c:marker>
            <c:symbol val="circle"/>
            <c:size val="7"/>
            <c:spPr>
              <a:solidFill>
                <a:schemeClr val="bg1"/>
              </a:solidFill>
              <a:ln w="9525">
                <a:solidFill>
                  <a:srgbClr val="9980FF"/>
                </a:solidFill>
              </a:ln>
              <a:effectLst/>
            </c:spPr>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520</c:v>
                </c:pt>
                <c:pt idx="1">
                  <c:v>670</c:v>
                </c:pt>
                <c:pt idx="2">
                  <c:v>850</c:v>
                </c:pt>
                <c:pt idx="3">
                  <c:v>1030</c:v>
                </c:pt>
                <c:pt idx="4">
                  <c:v>1075</c:v>
                </c:pt>
                <c:pt idx="5">
                  <c:v>980</c:v>
                </c:pt>
                <c:pt idx="6">
                  <c:v>810</c:v>
                </c:pt>
                <c:pt idx="7">
                  <c:v>640</c:v>
                </c:pt>
                <c:pt idx="8">
                  <c:v>500</c:v>
                </c:pt>
                <c:pt idx="9">
                  <c:v>620</c:v>
                </c:pt>
                <c:pt idx="10">
                  <c:v>800</c:v>
                </c:pt>
                <c:pt idx="11">
                  <c:v>950</c:v>
                </c:pt>
              </c:numCache>
            </c:numRef>
          </c:val>
          <c:smooth val="1"/>
          <c:extLst>
            <c:ext xmlns:c16="http://schemas.microsoft.com/office/drawing/2014/chart" uri="{C3380CC4-5D6E-409C-BE32-E72D297353CC}">
              <c16:uniqueId val="{00000001-4BD3-4A68-866A-82E73FFF318A}"/>
            </c:ext>
          </c:extLst>
        </c:ser>
        <c:dLbls>
          <c:showLegendKey val="0"/>
          <c:showVal val="0"/>
          <c:showCatName val="0"/>
          <c:showSerName val="0"/>
          <c:showPercent val="0"/>
          <c:showBubbleSize val="0"/>
        </c:dLbls>
        <c:marker val="1"/>
        <c:smooth val="0"/>
        <c:axId val="1639660207"/>
        <c:axId val="1639660687"/>
      </c:lineChart>
      <c:scatterChart>
        <c:scatterStyle val="lineMarker"/>
        <c:varyColors val="0"/>
        <c:ser>
          <c:idx val="4"/>
          <c:order val="4"/>
          <c:tx>
            <c:strRef>
              <c:f>Processing!$D$1</c:f>
              <c:strCache>
                <c:ptCount val="1"/>
                <c:pt idx="0">
                  <c:v>Active Select</c:v>
                </c:pt>
              </c:strCache>
            </c:strRef>
          </c:tx>
          <c:spPr>
            <a:ln w="25400" cap="rnd">
              <a:noFill/>
              <a:round/>
            </a:ln>
            <a:effectLst/>
          </c:spPr>
          <c:marker>
            <c:symbol val="circle"/>
            <c:size val="5"/>
            <c:spPr>
              <a:solidFill>
                <a:srgbClr val="5BDD81"/>
              </a:solidFill>
              <a:ln w="9525">
                <a:solidFill>
                  <a:schemeClr val="bg1"/>
                </a:solidFill>
              </a:ln>
              <a:effectLst/>
            </c:spPr>
          </c:marker>
          <c:errBars>
            <c:errDir val="y"/>
            <c:errBarType val="minus"/>
            <c:errValType val="cust"/>
            <c:noEndCap val="0"/>
            <c:plus>
              <c:numLit>
                <c:formatCode>General</c:formatCode>
                <c:ptCount val="1"/>
                <c:pt idx="0">
                  <c:v>1</c:v>
                </c:pt>
              </c:numLit>
            </c:plus>
            <c:minus>
              <c:numRef>
                <c:f>Processing!$D$2:$D$13</c:f>
                <c:numCache>
                  <c:formatCode>General</c:formatCode>
                  <c:ptCount val="12"/>
                  <c:pt idx="0">
                    <c:v>612</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chemeClr val="bg1">
                    <a:lumMod val="50000"/>
                  </a:schemeClr>
                </a:solidFill>
                <a:round/>
              </a:ln>
              <a:effectLst/>
            </c:spPr>
          </c:errBars>
          <c:yVal>
            <c:numRef>
              <c:f>Processing!$D$2:$D$13</c:f>
              <c:numCache>
                <c:formatCode>General</c:formatCode>
                <c:ptCount val="12"/>
                <c:pt idx="0">
                  <c:v>612</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4-4BD3-4A68-866A-82E73FFF318A}"/>
            </c:ext>
          </c:extLst>
        </c:ser>
        <c:ser>
          <c:idx val="5"/>
          <c:order val="5"/>
          <c:tx>
            <c:strRef>
              <c:f>Processing!$E$1</c:f>
              <c:strCache>
                <c:ptCount val="1"/>
                <c:pt idx="0">
                  <c:v>Average Select</c:v>
                </c:pt>
              </c:strCache>
            </c:strRef>
          </c:tx>
          <c:spPr>
            <a:ln w="25400" cap="rnd">
              <a:noFill/>
              <a:round/>
            </a:ln>
            <a:effectLst/>
          </c:spPr>
          <c:marker>
            <c:symbol val="circle"/>
            <c:size val="5"/>
            <c:spPr>
              <a:solidFill>
                <a:srgbClr val="B19EFF"/>
              </a:solidFill>
              <a:ln w="9525">
                <a:solidFill>
                  <a:schemeClr val="bg1"/>
                </a:solidFill>
              </a:ln>
              <a:effectLst/>
            </c:spPr>
          </c:marker>
          <c:errBars>
            <c:errDir val="y"/>
            <c:errBarType val="minus"/>
            <c:errValType val="cust"/>
            <c:noEndCap val="0"/>
            <c:plus>
              <c:numLit>
                <c:formatCode>General</c:formatCode>
                <c:ptCount val="1"/>
                <c:pt idx="0">
                  <c:v>1</c:v>
                </c:pt>
              </c:numLit>
            </c:plus>
            <c:minus>
              <c:numRef>
                <c:f>Processing!$E$2:$E$13</c:f>
                <c:numCache>
                  <c:formatCode>General</c:formatCode>
                  <c:ptCount val="12"/>
                  <c:pt idx="0">
                    <c:v>520</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chemeClr val="bg1">
                    <a:lumMod val="50000"/>
                  </a:schemeClr>
                </a:solidFill>
                <a:round/>
              </a:ln>
              <a:effectLst/>
            </c:spPr>
          </c:errBars>
          <c:yVal>
            <c:numRef>
              <c:f>Processing!$E$2:$E$13</c:f>
              <c:numCache>
                <c:formatCode>General</c:formatCode>
                <c:ptCount val="12"/>
                <c:pt idx="0">
                  <c:v>520</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5-4BD3-4A68-866A-82E73FFF318A}"/>
            </c:ext>
          </c:extLst>
        </c:ser>
        <c:dLbls>
          <c:showLegendKey val="0"/>
          <c:showVal val="0"/>
          <c:showCatName val="0"/>
          <c:showSerName val="0"/>
          <c:showPercent val="0"/>
          <c:showBubbleSize val="0"/>
        </c:dLbls>
        <c:axId val="1639660207"/>
        <c:axId val="1639660687"/>
      </c:scatterChart>
      <c:catAx>
        <c:axId val="1639660207"/>
        <c:scaling>
          <c:orientation val="minMax"/>
        </c:scaling>
        <c:delete val="0"/>
        <c:axPos val="b"/>
        <c:numFmt formatCode="General" sourceLinked="1"/>
        <c:majorTickMark val="out"/>
        <c:minorTickMark val="none"/>
        <c:tickLblPos val="nextTo"/>
        <c:spPr>
          <a:noFill/>
          <a:ln w="9525" cap="flat" cmpd="sng" algn="ctr">
            <a:solidFill>
              <a:schemeClr val="bg1">
                <a:lumMod val="6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39660687"/>
        <c:crosses val="autoZero"/>
        <c:auto val="1"/>
        <c:lblAlgn val="ctr"/>
        <c:lblOffset val="100"/>
        <c:noMultiLvlLbl val="0"/>
      </c:catAx>
      <c:valAx>
        <c:axId val="16396606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3966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0"/>
          <c:tx>
            <c:strRef>
              <c:f>Processing!$M$1</c:f>
              <c:strCache>
                <c:ptCount val="1"/>
                <c:pt idx="0">
                  <c:v>Indent</c:v>
                </c:pt>
              </c:strCache>
            </c:strRef>
          </c:tx>
          <c:spPr>
            <a:blipFill>
              <a:blip xmlns:r="http://schemas.openxmlformats.org/officeDocument/2006/relationships" r:embed="rId3"/>
              <a:stretch>
                <a:fillRect/>
              </a:stretch>
            </a:blipFill>
            <a:ln>
              <a:noFill/>
            </a:ln>
            <a:effectLst/>
          </c:spPr>
          <c:invertIfNegative val="0"/>
          <c:cat>
            <c:strRef>
              <c:f>Processing!$I$2:$I$13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Processing!$M$2:$M$13</c:f>
              <c:numCache>
                <c:formatCode>General</c:formatCode>
                <c:ptCount val="12"/>
                <c:pt idx="0">
                  <c:v>55.5</c:v>
                </c:pt>
                <c:pt idx="1">
                  <c:v>55.5</c:v>
                </c:pt>
                <c:pt idx="2">
                  <c:v>55.5</c:v>
                </c:pt>
                <c:pt idx="3">
                  <c:v>55.5</c:v>
                </c:pt>
                <c:pt idx="4">
                  <c:v>55.5</c:v>
                </c:pt>
                <c:pt idx="5">
                  <c:v>55.5</c:v>
                </c:pt>
                <c:pt idx="6">
                  <c:v>55.5</c:v>
                </c:pt>
                <c:pt idx="7">
                  <c:v>55.5</c:v>
                </c:pt>
                <c:pt idx="8">
                  <c:v>55.5</c:v>
                </c:pt>
                <c:pt idx="9">
                  <c:v>55.5</c:v>
                </c:pt>
                <c:pt idx="10">
                  <c:v>55.5</c:v>
                </c:pt>
                <c:pt idx="11">
                  <c:v>55.5</c:v>
                </c:pt>
              </c:numCache>
            </c:numRef>
          </c:val>
          <c:extLst>
            <c:ext xmlns:c16="http://schemas.microsoft.com/office/drawing/2014/chart" uri="{C3380CC4-5D6E-409C-BE32-E72D297353CC}">
              <c16:uniqueId val="{00000002-9230-40EF-ADF8-610E65C47A65}"/>
            </c:ext>
          </c:extLst>
        </c:ser>
        <c:ser>
          <c:idx val="3"/>
          <c:order val="1"/>
          <c:tx>
            <c:strRef>
              <c:f>Processing!$J$1</c:f>
              <c:strCache>
                <c:ptCount val="1"/>
                <c:pt idx="0">
                  <c:v>Total</c:v>
                </c:pt>
              </c:strCache>
            </c:strRef>
          </c:tx>
          <c:spPr>
            <a:solidFill>
              <a:srgbClr val="C3DCEB"/>
            </a:solidFill>
            <a:ln>
              <a:noFill/>
            </a:ln>
            <a:effectLst/>
          </c:spPr>
          <c:invertIfNegative val="0"/>
          <c:val>
            <c:numRef>
              <c:f>Processing!$J$2:$J$13</c:f>
              <c:numCache>
                <c:formatCode>General</c:formatCode>
                <c:ptCount val="12"/>
                <c:pt idx="0">
                  <c:v>1647</c:v>
                </c:pt>
                <c:pt idx="1">
                  <c:v>1620</c:v>
                </c:pt>
                <c:pt idx="2">
                  <c:v>1954</c:v>
                </c:pt>
                <c:pt idx="3">
                  <c:v>1919</c:v>
                </c:pt>
                <c:pt idx="4">
                  <c:v>1624</c:v>
                </c:pt>
                <c:pt idx="5">
                  <c:v>1102</c:v>
                </c:pt>
                <c:pt idx="6">
                  <c:v>1062</c:v>
                </c:pt>
                <c:pt idx="7">
                  <c:v>1306</c:v>
                </c:pt>
                <c:pt idx="8">
                  <c:v>1518</c:v>
                </c:pt>
                <c:pt idx="9">
                  <c:v>1530</c:v>
                </c:pt>
                <c:pt idx="10">
                  <c:v>1437</c:v>
                </c:pt>
                <c:pt idx="11">
                  <c:v>1265</c:v>
                </c:pt>
              </c:numCache>
            </c:numRef>
          </c:val>
          <c:extLst>
            <c:ext xmlns:c16="http://schemas.microsoft.com/office/drawing/2014/chart" uri="{C3380CC4-5D6E-409C-BE32-E72D297353CC}">
              <c16:uniqueId val="{00000003-9230-40EF-ADF8-610E65C47A65}"/>
            </c:ext>
          </c:extLst>
        </c:ser>
        <c:ser>
          <c:idx val="4"/>
          <c:order val="2"/>
          <c:tx>
            <c:strRef>
              <c:f>Processing!$M$1</c:f>
              <c:strCache>
                <c:ptCount val="1"/>
                <c:pt idx="0">
                  <c:v>Indent</c:v>
                </c:pt>
              </c:strCache>
            </c:strRef>
          </c:tx>
          <c:spPr>
            <a:blipFill>
              <a:blip xmlns:r="http://schemas.openxmlformats.org/officeDocument/2006/relationships" r:embed="rId4"/>
              <a:stretch>
                <a:fillRect/>
              </a:stretch>
            </a:blipFill>
            <a:ln>
              <a:noFill/>
            </a:ln>
            <a:effectLst/>
          </c:spPr>
          <c:invertIfNegative val="0"/>
          <c:val>
            <c:numRef>
              <c:f>Processing!$M$2:$M$13</c:f>
              <c:numCache>
                <c:formatCode>General</c:formatCode>
                <c:ptCount val="12"/>
                <c:pt idx="0">
                  <c:v>55.5</c:v>
                </c:pt>
                <c:pt idx="1">
                  <c:v>55.5</c:v>
                </c:pt>
                <c:pt idx="2">
                  <c:v>55.5</c:v>
                </c:pt>
                <c:pt idx="3">
                  <c:v>55.5</c:v>
                </c:pt>
                <c:pt idx="4">
                  <c:v>55.5</c:v>
                </c:pt>
                <c:pt idx="5">
                  <c:v>55.5</c:v>
                </c:pt>
                <c:pt idx="6">
                  <c:v>55.5</c:v>
                </c:pt>
                <c:pt idx="7">
                  <c:v>55.5</c:v>
                </c:pt>
                <c:pt idx="8">
                  <c:v>55.5</c:v>
                </c:pt>
                <c:pt idx="9">
                  <c:v>55.5</c:v>
                </c:pt>
                <c:pt idx="10">
                  <c:v>55.5</c:v>
                </c:pt>
                <c:pt idx="11">
                  <c:v>55.5</c:v>
                </c:pt>
              </c:numCache>
            </c:numRef>
          </c:val>
          <c:extLst>
            <c:ext xmlns:c16="http://schemas.microsoft.com/office/drawing/2014/chart" uri="{C3380CC4-5D6E-409C-BE32-E72D297353CC}">
              <c16:uniqueId val="{00000004-9230-40EF-ADF8-610E65C47A65}"/>
            </c:ext>
          </c:extLst>
        </c:ser>
        <c:dLbls>
          <c:showLegendKey val="0"/>
          <c:showVal val="0"/>
          <c:showCatName val="0"/>
          <c:showSerName val="0"/>
          <c:showPercent val="0"/>
          <c:showBubbleSize val="0"/>
        </c:dLbls>
        <c:gapWidth val="100"/>
        <c:overlap val="100"/>
        <c:axId val="935034783"/>
        <c:axId val="935018463"/>
      </c:barChart>
      <c:barChart>
        <c:barDir val="col"/>
        <c:grouping val="stacked"/>
        <c:varyColors val="0"/>
        <c:ser>
          <c:idx val="5"/>
          <c:order val="3"/>
          <c:tx>
            <c:strRef>
              <c:f>Processing!$N$1</c:f>
              <c:strCache>
                <c:ptCount val="1"/>
                <c:pt idx="0">
                  <c:v>Indent S</c:v>
                </c:pt>
              </c:strCache>
            </c:strRef>
          </c:tx>
          <c:spPr>
            <a:blipFill>
              <a:blip xmlns:r="http://schemas.openxmlformats.org/officeDocument/2006/relationships" r:embed="rId5"/>
              <a:stretch>
                <a:fillRect/>
              </a:stretch>
            </a:blipFill>
            <a:ln>
              <a:noFill/>
            </a:ln>
            <a:effectLst/>
          </c:spPr>
          <c:invertIfNegative val="0"/>
          <c:val>
            <c:numRef>
              <c:f>Processing!$N$2:$N$13</c:f>
              <c:numCache>
                <c:formatCode>General</c:formatCode>
                <c:ptCount val="12"/>
                <c:pt idx="0">
                  <c:v>55.5</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5-9230-40EF-ADF8-610E65C47A65}"/>
            </c:ext>
          </c:extLst>
        </c:ser>
        <c:ser>
          <c:idx val="0"/>
          <c:order val="4"/>
          <c:tx>
            <c:strRef>
              <c:f>Processing!$K$1</c:f>
              <c:strCache>
                <c:ptCount val="1"/>
                <c:pt idx="0">
                  <c:v>Select 1</c:v>
                </c:pt>
              </c:strCache>
            </c:strRef>
          </c:tx>
          <c:spPr>
            <a:solidFill>
              <a:srgbClr val="B19EFF"/>
            </a:solidFill>
            <a:ln>
              <a:noFill/>
            </a:ln>
            <a:effectLst/>
          </c:spPr>
          <c:invertIfNegative val="0"/>
          <c:cat>
            <c:strRef>
              <c:f>Processing!$I$2:$I$13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Processing!$K$2:$K$13</c:f>
              <c:numCache>
                <c:formatCode>General</c:formatCode>
                <c:ptCount val="12"/>
                <c:pt idx="0">
                  <c:v>907</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9230-40EF-ADF8-610E65C47A65}"/>
            </c:ext>
          </c:extLst>
        </c:ser>
        <c:ser>
          <c:idx val="1"/>
          <c:order val="5"/>
          <c:tx>
            <c:strRef>
              <c:f>Processing!$L$1</c:f>
              <c:strCache>
                <c:ptCount val="1"/>
                <c:pt idx="0">
                  <c:v>Select 2</c:v>
                </c:pt>
              </c:strCache>
            </c:strRef>
          </c:tx>
          <c:spPr>
            <a:solidFill>
              <a:srgbClr val="5BDD81"/>
            </a:solidFill>
            <a:ln>
              <a:noFill/>
            </a:ln>
            <a:effectLst/>
          </c:spPr>
          <c:invertIfNegative val="0"/>
          <c:cat>
            <c:strRef>
              <c:f>Processing!$I$2:$I$13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Processing!$L$2:$L$13</c:f>
              <c:numCache>
                <c:formatCode>General</c:formatCode>
                <c:ptCount val="12"/>
                <c:pt idx="0">
                  <c:v>740</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1-9230-40EF-ADF8-610E65C47A65}"/>
            </c:ext>
          </c:extLst>
        </c:ser>
        <c:ser>
          <c:idx val="6"/>
          <c:order val="6"/>
          <c:tx>
            <c:strRef>
              <c:f>Processing!$N$1</c:f>
              <c:strCache>
                <c:ptCount val="1"/>
                <c:pt idx="0">
                  <c:v>Indent S</c:v>
                </c:pt>
              </c:strCache>
            </c:strRef>
          </c:tx>
          <c:spPr>
            <a:blipFill>
              <a:blip xmlns:r="http://schemas.openxmlformats.org/officeDocument/2006/relationships" r:embed="rId6"/>
              <a:stretch>
                <a:fillRect/>
              </a:stretch>
            </a:blipFill>
            <a:ln>
              <a:noFill/>
            </a:ln>
            <a:effectLst/>
          </c:spPr>
          <c:invertIfNegative val="0"/>
          <c:val>
            <c:numRef>
              <c:f>Processing!$N$2:$N$13</c:f>
              <c:numCache>
                <c:formatCode>General</c:formatCode>
                <c:ptCount val="12"/>
                <c:pt idx="0">
                  <c:v>55.5</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9230-40EF-ADF8-610E65C47A65}"/>
            </c:ext>
          </c:extLst>
        </c:ser>
        <c:dLbls>
          <c:showLegendKey val="0"/>
          <c:showVal val="0"/>
          <c:showCatName val="0"/>
          <c:showSerName val="0"/>
          <c:showPercent val="0"/>
          <c:showBubbleSize val="0"/>
        </c:dLbls>
        <c:gapWidth val="100"/>
        <c:overlap val="100"/>
        <c:axId val="1656759599"/>
        <c:axId val="1656758159"/>
      </c:barChart>
      <c:catAx>
        <c:axId val="9350347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ru-RU"/>
          </a:p>
        </c:txPr>
        <c:crossAx val="935018463"/>
        <c:crosses val="autoZero"/>
        <c:auto val="1"/>
        <c:lblAlgn val="ctr"/>
        <c:lblOffset val="100"/>
        <c:noMultiLvlLbl val="0"/>
      </c:catAx>
      <c:valAx>
        <c:axId val="935018463"/>
        <c:scaling>
          <c:orientation val="minMax"/>
        </c:scaling>
        <c:delete val="1"/>
        <c:axPos val="l"/>
        <c:numFmt formatCode="General" sourceLinked="1"/>
        <c:majorTickMark val="none"/>
        <c:minorTickMark val="none"/>
        <c:tickLblPos val="nextTo"/>
        <c:crossAx val="935034783"/>
        <c:crosses val="autoZero"/>
        <c:crossBetween val="between"/>
      </c:valAx>
      <c:valAx>
        <c:axId val="1656758159"/>
        <c:scaling>
          <c:orientation val="minMax"/>
        </c:scaling>
        <c:delete val="1"/>
        <c:axPos val="r"/>
        <c:numFmt formatCode="General" sourceLinked="1"/>
        <c:majorTickMark val="out"/>
        <c:minorTickMark val="none"/>
        <c:tickLblPos val="nextTo"/>
        <c:crossAx val="1656759599"/>
        <c:crosses val="max"/>
        <c:crossBetween val="between"/>
      </c:valAx>
      <c:catAx>
        <c:axId val="1656759599"/>
        <c:scaling>
          <c:orientation val="minMax"/>
        </c:scaling>
        <c:delete val="1"/>
        <c:axPos val="b"/>
        <c:numFmt formatCode="General" sourceLinked="1"/>
        <c:majorTickMark val="out"/>
        <c:minorTickMark val="none"/>
        <c:tickLblPos val="nextTo"/>
        <c:crossAx val="165675815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5BDD81"/>
              </a:solidFill>
              <a:ln w="19050">
                <a:noFill/>
              </a:ln>
              <a:effectLst/>
            </c:spPr>
            <c:extLst>
              <c:ext xmlns:c16="http://schemas.microsoft.com/office/drawing/2014/chart" uri="{C3380CC4-5D6E-409C-BE32-E72D297353CC}">
                <c16:uniqueId val="{00000001-1F03-45D3-AC5D-009D74179751}"/>
              </c:ext>
            </c:extLst>
          </c:dPt>
          <c:dPt>
            <c:idx val="1"/>
            <c:bubble3D val="0"/>
            <c:spPr>
              <a:solidFill>
                <a:schemeClr val="bg1"/>
              </a:solidFill>
              <a:ln w="19050">
                <a:noFill/>
              </a:ln>
              <a:effectLst/>
            </c:spPr>
            <c:extLst>
              <c:ext xmlns:c16="http://schemas.microsoft.com/office/drawing/2014/chart" uri="{C3380CC4-5D6E-409C-BE32-E72D297353CC}">
                <c16:uniqueId val="{00000003-1F03-45D3-AC5D-009D74179751}"/>
              </c:ext>
            </c:extLst>
          </c:dPt>
          <c:val>
            <c:numRef>
              <c:f>Processing!$Q$11:$R$11</c:f>
              <c:numCache>
                <c:formatCode>0%</c:formatCode>
                <c:ptCount val="2"/>
                <c:pt idx="0">
                  <c:v>0.1</c:v>
                </c:pt>
                <c:pt idx="1">
                  <c:v>0.9</c:v>
                </c:pt>
              </c:numCache>
            </c:numRef>
          </c:val>
          <c:extLst>
            <c:ext xmlns:c16="http://schemas.microsoft.com/office/drawing/2014/chart" uri="{C3380CC4-5D6E-409C-BE32-E72D297353CC}">
              <c16:uniqueId val="{00000004-1F03-45D3-AC5D-009D74179751}"/>
            </c:ext>
          </c:extLst>
        </c:ser>
        <c:dLbls>
          <c:showLegendKey val="0"/>
          <c:showVal val="0"/>
          <c:showCatName val="0"/>
          <c:showSerName val="0"/>
          <c:showPercent val="0"/>
          <c:showBubbleSize val="0"/>
          <c:showLeaderLines val="1"/>
        </c:dLbls>
        <c:firstSliceAng val="30"/>
        <c:holeSize val="90"/>
      </c:doughnutChart>
      <c:scatterChart>
        <c:scatterStyle val="lineMarker"/>
        <c:varyColors val="0"/>
        <c:ser>
          <c:idx val="1"/>
          <c:order val="1"/>
          <c:tx>
            <c:v>Cursor</c:v>
          </c:tx>
          <c:spPr>
            <a:ln w="25400" cap="rnd">
              <a:noFill/>
              <a:round/>
            </a:ln>
            <a:effectLst>
              <a:outerShdw blurRad="50800" dist="38100" dir="5400000" algn="t" rotWithShape="0">
                <a:prstClr val="black">
                  <a:alpha val="40000"/>
                </a:prstClr>
              </a:outerShdw>
            </a:effectLst>
          </c:spPr>
          <c:marker>
            <c:symbol val="circle"/>
            <c:size val="13"/>
            <c:spPr>
              <a:solidFill>
                <a:srgbClr val="00C74D"/>
              </a:solidFill>
              <a:ln w="19050">
                <a:solidFill>
                  <a:schemeClr val="bg1"/>
                </a:solidFill>
              </a:ln>
              <a:effectLst>
                <a:outerShdw blurRad="50800" dist="38100" dir="5400000" algn="t" rotWithShape="0">
                  <a:prstClr val="black">
                    <a:alpha val="40000"/>
                  </a:prstClr>
                </a:outerShdw>
              </a:effectLst>
            </c:spPr>
          </c:marker>
          <c:xVal>
            <c:numRef>
              <c:f>Processing!$S$11</c:f>
              <c:numCache>
                <c:formatCode>General</c:formatCode>
                <c:ptCount val="1"/>
                <c:pt idx="0">
                  <c:v>0.86705700803332753</c:v>
                </c:pt>
              </c:numCache>
            </c:numRef>
          </c:xVal>
          <c:yVal>
            <c:numRef>
              <c:f>Processing!$T$11</c:f>
              <c:numCache>
                <c:formatCode>General</c:formatCode>
                <c:ptCount val="1"/>
                <c:pt idx="0">
                  <c:v>0.3882166209995318</c:v>
                </c:pt>
              </c:numCache>
            </c:numRef>
          </c:yVal>
          <c:smooth val="0"/>
          <c:extLst>
            <c:ext xmlns:c16="http://schemas.microsoft.com/office/drawing/2014/chart" uri="{C3380CC4-5D6E-409C-BE32-E72D297353CC}">
              <c16:uniqueId val="{00000005-1F03-45D3-AC5D-009D74179751}"/>
            </c:ext>
          </c:extLst>
        </c:ser>
        <c:dLbls>
          <c:showLegendKey val="0"/>
          <c:showVal val="0"/>
          <c:showCatName val="0"/>
          <c:showSerName val="0"/>
          <c:showPercent val="0"/>
          <c:showBubbleSize val="0"/>
        </c:dLbls>
        <c:axId val="1725603839"/>
        <c:axId val="1725609119"/>
      </c:scatterChart>
      <c:valAx>
        <c:axId val="1725603839"/>
        <c:scaling>
          <c:orientation val="minMax"/>
          <c:max val="1"/>
          <c:min val="-1"/>
        </c:scaling>
        <c:delete val="1"/>
        <c:axPos val="b"/>
        <c:numFmt formatCode="General" sourceLinked="1"/>
        <c:majorTickMark val="out"/>
        <c:minorTickMark val="none"/>
        <c:tickLblPos val="nextTo"/>
        <c:crossAx val="1725609119"/>
        <c:crosses val="autoZero"/>
        <c:crossBetween val="midCat"/>
      </c:valAx>
      <c:valAx>
        <c:axId val="1725609119"/>
        <c:scaling>
          <c:orientation val="minMax"/>
          <c:max val="1"/>
          <c:min val="-1"/>
        </c:scaling>
        <c:delete val="1"/>
        <c:axPos val="l"/>
        <c:numFmt formatCode="General" sourceLinked="1"/>
        <c:majorTickMark val="out"/>
        <c:minorTickMark val="none"/>
        <c:tickLblPos val="nextTo"/>
        <c:crossAx val="17256038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B19EFF"/>
              </a:solidFill>
              <a:ln w="19050">
                <a:noFill/>
              </a:ln>
              <a:effectLst/>
            </c:spPr>
            <c:extLst>
              <c:ext xmlns:c16="http://schemas.microsoft.com/office/drawing/2014/chart" uri="{C3380CC4-5D6E-409C-BE32-E72D297353CC}">
                <c16:uniqueId val="{00000001-B374-4A30-9D1E-003A79316F63}"/>
              </c:ext>
            </c:extLst>
          </c:dPt>
          <c:dPt>
            <c:idx val="1"/>
            <c:bubble3D val="0"/>
            <c:spPr>
              <a:solidFill>
                <a:schemeClr val="bg1"/>
              </a:solidFill>
              <a:ln w="19050">
                <a:noFill/>
              </a:ln>
              <a:effectLst/>
            </c:spPr>
            <c:extLst>
              <c:ext xmlns:c16="http://schemas.microsoft.com/office/drawing/2014/chart" uri="{C3380CC4-5D6E-409C-BE32-E72D297353CC}">
                <c16:uniqueId val="{00000003-B374-4A30-9D1E-003A79316F63}"/>
              </c:ext>
            </c:extLst>
          </c:dPt>
          <c:val>
            <c:numRef>
              <c:f>Processing!$Q$12:$R$12</c:f>
              <c:numCache>
                <c:formatCode>0%</c:formatCode>
                <c:ptCount val="2"/>
                <c:pt idx="0">
                  <c:v>0.13</c:v>
                </c:pt>
                <c:pt idx="1">
                  <c:v>0.87</c:v>
                </c:pt>
              </c:numCache>
            </c:numRef>
          </c:val>
          <c:extLst>
            <c:ext xmlns:c16="http://schemas.microsoft.com/office/drawing/2014/chart" uri="{C3380CC4-5D6E-409C-BE32-E72D297353CC}">
              <c16:uniqueId val="{00000004-B374-4A30-9D1E-003A79316F63}"/>
            </c:ext>
          </c:extLst>
        </c:ser>
        <c:dLbls>
          <c:showLegendKey val="0"/>
          <c:showVal val="0"/>
          <c:showCatName val="0"/>
          <c:showSerName val="0"/>
          <c:showPercent val="0"/>
          <c:showBubbleSize val="0"/>
          <c:showLeaderLines val="1"/>
        </c:dLbls>
        <c:firstSliceAng val="30"/>
        <c:holeSize val="90"/>
      </c:doughnutChart>
      <c:scatterChart>
        <c:scatterStyle val="lineMarker"/>
        <c:varyColors val="0"/>
        <c:ser>
          <c:idx val="1"/>
          <c:order val="1"/>
          <c:tx>
            <c:v>Cursor</c:v>
          </c:tx>
          <c:spPr>
            <a:ln w="25400" cap="rnd">
              <a:noFill/>
              <a:round/>
            </a:ln>
            <a:effectLst/>
          </c:spPr>
          <c:marker>
            <c:symbol val="circle"/>
            <c:size val="13"/>
            <c:spPr>
              <a:solidFill>
                <a:srgbClr val="9980FF"/>
              </a:solidFill>
              <a:ln w="19050">
                <a:solidFill>
                  <a:schemeClr val="bg1"/>
                </a:solidFill>
              </a:ln>
              <a:effectLst>
                <a:outerShdw blurRad="50800" dist="38100" dir="5400000" algn="t" rotWithShape="0">
                  <a:prstClr val="black">
                    <a:alpha val="40000"/>
                  </a:prstClr>
                </a:outerShdw>
              </a:effectLst>
            </c:spPr>
          </c:marker>
          <c:xVal>
            <c:numRef>
              <c:f>Processing!$S$12</c:f>
              <c:numCache>
                <c:formatCode>General</c:formatCode>
                <c:ptCount val="1"/>
                <c:pt idx="0">
                  <c:v>0.9244435854330203</c:v>
                </c:pt>
              </c:numCache>
            </c:numRef>
          </c:xVal>
          <c:yVal>
            <c:numRef>
              <c:f>Processing!$T$12</c:f>
              <c:numCache>
                <c:formatCode>General</c:formatCode>
                <c:ptCount val="1"/>
                <c:pt idx="0">
                  <c:v>0.21886995534276146</c:v>
                </c:pt>
              </c:numCache>
            </c:numRef>
          </c:yVal>
          <c:smooth val="0"/>
          <c:extLst>
            <c:ext xmlns:c16="http://schemas.microsoft.com/office/drawing/2014/chart" uri="{C3380CC4-5D6E-409C-BE32-E72D297353CC}">
              <c16:uniqueId val="{00000005-B374-4A30-9D1E-003A79316F63}"/>
            </c:ext>
          </c:extLst>
        </c:ser>
        <c:dLbls>
          <c:showLegendKey val="0"/>
          <c:showVal val="0"/>
          <c:showCatName val="0"/>
          <c:showSerName val="0"/>
          <c:showPercent val="0"/>
          <c:showBubbleSize val="0"/>
        </c:dLbls>
        <c:axId val="1725603839"/>
        <c:axId val="1725609119"/>
      </c:scatterChart>
      <c:valAx>
        <c:axId val="1725603839"/>
        <c:scaling>
          <c:orientation val="minMax"/>
          <c:max val="1"/>
          <c:min val="-1"/>
        </c:scaling>
        <c:delete val="1"/>
        <c:axPos val="b"/>
        <c:numFmt formatCode="General" sourceLinked="1"/>
        <c:majorTickMark val="out"/>
        <c:minorTickMark val="none"/>
        <c:tickLblPos val="nextTo"/>
        <c:crossAx val="1725609119"/>
        <c:crosses val="autoZero"/>
        <c:crossBetween val="midCat"/>
      </c:valAx>
      <c:valAx>
        <c:axId val="1725609119"/>
        <c:scaling>
          <c:orientation val="minMax"/>
          <c:max val="1"/>
          <c:min val="-1"/>
        </c:scaling>
        <c:delete val="1"/>
        <c:axPos val="l"/>
        <c:numFmt formatCode="General" sourceLinked="1"/>
        <c:majorTickMark val="out"/>
        <c:minorTickMark val="none"/>
        <c:tickLblPos val="nextTo"/>
        <c:crossAx val="17256038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C3DCEB"/>
              </a:solidFill>
              <a:ln w="19050">
                <a:noFill/>
              </a:ln>
              <a:effectLst/>
            </c:spPr>
            <c:extLst>
              <c:ext xmlns:c16="http://schemas.microsoft.com/office/drawing/2014/chart" uri="{C3380CC4-5D6E-409C-BE32-E72D297353CC}">
                <c16:uniqueId val="{00000001-DDC8-4529-B4C5-E8F0982CFF8D}"/>
              </c:ext>
            </c:extLst>
          </c:dPt>
          <c:dPt>
            <c:idx val="1"/>
            <c:bubble3D val="0"/>
            <c:spPr>
              <a:solidFill>
                <a:schemeClr val="bg1"/>
              </a:solidFill>
              <a:ln w="19050">
                <a:noFill/>
              </a:ln>
              <a:effectLst/>
            </c:spPr>
            <c:extLst>
              <c:ext xmlns:c16="http://schemas.microsoft.com/office/drawing/2014/chart" uri="{C3380CC4-5D6E-409C-BE32-E72D297353CC}">
                <c16:uniqueId val="{00000003-DDC8-4529-B4C5-E8F0982CFF8D}"/>
              </c:ext>
            </c:extLst>
          </c:dPt>
          <c:val>
            <c:numRef>
              <c:f>Processing!$Q$13:$R$13</c:f>
              <c:numCache>
                <c:formatCode>0%</c:formatCode>
                <c:ptCount val="2"/>
                <c:pt idx="0">
                  <c:v>0.08</c:v>
                </c:pt>
                <c:pt idx="1">
                  <c:v>0.92</c:v>
                </c:pt>
              </c:numCache>
            </c:numRef>
          </c:val>
          <c:extLst>
            <c:ext xmlns:c16="http://schemas.microsoft.com/office/drawing/2014/chart" uri="{C3380CC4-5D6E-409C-BE32-E72D297353CC}">
              <c16:uniqueId val="{00000004-DDC8-4529-B4C5-E8F0982CFF8D}"/>
            </c:ext>
          </c:extLst>
        </c:ser>
        <c:dLbls>
          <c:showLegendKey val="0"/>
          <c:showVal val="0"/>
          <c:showCatName val="0"/>
          <c:showSerName val="0"/>
          <c:showPercent val="0"/>
          <c:showBubbleSize val="0"/>
          <c:showLeaderLines val="1"/>
        </c:dLbls>
        <c:firstSliceAng val="30"/>
        <c:holeSize val="90"/>
      </c:doughnutChart>
      <c:scatterChart>
        <c:scatterStyle val="lineMarker"/>
        <c:varyColors val="0"/>
        <c:ser>
          <c:idx val="1"/>
          <c:order val="1"/>
          <c:tx>
            <c:v>Cursor</c:v>
          </c:tx>
          <c:spPr>
            <a:ln w="25400" cap="rnd">
              <a:noFill/>
              <a:round/>
            </a:ln>
            <a:effectLst/>
          </c:spPr>
          <c:marker>
            <c:symbol val="circle"/>
            <c:size val="13"/>
            <c:spPr>
              <a:solidFill>
                <a:srgbClr val="00C74D"/>
              </a:solidFill>
              <a:ln w="19050">
                <a:solidFill>
                  <a:schemeClr val="bg1"/>
                </a:solidFill>
              </a:ln>
              <a:effectLst>
                <a:outerShdw blurRad="50800" dist="38100" dir="5400000" algn="t" rotWithShape="0">
                  <a:prstClr val="black">
                    <a:alpha val="40000"/>
                  </a:prstClr>
                </a:outerShdw>
              </a:effectLst>
            </c:spPr>
          </c:marker>
          <c:dPt>
            <c:idx val="0"/>
            <c:marker>
              <c:symbol val="circle"/>
              <c:size val="13"/>
              <c:spPr>
                <a:solidFill>
                  <a:srgbClr val="C3DCEB"/>
                </a:solidFill>
                <a:ln w="19050">
                  <a:solidFill>
                    <a:schemeClr val="bg1"/>
                  </a:solidFill>
                </a:ln>
                <a:effectLst>
                  <a:outerShdw blurRad="50800" dist="38100" dir="5400000" algn="t" rotWithShape="0">
                    <a:prstClr val="black">
                      <a:alpha val="40000"/>
                    </a:prstClr>
                  </a:outerShdw>
                </a:effectLst>
              </c:spPr>
            </c:marker>
            <c:bubble3D val="0"/>
            <c:extLst>
              <c:ext xmlns:c16="http://schemas.microsoft.com/office/drawing/2014/chart" uri="{C3380CC4-5D6E-409C-BE32-E72D297353CC}">
                <c16:uniqueId val="{00000006-DDC8-4529-B4C5-E8F0982CFF8D}"/>
              </c:ext>
            </c:extLst>
          </c:dPt>
          <c:xVal>
            <c:numRef>
              <c:f>Processing!$S$13</c:f>
              <c:numCache>
                <c:formatCode>General</c:formatCode>
                <c:ptCount val="1"/>
                <c:pt idx="0">
                  <c:v>0.8115635601143304</c:v>
                </c:pt>
              </c:numCache>
            </c:numRef>
          </c:xVal>
          <c:yVal>
            <c:numRef>
              <c:f>Processing!$T$13</c:f>
              <c:numCache>
                <c:formatCode>General</c:formatCode>
                <c:ptCount val="1"/>
                <c:pt idx="0">
                  <c:v>0.49382647548967434</c:v>
                </c:pt>
              </c:numCache>
            </c:numRef>
          </c:yVal>
          <c:smooth val="0"/>
          <c:extLst>
            <c:ext xmlns:c16="http://schemas.microsoft.com/office/drawing/2014/chart" uri="{C3380CC4-5D6E-409C-BE32-E72D297353CC}">
              <c16:uniqueId val="{00000005-DDC8-4529-B4C5-E8F0982CFF8D}"/>
            </c:ext>
          </c:extLst>
        </c:ser>
        <c:dLbls>
          <c:showLegendKey val="0"/>
          <c:showVal val="0"/>
          <c:showCatName val="0"/>
          <c:showSerName val="0"/>
          <c:showPercent val="0"/>
          <c:showBubbleSize val="0"/>
        </c:dLbls>
        <c:axId val="1725603839"/>
        <c:axId val="1725609119"/>
      </c:scatterChart>
      <c:valAx>
        <c:axId val="1725603839"/>
        <c:scaling>
          <c:orientation val="minMax"/>
          <c:max val="1"/>
          <c:min val="-1"/>
        </c:scaling>
        <c:delete val="1"/>
        <c:axPos val="b"/>
        <c:numFmt formatCode="General" sourceLinked="1"/>
        <c:majorTickMark val="out"/>
        <c:minorTickMark val="none"/>
        <c:tickLblPos val="nextTo"/>
        <c:crossAx val="1725609119"/>
        <c:crosses val="autoZero"/>
        <c:crossBetween val="midCat"/>
      </c:valAx>
      <c:valAx>
        <c:axId val="1725609119"/>
        <c:scaling>
          <c:orientation val="minMax"/>
          <c:max val="1"/>
          <c:min val="-1"/>
        </c:scaling>
        <c:delete val="1"/>
        <c:axPos val="l"/>
        <c:numFmt formatCode="General" sourceLinked="1"/>
        <c:majorTickMark val="out"/>
        <c:minorTickMark val="none"/>
        <c:tickLblPos val="nextTo"/>
        <c:crossAx val="17256038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Processing!$Q$1</c:f>
              <c:strCache>
                <c:ptCount val="1"/>
                <c:pt idx="0">
                  <c:v>KPI</c:v>
                </c:pt>
              </c:strCache>
            </c:strRef>
          </c:tx>
          <c:spPr>
            <a:gradFill>
              <a:gsLst>
                <a:gs pos="0">
                  <a:srgbClr val="BCF5B8">
                    <a:alpha val="48000"/>
                  </a:srgbClr>
                </a:gs>
                <a:gs pos="100000">
                  <a:srgbClr val="00C74D">
                    <a:alpha val="50000"/>
                  </a:srgbClr>
                </a:gs>
              </a:gsLst>
              <a:path path="circle">
                <a:fillToRect l="100000" b="100000"/>
              </a:path>
            </a:gradFill>
            <a:ln w="9525">
              <a:solidFill>
                <a:srgbClr val="00C74D"/>
              </a:solidFill>
            </a:ln>
            <a:effectLst/>
          </c:spPr>
          <c:cat>
            <c:strRef>
              <c:f>Processing!$P$2:$P$6</c:f>
              <c:strCache>
                <c:ptCount val="5"/>
                <c:pt idx="0">
                  <c:v>Point 1</c:v>
                </c:pt>
                <c:pt idx="1">
                  <c:v>Point 2</c:v>
                </c:pt>
                <c:pt idx="2">
                  <c:v>Point 3</c:v>
                </c:pt>
                <c:pt idx="3">
                  <c:v>Point 4</c:v>
                </c:pt>
                <c:pt idx="4">
                  <c:v>Point 5</c:v>
                </c:pt>
              </c:strCache>
            </c:strRef>
          </c:cat>
          <c:val>
            <c:numRef>
              <c:f>Processing!$Q$2:$Q$6</c:f>
              <c:numCache>
                <c:formatCode>General</c:formatCode>
                <c:ptCount val="5"/>
                <c:pt idx="0">
                  <c:v>21331</c:v>
                </c:pt>
                <c:pt idx="1">
                  <c:v>32190</c:v>
                </c:pt>
                <c:pt idx="2">
                  <c:v>34484</c:v>
                </c:pt>
                <c:pt idx="3">
                  <c:v>39213</c:v>
                </c:pt>
                <c:pt idx="4">
                  <c:v>34138</c:v>
                </c:pt>
              </c:numCache>
            </c:numRef>
          </c:val>
          <c:extLst>
            <c:ext xmlns:c16="http://schemas.microsoft.com/office/drawing/2014/chart" uri="{C3380CC4-5D6E-409C-BE32-E72D297353CC}">
              <c16:uniqueId val="{00000000-5E52-4A9A-9E5D-11073087C37A}"/>
            </c:ext>
          </c:extLst>
        </c:ser>
        <c:ser>
          <c:idx val="1"/>
          <c:order val="1"/>
          <c:tx>
            <c:strRef>
              <c:f>Processing!$R$1</c:f>
              <c:strCache>
                <c:ptCount val="1"/>
                <c:pt idx="0">
                  <c:v>Cost</c:v>
                </c:pt>
              </c:strCache>
            </c:strRef>
          </c:tx>
          <c:spPr>
            <a:gradFill>
              <a:gsLst>
                <a:gs pos="0">
                  <a:srgbClr val="CCBFFF">
                    <a:alpha val="70000"/>
                  </a:srgbClr>
                </a:gs>
                <a:gs pos="100000">
                  <a:srgbClr val="9980FF">
                    <a:alpha val="70000"/>
                  </a:srgbClr>
                </a:gs>
              </a:gsLst>
              <a:path path="circle">
                <a:fillToRect l="100000" b="100000"/>
              </a:path>
            </a:gradFill>
            <a:ln w="9525">
              <a:solidFill>
                <a:srgbClr val="9980FF"/>
              </a:solidFill>
            </a:ln>
            <a:effectLst/>
          </c:spPr>
          <c:cat>
            <c:strRef>
              <c:f>Processing!$P$2:$P$6</c:f>
              <c:strCache>
                <c:ptCount val="5"/>
                <c:pt idx="0">
                  <c:v>Point 1</c:v>
                </c:pt>
                <c:pt idx="1">
                  <c:v>Point 2</c:v>
                </c:pt>
                <c:pt idx="2">
                  <c:v>Point 3</c:v>
                </c:pt>
                <c:pt idx="3">
                  <c:v>Point 4</c:v>
                </c:pt>
                <c:pt idx="4">
                  <c:v>Point 5</c:v>
                </c:pt>
              </c:strCache>
            </c:strRef>
          </c:cat>
          <c:val>
            <c:numRef>
              <c:f>Processing!$R$2:$R$6</c:f>
              <c:numCache>
                <c:formatCode>General</c:formatCode>
                <c:ptCount val="5"/>
                <c:pt idx="0">
                  <c:v>33169</c:v>
                </c:pt>
                <c:pt idx="1">
                  <c:v>23348</c:v>
                </c:pt>
                <c:pt idx="2">
                  <c:v>24244</c:v>
                </c:pt>
                <c:pt idx="3">
                  <c:v>26367</c:v>
                </c:pt>
                <c:pt idx="4">
                  <c:v>30946</c:v>
                </c:pt>
              </c:numCache>
            </c:numRef>
          </c:val>
          <c:extLst>
            <c:ext xmlns:c16="http://schemas.microsoft.com/office/drawing/2014/chart" uri="{C3380CC4-5D6E-409C-BE32-E72D297353CC}">
              <c16:uniqueId val="{00000001-5E52-4A9A-9E5D-11073087C37A}"/>
            </c:ext>
          </c:extLst>
        </c:ser>
        <c:dLbls>
          <c:showLegendKey val="0"/>
          <c:showVal val="0"/>
          <c:showCatName val="0"/>
          <c:showSerName val="0"/>
          <c:showPercent val="0"/>
          <c:showBubbleSize val="0"/>
        </c:dLbls>
        <c:axId val="1656786479"/>
        <c:axId val="1656821999"/>
      </c:radarChart>
      <c:catAx>
        <c:axId val="165678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ru-RU"/>
          </a:p>
        </c:txPr>
        <c:crossAx val="1656821999"/>
        <c:crosses val="autoZero"/>
        <c:auto val="1"/>
        <c:lblAlgn val="ctr"/>
        <c:lblOffset val="100"/>
        <c:noMultiLvlLbl val="0"/>
      </c:catAx>
      <c:valAx>
        <c:axId val="1656821999"/>
        <c:scaling>
          <c:orientation val="minMax"/>
        </c:scaling>
        <c:delete val="1"/>
        <c:axPos val="l"/>
        <c:numFmt formatCode="General" sourceLinked="1"/>
        <c:majorTickMark val="none"/>
        <c:minorTickMark val="none"/>
        <c:tickLblPos val="nextTo"/>
        <c:crossAx val="165678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Fill1</c:v>
          </c:tx>
          <c:spPr>
            <a:gradFill flip="none" rotWithShape="1">
              <a:gsLst>
                <a:gs pos="0">
                  <a:srgbClr val="BCF5B8">
                    <a:alpha val="30000"/>
                  </a:srgbClr>
                </a:gs>
                <a:gs pos="100000">
                  <a:srgbClr val="ABF1AE">
                    <a:alpha val="0"/>
                  </a:srgbClr>
                </a:gs>
              </a:gsLst>
              <a:lin ang="5400000" scaled="0"/>
              <a:tileRect/>
            </a:gradFill>
            <a:ln>
              <a:noFill/>
            </a:ln>
            <a:effectLst/>
          </c:spPr>
          <c:val>
            <c:numRef>
              <c:f>Processing!$B$2:$B$13</c:f>
              <c:numCache>
                <c:formatCode>General</c:formatCode>
                <c:ptCount val="12"/>
                <c:pt idx="0">
                  <c:v>612</c:v>
                </c:pt>
                <c:pt idx="1">
                  <c:v>815</c:v>
                </c:pt>
                <c:pt idx="2">
                  <c:v>851</c:v>
                </c:pt>
                <c:pt idx="3">
                  <c:v>755</c:v>
                </c:pt>
                <c:pt idx="4">
                  <c:v>598</c:v>
                </c:pt>
                <c:pt idx="5">
                  <c:v>470</c:v>
                </c:pt>
                <c:pt idx="6">
                  <c:v>545</c:v>
                </c:pt>
                <c:pt idx="7">
                  <c:v>990</c:v>
                </c:pt>
                <c:pt idx="8">
                  <c:v>1135</c:v>
                </c:pt>
                <c:pt idx="9">
                  <c:v>1080</c:v>
                </c:pt>
                <c:pt idx="10">
                  <c:v>955</c:v>
                </c:pt>
                <c:pt idx="11">
                  <c:v>930</c:v>
                </c:pt>
              </c:numCache>
            </c:numRef>
          </c:val>
          <c:extLst>
            <c:ext xmlns:c16="http://schemas.microsoft.com/office/drawing/2014/chart" uri="{C3380CC4-5D6E-409C-BE32-E72D297353CC}">
              <c16:uniqueId val="{00000000-017C-482E-AF65-238C8941273C}"/>
            </c:ext>
          </c:extLst>
        </c:ser>
        <c:ser>
          <c:idx val="3"/>
          <c:order val="3"/>
          <c:tx>
            <c:v>Fill2</c:v>
          </c:tx>
          <c:spPr>
            <a:gradFill flip="none" rotWithShape="1">
              <a:gsLst>
                <a:gs pos="0">
                  <a:srgbClr val="CCBFFF">
                    <a:alpha val="40000"/>
                  </a:srgbClr>
                </a:gs>
                <a:gs pos="100000">
                  <a:srgbClr val="C8BBFF">
                    <a:alpha val="0"/>
                  </a:srgbClr>
                </a:gs>
              </a:gsLst>
              <a:lin ang="5400000" scaled="0"/>
              <a:tileRect/>
            </a:gradFill>
            <a:ln>
              <a:noFill/>
            </a:ln>
            <a:effectLst/>
          </c:spPr>
          <c:val>
            <c:numRef>
              <c:f>Processing!$C$2:$C$13</c:f>
              <c:numCache>
                <c:formatCode>General</c:formatCode>
                <c:ptCount val="12"/>
                <c:pt idx="0">
                  <c:v>520</c:v>
                </c:pt>
                <c:pt idx="1">
                  <c:v>670</c:v>
                </c:pt>
                <c:pt idx="2">
                  <c:v>850</c:v>
                </c:pt>
                <c:pt idx="3">
                  <c:v>1030</c:v>
                </c:pt>
                <c:pt idx="4">
                  <c:v>1075</c:v>
                </c:pt>
                <c:pt idx="5">
                  <c:v>980</c:v>
                </c:pt>
                <c:pt idx="6">
                  <c:v>810</c:v>
                </c:pt>
                <c:pt idx="7">
                  <c:v>640</c:v>
                </c:pt>
                <c:pt idx="8">
                  <c:v>500</c:v>
                </c:pt>
                <c:pt idx="9">
                  <c:v>620</c:v>
                </c:pt>
                <c:pt idx="10">
                  <c:v>800</c:v>
                </c:pt>
                <c:pt idx="11">
                  <c:v>950</c:v>
                </c:pt>
              </c:numCache>
            </c:numRef>
          </c:val>
          <c:extLst>
            <c:ext xmlns:c16="http://schemas.microsoft.com/office/drawing/2014/chart" uri="{C3380CC4-5D6E-409C-BE32-E72D297353CC}">
              <c16:uniqueId val="{00000001-017C-482E-AF65-238C8941273C}"/>
            </c:ext>
          </c:extLst>
        </c:ser>
        <c:dLbls>
          <c:showLegendKey val="0"/>
          <c:showVal val="0"/>
          <c:showCatName val="0"/>
          <c:showSerName val="0"/>
          <c:showPercent val="0"/>
          <c:showBubbleSize val="0"/>
        </c:dLbls>
        <c:axId val="1639660207"/>
        <c:axId val="1639660687"/>
      </c:areaChart>
      <c:lineChart>
        <c:grouping val="standard"/>
        <c:varyColors val="0"/>
        <c:ser>
          <c:idx val="0"/>
          <c:order val="0"/>
          <c:spPr>
            <a:ln w="19050" cap="rnd">
              <a:solidFill>
                <a:srgbClr val="00C74D"/>
              </a:solidFill>
              <a:round/>
            </a:ln>
            <a:effectLst/>
          </c:spPr>
          <c:marker>
            <c:symbol val="circle"/>
            <c:size val="7"/>
            <c:spPr>
              <a:solidFill>
                <a:schemeClr val="bg1"/>
              </a:solidFill>
              <a:ln w="9525">
                <a:solidFill>
                  <a:srgbClr val="00C74D"/>
                </a:solidFill>
              </a:ln>
              <a:effectLst/>
            </c:spPr>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612</c:v>
                </c:pt>
                <c:pt idx="1">
                  <c:v>815</c:v>
                </c:pt>
                <c:pt idx="2">
                  <c:v>851</c:v>
                </c:pt>
                <c:pt idx="3">
                  <c:v>755</c:v>
                </c:pt>
                <c:pt idx="4">
                  <c:v>598</c:v>
                </c:pt>
                <c:pt idx="5">
                  <c:v>470</c:v>
                </c:pt>
                <c:pt idx="6">
                  <c:v>545</c:v>
                </c:pt>
                <c:pt idx="7">
                  <c:v>990</c:v>
                </c:pt>
                <c:pt idx="8">
                  <c:v>1135</c:v>
                </c:pt>
                <c:pt idx="9">
                  <c:v>1080</c:v>
                </c:pt>
                <c:pt idx="10">
                  <c:v>955</c:v>
                </c:pt>
                <c:pt idx="11">
                  <c:v>930</c:v>
                </c:pt>
              </c:numCache>
            </c:numRef>
          </c:val>
          <c:smooth val="1"/>
          <c:extLst>
            <c:ext xmlns:c16="http://schemas.microsoft.com/office/drawing/2014/chart" uri="{C3380CC4-5D6E-409C-BE32-E72D297353CC}">
              <c16:uniqueId val="{00000002-017C-482E-AF65-238C8941273C}"/>
            </c:ext>
          </c:extLst>
        </c:ser>
        <c:ser>
          <c:idx val="1"/>
          <c:order val="1"/>
          <c:spPr>
            <a:ln w="19050" cap="rnd">
              <a:solidFill>
                <a:srgbClr val="9980FF"/>
              </a:solidFill>
              <a:round/>
            </a:ln>
            <a:effectLst/>
          </c:spPr>
          <c:marker>
            <c:symbol val="circle"/>
            <c:size val="7"/>
            <c:spPr>
              <a:solidFill>
                <a:schemeClr val="bg1"/>
              </a:solidFill>
              <a:ln w="9525">
                <a:solidFill>
                  <a:srgbClr val="9980FF"/>
                </a:solidFill>
              </a:ln>
              <a:effectLst/>
            </c:spPr>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520</c:v>
                </c:pt>
                <c:pt idx="1">
                  <c:v>670</c:v>
                </c:pt>
                <c:pt idx="2">
                  <c:v>850</c:v>
                </c:pt>
                <c:pt idx="3">
                  <c:v>1030</c:v>
                </c:pt>
                <c:pt idx="4">
                  <c:v>1075</c:v>
                </c:pt>
                <c:pt idx="5">
                  <c:v>980</c:v>
                </c:pt>
                <c:pt idx="6">
                  <c:v>810</c:v>
                </c:pt>
                <c:pt idx="7">
                  <c:v>640</c:v>
                </c:pt>
                <c:pt idx="8">
                  <c:v>500</c:v>
                </c:pt>
                <c:pt idx="9">
                  <c:v>620</c:v>
                </c:pt>
                <c:pt idx="10">
                  <c:v>800</c:v>
                </c:pt>
                <c:pt idx="11">
                  <c:v>950</c:v>
                </c:pt>
              </c:numCache>
            </c:numRef>
          </c:val>
          <c:smooth val="1"/>
          <c:extLst>
            <c:ext xmlns:c16="http://schemas.microsoft.com/office/drawing/2014/chart" uri="{C3380CC4-5D6E-409C-BE32-E72D297353CC}">
              <c16:uniqueId val="{00000003-017C-482E-AF65-238C8941273C}"/>
            </c:ext>
          </c:extLst>
        </c:ser>
        <c:dLbls>
          <c:showLegendKey val="0"/>
          <c:showVal val="0"/>
          <c:showCatName val="0"/>
          <c:showSerName val="0"/>
          <c:showPercent val="0"/>
          <c:showBubbleSize val="0"/>
        </c:dLbls>
        <c:marker val="1"/>
        <c:smooth val="0"/>
        <c:axId val="1639660207"/>
        <c:axId val="1639660687"/>
      </c:lineChart>
      <c:scatterChart>
        <c:scatterStyle val="lineMarker"/>
        <c:varyColors val="0"/>
        <c:ser>
          <c:idx val="4"/>
          <c:order val="4"/>
          <c:tx>
            <c:strRef>
              <c:f>Processing!$D$1</c:f>
              <c:strCache>
                <c:ptCount val="1"/>
                <c:pt idx="0">
                  <c:v>Active Select</c:v>
                </c:pt>
              </c:strCache>
            </c:strRef>
          </c:tx>
          <c:spPr>
            <a:ln w="25400" cap="rnd">
              <a:noFill/>
              <a:round/>
            </a:ln>
            <a:effectLst/>
          </c:spPr>
          <c:marker>
            <c:symbol val="circle"/>
            <c:size val="5"/>
            <c:spPr>
              <a:solidFill>
                <a:srgbClr val="5BDD81"/>
              </a:solidFill>
              <a:ln w="9525">
                <a:solidFill>
                  <a:schemeClr val="bg1"/>
                </a:solidFill>
              </a:ln>
              <a:effectLst/>
            </c:spPr>
          </c:marker>
          <c:errBars>
            <c:errDir val="y"/>
            <c:errBarType val="minus"/>
            <c:errValType val="cust"/>
            <c:noEndCap val="0"/>
            <c:plus>
              <c:numLit>
                <c:formatCode>General</c:formatCode>
                <c:ptCount val="1"/>
                <c:pt idx="0">
                  <c:v>1</c:v>
                </c:pt>
              </c:numLit>
            </c:plus>
            <c:minus>
              <c:numRef>
                <c:f>Processing!$D$2:$D$13</c:f>
                <c:numCache>
                  <c:formatCode>General</c:formatCode>
                  <c:ptCount val="12"/>
                  <c:pt idx="0">
                    <c:v>612</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chemeClr val="bg1">
                    <a:lumMod val="50000"/>
                  </a:schemeClr>
                </a:solidFill>
                <a:round/>
              </a:ln>
              <a:effectLst/>
            </c:spPr>
          </c:errBars>
          <c:yVal>
            <c:numRef>
              <c:f>Processing!$D$2:$D$13</c:f>
              <c:numCache>
                <c:formatCode>General</c:formatCode>
                <c:ptCount val="12"/>
                <c:pt idx="0">
                  <c:v>612</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4-017C-482E-AF65-238C8941273C}"/>
            </c:ext>
          </c:extLst>
        </c:ser>
        <c:ser>
          <c:idx val="5"/>
          <c:order val="5"/>
          <c:tx>
            <c:strRef>
              <c:f>Processing!$E$1</c:f>
              <c:strCache>
                <c:ptCount val="1"/>
                <c:pt idx="0">
                  <c:v>Average Select</c:v>
                </c:pt>
              </c:strCache>
            </c:strRef>
          </c:tx>
          <c:spPr>
            <a:ln w="25400" cap="rnd">
              <a:noFill/>
              <a:round/>
            </a:ln>
            <a:effectLst/>
          </c:spPr>
          <c:marker>
            <c:symbol val="circle"/>
            <c:size val="5"/>
            <c:spPr>
              <a:solidFill>
                <a:srgbClr val="B19EFF"/>
              </a:solidFill>
              <a:ln w="9525">
                <a:solidFill>
                  <a:schemeClr val="bg1"/>
                </a:solidFill>
              </a:ln>
              <a:effectLst/>
            </c:spPr>
          </c:marker>
          <c:errBars>
            <c:errDir val="y"/>
            <c:errBarType val="minus"/>
            <c:errValType val="cust"/>
            <c:noEndCap val="0"/>
            <c:plus>
              <c:numLit>
                <c:formatCode>General</c:formatCode>
                <c:ptCount val="1"/>
                <c:pt idx="0">
                  <c:v>1</c:v>
                </c:pt>
              </c:numLit>
            </c:plus>
            <c:minus>
              <c:numRef>
                <c:f>Processing!$E$2:$E$13</c:f>
                <c:numCache>
                  <c:formatCode>General</c:formatCode>
                  <c:ptCount val="12"/>
                  <c:pt idx="0">
                    <c:v>520</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chemeClr val="bg1">
                    <a:lumMod val="50000"/>
                  </a:schemeClr>
                </a:solidFill>
                <a:round/>
              </a:ln>
              <a:effectLst/>
            </c:spPr>
          </c:errBars>
          <c:yVal>
            <c:numRef>
              <c:f>Processing!$E$2:$E$13</c:f>
              <c:numCache>
                <c:formatCode>General</c:formatCode>
                <c:ptCount val="12"/>
                <c:pt idx="0">
                  <c:v>520</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5-017C-482E-AF65-238C8941273C}"/>
            </c:ext>
          </c:extLst>
        </c:ser>
        <c:dLbls>
          <c:showLegendKey val="0"/>
          <c:showVal val="0"/>
          <c:showCatName val="0"/>
          <c:showSerName val="0"/>
          <c:showPercent val="0"/>
          <c:showBubbleSize val="0"/>
        </c:dLbls>
        <c:axId val="1639660207"/>
        <c:axId val="1639660687"/>
      </c:scatterChart>
      <c:catAx>
        <c:axId val="163966020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39660687"/>
        <c:crosses val="autoZero"/>
        <c:auto val="1"/>
        <c:lblAlgn val="ctr"/>
        <c:lblOffset val="100"/>
        <c:noMultiLvlLbl val="0"/>
      </c:catAx>
      <c:valAx>
        <c:axId val="1639660687"/>
        <c:scaling>
          <c:orientation val="minMax"/>
        </c:scaling>
        <c:delete val="1"/>
        <c:axPos val="l"/>
        <c:numFmt formatCode="General" sourceLinked="1"/>
        <c:majorTickMark val="out"/>
        <c:minorTickMark val="none"/>
        <c:tickLblPos val="nextTo"/>
        <c:crossAx val="163966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0"/>
          <c:tx>
            <c:strRef>
              <c:f>Processing!$M$1</c:f>
              <c:strCache>
                <c:ptCount val="1"/>
                <c:pt idx="0">
                  <c:v>Indent</c:v>
                </c:pt>
              </c:strCache>
            </c:strRef>
          </c:tx>
          <c:spPr>
            <a:blipFill>
              <a:blip xmlns:r="http://schemas.openxmlformats.org/officeDocument/2006/relationships" r:embed="rId3"/>
              <a:stretch>
                <a:fillRect/>
              </a:stretch>
            </a:blipFill>
            <a:ln>
              <a:noFill/>
            </a:ln>
            <a:effectLst/>
          </c:spPr>
          <c:invertIfNegative val="0"/>
          <c:cat>
            <c:strRef>
              <c:f>Processing!$I$2:$I$13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Processing!$M$2:$M$13</c:f>
              <c:numCache>
                <c:formatCode>General</c:formatCode>
                <c:ptCount val="12"/>
                <c:pt idx="0">
                  <c:v>55.5</c:v>
                </c:pt>
                <c:pt idx="1">
                  <c:v>55.5</c:v>
                </c:pt>
                <c:pt idx="2">
                  <c:v>55.5</c:v>
                </c:pt>
                <c:pt idx="3">
                  <c:v>55.5</c:v>
                </c:pt>
                <c:pt idx="4">
                  <c:v>55.5</c:v>
                </c:pt>
                <c:pt idx="5">
                  <c:v>55.5</c:v>
                </c:pt>
                <c:pt idx="6">
                  <c:v>55.5</c:v>
                </c:pt>
                <c:pt idx="7">
                  <c:v>55.5</c:v>
                </c:pt>
                <c:pt idx="8">
                  <c:v>55.5</c:v>
                </c:pt>
                <c:pt idx="9">
                  <c:v>55.5</c:v>
                </c:pt>
                <c:pt idx="10">
                  <c:v>55.5</c:v>
                </c:pt>
                <c:pt idx="11">
                  <c:v>55.5</c:v>
                </c:pt>
              </c:numCache>
            </c:numRef>
          </c:val>
          <c:extLst>
            <c:ext xmlns:c16="http://schemas.microsoft.com/office/drawing/2014/chart" uri="{C3380CC4-5D6E-409C-BE32-E72D297353CC}">
              <c16:uniqueId val="{00000000-B0CA-4614-A0F5-080961779A40}"/>
            </c:ext>
          </c:extLst>
        </c:ser>
        <c:ser>
          <c:idx val="3"/>
          <c:order val="1"/>
          <c:tx>
            <c:strRef>
              <c:f>Processing!$J$1</c:f>
              <c:strCache>
                <c:ptCount val="1"/>
                <c:pt idx="0">
                  <c:v>Total</c:v>
                </c:pt>
              </c:strCache>
            </c:strRef>
          </c:tx>
          <c:spPr>
            <a:solidFill>
              <a:srgbClr val="C3DCEB"/>
            </a:solidFill>
            <a:ln>
              <a:noFill/>
            </a:ln>
            <a:effectLst/>
          </c:spPr>
          <c:invertIfNegative val="0"/>
          <c:val>
            <c:numRef>
              <c:f>Processing!$J$2:$J$13</c:f>
              <c:numCache>
                <c:formatCode>General</c:formatCode>
                <c:ptCount val="12"/>
                <c:pt idx="0">
                  <c:v>1647</c:v>
                </c:pt>
                <c:pt idx="1">
                  <c:v>1620</c:v>
                </c:pt>
                <c:pt idx="2">
                  <c:v>1954</c:v>
                </c:pt>
                <c:pt idx="3">
                  <c:v>1919</c:v>
                </c:pt>
                <c:pt idx="4">
                  <c:v>1624</c:v>
                </c:pt>
                <c:pt idx="5">
                  <c:v>1102</c:v>
                </c:pt>
                <c:pt idx="6">
                  <c:v>1062</c:v>
                </c:pt>
                <c:pt idx="7">
                  <c:v>1306</c:v>
                </c:pt>
                <c:pt idx="8">
                  <c:v>1518</c:v>
                </c:pt>
                <c:pt idx="9">
                  <c:v>1530</c:v>
                </c:pt>
                <c:pt idx="10">
                  <c:v>1437</c:v>
                </c:pt>
                <c:pt idx="11">
                  <c:v>1265</c:v>
                </c:pt>
              </c:numCache>
            </c:numRef>
          </c:val>
          <c:extLst>
            <c:ext xmlns:c16="http://schemas.microsoft.com/office/drawing/2014/chart" uri="{C3380CC4-5D6E-409C-BE32-E72D297353CC}">
              <c16:uniqueId val="{00000001-B0CA-4614-A0F5-080961779A40}"/>
            </c:ext>
          </c:extLst>
        </c:ser>
        <c:ser>
          <c:idx val="4"/>
          <c:order val="2"/>
          <c:tx>
            <c:strRef>
              <c:f>Processing!$M$1</c:f>
              <c:strCache>
                <c:ptCount val="1"/>
                <c:pt idx="0">
                  <c:v>Indent</c:v>
                </c:pt>
              </c:strCache>
            </c:strRef>
          </c:tx>
          <c:spPr>
            <a:blipFill>
              <a:blip xmlns:r="http://schemas.openxmlformats.org/officeDocument/2006/relationships" r:embed="rId4"/>
              <a:stretch>
                <a:fillRect/>
              </a:stretch>
            </a:blipFill>
            <a:ln>
              <a:noFill/>
            </a:ln>
            <a:effectLst/>
          </c:spPr>
          <c:invertIfNegative val="0"/>
          <c:val>
            <c:numRef>
              <c:f>Processing!$M$2:$M$13</c:f>
              <c:numCache>
                <c:formatCode>General</c:formatCode>
                <c:ptCount val="12"/>
                <c:pt idx="0">
                  <c:v>55.5</c:v>
                </c:pt>
                <c:pt idx="1">
                  <c:v>55.5</c:v>
                </c:pt>
                <c:pt idx="2">
                  <c:v>55.5</c:v>
                </c:pt>
                <c:pt idx="3">
                  <c:v>55.5</c:v>
                </c:pt>
                <c:pt idx="4">
                  <c:v>55.5</c:v>
                </c:pt>
                <c:pt idx="5">
                  <c:v>55.5</c:v>
                </c:pt>
                <c:pt idx="6">
                  <c:v>55.5</c:v>
                </c:pt>
                <c:pt idx="7">
                  <c:v>55.5</c:v>
                </c:pt>
                <c:pt idx="8">
                  <c:v>55.5</c:v>
                </c:pt>
                <c:pt idx="9">
                  <c:v>55.5</c:v>
                </c:pt>
                <c:pt idx="10">
                  <c:v>55.5</c:v>
                </c:pt>
                <c:pt idx="11">
                  <c:v>55.5</c:v>
                </c:pt>
              </c:numCache>
            </c:numRef>
          </c:val>
          <c:extLst>
            <c:ext xmlns:c16="http://schemas.microsoft.com/office/drawing/2014/chart" uri="{C3380CC4-5D6E-409C-BE32-E72D297353CC}">
              <c16:uniqueId val="{00000002-B0CA-4614-A0F5-080961779A40}"/>
            </c:ext>
          </c:extLst>
        </c:ser>
        <c:dLbls>
          <c:showLegendKey val="0"/>
          <c:showVal val="0"/>
          <c:showCatName val="0"/>
          <c:showSerName val="0"/>
          <c:showPercent val="0"/>
          <c:showBubbleSize val="0"/>
        </c:dLbls>
        <c:gapWidth val="100"/>
        <c:overlap val="100"/>
        <c:axId val="935034783"/>
        <c:axId val="935018463"/>
      </c:barChart>
      <c:barChart>
        <c:barDir val="col"/>
        <c:grouping val="stacked"/>
        <c:varyColors val="0"/>
        <c:ser>
          <c:idx val="5"/>
          <c:order val="3"/>
          <c:tx>
            <c:strRef>
              <c:f>Processing!$N$1</c:f>
              <c:strCache>
                <c:ptCount val="1"/>
                <c:pt idx="0">
                  <c:v>Indent S</c:v>
                </c:pt>
              </c:strCache>
            </c:strRef>
          </c:tx>
          <c:spPr>
            <a:blipFill>
              <a:blip xmlns:r="http://schemas.openxmlformats.org/officeDocument/2006/relationships" r:embed="rId5"/>
              <a:stretch>
                <a:fillRect/>
              </a:stretch>
            </a:blipFill>
            <a:ln>
              <a:noFill/>
            </a:ln>
            <a:effectLst/>
          </c:spPr>
          <c:invertIfNegative val="0"/>
          <c:val>
            <c:numRef>
              <c:f>Processing!$N$2:$N$13</c:f>
              <c:numCache>
                <c:formatCode>General</c:formatCode>
                <c:ptCount val="12"/>
                <c:pt idx="0">
                  <c:v>55.5</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3-B0CA-4614-A0F5-080961779A40}"/>
            </c:ext>
          </c:extLst>
        </c:ser>
        <c:ser>
          <c:idx val="0"/>
          <c:order val="4"/>
          <c:tx>
            <c:strRef>
              <c:f>Processing!$K$1</c:f>
              <c:strCache>
                <c:ptCount val="1"/>
                <c:pt idx="0">
                  <c:v>Select 1</c:v>
                </c:pt>
              </c:strCache>
            </c:strRef>
          </c:tx>
          <c:spPr>
            <a:solidFill>
              <a:srgbClr val="B19EFF"/>
            </a:solidFill>
            <a:ln>
              <a:noFill/>
            </a:ln>
            <a:effectLst/>
          </c:spPr>
          <c:invertIfNegative val="0"/>
          <c:cat>
            <c:strRef>
              <c:f>Processing!$I$2:$I$13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Processing!$K$2:$K$13</c:f>
              <c:numCache>
                <c:formatCode>General</c:formatCode>
                <c:ptCount val="12"/>
                <c:pt idx="0">
                  <c:v>907</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4-B0CA-4614-A0F5-080961779A40}"/>
            </c:ext>
          </c:extLst>
        </c:ser>
        <c:ser>
          <c:idx val="1"/>
          <c:order val="5"/>
          <c:tx>
            <c:strRef>
              <c:f>Processing!$L$1</c:f>
              <c:strCache>
                <c:ptCount val="1"/>
                <c:pt idx="0">
                  <c:v>Select 2</c:v>
                </c:pt>
              </c:strCache>
            </c:strRef>
          </c:tx>
          <c:spPr>
            <a:solidFill>
              <a:srgbClr val="5BDD81"/>
            </a:solidFill>
            <a:ln>
              <a:noFill/>
            </a:ln>
            <a:effectLst/>
          </c:spPr>
          <c:invertIfNegative val="0"/>
          <c:cat>
            <c:strRef>
              <c:f>Processing!$I$2:$I$13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Processing!$L$2:$L$13</c:f>
              <c:numCache>
                <c:formatCode>General</c:formatCode>
                <c:ptCount val="12"/>
                <c:pt idx="0">
                  <c:v>740</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5-B0CA-4614-A0F5-080961779A40}"/>
            </c:ext>
          </c:extLst>
        </c:ser>
        <c:ser>
          <c:idx val="6"/>
          <c:order val="6"/>
          <c:tx>
            <c:strRef>
              <c:f>Processing!$N$1</c:f>
              <c:strCache>
                <c:ptCount val="1"/>
                <c:pt idx="0">
                  <c:v>Indent S</c:v>
                </c:pt>
              </c:strCache>
            </c:strRef>
          </c:tx>
          <c:spPr>
            <a:blipFill>
              <a:blip xmlns:r="http://schemas.openxmlformats.org/officeDocument/2006/relationships" r:embed="rId6"/>
              <a:stretch>
                <a:fillRect/>
              </a:stretch>
            </a:blipFill>
            <a:ln>
              <a:noFill/>
            </a:ln>
            <a:effectLst/>
          </c:spPr>
          <c:invertIfNegative val="0"/>
          <c:val>
            <c:numRef>
              <c:f>Processing!$N$2:$N$13</c:f>
              <c:numCache>
                <c:formatCode>General</c:formatCode>
                <c:ptCount val="12"/>
                <c:pt idx="0">
                  <c:v>55.5</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B0CA-4614-A0F5-080961779A40}"/>
            </c:ext>
          </c:extLst>
        </c:ser>
        <c:dLbls>
          <c:showLegendKey val="0"/>
          <c:showVal val="0"/>
          <c:showCatName val="0"/>
          <c:showSerName val="0"/>
          <c:showPercent val="0"/>
          <c:showBubbleSize val="0"/>
        </c:dLbls>
        <c:gapWidth val="100"/>
        <c:overlap val="100"/>
        <c:axId val="1656759599"/>
        <c:axId val="1656758159"/>
      </c:barChart>
      <c:catAx>
        <c:axId val="9350347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ru-RU"/>
          </a:p>
        </c:txPr>
        <c:crossAx val="935018463"/>
        <c:crosses val="autoZero"/>
        <c:auto val="1"/>
        <c:lblAlgn val="ctr"/>
        <c:lblOffset val="100"/>
        <c:noMultiLvlLbl val="0"/>
      </c:catAx>
      <c:valAx>
        <c:axId val="9350184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35034783"/>
        <c:crosses val="autoZero"/>
        <c:crossBetween val="between"/>
      </c:valAx>
      <c:valAx>
        <c:axId val="1656758159"/>
        <c:scaling>
          <c:orientation val="minMax"/>
        </c:scaling>
        <c:delete val="1"/>
        <c:axPos val="r"/>
        <c:numFmt formatCode="General" sourceLinked="1"/>
        <c:majorTickMark val="out"/>
        <c:minorTickMark val="none"/>
        <c:tickLblPos val="nextTo"/>
        <c:crossAx val="1656759599"/>
        <c:crosses val="max"/>
        <c:crossBetween val="between"/>
      </c:valAx>
      <c:catAx>
        <c:axId val="1656759599"/>
        <c:scaling>
          <c:orientation val="minMax"/>
        </c:scaling>
        <c:delete val="1"/>
        <c:axPos val="b"/>
        <c:numFmt formatCode="General" sourceLinked="1"/>
        <c:majorTickMark val="out"/>
        <c:minorTickMark val="none"/>
        <c:tickLblPos val="nextTo"/>
        <c:crossAx val="165675815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5BDD81"/>
              </a:solidFill>
              <a:ln w="19050">
                <a:noFill/>
              </a:ln>
              <a:effectLst/>
            </c:spPr>
            <c:extLst>
              <c:ext xmlns:c16="http://schemas.microsoft.com/office/drawing/2014/chart" uri="{C3380CC4-5D6E-409C-BE32-E72D297353CC}">
                <c16:uniqueId val="{00000001-5A2D-4618-8E7C-B04784BC21B5}"/>
              </c:ext>
            </c:extLst>
          </c:dPt>
          <c:dPt>
            <c:idx val="1"/>
            <c:bubble3D val="0"/>
            <c:spPr>
              <a:solidFill>
                <a:schemeClr val="bg1"/>
              </a:solidFill>
              <a:ln w="19050">
                <a:noFill/>
              </a:ln>
              <a:effectLst/>
            </c:spPr>
            <c:extLst>
              <c:ext xmlns:c16="http://schemas.microsoft.com/office/drawing/2014/chart" uri="{C3380CC4-5D6E-409C-BE32-E72D297353CC}">
                <c16:uniqueId val="{00000003-5A2D-4618-8E7C-B04784BC21B5}"/>
              </c:ext>
            </c:extLst>
          </c:dPt>
          <c:val>
            <c:numRef>
              <c:f>Processing!$Q$11:$R$11</c:f>
              <c:numCache>
                <c:formatCode>0%</c:formatCode>
                <c:ptCount val="2"/>
                <c:pt idx="0">
                  <c:v>0.1</c:v>
                </c:pt>
                <c:pt idx="1">
                  <c:v>0.9</c:v>
                </c:pt>
              </c:numCache>
            </c:numRef>
          </c:val>
          <c:extLst>
            <c:ext xmlns:c16="http://schemas.microsoft.com/office/drawing/2014/chart" uri="{C3380CC4-5D6E-409C-BE32-E72D297353CC}">
              <c16:uniqueId val="{00000004-5A2D-4618-8E7C-B04784BC21B5}"/>
            </c:ext>
          </c:extLst>
        </c:ser>
        <c:dLbls>
          <c:showLegendKey val="0"/>
          <c:showVal val="0"/>
          <c:showCatName val="0"/>
          <c:showSerName val="0"/>
          <c:showPercent val="0"/>
          <c:showBubbleSize val="0"/>
          <c:showLeaderLines val="1"/>
        </c:dLbls>
        <c:firstSliceAng val="30"/>
        <c:holeSize val="90"/>
      </c:doughnutChart>
      <c:scatterChart>
        <c:scatterStyle val="lineMarker"/>
        <c:varyColors val="0"/>
        <c:ser>
          <c:idx val="1"/>
          <c:order val="1"/>
          <c:tx>
            <c:v>Cursor</c:v>
          </c:tx>
          <c:spPr>
            <a:ln w="25400" cap="rnd">
              <a:noFill/>
              <a:round/>
            </a:ln>
            <a:effectLst>
              <a:outerShdw blurRad="50800" dist="38100" dir="5400000" algn="t" rotWithShape="0">
                <a:prstClr val="black">
                  <a:alpha val="40000"/>
                </a:prstClr>
              </a:outerShdw>
            </a:effectLst>
          </c:spPr>
          <c:marker>
            <c:symbol val="circle"/>
            <c:size val="13"/>
            <c:spPr>
              <a:solidFill>
                <a:srgbClr val="00C74D"/>
              </a:solidFill>
              <a:ln w="19050">
                <a:solidFill>
                  <a:schemeClr val="bg1"/>
                </a:solidFill>
              </a:ln>
              <a:effectLst>
                <a:outerShdw blurRad="50800" dist="38100" dir="5400000" algn="t" rotWithShape="0">
                  <a:prstClr val="black">
                    <a:alpha val="40000"/>
                  </a:prstClr>
                </a:outerShdw>
              </a:effectLst>
            </c:spPr>
          </c:marker>
          <c:xVal>
            <c:numRef>
              <c:f>Processing!$S$11</c:f>
              <c:numCache>
                <c:formatCode>General</c:formatCode>
                <c:ptCount val="1"/>
                <c:pt idx="0">
                  <c:v>0.86705700803332753</c:v>
                </c:pt>
              </c:numCache>
            </c:numRef>
          </c:xVal>
          <c:yVal>
            <c:numRef>
              <c:f>Processing!$T$11</c:f>
              <c:numCache>
                <c:formatCode>General</c:formatCode>
                <c:ptCount val="1"/>
                <c:pt idx="0">
                  <c:v>0.3882166209995318</c:v>
                </c:pt>
              </c:numCache>
            </c:numRef>
          </c:yVal>
          <c:smooth val="0"/>
          <c:extLst>
            <c:ext xmlns:c16="http://schemas.microsoft.com/office/drawing/2014/chart" uri="{C3380CC4-5D6E-409C-BE32-E72D297353CC}">
              <c16:uniqueId val="{00000005-5A2D-4618-8E7C-B04784BC21B5}"/>
            </c:ext>
          </c:extLst>
        </c:ser>
        <c:dLbls>
          <c:showLegendKey val="0"/>
          <c:showVal val="0"/>
          <c:showCatName val="0"/>
          <c:showSerName val="0"/>
          <c:showPercent val="0"/>
          <c:showBubbleSize val="0"/>
        </c:dLbls>
        <c:axId val="1725603839"/>
        <c:axId val="1725609119"/>
      </c:scatterChart>
      <c:valAx>
        <c:axId val="1725603839"/>
        <c:scaling>
          <c:orientation val="minMax"/>
          <c:max val="1"/>
          <c:min val="-1"/>
        </c:scaling>
        <c:delete val="1"/>
        <c:axPos val="b"/>
        <c:numFmt formatCode="General" sourceLinked="1"/>
        <c:majorTickMark val="out"/>
        <c:minorTickMark val="none"/>
        <c:tickLblPos val="nextTo"/>
        <c:crossAx val="1725609119"/>
        <c:crosses val="autoZero"/>
        <c:crossBetween val="midCat"/>
      </c:valAx>
      <c:valAx>
        <c:axId val="1725609119"/>
        <c:scaling>
          <c:orientation val="minMax"/>
          <c:max val="1"/>
          <c:min val="-1"/>
        </c:scaling>
        <c:delete val="1"/>
        <c:axPos val="l"/>
        <c:numFmt formatCode="General" sourceLinked="1"/>
        <c:majorTickMark val="out"/>
        <c:minorTickMark val="none"/>
        <c:tickLblPos val="nextTo"/>
        <c:crossAx val="17256038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B19EFF"/>
              </a:solidFill>
              <a:ln w="19050">
                <a:noFill/>
              </a:ln>
              <a:effectLst/>
            </c:spPr>
            <c:extLst>
              <c:ext xmlns:c16="http://schemas.microsoft.com/office/drawing/2014/chart" uri="{C3380CC4-5D6E-409C-BE32-E72D297353CC}">
                <c16:uniqueId val="{00000001-D9FD-4894-8A16-81C728B6AD5B}"/>
              </c:ext>
            </c:extLst>
          </c:dPt>
          <c:dPt>
            <c:idx val="1"/>
            <c:bubble3D val="0"/>
            <c:spPr>
              <a:solidFill>
                <a:schemeClr val="bg1"/>
              </a:solidFill>
              <a:ln w="19050">
                <a:noFill/>
              </a:ln>
              <a:effectLst/>
            </c:spPr>
            <c:extLst>
              <c:ext xmlns:c16="http://schemas.microsoft.com/office/drawing/2014/chart" uri="{C3380CC4-5D6E-409C-BE32-E72D297353CC}">
                <c16:uniqueId val="{00000003-D9FD-4894-8A16-81C728B6AD5B}"/>
              </c:ext>
            </c:extLst>
          </c:dPt>
          <c:val>
            <c:numRef>
              <c:f>Processing!$Q$12:$R$12</c:f>
              <c:numCache>
                <c:formatCode>0%</c:formatCode>
                <c:ptCount val="2"/>
                <c:pt idx="0">
                  <c:v>0.13</c:v>
                </c:pt>
                <c:pt idx="1">
                  <c:v>0.87</c:v>
                </c:pt>
              </c:numCache>
            </c:numRef>
          </c:val>
          <c:extLst>
            <c:ext xmlns:c16="http://schemas.microsoft.com/office/drawing/2014/chart" uri="{C3380CC4-5D6E-409C-BE32-E72D297353CC}">
              <c16:uniqueId val="{00000004-D9FD-4894-8A16-81C728B6AD5B}"/>
            </c:ext>
          </c:extLst>
        </c:ser>
        <c:dLbls>
          <c:showLegendKey val="0"/>
          <c:showVal val="0"/>
          <c:showCatName val="0"/>
          <c:showSerName val="0"/>
          <c:showPercent val="0"/>
          <c:showBubbleSize val="0"/>
          <c:showLeaderLines val="1"/>
        </c:dLbls>
        <c:firstSliceAng val="30"/>
        <c:holeSize val="90"/>
      </c:doughnutChart>
      <c:scatterChart>
        <c:scatterStyle val="lineMarker"/>
        <c:varyColors val="0"/>
        <c:ser>
          <c:idx val="1"/>
          <c:order val="1"/>
          <c:tx>
            <c:v>Cursor</c:v>
          </c:tx>
          <c:spPr>
            <a:ln w="25400" cap="rnd">
              <a:noFill/>
              <a:round/>
            </a:ln>
            <a:effectLst/>
          </c:spPr>
          <c:marker>
            <c:symbol val="circle"/>
            <c:size val="13"/>
            <c:spPr>
              <a:solidFill>
                <a:srgbClr val="9980FF"/>
              </a:solidFill>
              <a:ln w="19050">
                <a:solidFill>
                  <a:schemeClr val="bg1"/>
                </a:solidFill>
              </a:ln>
              <a:effectLst>
                <a:outerShdw blurRad="50800" dist="38100" dir="5400000" algn="t" rotWithShape="0">
                  <a:prstClr val="black">
                    <a:alpha val="40000"/>
                  </a:prstClr>
                </a:outerShdw>
              </a:effectLst>
            </c:spPr>
          </c:marker>
          <c:xVal>
            <c:numRef>
              <c:f>Processing!$S$12</c:f>
              <c:numCache>
                <c:formatCode>General</c:formatCode>
                <c:ptCount val="1"/>
                <c:pt idx="0">
                  <c:v>0.9244435854330203</c:v>
                </c:pt>
              </c:numCache>
            </c:numRef>
          </c:xVal>
          <c:yVal>
            <c:numRef>
              <c:f>Processing!$T$12</c:f>
              <c:numCache>
                <c:formatCode>General</c:formatCode>
                <c:ptCount val="1"/>
                <c:pt idx="0">
                  <c:v>0.21886995534276146</c:v>
                </c:pt>
              </c:numCache>
            </c:numRef>
          </c:yVal>
          <c:smooth val="0"/>
          <c:extLst>
            <c:ext xmlns:c16="http://schemas.microsoft.com/office/drawing/2014/chart" uri="{C3380CC4-5D6E-409C-BE32-E72D297353CC}">
              <c16:uniqueId val="{00000005-D9FD-4894-8A16-81C728B6AD5B}"/>
            </c:ext>
          </c:extLst>
        </c:ser>
        <c:dLbls>
          <c:showLegendKey val="0"/>
          <c:showVal val="0"/>
          <c:showCatName val="0"/>
          <c:showSerName val="0"/>
          <c:showPercent val="0"/>
          <c:showBubbleSize val="0"/>
        </c:dLbls>
        <c:axId val="1725603839"/>
        <c:axId val="1725609119"/>
      </c:scatterChart>
      <c:valAx>
        <c:axId val="1725603839"/>
        <c:scaling>
          <c:orientation val="minMax"/>
          <c:max val="1"/>
          <c:min val="-1"/>
        </c:scaling>
        <c:delete val="1"/>
        <c:axPos val="b"/>
        <c:numFmt formatCode="General" sourceLinked="1"/>
        <c:majorTickMark val="out"/>
        <c:minorTickMark val="none"/>
        <c:tickLblPos val="nextTo"/>
        <c:crossAx val="1725609119"/>
        <c:crosses val="autoZero"/>
        <c:crossBetween val="midCat"/>
      </c:valAx>
      <c:valAx>
        <c:axId val="1725609119"/>
        <c:scaling>
          <c:orientation val="minMax"/>
          <c:max val="1"/>
          <c:min val="-1"/>
        </c:scaling>
        <c:delete val="1"/>
        <c:axPos val="l"/>
        <c:numFmt formatCode="General" sourceLinked="1"/>
        <c:majorTickMark val="out"/>
        <c:minorTickMark val="none"/>
        <c:tickLblPos val="nextTo"/>
        <c:crossAx val="17256038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C3DCEB"/>
              </a:solidFill>
              <a:ln w="19050">
                <a:noFill/>
              </a:ln>
              <a:effectLst/>
            </c:spPr>
            <c:extLst>
              <c:ext xmlns:c16="http://schemas.microsoft.com/office/drawing/2014/chart" uri="{C3380CC4-5D6E-409C-BE32-E72D297353CC}">
                <c16:uniqueId val="{00000001-0461-43E6-B5C2-B13FA4447F6B}"/>
              </c:ext>
            </c:extLst>
          </c:dPt>
          <c:dPt>
            <c:idx val="1"/>
            <c:bubble3D val="0"/>
            <c:spPr>
              <a:solidFill>
                <a:schemeClr val="bg1"/>
              </a:solidFill>
              <a:ln w="19050">
                <a:noFill/>
              </a:ln>
              <a:effectLst/>
            </c:spPr>
            <c:extLst>
              <c:ext xmlns:c16="http://schemas.microsoft.com/office/drawing/2014/chart" uri="{C3380CC4-5D6E-409C-BE32-E72D297353CC}">
                <c16:uniqueId val="{00000003-0461-43E6-B5C2-B13FA4447F6B}"/>
              </c:ext>
            </c:extLst>
          </c:dPt>
          <c:val>
            <c:numRef>
              <c:f>Processing!$Q$13:$R$13</c:f>
              <c:numCache>
                <c:formatCode>0%</c:formatCode>
                <c:ptCount val="2"/>
                <c:pt idx="0">
                  <c:v>0.08</c:v>
                </c:pt>
                <c:pt idx="1">
                  <c:v>0.92</c:v>
                </c:pt>
              </c:numCache>
            </c:numRef>
          </c:val>
          <c:extLst>
            <c:ext xmlns:c16="http://schemas.microsoft.com/office/drawing/2014/chart" uri="{C3380CC4-5D6E-409C-BE32-E72D297353CC}">
              <c16:uniqueId val="{00000004-0461-43E6-B5C2-B13FA4447F6B}"/>
            </c:ext>
          </c:extLst>
        </c:ser>
        <c:dLbls>
          <c:showLegendKey val="0"/>
          <c:showVal val="0"/>
          <c:showCatName val="0"/>
          <c:showSerName val="0"/>
          <c:showPercent val="0"/>
          <c:showBubbleSize val="0"/>
          <c:showLeaderLines val="1"/>
        </c:dLbls>
        <c:firstSliceAng val="30"/>
        <c:holeSize val="90"/>
      </c:doughnutChart>
      <c:scatterChart>
        <c:scatterStyle val="lineMarker"/>
        <c:varyColors val="0"/>
        <c:ser>
          <c:idx val="1"/>
          <c:order val="1"/>
          <c:tx>
            <c:v>Cursor</c:v>
          </c:tx>
          <c:spPr>
            <a:ln w="25400" cap="rnd">
              <a:noFill/>
              <a:round/>
            </a:ln>
            <a:effectLst/>
          </c:spPr>
          <c:marker>
            <c:symbol val="circle"/>
            <c:size val="13"/>
            <c:spPr>
              <a:solidFill>
                <a:srgbClr val="00C74D"/>
              </a:solidFill>
              <a:ln w="19050">
                <a:solidFill>
                  <a:schemeClr val="bg1"/>
                </a:solidFill>
              </a:ln>
              <a:effectLst>
                <a:outerShdw blurRad="50800" dist="38100" dir="5400000" algn="t" rotWithShape="0">
                  <a:prstClr val="black">
                    <a:alpha val="40000"/>
                  </a:prstClr>
                </a:outerShdw>
              </a:effectLst>
            </c:spPr>
          </c:marker>
          <c:dPt>
            <c:idx val="0"/>
            <c:marker>
              <c:symbol val="circle"/>
              <c:size val="13"/>
              <c:spPr>
                <a:solidFill>
                  <a:srgbClr val="C3DCEB"/>
                </a:solidFill>
                <a:ln w="19050">
                  <a:solidFill>
                    <a:schemeClr val="bg1"/>
                  </a:solidFill>
                </a:ln>
                <a:effectLst>
                  <a:outerShdw blurRad="50800" dist="38100" dir="5400000" algn="t" rotWithShape="0">
                    <a:prstClr val="black">
                      <a:alpha val="40000"/>
                    </a:prstClr>
                  </a:outerShdw>
                </a:effectLst>
              </c:spPr>
            </c:marker>
            <c:bubble3D val="0"/>
            <c:extLst>
              <c:ext xmlns:c16="http://schemas.microsoft.com/office/drawing/2014/chart" uri="{C3380CC4-5D6E-409C-BE32-E72D297353CC}">
                <c16:uniqueId val="{00000005-0461-43E6-B5C2-B13FA4447F6B}"/>
              </c:ext>
            </c:extLst>
          </c:dPt>
          <c:xVal>
            <c:numRef>
              <c:f>Processing!$S$13</c:f>
              <c:numCache>
                <c:formatCode>General</c:formatCode>
                <c:ptCount val="1"/>
                <c:pt idx="0">
                  <c:v>0.8115635601143304</c:v>
                </c:pt>
              </c:numCache>
            </c:numRef>
          </c:xVal>
          <c:yVal>
            <c:numRef>
              <c:f>Processing!$T$13</c:f>
              <c:numCache>
                <c:formatCode>General</c:formatCode>
                <c:ptCount val="1"/>
                <c:pt idx="0">
                  <c:v>0.49382647548967434</c:v>
                </c:pt>
              </c:numCache>
            </c:numRef>
          </c:yVal>
          <c:smooth val="0"/>
          <c:extLst>
            <c:ext xmlns:c16="http://schemas.microsoft.com/office/drawing/2014/chart" uri="{C3380CC4-5D6E-409C-BE32-E72D297353CC}">
              <c16:uniqueId val="{00000006-0461-43E6-B5C2-B13FA4447F6B}"/>
            </c:ext>
          </c:extLst>
        </c:ser>
        <c:dLbls>
          <c:showLegendKey val="0"/>
          <c:showVal val="0"/>
          <c:showCatName val="0"/>
          <c:showSerName val="0"/>
          <c:showPercent val="0"/>
          <c:showBubbleSize val="0"/>
        </c:dLbls>
        <c:axId val="1725603839"/>
        <c:axId val="1725609119"/>
      </c:scatterChart>
      <c:valAx>
        <c:axId val="1725603839"/>
        <c:scaling>
          <c:orientation val="minMax"/>
          <c:max val="1"/>
          <c:min val="-1"/>
        </c:scaling>
        <c:delete val="1"/>
        <c:axPos val="b"/>
        <c:numFmt formatCode="General" sourceLinked="1"/>
        <c:majorTickMark val="out"/>
        <c:minorTickMark val="none"/>
        <c:tickLblPos val="nextTo"/>
        <c:crossAx val="1725609119"/>
        <c:crosses val="autoZero"/>
        <c:crossBetween val="midCat"/>
      </c:valAx>
      <c:valAx>
        <c:axId val="1725609119"/>
        <c:scaling>
          <c:orientation val="minMax"/>
          <c:max val="1"/>
          <c:min val="-1"/>
        </c:scaling>
        <c:delete val="1"/>
        <c:axPos val="l"/>
        <c:numFmt formatCode="General" sourceLinked="1"/>
        <c:majorTickMark val="out"/>
        <c:minorTickMark val="none"/>
        <c:tickLblPos val="nextTo"/>
        <c:crossAx val="17256038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Processing!$Q$1</c:f>
              <c:strCache>
                <c:ptCount val="1"/>
                <c:pt idx="0">
                  <c:v>KPI</c:v>
                </c:pt>
              </c:strCache>
            </c:strRef>
          </c:tx>
          <c:spPr>
            <a:gradFill>
              <a:gsLst>
                <a:gs pos="0">
                  <a:srgbClr val="1AFFD5">
                    <a:alpha val="52000"/>
                  </a:srgbClr>
                </a:gs>
                <a:gs pos="100000">
                  <a:srgbClr val="1AFFD5">
                    <a:alpha val="16000"/>
                  </a:srgbClr>
                </a:gs>
              </a:gsLst>
              <a:lin ang="5400000" scaled="0"/>
            </a:gradFill>
            <a:ln w="9525">
              <a:solidFill>
                <a:srgbClr val="1AFFD5"/>
              </a:solidFill>
            </a:ln>
            <a:effectLst/>
          </c:spPr>
          <c:cat>
            <c:strRef>
              <c:f>Processing!$P$2:$P$6</c:f>
              <c:strCache>
                <c:ptCount val="5"/>
                <c:pt idx="0">
                  <c:v>Point 1</c:v>
                </c:pt>
                <c:pt idx="1">
                  <c:v>Point 2</c:v>
                </c:pt>
                <c:pt idx="2">
                  <c:v>Point 3</c:v>
                </c:pt>
                <c:pt idx="3">
                  <c:v>Point 4</c:v>
                </c:pt>
                <c:pt idx="4">
                  <c:v>Point 5</c:v>
                </c:pt>
              </c:strCache>
            </c:strRef>
          </c:cat>
          <c:val>
            <c:numRef>
              <c:f>Processing!$Q$2:$Q$6</c:f>
              <c:numCache>
                <c:formatCode>General</c:formatCode>
                <c:ptCount val="5"/>
                <c:pt idx="0">
                  <c:v>21331</c:v>
                </c:pt>
                <c:pt idx="1">
                  <c:v>32190</c:v>
                </c:pt>
                <c:pt idx="2">
                  <c:v>34484</c:v>
                </c:pt>
                <c:pt idx="3">
                  <c:v>39213</c:v>
                </c:pt>
                <c:pt idx="4">
                  <c:v>34138</c:v>
                </c:pt>
              </c:numCache>
            </c:numRef>
          </c:val>
          <c:extLst>
            <c:ext xmlns:c16="http://schemas.microsoft.com/office/drawing/2014/chart" uri="{C3380CC4-5D6E-409C-BE32-E72D297353CC}">
              <c16:uniqueId val="{00000000-C969-44F1-933D-F344F11B1A16}"/>
            </c:ext>
          </c:extLst>
        </c:ser>
        <c:ser>
          <c:idx val="1"/>
          <c:order val="1"/>
          <c:tx>
            <c:strRef>
              <c:f>Processing!$R$1</c:f>
              <c:strCache>
                <c:ptCount val="1"/>
                <c:pt idx="0">
                  <c:v>Cost</c:v>
                </c:pt>
              </c:strCache>
            </c:strRef>
          </c:tx>
          <c:spPr>
            <a:gradFill>
              <a:gsLst>
                <a:gs pos="0">
                  <a:srgbClr val="8F72FF">
                    <a:alpha val="64000"/>
                  </a:srgbClr>
                </a:gs>
                <a:gs pos="100000">
                  <a:srgbClr val="8F72FF">
                    <a:alpha val="66000"/>
                  </a:srgbClr>
                </a:gs>
              </a:gsLst>
              <a:lin ang="5400000" scaled="0"/>
            </a:gradFill>
            <a:ln w="9525">
              <a:solidFill>
                <a:srgbClr val="CBBDFF"/>
              </a:solidFill>
            </a:ln>
            <a:effectLst/>
          </c:spPr>
          <c:cat>
            <c:strRef>
              <c:f>Processing!$P$2:$P$6</c:f>
              <c:strCache>
                <c:ptCount val="5"/>
                <c:pt idx="0">
                  <c:v>Point 1</c:v>
                </c:pt>
                <c:pt idx="1">
                  <c:v>Point 2</c:v>
                </c:pt>
                <c:pt idx="2">
                  <c:v>Point 3</c:v>
                </c:pt>
                <c:pt idx="3">
                  <c:v>Point 4</c:v>
                </c:pt>
                <c:pt idx="4">
                  <c:v>Point 5</c:v>
                </c:pt>
              </c:strCache>
            </c:strRef>
          </c:cat>
          <c:val>
            <c:numRef>
              <c:f>Processing!$R$2:$R$6</c:f>
              <c:numCache>
                <c:formatCode>General</c:formatCode>
                <c:ptCount val="5"/>
                <c:pt idx="0">
                  <c:v>33169</c:v>
                </c:pt>
                <c:pt idx="1">
                  <c:v>23348</c:v>
                </c:pt>
                <c:pt idx="2">
                  <c:v>24244</c:v>
                </c:pt>
                <c:pt idx="3">
                  <c:v>26367</c:v>
                </c:pt>
                <c:pt idx="4">
                  <c:v>30946</c:v>
                </c:pt>
              </c:numCache>
            </c:numRef>
          </c:val>
          <c:extLst>
            <c:ext xmlns:c16="http://schemas.microsoft.com/office/drawing/2014/chart" uri="{C3380CC4-5D6E-409C-BE32-E72D297353CC}">
              <c16:uniqueId val="{00000001-C969-44F1-933D-F344F11B1A16}"/>
            </c:ext>
          </c:extLst>
        </c:ser>
        <c:dLbls>
          <c:showLegendKey val="0"/>
          <c:showVal val="0"/>
          <c:showCatName val="0"/>
          <c:showSerName val="0"/>
          <c:showPercent val="0"/>
          <c:showBubbleSize val="0"/>
        </c:dLbls>
        <c:axId val="1656786479"/>
        <c:axId val="1656821999"/>
      </c:radarChart>
      <c:catAx>
        <c:axId val="165678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ru-RU"/>
          </a:p>
        </c:txPr>
        <c:crossAx val="1656821999"/>
        <c:crosses val="autoZero"/>
        <c:auto val="1"/>
        <c:lblAlgn val="ctr"/>
        <c:lblOffset val="100"/>
        <c:noMultiLvlLbl val="0"/>
      </c:catAx>
      <c:valAx>
        <c:axId val="1656821999"/>
        <c:scaling>
          <c:orientation val="minMax"/>
        </c:scaling>
        <c:delete val="1"/>
        <c:axPos val="l"/>
        <c:numFmt formatCode="General" sourceLinked="1"/>
        <c:majorTickMark val="none"/>
        <c:minorTickMark val="none"/>
        <c:tickLblPos val="nextTo"/>
        <c:crossAx val="165678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Fill1</c:v>
          </c:tx>
          <c:spPr>
            <a:gradFill flip="none" rotWithShape="1">
              <a:gsLst>
                <a:gs pos="0">
                  <a:srgbClr val="1AFFD5">
                    <a:alpha val="30000"/>
                  </a:srgbClr>
                </a:gs>
                <a:gs pos="100000">
                  <a:srgbClr val="1AFFD5">
                    <a:alpha val="0"/>
                  </a:srgbClr>
                </a:gs>
              </a:gsLst>
              <a:lin ang="5400000" scaled="0"/>
              <a:tileRect/>
            </a:gradFill>
            <a:ln>
              <a:noFill/>
            </a:ln>
            <a:effectLst/>
          </c:spPr>
          <c:val>
            <c:numRef>
              <c:f>Processing!$B$2:$B$13</c:f>
              <c:numCache>
                <c:formatCode>General</c:formatCode>
                <c:ptCount val="12"/>
                <c:pt idx="0">
                  <c:v>612</c:v>
                </c:pt>
                <c:pt idx="1">
                  <c:v>815</c:v>
                </c:pt>
                <c:pt idx="2">
                  <c:v>851</c:v>
                </c:pt>
                <c:pt idx="3">
                  <c:v>755</c:v>
                </c:pt>
                <c:pt idx="4">
                  <c:v>598</c:v>
                </c:pt>
                <c:pt idx="5">
                  <c:v>470</c:v>
                </c:pt>
                <c:pt idx="6">
                  <c:v>545</c:v>
                </c:pt>
                <c:pt idx="7">
                  <c:v>990</c:v>
                </c:pt>
                <c:pt idx="8">
                  <c:v>1135</c:v>
                </c:pt>
                <c:pt idx="9">
                  <c:v>1080</c:v>
                </c:pt>
                <c:pt idx="10">
                  <c:v>955</c:v>
                </c:pt>
                <c:pt idx="11">
                  <c:v>930</c:v>
                </c:pt>
              </c:numCache>
            </c:numRef>
          </c:val>
          <c:extLst>
            <c:ext xmlns:c16="http://schemas.microsoft.com/office/drawing/2014/chart" uri="{C3380CC4-5D6E-409C-BE32-E72D297353CC}">
              <c16:uniqueId val="{00000000-0FC5-4563-A401-1BB3472348C5}"/>
            </c:ext>
          </c:extLst>
        </c:ser>
        <c:ser>
          <c:idx val="3"/>
          <c:order val="3"/>
          <c:tx>
            <c:v>Fill2</c:v>
          </c:tx>
          <c:spPr>
            <a:gradFill>
              <a:gsLst>
                <a:gs pos="0">
                  <a:srgbClr val="9980FF">
                    <a:alpha val="30000"/>
                  </a:srgbClr>
                </a:gs>
                <a:gs pos="100000">
                  <a:srgbClr val="9980FF">
                    <a:alpha val="0"/>
                  </a:srgbClr>
                </a:gs>
              </a:gsLst>
              <a:lin ang="5400000" scaled="0"/>
            </a:gradFill>
            <a:ln>
              <a:noFill/>
            </a:ln>
            <a:effectLst/>
          </c:spPr>
          <c:val>
            <c:numRef>
              <c:f>Processing!$C$2:$C$13</c:f>
              <c:numCache>
                <c:formatCode>General</c:formatCode>
                <c:ptCount val="12"/>
                <c:pt idx="0">
                  <c:v>520</c:v>
                </c:pt>
                <c:pt idx="1">
                  <c:v>670</c:v>
                </c:pt>
                <c:pt idx="2">
                  <c:v>850</c:v>
                </c:pt>
                <c:pt idx="3">
                  <c:v>1030</c:v>
                </c:pt>
                <c:pt idx="4">
                  <c:v>1075</c:v>
                </c:pt>
                <c:pt idx="5">
                  <c:v>980</c:v>
                </c:pt>
                <c:pt idx="6">
                  <c:v>810</c:v>
                </c:pt>
                <c:pt idx="7">
                  <c:v>640</c:v>
                </c:pt>
                <c:pt idx="8">
                  <c:v>500</c:v>
                </c:pt>
                <c:pt idx="9">
                  <c:v>620</c:v>
                </c:pt>
                <c:pt idx="10">
                  <c:v>800</c:v>
                </c:pt>
                <c:pt idx="11">
                  <c:v>950</c:v>
                </c:pt>
              </c:numCache>
            </c:numRef>
          </c:val>
          <c:extLst>
            <c:ext xmlns:c16="http://schemas.microsoft.com/office/drawing/2014/chart" uri="{C3380CC4-5D6E-409C-BE32-E72D297353CC}">
              <c16:uniqueId val="{00000001-0FC5-4563-A401-1BB3472348C5}"/>
            </c:ext>
          </c:extLst>
        </c:ser>
        <c:dLbls>
          <c:showLegendKey val="0"/>
          <c:showVal val="0"/>
          <c:showCatName val="0"/>
          <c:showSerName val="0"/>
          <c:showPercent val="0"/>
          <c:showBubbleSize val="0"/>
        </c:dLbls>
        <c:axId val="1639660207"/>
        <c:axId val="1639660687"/>
      </c:areaChart>
      <c:lineChart>
        <c:grouping val="standard"/>
        <c:varyColors val="0"/>
        <c:ser>
          <c:idx val="0"/>
          <c:order val="0"/>
          <c:spPr>
            <a:ln w="38100" cap="rnd">
              <a:solidFill>
                <a:srgbClr val="00FFFF"/>
              </a:solidFill>
              <a:round/>
            </a:ln>
            <a:effectLst>
              <a:outerShdw blurRad="50800" dist="38100" dir="5400000" algn="t" rotWithShape="0">
                <a:prstClr val="black">
                  <a:alpha val="40000"/>
                </a:prstClr>
              </a:outerShdw>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612</c:v>
                </c:pt>
                <c:pt idx="1">
                  <c:v>815</c:v>
                </c:pt>
                <c:pt idx="2">
                  <c:v>851</c:v>
                </c:pt>
                <c:pt idx="3">
                  <c:v>755</c:v>
                </c:pt>
                <c:pt idx="4">
                  <c:v>598</c:v>
                </c:pt>
                <c:pt idx="5">
                  <c:v>470</c:v>
                </c:pt>
                <c:pt idx="6">
                  <c:v>545</c:v>
                </c:pt>
                <c:pt idx="7">
                  <c:v>990</c:v>
                </c:pt>
                <c:pt idx="8">
                  <c:v>1135</c:v>
                </c:pt>
                <c:pt idx="9">
                  <c:v>1080</c:v>
                </c:pt>
                <c:pt idx="10">
                  <c:v>955</c:v>
                </c:pt>
                <c:pt idx="11">
                  <c:v>930</c:v>
                </c:pt>
              </c:numCache>
            </c:numRef>
          </c:val>
          <c:smooth val="1"/>
          <c:extLst>
            <c:ext xmlns:c16="http://schemas.microsoft.com/office/drawing/2014/chart" uri="{C3380CC4-5D6E-409C-BE32-E72D297353CC}">
              <c16:uniqueId val="{00000002-0FC5-4563-A401-1BB3472348C5}"/>
            </c:ext>
          </c:extLst>
        </c:ser>
        <c:ser>
          <c:idx val="1"/>
          <c:order val="1"/>
          <c:spPr>
            <a:ln w="38100" cap="rnd">
              <a:solidFill>
                <a:srgbClr val="9980FF"/>
              </a:solidFill>
              <a:round/>
            </a:ln>
            <a:effectLst>
              <a:outerShdw blurRad="50800" dist="38100" dir="5400000" algn="t" rotWithShape="0">
                <a:prstClr val="black">
                  <a:alpha val="40000"/>
                </a:prstClr>
              </a:outerShdw>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520</c:v>
                </c:pt>
                <c:pt idx="1">
                  <c:v>670</c:v>
                </c:pt>
                <c:pt idx="2">
                  <c:v>850</c:v>
                </c:pt>
                <c:pt idx="3">
                  <c:v>1030</c:v>
                </c:pt>
                <c:pt idx="4">
                  <c:v>1075</c:v>
                </c:pt>
                <c:pt idx="5">
                  <c:v>980</c:v>
                </c:pt>
                <c:pt idx="6">
                  <c:v>810</c:v>
                </c:pt>
                <c:pt idx="7">
                  <c:v>640</c:v>
                </c:pt>
                <c:pt idx="8">
                  <c:v>500</c:v>
                </c:pt>
                <c:pt idx="9">
                  <c:v>620</c:v>
                </c:pt>
                <c:pt idx="10">
                  <c:v>800</c:v>
                </c:pt>
                <c:pt idx="11">
                  <c:v>950</c:v>
                </c:pt>
              </c:numCache>
            </c:numRef>
          </c:val>
          <c:smooth val="1"/>
          <c:extLst>
            <c:ext xmlns:c16="http://schemas.microsoft.com/office/drawing/2014/chart" uri="{C3380CC4-5D6E-409C-BE32-E72D297353CC}">
              <c16:uniqueId val="{00000003-0FC5-4563-A401-1BB3472348C5}"/>
            </c:ext>
          </c:extLst>
        </c:ser>
        <c:dLbls>
          <c:showLegendKey val="0"/>
          <c:showVal val="0"/>
          <c:showCatName val="0"/>
          <c:showSerName val="0"/>
          <c:showPercent val="0"/>
          <c:showBubbleSize val="0"/>
        </c:dLbls>
        <c:marker val="1"/>
        <c:smooth val="0"/>
        <c:axId val="1639660207"/>
        <c:axId val="1639660687"/>
      </c:lineChart>
      <c:scatterChart>
        <c:scatterStyle val="lineMarker"/>
        <c:varyColors val="0"/>
        <c:ser>
          <c:idx val="4"/>
          <c:order val="4"/>
          <c:tx>
            <c:strRef>
              <c:f>Processing!$D$1</c:f>
              <c:strCache>
                <c:ptCount val="1"/>
                <c:pt idx="0">
                  <c:v>Active Select</c:v>
                </c:pt>
              </c:strCache>
            </c:strRef>
          </c:tx>
          <c:spPr>
            <a:ln w="25400" cap="rnd">
              <a:noFill/>
              <a:round/>
            </a:ln>
            <a:effectLst>
              <a:glow rad="139700">
                <a:srgbClr val="1AFFD5">
                  <a:alpha val="40000"/>
                </a:srgbClr>
              </a:glow>
              <a:outerShdw blurRad="50800" dist="38100" dir="5400000" algn="t" rotWithShape="0">
                <a:prstClr val="black">
                  <a:alpha val="40000"/>
                </a:prstClr>
              </a:outerShdw>
            </a:effectLst>
          </c:spPr>
          <c:marker>
            <c:symbol val="circle"/>
            <c:size val="5"/>
            <c:spPr>
              <a:solidFill>
                <a:schemeClr val="bg1"/>
              </a:solidFill>
              <a:ln w="9525">
                <a:noFill/>
              </a:ln>
              <a:effectLst>
                <a:glow rad="139700">
                  <a:srgbClr val="1AFFD5">
                    <a:alpha val="40000"/>
                  </a:srgbClr>
                </a:glow>
                <a:outerShdw blurRad="50800" dist="38100" dir="5400000" algn="t" rotWithShape="0">
                  <a:prstClr val="black">
                    <a:alpha val="40000"/>
                  </a:prstClr>
                </a:outerShdw>
              </a:effectLst>
            </c:spPr>
          </c:marker>
          <c:errBars>
            <c:errDir val="y"/>
            <c:errBarType val="minus"/>
            <c:errValType val="cust"/>
            <c:noEndCap val="0"/>
            <c:plus>
              <c:numLit>
                <c:formatCode>General</c:formatCode>
                <c:ptCount val="1"/>
                <c:pt idx="0">
                  <c:v>1</c:v>
                </c:pt>
              </c:numLit>
            </c:plus>
            <c:minus>
              <c:numRef>
                <c:f>Processing!$D$2:$D$13</c:f>
                <c:numCache>
                  <c:formatCode>General</c:formatCode>
                  <c:ptCount val="12"/>
                  <c:pt idx="0">
                    <c:v>612</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chemeClr val="bg1">
                    <a:lumMod val="50000"/>
                  </a:schemeClr>
                </a:solidFill>
                <a:round/>
              </a:ln>
              <a:effectLst/>
            </c:spPr>
          </c:errBars>
          <c:yVal>
            <c:numRef>
              <c:f>Processing!$D$2:$D$13</c:f>
              <c:numCache>
                <c:formatCode>General</c:formatCode>
                <c:ptCount val="12"/>
                <c:pt idx="0">
                  <c:v>612</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4-0FC5-4563-A401-1BB3472348C5}"/>
            </c:ext>
          </c:extLst>
        </c:ser>
        <c:ser>
          <c:idx val="5"/>
          <c:order val="5"/>
          <c:tx>
            <c:strRef>
              <c:f>Processing!$E$1</c:f>
              <c:strCache>
                <c:ptCount val="1"/>
                <c:pt idx="0">
                  <c:v>Average Select</c:v>
                </c:pt>
              </c:strCache>
            </c:strRef>
          </c:tx>
          <c:spPr>
            <a:ln w="25400" cap="rnd">
              <a:noFill/>
              <a:round/>
            </a:ln>
            <a:effectLst>
              <a:glow rad="139700">
                <a:srgbClr val="9980FF">
                  <a:alpha val="40000"/>
                </a:srgbClr>
              </a:glow>
              <a:outerShdw blurRad="50800" dist="38100" dir="5400000" algn="t" rotWithShape="0">
                <a:prstClr val="black">
                  <a:alpha val="40000"/>
                </a:prstClr>
              </a:outerShdw>
            </a:effectLst>
          </c:spPr>
          <c:marker>
            <c:symbol val="circle"/>
            <c:size val="5"/>
            <c:spPr>
              <a:solidFill>
                <a:schemeClr val="bg1"/>
              </a:solidFill>
              <a:ln w="9525">
                <a:noFill/>
              </a:ln>
              <a:effectLst>
                <a:glow rad="139700">
                  <a:srgbClr val="9980FF">
                    <a:alpha val="40000"/>
                  </a:srgbClr>
                </a:glow>
                <a:outerShdw blurRad="50800" dist="38100" dir="5400000" algn="t" rotWithShape="0">
                  <a:prstClr val="black">
                    <a:alpha val="40000"/>
                  </a:prstClr>
                </a:outerShdw>
              </a:effectLst>
            </c:spPr>
          </c:marker>
          <c:errBars>
            <c:errDir val="y"/>
            <c:errBarType val="minus"/>
            <c:errValType val="cust"/>
            <c:noEndCap val="0"/>
            <c:plus>
              <c:numLit>
                <c:formatCode>General</c:formatCode>
                <c:ptCount val="1"/>
                <c:pt idx="0">
                  <c:v>1</c:v>
                </c:pt>
              </c:numLit>
            </c:plus>
            <c:minus>
              <c:numRef>
                <c:f>Processing!$E$2:$E$13</c:f>
                <c:numCache>
                  <c:formatCode>General</c:formatCode>
                  <c:ptCount val="12"/>
                  <c:pt idx="0">
                    <c:v>520</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chemeClr val="bg1">
                    <a:lumMod val="50000"/>
                  </a:schemeClr>
                </a:solidFill>
                <a:round/>
              </a:ln>
              <a:effectLst/>
            </c:spPr>
          </c:errBars>
          <c:yVal>
            <c:numRef>
              <c:f>Processing!$E$2:$E$13</c:f>
              <c:numCache>
                <c:formatCode>General</c:formatCode>
                <c:ptCount val="12"/>
                <c:pt idx="0">
                  <c:v>520</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5-0FC5-4563-A401-1BB3472348C5}"/>
            </c:ext>
          </c:extLst>
        </c:ser>
        <c:dLbls>
          <c:showLegendKey val="0"/>
          <c:showVal val="0"/>
          <c:showCatName val="0"/>
          <c:showSerName val="0"/>
          <c:showPercent val="0"/>
          <c:showBubbleSize val="0"/>
        </c:dLbls>
        <c:axId val="1639660207"/>
        <c:axId val="1639660687"/>
      </c:scatterChart>
      <c:catAx>
        <c:axId val="1639660207"/>
        <c:scaling>
          <c:orientation val="minMax"/>
        </c:scaling>
        <c:delete val="0"/>
        <c:axPos val="b"/>
        <c:numFmt formatCode="General" sourceLinked="1"/>
        <c:majorTickMark val="out"/>
        <c:minorTickMark val="none"/>
        <c:tickLblPos val="nextTo"/>
        <c:spPr>
          <a:noFill/>
          <a:ln w="9525" cap="flat" cmpd="sng" algn="ctr">
            <a:solidFill>
              <a:schemeClr val="bg1">
                <a:lumMod val="6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39660687"/>
        <c:crosses val="autoZero"/>
        <c:auto val="1"/>
        <c:lblAlgn val="ctr"/>
        <c:lblOffset val="100"/>
        <c:noMultiLvlLbl val="0"/>
      </c:catAx>
      <c:valAx>
        <c:axId val="16396606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ru-RU"/>
          </a:p>
        </c:txPr>
        <c:crossAx val="163966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0"/>
          <c:tx>
            <c:strRef>
              <c:f>Processing!$M$1</c:f>
              <c:strCache>
                <c:ptCount val="1"/>
                <c:pt idx="0">
                  <c:v>Indent</c:v>
                </c:pt>
              </c:strCache>
            </c:strRef>
          </c:tx>
          <c:spPr>
            <a:blipFill>
              <a:blip xmlns:r="http://schemas.openxmlformats.org/officeDocument/2006/relationships" r:embed="rId3"/>
              <a:stretch>
                <a:fillRect/>
              </a:stretch>
            </a:blipFill>
            <a:ln>
              <a:noFill/>
            </a:ln>
            <a:effectLst/>
          </c:spPr>
          <c:invertIfNegative val="0"/>
          <c:cat>
            <c:strRef>
              <c:f>Processing!$I$2:$I$13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Processing!$M$2:$M$13</c:f>
              <c:numCache>
                <c:formatCode>General</c:formatCode>
                <c:ptCount val="12"/>
                <c:pt idx="0">
                  <c:v>55.5</c:v>
                </c:pt>
                <c:pt idx="1">
                  <c:v>55.5</c:v>
                </c:pt>
                <c:pt idx="2">
                  <c:v>55.5</c:v>
                </c:pt>
                <c:pt idx="3">
                  <c:v>55.5</c:v>
                </c:pt>
                <c:pt idx="4">
                  <c:v>55.5</c:v>
                </c:pt>
                <c:pt idx="5">
                  <c:v>55.5</c:v>
                </c:pt>
                <c:pt idx="6">
                  <c:v>55.5</c:v>
                </c:pt>
                <c:pt idx="7">
                  <c:v>55.5</c:v>
                </c:pt>
                <c:pt idx="8">
                  <c:v>55.5</c:v>
                </c:pt>
                <c:pt idx="9">
                  <c:v>55.5</c:v>
                </c:pt>
                <c:pt idx="10">
                  <c:v>55.5</c:v>
                </c:pt>
                <c:pt idx="11">
                  <c:v>55.5</c:v>
                </c:pt>
              </c:numCache>
            </c:numRef>
          </c:val>
          <c:extLst>
            <c:ext xmlns:c16="http://schemas.microsoft.com/office/drawing/2014/chart" uri="{C3380CC4-5D6E-409C-BE32-E72D297353CC}">
              <c16:uniqueId val="{00000000-7D31-45DE-A31F-B670E85AEFDE}"/>
            </c:ext>
          </c:extLst>
        </c:ser>
        <c:ser>
          <c:idx val="3"/>
          <c:order val="1"/>
          <c:tx>
            <c:strRef>
              <c:f>Processing!$J$1</c:f>
              <c:strCache>
                <c:ptCount val="1"/>
                <c:pt idx="0">
                  <c:v>Total</c:v>
                </c:pt>
              </c:strCache>
            </c:strRef>
          </c:tx>
          <c:spPr>
            <a:solidFill>
              <a:srgbClr val="5A6380"/>
            </a:solidFill>
            <a:ln>
              <a:noFill/>
            </a:ln>
            <a:effectLst/>
          </c:spPr>
          <c:invertIfNegative val="0"/>
          <c:val>
            <c:numRef>
              <c:f>Processing!$J$2:$J$13</c:f>
              <c:numCache>
                <c:formatCode>General</c:formatCode>
                <c:ptCount val="12"/>
                <c:pt idx="0">
                  <c:v>1647</c:v>
                </c:pt>
                <c:pt idx="1">
                  <c:v>1620</c:v>
                </c:pt>
                <c:pt idx="2">
                  <c:v>1954</c:v>
                </c:pt>
                <c:pt idx="3">
                  <c:v>1919</c:v>
                </c:pt>
                <c:pt idx="4">
                  <c:v>1624</c:v>
                </c:pt>
                <c:pt idx="5">
                  <c:v>1102</c:v>
                </c:pt>
                <c:pt idx="6">
                  <c:v>1062</c:v>
                </c:pt>
                <c:pt idx="7">
                  <c:v>1306</c:v>
                </c:pt>
                <c:pt idx="8">
                  <c:v>1518</c:v>
                </c:pt>
                <c:pt idx="9">
                  <c:v>1530</c:v>
                </c:pt>
                <c:pt idx="10">
                  <c:v>1437</c:v>
                </c:pt>
                <c:pt idx="11">
                  <c:v>1265</c:v>
                </c:pt>
              </c:numCache>
            </c:numRef>
          </c:val>
          <c:extLst>
            <c:ext xmlns:c16="http://schemas.microsoft.com/office/drawing/2014/chart" uri="{C3380CC4-5D6E-409C-BE32-E72D297353CC}">
              <c16:uniqueId val="{00000001-7D31-45DE-A31F-B670E85AEFDE}"/>
            </c:ext>
          </c:extLst>
        </c:ser>
        <c:ser>
          <c:idx val="4"/>
          <c:order val="2"/>
          <c:tx>
            <c:strRef>
              <c:f>Processing!$M$1</c:f>
              <c:strCache>
                <c:ptCount val="1"/>
                <c:pt idx="0">
                  <c:v>Indent</c:v>
                </c:pt>
              </c:strCache>
            </c:strRef>
          </c:tx>
          <c:spPr>
            <a:blipFill>
              <a:blip xmlns:r="http://schemas.openxmlformats.org/officeDocument/2006/relationships" r:embed="rId4"/>
              <a:stretch>
                <a:fillRect/>
              </a:stretch>
            </a:blipFill>
            <a:ln>
              <a:noFill/>
            </a:ln>
            <a:effectLst/>
          </c:spPr>
          <c:invertIfNegative val="0"/>
          <c:val>
            <c:numRef>
              <c:f>Processing!$M$2:$M$13</c:f>
              <c:numCache>
                <c:formatCode>General</c:formatCode>
                <c:ptCount val="12"/>
                <c:pt idx="0">
                  <c:v>55.5</c:v>
                </c:pt>
                <c:pt idx="1">
                  <c:v>55.5</c:v>
                </c:pt>
                <c:pt idx="2">
                  <c:v>55.5</c:v>
                </c:pt>
                <c:pt idx="3">
                  <c:v>55.5</c:v>
                </c:pt>
                <c:pt idx="4">
                  <c:v>55.5</c:v>
                </c:pt>
                <c:pt idx="5">
                  <c:v>55.5</c:v>
                </c:pt>
                <c:pt idx="6">
                  <c:v>55.5</c:v>
                </c:pt>
                <c:pt idx="7">
                  <c:v>55.5</c:v>
                </c:pt>
                <c:pt idx="8">
                  <c:v>55.5</c:v>
                </c:pt>
                <c:pt idx="9">
                  <c:v>55.5</c:v>
                </c:pt>
                <c:pt idx="10">
                  <c:v>55.5</c:v>
                </c:pt>
                <c:pt idx="11">
                  <c:v>55.5</c:v>
                </c:pt>
              </c:numCache>
            </c:numRef>
          </c:val>
          <c:extLst>
            <c:ext xmlns:c16="http://schemas.microsoft.com/office/drawing/2014/chart" uri="{C3380CC4-5D6E-409C-BE32-E72D297353CC}">
              <c16:uniqueId val="{00000002-7D31-45DE-A31F-B670E85AEFDE}"/>
            </c:ext>
          </c:extLst>
        </c:ser>
        <c:dLbls>
          <c:showLegendKey val="0"/>
          <c:showVal val="0"/>
          <c:showCatName val="0"/>
          <c:showSerName val="0"/>
          <c:showPercent val="0"/>
          <c:showBubbleSize val="0"/>
        </c:dLbls>
        <c:gapWidth val="100"/>
        <c:overlap val="100"/>
        <c:axId val="935034783"/>
        <c:axId val="935018463"/>
      </c:barChart>
      <c:barChart>
        <c:barDir val="col"/>
        <c:grouping val="stacked"/>
        <c:varyColors val="0"/>
        <c:ser>
          <c:idx val="5"/>
          <c:order val="3"/>
          <c:tx>
            <c:strRef>
              <c:f>Processing!$N$1</c:f>
              <c:strCache>
                <c:ptCount val="1"/>
                <c:pt idx="0">
                  <c:v>Indent S</c:v>
                </c:pt>
              </c:strCache>
            </c:strRef>
          </c:tx>
          <c:spPr>
            <a:blipFill>
              <a:blip xmlns:r="http://schemas.openxmlformats.org/officeDocument/2006/relationships" r:embed="rId5"/>
              <a:stretch>
                <a:fillRect/>
              </a:stretch>
            </a:blipFill>
            <a:ln>
              <a:noFill/>
            </a:ln>
            <a:effectLst/>
          </c:spPr>
          <c:invertIfNegative val="0"/>
          <c:val>
            <c:numRef>
              <c:f>Processing!$N$2:$N$13</c:f>
              <c:numCache>
                <c:formatCode>General</c:formatCode>
                <c:ptCount val="12"/>
                <c:pt idx="0">
                  <c:v>55.5</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3-7D31-45DE-A31F-B670E85AEFDE}"/>
            </c:ext>
          </c:extLst>
        </c:ser>
        <c:ser>
          <c:idx val="0"/>
          <c:order val="4"/>
          <c:tx>
            <c:strRef>
              <c:f>Processing!$K$1</c:f>
              <c:strCache>
                <c:ptCount val="1"/>
                <c:pt idx="0">
                  <c:v>Select 1</c:v>
                </c:pt>
              </c:strCache>
            </c:strRef>
          </c:tx>
          <c:spPr>
            <a:solidFill>
              <a:srgbClr val="9980FF"/>
            </a:solidFill>
            <a:ln>
              <a:noFill/>
            </a:ln>
            <a:effectLst/>
          </c:spPr>
          <c:invertIfNegative val="0"/>
          <c:cat>
            <c:strRef>
              <c:f>Processing!$I$2:$I$13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Processing!$K$2:$K$13</c:f>
              <c:numCache>
                <c:formatCode>General</c:formatCode>
                <c:ptCount val="12"/>
                <c:pt idx="0">
                  <c:v>907</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4-7D31-45DE-A31F-B670E85AEFDE}"/>
            </c:ext>
          </c:extLst>
        </c:ser>
        <c:ser>
          <c:idx val="1"/>
          <c:order val="5"/>
          <c:tx>
            <c:strRef>
              <c:f>Processing!$L$1</c:f>
              <c:strCache>
                <c:ptCount val="1"/>
                <c:pt idx="0">
                  <c:v>Select 2</c:v>
                </c:pt>
              </c:strCache>
            </c:strRef>
          </c:tx>
          <c:spPr>
            <a:solidFill>
              <a:srgbClr val="1AFFD5"/>
            </a:solidFill>
            <a:ln>
              <a:noFill/>
            </a:ln>
            <a:effectLst/>
          </c:spPr>
          <c:invertIfNegative val="0"/>
          <c:cat>
            <c:strRef>
              <c:f>Processing!$I$2:$I$13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Processing!$L$2:$L$13</c:f>
              <c:numCache>
                <c:formatCode>General</c:formatCode>
                <c:ptCount val="12"/>
                <c:pt idx="0">
                  <c:v>740</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5-7D31-45DE-A31F-B670E85AEFDE}"/>
            </c:ext>
          </c:extLst>
        </c:ser>
        <c:ser>
          <c:idx val="6"/>
          <c:order val="6"/>
          <c:tx>
            <c:strRef>
              <c:f>Processing!$N$1</c:f>
              <c:strCache>
                <c:ptCount val="1"/>
                <c:pt idx="0">
                  <c:v>Indent S</c:v>
                </c:pt>
              </c:strCache>
            </c:strRef>
          </c:tx>
          <c:spPr>
            <a:blipFill>
              <a:blip xmlns:r="http://schemas.openxmlformats.org/officeDocument/2006/relationships" r:embed="rId6"/>
              <a:stretch>
                <a:fillRect/>
              </a:stretch>
            </a:blipFill>
            <a:ln>
              <a:noFill/>
            </a:ln>
            <a:effectLst/>
          </c:spPr>
          <c:invertIfNegative val="0"/>
          <c:val>
            <c:numRef>
              <c:f>Processing!$N$2:$N$13</c:f>
              <c:numCache>
                <c:formatCode>General</c:formatCode>
                <c:ptCount val="12"/>
                <c:pt idx="0">
                  <c:v>55.5</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7D31-45DE-A31F-B670E85AEFDE}"/>
            </c:ext>
          </c:extLst>
        </c:ser>
        <c:dLbls>
          <c:showLegendKey val="0"/>
          <c:showVal val="0"/>
          <c:showCatName val="0"/>
          <c:showSerName val="0"/>
          <c:showPercent val="0"/>
          <c:showBubbleSize val="0"/>
        </c:dLbls>
        <c:gapWidth val="100"/>
        <c:overlap val="100"/>
        <c:axId val="1656759599"/>
        <c:axId val="1656758159"/>
      </c:barChart>
      <c:catAx>
        <c:axId val="9350347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ru-RU"/>
          </a:p>
        </c:txPr>
        <c:crossAx val="935018463"/>
        <c:crosses val="autoZero"/>
        <c:auto val="1"/>
        <c:lblAlgn val="ctr"/>
        <c:lblOffset val="100"/>
        <c:noMultiLvlLbl val="0"/>
      </c:catAx>
      <c:valAx>
        <c:axId val="935018463"/>
        <c:scaling>
          <c:orientation val="minMax"/>
        </c:scaling>
        <c:delete val="1"/>
        <c:axPos val="l"/>
        <c:numFmt formatCode="General" sourceLinked="1"/>
        <c:majorTickMark val="none"/>
        <c:minorTickMark val="none"/>
        <c:tickLblPos val="nextTo"/>
        <c:crossAx val="935034783"/>
        <c:crosses val="autoZero"/>
        <c:crossBetween val="between"/>
      </c:valAx>
      <c:valAx>
        <c:axId val="1656758159"/>
        <c:scaling>
          <c:orientation val="minMax"/>
        </c:scaling>
        <c:delete val="1"/>
        <c:axPos val="r"/>
        <c:numFmt formatCode="General" sourceLinked="1"/>
        <c:majorTickMark val="out"/>
        <c:minorTickMark val="none"/>
        <c:tickLblPos val="nextTo"/>
        <c:crossAx val="1656759599"/>
        <c:crosses val="max"/>
        <c:crossBetween val="between"/>
      </c:valAx>
      <c:catAx>
        <c:axId val="1656759599"/>
        <c:scaling>
          <c:orientation val="minMax"/>
        </c:scaling>
        <c:delete val="1"/>
        <c:axPos val="b"/>
        <c:numFmt formatCode="General" sourceLinked="1"/>
        <c:majorTickMark val="out"/>
        <c:minorTickMark val="none"/>
        <c:tickLblPos val="nextTo"/>
        <c:crossAx val="165675815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1AFFD5"/>
              </a:solidFill>
              <a:ln w="19050">
                <a:noFill/>
              </a:ln>
              <a:effectLst/>
            </c:spPr>
            <c:extLst>
              <c:ext xmlns:c16="http://schemas.microsoft.com/office/drawing/2014/chart" uri="{C3380CC4-5D6E-409C-BE32-E72D297353CC}">
                <c16:uniqueId val="{00000001-1BA1-4710-815B-DFB96F898652}"/>
              </c:ext>
            </c:extLst>
          </c:dPt>
          <c:dPt>
            <c:idx val="1"/>
            <c:bubble3D val="0"/>
            <c:spPr>
              <a:solidFill>
                <a:srgbClr val="5A6380"/>
              </a:solidFill>
              <a:ln w="19050">
                <a:noFill/>
              </a:ln>
              <a:effectLst/>
            </c:spPr>
            <c:extLst>
              <c:ext xmlns:c16="http://schemas.microsoft.com/office/drawing/2014/chart" uri="{C3380CC4-5D6E-409C-BE32-E72D297353CC}">
                <c16:uniqueId val="{00000003-1BA1-4710-815B-DFB96F898652}"/>
              </c:ext>
            </c:extLst>
          </c:dPt>
          <c:val>
            <c:numRef>
              <c:f>Processing!$Q$11:$R$11</c:f>
              <c:numCache>
                <c:formatCode>0%</c:formatCode>
                <c:ptCount val="2"/>
                <c:pt idx="0">
                  <c:v>0.1</c:v>
                </c:pt>
                <c:pt idx="1">
                  <c:v>0.9</c:v>
                </c:pt>
              </c:numCache>
            </c:numRef>
          </c:val>
          <c:extLst>
            <c:ext xmlns:c16="http://schemas.microsoft.com/office/drawing/2014/chart" uri="{C3380CC4-5D6E-409C-BE32-E72D297353CC}">
              <c16:uniqueId val="{00000004-1BA1-4710-815B-DFB96F898652}"/>
            </c:ext>
          </c:extLst>
        </c:ser>
        <c:dLbls>
          <c:showLegendKey val="0"/>
          <c:showVal val="0"/>
          <c:showCatName val="0"/>
          <c:showSerName val="0"/>
          <c:showPercent val="0"/>
          <c:showBubbleSize val="0"/>
          <c:showLeaderLines val="1"/>
        </c:dLbls>
        <c:firstSliceAng val="30"/>
        <c:holeSize val="90"/>
      </c:doughnutChart>
      <c:scatterChart>
        <c:scatterStyle val="lineMarker"/>
        <c:varyColors val="0"/>
        <c:ser>
          <c:idx val="1"/>
          <c:order val="1"/>
          <c:tx>
            <c:v>Cursor</c:v>
          </c:tx>
          <c:spPr>
            <a:ln w="25400" cap="rnd">
              <a:noFill/>
              <a:round/>
            </a:ln>
            <a:effectLst>
              <a:outerShdw blurRad="50800" dist="38100" dir="5400000" algn="t" rotWithShape="0">
                <a:prstClr val="black">
                  <a:alpha val="40000"/>
                </a:prstClr>
              </a:outerShdw>
            </a:effectLst>
          </c:spPr>
          <c:marker>
            <c:symbol val="circle"/>
            <c:size val="13"/>
            <c:spPr>
              <a:solidFill>
                <a:srgbClr val="1AFFD5"/>
              </a:solidFill>
              <a:ln w="19050">
                <a:solidFill>
                  <a:schemeClr val="bg1"/>
                </a:solidFill>
              </a:ln>
              <a:effectLst>
                <a:outerShdw blurRad="50800" dist="38100" dir="5400000" algn="t" rotWithShape="0">
                  <a:prstClr val="black">
                    <a:alpha val="40000"/>
                  </a:prstClr>
                </a:outerShdw>
              </a:effectLst>
            </c:spPr>
          </c:marker>
          <c:xVal>
            <c:numRef>
              <c:f>Processing!$S$11</c:f>
              <c:numCache>
                <c:formatCode>General</c:formatCode>
                <c:ptCount val="1"/>
                <c:pt idx="0">
                  <c:v>0.86705700803332753</c:v>
                </c:pt>
              </c:numCache>
            </c:numRef>
          </c:xVal>
          <c:yVal>
            <c:numRef>
              <c:f>Processing!$T$11</c:f>
              <c:numCache>
                <c:formatCode>General</c:formatCode>
                <c:ptCount val="1"/>
                <c:pt idx="0">
                  <c:v>0.3882166209995318</c:v>
                </c:pt>
              </c:numCache>
            </c:numRef>
          </c:yVal>
          <c:smooth val="0"/>
          <c:extLst>
            <c:ext xmlns:c16="http://schemas.microsoft.com/office/drawing/2014/chart" uri="{C3380CC4-5D6E-409C-BE32-E72D297353CC}">
              <c16:uniqueId val="{00000005-1BA1-4710-815B-DFB96F898652}"/>
            </c:ext>
          </c:extLst>
        </c:ser>
        <c:dLbls>
          <c:showLegendKey val="0"/>
          <c:showVal val="0"/>
          <c:showCatName val="0"/>
          <c:showSerName val="0"/>
          <c:showPercent val="0"/>
          <c:showBubbleSize val="0"/>
        </c:dLbls>
        <c:axId val="1725603839"/>
        <c:axId val="1725609119"/>
      </c:scatterChart>
      <c:valAx>
        <c:axId val="1725603839"/>
        <c:scaling>
          <c:orientation val="minMax"/>
          <c:max val="1"/>
          <c:min val="-1"/>
        </c:scaling>
        <c:delete val="1"/>
        <c:axPos val="b"/>
        <c:numFmt formatCode="General" sourceLinked="1"/>
        <c:majorTickMark val="out"/>
        <c:minorTickMark val="none"/>
        <c:tickLblPos val="nextTo"/>
        <c:crossAx val="1725609119"/>
        <c:crosses val="autoZero"/>
        <c:crossBetween val="midCat"/>
      </c:valAx>
      <c:valAx>
        <c:axId val="1725609119"/>
        <c:scaling>
          <c:orientation val="minMax"/>
          <c:max val="1"/>
          <c:min val="-1"/>
        </c:scaling>
        <c:delete val="1"/>
        <c:axPos val="l"/>
        <c:numFmt formatCode="General" sourceLinked="1"/>
        <c:majorTickMark val="out"/>
        <c:minorTickMark val="none"/>
        <c:tickLblPos val="nextTo"/>
        <c:crossAx val="17256038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9980FF"/>
              </a:solidFill>
              <a:ln w="19050">
                <a:noFill/>
              </a:ln>
              <a:effectLst/>
            </c:spPr>
            <c:extLst>
              <c:ext xmlns:c16="http://schemas.microsoft.com/office/drawing/2014/chart" uri="{C3380CC4-5D6E-409C-BE32-E72D297353CC}">
                <c16:uniqueId val="{00000001-A4AE-4D7E-BD95-90EF7D873B9F}"/>
              </c:ext>
            </c:extLst>
          </c:dPt>
          <c:dPt>
            <c:idx val="1"/>
            <c:bubble3D val="0"/>
            <c:spPr>
              <a:solidFill>
                <a:srgbClr val="5A6380"/>
              </a:solidFill>
              <a:ln w="19050">
                <a:noFill/>
              </a:ln>
              <a:effectLst/>
            </c:spPr>
            <c:extLst>
              <c:ext xmlns:c16="http://schemas.microsoft.com/office/drawing/2014/chart" uri="{C3380CC4-5D6E-409C-BE32-E72D297353CC}">
                <c16:uniqueId val="{00000003-A4AE-4D7E-BD95-90EF7D873B9F}"/>
              </c:ext>
            </c:extLst>
          </c:dPt>
          <c:val>
            <c:numRef>
              <c:f>Processing!$Q$12:$R$12</c:f>
              <c:numCache>
                <c:formatCode>0%</c:formatCode>
                <c:ptCount val="2"/>
                <c:pt idx="0">
                  <c:v>0.13</c:v>
                </c:pt>
                <c:pt idx="1">
                  <c:v>0.87</c:v>
                </c:pt>
              </c:numCache>
            </c:numRef>
          </c:val>
          <c:extLst>
            <c:ext xmlns:c16="http://schemas.microsoft.com/office/drawing/2014/chart" uri="{C3380CC4-5D6E-409C-BE32-E72D297353CC}">
              <c16:uniqueId val="{00000004-A4AE-4D7E-BD95-90EF7D873B9F}"/>
            </c:ext>
          </c:extLst>
        </c:ser>
        <c:dLbls>
          <c:showLegendKey val="0"/>
          <c:showVal val="0"/>
          <c:showCatName val="0"/>
          <c:showSerName val="0"/>
          <c:showPercent val="0"/>
          <c:showBubbleSize val="0"/>
          <c:showLeaderLines val="1"/>
        </c:dLbls>
        <c:firstSliceAng val="30"/>
        <c:holeSize val="90"/>
      </c:doughnutChart>
      <c:scatterChart>
        <c:scatterStyle val="lineMarker"/>
        <c:varyColors val="0"/>
        <c:ser>
          <c:idx val="1"/>
          <c:order val="1"/>
          <c:tx>
            <c:v>Cursor</c:v>
          </c:tx>
          <c:spPr>
            <a:ln w="25400" cap="rnd">
              <a:noFill/>
              <a:round/>
            </a:ln>
            <a:effectLst/>
          </c:spPr>
          <c:marker>
            <c:symbol val="circle"/>
            <c:size val="13"/>
            <c:spPr>
              <a:solidFill>
                <a:srgbClr val="9980FF"/>
              </a:solidFill>
              <a:ln w="19050">
                <a:solidFill>
                  <a:schemeClr val="bg1"/>
                </a:solidFill>
              </a:ln>
              <a:effectLst>
                <a:outerShdw blurRad="50800" dist="38100" dir="5400000" algn="t" rotWithShape="0">
                  <a:prstClr val="black">
                    <a:alpha val="40000"/>
                  </a:prstClr>
                </a:outerShdw>
              </a:effectLst>
            </c:spPr>
          </c:marker>
          <c:xVal>
            <c:numRef>
              <c:f>Processing!$S$12</c:f>
              <c:numCache>
                <c:formatCode>General</c:formatCode>
                <c:ptCount val="1"/>
                <c:pt idx="0">
                  <c:v>0.9244435854330203</c:v>
                </c:pt>
              </c:numCache>
            </c:numRef>
          </c:xVal>
          <c:yVal>
            <c:numRef>
              <c:f>Processing!$T$12</c:f>
              <c:numCache>
                <c:formatCode>General</c:formatCode>
                <c:ptCount val="1"/>
                <c:pt idx="0">
                  <c:v>0.21886995534276146</c:v>
                </c:pt>
              </c:numCache>
            </c:numRef>
          </c:yVal>
          <c:smooth val="0"/>
          <c:extLst>
            <c:ext xmlns:c16="http://schemas.microsoft.com/office/drawing/2014/chart" uri="{C3380CC4-5D6E-409C-BE32-E72D297353CC}">
              <c16:uniqueId val="{00000005-A4AE-4D7E-BD95-90EF7D873B9F}"/>
            </c:ext>
          </c:extLst>
        </c:ser>
        <c:dLbls>
          <c:showLegendKey val="0"/>
          <c:showVal val="0"/>
          <c:showCatName val="0"/>
          <c:showSerName val="0"/>
          <c:showPercent val="0"/>
          <c:showBubbleSize val="0"/>
        </c:dLbls>
        <c:axId val="1725603839"/>
        <c:axId val="1725609119"/>
      </c:scatterChart>
      <c:valAx>
        <c:axId val="1725603839"/>
        <c:scaling>
          <c:orientation val="minMax"/>
          <c:max val="1"/>
          <c:min val="-1"/>
        </c:scaling>
        <c:delete val="1"/>
        <c:axPos val="b"/>
        <c:numFmt formatCode="General" sourceLinked="1"/>
        <c:majorTickMark val="out"/>
        <c:minorTickMark val="none"/>
        <c:tickLblPos val="nextTo"/>
        <c:crossAx val="1725609119"/>
        <c:crosses val="autoZero"/>
        <c:crossBetween val="midCat"/>
      </c:valAx>
      <c:valAx>
        <c:axId val="1725609119"/>
        <c:scaling>
          <c:orientation val="minMax"/>
          <c:max val="1"/>
          <c:min val="-1"/>
        </c:scaling>
        <c:delete val="1"/>
        <c:axPos val="l"/>
        <c:numFmt formatCode="General" sourceLinked="1"/>
        <c:majorTickMark val="out"/>
        <c:minorTickMark val="none"/>
        <c:tickLblPos val="nextTo"/>
        <c:crossAx val="17256038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C3DCEB"/>
              </a:solidFill>
              <a:ln w="19050">
                <a:noFill/>
              </a:ln>
              <a:effectLst/>
            </c:spPr>
            <c:extLst>
              <c:ext xmlns:c16="http://schemas.microsoft.com/office/drawing/2014/chart" uri="{C3380CC4-5D6E-409C-BE32-E72D297353CC}">
                <c16:uniqueId val="{00000001-42F1-4D56-87BA-71152A26287A}"/>
              </c:ext>
            </c:extLst>
          </c:dPt>
          <c:dPt>
            <c:idx val="1"/>
            <c:bubble3D val="0"/>
            <c:spPr>
              <a:solidFill>
                <a:srgbClr val="5A6380"/>
              </a:solidFill>
              <a:ln w="19050">
                <a:noFill/>
              </a:ln>
              <a:effectLst/>
            </c:spPr>
            <c:extLst>
              <c:ext xmlns:c16="http://schemas.microsoft.com/office/drawing/2014/chart" uri="{C3380CC4-5D6E-409C-BE32-E72D297353CC}">
                <c16:uniqueId val="{00000003-42F1-4D56-87BA-71152A26287A}"/>
              </c:ext>
            </c:extLst>
          </c:dPt>
          <c:val>
            <c:numRef>
              <c:f>Processing!$Q$13:$R$13</c:f>
              <c:numCache>
                <c:formatCode>0%</c:formatCode>
                <c:ptCount val="2"/>
                <c:pt idx="0">
                  <c:v>0.08</c:v>
                </c:pt>
                <c:pt idx="1">
                  <c:v>0.92</c:v>
                </c:pt>
              </c:numCache>
            </c:numRef>
          </c:val>
          <c:extLst>
            <c:ext xmlns:c16="http://schemas.microsoft.com/office/drawing/2014/chart" uri="{C3380CC4-5D6E-409C-BE32-E72D297353CC}">
              <c16:uniqueId val="{00000004-42F1-4D56-87BA-71152A26287A}"/>
            </c:ext>
          </c:extLst>
        </c:ser>
        <c:dLbls>
          <c:showLegendKey val="0"/>
          <c:showVal val="0"/>
          <c:showCatName val="0"/>
          <c:showSerName val="0"/>
          <c:showPercent val="0"/>
          <c:showBubbleSize val="0"/>
          <c:showLeaderLines val="1"/>
        </c:dLbls>
        <c:firstSliceAng val="30"/>
        <c:holeSize val="90"/>
      </c:doughnutChart>
      <c:scatterChart>
        <c:scatterStyle val="lineMarker"/>
        <c:varyColors val="0"/>
        <c:ser>
          <c:idx val="1"/>
          <c:order val="1"/>
          <c:tx>
            <c:v>Cursor</c:v>
          </c:tx>
          <c:spPr>
            <a:ln w="25400" cap="rnd">
              <a:noFill/>
              <a:round/>
            </a:ln>
            <a:effectLst/>
          </c:spPr>
          <c:marker>
            <c:symbol val="circle"/>
            <c:size val="13"/>
            <c:spPr>
              <a:solidFill>
                <a:srgbClr val="00C74D"/>
              </a:solidFill>
              <a:ln w="19050">
                <a:solidFill>
                  <a:schemeClr val="bg1"/>
                </a:solidFill>
              </a:ln>
              <a:effectLst>
                <a:outerShdw blurRad="50800" dist="38100" dir="5400000" algn="t" rotWithShape="0">
                  <a:prstClr val="black">
                    <a:alpha val="40000"/>
                  </a:prstClr>
                </a:outerShdw>
              </a:effectLst>
            </c:spPr>
          </c:marker>
          <c:dPt>
            <c:idx val="0"/>
            <c:marker>
              <c:symbol val="circle"/>
              <c:size val="13"/>
              <c:spPr>
                <a:solidFill>
                  <a:srgbClr val="C3DCEB"/>
                </a:solidFill>
                <a:ln w="19050">
                  <a:solidFill>
                    <a:schemeClr val="bg1"/>
                  </a:solidFill>
                </a:ln>
                <a:effectLst>
                  <a:outerShdw blurRad="50800" dist="38100" dir="5400000" algn="t" rotWithShape="0">
                    <a:prstClr val="black">
                      <a:alpha val="40000"/>
                    </a:prstClr>
                  </a:outerShdw>
                </a:effectLst>
              </c:spPr>
            </c:marker>
            <c:bubble3D val="0"/>
            <c:extLst>
              <c:ext xmlns:c16="http://schemas.microsoft.com/office/drawing/2014/chart" uri="{C3380CC4-5D6E-409C-BE32-E72D297353CC}">
                <c16:uniqueId val="{00000005-42F1-4D56-87BA-71152A26287A}"/>
              </c:ext>
            </c:extLst>
          </c:dPt>
          <c:xVal>
            <c:numRef>
              <c:f>Processing!$S$13</c:f>
              <c:numCache>
                <c:formatCode>General</c:formatCode>
                <c:ptCount val="1"/>
                <c:pt idx="0">
                  <c:v>0.8115635601143304</c:v>
                </c:pt>
              </c:numCache>
            </c:numRef>
          </c:xVal>
          <c:yVal>
            <c:numRef>
              <c:f>Processing!$T$13</c:f>
              <c:numCache>
                <c:formatCode>General</c:formatCode>
                <c:ptCount val="1"/>
                <c:pt idx="0">
                  <c:v>0.49382647548967434</c:v>
                </c:pt>
              </c:numCache>
            </c:numRef>
          </c:yVal>
          <c:smooth val="0"/>
          <c:extLst>
            <c:ext xmlns:c16="http://schemas.microsoft.com/office/drawing/2014/chart" uri="{C3380CC4-5D6E-409C-BE32-E72D297353CC}">
              <c16:uniqueId val="{00000006-42F1-4D56-87BA-71152A26287A}"/>
            </c:ext>
          </c:extLst>
        </c:ser>
        <c:dLbls>
          <c:showLegendKey val="0"/>
          <c:showVal val="0"/>
          <c:showCatName val="0"/>
          <c:showSerName val="0"/>
          <c:showPercent val="0"/>
          <c:showBubbleSize val="0"/>
        </c:dLbls>
        <c:axId val="1725603839"/>
        <c:axId val="1725609119"/>
      </c:scatterChart>
      <c:valAx>
        <c:axId val="1725603839"/>
        <c:scaling>
          <c:orientation val="minMax"/>
          <c:max val="1"/>
          <c:min val="-1"/>
        </c:scaling>
        <c:delete val="1"/>
        <c:axPos val="b"/>
        <c:numFmt formatCode="General" sourceLinked="1"/>
        <c:majorTickMark val="out"/>
        <c:minorTickMark val="none"/>
        <c:tickLblPos val="nextTo"/>
        <c:crossAx val="1725609119"/>
        <c:crosses val="autoZero"/>
        <c:crossBetween val="midCat"/>
      </c:valAx>
      <c:valAx>
        <c:axId val="1725609119"/>
        <c:scaling>
          <c:orientation val="minMax"/>
          <c:max val="1"/>
          <c:min val="-1"/>
        </c:scaling>
        <c:delete val="1"/>
        <c:axPos val="l"/>
        <c:numFmt formatCode="General" sourceLinked="1"/>
        <c:majorTickMark val="out"/>
        <c:minorTickMark val="none"/>
        <c:tickLblPos val="nextTo"/>
        <c:crossAx val="17256038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Processing!$Q$1</c:f>
              <c:strCache>
                <c:ptCount val="1"/>
                <c:pt idx="0">
                  <c:v>KPI</c:v>
                </c:pt>
              </c:strCache>
            </c:strRef>
          </c:tx>
          <c:spPr>
            <a:gradFill>
              <a:gsLst>
                <a:gs pos="0">
                  <a:srgbClr val="1AFFD5">
                    <a:alpha val="52000"/>
                  </a:srgbClr>
                </a:gs>
                <a:gs pos="100000">
                  <a:srgbClr val="1AFFD5">
                    <a:alpha val="16000"/>
                  </a:srgbClr>
                </a:gs>
              </a:gsLst>
              <a:lin ang="5400000" scaled="0"/>
            </a:gradFill>
            <a:ln w="9525">
              <a:solidFill>
                <a:srgbClr val="1AFFD5"/>
              </a:solidFill>
            </a:ln>
            <a:effectLst/>
          </c:spPr>
          <c:cat>
            <c:strRef>
              <c:f>Processing!$P$2:$P$6</c:f>
              <c:strCache>
                <c:ptCount val="5"/>
                <c:pt idx="0">
                  <c:v>Point 1</c:v>
                </c:pt>
                <c:pt idx="1">
                  <c:v>Point 2</c:v>
                </c:pt>
                <c:pt idx="2">
                  <c:v>Point 3</c:v>
                </c:pt>
                <c:pt idx="3">
                  <c:v>Point 4</c:v>
                </c:pt>
                <c:pt idx="4">
                  <c:v>Point 5</c:v>
                </c:pt>
              </c:strCache>
            </c:strRef>
          </c:cat>
          <c:val>
            <c:numRef>
              <c:f>Processing!$Q$2:$Q$6</c:f>
              <c:numCache>
                <c:formatCode>General</c:formatCode>
                <c:ptCount val="5"/>
                <c:pt idx="0">
                  <c:v>21331</c:v>
                </c:pt>
                <c:pt idx="1">
                  <c:v>32190</c:v>
                </c:pt>
                <c:pt idx="2">
                  <c:v>34484</c:v>
                </c:pt>
                <c:pt idx="3">
                  <c:v>39213</c:v>
                </c:pt>
                <c:pt idx="4">
                  <c:v>34138</c:v>
                </c:pt>
              </c:numCache>
            </c:numRef>
          </c:val>
          <c:extLst>
            <c:ext xmlns:c16="http://schemas.microsoft.com/office/drawing/2014/chart" uri="{C3380CC4-5D6E-409C-BE32-E72D297353CC}">
              <c16:uniqueId val="{00000003-EAA1-4B61-8CB4-95B4801ADA8B}"/>
            </c:ext>
          </c:extLst>
        </c:ser>
        <c:ser>
          <c:idx val="1"/>
          <c:order val="1"/>
          <c:tx>
            <c:strRef>
              <c:f>Processing!$R$1</c:f>
              <c:strCache>
                <c:ptCount val="1"/>
                <c:pt idx="0">
                  <c:v>Cost</c:v>
                </c:pt>
              </c:strCache>
            </c:strRef>
          </c:tx>
          <c:spPr>
            <a:gradFill>
              <a:gsLst>
                <a:gs pos="0">
                  <a:srgbClr val="8F72FF">
                    <a:alpha val="64000"/>
                  </a:srgbClr>
                </a:gs>
                <a:gs pos="100000">
                  <a:srgbClr val="8F72FF">
                    <a:alpha val="66000"/>
                  </a:srgbClr>
                </a:gs>
              </a:gsLst>
              <a:lin ang="5400000" scaled="0"/>
            </a:gradFill>
            <a:ln w="9525">
              <a:solidFill>
                <a:srgbClr val="CBBDFF"/>
              </a:solidFill>
            </a:ln>
            <a:effectLst/>
          </c:spPr>
          <c:cat>
            <c:strRef>
              <c:f>Processing!$P$2:$P$6</c:f>
              <c:strCache>
                <c:ptCount val="5"/>
                <c:pt idx="0">
                  <c:v>Point 1</c:v>
                </c:pt>
                <c:pt idx="1">
                  <c:v>Point 2</c:v>
                </c:pt>
                <c:pt idx="2">
                  <c:v>Point 3</c:v>
                </c:pt>
                <c:pt idx="3">
                  <c:v>Point 4</c:v>
                </c:pt>
                <c:pt idx="4">
                  <c:v>Point 5</c:v>
                </c:pt>
              </c:strCache>
            </c:strRef>
          </c:cat>
          <c:val>
            <c:numRef>
              <c:f>Processing!$R$2:$R$6</c:f>
              <c:numCache>
                <c:formatCode>General</c:formatCode>
                <c:ptCount val="5"/>
                <c:pt idx="0">
                  <c:v>33169</c:v>
                </c:pt>
                <c:pt idx="1">
                  <c:v>23348</c:v>
                </c:pt>
                <c:pt idx="2">
                  <c:v>24244</c:v>
                </c:pt>
                <c:pt idx="3">
                  <c:v>26367</c:v>
                </c:pt>
                <c:pt idx="4">
                  <c:v>30946</c:v>
                </c:pt>
              </c:numCache>
            </c:numRef>
          </c:val>
          <c:extLst>
            <c:ext xmlns:c16="http://schemas.microsoft.com/office/drawing/2014/chart" uri="{C3380CC4-5D6E-409C-BE32-E72D297353CC}">
              <c16:uniqueId val="{00000005-EAA1-4B61-8CB4-95B4801ADA8B}"/>
            </c:ext>
          </c:extLst>
        </c:ser>
        <c:dLbls>
          <c:showLegendKey val="0"/>
          <c:showVal val="0"/>
          <c:showCatName val="0"/>
          <c:showSerName val="0"/>
          <c:showPercent val="0"/>
          <c:showBubbleSize val="0"/>
        </c:dLbls>
        <c:axId val="1656786479"/>
        <c:axId val="1656821999"/>
      </c:radarChart>
      <c:catAx>
        <c:axId val="165678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ru-RU"/>
          </a:p>
        </c:txPr>
        <c:crossAx val="1656821999"/>
        <c:crosses val="autoZero"/>
        <c:auto val="1"/>
        <c:lblAlgn val="ctr"/>
        <c:lblOffset val="100"/>
        <c:noMultiLvlLbl val="0"/>
      </c:catAx>
      <c:valAx>
        <c:axId val="1656821999"/>
        <c:scaling>
          <c:orientation val="minMax"/>
        </c:scaling>
        <c:delete val="1"/>
        <c:axPos val="l"/>
        <c:numFmt formatCode="General" sourceLinked="1"/>
        <c:majorTickMark val="none"/>
        <c:minorTickMark val="none"/>
        <c:tickLblPos val="nextTo"/>
        <c:crossAx val="165678647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spPr>
            <a:gradFill flip="none" rotWithShape="1">
              <a:gsLst>
                <a:gs pos="0">
                  <a:srgbClr val="1AFFD5">
                    <a:alpha val="30000"/>
                  </a:srgbClr>
                </a:gs>
                <a:gs pos="100000">
                  <a:srgbClr val="1AFFD5">
                    <a:alpha val="0"/>
                  </a:srgbClr>
                </a:gs>
              </a:gsLst>
              <a:lin ang="5400000" scaled="0"/>
              <a:tileRect/>
            </a:gradFill>
            <a:ln>
              <a:noFill/>
            </a:ln>
            <a:effectLst/>
          </c:spP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612</c:v>
                </c:pt>
                <c:pt idx="1">
                  <c:v>815</c:v>
                </c:pt>
                <c:pt idx="2">
                  <c:v>851</c:v>
                </c:pt>
                <c:pt idx="3">
                  <c:v>755</c:v>
                </c:pt>
                <c:pt idx="4">
                  <c:v>598</c:v>
                </c:pt>
                <c:pt idx="5">
                  <c:v>470</c:v>
                </c:pt>
                <c:pt idx="6">
                  <c:v>545</c:v>
                </c:pt>
                <c:pt idx="7">
                  <c:v>990</c:v>
                </c:pt>
                <c:pt idx="8">
                  <c:v>1135</c:v>
                </c:pt>
                <c:pt idx="9">
                  <c:v>1080</c:v>
                </c:pt>
                <c:pt idx="10">
                  <c:v>955</c:v>
                </c:pt>
                <c:pt idx="11">
                  <c:v>930</c:v>
                </c:pt>
              </c:numCache>
            </c:numRef>
          </c:val>
          <c:extLst>
            <c:ext xmlns:c16="http://schemas.microsoft.com/office/drawing/2014/chart" uri="{C3380CC4-5D6E-409C-BE32-E72D297353CC}">
              <c16:uniqueId val="{00000007-AD65-4463-83FA-B5CA80D04DE2}"/>
            </c:ext>
          </c:extLst>
        </c:ser>
        <c:ser>
          <c:idx val="3"/>
          <c:order val="3"/>
          <c:spPr>
            <a:gradFill>
              <a:gsLst>
                <a:gs pos="0">
                  <a:srgbClr val="9980FF">
                    <a:alpha val="30000"/>
                  </a:srgbClr>
                </a:gs>
                <a:gs pos="100000">
                  <a:srgbClr val="9980FF">
                    <a:alpha val="0"/>
                  </a:srgbClr>
                </a:gs>
              </a:gsLst>
              <a:lin ang="5400000" scaled="0"/>
            </a:gradFill>
            <a:ln>
              <a:noFill/>
            </a:ln>
            <a:effectLst/>
          </c:spP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520</c:v>
                </c:pt>
                <c:pt idx="1">
                  <c:v>670</c:v>
                </c:pt>
                <c:pt idx="2">
                  <c:v>850</c:v>
                </c:pt>
                <c:pt idx="3">
                  <c:v>1030</c:v>
                </c:pt>
                <c:pt idx="4">
                  <c:v>1075</c:v>
                </c:pt>
                <c:pt idx="5">
                  <c:v>980</c:v>
                </c:pt>
                <c:pt idx="6">
                  <c:v>810</c:v>
                </c:pt>
                <c:pt idx="7">
                  <c:v>640</c:v>
                </c:pt>
                <c:pt idx="8">
                  <c:v>500</c:v>
                </c:pt>
                <c:pt idx="9">
                  <c:v>620</c:v>
                </c:pt>
                <c:pt idx="10">
                  <c:v>800</c:v>
                </c:pt>
                <c:pt idx="11">
                  <c:v>950</c:v>
                </c:pt>
              </c:numCache>
            </c:numRef>
          </c:val>
          <c:extLst>
            <c:ext xmlns:c16="http://schemas.microsoft.com/office/drawing/2014/chart" uri="{C3380CC4-5D6E-409C-BE32-E72D297353CC}">
              <c16:uniqueId val="{00000009-AD65-4463-83FA-B5CA80D04DE2}"/>
            </c:ext>
          </c:extLst>
        </c:ser>
        <c:dLbls>
          <c:showLegendKey val="0"/>
          <c:showVal val="0"/>
          <c:showCatName val="0"/>
          <c:showSerName val="0"/>
          <c:showPercent val="0"/>
          <c:showBubbleSize val="0"/>
        </c:dLbls>
        <c:axId val="1639660207"/>
        <c:axId val="1639660687"/>
      </c:areaChart>
      <c:lineChart>
        <c:grouping val="standard"/>
        <c:varyColors val="0"/>
        <c:ser>
          <c:idx val="0"/>
          <c:order val="0"/>
          <c:tx>
            <c:v>Fill1</c:v>
          </c:tx>
          <c:spPr>
            <a:ln w="38100" cap="rnd">
              <a:solidFill>
                <a:srgbClr val="1AFFD5"/>
              </a:solidFill>
              <a:round/>
            </a:ln>
            <a:effectLst>
              <a:outerShdw blurRad="50800" dist="38100" dir="5400000" algn="t" rotWithShape="0">
                <a:prstClr val="black">
                  <a:alpha val="40000"/>
                </a:prstClr>
              </a:outerShdw>
            </a:effectLst>
          </c:spPr>
          <c:marker>
            <c:symbol val="none"/>
          </c:marker>
          <c:val>
            <c:numRef>
              <c:f>Processing!$B$2:$B$13</c:f>
              <c:numCache>
                <c:formatCode>General</c:formatCode>
                <c:ptCount val="12"/>
                <c:pt idx="0">
                  <c:v>612</c:v>
                </c:pt>
                <c:pt idx="1">
                  <c:v>815</c:v>
                </c:pt>
                <c:pt idx="2">
                  <c:v>851</c:v>
                </c:pt>
                <c:pt idx="3">
                  <c:v>755</c:v>
                </c:pt>
                <c:pt idx="4">
                  <c:v>598</c:v>
                </c:pt>
                <c:pt idx="5">
                  <c:v>470</c:v>
                </c:pt>
                <c:pt idx="6">
                  <c:v>545</c:v>
                </c:pt>
                <c:pt idx="7">
                  <c:v>990</c:v>
                </c:pt>
                <c:pt idx="8">
                  <c:v>1135</c:v>
                </c:pt>
                <c:pt idx="9">
                  <c:v>1080</c:v>
                </c:pt>
                <c:pt idx="10">
                  <c:v>955</c:v>
                </c:pt>
                <c:pt idx="11">
                  <c:v>930</c:v>
                </c:pt>
              </c:numCache>
            </c:numRef>
          </c:val>
          <c:smooth val="1"/>
          <c:extLst>
            <c:ext xmlns:c16="http://schemas.microsoft.com/office/drawing/2014/chart" uri="{C3380CC4-5D6E-409C-BE32-E72D297353CC}">
              <c16:uniqueId val="{0000000B-AD65-4463-83FA-B5CA80D04DE2}"/>
            </c:ext>
          </c:extLst>
        </c:ser>
        <c:ser>
          <c:idx val="1"/>
          <c:order val="1"/>
          <c:tx>
            <c:v>Fill2</c:v>
          </c:tx>
          <c:spPr>
            <a:ln w="38100" cap="rnd">
              <a:solidFill>
                <a:srgbClr val="9980FF"/>
              </a:solidFill>
              <a:round/>
            </a:ln>
            <a:effectLst>
              <a:outerShdw blurRad="50800" dist="38100" dir="5400000" algn="t" rotWithShape="0">
                <a:prstClr val="black">
                  <a:alpha val="40000"/>
                </a:prstClr>
              </a:outerShdw>
            </a:effectLst>
          </c:spPr>
          <c:marker>
            <c:symbol val="none"/>
          </c:marker>
          <c:val>
            <c:numRef>
              <c:f>Processing!$C$2:$C$13</c:f>
              <c:numCache>
                <c:formatCode>General</c:formatCode>
                <c:ptCount val="12"/>
                <c:pt idx="0">
                  <c:v>520</c:v>
                </c:pt>
                <c:pt idx="1">
                  <c:v>670</c:v>
                </c:pt>
                <c:pt idx="2">
                  <c:v>850</c:v>
                </c:pt>
                <c:pt idx="3">
                  <c:v>1030</c:v>
                </c:pt>
                <c:pt idx="4">
                  <c:v>1075</c:v>
                </c:pt>
                <c:pt idx="5">
                  <c:v>980</c:v>
                </c:pt>
                <c:pt idx="6">
                  <c:v>810</c:v>
                </c:pt>
                <c:pt idx="7">
                  <c:v>640</c:v>
                </c:pt>
                <c:pt idx="8">
                  <c:v>500</c:v>
                </c:pt>
                <c:pt idx="9">
                  <c:v>620</c:v>
                </c:pt>
                <c:pt idx="10">
                  <c:v>800</c:v>
                </c:pt>
                <c:pt idx="11">
                  <c:v>950</c:v>
                </c:pt>
              </c:numCache>
            </c:numRef>
          </c:val>
          <c:smooth val="1"/>
          <c:extLst>
            <c:ext xmlns:c16="http://schemas.microsoft.com/office/drawing/2014/chart" uri="{C3380CC4-5D6E-409C-BE32-E72D297353CC}">
              <c16:uniqueId val="{0000000D-AD65-4463-83FA-B5CA80D04DE2}"/>
            </c:ext>
          </c:extLst>
        </c:ser>
        <c:dLbls>
          <c:showLegendKey val="0"/>
          <c:showVal val="0"/>
          <c:showCatName val="0"/>
          <c:showSerName val="0"/>
          <c:showPercent val="0"/>
          <c:showBubbleSize val="0"/>
        </c:dLbls>
        <c:marker val="1"/>
        <c:smooth val="0"/>
        <c:axId val="1639660207"/>
        <c:axId val="1639660687"/>
      </c:lineChart>
      <c:scatterChart>
        <c:scatterStyle val="lineMarker"/>
        <c:varyColors val="0"/>
        <c:ser>
          <c:idx val="4"/>
          <c:order val="4"/>
          <c:tx>
            <c:strRef>
              <c:f>Processing!$D$1</c:f>
              <c:strCache>
                <c:ptCount val="1"/>
                <c:pt idx="0">
                  <c:v>Active Select</c:v>
                </c:pt>
              </c:strCache>
            </c:strRef>
          </c:tx>
          <c:spPr>
            <a:ln w="25400" cap="rnd">
              <a:noFill/>
              <a:round/>
            </a:ln>
            <a:effectLst>
              <a:glow rad="139700">
                <a:srgbClr val="1AFFD5">
                  <a:alpha val="40000"/>
                </a:srgbClr>
              </a:glow>
              <a:outerShdw blurRad="50800" dist="38100" dir="5400000" algn="t" rotWithShape="0">
                <a:prstClr val="black">
                  <a:alpha val="40000"/>
                </a:prstClr>
              </a:outerShdw>
            </a:effectLst>
          </c:spPr>
          <c:marker>
            <c:symbol val="circle"/>
            <c:size val="5"/>
            <c:spPr>
              <a:solidFill>
                <a:schemeClr val="bg1"/>
              </a:solidFill>
              <a:ln w="9525">
                <a:noFill/>
              </a:ln>
              <a:effectLst>
                <a:glow rad="139700">
                  <a:srgbClr val="1AFFD5">
                    <a:alpha val="40000"/>
                  </a:srgbClr>
                </a:glow>
                <a:outerShdw blurRad="50800" dist="38100" dir="5400000" algn="t" rotWithShape="0">
                  <a:prstClr val="black">
                    <a:alpha val="40000"/>
                  </a:prstClr>
                </a:outerShdw>
              </a:effectLst>
            </c:spPr>
          </c:marker>
          <c:errBars>
            <c:errDir val="y"/>
            <c:errBarType val="minus"/>
            <c:errValType val="cust"/>
            <c:noEndCap val="1"/>
            <c:plus>
              <c:numLit>
                <c:formatCode>General</c:formatCode>
                <c:ptCount val="1"/>
                <c:pt idx="0">
                  <c:v>1</c:v>
                </c:pt>
              </c:numLit>
            </c:plus>
            <c:minus>
              <c:numRef>
                <c:f>Processing!$D$2:$D$13</c:f>
                <c:numCache>
                  <c:formatCode>General</c:formatCode>
                  <c:ptCount val="12"/>
                  <c:pt idx="0">
                    <c:v>612</c:v>
                  </c:pt>
                  <c:pt idx="1">
                    <c:v>#N/A</c:v>
                  </c:pt>
                  <c:pt idx="2">
                    <c:v>#N/A</c:v>
                  </c:pt>
                  <c:pt idx="3">
                    <c:v>#N/A</c:v>
                  </c:pt>
                  <c:pt idx="4">
                    <c:v>#N/A</c:v>
                  </c:pt>
                  <c:pt idx="5">
                    <c:v>#N/A</c:v>
                  </c:pt>
                  <c:pt idx="6">
                    <c:v>#N/A</c:v>
                  </c:pt>
                  <c:pt idx="7">
                    <c:v>#N/A</c:v>
                  </c:pt>
                  <c:pt idx="8">
                    <c:v>#N/A</c:v>
                  </c:pt>
                  <c:pt idx="9">
                    <c:v>#N/A</c:v>
                  </c:pt>
                  <c:pt idx="10">
                    <c:v>#N/A</c:v>
                  </c:pt>
                  <c:pt idx="11">
                    <c:v>#N/A</c:v>
                  </c:pt>
                </c:numCache>
              </c:numRef>
            </c:minus>
            <c:spPr>
              <a:ln>
                <a:solidFill>
                  <a:schemeClr val="bg1">
                    <a:lumMod val="50000"/>
                  </a:schemeClr>
                </a:solidFill>
              </a:ln>
            </c:spPr>
          </c:errBars>
          <c:yVal>
            <c:numRef>
              <c:f>Processing!$D$2:$D$13</c:f>
              <c:numCache>
                <c:formatCode>General</c:formatCode>
                <c:ptCount val="12"/>
                <c:pt idx="0">
                  <c:v>612</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F-AD65-4463-83FA-B5CA80D04DE2}"/>
            </c:ext>
          </c:extLst>
        </c:ser>
        <c:ser>
          <c:idx val="5"/>
          <c:order val="5"/>
          <c:tx>
            <c:strRef>
              <c:f>Processing!$E$1</c:f>
              <c:strCache>
                <c:ptCount val="1"/>
                <c:pt idx="0">
                  <c:v>Average Select</c:v>
                </c:pt>
              </c:strCache>
            </c:strRef>
          </c:tx>
          <c:spPr>
            <a:ln w="25400" cap="rnd">
              <a:noFill/>
              <a:round/>
            </a:ln>
            <a:effectLst>
              <a:glow rad="139700">
                <a:srgbClr val="9980FF">
                  <a:alpha val="40000"/>
                </a:srgbClr>
              </a:glow>
              <a:outerShdw blurRad="50800" dist="38100" dir="5400000" algn="t" rotWithShape="0">
                <a:prstClr val="black">
                  <a:alpha val="40000"/>
                </a:prstClr>
              </a:outerShdw>
            </a:effectLst>
          </c:spPr>
          <c:marker>
            <c:symbol val="circle"/>
            <c:size val="5"/>
            <c:spPr>
              <a:solidFill>
                <a:schemeClr val="bg1"/>
              </a:solidFill>
              <a:ln w="9525">
                <a:noFill/>
              </a:ln>
              <a:effectLst>
                <a:glow rad="139700">
                  <a:srgbClr val="9980FF">
                    <a:alpha val="40000"/>
                  </a:srgbClr>
                </a:glow>
                <a:outerShdw blurRad="50800" dist="38100" dir="5400000" algn="t" rotWithShape="0">
                  <a:prstClr val="black">
                    <a:alpha val="40000"/>
                  </a:prstClr>
                </a:outerShdw>
              </a:effectLst>
            </c:spPr>
          </c:marker>
          <c:errBars>
            <c:errDir val="y"/>
            <c:errBarType val="minus"/>
            <c:errValType val="cust"/>
            <c:noEndCap val="1"/>
            <c:plus>
              <c:numLit>
                <c:formatCode>General</c:formatCode>
                <c:ptCount val="1"/>
                <c:pt idx="0">
                  <c:v>1</c:v>
                </c:pt>
              </c:numLit>
            </c:plus>
            <c:minus>
              <c:numRef>
                <c:f>Processing!$E$2:$E$13</c:f>
                <c:numCache>
                  <c:formatCode>General</c:formatCode>
                  <c:ptCount val="12"/>
                  <c:pt idx="0">
                    <c:v>520</c:v>
                  </c:pt>
                  <c:pt idx="1">
                    <c:v>#N/A</c:v>
                  </c:pt>
                  <c:pt idx="2">
                    <c:v>#N/A</c:v>
                  </c:pt>
                  <c:pt idx="3">
                    <c:v>#N/A</c:v>
                  </c:pt>
                  <c:pt idx="4">
                    <c:v>#N/A</c:v>
                  </c:pt>
                  <c:pt idx="5">
                    <c:v>#N/A</c:v>
                  </c:pt>
                  <c:pt idx="6">
                    <c:v>#N/A</c:v>
                  </c:pt>
                  <c:pt idx="7">
                    <c:v>#N/A</c:v>
                  </c:pt>
                  <c:pt idx="8">
                    <c:v>#N/A</c:v>
                  </c:pt>
                  <c:pt idx="9">
                    <c:v>#N/A</c:v>
                  </c:pt>
                  <c:pt idx="10">
                    <c:v>#N/A</c:v>
                  </c:pt>
                  <c:pt idx="11">
                    <c:v>#N/A</c:v>
                  </c:pt>
                </c:numCache>
              </c:numRef>
            </c:minus>
            <c:spPr>
              <a:ln>
                <a:solidFill>
                  <a:schemeClr val="bg1">
                    <a:lumMod val="50000"/>
                  </a:schemeClr>
                </a:solidFill>
              </a:ln>
            </c:spPr>
          </c:errBars>
          <c:yVal>
            <c:numRef>
              <c:f>Processing!$E$2:$E$13</c:f>
              <c:numCache>
                <c:formatCode>General</c:formatCode>
                <c:ptCount val="12"/>
                <c:pt idx="0">
                  <c:v>520</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11-AD65-4463-83FA-B5CA80D04DE2}"/>
            </c:ext>
          </c:extLst>
        </c:ser>
        <c:dLbls>
          <c:showLegendKey val="0"/>
          <c:showVal val="0"/>
          <c:showCatName val="0"/>
          <c:showSerName val="0"/>
          <c:showPercent val="0"/>
          <c:showBubbleSize val="0"/>
        </c:dLbls>
        <c:axId val="1639660207"/>
        <c:axId val="1639660687"/>
      </c:scatterChart>
      <c:catAx>
        <c:axId val="163966020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39660687"/>
        <c:crosses val="autoZero"/>
        <c:auto val="1"/>
        <c:lblAlgn val="ctr"/>
        <c:lblOffset val="100"/>
        <c:noMultiLvlLbl val="0"/>
      </c:catAx>
      <c:valAx>
        <c:axId val="1639660687"/>
        <c:scaling>
          <c:orientation val="minMax"/>
        </c:scaling>
        <c:delete val="1"/>
        <c:axPos val="l"/>
        <c:numFmt formatCode="General" sourceLinked="1"/>
        <c:majorTickMark val="out"/>
        <c:minorTickMark val="none"/>
        <c:tickLblPos val="nextTo"/>
        <c:crossAx val="163966020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0"/>
          <c:tx>
            <c:strRef>
              <c:f>Processing!$M$1</c:f>
              <c:strCache>
                <c:ptCount val="1"/>
                <c:pt idx="0">
                  <c:v>Indent</c:v>
                </c:pt>
              </c:strCache>
            </c:strRef>
          </c:tx>
          <c:spPr>
            <a:blipFill>
              <a:blip xmlns:r="http://schemas.openxmlformats.org/officeDocument/2006/relationships" r:embed="rId1"/>
              <a:stretch>
                <a:fillRect/>
              </a:stretch>
            </a:blipFill>
            <a:ln>
              <a:noFill/>
            </a:ln>
            <a:effectLst/>
          </c:spPr>
          <c:invertIfNegative val="0"/>
          <c:cat>
            <c:strRef>
              <c:f>Processing!$I$2:$I$13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Processing!$M$2:$M$13</c:f>
              <c:numCache>
                <c:formatCode>General</c:formatCode>
                <c:ptCount val="12"/>
                <c:pt idx="0">
                  <c:v>55.5</c:v>
                </c:pt>
                <c:pt idx="1">
                  <c:v>55.5</c:v>
                </c:pt>
                <c:pt idx="2">
                  <c:v>55.5</c:v>
                </c:pt>
                <c:pt idx="3">
                  <c:v>55.5</c:v>
                </c:pt>
                <c:pt idx="4">
                  <c:v>55.5</c:v>
                </c:pt>
                <c:pt idx="5">
                  <c:v>55.5</c:v>
                </c:pt>
                <c:pt idx="6">
                  <c:v>55.5</c:v>
                </c:pt>
                <c:pt idx="7">
                  <c:v>55.5</c:v>
                </c:pt>
                <c:pt idx="8">
                  <c:v>55.5</c:v>
                </c:pt>
                <c:pt idx="9">
                  <c:v>55.5</c:v>
                </c:pt>
                <c:pt idx="10">
                  <c:v>55.5</c:v>
                </c:pt>
                <c:pt idx="11">
                  <c:v>55.5</c:v>
                </c:pt>
              </c:numCache>
            </c:numRef>
          </c:val>
          <c:extLst>
            <c:ext xmlns:c16="http://schemas.microsoft.com/office/drawing/2014/chart" uri="{C3380CC4-5D6E-409C-BE32-E72D297353CC}">
              <c16:uniqueId val="{00000008-9CC4-4533-BB16-3F6D803F342B}"/>
            </c:ext>
          </c:extLst>
        </c:ser>
        <c:ser>
          <c:idx val="3"/>
          <c:order val="1"/>
          <c:tx>
            <c:strRef>
              <c:f>Processing!$J$1</c:f>
              <c:strCache>
                <c:ptCount val="1"/>
                <c:pt idx="0">
                  <c:v>Total</c:v>
                </c:pt>
              </c:strCache>
            </c:strRef>
          </c:tx>
          <c:spPr>
            <a:solidFill>
              <a:srgbClr val="5A6380"/>
            </a:solidFill>
            <a:ln>
              <a:noFill/>
            </a:ln>
            <a:effectLst/>
          </c:spPr>
          <c:invertIfNegative val="0"/>
          <c:val>
            <c:numRef>
              <c:f>Processing!$J$2:$J$13</c:f>
              <c:numCache>
                <c:formatCode>General</c:formatCode>
                <c:ptCount val="12"/>
                <c:pt idx="0">
                  <c:v>1647</c:v>
                </c:pt>
                <c:pt idx="1">
                  <c:v>1620</c:v>
                </c:pt>
                <c:pt idx="2">
                  <c:v>1954</c:v>
                </c:pt>
                <c:pt idx="3">
                  <c:v>1919</c:v>
                </c:pt>
                <c:pt idx="4">
                  <c:v>1624</c:v>
                </c:pt>
                <c:pt idx="5">
                  <c:v>1102</c:v>
                </c:pt>
                <c:pt idx="6">
                  <c:v>1062</c:v>
                </c:pt>
                <c:pt idx="7">
                  <c:v>1306</c:v>
                </c:pt>
                <c:pt idx="8">
                  <c:v>1518</c:v>
                </c:pt>
                <c:pt idx="9">
                  <c:v>1530</c:v>
                </c:pt>
                <c:pt idx="10">
                  <c:v>1437</c:v>
                </c:pt>
                <c:pt idx="11">
                  <c:v>1265</c:v>
                </c:pt>
              </c:numCache>
            </c:numRef>
          </c:val>
          <c:extLst>
            <c:ext xmlns:c16="http://schemas.microsoft.com/office/drawing/2014/chart" uri="{C3380CC4-5D6E-409C-BE32-E72D297353CC}">
              <c16:uniqueId val="{0000000A-9CC4-4533-BB16-3F6D803F342B}"/>
            </c:ext>
          </c:extLst>
        </c:ser>
        <c:ser>
          <c:idx val="4"/>
          <c:order val="2"/>
          <c:tx>
            <c:strRef>
              <c:f>Processing!$M$1</c:f>
              <c:strCache>
                <c:ptCount val="1"/>
                <c:pt idx="0">
                  <c:v>Indent</c:v>
                </c:pt>
              </c:strCache>
            </c:strRef>
          </c:tx>
          <c:spPr>
            <a:blipFill>
              <a:blip xmlns:r="http://schemas.openxmlformats.org/officeDocument/2006/relationships" r:embed="rId2"/>
              <a:stretch>
                <a:fillRect/>
              </a:stretch>
            </a:blipFill>
            <a:ln>
              <a:noFill/>
            </a:ln>
            <a:effectLst/>
          </c:spPr>
          <c:invertIfNegative val="0"/>
          <c:val>
            <c:numRef>
              <c:f>Processing!$M$2:$M$13</c:f>
              <c:numCache>
                <c:formatCode>General</c:formatCode>
                <c:ptCount val="12"/>
                <c:pt idx="0">
                  <c:v>55.5</c:v>
                </c:pt>
                <c:pt idx="1">
                  <c:v>55.5</c:v>
                </c:pt>
                <c:pt idx="2">
                  <c:v>55.5</c:v>
                </c:pt>
                <c:pt idx="3">
                  <c:v>55.5</c:v>
                </c:pt>
                <c:pt idx="4">
                  <c:v>55.5</c:v>
                </c:pt>
                <c:pt idx="5">
                  <c:v>55.5</c:v>
                </c:pt>
                <c:pt idx="6">
                  <c:v>55.5</c:v>
                </c:pt>
                <c:pt idx="7">
                  <c:v>55.5</c:v>
                </c:pt>
                <c:pt idx="8">
                  <c:v>55.5</c:v>
                </c:pt>
                <c:pt idx="9">
                  <c:v>55.5</c:v>
                </c:pt>
                <c:pt idx="10">
                  <c:v>55.5</c:v>
                </c:pt>
                <c:pt idx="11">
                  <c:v>55.5</c:v>
                </c:pt>
              </c:numCache>
            </c:numRef>
          </c:val>
          <c:extLst>
            <c:ext xmlns:c16="http://schemas.microsoft.com/office/drawing/2014/chart" uri="{C3380CC4-5D6E-409C-BE32-E72D297353CC}">
              <c16:uniqueId val="{0000000C-9CC4-4533-BB16-3F6D803F342B}"/>
            </c:ext>
          </c:extLst>
        </c:ser>
        <c:dLbls>
          <c:showLegendKey val="0"/>
          <c:showVal val="0"/>
          <c:showCatName val="0"/>
          <c:showSerName val="0"/>
          <c:showPercent val="0"/>
          <c:showBubbleSize val="0"/>
        </c:dLbls>
        <c:gapWidth val="100"/>
        <c:overlap val="100"/>
        <c:axId val="935034783"/>
        <c:axId val="935018463"/>
      </c:barChart>
      <c:barChart>
        <c:barDir val="col"/>
        <c:grouping val="stacked"/>
        <c:varyColors val="0"/>
        <c:ser>
          <c:idx val="5"/>
          <c:order val="3"/>
          <c:tx>
            <c:strRef>
              <c:f>Processing!$N$1</c:f>
              <c:strCache>
                <c:ptCount val="1"/>
                <c:pt idx="0">
                  <c:v>Indent S</c:v>
                </c:pt>
              </c:strCache>
            </c:strRef>
          </c:tx>
          <c:spPr>
            <a:blipFill>
              <a:blip xmlns:r="http://schemas.openxmlformats.org/officeDocument/2006/relationships" r:embed="rId3"/>
              <a:stretch>
                <a:fillRect/>
              </a:stretch>
            </a:blipFill>
            <a:ln>
              <a:noFill/>
            </a:ln>
            <a:effectLst/>
          </c:spPr>
          <c:invertIfNegative val="0"/>
          <c:val>
            <c:numRef>
              <c:f>Processing!$N$2:$N$13</c:f>
              <c:numCache>
                <c:formatCode>General</c:formatCode>
                <c:ptCount val="12"/>
                <c:pt idx="0">
                  <c:v>55.5</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E-9CC4-4533-BB16-3F6D803F342B}"/>
            </c:ext>
          </c:extLst>
        </c:ser>
        <c:ser>
          <c:idx val="0"/>
          <c:order val="4"/>
          <c:tx>
            <c:strRef>
              <c:f>Processing!$K$1</c:f>
              <c:strCache>
                <c:ptCount val="1"/>
                <c:pt idx="0">
                  <c:v>Select 1</c:v>
                </c:pt>
              </c:strCache>
            </c:strRef>
          </c:tx>
          <c:spPr>
            <a:solidFill>
              <a:srgbClr val="9980FF"/>
            </a:solidFill>
            <a:ln>
              <a:noFill/>
            </a:ln>
            <a:effectLst/>
          </c:spPr>
          <c:invertIfNegative val="0"/>
          <c:cat>
            <c:strRef>
              <c:f>Processing!$I$2:$I$13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Processing!$K$2:$K$13</c:f>
              <c:numCache>
                <c:formatCode>General</c:formatCode>
                <c:ptCount val="12"/>
                <c:pt idx="0">
                  <c:v>907</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10-9CC4-4533-BB16-3F6D803F342B}"/>
            </c:ext>
          </c:extLst>
        </c:ser>
        <c:ser>
          <c:idx val="1"/>
          <c:order val="5"/>
          <c:tx>
            <c:strRef>
              <c:f>Processing!$L$1</c:f>
              <c:strCache>
                <c:ptCount val="1"/>
                <c:pt idx="0">
                  <c:v>Select 2</c:v>
                </c:pt>
              </c:strCache>
            </c:strRef>
          </c:tx>
          <c:spPr>
            <a:solidFill>
              <a:srgbClr val="1AFFD5"/>
            </a:solidFill>
            <a:ln>
              <a:noFill/>
            </a:ln>
            <a:effectLst/>
          </c:spPr>
          <c:invertIfNegative val="0"/>
          <c:cat>
            <c:strRef>
              <c:f>Processing!$I$2:$I$13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Processing!$L$2:$L$13</c:f>
              <c:numCache>
                <c:formatCode>General</c:formatCode>
                <c:ptCount val="12"/>
                <c:pt idx="0">
                  <c:v>740</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12-9CC4-4533-BB16-3F6D803F342B}"/>
            </c:ext>
          </c:extLst>
        </c:ser>
        <c:ser>
          <c:idx val="6"/>
          <c:order val="6"/>
          <c:tx>
            <c:strRef>
              <c:f>Processing!$N$1</c:f>
              <c:strCache>
                <c:ptCount val="1"/>
                <c:pt idx="0">
                  <c:v>Indent S</c:v>
                </c:pt>
              </c:strCache>
            </c:strRef>
          </c:tx>
          <c:spPr>
            <a:blipFill>
              <a:blip xmlns:r="http://schemas.openxmlformats.org/officeDocument/2006/relationships" r:embed="rId4"/>
              <a:stretch>
                <a:fillRect/>
              </a:stretch>
            </a:blipFill>
            <a:ln>
              <a:noFill/>
            </a:ln>
            <a:effectLst/>
          </c:spPr>
          <c:invertIfNegative val="0"/>
          <c:val>
            <c:numRef>
              <c:f>Processing!$N$2:$N$13</c:f>
              <c:numCache>
                <c:formatCode>General</c:formatCode>
                <c:ptCount val="12"/>
                <c:pt idx="0">
                  <c:v>55.5</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14-9CC4-4533-BB16-3F6D803F342B}"/>
            </c:ext>
          </c:extLst>
        </c:ser>
        <c:dLbls>
          <c:showLegendKey val="0"/>
          <c:showVal val="0"/>
          <c:showCatName val="0"/>
          <c:showSerName val="0"/>
          <c:showPercent val="0"/>
          <c:showBubbleSize val="0"/>
        </c:dLbls>
        <c:gapWidth val="100"/>
        <c:overlap val="100"/>
        <c:axId val="1656759599"/>
        <c:axId val="1656758159"/>
      </c:barChart>
      <c:catAx>
        <c:axId val="9350347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ru-RU"/>
          </a:p>
        </c:txPr>
        <c:crossAx val="935018463"/>
        <c:crosses val="autoZero"/>
        <c:auto val="1"/>
        <c:lblAlgn val="ctr"/>
        <c:lblOffset val="100"/>
        <c:noMultiLvlLbl val="0"/>
      </c:catAx>
      <c:valAx>
        <c:axId val="935018463"/>
        <c:scaling>
          <c:orientation val="minMax"/>
        </c:scaling>
        <c:delete val="0"/>
        <c:axPos val="l"/>
        <c:numFmt formatCode="General" sourceLinked="1"/>
        <c:majorTickMark val="out"/>
        <c:minorTickMark val="none"/>
        <c:tickLblPos val="nextTo"/>
        <c:spPr>
          <a:ln>
            <a:noFill/>
          </a:ln>
        </c:spPr>
        <c:txPr>
          <a:bodyPr/>
          <a:lstStyle/>
          <a:p>
            <a:pPr>
              <a:defRPr>
                <a:solidFill>
                  <a:schemeClr val="bg1">
                    <a:lumMod val="65000"/>
                  </a:schemeClr>
                </a:solidFill>
              </a:defRPr>
            </a:pPr>
            <a:endParaRPr lang="ru-RU"/>
          </a:p>
        </c:txPr>
        <c:crossAx val="935034783"/>
        <c:crosses val="autoZero"/>
        <c:crossBetween val="between"/>
      </c:valAx>
      <c:valAx>
        <c:axId val="1656758159"/>
        <c:scaling>
          <c:orientation val="minMax"/>
        </c:scaling>
        <c:delete val="1"/>
        <c:axPos val="r"/>
        <c:numFmt formatCode="General" sourceLinked="1"/>
        <c:majorTickMark val="out"/>
        <c:minorTickMark val="none"/>
        <c:tickLblPos val="nextTo"/>
        <c:crossAx val="1656759599"/>
        <c:crosses val="max"/>
        <c:crossBetween val="between"/>
      </c:valAx>
      <c:catAx>
        <c:axId val="1656759599"/>
        <c:scaling>
          <c:orientation val="minMax"/>
        </c:scaling>
        <c:delete val="1"/>
        <c:axPos val="b"/>
        <c:numFmt formatCode="General" sourceLinked="1"/>
        <c:majorTickMark val="out"/>
        <c:minorTickMark val="none"/>
        <c:tickLblPos val="nextTo"/>
        <c:crossAx val="1656758159"/>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1AFFD5"/>
              </a:solidFill>
              <a:ln w="19050">
                <a:noFill/>
              </a:ln>
              <a:effectLst/>
            </c:spPr>
            <c:extLst>
              <c:ext xmlns:c16="http://schemas.microsoft.com/office/drawing/2014/chart" uri="{C3380CC4-5D6E-409C-BE32-E72D297353CC}">
                <c16:uniqueId val="{00000001-5942-425C-941A-558F30703B08}"/>
              </c:ext>
            </c:extLst>
          </c:dPt>
          <c:dPt>
            <c:idx val="1"/>
            <c:bubble3D val="0"/>
            <c:spPr>
              <a:solidFill>
                <a:srgbClr val="5A6380"/>
              </a:solidFill>
              <a:ln w="19050">
                <a:noFill/>
              </a:ln>
              <a:effectLst/>
            </c:spPr>
            <c:extLst>
              <c:ext xmlns:c16="http://schemas.microsoft.com/office/drawing/2014/chart" uri="{C3380CC4-5D6E-409C-BE32-E72D297353CC}">
                <c16:uniqueId val="{00000003-5942-425C-941A-558F30703B08}"/>
              </c:ext>
            </c:extLst>
          </c:dPt>
          <c:val>
            <c:numRef>
              <c:f>Processing!$Q$11:$R$11</c:f>
              <c:numCache>
                <c:formatCode>0%</c:formatCode>
                <c:ptCount val="2"/>
                <c:pt idx="0">
                  <c:v>0.1</c:v>
                </c:pt>
                <c:pt idx="1">
                  <c:v>0.9</c:v>
                </c:pt>
              </c:numCache>
            </c:numRef>
          </c:val>
          <c:extLst>
            <c:ext xmlns:c16="http://schemas.microsoft.com/office/drawing/2014/chart" uri="{C3380CC4-5D6E-409C-BE32-E72D297353CC}">
              <c16:uniqueId val="{00000004-5942-425C-941A-558F30703B08}"/>
            </c:ext>
          </c:extLst>
        </c:ser>
        <c:dLbls>
          <c:showLegendKey val="0"/>
          <c:showVal val="0"/>
          <c:showCatName val="0"/>
          <c:showSerName val="0"/>
          <c:showPercent val="0"/>
          <c:showBubbleSize val="0"/>
          <c:showLeaderLines val="1"/>
        </c:dLbls>
        <c:firstSliceAng val="30"/>
        <c:holeSize val="90"/>
      </c:doughnutChart>
      <c:scatterChart>
        <c:scatterStyle val="lineMarker"/>
        <c:varyColors val="0"/>
        <c:ser>
          <c:idx val="1"/>
          <c:order val="1"/>
          <c:tx>
            <c:v>Cursor</c:v>
          </c:tx>
          <c:spPr>
            <a:ln w="25400" cap="rnd">
              <a:noFill/>
              <a:round/>
            </a:ln>
            <a:effectLst>
              <a:outerShdw blurRad="50800" dist="38100" dir="5400000" algn="t" rotWithShape="0">
                <a:prstClr val="black">
                  <a:alpha val="40000"/>
                </a:prstClr>
              </a:outerShdw>
            </a:effectLst>
          </c:spPr>
          <c:marker>
            <c:symbol val="circle"/>
            <c:size val="13"/>
            <c:spPr>
              <a:solidFill>
                <a:srgbClr val="1AFFD5"/>
              </a:solidFill>
              <a:ln w="19050">
                <a:solidFill>
                  <a:schemeClr val="bg1"/>
                </a:solidFill>
              </a:ln>
              <a:effectLst>
                <a:outerShdw blurRad="50800" dist="38100" dir="5400000" algn="t" rotWithShape="0">
                  <a:prstClr val="black">
                    <a:alpha val="40000"/>
                  </a:prstClr>
                </a:outerShdw>
              </a:effectLst>
            </c:spPr>
          </c:marker>
          <c:xVal>
            <c:numRef>
              <c:f>Processing!$S$11</c:f>
              <c:numCache>
                <c:formatCode>General</c:formatCode>
                <c:ptCount val="1"/>
                <c:pt idx="0">
                  <c:v>0.86705700803332753</c:v>
                </c:pt>
              </c:numCache>
            </c:numRef>
          </c:xVal>
          <c:yVal>
            <c:numRef>
              <c:f>Processing!$T$11</c:f>
              <c:numCache>
                <c:formatCode>General</c:formatCode>
                <c:ptCount val="1"/>
                <c:pt idx="0">
                  <c:v>0.3882166209995318</c:v>
                </c:pt>
              </c:numCache>
            </c:numRef>
          </c:yVal>
          <c:smooth val="0"/>
          <c:extLst>
            <c:ext xmlns:c16="http://schemas.microsoft.com/office/drawing/2014/chart" uri="{C3380CC4-5D6E-409C-BE32-E72D297353CC}">
              <c16:uniqueId val="{00000005-5942-425C-941A-558F30703B08}"/>
            </c:ext>
          </c:extLst>
        </c:ser>
        <c:dLbls>
          <c:showLegendKey val="0"/>
          <c:showVal val="0"/>
          <c:showCatName val="0"/>
          <c:showSerName val="0"/>
          <c:showPercent val="0"/>
          <c:showBubbleSize val="0"/>
        </c:dLbls>
        <c:axId val="1725603839"/>
        <c:axId val="1725609119"/>
      </c:scatterChart>
      <c:valAx>
        <c:axId val="1725603839"/>
        <c:scaling>
          <c:orientation val="minMax"/>
          <c:max val="1"/>
          <c:min val="-1"/>
        </c:scaling>
        <c:delete val="1"/>
        <c:axPos val="b"/>
        <c:numFmt formatCode="General" sourceLinked="1"/>
        <c:majorTickMark val="out"/>
        <c:minorTickMark val="none"/>
        <c:tickLblPos val="nextTo"/>
        <c:crossAx val="1725609119"/>
        <c:crosses val="autoZero"/>
        <c:crossBetween val="midCat"/>
      </c:valAx>
      <c:valAx>
        <c:axId val="1725609119"/>
        <c:scaling>
          <c:orientation val="minMax"/>
          <c:max val="1"/>
          <c:min val="-1"/>
        </c:scaling>
        <c:delete val="1"/>
        <c:axPos val="l"/>
        <c:numFmt formatCode="General" sourceLinked="1"/>
        <c:majorTickMark val="out"/>
        <c:minorTickMark val="none"/>
        <c:tickLblPos val="nextTo"/>
        <c:crossAx val="17256038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B19EFF"/>
              </a:solidFill>
              <a:ln w="19050">
                <a:noFill/>
              </a:ln>
              <a:effectLst/>
            </c:spPr>
            <c:extLst>
              <c:ext xmlns:c16="http://schemas.microsoft.com/office/drawing/2014/chart" uri="{C3380CC4-5D6E-409C-BE32-E72D297353CC}">
                <c16:uniqueId val="{00000001-0665-48E1-89AD-F93BC7521B44}"/>
              </c:ext>
            </c:extLst>
          </c:dPt>
          <c:dPt>
            <c:idx val="1"/>
            <c:bubble3D val="0"/>
            <c:spPr>
              <a:solidFill>
                <a:srgbClr val="5A6380"/>
              </a:solidFill>
              <a:ln w="19050">
                <a:noFill/>
              </a:ln>
              <a:effectLst/>
            </c:spPr>
            <c:extLst>
              <c:ext xmlns:c16="http://schemas.microsoft.com/office/drawing/2014/chart" uri="{C3380CC4-5D6E-409C-BE32-E72D297353CC}">
                <c16:uniqueId val="{00000003-0665-48E1-89AD-F93BC7521B44}"/>
              </c:ext>
            </c:extLst>
          </c:dPt>
          <c:val>
            <c:numRef>
              <c:f>Processing!$Q$12:$R$12</c:f>
              <c:numCache>
                <c:formatCode>0%</c:formatCode>
                <c:ptCount val="2"/>
                <c:pt idx="0">
                  <c:v>0.13</c:v>
                </c:pt>
                <c:pt idx="1">
                  <c:v>0.87</c:v>
                </c:pt>
              </c:numCache>
            </c:numRef>
          </c:val>
          <c:extLst>
            <c:ext xmlns:c16="http://schemas.microsoft.com/office/drawing/2014/chart" uri="{C3380CC4-5D6E-409C-BE32-E72D297353CC}">
              <c16:uniqueId val="{00000004-0665-48E1-89AD-F93BC7521B44}"/>
            </c:ext>
          </c:extLst>
        </c:ser>
        <c:dLbls>
          <c:showLegendKey val="0"/>
          <c:showVal val="0"/>
          <c:showCatName val="0"/>
          <c:showSerName val="0"/>
          <c:showPercent val="0"/>
          <c:showBubbleSize val="0"/>
          <c:showLeaderLines val="1"/>
        </c:dLbls>
        <c:firstSliceAng val="30"/>
        <c:holeSize val="90"/>
      </c:doughnutChart>
      <c:scatterChart>
        <c:scatterStyle val="lineMarker"/>
        <c:varyColors val="0"/>
        <c:ser>
          <c:idx val="1"/>
          <c:order val="1"/>
          <c:tx>
            <c:v>Cursor</c:v>
          </c:tx>
          <c:spPr>
            <a:ln w="25400" cap="rnd">
              <a:noFill/>
              <a:round/>
            </a:ln>
            <a:effectLst/>
          </c:spPr>
          <c:marker>
            <c:symbol val="circle"/>
            <c:size val="13"/>
            <c:spPr>
              <a:solidFill>
                <a:srgbClr val="9980FF"/>
              </a:solidFill>
              <a:ln w="19050">
                <a:solidFill>
                  <a:schemeClr val="bg1"/>
                </a:solidFill>
              </a:ln>
              <a:effectLst>
                <a:outerShdw blurRad="50800" dist="38100" dir="5400000" algn="t" rotWithShape="0">
                  <a:prstClr val="black">
                    <a:alpha val="40000"/>
                  </a:prstClr>
                </a:outerShdw>
              </a:effectLst>
            </c:spPr>
          </c:marker>
          <c:xVal>
            <c:numRef>
              <c:f>Processing!$S$12</c:f>
              <c:numCache>
                <c:formatCode>General</c:formatCode>
                <c:ptCount val="1"/>
                <c:pt idx="0">
                  <c:v>0.9244435854330203</c:v>
                </c:pt>
              </c:numCache>
            </c:numRef>
          </c:xVal>
          <c:yVal>
            <c:numRef>
              <c:f>Processing!$T$12</c:f>
              <c:numCache>
                <c:formatCode>General</c:formatCode>
                <c:ptCount val="1"/>
                <c:pt idx="0">
                  <c:v>0.21886995534276146</c:v>
                </c:pt>
              </c:numCache>
            </c:numRef>
          </c:yVal>
          <c:smooth val="0"/>
          <c:extLst>
            <c:ext xmlns:c16="http://schemas.microsoft.com/office/drawing/2014/chart" uri="{C3380CC4-5D6E-409C-BE32-E72D297353CC}">
              <c16:uniqueId val="{00000005-0665-48E1-89AD-F93BC7521B44}"/>
            </c:ext>
          </c:extLst>
        </c:ser>
        <c:dLbls>
          <c:showLegendKey val="0"/>
          <c:showVal val="0"/>
          <c:showCatName val="0"/>
          <c:showSerName val="0"/>
          <c:showPercent val="0"/>
          <c:showBubbleSize val="0"/>
        </c:dLbls>
        <c:axId val="1725603839"/>
        <c:axId val="1725609119"/>
      </c:scatterChart>
      <c:valAx>
        <c:axId val="1725603839"/>
        <c:scaling>
          <c:orientation val="minMax"/>
          <c:max val="1"/>
          <c:min val="-1"/>
        </c:scaling>
        <c:delete val="1"/>
        <c:axPos val="b"/>
        <c:numFmt formatCode="General" sourceLinked="1"/>
        <c:majorTickMark val="out"/>
        <c:minorTickMark val="none"/>
        <c:tickLblPos val="nextTo"/>
        <c:crossAx val="1725609119"/>
        <c:crosses val="autoZero"/>
        <c:crossBetween val="midCat"/>
      </c:valAx>
      <c:valAx>
        <c:axId val="1725609119"/>
        <c:scaling>
          <c:orientation val="minMax"/>
          <c:max val="1"/>
          <c:min val="-1"/>
        </c:scaling>
        <c:delete val="1"/>
        <c:axPos val="l"/>
        <c:numFmt formatCode="General" sourceLinked="1"/>
        <c:majorTickMark val="out"/>
        <c:minorTickMark val="none"/>
        <c:tickLblPos val="nextTo"/>
        <c:crossAx val="17256038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C3DCEB"/>
              </a:solidFill>
              <a:ln w="19050">
                <a:noFill/>
              </a:ln>
              <a:effectLst/>
            </c:spPr>
            <c:extLst>
              <c:ext xmlns:c16="http://schemas.microsoft.com/office/drawing/2014/chart" uri="{C3380CC4-5D6E-409C-BE32-E72D297353CC}">
                <c16:uniqueId val="{00000001-2D9F-44F9-A617-A716A343A0F0}"/>
              </c:ext>
            </c:extLst>
          </c:dPt>
          <c:dPt>
            <c:idx val="1"/>
            <c:bubble3D val="0"/>
            <c:spPr>
              <a:solidFill>
                <a:srgbClr val="5A6380"/>
              </a:solidFill>
              <a:ln w="19050">
                <a:noFill/>
              </a:ln>
              <a:effectLst/>
            </c:spPr>
            <c:extLst>
              <c:ext xmlns:c16="http://schemas.microsoft.com/office/drawing/2014/chart" uri="{C3380CC4-5D6E-409C-BE32-E72D297353CC}">
                <c16:uniqueId val="{00000003-2D9F-44F9-A617-A716A343A0F0}"/>
              </c:ext>
            </c:extLst>
          </c:dPt>
          <c:val>
            <c:numRef>
              <c:f>Processing!$Q$13:$R$13</c:f>
              <c:numCache>
                <c:formatCode>0%</c:formatCode>
                <c:ptCount val="2"/>
                <c:pt idx="0">
                  <c:v>0.08</c:v>
                </c:pt>
                <c:pt idx="1">
                  <c:v>0.92</c:v>
                </c:pt>
              </c:numCache>
            </c:numRef>
          </c:val>
          <c:extLst>
            <c:ext xmlns:c16="http://schemas.microsoft.com/office/drawing/2014/chart" uri="{C3380CC4-5D6E-409C-BE32-E72D297353CC}">
              <c16:uniqueId val="{00000004-2D9F-44F9-A617-A716A343A0F0}"/>
            </c:ext>
          </c:extLst>
        </c:ser>
        <c:dLbls>
          <c:showLegendKey val="0"/>
          <c:showVal val="0"/>
          <c:showCatName val="0"/>
          <c:showSerName val="0"/>
          <c:showPercent val="0"/>
          <c:showBubbleSize val="0"/>
          <c:showLeaderLines val="1"/>
        </c:dLbls>
        <c:firstSliceAng val="30"/>
        <c:holeSize val="90"/>
      </c:doughnutChart>
      <c:scatterChart>
        <c:scatterStyle val="lineMarker"/>
        <c:varyColors val="0"/>
        <c:ser>
          <c:idx val="1"/>
          <c:order val="1"/>
          <c:tx>
            <c:v>Cursor</c:v>
          </c:tx>
          <c:spPr>
            <a:ln w="25400" cap="rnd">
              <a:noFill/>
              <a:round/>
            </a:ln>
            <a:effectLst/>
          </c:spPr>
          <c:marker>
            <c:symbol val="circle"/>
            <c:size val="13"/>
            <c:spPr>
              <a:solidFill>
                <a:srgbClr val="00C74D"/>
              </a:solidFill>
              <a:ln w="19050">
                <a:solidFill>
                  <a:schemeClr val="bg1"/>
                </a:solidFill>
              </a:ln>
              <a:effectLst>
                <a:outerShdw blurRad="50800" dist="38100" dir="5400000" algn="t" rotWithShape="0">
                  <a:prstClr val="black">
                    <a:alpha val="40000"/>
                  </a:prstClr>
                </a:outerShdw>
              </a:effectLst>
            </c:spPr>
          </c:marker>
          <c:dPt>
            <c:idx val="0"/>
            <c:marker>
              <c:symbol val="circle"/>
              <c:size val="13"/>
              <c:spPr>
                <a:solidFill>
                  <a:srgbClr val="C3DCEB"/>
                </a:solidFill>
                <a:ln w="19050">
                  <a:solidFill>
                    <a:schemeClr val="bg1"/>
                  </a:solidFill>
                </a:ln>
                <a:effectLst>
                  <a:outerShdw blurRad="50800" dist="38100" dir="5400000" algn="t" rotWithShape="0">
                    <a:prstClr val="black">
                      <a:alpha val="40000"/>
                    </a:prstClr>
                  </a:outerShdw>
                </a:effectLst>
              </c:spPr>
            </c:marker>
            <c:bubble3D val="0"/>
            <c:extLst>
              <c:ext xmlns:c16="http://schemas.microsoft.com/office/drawing/2014/chart" uri="{C3380CC4-5D6E-409C-BE32-E72D297353CC}">
                <c16:uniqueId val="{00000005-2D9F-44F9-A617-A716A343A0F0}"/>
              </c:ext>
            </c:extLst>
          </c:dPt>
          <c:xVal>
            <c:numRef>
              <c:f>Processing!$S$13</c:f>
              <c:numCache>
                <c:formatCode>General</c:formatCode>
                <c:ptCount val="1"/>
                <c:pt idx="0">
                  <c:v>0.8115635601143304</c:v>
                </c:pt>
              </c:numCache>
            </c:numRef>
          </c:xVal>
          <c:yVal>
            <c:numRef>
              <c:f>Processing!$T$13</c:f>
              <c:numCache>
                <c:formatCode>General</c:formatCode>
                <c:ptCount val="1"/>
                <c:pt idx="0">
                  <c:v>0.49382647548967434</c:v>
                </c:pt>
              </c:numCache>
            </c:numRef>
          </c:yVal>
          <c:smooth val="0"/>
          <c:extLst>
            <c:ext xmlns:c16="http://schemas.microsoft.com/office/drawing/2014/chart" uri="{C3380CC4-5D6E-409C-BE32-E72D297353CC}">
              <c16:uniqueId val="{00000006-2D9F-44F9-A617-A716A343A0F0}"/>
            </c:ext>
          </c:extLst>
        </c:ser>
        <c:dLbls>
          <c:showLegendKey val="0"/>
          <c:showVal val="0"/>
          <c:showCatName val="0"/>
          <c:showSerName val="0"/>
          <c:showPercent val="0"/>
          <c:showBubbleSize val="0"/>
        </c:dLbls>
        <c:axId val="1725603839"/>
        <c:axId val="1725609119"/>
      </c:scatterChart>
      <c:valAx>
        <c:axId val="1725603839"/>
        <c:scaling>
          <c:orientation val="minMax"/>
          <c:max val="1"/>
          <c:min val="-1"/>
        </c:scaling>
        <c:delete val="1"/>
        <c:axPos val="b"/>
        <c:numFmt formatCode="General" sourceLinked="1"/>
        <c:majorTickMark val="out"/>
        <c:minorTickMark val="none"/>
        <c:tickLblPos val="nextTo"/>
        <c:crossAx val="1725609119"/>
        <c:crosses val="autoZero"/>
        <c:crossBetween val="midCat"/>
      </c:valAx>
      <c:valAx>
        <c:axId val="1725609119"/>
        <c:scaling>
          <c:orientation val="minMax"/>
          <c:max val="1"/>
          <c:min val="-1"/>
        </c:scaling>
        <c:delete val="1"/>
        <c:axPos val="l"/>
        <c:numFmt formatCode="General" sourceLinked="1"/>
        <c:majorTickMark val="out"/>
        <c:minorTickMark val="none"/>
        <c:tickLblPos val="nextTo"/>
        <c:crossAx val="17256038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hyperlink" Target="#'Client Structure'!B7"/><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0" Type="http://schemas.openxmlformats.org/officeDocument/2006/relationships/hyperlink" Target="#'DASHBOARD Dark'!B7"/><Relationship Id="rId4" Type="http://schemas.openxmlformats.org/officeDocument/2006/relationships/chart" Target="../charts/chart4.xml"/><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9.xml"/><Relationship Id="rId7" Type="http://schemas.openxmlformats.org/officeDocument/2006/relationships/hyperlink" Target="#DASHBOARD!B7"/><Relationship Id="rId12" Type="http://schemas.openxmlformats.org/officeDocument/2006/relationships/image" Target="../media/image8.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7.png"/><Relationship Id="rId5" Type="http://schemas.openxmlformats.org/officeDocument/2006/relationships/chart" Target="../charts/chart11.xml"/><Relationship Id="rId10" Type="http://schemas.openxmlformats.org/officeDocument/2006/relationships/hyperlink" Target="#'Client Structure Dark'!B7"/><Relationship Id="rId4" Type="http://schemas.openxmlformats.org/officeDocument/2006/relationships/chart" Target="../charts/chart10.xml"/><Relationship Id="rId9" Type="http://schemas.openxmlformats.org/officeDocument/2006/relationships/image" Target="../media/image6.svg"/></Relationships>
</file>

<file path=xl/drawings/_rels/drawing3.xml.rels><?xml version="1.0" encoding="UTF-8" standalone="yes"?>
<Relationships xmlns="http://schemas.openxmlformats.org/package/2006/relationships"><Relationship Id="rId8" Type="http://schemas.openxmlformats.org/officeDocument/2006/relationships/hyperlink" Target="#DASHBOARD!B7"/><Relationship Id="rId3" Type="http://schemas.openxmlformats.org/officeDocument/2006/relationships/chart" Target="../charts/chart15.xml"/><Relationship Id="rId7" Type="http://schemas.openxmlformats.org/officeDocument/2006/relationships/hyperlink" Target="#'Client Structure Dark'!B7"/><Relationship Id="rId12" Type="http://schemas.openxmlformats.org/officeDocument/2006/relationships/image" Target="../media/image16.svg"/><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image" Target="../media/image15.png"/><Relationship Id="rId5" Type="http://schemas.openxmlformats.org/officeDocument/2006/relationships/chart" Target="../charts/chart17.xml"/><Relationship Id="rId10" Type="http://schemas.openxmlformats.org/officeDocument/2006/relationships/image" Target="../media/image14.svg"/><Relationship Id="rId4" Type="http://schemas.openxmlformats.org/officeDocument/2006/relationships/chart" Target="../charts/chart16.xml"/><Relationship Id="rId9" Type="http://schemas.openxmlformats.org/officeDocument/2006/relationships/image" Target="../media/image13.png"/></Relationships>
</file>

<file path=xl/drawings/_rels/drawing4.xml.rels><?xml version="1.0" encoding="UTF-8" standalone="yes"?>
<Relationships xmlns="http://schemas.openxmlformats.org/package/2006/relationships"><Relationship Id="rId8" Type="http://schemas.openxmlformats.org/officeDocument/2006/relationships/hyperlink" Target="#'Client Structure'!B7"/><Relationship Id="rId3" Type="http://schemas.openxmlformats.org/officeDocument/2006/relationships/chart" Target="../charts/chart21.xml"/><Relationship Id="rId7" Type="http://schemas.openxmlformats.org/officeDocument/2006/relationships/hyperlink" Target="#'DASHBOARD Dark'!B7"/><Relationship Id="rId12" Type="http://schemas.openxmlformats.org/officeDocument/2006/relationships/image" Target="../media/image16.svg"/><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11" Type="http://schemas.openxmlformats.org/officeDocument/2006/relationships/image" Target="../media/image15.png"/><Relationship Id="rId5" Type="http://schemas.openxmlformats.org/officeDocument/2006/relationships/chart" Target="../charts/chart23.xml"/><Relationship Id="rId10" Type="http://schemas.openxmlformats.org/officeDocument/2006/relationships/image" Target="../media/image14.svg"/><Relationship Id="rId4" Type="http://schemas.openxmlformats.org/officeDocument/2006/relationships/chart" Target="../charts/chart22.xml"/><Relationship Id="rId9"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30480</xdr:rowOff>
    </xdr:from>
    <xdr:to>
      <xdr:col>13</xdr:col>
      <xdr:colOff>304800</xdr:colOff>
      <xdr:row>55</xdr:row>
      <xdr:rowOff>30480</xdr:rowOff>
    </xdr:to>
    <xdr:sp macro="" textlink="">
      <xdr:nvSpPr>
        <xdr:cNvPr id="2" name="Oval 1">
          <a:extLst>
            <a:ext uri="{FF2B5EF4-FFF2-40B4-BE49-F238E27FC236}">
              <a16:creationId xmlns:a16="http://schemas.microsoft.com/office/drawing/2014/main" id="{46E378D3-0FA9-4F09-8FC8-F7951B7C9BAF}"/>
            </a:ext>
          </a:extLst>
        </xdr:cNvPr>
        <xdr:cNvSpPr/>
      </xdr:nvSpPr>
      <xdr:spPr>
        <a:xfrm>
          <a:off x="0" y="1859280"/>
          <a:ext cx="8229600" cy="8229600"/>
        </a:xfrm>
        <a:prstGeom prst="ellipse">
          <a:avLst/>
        </a:prstGeom>
        <a:gradFill flip="none" rotWithShape="1">
          <a:gsLst>
            <a:gs pos="0">
              <a:srgbClr val="BCF5B8"/>
            </a:gs>
            <a:gs pos="100000">
              <a:srgbClr val="00C74D"/>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7620</xdr:colOff>
      <xdr:row>0</xdr:row>
      <xdr:rowOff>0</xdr:rowOff>
    </xdr:from>
    <xdr:to>
      <xdr:col>27</xdr:col>
      <xdr:colOff>312420</xdr:colOff>
      <xdr:row>35</xdr:row>
      <xdr:rowOff>0</xdr:rowOff>
    </xdr:to>
    <xdr:sp macro="" textlink="">
      <xdr:nvSpPr>
        <xdr:cNvPr id="3" name="Oval 2">
          <a:extLst>
            <a:ext uri="{FF2B5EF4-FFF2-40B4-BE49-F238E27FC236}">
              <a16:creationId xmlns:a16="http://schemas.microsoft.com/office/drawing/2014/main" id="{744F2BA6-69A9-4E9B-A3AD-2489E8085A69}"/>
            </a:ext>
          </a:extLst>
        </xdr:cNvPr>
        <xdr:cNvSpPr/>
      </xdr:nvSpPr>
      <xdr:spPr>
        <a:xfrm>
          <a:off x="10370820" y="0"/>
          <a:ext cx="6400800" cy="6400800"/>
        </a:xfrm>
        <a:prstGeom prst="ellipse">
          <a:avLst/>
        </a:prstGeom>
        <a:gradFill>
          <a:gsLst>
            <a:gs pos="0">
              <a:srgbClr val="CCBFFF"/>
            </a:gs>
            <a:gs pos="100000">
              <a:srgbClr val="9980FF"/>
            </a:gs>
          </a:gsLst>
          <a:path path="circle">
            <a:fillToRect l="100000" b="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320041</xdr:colOff>
      <xdr:row>6</xdr:row>
      <xdr:rowOff>121920</xdr:rowOff>
    </xdr:from>
    <xdr:to>
      <xdr:col>21</xdr:col>
      <xdr:colOff>441961</xdr:colOff>
      <xdr:row>44</xdr:row>
      <xdr:rowOff>30480</xdr:rowOff>
    </xdr:to>
    <xdr:sp macro="" textlink="">
      <xdr:nvSpPr>
        <xdr:cNvPr id="5" name="Rectangle: Rounded Corners 4">
          <a:extLst>
            <a:ext uri="{FF2B5EF4-FFF2-40B4-BE49-F238E27FC236}">
              <a16:creationId xmlns:a16="http://schemas.microsoft.com/office/drawing/2014/main" id="{811F3849-A41A-443D-9E81-C436A3679801}"/>
            </a:ext>
          </a:extLst>
        </xdr:cNvPr>
        <xdr:cNvSpPr/>
      </xdr:nvSpPr>
      <xdr:spPr>
        <a:xfrm>
          <a:off x="1539241" y="1219200"/>
          <a:ext cx="11704320" cy="6858000"/>
        </a:xfrm>
        <a:prstGeom prst="roundRect">
          <a:avLst>
            <a:gd name="adj" fmla="val 4569"/>
          </a:avLst>
        </a:prstGeom>
        <a:solidFill>
          <a:schemeClr val="bg1">
            <a:alpha val="58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236220</xdr:colOff>
      <xdr:row>12</xdr:row>
      <xdr:rowOff>22860</xdr:rowOff>
    </xdr:from>
    <xdr:to>
      <xdr:col>14</xdr:col>
      <xdr:colOff>388620</xdr:colOff>
      <xdr:row>30</xdr:row>
      <xdr:rowOff>22860</xdr:rowOff>
    </xdr:to>
    <xdr:sp macro="" textlink="">
      <xdr:nvSpPr>
        <xdr:cNvPr id="6" name="Rectangle: Rounded Corners 5">
          <a:extLst>
            <a:ext uri="{FF2B5EF4-FFF2-40B4-BE49-F238E27FC236}">
              <a16:creationId xmlns:a16="http://schemas.microsoft.com/office/drawing/2014/main" id="{D4456D36-D748-4C5E-A505-6041C9432770}"/>
            </a:ext>
          </a:extLst>
        </xdr:cNvPr>
        <xdr:cNvSpPr/>
      </xdr:nvSpPr>
      <xdr:spPr>
        <a:xfrm>
          <a:off x="2065020" y="2217420"/>
          <a:ext cx="6858000" cy="3291840"/>
        </a:xfrm>
        <a:prstGeom prst="roundRect">
          <a:avLst>
            <a:gd name="adj" fmla="val 5798"/>
          </a:avLst>
        </a:prstGeom>
        <a:solidFill>
          <a:srgbClr val="F7F9FA"/>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160020</xdr:colOff>
      <xdr:row>31</xdr:row>
      <xdr:rowOff>178958</xdr:rowOff>
    </xdr:from>
    <xdr:to>
      <xdr:col>14</xdr:col>
      <xdr:colOff>388620</xdr:colOff>
      <xdr:row>42</xdr:row>
      <xdr:rowOff>87518</xdr:rowOff>
    </xdr:to>
    <xdr:sp macro="" textlink="">
      <xdr:nvSpPr>
        <xdr:cNvPr id="8" name="Rectangle: Rounded Corners 7">
          <a:extLst>
            <a:ext uri="{FF2B5EF4-FFF2-40B4-BE49-F238E27FC236}">
              <a16:creationId xmlns:a16="http://schemas.microsoft.com/office/drawing/2014/main" id="{8EA9EA63-6605-8538-CAE6-5AC08A8CC7C7}"/>
            </a:ext>
          </a:extLst>
        </xdr:cNvPr>
        <xdr:cNvSpPr/>
      </xdr:nvSpPr>
      <xdr:spPr>
        <a:xfrm>
          <a:off x="6865620" y="5848238"/>
          <a:ext cx="2057400" cy="1920240"/>
        </a:xfrm>
        <a:prstGeom prst="roundRect">
          <a:avLst>
            <a:gd name="adj" fmla="val 9426"/>
          </a:avLst>
        </a:prstGeom>
        <a:solidFill>
          <a:srgbClr val="F7F9FA"/>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137160</xdr:colOff>
      <xdr:row>12</xdr:row>
      <xdr:rowOff>34177</xdr:rowOff>
    </xdr:from>
    <xdr:to>
      <xdr:col>20</xdr:col>
      <xdr:colOff>563880</xdr:colOff>
      <xdr:row>24</xdr:row>
      <xdr:rowOff>125617</xdr:rowOff>
    </xdr:to>
    <xdr:sp macro="" textlink="">
      <xdr:nvSpPr>
        <xdr:cNvPr id="9" name="Rectangle: Rounded Corners 8">
          <a:extLst>
            <a:ext uri="{FF2B5EF4-FFF2-40B4-BE49-F238E27FC236}">
              <a16:creationId xmlns:a16="http://schemas.microsoft.com/office/drawing/2014/main" id="{7551D892-6FCC-5ED8-480E-6718AA0B80BC}"/>
            </a:ext>
          </a:extLst>
        </xdr:cNvPr>
        <xdr:cNvSpPr/>
      </xdr:nvSpPr>
      <xdr:spPr>
        <a:xfrm>
          <a:off x="9281160" y="2228737"/>
          <a:ext cx="3474720" cy="2286000"/>
        </a:xfrm>
        <a:prstGeom prst="roundRect">
          <a:avLst>
            <a:gd name="adj" fmla="val 8426"/>
          </a:avLst>
        </a:prstGeom>
        <a:solidFill>
          <a:srgbClr val="F7F9FA"/>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137160</xdr:colOff>
      <xdr:row>26</xdr:row>
      <xdr:rowOff>87518</xdr:rowOff>
    </xdr:from>
    <xdr:to>
      <xdr:col>20</xdr:col>
      <xdr:colOff>563880</xdr:colOff>
      <xdr:row>42</xdr:row>
      <xdr:rowOff>87518</xdr:rowOff>
    </xdr:to>
    <xdr:sp macro="" textlink="">
      <xdr:nvSpPr>
        <xdr:cNvPr id="10" name="Rectangle: Rounded Corners 9">
          <a:extLst>
            <a:ext uri="{FF2B5EF4-FFF2-40B4-BE49-F238E27FC236}">
              <a16:creationId xmlns:a16="http://schemas.microsoft.com/office/drawing/2014/main" id="{EBE3CD5B-052F-96FD-94FE-7CB944C984B8}"/>
            </a:ext>
          </a:extLst>
        </xdr:cNvPr>
        <xdr:cNvSpPr/>
      </xdr:nvSpPr>
      <xdr:spPr>
        <a:xfrm>
          <a:off x="9281160" y="4842398"/>
          <a:ext cx="3474720" cy="2926080"/>
        </a:xfrm>
        <a:prstGeom prst="roundRect">
          <a:avLst>
            <a:gd name="adj" fmla="val 6561"/>
          </a:avLst>
        </a:prstGeom>
        <a:solidFill>
          <a:srgbClr val="F7F9FA"/>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236220</xdr:colOff>
      <xdr:row>31</xdr:row>
      <xdr:rowOff>178958</xdr:rowOff>
    </xdr:from>
    <xdr:to>
      <xdr:col>6</xdr:col>
      <xdr:colOff>464820</xdr:colOff>
      <xdr:row>42</xdr:row>
      <xdr:rowOff>87518</xdr:rowOff>
    </xdr:to>
    <xdr:sp macro="" textlink="">
      <xdr:nvSpPr>
        <xdr:cNvPr id="16" name="Rectangle: Rounded Corners 15">
          <a:extLst>
            <a:ext uri="{FF2B5EF4-FFF2-40B4-BE49-F238E27FC236}">
              <a16:creationId xmlns:a16="http://schemas.microsoft.com/office/drawing/2014/main" id="{1A700413-192D-1687-C8A4-B23E40992789}"/>
            </a:ext>
          </a:extLst>
        </xdr:cNvPr>
        <xdr:cNvSpPr/>
      </xdr:nvSpPr>
      <xdr:spPr>
        <a:xfrm>
          <a:off x="2065020" y="5848238"/>
          <a:ext cx="2057400" cy="1920240"/>
        </a:xfrm>
        <a:prstGeom prst="roundRect">
          <a:avLst>
            <a:gd name="adj" fmla="val 9426"/>
          </a:avLst>
        </a:prstGeom>
        <a:solidFill>
          <a:srgbClr val="F7F9FA"/>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198120</xdr:colOff>
      <xdr:row>31</xdr:row>
      <xdr:rowOff>178958</xdr:rowOff>
    </xdr:from>
    <xdr:to>
      <xdr:col>10</xdr:col>
      <xdr:colOff>426720</xdr:colOff>
      <xdr:row>42</xdr:row>
      <xdr:rowOff>87518</xdr:rowOff>
    </xdr:to>
    <xdr:sp macro="" textlink="">
      <xdr:nvSpPr>
        <xdr:cNvPr id="17" name="Rectangle: Rounded Corners 16">
          <a:extLst>
            <a:ext uri="{FF2B5EF4-FFF2-40B4-BE49-F238E27FC236}">
              <a16:creationId xmlns:a16="http://schemas.microsoft.com/office/drawing/2014/main" id="{90E3D259-1C92-EB7B-900F-4EA73D8F9234}"/>
            </a:ext>
          </a:extLst>
        </xdr:cNvPr>
        <xdr:cNvSpPr/>
      </xdr:nvSpPr>
      <xdr:spPr>
        <a:xfrm>
          <a:off x="4465320" y="5848238"/>
          <a:ext cx="2057400" cy="1920240"/>
        </a:xfrm>
        <a:prstGeom prst="roundRect">
          <a:avLst>
            <a:gd name="adj" fmla="val 9426"/>
          </a:avLst>
        </a:prstGeom>
        <a:solidFill>
          <a:srgbClr val="F7F9FA"/>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228600</xdr:colOff>
      <xdr:row>30</xdr:row>
      <xdr:rowOff>7620</xdr:rowOff>
    </xdr:from>
    <xdr:to>
      <xdr:col>19</xdr:col>
      <xdr:colOff>411480</xdr:colOff>
      <xdr:row>41</xdr:row>
      <xdr:rowOff>7620</xdr:rowOff>
    </xdr:to>
    <xdr:grpSp>
      <xdr:nvGrpSpPr>
        <xdr:cNvPr id="40" name="Group 39">
          <a:extLst>
            <a:ext uri="{FF2B5EF4-FFF2-40B4-BE49-F238E27FC236}">
              <a16:creationId xmlns:a16="http://schemas.microsoft.com/office/drawing/2014/main" id="{49D8079B-FAAE-9812-E089-4097125B6655}"/>
            </a:ext>
          </a:extLst>
        </xdr:cNvPr>
        <xdr:cNvGrpSpPr/>
      </xdr:nvGrpSpPr>
      <xdr:grpSpPr>
        <a:xfrm>
          <a:off x="9711267" y="5722620"/>
          <a:ext cx="1960880" cy="2095500"/>
          <a:chOff x="9982200" y="5394960"/>
          <a:chExt cx="2011680" cy="2011680"/>
        </a:xfrm>
      </xdr:grpSpPr>
      <xdr:sp macro="" textlink="">
        <xdr:nvSpPr>
          <xdr:cNvPr id="20" name="Oval 19">
            <a:extLst>
              <a:ext uri="{FF2B5EF4-FFF2-40B4-BE49-F238E27FC236}">
                <a16:creationId xmlns:a16="http://schemas.microsoft.com/office/drawing/2014/main" id="{50E1FF7F-C567-E680-4663-D4EB630CA85C}"/>
              </a:ext>
            </a:extLst>
          </xdr:cNvPr>
          <xdr:cNvSpPr/>
        </xdr:nvSpPr>
        <xdr:spPr>
          <a:xfrm>
            <a:off x="9982200" y="5394960"/>
            <a:ext cx="2011680" cy="2011680"/>
          </a:xfrm>
          <a:prstGeom prst="ellipse">
            <a:avLst/>
          </a:prstGeom>
          <a:solidFill>
            <a:srgbClr val="EFF3F5"/>
          </a:solidFill>
          <a:ln w="9525">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1" name="Oval 20">
            <a:extLst>
              <a:ext uri="{FF2B5EF4-FFF2-40B4-BE49-F238E27FC236}">
                <a16:creationId xmlns:a16="http://schemas.microsoft.com/office/drawing/2014/main" id="{D3FA1697-A927-EFDB-E0EC-1657F2E2D5EE}"/>
              </a:ext>
            </a:extLst>
          </xdr:cNvPr>
          <xdr:cNvSpPr/>
        </xdr:nvSpPr>
        <xdr:spPr>
          <a:xfrm>
            <a:off x="10210800" y="5615940"/>
            <a:ext cx="1554480" cy="1554480"/>
          </a:xfrm>
          <a:prstGeom prst="ellipse">
            <a:avLst/>
          </a:prstGeom>
          <a:solidFill>
            <a:srgbClr val="EFF3F5"/>
          </a:solidFill>
          <a:ln w="9525">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2" name="Oval 21">
            <a:extLst>
              <a:ext uri="{FF2B5EF4-FFF2-40B4-BE49-F238E27FC236}">
                <a16:creationId xmlns:a16="http://schemas.microsoft.com/office/drawing/2014/main" id="{3D737C07-0DBB-C0CF-3219-51231318B122}"/>
              </a:ext>
            </a:extLst>
          </xdr:cNvPr>
          <xdr:cNvSpPr/>
        </xdr:nvSpPr>
        <xdr:spPr>
          <a:xfrm>
            <a:off x="10485120" y="5890260"/>
            <a:ext cx="1005840" cy="1005840"/>
          </a:xfrm>
          <a:prstGeom prst="ellipse">
            <a:avLst/>
          </a:prstGeom>
          <a:solidFill>
            <a:srgbClr val="EFF3F5"/>
          </a:solidFill>
          <a:ln w="9525">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xnSp macro="">
        <xdr:nvCxnSpPr>
          <xdr:cNvPr id="24" name="Straight Connector 23">
            <a:extLst>
              <a:ext uri="{FF2B5EF4-FFF2-40B4-BE49-F238E27FC236}">
                <a16:creationId xmlns:a16="http://schemas.microsoft.com/office/drawing/2014/main" id="{D8F035E2-070A-5699-69F7-D09F8849DEF5}"/>
              </a:ext>
            </a:extLst>
          </xdr:cNvPr>
          <xdr:cNvCxnSpPr/>
        </xdr:nvCxnSpPr>
        <xdr:spPr>
          <a:xfrm>
            <a:off x="10988040" y="5402580"/>
            <a:ext cx="0" cy="1005840"/>
          </a:xfrm>
          <a:prstGeom prst="line">
            <a:avLst/>
          </a:prstGeom>
          <a:ln w="9525">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C0CD473D-D0D4-A914-9813-90AF5F16FAB5}"/>
              </a:ext>
            </a:extLst>
          </xdr:cNvPr>
          <xdr:cNvCxnSpPr/>
        </xdr:nvCxnSpPr>
        <xdr:spPr>
          <a:xfrm rot="4320000">
            <a:off x="11484119" y="5774256"/>
            <a:ext cx="0" cy="1005840"/>
          </a:xfrm>
          <a:prstGeom prst="line">
            <a:avLst/>
          </a:prstGeom>
          <a:ln w="9525">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26" name="Straight Connector 25">
            <a:extLst>
              <a:ext uri="{FF2B5EF4-FFF2-40B4-BE49-F238E27FC236}">
                <a16:creationId xmlns:a16="http://schemas.microsoft.com/office/drawing/2014/main" id="{75832265-485C-049F-E78C-B11424ED871A}"/>
              </a:ext>
            </a:extLst>
          </xdr:cNvPr>
          <xdr:cNvCxnSpPr/>
        </xdr:nvCxnSpPr>
        <xdr:spPr>
          <a:xfrm rot="8640000">
            <a:off x="11264163" y="6313726"/>
            <a:ext cx="0" cy="1005840"/>
          </a:xfrm>
          <a:prstGeom prst="line">
            <a:avLst/>
          </a:prstGeom>
          <a:ln w="9525">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27" name="Straight Connector 26">
            <a:extLst>
              <a:ext uri="{FF2B5EF4-FFF2-40B4-BE49-F238E27FC236}">
                <a16:creationId xmlns:a16="http://schemas.microsoft.com/office/drawing/2014/main" id="{44DF3045-AEE2-AEE0-1E45-7FFA8C443888}"/>
              </a:ext>
            </a:extLst>
          </xdr:cNvPr>
          <xdr:cNvCxnSpPr/>
        </xdr:nvCxnSpPr>
        <xdr:spPr>
          <a:xfrm rot="12960000">
            <a:off x="10721394" y="6307613"/>
            <a:ext cx="0" cy="1005840"/>
          </a:xfrm>
          <a:prstGeom prst="line">
            <a:avLst/>
          </a:prstGeom>
          <a:ln w="9525">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29" name="Straight Connector 28">
            <a:extLst>
              <a:ext uri="{FF2B5EF4-FFF2-40B4-BE49-F238E27FC236}">
                <a16:creationId xmlns:a16="http://schemas.microsoft.com/office/drawing/2014/main" id="{BFC4B68B-38BA-6078-5737-B957E3AD7BC7}"/>
              </a:ext>
            </a:extLst>
          </xdr:cNvPr>
          <xdr:cNvCxnSpPr/>
        </xdr:nvCxnSpPr>
        <xdr:spPr>
          <a:xfrm rot="17280000">
            <a:off x="10501139" y="5774256"/>
            <a:ext cx="0" cy="1005840"/>
          </a:xfrm>
          <a:prstGeom prst="line">
            <a:avLst/>
          </a:prstGeom>
          <a:ln w="9525">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15</xdr:col>
      <xdr:colOff>365760</xdr:colOff>
      <xdr:row>28</xdr:row>
      <xdr:rowOff>68009</xdr:rowOff>
    </xdr:from>
    <xdr:to>
      <xdr:col>20</xdr:col>
      <xdr:colOff>281940</xdr:colOff>
      <xdr:row>43</xdr:row>
      <xdr:rowOff>19622</xdr:rowOff>
    </xdr:to>
    <xdr:graphicFrame macro="">
      <xdr:nvGraphicFramePr>
        <xdr:cNvPr id="19" name="Chart 18">
          <a:extLst>
            <a:ext uri="{FF2B5EF4-FFF2-40B4-BE49-F238E27FC236}">
              <a16:creationId xmlns:a16="http://schemas.microsoft.com/office/drawing/2014/main" id="{67868134-B4DE-4CF3-8FD3-51266FB94C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358140</xdr:colOff>
      <xdr:row>14</xdr:row>
      <xdr:rowOff>53340</xdr:rowOff>
    </xdr:from>
    <xdr:to>
      <xdr:col>14</xdr:col>
      <xdr:colOff>327660</xdr:colOff>
      <xdr:row>29</xdr:row>
      <xdr:rowOff>53340</xdr:rowOff>
    </xdr:to>
    <xdr:graphicFrame macro="">
      <xdr:nvGraphicFramePr>
        <xdr:cNvPr id="18" name="Chart 17">
          <a:extLst>
            <a:ext uri="{FF2B5EF4-FFF2-40B4-BE49-F238E27FC236}">
              <a16:creationId xmlns:a16="http://schemas.microsoft.com/office/drawing/2014/main" id="{F1494C63-43F2-4D7D-B402-8534112C1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217170</xdr:colOff>
      <xdr:row>13</xdr:row>
      <xdr:rowOff>83820</xdr:rowOff>
    </xdr:from>
    <xdr:to>
      <xdr:col>20</xdr:col>
      <xdr:colOff>483870</xdr:colOff>
      <xdr:row>24</xdr:row>
      <xdr:rowOff>38100</xdr:rowOff>
    </xdr:to>
    <xdr:graphicFrame macro="">
      <xdr:nvGraphicFramePr>
        <xdr:cNvPr id="31" name="Chart 30">
          <a:extLst>
            <a:ext uri="{FF2B5EF4-FFF2-40B4-BE49-F238E27FC236}">
              <a16:creationId xmlns:a16="http://schemas.microsoft.com/office/drawing/2014/main" id="{0F34E39A-0274-499E-ADA9-FFD34C407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251460</xdr:colOff>
      <xdr:row>31</xdr:row>
      <xdr:rowOff>144780</xdr:rowOff>
    </xdr:from>
    <xdr:to>
      <xdr:col>6</xdr:col>
      <xdr:colOff>434340</xdr:colOff>
      <xdr:row>42</xdr:row>
      <xdr:rowOff>144780</xdr:rowOff>
    </xdr:to>
    <xdr:graphicFrame macro="">
      <xdr:nvGraphicFramePr>
        <xdr:cNvPr id="32" name="Chart 31">
          <a:extLst>
            <a:ext uri="{FF2B5EF4-FFF2-40B4-BE49-F238E27FC236}">
              <a16:creationId xmlns:a16="http://schemas.microsoft.com/office/drawing/2014/main" id="{FB02A3E1-1B9F-4671-AABA-B7107F19B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213360</xdr:colOff>
      <xdr:row>31</xdr:row>
      <xdr:rowOff>152400</xdr:rowOff>
    </xdr:from>
    <xdr:to>
      <xdr:col>10</xdr:col>
      <xdr:colOff>396240</xdr:colOff>
      <xdr:row>42</xdr:row>
      <xdr:rowOff>152400</xdr:rowOff>
    </xdr:to>
    <xdr:graphicFrame macro="">
      <xdr:nvGraphicFramePr>
        <xdr:cNvPr id="33" name="Chart 32">
          <a:extLst>
            <a:ext uri="{FF2B5EF4-FFF2-40B4-BE49-F238E27FC236}">
              <a16:creationId xmlns:a16="http://schemas.microsoft.com/office/drawing/2014/main" id="{8CBE38D1-D3DE-471F-B924-17CD1CDE1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198120</xdr:colOff>
      <xdr:row>31</xdr:row>
      <xdr:rowOff>152400</xdr:rowOff>
    </xdr:from>
    <xdr:to>
      <xdr:col>14</xdr:col>
      <xdr:colOff>381000</xdr:colOff>
      <xdr:row>42</xdr:row>
      <xdr:rowOff>152400</xdr:rowOff>
    </xdr:to>
    <xdr:graphicFrame macro="">
      <xdr:nvGraphicFramePr>
        <xdr:cNvPr id="34" name="Chart 33">
          <a:extLst>
            <a:ext uri="{FF2B5EF4-FFF2-40B4-BE49-F238E27FC236}">
              <a16:creationId xmlns:a16="http://schemas.microsoft.com/office/drawing/2014/main" id="{7A965BBF-6527-4A10-A37F-285DC6587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144666</xdr:colOff>
      <xdr:row>12</xdr:row>
      <xdr:rowOff>140970</xdr:rowOff>
    </xdr:from>
    <xdr:to>
      <xdr:col>6</xdr:col>
      <xdr:colOff>243955</xdr:colOff>
      <xdr:row>14</xdr:row>
      <xdr:rowOff>41910</xdr:rowOff>
    </xdr:to>
    <xdr:sp macro="" textlink="Processing!A1">
      <xdr:nvSpPr>
        <xdr:cNvPr id="35" name="TextBox 34">
          <a:extLst>
            <a:ext uri="{FF2B5EF4-FFF2-40B4-BE49-F238E27FC236}">
              <a16:creationId xmlns:a16="http://schemas.microsoft.com/office/drawing/2014/main" id="{0CEE3F7A-5B39-E08A-5FA4-C80600419940}"/>
            </a:ext>
          </a:extLst>
        </xdr:cNvPr>
        <xdr:cNvSpPr txBox="1"/>
      </xdr:nvSpPr>
      <xdr:spPr>
        <a:xfrm>
          <a:off x="2583066" y="2335530"/>
          <a:ext cx="131848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0B17464-F724-45C6-AA41-864636BEA434}" type="TxLink">
            <a:rPr lang="en-US" sz="1200" b="0" i="0" u="none" strike="noStrike">
              <a:solidFill>
                <a:schemeClr val="tx1"/>
              </a:solidFill>
              <a:latin typeface="Aptos Narrow"/>
            </a:rPr>
            <a:pPr/>
            <a:t>Customer  Activity</a:t>
          </a:fld>
          <a:endParaRPr lang="ru-RU" sz="1200">
            <a:solidFill>
              <a:schemeClr val="tx1"/>
            </a:solidFill>
          </a:endParaRPr>
        </a:p>
      </xdr:txBody>
    </xdr:sp>
    <xdr:clientData/>
  </xdr:twoCellAnchor>
  <xdr:twoCellAnchor>
    <xdr:from>
      <xdr:col>7</xdr:col>
      <xdr:colOff>55881</xdr:colOff>
      <xdr:row>12</xdr:row>
      <xdr:rowOff>140970</xdr:rowOff>
    </xdr:from>
    <xdr:to>
      <xdr:col>9</xdr:col>
      <xdr:colOff>287019</xdr:colOff>
      <xdr:row>14</xdr:row>
      <xdr:rowOff>41910</xdr:rowOff>
    </xdr:to>
    <xdr:sp macro="" textlink="Processing!B1">
      <xdr:nvSpPr>
        <xdr:cNvPr id="36" name="TextBox 35">
          <a:extLst>
            <a:ext uri="{FF2B5EF4-FFF2-40B4-BE49-F238E27FC236}">
              <a16:creationId xmlns:a16="http://schemas.microsoft.com/office/drawing/2014/main" id="{AE5C5AC5-C578-AB9D-BCD3-811EDEB62C56}"/>
            </a:ext>
          </a:extLst>
        </xdr:cNvPr>
        <xdr:cNvSpPr txBox="1"/>
      </xdr:nvSpPr>
      <xdr:spPr>
        <a:xfrm>
          <a:off x="4323081" y="2335530"/>
          <a:ext cx="145033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54CF289-24FB-4228-9337-E121CA8B32B4}" type="TxLink">
            <a:rPr lang="en-US" sz="1200" b="0" i="0" u="none" strike="noStrike">
              <a:solidFill>
                <a:schemeClr val="tx1"/>
              </a:solidFill>
              <a:latin typeface="Aptos Narrow"/>
              <a:ea typeface="+mn-ea"/>
              <a:cs typeface="+mn-cs"/>
            </a:rPr>
            <a:pPr marL="0" indent="0"/>
            <a:t>Active Client Count</a:t>
          </a:fld>
          <a:endParaRPr lang="ru-RU" sz="1200" b="0" i="0" u="none" strike="noStrike">
            <a:solidFill>
              <a:schemeClr val="tx1"/>
            </a:solidFill>
            <a:latin typeface="Aptos Narrow"/>
            <a:ea typeface="+mn-ea"/>
            <a:cs typeface="+mn-cs"/>
          </a:endParaRPr>
        </a:p>
      </xdr:txBody>
    </xdr:sp>
    <xdr:clientData/>
  </xdr:twoCellAnchor>
  <xdr:twoCellAnchor>
    <xdr:from>
      <xdr:col>10</xdr:col>
      <xdr:colOff>279273</xdr:colOff>
      <xdr:row>12</xdr:row>
      <xdr:rowOff>140970</xdr:rowOff>
    </xdr:from>
    <xdr:to>
      <xdr:col>13</xdr:col>
      <xdr:colOff>17907</xdr:colOff>
      <xdr:row>14</xdr:row>
      <xdr:rowOff>41910</xdr:rowOff>
    </xdr:to>
    <xdr:sp macro="" textlink="Processing!C1">
      <xdr:nvSpPr>
        <xdr:cNvPr id="37" name="TextBox 36">
          <a:extLst>
            <a:ext uri="{FF2B5EF4-FFF2-40B4-BE49-F238E27FC236}">
              <a16:creationId xmlns:a16="http://schemas.microsoft.com/office/drawing/2014/main" id="{6C4D2F63-7EA8-93CF-DFD1-30E14590F962}"/>
            </a:ext>
          </a:extLst>
        </xdr:cNvPr>
        <xdr:cNvSpPr txBox="1"/>
      </xdr:nvSpPr>
      <xdr:spPr>
        <a:xfrm>
          <a:off x="6375273" y="2335530"/>
          <a:ext cx="156743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EE49D195-6170-4E5F-9E94-AF4A9626C4C6}" type="TxLink">
            <a:rPr lang="en-US" sz="1200" b="0" i="0" u="none" strike="noStrike">
              <a:solidFill>
                <a:schemeClr val="tx1"/>
              </a:solidFill>
              <a:latin typeface="Aptos Narrow"/>
              <a:ea typeface="+mn-ea"/>
              <a:cs typeface="+mn-cs"/>
            </a:rPr>
            <a:pPr marL="0" indent="0"/>
            <a:t>Average Client Count</a:t>
          </a:fld>
          <a:endParaRPr lang="ru-RU" sz="1200" b="0" i="0" u="none" strike="noStrike">
            <a:solidFill>
              <a:schemeClr val="tx1"/>
            </a:solidFill>
            <a:latin typeface="Aptos Narrow"/>
            <a:ea typeface="+mn-ea"/>
            <a:cs typeface="+mn-cs"/>
          </a:endParaRPr>
        </a:p>
      </xdr:txBody>
    </xdr:sp>
    <xdr:clientData/>
  </xdr:twoCellAnchor>
  <xdr:twoCellAnchor>
    <xdr:from>
      <xdr:col>9</xdr:col>
      <xdr:colOff>137160</xdr:colOff>
      <xdr:row>12</xdr:row>
      <xdr:rowOff>140970</xdr:rowOff>
    </xdr:from>
    <xdr:to>
      <xdr:col>11</xdr:col>
      <xdr:colOff>7620</xdr:colOff>
      <xdr:row>14</xdr:row>
      <xdr:rowOff>41910</xdr:rowOff>
    </xdr:to>
    <xdr:sp macro="" textlink="Processing!D14">
      <xdr:nvSpPr>
        <xdr:cNvPr id="38" name="TextBox 37">
          <a:extLst>
            <a:ext uri="{FF2B5EF4-FFF2-40B4-BE49-F238E27FC236}">
              <a16:creationId xmlns:a16="http://schemas.microsoft.com/office/drawing/2014/main" id="{F269FD24-F962-9284-A6D4-18378970DEB7}"/>
            </a:ext>
          </a:extLst>
        </xdr:cNvPr>
        <xdr:cNvSpPr txBox="1"/>
      </xdr:nvSpPr>
      <xdr:spPr>
        <a:xfrm>
          <a:off x="5623560" y="2335530"/>
          <a:ext cx="10896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AED8427-F27F-4D4F-BF91-B039E2F7942F}" type="TxLink">
            <a:rPr lang="en-US" sz="1400" b="0" i="0" u="none" strike="noStrike">
              <a:solidFill>
                <a:srgbClr val="00C74D"/>
              </a:solidFill>
              <a:latin typeface="Aptos Narrow"/>
              <a:ea typeface="+mn-ea"/>
              <a:cs typeface="+mn-cs"/>
            </a:rPr>
            <a:pPr marL="0" indent="0"/>
            <a:t>  612</a:t>
          </a:fld>
          <a:endParaRPr lang="ru-RU" sz="1600" b="0" i="0" u="none" strike="noStrike">
            <a:solidFill>
              <a:srgbClr val="00C74D"/>
            </a:solidFill>
            <a:latin typeface="Aptos Narrow"/>
            <a:ea typeface="+mn-ea"/>
            <a:cs typeface="+mn-cs"/>
          </a:endParaRPr>
        </a:p>
      </xdr:txBody>
    </xdr:sp>
    <xdr:clientData/>
  </xdr:twoCellAnchor>
  <xdr:twoCellAnchor>
    <xdr:from>
      <xdr:col>12</xdr:col>
      <xdr:colOff>472440</xdr:colOff>
      <xdr:row>12</xdr:row>
      <xdr:rowOff>140970</xdr:rowOff>
    </xdr:from>
    <xdr:to>
      <xdr:col>14</xdr:col>
      <xdr:colOff>342900</xdr:colOff>
      <xdr:row>14</xdr:row>
      <xdr:rowOff>41910</xdr:rowOff>
    </xdr:to>
    <xdr:sp macro="" textlink="Processing!E14">
      <xdr:nvSpPr>
        <xdr:cNvPr id="39" name="TextBox 38">
          <a:extLst>
            <a:ext uri="{FF2B5EF4-FFF2-40B4-BE49-F238E27FC236}">
              <a16:creationId xmlns:a16="http://schemas.microsoft.com/office/drawing/2014/main" id="{BD3C3C52-B4A6-92E5-855C-4650AC421E60}"/>
            </a:ext>
          </a:extLst>
        </xdr:cNvPr>
        <xdr:cNvSpPr txBox="1"/>
      </xdr:nvSpPr>
      <xdr:spPr>
        <a:xfrm>
          <a:off x="7787640" y="2335530"/>
          <a:ext cx="10896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1DA4AAFD-6EAD-4E52-8AB6-D92EF04C1B76}" type="TxLink">
            <a:rPr lang="en-US" sz="1400" b="0" i="0" u="none" strike="noStrike">
              <a:solidFill>
                <a:srgbClr val="9980FF"/>
              </a:solidFill>
              <a:latin typeface="Aptos Narrow"/>
              <a:ea typeface="+mn-ea"/>
              <a:cs typeface="+mn-cs"/>
            </a:rPr>
            <a:pPr marL="0" indent="0"/>
            <a:t>  520</a:t>
          </a:fld>
          <a:endParaRPr lang="ru-RU" sz="1400" b="0" i="0" u="none" strike="noStrike">
            <a:solidFill>
              <a:srgbClr val="9980FF"/>
            </a:solidFill>
            <a:latin typeface="Aptos Narrow"/>
            <a:ea typeface="+mn-ea"/>
            <a:cs typeface="+mn-cs"/>
          </a:endParaRPr>
        </a:p>
      </xdr:txBody>
    </xdr:sp>
    <xdr:clientData/>
  </xdr:twoCellAnchor>
  <xdr:twoCellAnchor>
    <xdr:from>
      <xdr:col>15</xdr:col>
      <xdr:colOff>403747</xdr:colOff>
      <xdr:row>12</xdr:row>
      <xdr:rowOff>140970</xdr:rowOff>
    </xdr:from>
    <xdr:to>
      <xdr:col>17</xdr:col>
      <xdr:colOff>121921</xdr:colOff>
      <xdr:row>14</xdr:row>
      <xdr:rowOff>41910</xdr:rowOff>
    </xdr:to>
    <xdr:sp macro="" textlink="Processing!G1">
      <xdr:nvSpPr>
        <xdr:cNvPr id="41" name="TextBox 40">
          <a:extLst>
            <a:ext uri="{FF2B5EF4-FFF2-40B4-BE49-F238E27FC236}">
              <a16:creationId xmlns:a16="http://schemas.microsoft.com/office/drawing/2014/main" id="{24F463A5-C8FE-02CD-91A6-F6A2F89EBE47}"/>
            </a:ext>
          </a:extLst>
        </xdr:cNvPr>
        <xdr:cNvSpPr txBox="1"/>
      </xdr:nvSpPr>
      <xdr:spPr>
        <a:xfrm>
          <a:off x="9547747" y="2335530"/>
          <a:ext cx="93737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1E735F4-340E-414D-B53B-33CBE80BD3B0}" type="TxLink">
            <a:rPr lang="en-US" sz="1100" b="0" i="0" u="none" strike="noStrike">
              <a:solidFill>
                <a:schemeClr val="tx1"/>
              </a:solidFill>
              <a:latin typeface="Aptos Narrow"/>
            </a:rPr>
            <a:pPr/>
            <a:t>New Clients</a:t>
          </a:fld>
          <a:endParaRPr lang="ru-RU" sz="1200">
            <a:solidFill>
              <a:schemeClr val="tx1"/>
            </a:solidFill>
          </a:endParaRPr>
        </a:p>
      </xdr:txBody>
    </xdr:sp>
    <xdr:clientData/>
  </xdr:twoCellAnchor>
  <xdr:twoCellAnchor>
    <xdr:from>
      <xdr:col>18</xdr:col>
      <xdr:colOff>29219</xdr:colOff>
      <xdr:row>12</xdr:row>
      <xdr:rowOff>140970</xdr:rowOff>
    </xdr:from>
    <xdr:to>
      <xdr:col>19</xdr:col>
      <xdr:colOff>450730</xdr:colOff>
      <xdr:row>14</xdr:row>
      <xdr:rowOff>41910</xdr:rowOff>
    </xdr:to>
    <xdr:sp macro="" textlink="Processing!H1">
      <xdr:nvSpPr>
        <xdr:cNvPr id="42" name="TextBox 41">
          <a:extLst>
            <a:ext uri="{FF2B5EF4-FFF2-40B4-BE49-F238E27FC236}">
              <a16:creationId xmlns:a16="http://schemas.microsoft.com/office/drawing/2014/main" id="{08581C71-3248-F920-E5DD-A7128153C792}"/>
            </a:ext>
          </a:extLst>
        </xdr:cNvPr>
        <xdr:cNvSpPr txBox="1"/>
      </xdr:nvSpPr>
      <xdr:spPr>
        <a:xfrm>
          <a:off x="11002019" y="2335530"/>
          <a:ext cx="103111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7AC2B0D-1DD9-487C-846D-C921B909002D}" type="TxLink">
            <a:rPr lang="en-US" sz="1100" b="0" i="0" u="none" strike="noStrike">
              <a:solidFill>
                <a:schemeClr val="tx1"/>
              </a:solidFill>
              <a:latin typeface="Aptos Narrow"/>
            </a:rPr>
            <a:pPr/>
            <a:t>Regular Clients</a:t>
          </a:fld>
          <a:endParaRPr lang="ru-RU" sz="1200">
            <a:solidFill>
              <a:schemeClr val="tx1"/>
            </a:solidFill>
          </a:endParaRPr>
        </a:p>
      </xdr:txBody>
    </xdr:sp>
    <xdr:clientData/>
  </xdr:twoCellAnchor>
  <xdr:twoCellAnchor>
    <xdr:from>
      <xdr:col>16</xdr:col>
      <xdr:colOff>571387</xdr:colOff>
      <xdr:row>12</xdr:row>
      <xdr:rowOff>140970</xdr:rowOff>
    </xdr:from>
    <xdr:to>
      <xdr:col>18</xdr:col>
      <xdr:colOff>30480</xdr:colOff>
      <xdr:row>14</xdr:row>
      <xdr:rowOff>41910</xdr:rowOff>
    </xdr:to>
    <xdr:sp macro="" textlink="Processing!L14">
      <xdr:nvSpPr>
        <xdr:cNvPr id="43" name="TextBox 42">
          <a:extLst>
            <a:ext uri="{FF2B5EF4-FFF2-40B4-BE49-F238E27FC236}">
              <a16:creationId xmlns:a16="http://schemas.microsoft.com/office/drawing/2014/main" id="{0297A014-9A8D-C49C-F8F7-F23D627C6960}"/>
            </a:ext>
          </a:extLst>
        </xdr:cNvPr>
        <xdr:cNvSpPr txBox="1"/>
      </xdr:nvSpPr>
      <xdr:spPr>
        <a:xfrm>
          <a:off x="10324987" y="2335530"/>
          <a:ext cx="678293"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EF92DEC-6068-4106-A0D1-42DDEBA2897F}" type="TxLink">
            <a:rPr lang="en-US" sz="1100" b="0" i="0" u="none" strike="noStrike">
              <a:solidFill>
                <a:srgbClr val="00C74D"/>
              </a:solidFill>
              <a:latin typeface="Aptos Narrow"/>
            </a:rPr>
            <a:pPr/>
            <a:t>  740</a:t>
          </a:fld>
          <a:endParaRPr lang="ru-RU" sz="1200">
            <a:solidFill>
              <a:srgbClr val="00C74D"/>
            </a:solidFill>
          </a:endParaRPr>
        </a:p>
      </xdr:txBody>
    </xdr:sp>
    <xdr:clientData/>
  </xdr:twoCellAnchor>
  <xdr:twoCellAnchor>
    <xdr:from>
      <xdr:col>19</xdr:col>
      <xdr:colOff>350407</xdr:colOff>
      <xdr:row>12</xdr:row>
      <xdr:rowOff>140970</xdr:rowOff>
    </xdr:from>
    <xdr:to>
      <xdr:col>20</xdr:col>
      <xdr:colOff>419100</xdr:colOff>
      <xdr:row>14</xdr:row>
      <xdr:rowOff>41910</xdr:rowOff>
    </xdr:to>
    <xdr:sp macro="" textlink="Processing!K14">
      <xdr:nvSpPr>
        <xdr:cNvPr id="44" name="TextBox 43">
          <a:extLst>
            <a:ext uri="{FF2B5EF4-FFF2-40B4-BE49-F238E27FC236}">
              <a16:creationId xmlns:a16="http://schemas.microsoft.com/office/drawing/2014/main" id="{59932A43-C6A2-1BDE-1648-B08F3D488863}"/>
            </a:ext>
          </a:extLst>
        </xdr:cNvPr>
        <xdr:cNvSpPr txBox="1"/>
      </xdr:nvSpPr>
      <xdr:spPr>
        <a:xfrm>
          <a:off x="11932807" y="2335530"/>
          <a:ext cx="678293"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D99E77C-E9F2-4B9B-906D-8707B4502D74}" type="TxLink">
            <a:rPr lang="en-US" sz="1100" b="0" i="0" u="none" strike="noStrike">
              <a:solidFill>
                <a:srgbClr val="9980FF"/>
              </a:solidFill>
              <a:latin typeface="Aptos Narrow"/>
            </a:rPr>
            <a:pPr/>
            <a:t>  907</a:t>
          </a:fld>
          <a:endParaRPr lang="ru-RU" sz="1200">
            <a:solidFill>
              <a:srgbClr val="9980FF"/>
            </a:solidFill>
          </a:endParaRPr>
        </a:p>
      </xdr:txBody>
    </xdr:sp>
    <xdr:clientData/>
  </xdr:twoCellAnchor>
  <xdr:twoCellAnchor>
    <xdr:from>
      <xdr:col>15</xdr:col>
      <xdr:colOff>403747</xdr:colOff>
      <xdr:row>27</xdr:row>
      <xdr:rowOff>11430</xdr:rowOff>
    </xdr:from>
    <xdr:to>
      <xdr:col>17</xdr:col>
      <xdr:colOff>281827</xdr:colOff>
      <xdr:row>28</xdr:row>
      <xdr:rowOff>95250</xdr:rowOff>
    </xdr:to>
    <xdr:sp macro="" textlink="Processing!P1">
      <xdr:nvSpPr>
        <xdr:cNvPr id="45" name="TextBox 44">
          <a:extLst>
            <a:ext uri="{FF2B5EF4-FFF2-40B4-BE49-F238E27FC236}">
              <a16:creationId xmlns:a16="http://schemas.microsoft.com/office/drawing/2014/main" id="{1BA351B8-71B2-8960-6E87-FDCBE2152678}"/>
            </a:ext>
          </a:extLst>
        </xdr:cNvPr>
        <xdr:cNvSpPr txBox="1"/>
      </xdr:nvSpPr>
      <xdr:spPr>
        <a:xfrm>
          <a:off x="9547747" y="4949190"/>
          <a:ext cx="10972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58C3385-998E-4BA5-B58F-7B8B9C599941}" type="TxLink">
            <a:rPr lang="en-US" sz="1200" b="0" i="0" u="none" strike="noStrike">
              <a:solidFill>
                <a:srgbClr val="000000"/>
              </a:solidFill>
              <a:latin typeface="Aptos Narrow"/>
            </a:rPr>
            <a:pPr/>
            <a:t>Points of Sale</a:t>
          </a:fld>
          <a:endParaRPr lang="ru-RU" sz="1400">
            <a:solidFill>
              <a:schemeClr val="bg1">
                <a:lumMod val="50000"/>
              </a:schemeClr>
            </a:solidFill>
          </a:endParaRPr>
        </a:p>
      </xdr:txBody>
    </xdr:sp>
    <xdr:clientData/>
  </xdr:twoCellAnchor>
  <xdr:twoCellAnchor>
    <xdr:from>
      <xdr:col>19</xdr:col>
      <xdr:colOff>198119</xdr:colOff>
      <xdr:row>28</xdr:row>
      <xdr:rowOff>64770</xdr:rowOff>
    </xdr:from>
    <xdr:to>
      <xdr:col>20</xdr:col>
      <xdr:colOff>190500</xdr:colOff>
      <xdr:row>29</xdr:row>
      <xdr:rowOff>148590</xdr:rowOff>
    </xdr:to>
    <xdr:sp macro="" textlink="Processing!Q1">
      <xdr:nvSpPr>
        <xdr:cNvPr id="46" name="TextBox 45">
          <a:extLst>
            <a:ext uri="{FF2B5EF4-FFF2-40B4-BE49-F238E27FC236}">
              <a16:creationId xmlns:a16="http://schemas.microsoft.com/office/drawing/2014/main" id="{1108F84E-834B-8B6A-8487-91CDDC552C5E}"/>
            </a:ext>
          </a:extLst>
        </xdr:cNvPr>
        <xdr:cNvSpPr txBox="1"/>
      </xdr:nvSpPr>
      <xdr:spPr>
        <a:xfrm>
          <a:off x="11780519" y="5185410"/>
          <a:ext cx="60198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5A41D10-062A-4CDE-857C-AD8D6EE481B3}" type="TxLink">
            <a:rPr lang="en-US" sz="1100" b="0" i="0" u="none" strike="noStrike">
              <a:solidFill>
                <a:srgbClr val="000000"/>
              </a:solidFill>
              <a:latin typeface="Aptos Narrow"/>
            </a:rPr>
            <a:pPr algn="r"/>
            <a:t>KPI</a:t>
          </a:fld>
          <a:endParaRPr lang="ru-RU" sz="1200">
            <a:solidFill>
              <a:schemeClr val="bg1">
                <a:lumMod val="50000"/>
              </a:schemeClr>
            </a:solidFill>
          </a:endParaRPr>
        </a:p>
      </xdr:txBody>
    </xdr:sp>
    <xdr:clientData/>
  </xdr:twoCellAnchor>
  <xdr:twoCellAnchor>
    <xdr:from>
      <xdr:col>19</xdr:col>
      <xdr:colOff>198119</xdr:colOff>
      <xdr:row>27</xdr:row>
      <xdr:rowOff>3810</xdr:rowOff>
    </xdr:from>
    <xdr:to>
      <xdr:col>20</xdr:col>
      <xdr:colOff>190500</xdr:colOff>
      <xdr:row>28</xdr:row>
      <xdr:rowOff>87630</xdr:rowOff>
    </xdr:to>
    <xdr:sp macro="" textlink="Processing!R1">
      <xdr:nvSpPr>
        <xdr:cNvPr id="47" name="TextBox 46">
          <a:extLst>
            <a:ext uri="{FF2B5EF4-FFF2-40B4-BE49-F238E27FC236}">
              <a16:creationId xmlns:a16="http://schemas.microsoft.com/office/drawing/2014/main" id="{A18B8A50-0D32-D231-1C24-5B673E765415}"/>
            </a:ext>
          </a:extLst>
        </xdr:cNvPr>
        <xdr:cNvSpPr txBox="1"/>
      </xdr:nvSpPr>
      <xdr:spPr>
        <a:xfrm>
          <a:off x="11780519" y="4941570"/>
          <a:ext cx="60198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9B409F6-96B7-498F-AA21-D52E6DD2F029}" type="TxLink">
            <a:rPr lang="en-US" sz="1200" b="0" i="0" u="none" strike="noStrike">
              <a:solidFill>
                <a:srgbClr val="000000"/>
              </a:solidFill>
              <a:latin typeface="Aptos Narrow"/>
            </a:rPr>
            <a:pPr algn="r"/>
            <a:t>Cost</a:t>
          </a:fld>
          <a:endParaRPr lang="ru-RU" sz="1400">
            <a:solidFill>
              <a:schemeClr val="bg1">
                <a:lumMod val="50000"/>
              </a:schemeClr>
            </a:solidFill>
          </a:endParaRPr>
        </a:p>
      </xdr:txBody>
    </xdr:sp>
    <xdr:clientData/>
  </xdr:twoCellAnchor>
  <xdr:twoCellAnchor>
    <xdr:from>
      <xdr:col>20</xdr:col>
      <xdr:colOff>213360</xdr:colOff>
      <xdr:row>27</xdr:row>
      <xdr:rowOff>68580</xdr:rowOff>
    </xdr:from>
    <xdr:to>
      <xdr:col>20</xdr:col>
      <xdr:colOff>350520</xdr:colOff>
      <xdr:row>28</xdr:row>
      <xdr:rowOff>22860</xdr:rowOff>
    </xdr:to>
    <xdr:sp macro="" textlink="">
      <xdr:nvSpPr>
        <xdr:cNvPr id="50" name="Oval 49">
          <a:extLst>
            <a:ext uri="{FF2B5EF4-FFF2-40B4-BE49-F238E27FC236}">
              <a16:creationId xmlns:a16="http://schemas.microsoft.com/office/drawing/2014/main" id="{8C254C4E-D1F5-7053-66E7-4D72DD28EC91}"/>
            </a:ext>
          </a:extLst>
        </xdr:cNvPr>
        <xdr:cNvSpPr/>
      </xdr:nvSpPr>
      <xdr:spPr>
        <a:xfrm>
          <a:off x="12405360" y="5006340"/>
          <a:ext cx="137160" cy="137160"/>
        </a:xfrm>
        <a:prstGeom prst="ellipse">
          <a:avLst/>
        </a:prstGeom>
        <a:noFill/>
        <a:ln>
          <a:solidFill>
            <a:srgbClr val="998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213360</xdr:colOff>
      <xdr:row>28</xdr:row>
      <xdr:rowOff>121920</xdr:rowOff>
    </xdr:from>
    <xdr:to>
      <xdr:col>20</xdr:col>
      <xdr:colOff>350520</xdr:colOff>
      <xdr:row>29</xdr:row>
      <xdr:rowOff>76200</xdr:rowOff>
    </xdr:to>
    <xdr:sp macro="" textlink="">
      <xdr:nvSpPr>
        <xdr:cNvPr id="51" name="Oval 50">
          <a:extLst>
            <a:ext uri="{FF2B5EF4-FFF2-40B4-BE49-F238E27FC236}">
              <a16:creationId xmlns:a16="http://schemas.microsoft.com/office/drawing/2014/main" id="{B476679B-BEE9-7CE0-0ACC-3E34DE287CC1}"/>
            </a:ext>
          </a:extLst>
        </xdr:cNvPr>
        <xdr:cNvSpPr/>
      </xdr:nvSpPr>
      <xdr:spPr>
        <a:xfrm>
          <a:off x="12405360" y="5242560"/>
          <a:ext cx="137160" cy="137160"/>
        </a:xfrm>
        <a:prstGeom prst="ellipse">
          <a:avLst/>
        </a:prstGeom>
        <a:noFill/>
        <a:ln>
          <a:solidFill>
            <a:srgbClr val="00C74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193618</xdr:colOff>
      <xdr:row>38</xdr:row>
      <xdr:rowOff>148590</xdr:rowOff>
    </xdr:from>
    <xdr:to>
      <xdr:col>5</xdr:col>
      <xdr:colOff>484563</xdr:colOff>
      <xdr:row>40</xdr:row>
      <xdr:rowOff>49530</xdr:rowOff>
    </xdr:to>
    <xdr:sp macro="" textlink="Processing!P11">
      <xdr:nvSpPr>
        <xdr:cNvPr id="52" name="TextBox 51">
          <a:extLst>
            <a:ext uri="{FF2B5EF4-FFF2-40B4-BE49-F238E27FC236}">
              <a16:creationId xmlns:a16="http://schemas.microsoft.com/office/drawing/2014/main" id="{AAB7DEED-C873-B29A-D87A-B5E600695A50}"/>
            </a:ext>
          </a:extLst>
        </xdr:cNvPr>
        <xdr:cNvSpPr txBox="1"/>
      </xdr:nvSpPr>
      <xdr:spPr>
        <a:xfrm>
          <a:off x="2632018" y="7098030"/>
          <a:ext cx="90054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61E3E4-0238-45CC-9E47-4655CB597091}" type="TxLink">
            <a:rPr lang="en-US" sz="1100" b="0" i="0" u="none" strike="noStrike">
              <a:solidFill>
                <a:srgbClr val="000000"/>
              </a:solidFill>
              <a:latin typeface="Aptos Narrow"/>
            </a:rPr>
            <a:pPr algn="ctr"/>
            <a:t>Customer</a:t>
          </a:fld>
          <a:endParaRPr lang="ru-RU" sz="1200">
            <a:solidFill>
              <a:schemeClr val="tx1"/>
            </a:solidFill>
          </a:endParaRPr>
        </a:p>
      </xdr:txBody>
    </xdr:sp>
    <xdr:clientData/>
  </xdr:twoCellAnchor>
  <xdr:twoCellAnchor>
    <xdr:from>
      <xdr:col>4</xdr:col>
      <xdr:colOff>193618</xdr:colOff>
      <xdr:row>34</xdr:row>
      <xdr:rowOff>60178</xdr:rowOff>
    </xdr:from>
    <xdr:to>
      <xdr:col>5</xdr:col>
      <xdr:colOff>484563</xdr:colOff>
      <xdr:row>37</xdr:row>
      <xdr:rowOff>31262</xdr:rowOff>
    </xdr:to>
    <xdr:sp macro="" textlink="Processing!P11">
      <xdr:nvSpPr>
        <xdr:cNvPr id="53" name="TextBox 52">
          <a:extLst>
            <a:ext uri="{FF2B5EF4-FFF2-40B4-BE49-F238E27FC236}">
              <a16:creationId xmlns:a16="http://schemas.microsoft.com/office/drawing/2014/main" id="{9E9649BF-3B24-62C2-1A04-3EF5ED6DE768}"/>
            </a:ext>
          </a:extLst>
        </xdr:cNvPr>
        <xdr:cNvSpPr txBox="1"/>
      </xdr:nvSpPr>
      <xdr:spPr>
        <a:xfrm>
          <a:off x="2632018" y="6278098"/>
          <a:ext cx="900545" cy="519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4000">
              <a:solidFill>
                <a:schemeClr val="tx1"/>
              </a:solidFill>
              <a:latin typeface="Georgia" panose="02040502050405020303" pitchFamily="18" charset="0"/>
              <a:ea typeface="+mn-ea"/>
              <a:cs typeface="+mn-cs"/>
            </a:rPr>
            <a:t>C</a:t>
          </a:r>
          <a:endParaRPr lang="ru-RU" sz="4000">
            <a:solidFill>
              <a:schemeClr val="tx1"/>
            </a:solidFill>
            <a:latin typeface="Georgia" panose="02040502050405020303" pitchFamily="18" charset="0"/>
            <a:ea typeface="+mn-ea"/>
            <a:cs typeface="+mn-cs"/>
          </a:endParaRPr>
        </a:p>
      </xdr:txBody>
    </xdr:sp>
    <xdr:clientData/>
  </xdr:twoCellAnchor>
  <xdr:twoCellAnchor>
    <xdr:from>
      <xdr:col>3</xdr:col>
      <xdr:colOff>589281</xdr:colOff>
      <xdr:row>36</xdr:row>
      <xdr:rowOff>144762</xdr:rowOff>
    </xdr:from>
    <xdr:to>
      <xdr:col>6</xdr:col>
      <xdr:colOff>210819</xdr:colOff>
      <xdr:row>39</xdr:row>
      <xdr:rowOff>68598</xdr:rowOff>
    </xdr:to>
    <xdr:sp macro="" textlink="Processing!Q11">
      <xdr:nvSpPr>
        <xdr:cNvPr id="54" name="TextBox 53">
          <a:extLst>
            <a:ext uri="{FF2B5EF4-FFF2-40B4-BE49-F238E27FC236}">
              <a16:creationId xmlns:a16="http://schemas.microsoft.com/office/drawing/2014/main" id="{5979286C-9842-0193-C087-E11A55EF8951}"/>
            </a:ext>
          </a:extLst>
        </xdr:cNvPr>
        <xdr:cNvSpPr txBox="1"/>
      </xdr:nvSpPr>
      <xdr:spPr>
        <a:xfrm>
          <a:off x="2418081" y="6728442"/>
          <a:ext cx="1450338" cy="472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9C8F97-42C1-46BC-9F93-80D03DC58D66}" type="TxLink">
            <a:rPr lang="en-US" sz="2800" b="0" i="0" u="none" strike="noStrike">
              <a:solidFill>
                <a:srgbClr val="00C74D"/>
              </a:solidFill>
              <a:latin typeface="Aptos Narrow"/>
            </a:rPr>
            <a:pPr algn="ctr"/>
            <a:t>10%</a:t>
          </a:fld>
          <a:endParaRPr lang="ru-RU" sz="7200">
            <a:solidFill>
              <a:srgbClr val="00C74D"/>
            </a:solidFill>
          </a:endParaRPr>
        </a:p>
      </xdr:txBody>
    </xdr:sp>
    <xdr:clientData/>
  </xdr:twoCellAnchor>
  <xdr:twoCellAnchor>
    <xdr:from>
      <xdr:col>8</xdr:col>
      <xdr:colOff>155518</xdr:colOff>
      <xdr:row>38</xdr:row>
      <xdr:rowOff>148590</xdr:rowOff>
    </xdr:from>
    <xdr:to>
      <xdr:col>9</xdr:col>
      <xdr:colOff>446463</xdr:colOff>
      <xdr:row>40</xdr:row>
      <xdr:rowOff>49530</xdr:rowOff>
    </xdr:to>
    <xdr:sp macro="" textlink="Processing!P12">
      <xdr:nvSpPr>
        <xdr:cNvPr id="55" name="TextBox 54">
          <a:extLst>
            <a:ext uri="{FF2B5EF4-FFF2-40B4-BE49-F238E27FC236}">
              <a16:creationId xmlns:a16="http://schemas.microsoft.com/office/drawing/2014/main" id="{269E8797-7AF3-F4E3-62D2-577757CAFB94}"/>
            </a:ext>
          </a:extLst>
        </xdr:cNvPr>
        <xdr:cNvSpPr txBox="1"/>
      </xdr:nvSpPr>
      <xdr:spPr>
        <a:xfrm>
          <a:off x="5032318" y="7098030"/>
          <a:ext cx="90054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494A07-8249-4A14-A9E4-529450584546}" type="TxLink">
            <a:rPr lang="en-US" sz="1100" b="0" i="0" u="none" strike="noStrike">
              <a:solidFill>
                <a:srgbClr val="000000"/>
              </a:solidFill>
              <a:latin typeface="Aptos Narrow"/>
            </a:rPr>
            <a:pPr algn="ctr"/>
            <a:t>Relationship </a:t>
          </a:fld>
          <a:endParaRPr lang="ru-RU" sz="1200">
            <a:solidFill>
              <a:schemeClr val="tx1"/>
            </a:solidFill>
          </a:endParaRPr>
        </a:p>
      </xdr:txBody>
    </xdr:sp>
    <xdr:clientData/>
  </xdr:twoCellAnchor>
  <xdr:twoCellAnchor>
    <xdr:from>
      <xdr:col>8</xdr:col>
      <xdr:colOff>147898</xdr:colOff>
      <xdr:row>34</xdr:row>
      <xdr:rowOff>60178</xdr:rowOff>
    </xdr:from>
    <xdr:to>
      <xdr:col>9</xdr:col>
      <xdr:colOff>438843</xdr:colOff>
      <xdr:row>37</xdr:row>
      <xdr:rowOff>31262</xdr:rowOff>
    </xdr:to>
    <xdr:sp macro="" textlink="Processing!P11">
      <xdr:nvSpPr>
        <xdr:cNvPr id="56" name="TextBox 55">
          <a:extLst>
            <a:ext uri="{FF2B5EF4-FFF2-40B4-BE49-F238E27FC236}">
              <a16:creationId xmlns:a16="http://schemas.microsoft.com/office/drawing/2014/main" id="{0ED23CE5-C669-8AC8-1074-F2BF7C9D4C2A}"/>
            </a:ext>
          </a:extLst>
        </xdr:cNvPr>
        <xdr:cNvSpPr txBox="1"/>
      </xdr:nvSpPr>
      <xdr:spPr>
        <a:xfrm>
          <a:off x="5024698" y="6278098"/>
          <a:ext cx="900545" cy="519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solidFill>
                <a:schemeClr val="tx1"/>
              </a:solidFill>
              <a:latin typeface="Georgia" panose="02040502050405020303" pitchFamily="18" charset="0"/>
            </a:rPr>
            <a:t>R</a:t>
          </a:r>
          <a:endParaRPr lang="ru-RU" sz="4000">
            <a:solidFill>
              <a:schemeClr val="tx1"/>
            </a:solidFill>
            <a:latin typeface="Georgia" panose="02040502050405020303" pitchFamily="18" charset="0"/>
          </a:endParaRPr>
        </a:p>
      </xdr:txBody>
    </xdr:sp>
    <xdr:clientData/>
  </xdr:twoCellAnchor>
  <xdr:twoCellAnchor>
    <xdr:from>
      <xdr:col>7</xdr:col>
      <xdr:colOff>543561</xdr:colOff>
      <xdr:row>36</xdr:row>
      <xdr:rowOff>144762</xdr:rowOff>
    </xdr:from>
    <xdr:to>
      <xdr:col>10</xdr:col>
      <xdr:colOff>165099</xdr:colOff>
      <xdr:row>39</xdr:row>
      <xdr:rowOff>68598</xdr:rowOff>
    </xdr:to>
    <xdr:sp macro="" textlink="Processing!Q12">
      <xdr:nvSpPr>
        <xdr:cNvPr id="57" name="TextBox 56">
          <a:extLst>
            <a:ext uri="{FF2B5EF4-FFF2-40B4-BE49-F238E27FC236}">
              <a16:creationId xmlns:a16="http://schemas.microsoft.com/office/drawing/2014/main" id="{C9C945F0-3001-6C5B-46D3-0EB48F1AF085}"/>
            </a:ext>
          </a:extLst>
        </xdr:cNvPr>
        <xdr:cNvSpPr txBox="1"/>
      </xdr:nvSpPr>
      <xdr:spPr>
        <a:xfrm>
          <a:off x="4810761" y="6728442"/>
          <a:ext cx="1450338" cy="472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C4A6D2E-6605-486B-A739-711EFBEEAD46}" type="TxLink">
            <a:rPr lang="en-US" sz="2800" b="0" i="0" u="none" strike="noStrike">
              <a:solidFill>
                <a:srgbClr val="8F72FF"/>
              </a:solidFill>
              <a:latin typeface="Aptos Narrow"/>
              <a:ea typeface="+mn-ea"/>
              <a:cs typeface="+mn-cs"/>
            </a:rPr>
            <a:pPr marL="0" indent="0" algn="ctr"/>
            <a:t>13%</a:t>
          </a:fld>
          <a:endParaRPr lang="ru-RU" sz="2800" b="0" i="0" u="none" strike="noStrike">
            <a:solidFill>
              <a:srgbClr val="8F72FF"/>
            </a:solidFill>
            <a:latin typeface="Aptos Narrow"/>
            <a:ea typeface="+mn-ea"/>
            <a:cs typeface="+mn-cs"/>
          </a:endParaRPr>
        </a:p>
      </xdr:txBody>
    </xdr:sp>
    <xdr:clientData/>
  </xdr:twoCellAnchor>
  <xdr:twoCellAnchor>
    <xdr:from>
      <xdr:col>12</xdr:col>
      <xdr:colOff>140278</xdr:colOff>
      <xdr:row>38</xdr:row>
      <xdr:rowOff>148590</xdr:rowOff>
    </xdr:from>
    <xdr:to>
      <xdr:col>13</xdr:col>
      <xdr:colOff>431223</xdr:colOff>
      <xdr:row>40</xdr:row>
      <xdr:rowOff>49530</xdr:rowOff>
    </xdr:to>
    <xdr:sp macro="" textlink="Processing!P13">
      <xdr:nvSpPr>
        <xdr:cNvPr id="58" name="TextBox 57">
          <a:extLst>
            <a:ext uri="{FF2B5EF4-FFF2-40B4-BE49-F238E27FC236}">
              <a16:creationId xmlns:a16="http://schemas.microsoft.com/office/drawing/2014/main" id="{C43BCD85-8256-B7BB-6ADB-260BDFC9560E}"/>
            </a:ext>
          </a:extLst>
        </xdr:cNvPr>
        <xdr:cNvSpPr txBox="1"/>
      </xdr:nvSpPr>
      <xdr:spPr>
        <a:xfrm>
          <a:off x="7455478" y="7098030"/>
          <a:ext cx="90054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44342E-BF6B-478E-874B-7D33F89EE963}" type="TxLink">
            <a:rPr lang="en-US" sz="1100" b="0" i="0" u="none" strike="noStrike">
              <a:solidFill>
                <a:srgbClr val="000000"/>
              </a:solidFill>
              <a:latin typeface="Aptos Narrow"/>
            </a:rPr>
            <a:pPr algn="ctr"/>
            <a:t>Management</a:t>
          </a:fld>
          <a:endParaRPr lang="ru-RU" sz="1200">
            <a:solidFill>
              <a:schemeClr val="tx1"/>
            </a:solidFill>
          </a:endParaRPr>
        </a:p>
      </xdr:txBody>
    </xdr:sp>
    <xdr:clientData/>
  </xdr:twoCellAnchor>
  <xdr:twoCellAnchor>
    <xdr:from>
      <xdr:col>12</xdr:col>
      <xdr:colOff>140278</xdr:colOff>
      <xdr:row>34</xdr:row>
      <xdr:rowOff>60178</xdr:rowOff>
    </xdr:from>
    <xdr:to>
      <xdr:col>13</xdr:col>
      <xdr:colOff>431223</xdr:colOff>
      <xdr:row>37</xdr:row>
      <xdr:rowOff>31262</xdr:rowOff>
    </xdr:to>
    <xdr:sp macro="" textlink="Processing!P11">
      <xdr:nvSpPr>
        <xdr:cNvPr id="59" name="TextBox 58">
          <a:extLst>
            <a:ext uri="{FF2B5EF4-FFF2-40B4-BE49-F238E27FC236}">
              <a16:creationId xmlns:a16="http://schemas.microsoft.com/office/drawing/2014/main" id="{4695A15B-FA44-82DA-A564-5169E1E13563}"/>
            </a:ext>
          </a:extLst>
        </xdr:cNvPr>
        <xdr:cNvSpPr txBox="1"/>
      </xdr:nvSpPr>
      <xdr:spPr>
        <a:xfrm>
          <a:off x="7455478" y="6278098"/>
          <a:ext cx="900545" cy="519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4000">
              <a:solidFill>
                <a:schemeClr val="tx1"/>
              </a:solidFill>
              <a:latin typeface="Georgia" panose="02040502050405020303" pitchFamily="18" charset="0"/>
              <a:ea typeface="+mn-ea"/>
              <a:cs typeface="+mn-cs"/>
            </a:rPr>
            <a:t>M</a:t>
          </a:r>
          <a:endParaRPr lang="ru-RU" sz="4000">
            <a:solidFill>
              <a:schemeClr val="tx1"/>
            </a:solidFill>
            <a:latin typeface="Georgia" panose="02040502050405020303" pitchFamily="18" charset="0"/>
            <a:ea typeface="+mn-ea"/>
            <a:cs typeface="+mn-cs"/>
          </a:endParaRPr>
        </a:p>
      </xdr:txBody>
    </xdr:sp>
    <xdr:clientData/>
  </xdr:twoCellAnchor>
  <xdr:twoCellAnchor>
    <xdr:from>
      <xdr:col>11</xdr:col>
      <xdr:colOff>535941</xdr:colOff>
      <xdr:row>36</xdr:row>
      <xdr:rowOff>144762</xdr:rowOff>
    </xdr:from>
    <xdr:to>
      <xdr:col>14</xdr:col>
      <xdr:colOff>157479</xdr:colOff>
      <xdr:row>39</xdr:row>
      <xdr:rowOff>68598</xdr:rowOff>
    </xdr:to>
    <xdr:sp macro="" textlink="Processing!Q13">
      <xdr:nvSpPr>
        <xdr:cNvPr id="60" name="TextBox 59">
          <a:extLst>
            <a:ext uri="{FF2B5EF4-FFF2-40B4-BE49-F238E27FC236}">
              <a16:creationId xmlns:a16="http://schemas.microsoft.com/office/drawing/2014/main" id="{0EE24A9E-4C3A-0F9A-E2B7-B97E8C58BA84}"/>
            </a:ext>
          </a:extLst>
        </xdr:cNvPr>
        <xdr:cNvSpPr txBox="1"/>
      </xdr:nvSpPr>
      <xdr:spPr>
        <a:xfrm>
          <a:off x="7241541" y="6728442"/>
          <a:ext cx="1450338" cy="472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9E6101-D655-4690-82E8-3E073DF5DE4A}" type="TxLink">
            <a:rPr lang="en-US" sz="2800" b="0" i="0" u="none" strike="noStrike">
              <a:solidFill>
                <a:srgbClr val="8BBBD9"/>
              </a:solidFill>
              <a:latin typeface="Aptos Narrow"/>
              <a:ea typeface="+mn-ea"/>
              <a:cs typeface="+mn-cs"/>
            </a:rPr>
            <a:pPr marL="0" indent="0" algn="ctr"/>
            <a:t>8%</a:t>
          </a:fld>
          <a:endParaRPr lang="ru-RU" sz="2800" b="0" i="0" u="none" strike="noStrike">
            <a:solidFill>
              <a:srgbClr val="8BBBD9"/>
            </a:solidFill>
            <a:latin typeface="Aptos Narrow"/>
            <a:ea typeface="+mn-ea"/>
            <a:cs typeface="+mn-cs"/>
          </a:endParaRPr>
        </a:p>
      </xdr:txBody>
    </xdr:sp>
    <xdr:clientData/>
  </xdr:twoCellAnchor>
  <xdr:twoCellAnchor editAs="oneCell">
    <xdr:from>
      <xdr:col>4</xdr:col>
      <xdr:colOff>137160</xdr:colOff>
      <xdr:row>27</xdr:row>
      <xdr:rowOff>76200</xdr:rowOff>
    </xdr:from>
    <xdr:to>
      <xdr:col>14</xdr:col>
      <xdr:colOff>259080</xdr:colOff>
      <xdr:row>29</xdr:row>
      <xdr:rowOff>129540</xdr:rowOff>
    </xdr:to>
    <mc:AlternateContent xmlns:mc="http://schemas.openxmlformats.org/markup-compatibility/2006" xmlns:a14="http://schemas.microsoft.com/office/drawing/2010/main">
      <mc:Choice Requires="a14">
        <xdr:graphicFrame macro="">
          <xdr:nvGraphicFramePr>
            <xdr:cNvPr id="61" name="Month">
              <a:extLst>
                <a:ext uri="{FF2B5EF4-FFF2-40B4-BE49-F238E27FC236}">
                  <a16:creationId xmlns:a16="http://schemas.microsoft.com/office/drawing/2014/main" id="{C4BD4A47-46C2-410A-983F-F6B3EFC809D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575560" y="5013960"/>
              <a:ext cx="6217920" cy="4191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175261</xdr:colOff>
      <xdr:row>7</xdr:row>
      <xdr:rowOff>38101</xdr:rowOff>
    </xdr:from>
    <xdr:to>
      <xdr:col>13</xdr:col>
      <xdr:colOff>586741</xdr:colOff>
      <xdr:row>9</xdr:row>
      <xdr:rowOff>106681</xdr:rowOff>
    </xdr:to>
    <mc:AlternateContent xmlns:mc="http://schemas.openxmlformats.org/markup-compatibility/2006" xmlns:a14="http://schemas.microsoft.com/office/drawing/2010/main">
      <mc:Choice Requires="a14">
        <xdr:graphicFrame macro="">
          <xdr:nvGraphicFramePr>
            <xdr:cNvPr id="62" name="Year">
              <a:extLst>
                <a:ext uri="{FF2B5EF4-FFF2-40B4-BE49-F238E27FC236}">
                  <a16:creationId xmlns:a16="http://schemas.microsoft.com/office/drawing/2014/main" id="{419EECC4-68EF-4635-90D0-91803AB9530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271261" y="1318261"/>
              <a:ext cx="2240280" cy="4343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156557</xdr:colOff>
      <xdr:row>11</xdr:row>
      <xdr:rowOff>177685</xdr:rowOff>
    </xdr:from>
    <xdr:to>
      <xdr:col>20</xdr:col>
      <xdr:colOff>544484</xdr:colOff>
      <xdr:row>24</xdr:row>
      <xdr:rowOff>134736</xdr:rowOff>
    </xdr:to>
    <xdr:sp macro="" textlink="">
      <xdr:nvSpPr>
        <xdr:cNvPr id="63" name="Rectangle 62">
          <a:hlinkClick xmlns:r="http://schemas.openxmlformats.org/officeDocument/2006/relationships" r:id="rId7"/>
          <a:extLst>
            <a:ext uri="{FF2B5EF4-FFF2-40B4-BE49-F238E27FC236}">
              <a16:creationId xmlns:a16="http://schemas.microsoft.com/office/drawing/2014/main" id="{22D44F53-E65C-47A6-B0B0-107947BE79B1}"/>
            </a:ext>
          </a:extLst>
        </xdr:cNvPr>
        <xdr:cNvSpPr/>
      </xdr:nvSpPr>
      <xdr:spPr>
        <a:xfrm>
          <a:off x="9300557" y="2189365"/>
          <a:ext cx="3435927" cy="23344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594246</xdr:colOff>
      <xdr:row>8</xdr:row>
      <xdr:rowOff>102870</xdr:rowOff>
    </xdr:from>
    <xdr:to>
      <xdr:col>10</xdr:col>
      <xdr:colOff>464820</xdr:colOff>
      <xdr:row>11</xdr:row>
      <xdr:rowOff>121920</xdr:rowOff>
    </xdr:to>
    <xdr:sp macro="" textlink="">
      <xdr:nvSpPr>
        <xdr:cNvPr id="64" name="TextBox 63">
          <a:extLst>
            <a:ext uri="{FF2B5EF4-FFF2-40B4-BE49-F238E27FC236}">
              <a16:creationId xmlns:a16="http://schemas.microsoft.com/office/drawing/2014/main" id="{82D0A70C-8305-F20B-9147-971379D7AC85}"/>
            </a:ext>
          </a:extLst>
        </xdr:cNvPr>
        <xdr:cNvSpPr txBox="1"/>
      </xdr:nvSpPr>
      <xdr:spPr>
        <a:xfrm>
          <a:off x="2423046" y="1565910"/>
          <a:ext cx="4137774" cy="567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4000" b="0" i="0" u="none" strike="noStrike">
              <a:solidFill>
                <a:schemeClr val="tx1"/>
              </a:solidFill>
              <a:latin typeface="Georgia" panose="02040502050405020303" pitchFamily="18" charset="0"/>
            </a:rPr>
            <a:t>CRM </a:t>
          </a:r>
          <a:r>
            <a:rPr lang="en-US" sz="3200" b="0" i="0" u="none" strike="noStrike">
              <a:solidFill>
                <a:schemeClr val="tx1"/>
              </a:solidFill>
              <a:latin typeface="Georgia" panose="02040502050405020303" pitchFamily="18" charset="0"/>
            </a:rPr>
            <a:t>Dashboard</a:t>
          </a:r>
          <a:endParaRPr lang="en-US" sz="4000" b="0" i="0" u="none" strike="noStrike">
            <a:solidFill>
              <a:schemeClr val="tx1"/>
            </a:solidFill>
            <a:latin typeface="Georgia" panose="02040502050405020303" pitchFamily="18" charset="0"/>
          </a:endParaRPr>
        </a:p>
      </xdr:txBody>
    </xdr:sp>
    <xdr:clientData/>
  </xdr:twoCellAnchor>
  <xdr:twoCellAnchor editAs="oneCell">
    <xdr:from>
      <xdr:col>18</xdr:col>
      <xdr:colOff>358140</xdr:colOff>
      <xdr:row>8</xdr:row>
      <xdr:rowOff>121920</xdr:rowOff>
    </xdr:from>
    <xdr:to>
      <xdr:col>19</xdr:col>
      <xdr:colOff>114300</xdr:colOff>
      <xdr:row>10</xdr:row>
      <xdr:rowOff>121920</xdr:rowOff>
    </xdr:to>
    <xdr:pic>
      <xdr:nvPicPr>
        <xdr:cNvPr id="69" name="Graphic 68" descr="Sun with solid fill">
          <a:extLst>
            <a:ext uri="{FF2B5EF4-FFF2-40B4-BE49-F238E27FC236}">
              <a16:creationId xmlns:a16="http://schemas.microsoft.com/office/drawing/2014/main" id="{6F5D5155-764D-4EA5-A399-8839060DD1B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330940" y="1584960"/>
          <a:ext cx="365760" cy="365760"/>
        </a:xfrm>
        <a:prstGeom prst="rect">
          <a:avLst/>
        </a:prstGeom>
      </xdr:spPr>
    </xdr:pic>
    <xdr:clientData/>
  </xdr:twoCellAnchor>
  <xdr:twoCellAnchor editAs="oneCell">
    <xdr:from>
      <xdr:col>19</xdr:col>
      <xdr:colOff>373380</xdr:colOff>
      <xdr:row>8</xdr:row>
      <xdr:rowOff>121920</xdr:rowOff>
    </xdr:from>
    <xdr:to>
      <xdr:col>20</xdr:col>
      <xdr:colOff>129540</xdr:colOff>
      <xdr:row>10</xdr:row>
      <xdr:rowOff>121920</xdr:rowOff>
    </xdr:to>
    <xdr:pic>
      <xdr:nvPicPr>
        <xdr:cNvPr id="70" name="Graphic 69" descr="Moon and stars with solid fill">
          <a:hlinkClick xmlns:r="http://schemas.openxmlformats.org/officeDocument/2006/relationships" r:id="rId10"/>
          <a:extLst>
            <a:ext uri="{FF2B5EF4-FFF2-40B4-BE49-F238E27FC236}">
              <a16:creationId xmlns:a16="http://schemas.microsoft.com/office/drawing/2014/main" id="{DD72D6BC-B920-45D1-A7DE-635B981B91A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955780" y="1584960"/>
          <a:ext cx="365760" cy="365760"/>
        </a:xfrm>
        <a:prstGeom prst="rect">
          <a:avLst/>
        </a:prstGeom>
      </xdr:spPr>
    </xdr:pic>
    <xdr:clientData/>
  </xdr:twoCellAnchor>
  <xdr:twoCellAnchor>
    <xdr:from>
      <xdr:col>0</xdr:col>
      <xdr:colOff>0</xdr:colOff>
      <xdr:row>0</xdr:row>
      <xdr:rowOff>0</xdr:rowOff>
    </xdr:from>
    <xdr:to>
      <xdr:col>2</xdr:col>
      <xdr:colOff>297180</xdr:colOff>
      <xdr:row>7</xdr:row>
      <xdr:rowOff>106680</xdr:rowOff>
    </xdr:to>
    <xdr:sp macro="" textlink="">
      <xdr:nvSpPr>
        <xdr:cNvPr id="71" name="Rectangle 70">
          <a:extLst>
            <a:ext uri="{FF2B5EF4-FFF2-40B4-BE49-F238E27FC236}">
              <a16:creationId xmlns:a16="http://schemas.microsoft.com/office/drawing/2014/main" id="{40B97D8C-A844-481A-8AA0-03050D47B017}"/>
            </a:ext>
          </a:extLst>
        </xdr:cNvPr>
        <xdr:cNvSpPr/>
      </xdr:nvSpPr>
      <xdr:spPr>
        <a:xfrm>
          <a:off x="0" y="0"/>
          <a:ext cx="1516380" cy="1386840"/>
        </a:xfrm>
        <a:prstGeom prst="rect">
          <a:avLst/>
        </a:prstGeom>
        <a:solidFill>
          <a:srgbClr val="D6E7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30480</xdr:rowOff>
    </xdr:from>
    <xdr:to>
      <xdr:col>13</xdr:col>
      <xdr:colOff>304800</xdr:colOff>
      <xdr:row>55</xdr:row>
      <xdr:rowOff>30480</xdr:rowOff>
    </xdr:to>
    <xdr:sp macro="" textlink="">
      <xdr:nvSpPr>
        <xdr:cNvPr id="2" name="Oval 1">
          <a:extLst>
            <a:ext uri="{FF2B5EF4-FFF2-40B4-BE49-F238E27FC236}">
              <a16:creationId xmlns:a16="http://schemas.microsoft.com/office/drawing/2014/main" id="{C3CA1BC8-FFC8-4104-97BA-E3E37AF44B00}"/>
            </a:ext>
          </a:extLst>
        </xdr:cNvPr>
        <xdr:cNvSpPr/>
      </xdr:nvSpPr>
      <xdr:spPr>
        <a:xfrm>
          <a:off x="0" y="1859280"/>
          <a:ext cx="8229600" cy="8229600"/>
        </a:xfrm>
        <a:prstGeom prst="ellipse">
          <a:avLst/>
        </a:prstGeom>
        <a:gradFill flip="none" rotWithShape="1">
          <a:gsLst>
            <a:gs pos="0">
              <a:srgbClr val="BCF5B8"/>
            </a:gs>
            <a:gs pos="100000">
              <a:srgbClr val="00C74D"/>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7620</xdr:colOff>
      <xdr:row>0</xdr:row>
      <xdr:rowOff>0</xdr:rowOff>
    </xdr:from>
    <xdr:to>
      <xdr:col>27</xdr:col>
      <xdr:colOff>312420</xdr:colOff>
      <xdr:row>35</xdr:row>
      <xdr:rowOff>0</xdr:rowOff>
    </xdr:to>
    <xdr:sp macro="" textlink="">
      <xdr:nvSpPr>
        <xdr:cNvPr id="3" name="Oval 2">
          <a:extLst>
            <a:ext uri="{FF2B5EF4-FFF2-40B4-BE49-F238E27FC236}">
              <a16:creationId xmlns:a16="http://schemas.microsoft.com/office/drawing/2014/main" id="{A190866F-CC05-4AD7-B5C6-4A6AF28BFFAF}"/>
            </a:ext>
          </a:extLst>
        </xdr:cNvPr>
        <xdr:cNvSpPr/>
      </xdr:nvSpPr>
      <xdr:spPr>
        <a:xfrm>
          <a:off x="10370820" y="0"/>
          <a:ext cx="6400800" cy="6400800"/>
        </a:xfrm>
        <a:prstGeom prst="ellipse">
          <a:avLst/>
        </a:prstGeom>
        <a:gradFill>
          <a:gsLst>
            <a:gs pos="0">
              <a:srgbClr val="CCBFFF"/>
            </a:gs>
            <a:gs pos="100000">
              <a:srgbClr val="9980FF"/>
            </a:gs>
          </a:gsLst>
          <a:path path="circle">
            <a:fillToRect l="100000" b="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320041</xdr:colOff>
      <xdr:row>6</xdr:row>
      <xdr:rowOff>121920</xdr:rowOff>
    </xdr:from>
    <xdr:to>
      <xdr:col>21</xdr:col>
      <xdr:colOff>441961</xdr:colOff>
      <xdr:row>44</xdr:row>
      <xdr:rowOff>30480</xdr:rowOff>
    </xdr:to>
    <xdr:sp macro="" textlink="">
      <xdr:nvSpPr>
        <xdr:cNvPr id="4" name="Rectangle: Rounded Corners 3">
          <a:extLst>
            <a:ext uri="{FF2B5EF4-FFF2-40B4-BE49-F238E27FC236}">
              <a16:creationId xmlns:a16="http://schemas.microsoft.com/office/drawing/2014/main" id="{66151517-9388-4133-9B17-2A5A2917B253}"/>
            </a:ext>
          </a:extLst>
        </xdr:cNvPr>
        <xdr:cNvSpPr/>
      </xdr:nvSpPr>
      <xdr:spPr>
        <a:xfrm>
          <a:off x="1539241" y="1219200"/>
          <a:ext cx="11704320" cy="6858000"/>
        </a:xfrm>
        <a:prstGeom prst="roundRect">
          <a:avLst>
            <a:gd name="adj" fmla="val 4569"/>
          </a:avLst>
        </a:prstGeom>
        <a:solidFill>
          <a:schemeClr val="bg1">
            <a:alpha val="58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236220</xdr:colOff>
      <xdr:row>12</xdr:row>
      <xdr:rowOff>22860</xdr:rowOff>
    </xdr:from>
    <xdr:to>
      <xdr:col>14</xdr:col>
      <xdr:colOff>388620</xdr:colOff>
      <xdr:row>30</xdr:row>
      <xdr:rowOff>22860</xdr:rowOff>
    </xdr:to>
    <xdr:sp macro="" textlink="">
      <xdr:nvSpPr>
        <xdr:cNvPr id="5" name="Rectangle: Rounded Corners 4">
          <a:extLst>
            <a:ext uri="{FF2B5EF4-FFF2-40B4-BE49-F238E27FC236}">
              <a16:creationId xmlns:a16="http://schemas.microsoft.com/office/drawing/2014/main" id="{770C891A-E7F7-44E9-ABA7-6FEC5B96E361}"/>
            </a:ext>
          </a:extLst>
        </xdr:cNvPr>
        <xdr:cNvSpPr/>
      </xdr:nvSpPr>
      <xdr:spPr>
        <a:xfrm>
          <a:off x="2065020" y="2217420"/>
          <a:ext cx="6858000" cy="3291840"/>
        </a:xfrm>
        <a:prstGeom prst="roundRect">
          <a:avLst>
            <a:gd name="adj" fmla="val 5798"/>
          </a:avLst>
        </a:prstGeom>
        <a:solidFill>
          <a:srgbClr val="F7F9FA"/>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160020</xdr:colOff>
      <xdr:row>31</xdr:row>
      <xdr:rowOff>178958</xdr:rowOff>
    </xdr:from>
    <xdr:to>
      <xdr:col>14</xdr:col>
      <xdr:colOff>388620</xdr:colOff>
      <xdr:row>42</xdr:row>
      <xdr:rowOff>87518</xdr:rowOff>
    </xdr:to>
    <xdr:sp macro="" textlink="">
      <xdr:nvSpPr>
        <xdr:cNvPr id="6" name="Rectangle: Rounded Corners 5">
          <a:extLst>
            <a:ext uri="{FF2B5EF4-FFF2-40B4-BE49-F238E27FC236}">
              <a16:creationId xmlns:a16="http://schemas.microsoft.com/office/drawing/2014/main" id="{ABB89177-1117-4DA6-AB4F-BEEEBD829884}"/>
            </a:ext>
          </a:extLst>
        </xdr:cNvPr>
        <xdr:cNvSpPr/>
      </xdr:nvSpPr>
      <xdr:spPr>
        <a:xfrm>
          <a:off x="6865620" y="5848238"/>
          <a:ext cx="2057400" cy="1920240"/>
        </a:xfrm>
        <a:prstGeom prst="roundRect">
          <a:avLst>
            <a:gd name="adj" fmla="val 9426"/>
          </a:avLst>
        </a:prstGeom>
        <a:solidFill>
          <a:srgbClr val="F7F9FA"/>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137160</xdr:colOff>
      <xdr:row>12</xdr:row>
      <xdr:rowOff>34177</xdr:rowOff>
    </xdr:from>
    <xdr:to>
      <xdr:col>20</xdr:col>
      <xdr:colOff>563880</xdr:colOff>
      <xdr:row>24</xdr:row>
      <xdr:rowOff>125617</xdr:rowOff>
    </xdr:to>
    <xdr:sp macro="" textlink="">
      <xdr:nvSpPr>
        <xdr:cNvPr id="7" name="Rectangle: Rounded Corners 6">
          <a:extLst>
            <a:ext uri="{FF2B5EF4-FFF2-40B4-BE49-F238E27FC236}">
              <a16:creationId xmlns:a16="http://schemas.microsoft.com/office/drawing/2014/main" id="{37DF79A8-3FE5-4177-B8A4-52C5ACABD8AD}"/>
            </a:ext>
          </a:extLst>
        </xdr:cNvPr>
        <xdr:cNvSpPr/>
      </xdr:nvSpPr>
      <xdr:spPr>
        <a:xfrm>
          <a:off x="9281160" y="2228737"/>
          <a:ext cx="3474720" cy="2286000"/>
        </a:xfrm>
        <a:prstGeom prst="roundRect">
          <a:avLst>
            <a:gd name="adj" fmla="val 8426"/>
          </a:avLst>
        </a:prstGeom>
        <a:solidFill>
          <a:srgbClr val="F7F9FA"/>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137160</xdr:colOff>
      <xdr:row>26</xdr:row>
      <xdr:rowOff>87518</xdr:rowOff>
    </xdr:from>
    <xdr:to>
      <xdr:col>20</xdr:col>
      <xdr:colOff>563880</xdr:colOff>
      <xdr:row>42</xdr:row>
      <xdr:rowOff>87518</xdr:rowOff>
    </xdr:to>
    <xdr:sp macro="" textlink="">
      <xdr:nvSpPr>
        <xdr:cNvPr id="8" name="Rectangle: Rounded Corners 7">
          <a:extLst>
            <a:ext uri="{FF2B5EF4-FFF2-40B4-BE49-F238E27FC236}">
              <a16:creationId xmlns:a16="http://schemas.microsoft.com/office/drawing/2014/main" id="{49125314-EF25-4B81-99CE-90D0FB235AC3}"/>
            </a:ext>
          </a:extLst>
        </xdr:cNvPr>
        <xdr:cNvSpPr/>
      </xdr:nvSpPr>
      <xdr:spPr>
        <a:xfrm>
          <a:off x="9281160" y="4842398"/>
          <a:ext cx="3474720" cy="2926080"/>
        </a:xfrm>
        <a:prstGeom prst="roundRect">
          <a:avLst>
            <a:gd name="adj" fmla="val 6561"/>
          </a:avLst>
        </a:prstGeom>
        <a:solidFill>
          <a:srgbClr val="F7F9FA"/>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236220</xdr:colOff>
      <xdr:row>31</xdr:row>
      <xdr:rowOff>178958</xdr:rowOff>
    </xdr:from>
    <xdr:to>
      <xdr:col>6</xdr:col>
      <xdr:colOff>464820</xdr:colOff>
      <xdr:row>42</xdr:row>
      <xdr:rowOff>87518</xdr:rowOff>
    </xdr:to>
    <xdr:sp macro="" textlink="">
      <xdr:nvSpPr>
        <xdr:cNvPr id="9" name="Rectangle: Rounded Corners 8">
          <a:extLst>
            <a:ext uri="{FF2B5EF4-FFF2-40B4-BE49-F238E27FC236}">
              <a16:creationId xmlns:a16="http://schemas.microsoft.com/office/drawing/2014/main" id="{3DB8000E-FCA8-4D16-A252-580D29044D9E}"/>
            </a:ext>
          </a:extLst>
        </xdr:cNvPr>
        <xdr:cNvSpPr/>
      </xdr:nvSpPr>
      <xdr:spPr>
        <a:xfrm>
          <a:off x="2065020" y="5848238"/>
          <a:ext cx="2057400" cy="1920240"/>
        </a:xfrm>
        <a:prstGeom prst="roundRect">
          <a:avLst>
            <a:gd name="adj" fmla="val 9426"/>
          </a:avLst>
        </a:prstGeom>
        <a:solidFill>
          <a:srgbClr val="F7F9FA"/>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198120</xdr:colOff>
      <xdr:row>31</xdr:row>
      <xdr:rowOff>178958</xdr:rowOff>
    </xdr:from>
    <xdr:to>
      <xdr:col>10</xdr:col>
      <xdr:colOff>426720</xdr:colOff>
      <xdr:row>42</xdr:row>
      <xdr:rowOff>87518</xdr:rowOff>
    </xdr:to>
    <xdr:sp macro="" textlink="">
      <xdr:nvSpPr>
        <xdr:cNvPr id="10" name="Rectangle: Rounded Corners 9">
          <a:extLst>
            <a:ext uri="{FF2B5EF4-FFF2-40B4-BE49-F238E27FC236}">
              <a16:creationId xmlns:a16="http://schemas.microsoft.com/office/drawing/2014/main" id="{19247E78-1236-4A4E-A78D-BA9B2B36CA4C}"/>
            </a:ext>
          </a:extLst>
        </xdr:cNvPr>
        <xdr:cNvSpPr/>
      </xdr:nvSpPr>
      <xdr:spPr>
        <a:xfrm>
          <a:off x="4465320" y="5848238"/>
          <a:ext cx="2057400" cy="1920240"/>
        </a:xfrm>
        <a:prstGeom prst="roundRect">
          <a:avLst>
            <a:gd name="adj" fmla="val 9426"/>
          </a:avLst>
        </a:prstGeom>
        <a:solidFill>
          <a:srgbClr val="F7F9FA"/>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228600</xdr:colOff>
      <xdr:row>30</xdr:row>
      <xdr:rowOff>7620</xdr:rowOff>
    </xdr:from>
    <xdr:to>
      <xdr:col>19</xdr:col>
      <xdr:colOff>411480</xdr:colOff>
      <xdr:row>41</xdr:row>
      <xdr:rowOff>7620</xdr:rowOff>
    </xdr:to>
    <xdr:grpSp>
      <xdr:nvGrpSpPr>
        <xdr:cNvPr id="11" name="Group 10">
          <a:extLst>
            <a:ext uri="{FF2B5EF4-FFF2-40B4-BE49-F238E27FC236}">
              <a16:creationId xmlns:a16="http://schemas.microsoft.com/office/drawing/2014/main" id="{E11E87DB-1D4D-41AD-98EF-569070B9D35C}"/>
            </a:ext>
          </a:extLst>
        </xdr:cNvPr>
        <xdr:cNvGrpSpPr/>
      </xdr:nvGrpSpPr>
      <xdr:grpSpPr>
        <a:xfrm>
          <a:off x="9711267" y="5722620"/>
          <a:ext cx="1960880" cy="2095500"/>
          <a:chOff x="9982200" y="5394960"/>
          <a:chExt cx="2011680" cy="2011680"/>
        </a:xfrm>
      </xdr:grpSpPr>
      <xdr:sp macro="" textlink="">
        <xdr:nvSpPr>
          <xdr:cNvPr id="12" name="Oval 11">
            <a:extLst>
              <a:ext uri="{FF2B5EF4-FFF2-40B4-BE49-F238E27FC236}">
                <a16:creationId xmlns:a16="http://schemas.microsoft.com/office/drawing/2014/main" id="{E2791719-2070-7AD4-D56C-AE3E8964CD52}"/>
              </a:ext>
            </a:extLst>
          </xdr:cNvPr>
          <xdr:cNvSpPr/>
        </xdr:nvSpPr>
        <xdr:spPr>
          <a:xfrm>
            <a:off x="9982200" y="5394960"/>
            <a:ext cx="2011680" cy="2011680"/>
          </a:xfrm>
          <a:prstGeom prst="ellipse">
            <a:avLst/>
          </a:prstGeom>
          <a:solidFill>
            <a:srgbClr val="EFF3F5"/>
          </a:solidFill>
          <a:ln w="9525">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3" name="Oval 12">
            <a:extLst>
              <a:ext uri="{FF2B5EF4-FFF2-40B4-BE49-F238E27FC236}">
                <a16:creationId xmlns:a16="http://schemas.microsoft.com/office/drawing/2014/main" id="{0BA7CDD5-356F-D1CB-D274-AEE114BE936D}"/>
              </a:ext>
            </a:extLst>
          </xdr:cNvPr>
          <xdr:cNvSpPr/>
        </xdr:nvSpPr>
        <xdr:spPr>
          <a:xfrm>
            <a:off x="10210800" y="5615940"/>
            <a:ext cx="1554480" cy="1554480"/>
          </a:xfrm>
          <a:prstGeom prst="ellipse">
            <a:avLst/>
          </a:prstGeom>
          <a:solidFill>
            <a:srgbClr val="EFF3F5"/>
          </a:solidFill>
          <a:ln w="9525">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4" name="Oval 13">
            <a:extLst>
              <a:ext uri="{FF2B5EF4-FFF2-40B4-BE49-F238E27FC236}">
                <a16:creationId xmlns:a16="http://schemas.microsoft.com/office/drawing/2014/main" id="{72315975-6969-9FBC-2092-4B87FDD6BE63}"/>
              </a:ext>
            </a:extLst>
          </xdr:cNvPr>
          <xdr:cNvSpPr/>
        </xdr:nvSpPr>
        <xdr:spPr>
          <a:xfrm>
            <a:off x="10485120" y="5890260"/>
            <a:ext cx="1005840" cy="1005840"/>
          </a:xfrm>
          <a:prstGeom prst="ellipse">
            <a:avLst/>
          </a:prstGeom>
          <a:solidFill>
            <a:srgbClr val="EFF3F5"/>
          </a:solidFill>
          <a:ln w="9525">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xnSp macro="">
        <xdr:nvCxnSpPr>
          <xdr:cNvPr id="15" name="Straight Connector 14">
            <a:extLst>
              <a:ext uri="{FF2B5EF4-FFF2-40B4-BE49-F238E27FC236}">
                <a16:creationId xmlns:a16="http://schemas.microsoft.com/office/drawing/2014/main" id="{F21016FA-3256-3CBA-B09B-E5FBFDE8A801}"/>
              </a:ext>
            </a:extLst>
          </xdr:cNvPr>
          <xdr:cNvCxnSpPr/>
        </xdr:nvCxnSpPr>
        <xdr:spPr>
          <a:xfrm>
            <a:off x="10988040" y="5402580"/>
            <a:ext cx="0" cy="1005840"/>
          </a:xfrm>
          <a:prstGeom prst="line">
            <a:avLst/>
          </a:prstGeom>
          <a:ln w="9525">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16" name="Straight Connector 15">
            <a:extLst>
              <a:ext uri="{FF2B5EF4-FFF2-40B4-BE49-F238E27FC236}">
                <a16:creationId xmlns:a16="http://schemas.microsoft.com/office/drawing/2014/main" id="{73107C5C-806C-2EA2-9EAA-26C80ECE5D99}"/>
              </a:ext>
            </a:extLst>
          </xdr:cNvPr>
          <xdr:cNvCxnSpPr/>
        </xdr:nvCxnSpPr>
        <xdr:spPr>
          <a:xfrm rot="4320000">
            <a:off x="11484119" y="5774256"/>
            <a:ext cx="0" cy="1005840"/>
          </a:xfrm>
          <a:prstGeom prst="line">
            <a:avLst/>
          </a:prstGeom>
          <a:ln w="9525">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17" name="Straight Connector 16">
            <a:extLst>
              <a:ext uri="{FF2B5EF4-FFF2-40B4-BE49-F238E27FC236}">
                <a16:creationId xmlns:a16="http://schemas.microsoft.com/office/drawing/2014/main" id="{AFAAB6CE-721F-E53C-E115-98B825697CC0}"/>
              </a:ext>
            </a:extLst>
          </xdr:cNvPr>
          <xdr:cNvCxnSpPr/>
        </xdr:nvCxnSpPr>
        <xdr:spPr>
          <a:xfrm rot="8640000">
            <a:off x="11264163" y="6313726"/>
            <a:ext cx="0" cy="1005840"/>
          </a:xfrm>
          <a:prstGeom prst="line">
            <a:avLst/>
          </a:prstGeom>
          <a:ln w="9525">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5477F875-986F-4420-B616-857D78C35BA1}"/>
              </a:ext>
            </a:extLst>
          </xdr:cNvPr>
          <xdr:cNvCxnSpPr/>
        </xdr:nvCxnSpPr>
        <xdr:spPr>
          <a:xfrm rot="12960000">
            <a:off x="10721394" y="6307613"/>
            <a:ext cx="0" cy="1005840"/>
          </a:xfrm>
          <a:prstGeom prst="line">
            <a:avLst/>
          </a:prstGeom>
          <a:ln w="9525">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19" name="Straight Connector 18">
            <a:extLst>
              <a:ext uri="{FF2B5EF4-FFF2-40B4-BE49-F238E27FC236}">
                <a16:creationId xmlns:a16="http://schemas.microsoft.com/office/drawing/2014/main" id="{6869CE84-2B3D-5016-88D0-2E502967A3BB}"/>
              </a:ext>
            </a:extLst>
          </xdr:cNvPr>
          <xdr:cNvCxnSpPr/>
        </xdr:nvCxnSpPr>
        <xdr:spPr>
          <a:xfrm rot="17280000">
            <a:off x="10501139" y="5774256"/>
            <a:ext cx="0" cy="1005840"/>
          </a:xfrm>
          <a:prstGeom prst="line">
            <a:avLst/>
          </a:prstGeom>
          <a:ln w="9525">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15</xdr:col>
      <xdr:colOff>365760</xdr:colOff>
      <xdr:row>28</xdr:row>
      <xdr:rowOff>68009</xdr:rowOff>
    </xdr:from>
    <xdr:to>
      <xdr:col>20</xdr:col>
      <xdr:colOff>281940</xdr:colOff>
      <xdr:row>43</xdr:row>
      <xdr:rowOff>19622</xdr:rowOff>
    </xdr:to>
    <xdr:graphicFrame macro="">
      <xdr:nvGraphicFramePr>
        <xdr:cNvPr id="20" name="Chart 19">
          <a:extLst>
            <a:ext uri="{FF2B5EF4-FFF2-40B4-BE49-F238E27FC236}">
              <a16:creationId xmlns:a16="http://schemas.microsoft.com/office/drawing/2014/main" id="{5554F673-9F3C-4E97-9054-CC0C609CA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137160</xdr:colOff>
      <xdr:row>14</xdr:row>
      <xdr:rowOff>91440</xdr:rowOff>
    </xdr:from>
    <xdr:to>
      <xdr:col>20</xdr:col>
      <xdr:colOff>579120</xdr:colOff>
      <xdr:row>24</xdr:row>
      <xdr:rowOff>68580</xdr:rowOff>
    </xdr:to>
    <xdr:graphicFrame macro="">
      <xdr:nvGraphicFramePr>
        <xdr:cNvPr id="21" name="Chart 20">
          <a:extLst>
            <a:ext uri="{FF2B5EF4-FFF2-40B4-BE49-F238E27FC236}">
              <a16:creationId xmlns:a16="http://schemas.microsoft.com/office/drawing/2014/main" id="{C6C311E2-9457-4FED-9196-51974E427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377190</xdr:colOff>
      <xdr:row>14</xdr:row>
      <xdr:rowOff>129540</xdr:rowOff>
    </xdr:from>
    <xdr:to>
      <xdr:col>14</xdr:col>
      <xdr:colOff>281940</xdr:colOff>
      <xdr:row>28</xdr:row>
      <xdr:rowOff>175260</xdr:rowOff>
    </xdr:to>
    <xdr:graphicFrame macro="">
      <xdr:nvGraphicFramePr>
        <xdr:cNvPr id="22" name="Chart 21">
          <a:extLst>
            <a:ext uri="{FF2B5EF4-FFF2-40B4-BE49-F238E27FC236}">
              <a16:creationId xmlns:a16="http://schemas.microsoft.com/office/drawing/2014/main" id="{80E46955-BC20-426B-AC11-1A0117C7D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251460</xdr:colOff>
      <xdr:row>31</xdr:row>
      <xdr:rowOff>144780</xdr:rowOff>
    </xdr:from>
    <xdr:to>
      <xdr:col>6</xdr:col>
      <xdr:colOff>434340</xdr:colOff>
      <xdr:row>42</xdr:row>
      <xdr:rowOff>144780</xdr:rowOff>
    </xdr:to>
    <xdr:graphicFrame macro="">
      <xdr:nvGraphicFramePr>
        <xdr:cNvPr id="23" name="Chart 22">
          <a:extLst>
            <a:ext uri="{FF2B5EF4-FFF2-40B4-BE49-F238E27FC236}">
              <a16:creationId xmlns:a16="http://schemas.microsoft.com/office/drawing/2014/main" id="{9F096071-D1DA-45A1-A8DB-AC51D919B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213360</xdr:colOff>
      <xdr:row>31</xdr:row>
      <xdr:rowOff>152400</xdr:rowOff>
    </xdr:from>
    <xdr:to>
      <xdr:col>10</xdr:col>
      <xdr:colOff>396240</xdr:colOff>
      <xdr:row>42</xdr:row>
      <xdr:rowOff>152400</xdr:rowOff>
    </xdr:to>
    <xdr:graphicFrame macro="">
      <xdr:nvGraphicFramePr>
        <xdr:cNvPr id="24" name="Chart 23">
          <a:extLst>
            <a:ext uri="{FF2B5EF4-FFF2-40B4-BE49-F238E27FC236}">
              <a16:creationId xmlns:a16="http://schemas.microsoft.com/office/drawing/2014/main" id="{C1071F93-1839-47FB-8FF9-8722E24E5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198120</xdr:colOff>
      <xdr:row>31</xdr:row>
      <xdr:rowOff>152400</xdr:rowOff>
    </xdr:from>
    <xdr:to>
      <xdr:col>14</xdr:col>
      <xdr:colOff>381000</xdr:colOff>
      <xdr:row>42</xdr:row>
      <xdr:rowOff>152400</xdr:rowOff>
    </xdr:to>
    <xdr:graphicFrame macro="">
      <xdr:nvGraphicFramePr>
        <xdr:cNvPr id="25" name="Chart 24">
          <a:extLst>
            <a:ext uri="{FF2B5EF4-FFF2-40B4-BE49-F238E27FC236}">
              <a16:creationId xmlns:a16="http://schemas.microsoft.com/office/drawing/2014/main" id="{AB0C4BAE-33AF-4784-A1AE-EA92736D5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144666</xdr:colOff>
      <xdr:row>12</xdr:row>
      <xdr:rowOff>140970</xdr:rowOff>
    </xdr:from>
    <xdr:to>
      <xdr:col>6</xdr:col>
      <xdr:colOff>243955</xdr:colOff>
      <xdr:row>14</xdr:row>
      <xdr:rowOff>41910</xdr:rowOff>
    </xdr:to>
    <xdr:sp macro="" textlink="Processing!I1">
      <xdr:nvSpPr>
        <xdr:cNvPr id="26" name="TextBox 25">
          <a:extLst>
            <a:ext uri="{FF2B5EF4-FFF2-40B4-BE49-F238E27FC236}">
              <a16:creationId xmlns:a16="http://schemas.microsoft.com/office/drawing/2014/main" id="{C385BAD8-7FFC-429E-9294-0E29B3F3BC70}"/>
            </a:ext>
          </a:extLst>
        </xdr:cNvPr>
        <xdr:cNvSpPr txBox="1"/>
      </xdr:nvSpPr>
      <xdr:spPr>
        <a:xfrm>
          <a:off x="2583066" y="2335530"/>
          <a:ext cx="131848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8C4D6266-A3E6-42AB-A54C-283FF32F3C9B}" type="TxLink">
            <a:rPr lang="en-US" sz="1200" b="0" i="0" u="none" strike="noStrike">
              <a:solidFill>
                <a:schemeClr val="tx1"/>
              </a:solidFill>
              <a:latin typeface="Aptos Narrow"/>
              <a:ea typeface="+mn-ea"/>
              <a:cs typeface="+mn-cs"/>
            </a:rPr>
            <a:pPr marL="0" indent="0"/>
            <a:t>Client Structure</a:t>
          </a:fld>
          <a:endParaRPr lang="ru-RU" sz="1200" b="0" i="0" u="none" strike="noStrike">
            <a:solidFill>
              <a:schemeClr val="tx1"/>
            </a:solidFill>
            <a:latin typeface="Aptos Narrow"/>
            <a:ea typeface="+mn-ea"/>
            <a:cs typeface="+mn-cs"/>
          </a:endParaRPr>
        </a:p>
      </xdr:txBody>
    </xdr:sp>
    <xdr:clientData/>
  </xdr:twoCellAnchor>
  <xdr:twoCellAnchor>
    <xdr:from>
      <xdr:col>7</xdr:col>
      <xdr:colOff>55881</xdr:colOff>
      <xdr:row>12</xdr:row>
      <xdr:rowOff>140970</xdr:rowOff>
    </xdr:from>
    <xdr:to>
      <xdr:col>9</xdr:col>
      <xdr:colOff>287019</xdr:colOff>
      <xdr:row>14</xdr:row>
      <xdr:rowOff>41910</xdr:rowOff>
    </xdr:to>
    <xdr:sp macro="" textlink="Processing!G1">
      <xdr:nvSpPr>
        <xdr:cNvPr id="27" name="TextBox 26">
          <a:extLst>
            <a:ext uri="{FF2B5EF4-FFF2-40B4-BE49-F238E27FC236}">
              <a16:creationId xmlns:a16="http://schemas.microsoft.com/office/drawing/2014/main" id="{2B249B00-E366-413A-B007-CA36B1A27276}"/>
            </a:ext>
          </a:extLst>
        </xdr:cNvPr>
        <xdr:cNvSpPr txBox="1"/>
      </xdr:nvSpPr>
      <xdr:spPr>
        <a:xfrm>
          <a:off x="4323081" y="2335530"/>
          <a:ext cx="145033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A17B9EB-55F2-4C15-A378-8ED62CE0532B}" type="TxLink">
            <a:rPr lang="en-US" sz="1200" b="0" i="0" u="none" strike="noStrike">
              <a:solidFill>
                <a:schemeClr val="tx1"/>
              </a:solidFill>
              <a:latin typeface="Aptos Narrow"/>
              <a:ea typeface="+mn-ea"/>
              <a:cs typeface="+mn-cs"/>
            </a:rPr>
            <a:pPr marL="0" indent="0"/>
            <a:t>New Clients</a:t>
          </a:fld>
          <a:endParaRPr lang="ru-RU" sz="1200" b="0" i="0" u="none" strike="noStrike">
            <a:solidFill>
              <a:schemeClr val="tx1"/>
            </a:solidFill>
            <a:latin typeface="Aptos Narrow"/>
            <a:ea typeface="+mn-ea"/>
            <a:cs typeface="+mn-cs"/>
          </a:endParaRPr>
        </a:p>
      </xdr:txBody>
    </xdr:sp>
    <xdr:clientData/>
  </xdr:twoCellAnchor>
  <xdr:twoCellAnchor>
    <xdr:from>
      <xdr:col>10</xdr:col>
      <xdr:colOff>279273</xdr:colOff>
      <xdr:row>12</xdr:row>
      <xdr:rowOff>140970</xdr:rowOff>
    </xdr:from>
    <xdr:to>
      <xdr:col>13</xdr:col>
      <xdr:colOff>17907</xdr:colOff>
      <xdr:row>14</xdr:row>
      <xdr:rowOff>41910</xdr:rowOff>
    </xdr:to>
    <xdr:sp macro="" textlink="Processing!H1">
      <xdr:nvSpPr>
        <xdr:cNvPr id="28" name="TextBox 27">
          <a:extLst>
            <a:ext uri="{FF2B5EF4-FFF2-40B4-BE49-F238E27FC236}">
              <a16:creationId xmlns:a16="http://schemas.microsoft.com/office/drawing/2014/main" id="{67FB7186-F51E-4D6B-88A8-D7169F26BB7A}"/>
            </a:ext>
          </a:extLst>
        </xdr:cNvPr>
        <xdr:cNvSpPr txBox="1"/>
      </xdr:nvSpPr>
      <xdr:spPr>
        <a:xfrm>
          <a:off x="6375273" y="2335530"/>
          <a:ext cx="156743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2AD392E0-7EA6-43E9-978E-C8298B48664B}" type="TxLink">
            <a:rPr lang="en-US" sz="1200" b="0" i="0" u="none" strike="noStrike">
              <a:solidFill>
                <a:schemeClr val="tx1"/>
              </a:solidFill>
              <a:latin typeface="Aptos Narrow"/>
              <a:ea typeface="+mn-ea"/>
              <a:cs typeface="+mn-cs"/>
            </a:rPr>
            <a:pPr marL="0" indent="0"/>
            <a:t>Regular Clients</a:t>
          </a:fld>
          <a:endParaRPr lang="ru-RU" sz="1200" b="0" i="0" u="none" strike="noStrike">
            <a:solidFill>
              <a:schemeClr val="tx1"/>
            </a:solidFill>
            <a:latin typeface="Aptos Narrow"/>
            <a:ea typeface="+mn-ea"/>
            <a:cs typeface="+mn-cs"/>
          </a:endParaRPr>
        </a:p>
      </xdr:txBody>
    </xdr:sp>
    <xdr:clientData/>
  </xdr:twoCellAnchor>
  <xdr:twoCellAnchor>
    <xdr:from>
      <xdr:col>9</xdr:col>
      <xdr:colOff>137160</xdr:colOff>
      <xdr:row>12</xdr:row>
      <xdr:rowOff>140970</xdr:rowOff>
    </xdr:from>
    <xdr:to>
      <xdr:col>11</xdr:col>
      <xdr:colOff>7620</xdr:colOff>
      <xdr:row>14</xdr:row>
      <xdr:rowOff>41910</xdr:rowOff>
    </xdr:to>
    <xdr:sp macro="" textlink="Processing!K14">
      <xdr:nvSpPr>
        <xdr:cNvPr id="29" name="TextBox 28">
          <a:extLst>
            <a:ext uri="{FF2B5EF4-FFF2-40B4-BE49-F238E27FC236}">
              <a16:creationId xmlns:a16="http://schemas.microsoft.com/office/drawing/2014/main" id="{44B65079-55A3-48FF-9AD6-8963C762B308}"/>
            </a:ext>
          </a:extLst>
        </xdr:cNvPr>
        <xdr:cNvSpPr txBox="1"/>
      </xdr:nvSpPr>
      <xdr:spPr>
        <a:xfrm>
          <a:off x="5623560" y="2335530"/>
          <a:ext cx="10896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DA6C763D-4C9F-4C7F-81DE-CD37FD465BC9}" type="TxLink">
            <a:rPr lang="en-US" sz="1400" b="0" i="0" u="none" strike="noStrike">
              <a:solidFill>
                <a:srgbClr val="00C74D"/>
              </a:solidFill>
              <a:latin typeface="Aptos Narrow"/>
              <a:ea typeface="+mn-ea"/>
              <a:cs typeface="+mn-cs"/>
            </a:rPr>
            <a:pPr marL="0" indent="0"/>
            <a:t>  907</a:t>
          </a:fld>
          <a:endParaRPr lang="ru-RU" sz="1400" b="0" i="0" u="none" strike="noStrike">
            <a:solidFill>
              <a:srgbClr val="00C74D"/>
            </a:solidFill>
            <a:latin typeface="Aptos Narrow"/>
            <a:ea typeface="+mn-ea"/>
            <a:cs typeface="+mn-cs"/>
          </a:endParaRPr>
        </a:p>
      </xdr:txBody>
    </xdr:sp>
    <xdr:clientData/>
  </xdr:twoCellAnchor>
  <xdr:twoCellAnchor>
    <xdr:from>
      <xdr:col>12</xdr:col>
      <xdr:colOff>472440</xdr:colOff>
      <xdr:row>12</xdr:row>
      <xdr:rowOff>140970</xdr:rowOff>
    </xdr:from>
    <xdr:to>
      <xdr:col>14</xdr:col>
      <xdr:colOff>342900</xdr:colOff>
      <xdr:row>14</xdr:row>
      <xdr:rowOff>41910</xdr:rowOff>
    </xdr:to>
    <xdr:sp macro="" textlink="Processing!L14">
      <xdr:nvSpPr>
        <xdr:cNvPr id="30" name="TextBox 29">
          <a:extLst>
            <a:ext uri="{FF2B5EF4-FFF2-40B4-BE49-F238E27FC236}">
              <a16:creationId xmlns:a16="http://schemas.microsoft.com/office/drawing/2014/main" id="{153F8BB2-A4FA-4D40-9C83-F1992EF5D5EA}"/>
            </a:ext>
          </a:extLst>
        </xdr:cNvPr>
        <xdr:cNvSpPr txBox="1"/>
      </xdr:nvSpPr>
      <xdr:spPr>
        <a:xfrm>
          <a:off x="7787640" y="2335530"/>
          <a:ext cx="10896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642AC0B-C470-41D0-8AE6-42876ADD99A6}" type="TxLink">
            <a:rPr lang="en-US" sz="1400" b="0" i="0" u="none" strike="noStrike">
              <a:solidFill>
                <a:srgbClr val="9980FF"/>
              </a:solidFill>
              <a:latin typeface="Aptos Narrow"/>
              <a:ea typeface="+mn-ea"/>
              <a:cs typeface="+mn-cs"/>
            </a:rPr>
            <a:pPr marL="0" indent="0"/>
            <a:t>  740</a:t>
          </a:fld>
          <a:endParaRPr lang="ru-RU" sz="1400" b="0" i="0" u="none" strike="noStrike">
            <a:solidFill>
              <a:srgbClr val="9980FF"/>
            </a:solidFill>
            <a:latin typeface="Aptos Narrow"/>
            <a:ea typeface="+mn-ea"/>
            <a:cs typeface="+mn-cs"/>
          </a:endParaRPr>
        </a:p>
      </xdr:txBody>
    </xdr:sp>
    <xdr:clientData/>
  </xdr:twoCellAnchor>
  <xdr:twoCellAnchor>
    <xdr:from>
      <xdr:col>15</xdr:col>
      <xdr:colOff>403747</xdr:colOff>
      <xdr:row>12</xdr:row>
      <xdr:rowOff>140970</xdr:rowOff>
    </xdr:from>
    <xdr:to>
      <xdr:col>17</xdr:col>
      <xdr:colOff>121921</xdr:colOff>
      <xdr:row>14</xdr:row>
      <xdr:rowOff>41910</xdr:rowOff>
    </xdr:to>
    <xdr:sp macro="" textlink="Processing!B1">
      <xdr:nvSpPr>
        <xdr:cNvPr id="31" name="TextBox 30">
          <a:extLst>
            <a:ext uri="{FF2B5EF4-FFF2-40B4-BE49-F238E27FC236}">
              <a16:creationId xmlns:a16="http://schemas.microsoft.com/office/drawing/2014/main" id="{FE4BA500-5E7D-4ED4-9799-8E1F55D65BE8}"/>
            </a:ext>
          </a:extLst>
        </xdr:cNvPr>
        <xdr:cNvSpPr txBox="1"/>
      </xdr:nvSpPr>
      <xdr:spPr>
        <a:xfrm>
          <a:off x="9547747" y="2335530"/>
          <a:ext cx="93737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5B589CD-15BC-4636-9023-229DD0F4BB40}" type="TxLink">
            <a:rPr lang="en-US" sz="1100" b="0" i="0" u="none" strike="noStrike">
              <a:solidFill>
                <a:srgbClr val="000000"/>
              </a:solidFill>
              <a:latin typeface="Aptos Narrow"/>
            </a:rPr>
            <a:pPr/>
            <a:t>Active Client Count</a:t>
          </a:fld>
          <a:endParaRPr lang="ru-RU" sz="1200">
            <a:solidFill>
              <a:schemeClr val="tx1"/>
            </a:solidFill>
          </a:endParaRPr>
        </a:p>
      </xdr:txBody>
    </xdr:sp>
    <xdr:clientData/>
  </xdr:twoCellAnchor>
  <xdr:twoCellAnchor>
    <xdr:from>
      <xdr:col>18</xdr:col>
      <xdr:colOff>29219</xdr:colOff>
      <xdr:row>12</xdr:row>
      <xdr:rowOff>140970</xdr:rowOff>
    </xdr:from>
    <xdr:to>
      <xdr:col>19</xdr:col>
      <xdr:colOff>450730</xdr:colOff>
      <xdr:row>14</xdr:row>
      <xdr:rowOff>41910</xdr:rowOff>
    </xdr:to>
    <xdr:sp macro="" textlink="Processing!C1">
      <xdr:nvSpPr>
        <xdr:cNvPr id="32" name="TextBox 31">
          <a:extLst>
            <a:ext uri="{FF2B5EF4-FFF2-40B4-BE49-F238E27FC236}">
              <a16:creationId xmlns:a16="http://schemas.microsoft.com/office/drawing/2014/main" id="{641B9326-2CE6-49A5-9E43-AE228F304260}"/>
            </a:ext>
          </a:extLst>
        </xdr:cNvPr>
        <xdr:cNvSpPr txBox="1"/>
      </xdr:nvSpPr>
      <xdr:spPr>
        <a:xfrm>
          <a:off x="11002019" y="2335530"/>
          <a:ext cx="103111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12A2977-3B09-4BEA-B5DB-7BEEE62F1754}" type="TxLink">
            <a:rPr lang="en-US" sz="1100" b="0" i="0" u="none" strike="noStrike">
              <a:solidFill>
                <a:srgbClr val="000000"/>
              </a:solidFill>
              <a:latin typeface="Aptos Narrow"/>
            </a:rPr>
            <a:pPr/>
            <a:t>Average Client Count</a:t>
          </a:fld>
          <a:endParaRPr lang="ru-RU" sz="1200">
            <a:solidFill>
              <a:schemeClr val="tx1"/>
            </a:solidFill>
          </a:endParaRPr>
        </a:p>
      </xdr:txBody>
    </xdr:sp>
    <xdr:clientData/>
  </xdr:twoCellAnchor>
  <xdr:twoCellAnchor>
    <xdr:from>
      <xdr:col>16</xdr:col>
      <xdr:colOff>571387</xdr:colOff>
      <xdr:row>12</xdr:row>
      <xdr:rowOff>140970</xdr:rowOff>
    </xdr:from>
    <xdr:to>
      <xdr:col>18</xdr:col>
      <xdr:colOff>30480</xdr:colOff>
      <xdr:row>14</xdr:row>
      <xdr:rowOff>41910</xdr:rowOff>
    </xdr:to>
    <xdr:sp macro="" textlink="Processing!D14">
      <xdr:nvSpPr>
        <xdr:cNvPr id="33" name="TextBox 32">
          <a:extLst>
            <a:ext uri="{FF2B5EF4-FFF2-40B4-BE49-F238E27FC236}">
              <a16:creationId xmlns:a16="http://schemas.microsoft.com/office/drawing/2014/main" id="{DA55AD24-1018-4F21-B9B2-167FE22CAE84}"/>
            </a:ext>
          </a:extLst>
        </xdr:cNvPr>
        <xdr:cNvSpPr txBox="1"/>
      </xdr:nvSpPr>
      <xdr:spPr>
        <a:xfrm>
          <a:off x="10324987" y="2335530"/>
          <a:ext cx="678293"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E9C60656-2119-4698-88A2-0BF8F7A9D3CB}" type="TxLink">
            <a:rPr lang="en-US" sz="1100" b="0" i="0" u="none" strike="noStrike">
              <a:solidFill>
                <a:srgbClr val="00C74D"/>
              </a:solidFill>
              <a:latin typeface="Aptos Narrow"/>
              <a:ea typeface="+mn-ea"/>
              <a:cs typeface="+mn-cs"/>
            </a:rPr>
            <a:pPr marL="0" indent="0"/>
            <a:t>  612</a:t>
          </a:fld>
          <a:endParaRPr lang="ru-RU" sz="1100" b="0" i="0" u="none" strike="noStrike">
            <a:solidFill>
              <a:srgbClr val="00C74D"/>
            </a:solidFill>
            <a:latin typeface="Aptos Narrow"/>
            <a:ea typeface="+mn-ea"/>
            <a:cs typeface="+mn-cs"/>
          </a:endParaRPr>
        </a:p>
      </xdr:txBody>
    </xdr:sp>
    <xdr:clientData/>
  </xdr:twoCellAnchor>
  <xdr:twoCellAnchor>
    <xdr:from>
      <xdr:col>19</xdr:col>
      <xdr:colOff>350407</xdr:colOff>
      <xdr:row>12</xdr:row>
      <xdr:rowOff>140970</xdr:rowOff>
    </xdr:from>
    <xdr:to>
      <xdr:col>20</xdr:col>
      <xdr:colOff>419100</xdr:colOff>
      <xdr:row>14</xdr:row>
      <xdr:rowOff>41910</xdr:rowOff>
    </xdr:to>
    <xdr:sp macro="" textlink="Processing!E14">
      <xdr:nvSpPr>
        <xdr:cNvPr id="34" name="TextBox 33">
          <a:extLst>
            <a:ext uri="{FF2B5EF4-FFF2-40B4-BE49-F238E27FC236}">
              <a16:creationId xmlns:a16="http://schemas.microsoft.com/office/drawing/2014/main" id="{0E4006C9-457B-44ED-A4C0-479E9B35823C}"/>
            </a:ext>
          </a:extLst>
        </xdr:cNvPr>
        <xdr:cNvSpPr txBox="1"/>
      </xdr:nvSpPr>
      <xdr:spPr>
        <a:xfrm>
          <a:off x="11932807" y="2335530"/>
          <a:ext cx="678293"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87A182F-B3C4-482B-9FD7-0C3FE60C369A}" type="TxLink">
            <a:rPr lang="en-US" sz="1100" b="0" i="0" u="none" strike="noStrike">
              <a:solidFill>
                <a:srgbClr val="9980FF"/>
              </a:solidFill>
              <a:latin typeface="Aptos Narrow"/>
              <a:ea typeface="+mn-ea"/>
              <a:cs typeface="+mn-cs"/>
            </a:rPr>
            <a:pPr/>
            <a:t>  520</a:t>
          </a:fld>
          <a:endParaRPr lang="ru-RU" sz="1100" b="0" i="0" u="none" strike="noStrike">
            <a:solidFill>
              <a:srgbClr val="9980FF"/>
            </a:solidFill>
            <a:latin typeface="Aptos Narrow"/>
            <a:ea typeface="+mn-ea"/>
            <a:cs typeface="+mn-cs"/>
          </a:endParaRPr>
        </a:p>
      </xdr:txBody>
    </xdr:sp>
    <xdr:clientData/>
  </xdr:twoCellAnchor>
  <xdr:twoCellAnchor>
    <xdr:from>
      <xdr:col>15</xdr:col>
      <xdr:colOff>403747</xdr:colOff>
      <xdr:row>27</xdr:row>
      <xdr:rowOff>11430</xdr:rowOff>
    </xdr:from>
    <xdr:to>
      <xdr:col>17</xdr:col>
      <xdr:colOff>281827</xdr:colOff>
      <xdr:row>28</xdr:row>
      <xdr:rowOff>95250</xdr:rowOff>
    </xdr:to>
    <xdr:sp macro="" textlink="Processing!P1">
      <xdr:nvSpPr>
        <xdr:cNvPr id="35" name="TextBox 34">
          <a:extLst>
            <a:ext uri="{FF2B5EF4-FFF2-40B4-BE49-F238E27FC236}">
              <a16:creationId xmlns:a16="http://schemas.microsoft.com/office/drawing/2014/main" id="{DD78E49B-6C83-4B29-8030-C17AC70DD9AA}"/>
            </a:ext>
          </a:extLst>
        </xdr:cNvPr>
        <xdr:cNvSpPr txBox="1"/>
      </xdr:nvSpPr>
      <xdr:spPr>
        <a:xfrm>
          <a:off x="9547747" y="4949190"/>
          <a:ext cx="10972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58C3385-998E-4BA5-B58F-7B8B9C599941}" type="TxLink">
            <a:rPr lang="en-US" sz="1200" b="0" i="0" u="none" strike="noStrike">
              <a:solidFill>
                <a:srgbClr val="000000"/>
              </a:solidFill>
              <a:latin typeface="Aptos Narrow"/>
            </a:rPr>
            <a:pPr/>
            <a:t>Points of Sale</a:t>
          </a:fld>
          <a:endParaRPr lang="ru-RU" sz="1400">
            <a:solidFill>
              <a:schemeClr val="bg1">
                <a:lumMod val="50000"/>
              </a:schemeClr>
            </a:solidFill>
          </a:endParaRPr>
        </a:p>
      </xdr:txBody>
    </xdr:sp>
    <xdr:clientData/>
  </xdr:twoCellAnchor>
  <xdr:twoCellAnchor>
    <xdr:from>
      <xdr:col>19</xdr:col>
      <xdr:colOff>198119</xdr:colOff>
      <xdr:row>28</xdr:row>
      <xdr:rowOff>64770</xdr:rowOff>
    </xdr:from>
    <xdr:to>
      <xdr:col>20</xdr:col>
      <xdr:colOff>190500</xdr:colOff>
      <xdr:row>29</xdr:row>
      <xdr:rowOff>148590</xdr:rowOff>
    </xdr:to>
    <xdr:sp macro="" textlink="Processing!Q1">
      <xdr:nvSpPr>
        <xdr:cNvPr id="36" name="TextBox 35">
          <a:extLst>
            <a:ext uri="{FF2B5EF4-FFF2-40B4-BE49-F238E27FC236}">
              <a16:creationId xmlns:a16="http://schemas.microsoft.com/office/drawing/2014/main" id="{B82A2A68-18AC-40B5-A129-55A812CC6035}"/>
            </a:ext>
          </a:extLst>
        </xdr:cNvPr>
        <xdr:cNvSpPr txBox="1"/>
      </xdr:nvSpPr>
      <xdr:spPr>
        <a:xfrm>
          <a:off x="11780519" y="5185410"/>
          <a:ext cx="60198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5A41D10-062A-4CDE-857C-AD8D6EE481B3}" type="TxLink">
            <a:rPr lang="en-US" sz="1100" b="0" i="0" u="none" strike="noStrike">
              <a:solidFill>
                <a:srgbClr val="000000"/>
              </a:solidFill>
              <a:latin typeface="Aptos Narrow"/>
            </a:rPr>
            <a:pPr algn="r"/>
            <a:t>KPI</a:t>
          </a:fld>
          <a:endParaRPr lang="ru-RU" sz="1200">
            <a:solidFill>
              <a:schemeClr val="bg1">
                <a:lumMod val="50000"/>
              </a:schemeClr>
            </a:solidFill>
          </a:endParaRPr>
        </a:p>
      </xdr:txBody>
    </xdr:sp>
    <xdr:clientData/>
  </xdr:twoCellAnchor>
  <xdr:twoCellAnchor>
    <xdr:from>
      <xdr:col>19</xdr:col>
      <xdr:colOff>198119</xdr:colOff>
      <xdr:row>27</xdr:row>
      <xdr:rowOff>3810</xdr:rowOff>
    </xdr:from>
    <xdr:to>
      <xdr:col>20</xdr:col>
      <xdr:colOff>190500</xdr:colOff>
      <xdr:row>28</xdr:row>
      <xdr:rowOff>87630</xdr:rowOff>
    </xdr:to>
    <xdr:sp macro="" textlink="Processing!R1">
      <xdr:nvSpPr>
        <xdr:cNvPr id="37" name="TextBox 36">
          <a:extLst>
            <a:ext uri="{FF2B5EF4-FFF2-40B4-BE49-F238E27FC236}">
              <a16:creationId xmlns:a16="http://schemas.microsoft.com/office/drawing/2014/main" id="{5D327510-C34A-4A2F-A26A-819BB6D1C56E}"/>
            </a:ext>
          </a:extLst>
        </xdr:cNvPr>
        <xdr:cNvSpPr txBox="1"/>
      </xdr:nvSpPr>
      <xdr:spPr>
        <a:xfrm>
          <a:off x="11780519" y="4941570"/>
          <a:ext cx="60198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9B409F6-96B7-498F-AA21-D52E6DD2F029}" type="TxLink">
            <a:rPr lang="en-US" sz="1200" b="0" i="0" u="none" strike="noStrike">
              <a:solidFill>
                <a:srgbClr val="000000"/>
              </a:solidFill>
              <a:latin typeface="Aptos Narrow"/>
            </a:rPr>
            <a:pPr algn="r"/>
            <a:t>Cost</a:t>
          </a:fld>
          <a:endParaRPr lang="ru-RU" sz="1400">
            <a:solidFill>
              <a:schemeClr val="bg1">
                <a:lumMod val="50000"/>
              </a:schemeClr>
            </a:solidFill>
          </a:endParaRPr>
        </a:p>
      </xdr:txBody>
    </xdr:sp>
    <xdr:clientData/>
  </xdr:twoCellAnchor>
  <xdr:twoCellAnchor>
    <xdr:from>
      <xdr:col>20</xdr:col>
      <xdr:colOff>213360</xdr:colOff>
      <xdr:row>27</xdr:row>
      <xdr:rowOff>68580</xdr:rowOff>
    </xdr:from>
    <xdr:to>
      <xdr:col>20</xdr:col>
      <xdr:colOff>350520</xdr:colOff>
      <xdr:row>28</xdr:row>
      <xdr:rowOff>22860</xdr:rowOff>
    </xdr:to>
    <xdr:sp macro="" textlink="">
      <xdr:nvSpPr>
        <xdr:cNvPr id="38" name="Oval 37">
          <a:extLst>
            <a:ext uri="{FF2B5EF4-FFF2-40B4-BE49-F238E27FC236}">
              <a16:creationId xmlns:a16="http://schemas.microsoft.com/office/drawing/2014/main" id="{0BC240FE-2453-4385-AA81-673584C1CE46}"/>
            </a:ext>
          </a:extLst>
        </xdr:cNvPr>
        <xdr:cNvSpPr/>
      </xdr:nvSpPr>
      <xdr:spPr>
        <a:xfrm>
          <a:off x="12405360" y="5006340"/>
          <a:ext cx="137160" cy="137160"/>
        </a:xfrm>
        <a:prstGeom prst="ellipse">
          <a:avLst/>
        </a:prstGeom>
        <a:noFill/>
        <a:ln>
          <a:solidFill>
            <a:srgbClr val="998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213360</xdr:colOff>
      <xdr:row>28</xdr:row>
      <xdr:rowOff>121920</xdr:rowOff>
    </xdr:from>
    <xdr:to>
      <xdr:col>20</xdr:col>
      <xdr:colOff>350520</xdr:colOff>
      <xdr:row>29</xdr:row>
      <xdr:rowOff>76200</xdr:rowOff>
    </xdr:to>
    <xdr:sp macro="" textlink="">
      <xdr:nvSpPr>
        <xdr:cNvPr id="39" name="Oval 38">
          <a:extLst>
            <a:ext uri="{FF2B5EF4-FFF2-40B4-BE49-F238E27FC236}">
              <a16:creationId xmlns:a16="http://schemas.microsoft.com/office/drawing/2014/main" id="{FC8A5C4F-A579-41C1-9AD4-FD478CDE4223}"/>
            </a:ext>
          </a:extLst>
        </xdr:cNvPr>
        <xdr:cNvSpPr/>
      </xdr:nvSpPr>
      <xdr:spPr>
        <a:xfrm>
          <a:off x="12405360" y="5242560"/>
          <a:ext cx="137160" cy="137160"/>
        </a:xfrm>
        <a:prstGeom prst="ellipse">
          <a:avLst/>
        </a:prstGeom>
        <a:noFill/>
        <a:ln>
          <a:solidFill>
            <a:srgbClr val="00C74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193618</xdr:colOff>
      <xdr:row>38</xdr:row>
      <xdr:rowOff>148590</xdr:rowOff>
    </xdr:from>
    <xdr:to>
      <xdr:col>5</xdr:col>
      <xdr:colOff>484563</xdr:colOff>
      <xdr:row>40</xdr:row>
      <xdr:rowOff>49530</xdr:rowOff>
    </xdr:to>
    <xdr:sp macro="" textlink="Processing!P11">
      <xdr:nvSpPr>
        <xdr:cNvPr id="40" name="TextBox 39">
          <a:extLst>
            <a:ext uri="{FF2B5EF4-FFF2-40B4-BE49-F238E27FC236}">
              <a16:creationId xmlns:a16="http://schemas.microsoft.com/office/drawing/2014/main" id="{4D909701-AAF0-47A1-BCEC-3C358FFABED1}"/>
            </a:ext>
          </a:extLst>
        </xdr:cNvPr>
        <xdr:cNvSpPr txBox="1"/>
      </xdr:nvSpPr>
      <xdr:spPr>
        <a:xfrm>
          <a:off x="2632018" y="7098030"/>
          <a:ext cx="90054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61E3E4-0238-45CC-9E47-4655CB597091}" type="TxLink">
            <a:rPr lang="en-US" sz="1100" b="0" i="0" u="none" strike="noStrike">
              <a:solidFill>
                <a:srgbClr val="000000"/>
              </a:solidFill>
              <a:latin typeface="Aptos Narrow"/>
            </a:rPr>
            <a:pPr algn="ctr"/>
            <a:t>Customer</a:t>
          </a:fld>
          <a:endParaRPr lang="ru-RU" sz="1200">
            <a:solidFill>
              <a:schemeClr val="tx1"/>
            </a:solidFill>
          </a:endParaRPr>
        </a:p>
      </xdr:txBody>
    </xdr:sp>
    <xdr:clientData/>
  </xdr:twoCellAnchor>
  <xdr:twoCellAnchor>
    <xdr:from>
      <xdr:col>4</xdr:col>
      <xdr:colOff>193618</xdr:colOff>
      <xdr:row>34</xdr:row>
      <xdr:rowOff>60178</xdr:rowOff>
    </xdr:from>
    <xdr:to>
      <xdr:col>5</xdr:col>
      <xdr:colOff>484563</xdr:colOff>
      <xdr:row>37</xdr:row>
      <xdr:rowOff>31262</xdr:rowOff>
    </xdr:to>
    <xdr:sp macro="" textlink="Processing!P11">
      <xdr:nvSpPr>
        <xdr:cNvPr id="41" name="TextBox 40">
          <a:extLst>
            <a:ext uri="{FF2B5EF4-FFF2-40B4-BE49-F238E27FC236}">
              <a16:creationId xmlns:a16="http://schemas.microsoft.com/office/drawing/2014/main" id="{A92247D8-0555-4472-9CAA-12B3C1D2FB92}"/>
            </a:ext>
          </a:extLst>
        </xdr:cNvPr>
        <xdr:cNvSpPr txBox="1"/>
      </xdr:nvSpPr>
      <xdr:spPr>
        <a:xfrm>
          <a:off x="2632018" y="6278098"/>
          <a:ext cx="900545" cy="519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rgbClr val="000000"/>
              </a:solidFill>
              <a:latin typeface="Aptos Narrow"/>
            </a:rPr>
            <a:t>C</a:t>
          </a:r>
          <a:endParaRPr lang="ru-RU" sz="4400">
            <a:solidFill>
              <a:schemeClr val="tx1"/>
            </a:solidFill>
          </a:endParaRPr>
        </a:p>
      </xdr:txBody>
    </xdr:sp>
    <xdr:clientData/>
  </xdr:twoCellAnchor>
  <xdr:twoCellAnchor>
    <xdr:from>
      <xdr:col>3</xdr:col>
      <xdr:colOff>589281</xdr:colOff>
      <xdr:row>36</xdr:row>
      <xdr:rowOff>144762</xdr:rowOff>
    </xdr:from>
    <xdr:to>
      <xdr:col>6</xdr:col>
      <xdr:colOff>210819</xdr:colOff>
      <xdr:row>39</xdr:row>
      <xdr:rowOff>68598</xdr:rowOff>
    </xdr:to>
    <xdr:sp macro="" textlink="Processing!Q11">
      <xdr:nvSpPr>
        <xdr:cNvPr id="42" name="TextBox 41">
          <a:extLst>
            <a:ext uri="{FF2B5EF4-FFF2-40B4-BE49-F238E27FC236}">
              <a16:creationId xmlns:a16="http://schemas.microsoft.com/office/drawing/2014/main" id="{C22D6920-0428-4786-B834-560E7C857629}"/>
            </a:ext>
          </a:extLst>
        </xdr:cNvPr>
        <xdr:cNvSpPr txBox="1"/>
      </xdr:nvSpPr>
      <xdr:spPr>
        <a:xfrm>
          <a:off x="2418081" y="6728442"/>
          <a:ext cx="1450338" cy="472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79C8F97-42C1-46BC-9F93-80D03DC58D66}" type="TxLink">
            <a:rPr lang="en-US" sz="2800" b="0" i="0" u="none" strike="noStrike">
              <a:solidFill>
                <a:srgbClr val="00C74D"/>
              </a:solidFill>
              <a:latin typeface="Aptos Narrow"/>
              <a:ea typeface="+mn-ea"/>
              <a:cs typeface="+mn-cs"/>
            </a:rPr>
            <a:pPr marL="0" indent="0" algn="ctr"/>
            <a:t>10%</a:t>
          </a:fld>
          <a:endParaRPr lang="ru-RU" sz="2800" b="0" i="0" u="none" strike="noStrike">
            <a:solidFill>
              <a:srgbClr val="00C74D"/>
            </a:solidFill>
            <a:latin typeface="Aptos Narrow"/>
            <a:ea typeface="+mn-ea"/>
            <a:cs typeface="+mn-cs"/>
          </a:endParaRPr>
        </a:p>
      </xdr:txBody>
    </xdr:sp>
    <xdr:clientData/>
  </xdr:twoCellAnchor>
  <xdr:twoCellAnchor>
    <xdr:from>
      <xdr:col>8</xdr:col>
      <xdr:colOff>155518</xdr:colOff>
      <xdr:row>38</xdr:row>
      <xdr:rowOff>148590</xdr:rowOff>
    </xdr:from>
    <xdr:to>
      <xdr:col>9</xdr:col>
      <xdr:colOff>446463</xdr:colOff>
      <xdr:row>40</xdr:row>
      <xdr:rowOff>49530</xdr:rowOff>
    </xdr:to>
    <xdr:sp macro="" textlink="Processing!P12">
      <xdr:nvSpPr>
        <xdr:cNvPr id="43" name="TextBox 42">
          <a:extLst>
            <a:ext uri="{FF2B5EF4-FFF2-40B4-BE49-F238E27FC236}">
              <a16:creationId xmlns:a16="http://schemas.microsoft.com/office/drawing/2014/main" id="{80A0F2A4-9E69-4D43-812F-80BBE66E9023}"/>
            </a:ext>
          </a:extLst>
        </xdr:cNvPr>
        <xdr:cNvSpPr txBox="1"/>
      </xdr:nvSpPr>
      <xdr:spPr>
        <a:xfrm>
          <a:off x="5032318" y="7098030"/>
          <a:ext cx="90054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494A07-8249-4A14-A9E4-529450584546}" type="TxLink">
            <a:rPr lang="en-US" sz="1100" b="0" i="0" u="none" strike="noStrike">
              <a:solidFill>
                <a:srgbClr val="000000"/>
              </a:solidFill>
              <a:latin typeface="Aptos Narrow"/>
            </a:rPr>
            <a:pPr algn="ctr"/>
            <a:t>Relationship </a:t>
          </a:fld>
          <a:endParaRPr lang="ru-RU" sz="1200">
            <a:solidFill>
              <a:schemeClr val="tx1"/>
            </a:solidFill>
          </a:endParaRPr>
        </a:p>
      </xdr:txBody>
    </xdr:sp>
    <xdr:clientData/>
  </xdr:twoCellAnchor>
  <xdr:twoCellAnchor>
    <xdr:from>
      <xdr:col>8</xdr:col>
      <xdr:colOff>147898</xdr:colOff>
      <xdr:row>34</xdr:row>
      <xdr:rowOff>60178</xdr:rowOff>
    </xdr:from>
    <xdr:to>
      <xdr:col>9</xdr:col>
      <xdr:colOff>438843</xdr:colOff>
      <xdr:row>37</xdr:row>
      <xdr:rowOff>31262</xdr:rowOff>
    </xdr:to>
    <xdr:sp macro="" textlink="Processing!P11">
      <xdr:nvSpPr>
        <xdr:cNvPr id="44" name="TextBox 43">
          <a:extLst>
            <a:ext uri="{FF2B5EF4-FFF2-40B4-BE49-F238E27FC236}">
              <a16:creationId xmlns:a16="http://schemas.microsoft.com/office/drawing/2014/main" id="{7BA25936-62AA-4024-BEA5-2D574A99825D}"/>
            </a:ext>
          </a:extLst>
        </xdr:cNvPr>
        <xdr:cNvSpPr txBox="1"/>
      </xdr:nvSpPr>
      <xdr:spPr>
        <a:xfrm>
          <a:off x="5024698" y="6278098"/>
          <a:ext cx="900545" cy="519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a:solidFill>
                <a:schemeClr val="tx1"/>
              </a:solidFill>
            </a:rPr>
            <a:t>R</a:t>
          </a:r>
          <a:endParaRPr lang="ru-RU" sz="4400">
            <a:solidFill>
              <a:schemeClr val="tx1"/>
            </a:solidFill>
          </a:endParaRPr>
        </a:p>
      </xdr:txBody>
    </xdr:sp>
    <xdr:clientData/>
  </xdr:twoCellAnchor>
  <xdr:twoCellAnchor>
    <xdr:from>
      <xdr:col>7</xdr:col>
      <xdr:colOff>543561</xdr:colOff>
      <xdr:row>36</xdr:row>
      <xdr:rowOff>144762</xdr:rowOff>
    </xdr:from>
    <xdr:to>
      <xdr:col>10</xdr:col>
      <xdr:colOff>165099</xdr:colOff>
      <xdr:row>39</xdr:row>
      <xdr:rowOff>68598</xdr:rowOff>
    </xdr:to>
    <xdr:sp macro="" textlink="Processing!Q12">
      <xdr:nvSpPr>
        <xdr:cNvPr id="45" name="TextBox 44">
          <a:extLst>
            <a:ext uri="{FF2B5EF4-FFF2-40B4-BE49-F238E27FC236}">
              <a16:creationId xmlns:a16="http://schemas.microsoft.com/office/drawing/2014/main" id="{689F4D3F-F021-4B5A-9C8B-6A1578005D12}"/>
            </a:ext>
          </a:extLst>
        </xdr:cNvPr>
        <xdr:cNvSpPr txBox="1"/>
      </xdr:nvSpPr>
      <xdr:spPr>
        <a:xfrm>
          <a:off x="4810761" y="6728442"/>
          <a:ext cx="1450338" cy="472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C4A6D2E-6605-486B-A739-711EFBEEAD46}" type="TxLink">
            <a:rPr lang="en-US" sz="2800" b="0" i="0" u="none" strike="noStrike">
              <a:solidFill>
                <a:srgbClr val="8F72FF"/>
              </a:solidFill>
              <a:latin typeface="Aptos Narrow"/>
              <a:ea typeface="+mn-ea"/>
              <a:cs typeface="+mn-cs"/>
            </a:rPr>
            <a:pPr marL="0" indent="0" algn="ctr"/>
            <a:t>13%</a:t>
          </a:fld>
          <a:endParaRPr lang="ru-RU" sz="2800" b="0" i="0" u="none" strike="noStrike">
            <a:solidFill>
              <a:srgbClr val="8F72FF"/>
            </a:solidFill>
            <a:latin typeface="Aptos Narrow"/>
            <a:ea typeface="+mn-ea"/>
            <a:cs typeface="+mn-cs"/>
          </a:endParaRPr>
        </a:p>
      </xdr:txBody>
    </xdr:sp>
    <xdr:clientData/>
  </xdr:twoCellAnchor>
  <xdr:twoCellAnchor>
    <xdr:from>
      <xdr:col>12</xdr:col>
      <xdr:colOff>140278</xdr:colOff>
      <xdr:row>38</xdr:row>
      <xdr:rowOff>148590</xdr:rowOff>
    </xdr:from>
    <xdr:to>
      <xdr:col>13</xdr:col>
      <xdr:colOff>431223</xdr:colOff>
      <xdr:row>40</xdr:row>
      <xdr:rowOff>49530</xdr:rowOff>
    </xdr:to>
    <xdr:sp macro="" textlink="Processing!P13">
      <xdr:nvSpPr>
        <xdr:cNvPr id="46" name="TextBox 45">
          <a:extLst>
            <a:ext uri="{FF2B5EF4-FFF2-40B4-BE49-F238E27FC236}">
              <a16:creationId xmlns:a16="http://schemas.microsoft.com/office/drawing/2014/main" id="{49661394-AC5D-4198-A505-B03FC9ACFCCC}"/>
            </a:ext>
          </a:extLst>
        </xdr:cNvPr>
        <xdr:cNvSpPr txBox="1"/>
      </xdr:nvSpPr>
      <xdr:spPr>
        <a:xfrm>
          <a:off x="7455478" y="7098030"/>
          <a:ext cx="90054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44342E-BF6B-478E-874B-7D33F89EE963}" type="TxLink">
            <a:rPr lang="en-US" sz="1100" b="0" i="0" u="none" strike="noStrike">
              <a:solidFill>
                <a:srgbClr val="000000"/>
              </a:solidFill>
              <a:latin typeface="Aptos Narrow"/>
            </a:rPr>
            <a:pPr algn="ctr"/>
            <a:t>Management</a:t>
          </a:fld>
          <a:endParaRPr lang="ru-RU" sz="1200">
            <a:solidFill>
              <a:schemeClr val="tx1"/>
            </a:solidFill>
          </a:endParaRPr>
        </a:p>
      </xdr:txBody>
    </xdr:sp>
    <xdr:clientData/>
  </xdr:twoCellAnchor>
  <xdr:twoCellAnchor>
    <xdr:from>
      <xdr:col>12</xdr:col>
      <xdr:colOff>140278</xdr:colOff>
      <xdr:row>34</xdr:row>
      <xdr:rowOff>60178</xdr:rowOff>
    </xdr:from>
    <xdr:to>
      <xdr:col>13</xdr:col>
      <xdr:colOff>431223</xdr:colOff>
      <xdr:row>37</xdr:row>
      <xdr:rowOff>31262</xdr:rowOff>
    </xdr:to>
    <xdr:sp macro="" textlink="Processing!P11">
      <xdr:nvSpPr>
        <xdr:cNvPr id="47" name="TextBox 46">
          <a:extLst>
            <a:ext uri="{FF2B5EF4-FFF2-40B4-BE49-F238E27FC236}">
              <a16:creationId xmlns:a16="http://schemas.microsoft.com/office/drawing/2014/main" id="{07FE8E62-2009-4FEF-A6FC-FB5393BEADF3}"/>
            </a:ext>
          </a:extLst>
        </xdr:cNvPr>
        <xdr:cNvSpPr txBox="1"/>
      </xdr:nvSpPr>
      <xdr:spPr>
        <a:xfrm>
          <a:off x="7455478" y="6278098"/>
          <a:ext cx="900545" cy="519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rgbClr val="000000"/>
              </a:solidFill>
              <a:latin typeface="Aptos Narrow"/>
            </a:rPr>
            <a:t>M</a:t>
          </a:r>
          <a:endParaRPr lang="ru-RU" sz="4400">
            <a:solidFill>
              <a:schemeClr val="tx1"/>
            </a:solidFill>
          </a:endParaRPr>
        </a:p>
      </xdr:txBody>
    </xdr:sp>
    <xdr:clientData/>
  </xdr:twoCellAnchor>
  <xdr:twoCellAnchor>
    <xdr:from>
      <xdr:col>11</xdr:col>
      <xdr:colOff>535941</xdr:colOff>
      <xdr:row>36</xdr:row>
      <xdr:rowOff>144762</xdr:rowOff>
    </xdr:from>
    <xdr:to>
      <xdr:col>14</xdr:col>
      <xdr:colOff>157479</xdr:colOff>
      <xdr:row>39</xdr:row>
      <xdr:rowOff>68598</xdr:rowOff>
    </xdr:to>
    <xdr:sp macro="" textlink="Processing!Q13">
      <xdr:nvSpPr>
        <xdr:cNvPr id="48" name="TextBox 47">
          <a:extLst>
            <a:ext uri="{FF2B5EF4-FFF2-40B4-BE49-F238E27FC236}">
              <a16:creationId xmlns:a16="http://schemas.microsoft.com/office/drawing/2014/main" id="{19F01447-3FDB-4AC8-A3B5-A8A3AF0677CB}"/>
            </a:ext>
          </a:extLst>
        </xdr:cNvPr>
        <xdr:cNvSpPr txBox="1"/>
      </xdr:nvSpPr>
      <xdr:spPr>
        <a:xfrm>
          <a:off x="7241541" y="6728442"/>
          <a:ext cx="1450338" cy="472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9E6101-D655-4690-82E8-3E073DF5DE4A}" type="TxLink">
            <a:rPr lang="en-US" sz="2800" b="0" i="0" u="none" strike="noStrike">
              <a:solidFill>
                <a:srgbClr val="8BBBD9"/>
              </a:solidFill>
              <a:latin typeface="Aptos Narrow"/>
              <a:ea typeface="+mn-ea"/>
              <a:cs typeface="+mn-cs"/>
            </a:rPr>
            <a:pPr marL="0" indent="0" algn="ctr"/>
            <a:t>8%</a:t>
          </a:fld>
          <a:endParaRPr lang="ru-RU" sz="2800" b="0" i="0" u="none" strike="noStrike">
            <a:solidFill>
              <a:srgbClr val="8BBBD9"/>
            </a:solidFill>
            <a:latin typeface="Aptos Narrow"/>
            <a:ea typeface="+mn-ea"/>
            <a:cs typeface="+mn-cs"/>
          </a:endParaRPr>
        </a:p>
      </xdr:txBody>
    </xdr:sp>
    <xdr:clientData/>
  </xdr:twoCellAnchor>
  <xdr:twoCellAnchor editAs="oneCell">
    <xdr:from>
      <xdr:col>4</xdr:col>
      <xdr:colOff>137160</xdr:colOff>
      <xdr:row>27</xdr:row>
      <xdr:rowOff>76200</xdr:rowOff>
    </xdr:from>
    <xdr:to>
      <xdr:col>14</xdr:col>
      <xdr:colOff>259080</xdr:colOff>
      <xdr:row>29</xdr:row>
      <xdr:rowOff>129540</xdr:rowOff>
    </xdr:to>
    <mc:AlternateContent xmlns:mc="http://schemas.openxmlformats.org/markup-compatibility/2006" xmlns:a14="http://schemas.microsoft.com/office/drawing/2010/main">
      <mc:Choice Requires="a14">
        <xdr:graphicFrame macro="">
          <xdr:nvGraphicFramePr>
            <xdr:cNvPr id="49" name="Month 1">
              <a:extLst>
                <a:ext uri="{FF2B5EF4-FFF2-40B4-BE49-F238E27FC236}">
                  <a16:creationId xmlns:a16="http://schemas.microsoft.com/office/drawing/2014/main" id="{AB07BC09-727D-4ADC-9CEF-599BD4F46E3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575560" y="5013960"/>
              <a:ext cx="6217920" cy="4191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175261</xdr:colOff>
      <xdr:row>7</xdr:row>
      <xdr:rowOff>38101</xdr:rowOff>
    </xdr:from>
    <xdr:to>
      <xdr:col>13</xdr:col>
      <xdr:colOff>586741</xdr:colOff>
      <xdr:row>9</xdr:row>
      <xdr:rowOff>106681</xdr:rowOff>
    </xdr:to>
    <mc:AlternateContent xmlns:mc="http://schemas.openxmlformats.org/markup-compatibility/2006" xmlns:a14="http://schemas.microsoft.com/office/drawing/2010/main">
      <mc:Choice Requires="a14">
        <xdr:graphicFrame macro="">
          <xdr:nvGraphicFramePr>
            <xdr:cNvPr id="50" name="Year 1">
              <a:extLst>
                <a:ext uri="{FF2B5EF4-FFF2-40B4-BE49-F238E27FC236}">
                  <a16:creationId xmlns:a16="http://schemas.microsoft.com/office/drawing/2014/main" id="{E7DCE7C1-4238-4F17-8FBF-399BE32AC5A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271261" y="1318261"/>
              <a:ext cx="2240280" cy="4343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148937</xdr:colOff>
      <xdr:row>12</xdr:row>
      <xdr:rowOff>10045</xdr:rowOff>
    </xdr:from>
    <xdr:to>
      <xdr:col>20</xdr:col>
      <xdr:colOff>536864</xdr:colOff>
      <xdr:row>24</xdr:row>
      <xdr:rowOff>149976</xdr:rowOff>
    </xdr:to>
    <xdr:sp macro="" textlink="">
      <xdr:nvSpPr>
        <xdr:cNvPr id="51" name="Rectangle 50">
          <a:hlinkClick xmlns:r="http://schemas.openxmlformats.org/officeDocument/2006/relationships" r:id="rId7"/>
          <a:extLst>
            <a:ext uri="{FF2B5EF4-FFF2-40B4-BE49-F238E27FC236}">
              <a16:creationId xmlns:a16="http://schemas.microsoft.com/office/drawing/2014/main" id="{A66BFAE1-8069-72DE-7123-E3BA73B5982B}"/>
            </a:ext>
          </a:extLst>
        </xdr:cNvPr>
        <xdr:cNvSpPr/>
      </xdr:nvSpPr>
      <xdr:spPr>
        <a:xfrm>
          <a:off x="9292937" y="2204605"/>
          <a:ext cx="3435927" cy="23344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594360</xdr:colOff>
      <xdr:row>8</xdr:row>
      <xdr:rowOff>106680</xdr:rowOff>
    </xdr:from>
    <xdr:to>
      <xdr:col>10</xdr:col>
      <xdr:colOff>464934</xdr:colOff>
      <xdr:row>11</xdr:row>
      <xdr:rowOff>125730</xdr:rowOff>
    </xdr:to>
    <xdr:sp macro="" textlink="">
      <xdr:nvSpPr>
        <xdr:cNvPr id="52" name="TextBox 51">
          <a:extLst>
            <a:ext uri="{FF2B5EF4-FFF2-40B4-BE49-F238E27FC236}">
              <a16:creationId xmlns:a16="http://schemas.microsoft.com/office/drawing/2014/main" id="{1B412FC5-5882-4E3A-954D-7C99D10917D5}"/>
            </a:ext>
          </a:extLst>
        </xdr:cNvPr>
        <xdr:cNvSpPr txBox="1"/>
      </xdr:nvSpPr>
      <xdr:spPr>
        <a:xfrm>
          <a:off x="2423160" y="1569720"/>
          <a:ext cx="4137774" cy="567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4000" b="0" i="0" u="none" strike="noStrike">
              <a:solidFill>
                <a:schemeClr val="tx1"/>
              </a:solidFill>
              <a:latin typeface="Georgia" panose="02040502050405020303" pitchFamily="18" charset="0"/>
            </a:rPr>
            <a:t>CRM </a:t>
          </a:r>
          <a:r>
            <a:rPr lang="en-US" sz="3200" b="0" i="0" u="none" strike="noStrike">
              <a:solidFill>
                <a:schemeClr val="tx1"/>
              </a:solidFill>
              <a:latin typeface="Georgia" panose="02040502050405020303" pitchFamily="18" charset="0"/>
            </a:rPr>
            <a:t>Dashboard</a:t>
          </a:r>
          <a:endParaRPr lang="en-US" sz="4000" b="0" i="0" u="none" strike="noStrike">
            <a:solidFill>
              <a:schemeClr val="tx1"/>
            </a:solidFill>
            <a:latin typeface="Georgia" panose="02040502050405020303" pitchFamily="18" charset="0"/>
          </a:endParaRPr>
        </a:p>
      </xdr:txBody>
    </xdr:sp>
    <xdr:clientData/>
  </xdr:twoCellAnchor>
  <xdr:twoCellAnchor editAs="oneCell">
    <xdr:from>
      <xdr:col>18</xdr:col>
      <xdr:colOff>358140</xdr:colOff>
      <xdr:row>8</xdr:row>
      <xdr:rowOff>121920</xdr:rowOff>
    </xdr:from>
    <xdr:to>
      <xdr:col>19</xdr:col>
      <xdr:colOff>114300</xdr:colOff>
      <xdr:row>10</xdr:row>
      <xdr:rowOff>121920</xdr:rowOff>
    </xdr:to>
    <xdr:pic>
      <xdr:nvPicPr>
        <xdr:cNvPr id="53" name="Graphic 52" descr="Sun with solid fill">
          <a:extLst>
            <a:ext uri="{FF2B5EF4-FFF2-40B4-BE49-F238E27FC236}">
              <a16:creationId xmlns:a16="http://schemas.microsoft.com/office/drawing/2014/main" id="{2EE7175A-C0FE-4C54-8E03-1B8DC13C977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330940" y="1584960"/>
          <a:ext cx="365760" cy="365760"/>
        </a:xfrm>
        <a:prstGeom prst="rect">
          <a:avLst/>
        </a:prstGeom>
      </xdr:spPr>
    </xdr:pic>
    <xdr:clientData/>
  </xdr:twoCellAnchor>
  <xdr:twoCellAnchor editAs="oneCell">
    <xdr:from>
      <xdr:col>19</xdr:col>
      <xdr:colOff>373380</xdr:colOff>
      <xdr:row>8</xdr:row>
      <xdr:rowOff>121920</xdr:rowOff>
    </xdr:from>
    <xdr:to>
      <xdr:col>20</xdr:col>
      <xdr:colOff>129540</xdr:colOff>
      <xdr:row>10</xdr:row>
      <xdr:rowOff>121920</xdr:rowOff>
    </xdr:to>
    <xdr:pic>
      <xdr:nvPicPr>
        <xdr:cNvPr id="54" name="Graphic 53" descr="Moon and stars with solid fill">
          <a:hlinkClick xmlns:r="http://schemas.openxmlformats.org/officeDocument/2006/relationships" r:id="rId10"/>
          <a:extLst>
            <a:ext uri="{FF2B5EF4-FFF2-40B4-BE49-F238E27FC236}">
              <a16:creationId xmlns:a16="http://schemas.microsoft.com/office/drawing/2014/main" id="{DD09A145-DAC4-4D6C-8B7F-2E2D1717FBF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955780" y="1584960"/>
          <a:ext cx="365760" cy="365760"/>
        </a:xfrm>
        <a:prstGeom prst="rect">
          <a:avLst/>
        </a:prstGeom>
      </xdr:spPr>
    </xdr:pic>
    <xdr:clientData/>
  </xdr:twoCellAnchor>
  <xdr:twoCellAnchor>
    <xdr:from>
      <xdr:col>0</xdr:col>
      <xdr:colOff>0</xdr:colOff>
      <xdr:row>0</xdr:row>
      <xdr:rowOff>0</xdr:rowOff>
    </xdr:from>
    <xdr:to>
      <xdr:col>2</xdr:col>
      <xdr:colOff>297180</xdr:colOff>
      <xdr:row>7</xdr:row>
      <xdr:rowOff>106680</xdr:rowOff>
    </xdr:to>
    <xdr:sp macro="" textlink="">
      <xdr:nvSpPr>
        <xdr:cNvPr id="55" name="Rectangle 54">
          <a:extLst>
            <a:ext uri="{FF2B5EF4-FFF2-40B4-BE49-F238E27FC236}">
              <a16:creationId xmlns:a16="http://schemas.microsoft.com/office/drawing/2014/main" id="{3AD590F2-2DE4-49C5-89EC-1327E0B2DFFF}"/>
            </a:ext>
          </a:extLst>
        </xdr:cNvPr>
        <xdr:cNvSpPr/>
      </xdr:nvSpPr>
      <xdr:spPr>
        <a:xfrm>
          <a:off x="0" y="0"/>
          <a:ext cx="1516380" cy="1386840"/>
        </a:xfrm>
        <a:prstGeom prst="rect">
          <a:avLst/>
        </a:prstGeom>
        <a:solidFill>
          <a:srgbClr val="D6E7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30480</xdr:rowOff>
    </xdr:from>
    <xdr:to>
      <xdr:col>13</xdr:col>
      <xdr:colOff>304800</xdr:colOff>
      <xdr:row>55</xdr:row>
      <xdr:rowOff>30480</xdr:rowOff>
    </xdr:to>
    <xdr:sp macro="" textlink="">
      <xdr:nvSpPr>
        <xdr:cNvPr id="2" name="Oval 1">
          <a:extLst>
            <a:ext uri="{FF2B5EF4-FFF2-40B4-BE49-F238E27FC236}">
              <a16:creationId xmlns:a16="http://schemas.microsoft.com/office/drawing/2014/main" id="{982C63D3-9A2E-44A3-AD5E-69E89D013363}"/>
            </a:ext>
          </a:extLst>
        </xdr:cNvPr>
        <xdr:cNvSpPr/>
      </xdr:nvSpPr>
      <xdr:spPr>
        <a:xfrm>
          <a:off x="0" y="1859280"/>
          <a:ext cx="8229600" cy="8229600"/>
        </a:xfrm>
        <a:prstGeom prst="ellipse">
          <a:avLst/>
        </a:prstGeom>
        <a:solidFill>
          <a:srgbClr val="1032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7620</xdr:colOff>
      <xdr:row>0</xdr:row>
      <xdr:rowOff>0</xdr:rowOff>
    </xdr:from>
    <xdr:to>
      <xdr:col>27</xdr:col>
      <xdr:colOff>312420</xdr:colOff>
      <xdr:row>35</xdr:row>
      <xdr:rowOff>0</xdr:rowOff>
    </xdr:to>
    <xdr:sp macro="" textlink="">
      <xdr:nvSpPr>
        <xdr:cNvPr id="3" name="Oval 2">
          <a:extLst>
            <a:ext uri="{FF2B5EF4-FFF2-40B4-BE49-F238E27FC236}">
              <a16:creationId xmlns:a16="http://schemas.microsoft.com/office/drawing/2014/main" id="{BF782407-0F70-4317-B384-82EDEAE6536A}"/>
            </a:ext>
          </a:extLst>
        </xdr:cNvPr>
        <xdr:cNvSpPr/>
      </xdr:nvSpPr>
      <xdr:spPr>
        <a:xfrm>
          <a:off x="10370820" y="0"/>
          <a:ext cx="6400800" cy="6400800"/>
        </a:xfrm>
        <a:prstGeom prst="ellipse">
          <a:avLst/>
        </a:prstGeom>
        <a:solidFill>
          <a:srgbClr val="241B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320041</xdr:colOff>
      <xdr:row>6</xdr:row>
      <xdr:rowOff>121920</xdr:rowOff>
    </xdr:from>
    <xdr:to>
      <xdr:col>21</xdr:col>
      <xdr:colOff>441961</xdr:colOff>
      <xdr:row>44</xdr:row>
      <xdr:rowOff>30480</xdr:rowOff>
    </xdr:to>
    <xdr:sp macro="" textlink="">
      <xdr:nvSpPr>
        <xdr:cNvPr id="4" name="Rectangle: Rounded Corners 3">
          <a:extLst>
            <a:ext uri="{FF2B5EF4-FFF2-40B4-BE49-F238E27FC236}">
              <a16:creationId xmlns:a16="http://schemas.microsoft.com/office/drawing/2014/main" id="{CEBF2CE3-80DF-48E7-ABE4-20FBDB5E2EC5}"/>
            </a:ext>
          </a:extLst>
        </xdr:cNvPr>
        <xdr:cNvSpPr/>
      </xdr:nvSpPr>
      <xdr:spPr>
        <a:xfrm>
          <a:off x="1539241" y="1219200"/>
          <a:ext cx="11704320" cy="6858000"/>
        </a:xfrm>
        <a:prstGeom prst="roundRect">
          <a:avLst>
            <a:gd name="adj" fmla="val 4569"/>
          </a:avLst>
        </a:prstGeom>
        <a:solidFill>
          <a:srgbClr val="5A6380">
            <a:alpha val="58000"/>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236220</xdr:colOff>
      <xdr:row>12</xdr:row>
      <xdr:rowOff>22860</xdr:rowOff>
    </xdr:from>
    <xdr:to>
      <xdr:col>14</xdr:col>
      <xdr:colOff>388620</xdr:colOff>
      <xdr:row>30</xdr:row>
      <xdr:rowOff>22860</xdr:rowOff>
    </xdr:to>
    <xdr:sp macro="" textlink="">
      <xdr:nvSpPr>
        <xdr:cNvPr id="5" name="Rectangle: Rounded Corners 4">
          <a:extLst>
            <a:ext uri="{FF2B5EF4-FFF2-40B4-BE49-F238E27FC236}">
              <a16:creationId xmlns:a16="http://schemas.microsoft.com/office/drawing/2014/main" id="{61651075-6946-4774-AF79-724FDFFD13E6}"/>
            </a:ext>
          </a:extLst>
        </xdr:cNvPr>
        <xdr:cNvSpPr/>
      </xdr:nvSpPr>
      <xdr:spPr>
        <a:xfrm>
          <a:off x="2065020" y="2217420"/>
          <a:ext cx="6858000" cy="3291840"/>
        </a:xfrm>
        <a:prstGeom prst="roundRect">
          <a:avLst>
            <a:gd name="adj" fmla="val 5798"/>
          </a:avLst>
        </a:prstGeom>
        <a:solidFill>
          <a:srgbClr val="1B1B2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160020</xdr:colOff>
      <xdr:row>31</xdr:row>
      <xdr:rowOff>178958</xdr:rowOff>
    </xdr:from>
    <xdr:to>
      <xdr:col>14</xdr:col>
      <xdr:colOff>388620</xdr:colOff>
      <xdr:row>42</xdr:row>
      <xdr:rowOff>87518</xdr:rowOff>
    </xdr:to>
    <xdr:sp macro="" textlink="">
      <xdr:nvSpPr>
        <xdr:cNvPr id="6" name="Rectangle: Rounded Corners 5">
          <a:extLst>
            <a:ext uri="{FF2B5EF4-FFF2-40B4-BE49-F238E27FC236}">
              <a16:creationId xmlns:a16="http://schemas.microsoft.com/office/drawing/2014/main" id="{D2F89BA8-4DDA-44F6-AB0A-FF437577FE62}"/>
            </a:ext>
          </a:extLst>
        </xdr:cNvPr>
        <xdr:cNvSpPr/>
      </xdr:nvSpPr>
      <xdr:spPr>
        <a:xfrm>
          <a:off x="6865620" y="5848238"/>
          <a:ext cx="2057400" cy="1920240"/>
        </a:xfrm>
        <a:prstGeom prst="roundRect">
          <a:avLst>
            <a:gd name="adj" fmla="val 9426"/>
          </a:avLst>
        </a:prstGeom>
        <a:solidFill>
          <a:srgbClr val="1B1B2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137160</xdr:colOff>
      <xdr:row>12</xdr:row>
      <xdr:rowOff>34177</xdr:rowOff>
    </xdr:from>
    <xdr:to>
      <xdr:col>20</xdr:col>
      <xdr:colOff>563880</xdr:colOff>
      <xdr:row>24</xdr:row>
      <xdr:rowOff>125617</xdr:rowOff>
    </xdr:to>
    <xdr:sp macro="" textlink="">
      <xdr:nvSpPr>
        <xdr:cNvPr id="7" name="Rectangle: Rounded Corners 6">
          <a:extLst>
            <a:ext uri="{FF2B5EF4-FFF2-40B4-BE49-F238E27FC236}">
              <a16:creationId xmlns:a16="http://schemas.microsoft.com/office/drawing/2014/main" id="{5DDD6225-9205-4F6C-83CE-D4B023F0AAB2}"/>
            </a:ext>
          </a:extLst>
        </xdr:cNvPr>
        <xdr:cNvSpPr/>
      </xdr:nvSpPr>
      <xdr:spPr>
        <a:xfrm>
          <a:off x="9281160" y="2228737"/>
          <a:ext cx="3474720" cy="2286000"/>
        </a:xfrm>
        <a:prstGeom prst="roundRect">
          <a:avLst>
            <a:gd name="adj" fmla="val 8426"/>
          </a:avLst>
        </a:prstGeom>
        <a:solidFill>
          <a:srgbClr val="1B1B2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137160</xdr:colOff>
      <xdr:row>26</xdr:row>
      <xdr:rowOff>87518</xdr:rowOff>
    </xdr:from>
    <xdr:to>
      <xdr:col>20</xdr:col>
      <xdr:colOff>563880</xdr:colOff>
      <xdr:row>42</xdr:row>
      <xdr:rowOff>87518</xdr:rowOff>
    </xdr:to>
    <xdr:sp macro="" textlink="">
      <xdr:nvSpPr>
        <xdr:cNvPr id="8" name="Rectangle: Rounded Corners 7">
          <a:extLst>
            <a:ext uri="{FF2B5EF4-FFF2-40B4-BE49-F238E27FC236}">
              <a16:creationId xmlns:a16="http://schemas.microsoft.com/office/drawing/2014/main" id="{50B4843C-FBE4-4627-9E4F-EEE2389AC796}"/>
            </a:ext>
          </a:extLst>
        </xdr:cNvPr>
        <xdr:cNvSpPr/>
      </xdr:nvSpPr>
      <xdr:spPr>
        <a:xfrm>
          <a:off x="9281160" y="4842398"/>
          <a:ext cx="3474720" cy="2926080"/>
        </a:xfrm>
        <a:prstGeom prst="roundRect">
          <a:avLst>
            <a:gd name="adj" fmla="val 6561"/>
          </a:avLst>
        </a:prstGeom>
        <a:solidFill>
          <a:srgbClr val="1B1B2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236220</xdr:colOff>
      <xdr:row>31</xdr:row>
      <xdr:rowOff>178958</xdr:rowOff>
    </xdr:from>
    <xdr:to>
      <xdr:col>6</xdr:col>
      <xdr:colOff>464820</xdr:colOff>
      <xdr:row>42</xdr:row>
      <xdr:rowOff>87518</xdr:rowOff>
    </xdr:to>
    <xdr:sp macro="" textlink="">
      <xdr:nvSpPr>
        <xdr:cNvPr id="9" name="Rectangle: Rounded Corners 8">
          <a:extLst>
            <a:ext uri="{FF2B5EF4-FFF2-40B4-BE49-F238E27FC236}">
              <a16:creationId xmlns:a16="http://schemas.microsoft.com/office/drawing/2014/main" id="{372531A8-75D8-40B2-9A83-A7E753DEB68A}"/>
            </a:ext>
          </a:extLst>
        </xdr:cNvPr>
        <xdr:cNvSpPr/>
      </xdr:nvSpPr>
      <xdr:spPr>
        <a:xfrm>
          <a:off x="2065020" y="5848238"/>
          <a:ext cx="2057400" cy="1920240"/>
        </a:xfrm>
        <a:prstGeom prst="roundRect">
          <a:avLst>
            <a:gd name="adj" fmla="val 9426"/>
          </a:avLst>
        </a:prstGeom>
        <a:solidFill>
          <a:srgbClr val="1B1B2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198120</xdr:colOff>
      <xdr:row>31</xdr:row>
      <xdr:rowOff>178958</xdr:rowOff>
    </xdr:from>
    <xdr:to>
      <xdr:col>10</xdr:col>
      <xdr:colOff>426720</xdr:colOff>
      <xdr:row>42</xdr:row>
      <xdr:rowOff>87518</xdr:rowOff>
    </xdr:to>
    <xdr:sp macro="" textlink="">
      <xdr:nvSpPr>
        <xdr:cNvPr id="10" name="Rectangle: Rounded Corners 9">
          <a:extLst>
            <a:ext uri="{FF2B5EF4-FFF2-40B4-BE49-F238E27FC236}">
              <a16:creationId xmlns:a16="http://schemas.microsoft.com/office/drawing/2014/main" id="{31E827DD-FE98-4E9C-9638-367F8AD23B1F}"/>
            </a:ext>
          </a:extLst>
        </xdr:cNvPr>
        <xdr:cNvSpPr/>
      </xdr:nvSpPr>
      <xdr:spPr>
        <a:xfrm>
          <a:off x="4465320" y="5848238"/>
          <a:ext cx="2057400" cy="1920240"/>
        </a:xfrm>
        <a:prstGeom prst="roundRect">
          <a:avLst>
            <a:gd name="adj" fmla="val 9426"/>
          </a:avLst>
        </a:prstGeom>
        <a:solidFill>
          <a:srgbClr val="1B1B2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228600</xdr:colOff>
      <xdr:row>30</xdr:row>
      <xdr:rowOff>7620</xdr:rowOff>
    </xdr:from>
    <xdr:to>
      <xdr:col>19</xdr:col>
      <xdr:colOff>411480</xdr:colOff>
      <xdr:row>41</xdr:row>
      <xdr:rowOff>7620</xdr:rowOff>
    </xdr:to>
    <xdr:grpSp>
      <xdr:nvGrpSpPr>
        <xdr:cNvPr id="11" name="Group 10">
          <a:extLst>
            <a:ext uri="{FF2B5EF4-FFF2-40B4-BE49-F238E27FC236}">
              <a16:creationId xmlns:a16="http://schemas.microsoft.com/office/drawing/2014/main" id="{7F3FF29E-27FE-44BE-92D5-19DA5A9377D6}"/>
            </a:ext>
          </a:extLst>
        </xdr:cNvPr>
        <xdr:cNvGrpSpPr/>
      </xdr:nvGrpSpPr>
      <xdr:grpSpPr>
        <a:xfrm>
          <a:off x="9711267" y="5722620"/>
          <a:ext cx="1960880" cy="2095500"/>
          <a:chOff x="9982200" y="5394960"/>
          <a:chExt cx="2011680" cy="2011680"/>
        </a:xfrm>
      </xdr:grpSpPr>
      <xdr:sp macro="" textlink="">
        <xdr:nvSpPr>
          <xdr:cNvPr id="12" name="Oval 11">
            <a:extLst>
              <a:ext uri="{FF2B5EF4-FFF2-40B4-BE49-F238E27FC236}">
                <a16:creationId xmlns:a16="http://schemas.microsoft.com/office/drawing/2014/main" id="{70F58F73-8B6F-2C75-F25A-0436149B1C21}"/>
              </a:ext>
            </a:extLst>
          </xdr:cNvPr>
          <xdr:cNvSpPr/>
        </xdr:nvSpPr>
        <xdr:spPr>
          <a:xfrm>
            <a:off x="9982200" y="5394960"/>
            <a:ext cx="2011680" cy="2011680"/>
          </a:xfrm>
          <a:prstGeom prst="ellipse">
            <a:avLst/>
          </a:prstGeom>
          <a:solidFill>
            <a:srgbClr val="252A3E"/>
          </a:solidFill>
          <a:ln w="9525">
            <a:solidFill>
              <a:srgbClr val="5A638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3" name="Oval 12">
            <a:extLst>
              <a:ext uri="{FF2B5EF4-FFF2-40B4-BE49-F238E27FC236}">
                <a16:creationId xmlns:a16="http://schemas.microsoft.com/office/drawing/2014/main" id="{C0D46E38-4F2D-AF00-5E5D-2F03A5421388}"/>
              </a:ext>
            </a:extLst>
          </xdr:cNvPr>
          <xdr:cNvSpPr/>
        </xdr:nvSpPr>
        <xdr:spPr>
          <a:xfrm>
            <a:off x="10210800" y="5615940"/>
            <a:ext cx="1554480" cy="1554480"/>
          </a:xfrm>
          <a:prstGeom prst="ellipse">
            <a:avLst/>
          </a:prstGeom>
          <a:solidFill>
            <a:srgbClr val="252A3E"/>
          </a:solidFill>
          <a:ln w="9525">
            <a:solidFill>
              <a:srgbClr val="5A638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4" name="Oval 13">
            <a:extLst>
              <a:ext uri="{FF2B5EF4-FFF2-40B4-BE49-F238E27FC236}">
                <a16:creationId xmlns:a16="http://schemas.microsoft.com/office/drawing/2014/main" id="{7769B560-C5CF-F4B3-1078-4AAC51745DC2}"/>
              </a:ext>
            </a:extLst>
          </xdr:cNvPr>
          <xdr:cNvSpPr/>
        </xdr:nvSpPr>
        <xdr:spPr>
          <a:xfrm>
            <a:off x="10485120" y="5890260"/>
            <a:ext cx="1005840" cy="1005840"/>
          </a:xfrm>
          <a:prstGeom prst="ellipse">
            <a:avLst/>
          </a:prstGeom>
          <a:solidFill>
            <a:srgbClr val="252A3E"/>
          </a:solidFill>
          <a:ln w="9525">
            <a:solidFill>
              <a:srgbClr val="5A638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xnSp macro="">
        <xdr:nvCxnSpPr>
          <xdr:cNvPr id="15" name="Straight Connector 14">
            <a:extLst>
              <a:ext uri="{FF2B5EF4-FFF2-40B4-BE49-F238E27FC236}">
                <a16:creationId xmlns:a16="http://schemas.microsoft.com/office/drawing/2014/main" id="{35480474-0D8F-3D29-9A25-1C6981D29707}"/>
              </a:ext>
            </a:extLst>
          </xdr:cNvPr>
          <xdr:cNvCxnSpPr/>
        </xdr:nvCxnSpPr>
        <xdr:spPr>
          <a:xfrm>
            <a:off x="10988040" y="5402580"/>
            <a:ext cx="0" cy="1005840"/>
          </a:xfrm>
          <a:prstGeom prst="line">
            <a:avLst/>
          </a:prstGeom>
          <a:ln w="9525">
            <a:solidFill>
              <a:srgbClr val="5A6380"/>
            </a:solidFill>
          </a:ln>
        </xdr:spPr>
        <xdr:style>
          <a:lnRef idx="2">
            <a:schemeClr val="accent1"/>
          </a:lnRef>
          <a:fillRef idx="0">
            <a:schemeClr val="accent1"/>
          </a:fillRef>
          <a:effectRef idx="1">
            <a:schemeClr val="accent1"/>
          </a:effectRef>
          <a:fontRef idx="minor">
            <a:schemeClr val="tx1"/>
          </a:fontRef>
        </xdr:style>
      </xdr:cxnSp>
      <xdr:cxnSp macro="">
        <xdr:nvCxnSpPr>
          <xdr:cNvPr id="16" name="Straight Connector 15">
            <a:extLst>
              <a:ext uri="{FF2B5EF4-FFF2-40B4-BE49-F238E27FC236}">
                <a16:creationId xmlns:a16="http://schemas.microsoft.com/office/drawing/2014/main" id="{ADBA1720-0897-7883-C23C-1A6E2423A32F}"/>
              </a:ext>
            </a:extLst>
          </xdr:cNvPr>
          <xdr:cNvCxnSpPr/>
        </xdr:nvCxnSpPr>
        <xdr:spPr>
          <a:xfrm rot="4320000">
            <a:off x="11484119" y="5774256"/>
            <a:ext cx="0" cy="1005840"/>
          </a:xfrm>
          <a:prstGeom prst="line">
            <a:avLst/>
          </a:prstGeom>
          <a:ln w="9525">
            <a:solidFill>
              <a:srgbClr val="5A6380"/>
            </a:solidFill>
          </a:ln>
        </xdr:spPr>
        <xdr:style>
          <a:lnRef idx="2">
            <a:schemeClr val="accent1"/>
          </a:lnRef>
          <a:fillRef idx="0">
            <a:schemeClr val="accent1"/>
          </a:fillRef>
          <a:effectRef idx="1">
            <a:schemeClr val="accent1"/>
          </a:effectRef>
          <a:fontRef idx="minor">
            <a:schemeClr val="tx1"/>
          </a:fontRef>
        </xdr:style>
      </xdr:cxnSp>
      <xdr:cxnSp macro="">
        <xdr:nvCxnSpPr>
          <xdr:cNvPr id="17" name="Straight Connector 16">
            <a:extLst>
              <a:ext uri="{FF2B5EF4-FFF2-40B4-BE49-F238E27FC236}">
                <a16:creationId xmlns:a16="http://schemas.microsoft.com/office/drawing/2014/main" id="{703A51B8-D195-B43D-703F-0BECBD5DFAB2}"/>
              </a:ext>
            </a:extLst>
          </xdr:cNvPr>
          <xdr:cNvCxnSpPr/>
        </xdr:nvCxnSpPr>
        <xdr:spPr>
          <a:xfrm rot="8640000">
            <a:off x="11264163" y="6313726"/>
            <a:ext cx="0" cy="1005840"/>
          </a:xfrm>
          <a:prstGeom prst="line">
            <a:avLst/>
          </a:prstGeom>
          <a:ln w="9525">
            <a:solidFill>
              <a:srgbClr val="5A6380"/>
            </a:solidFill>
          </a:ln>
        </xdr:spPr>
        <xdr:style>
          <a:lnRef idx="2">
            <a:schemeClr val="accent1"/>
          </a:lnRef>
          <a:fillRef idx="0">
            <a:schemeClr val="accent1"/>
          </a:fillRef>
          <a:effectRef idx="1">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89130AE3-D3A2-93B3-D904-4D991F34EC8A}"/>
              </a:ext>
            </a:extLst>
          </xdr:cNvPr>
          <xdr:cNvCxnSpPr/>
        </xdr:nvCxnSpPr>
        <xdr:spPr>
          <a:xfrm rot="12960000">
            <a:off x="10721394" y="6307613"/>
            <a:ext cx="0" cy="1005840"/>
          </a:xfrm>
          <a:prstGeom prst="line">
            <a:avLst/>
          </a:prstGeom>
          <a:ln w="9525">
            <a:solidFill>
              <a:srgbClr val="5A6380"/>
            </a:solidFill>
          </a:ln>
        </xdr:spPr>
        <xdr:style>
          <a:lnRef idx="2">
            <a:schemeClr val="accent1"/>
          </a:lnRef>
          <a:fillRef idx="0">
            <a:schemeClr val="accent1"/>
          </a:fillRef>
          <a:effectRef idx="1">
            <a:schemeClr val="accent1"/>
          </a:effectRef>
          <a:fontRef idx="minor">
            <a:schemeClr val="tx1"/>
          </a:fontRef>
        </xdr:style>
      </xdr:cxnSp>
      <xdr:cxnSp macro="">
        <xdr:nvCxnSpPr>
          <xdr:cNvPr id="19" name="Straight Connector 18">
            <a:extLst>
              <a:ext uri="{FF2B5EF4-FFF2-40B4-BE49-F238E27FC236}">
                <a16:creationId xmlns:a16="http://schemas.microsoft.com/office/drawing/2014/main" id="{D1F1A2DC-3A77-6C4C-B5DA-A908A28A7B36}"/>
              </a:ext>
            </a:extLst>
          </xdr:cNvPr>
          <xdr:cNvCxnSpPr/>
        </xdr:nvCxnSpPr>
        <xdr:spPr>
          <a:xfrm rot="17280000">
            <a:off x="10501139" y="5774256"/>
            <a:ext cx="0" cy="1005840"/>
          </a:xfrm>
          <a:prstGeom prst="line">
            <a:avLst/>
          </a:prstGeom>
          <a:ln w="9525">
            <a:solidFill>
              <a:srgbClr val="5A638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15</xdr:col>
      <xdr:colOff>365760</xdr:colOff>
      <xdr:row>28</xdr:row>
      <xdr:rowOff>68009</xdr:rowOff>
    </xdr:from>
    <xdr:to>
      <xdr:col>20</xdr:col>
      <xdr:colOff>281940</xdr:colOff>
      <xdr:row>43</xdr:row>
      <xdr:rowOff>19622</xdr:rowOff>
    </xdr:to>
    <xdr:graphicFrame macro="">
      <xdr:nvGraphicFramePr>
        <xdr:cNvPr id="20" name="Chart 19">
          <a:extLst>
            <a:ext uri="{FF2B5EF4-FFF2-40B4-BE49-F238E27FC236}">
              <a16:creationId xmlns:a16="http://schemas.microsoft.com/office/drawing/2014/main" id="{67F065D0-AD51-488C-AC5C-A9D2F21D4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358140</xdr:colOff>
      <xdr:row>14</xdr:row>
      <xdr:rowOff>53340</xdr:rowOff>
    </xdr:from>
    <xdr:to>
      <xdr:col>14</xdr:col>
      <xdr:colOff>327660</xdr:colOff>
      <xdr:row>29</xdr:row>
      <xdr:rowOff>53340</xdr:rowOff>
    </xdr:to>
    <xdr:graphicFrame macro="">
      <xdr:nvGraphicFramePr>
        <xdr:cNvPr id="21" name="Chart 20">
          <a:extLst>
            <a:ext uri="{FF2B5EF4-FFF2-40B4-BE49-F238E27FC236}">
              <a16:creationId xmlns:a16="http://schemas.microsoft.com/office/drawing/2014/main" id="{16C9B636-5A6C-42C0-8A7A-F0AD117EE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217170</xdr:colOff>
      <xdr:row>13</xdr:row>
      <xdr:rowOff>83820</xdr:rowOff>
    </xdr:from>
    <xdr:to>
      <xdr:col>20</xdr:col>
      <xdr:colOff>483870</xdr:colOff>
      <xdr:row>24</xdr:row>
      <xdr:rowOff>38100</xdr:rowOff>
    </xdr:to>
    <xdr:graphicFrame macro="">
      <xdr:nvGraphicFramePr>
        <xdr:cNvPr id="22" name="Chart 21">
          <a:extLst>
            <a:ext uri="{FF2B5EF4-FFF2-40B4-BE49-F238E27FC236}">
              <a16:creationId xmlns:a16="http://schemas.microsoft.com/office/drawing/2014/main" id="{34A2E462-F70B-4AF1-827F-E03B15F90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251460</xdr:colOff>
      <xdr:row>31</xdr:row>
      <xdr:rowOff>144780</xdr:rowOff>
    </xdr:from>
    <xdr:to>
      <xdr:col>6</xdr:col>
      <xdr:colOff>434340</xdr:colOff>
      <xdr:row>42</xdr:row>
      <xdr:rowOff>144780</xdr:rowOff>
    </xdr:to>
    <xdr:graphicFrame macro="">
      <xdr:nvGraphicFramePr>
        <xdr:cNvPr id="23" name="Chart 22">
          <a:extLst>
            <a:ext uri="{FF2B5EF4-FFF2-40B4-BE49-F238E27FC236}">
              <a16:creationId xmlns:a16="http://schemas.microsoft.com/office/drawing/2014/main" id="{A7FCEADF-2FB3-4AD3-B042-57A6C8A33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213360</xdr:colOff>
      <xdr:row>31</xdr:row>
      <xdr:rowOff>152400</xdr:rowOff>
    </xdr:from>
    <xdr:to>
      <xdr:col>10</xdr:col>
      <xdr:colOff>396240</xdr:colOff>
      <xdr:row>42</xdr:row>
      <xdr:rowOff>152400</xdr:rowOff>
    </xdr:to>
    <xdr:graphicFrame macro="">
      <xdr:nvGraphicFramePr>
        <xdr:cNvPr id="24" name="Chart 23">
          <a:extLst>
            <a:ext uri="{FF2B5EF4-FFF2-40B4-BE49-F238E27FC236}">
              <a16:creationId xmlns:a16="http://schemas.microsoft.com/office/drawing/2014/main" id="{896571A3-65CD-44F9-825F-737E5496D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198120</xdr:colOff>
      <xdr:row>31</xdr:row>
      <xdr:rowOff>152400</xdr:rowOff>
    </xdr:from>
    <xdr:to>
      <xdr:col>14</xdr:col>
      <xdr:colOff>381000</xdr:colOff>
      <xdr:row>42</xdr:row>
      <xdr:rowOff>152400</xdr:rowOff>
    </xdr:to>
    <xdr:graphicFrame macro="">
      <xdr:nvGraphicFramePr>
        <xdr:cNvPr id="25" name="Chart 24">
          <a:extLst>
            <a:ext uri="{FF2B5EF4-FFF2-40B4-BE49-F238E27FC236}">
              <a16:creationId xmlns:a16="http://schemas.microsoft.com/office/drawing/2014/main" id="{E9504E71-3795-4B94-BB1B-A415002F0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144666</xdr:colOff>
      <xdr:row>12</xdr:row>
      <xdr:rowOff>140970</xdr:rowOff>
    </xdr:from>
    <xdr:to>
      <xdr:col>6</xdr:col>
      <xdr:colOff>243955</xdr:colOff>
      <xdr:row>14</xdr:row>
      <xdr:rowOff>41910</xdr:rowOff>
    </xdr:to>
    <xdr:sp macro="" textlink="Processing!A1">
      <xdr:nvSpPr>
        <xdr:cNvPr id="26" name="TextBox 25">
          <a:extLst>
            <a:ext uri="{FF2B5EF4-FFF2-40B4-BE49-F238E27FC236}">
              <a16:creationId xmlns:a16="http://schemas.microsoft.com/office/drawing/2014/main" id="{77A7105B-4F6C-4E28-BAB3-4E6ADBC1B63A}"/>
            </a:ext>
          </a:extLst>
        </xdr:cNvPr>
        <xdr:cNvSpPr txBox="1"/>
      </xdr:nvSpPr>
      <xdr:spPr>
        <a:xfrm>
          <a:off x="2583066" y="2335530"/>
          <a:ext cx="131848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0B17464-F724-45C6-AA41-864636BEA434}" type="TxLink">
            <a:rPr lang="en-US" sz="1200" b="0" i="0" u="none" strike="noStrike">
              <a:solidFill>
                <a:schemeClr val="bg1"/>
              </a:solidFill>
              <a:latin typeface="Aptos Narrow"/>
            </a:rPr>
            <a:pPr/>
            <a:t>Customer  Activity</a:t>
          </a:fld>
          <a:endParaRPr lang="ru-RU" sz="1200">
            <a:solidFill>
              <a:schemeClr val="bg1"/>
            </a:solidFill>
          </a:endParaRPr>
        </a:p>
      </xdr:txBody>
    </xdr:sp>
    <xdr:clientData/>
  </xdr:twoCellAnchor>
  <xdr:twoCellAnchor>
    <xdr:from>
      <xdr:col>7</xdr:col>
      <xdr:colOff>55881</xdr:colOff>
      <xdr:row>12</xdr:row>
      <xdr:rowOff>140970</xdr:rowOff>
    </xdr:from>
    <xdr:to>
      <xdr:col>9</xdr:col>
      <xdr:colOff>287019</xdr:colOff>
      <xdr:row>14</xdr:row>
      <xdr:rowOff>41910</xdr:rowOff>
    </xdr:to>
    <xdr:sp macro="" textlink="Processing!B1">
      <xdr:nvSpPr>
        <xdr:cNvPr id="27" name="TextBox 26">
          <a:extLst>
            <a:ext uri="{FF2B5EF4-FFF2-40B4-BE49-F238E27FC236}">
              <a16:creationId xmlns:a16="http://schemas.microsoft.com/office/drawing/2014/main" id="{1C032A26-92AB-4A81-B76B-7AA5E8CE9874}"/>
            </a:ext>
          </a:extLst>
        </xdr:cNvPr>
        <xdr:cNvSpPr txBox="1"/>
      </xdr:nvSpPr>
      <xdr:spPr>
        <a:xfrm>
          <a:off x="4323081" y="2335530"/>
          <a:ext cx="145033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54CF289-24FB-4228-9337-E121CA8B32B4}" type="TxLink">
            <a:rPr lang="en-US" sz="1200" b="0" i="0" u="none" strike="noStrike">
              <a:solidFill>
                <a:schemeClr val="bg1"/>
              </a:solidFill>
              <a:latin typeface="Aptos Narrow"/>
              <a:ea typeface="+mn-ea"/>
              <a:cs typeface="+mn-cs"/>
            </a:rPr>
            <a:pPr marL="0" indent="0"/>
            <a:t>Active Client Count</a:t>
          </a:fld>
          <a:endParaRPr lang="ru-RU" sz="1200" b="0" i="0" u="none" strike="noStrike">
            <a:solidFill>
              <a:schemeClr val="bg1"/>
            </a:solidFill>
            <a:latin typeface="Aptos Narrow"/>
            <a:ea typeface="+mn-ea"/>
            <a:cs typeface="+mn-cs"/>
          </a:endParaRPr>
        </a:p>
      </xdr:txBody>
    </xdr:sp>
    <xdr:clientData/>
  </xdr:twoCellAnchor>
  <xdr:twoCellAnchor>
    <xdr:from>
      <xdr:col>10</xdr:col>
      <xdr:colOff>279273</xdr:colOff>
      <xdr:row>12</xdr:row>
      <xdr:rowOff>140970</xdr:rowOff>
    </xdr:from>
    <xdr:to>
      <xdr:col>13</xdr:col>
      <xdr:colOff>17907</xdr:colOff>
      <xdr:row>14</xdr:row>
      <xdr:rowOff>41910</xdr:rowOff>
    </xdr:to>
    <xdr:sp macro="" textlink="Processing!C1">
      <xdr:nvSpPr>
        <xdr:cNvPr id="28" name="TextBox 27">
          <a:extLst>
            <a:ext uri="{FF2B5EF4-FFF2-40B4-BE49-F238E27FC236}">
              <a16:creationId xmlns:a16="http://schemas.microsoft.com/office/drawing/2014/main" id="{42637B53-7BA5-4A44-9A44-1343C2ABDB13}"/>
            </a:ext>
          </a:extLst>
        </xdr:cNvPr>
        <xdr:cNvSpPr txBox="1"/>
      </xdr:nvSpPr>
      <xdr:spPr>
        <a:xfrm>
          <a:off x="6375273" y="2335530"/>
          <a:ext cx="156743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EE49D195-6170-4E5F-9E94-AF4A9626C4C6}" type="TxLink">
            <a:rPr lang="en-US" sz="1200" b="0" i="0" u="none" strike="noStrike">
              <a:solidFill>
                <a:schemeClr val="bg1"/>
              </a:solidFill>
              <a:latin typeface="Aptos Narrow"/>
              <a:ea typeface="+mn-ea"/>
              <a:cs typeface="+mn-cs"/>
            </a:rPr>
            <a:pPr marL="0" indent="0"/>
            <a:t>Average Client Count</a:t>
          </a:fld>
          <a:endParaRPr lang="ru-RU" sz="1200" b="0" i="0" u="none" strike="noStrike">
            <a:solidFill>
              <a:schemeClr val="bg1"/>
            </a:solidFill>
            <a:latin typeface="Aptos Narrow"/>
            <a:ea typeface="+mn-ea"/>
            <a:cs typeface="+mn-cs"/>
          </a:endParaRPr>
        </a:p>
      </xdr:txBody>
    </xdr:sp>
    <xdr:clientData/>
  </xdr:twoCellAnchor>
  <xdr:twoCellAnchor>
    <xdr:from>
      <xdr:col>9</xdr:col>
      <xdr:colOff>137160</xdr:colOff>
      <xdr:row>12</xdr:row>
      <xdr:rowOff>140970</xdr:rowOff>
    </xdr:from>
    <xdr:to>
      <xdr:col>11</xdr:col>
      <xdr:colOff>7620</xdr:colOff>
      <xdr:row>14</xdr:row>
      <xdr:rowOff>41910</xdr:rowOff>
    </xdr:to>
    <xdr:sp macro="" textlink="Processing!D14">
      <xdr:nvSpPr>
        <xdr:cNvPr id="29" name="TextBox 28">
          <a:extLst>
            <a:ext uri="{FF2B5EF4-FFF2-40B4-BE49-F238E27FC236}">
              <a16:creationId xmlns:a16="http://schemas.microsoft.com/office/drawing/2014/main" id="{1915E594-7D11-4AF3-AB30-1B9FC51FD1DB}"/>
            </a:ext>
          </a:extLst>
        </xdr:cNvPr>
        <xdr:cNvSpPr txBox="1"/>
      </xdr:nvSpPr>
      <xdr:spPr>
        <a:xfrm>
          <a:off x="5623560" y="2335530"/>
          <a:ext cx="10896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AED8427-F27F-4D4F-BF91-B039E2F7942F}" type="TxLink">
            <a:rPr lang="en-US" sz="1400" b="0" i="0" u="none" strike="noStrike">
              <a:solidFill>
                <a:srgbClr val="1AFFD5"/>
              </a:solidFill>
              <a:latin typeface="Aptos Narrow"/>
              <a:ea typeface="+mn-ea"/>
              <a:cs typeface="+mn-cs"/>
            </a:rPr>
            <a:pPr marL="0" indent="0"/>
            <a:t>  612</a:t>
          </a:fld>
          <a:endParaRPr lang="ru-RU" sz="1600" b="0" i="0" u="none" strike="noStrike">
            <a:solidFill>
              <a:srgbClr val="1AFFD5"/>
            </a:solidFill>
            <a:latin typeface="Aptos Narrow"/>
            <a:ea typeface="+mn-ea"/>
            <a:cs typeface="+mn-cs"/>
          </a:endParaRPr>
        </a:p>
      </xdr:txBody>
    </xdr:sp>
    <xdr:clientData/>
  </xdr:twoCellAnchor>
  <xdr:twoCellAnchor>
    <xdr:from>
      <xdr:col>12</xdr:col>
      <xdr:colOff>472440</xdr:colOff>
      <xdr:row>12</xdr:row>
      <xdr:rowOff>140970</xdr:rowOff>
    </xdr:from>
    <xdr:to>
      <xdr:col>14</xdr:col>
      <xdr:colOff>342900</xdr:colOff>
      <xdr:row>14</xdr:row>
      <xdr:rowOff>41910</xdr:rowOff>
    </xdr:to>
    <xdr:sp macro="" textlink="Processing!E14">
      <xdr:nvSpPr>
        <xdr:cNvPr id="30" name="TextBox 29">
          <a:extLst>
            <a:ext uri="{FF2B5EF4-FFF2-40B4-BE49-F238E27FC236}">
              <a16:creationId xmlns:a16="http://schemas.microsoft.com/office/drawing/2014/main" id="{A73EE6F7-78E0-4C3B-9E63-E8CD72827B4E}"/>
            </a:ext>
          </a:extLst>
        </xdr:cNvPr>
        <xdr:cNvSpPr txBox="1"/>
      </xdr:nvSpPr>
      <xdr:spPr>
        <a:xfrm>
          <a:off x="7787640" y="2335530"/>
          <a:ext cx="10896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1DA4AAFD-6EAD-4E52-8AB6-D92EF04C1B76}" type="TxLink">
            <a:rPr lang="en-US" sz="1400" b="0" i="0" u="none" strike="noStrike">
              <a:solidFill>
                <a:srgbClr val="9980FF"/>
              </a:solidFill>
              <a:latin typeface="Aptos Narrow"/>
              <a:ea typeface="+mn-ea"/>
              <a:cs typeface="+mn-cs"/>
            </a:rPr>
            <a:pPr marL="0" indent="0"/>
            <a:t>  520</a:t>
          </a:fld>
          <a:endParaRPr lang="ru-RU" sz="1400" b="0" i="0" u="none" strike="noStrike">
            <a:solidFill>
              <a:srgbClr val="9980FF"/>
            </a:solidFill>
            <a:latin typeface="Aptos Narrow"/>
            <a:ea typeface="+mn-ea"/>
            <a:cs typeface="+mn-cs"/>
          </a:endParaRPr>
        </a:p>
      </xdr:txBody>
    </xdr:sp>
    <xdr:clientData/>
  </xdr:twoCellAnchor>
  <xdr:twoCellAnchor>
    <xdr:from>
      <xdr:col>15</xdr:col>
      <xdr:colOff>403747</xdr:colOff>
      <xdr:row>12</xdr:row>
      <xdr:rowOff>140970</xdr:rowOff>
    </xdr:from>
    <xdr:to>
      <xdr:col>17</xdr:col>
      <xdr:colOff>121921</xdr:colOff>
      <xdr:row>14</xdr:row>
      <xdr:rowOff>41910</xdr:rowOff>
    </xdr:to>
    <xdr:sp macro="" textlink="Processing!G1">
      <xdr:nvSpPr>
        <xdr:cNvPr id="31" name="TextBox 30">
          <a:extLst>
            <a:ext uri="{FF2B5EF4-FFF2-40B4-BE49-F238E27FC236}">
              <a16:creationId xmlns:a16="http://schemas.microsoft.com/office/drawing/2014/main" id="{0623B48F-01B2-4BD0-BAC4-9C1FC9E02D76}"/>
            </a:ext>
          </a:extLst>
        </xdr:cNvPr>
        <xdr:cNvSpPr txBox="1"/>
      </xdr:nvSpPr>
      <xdr:spPr>
        <a:xfrm>
          <a:off x="9547747" y="2335530"/>
          <a:ext cx="93737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1E735F4-340E-414D-B53B-33CBE80BD3B0}" type="TxLink">
            <a:rPr lang="en-US" sz="1100" b="0" i="0" u="none" strike="noStrike">
              <a:solidFill>
                <a:schemeClr val="bg1"/>
              </a:solidFill>
              <a:latin typeface="Aptos Narrow"/>
            </a:rPr>
            <a:pPr/>
            <a:t>New Clients</a:t>
          </a:fld>
          <a:endParaRPr lang="ru-RU" sz="1200">
            <a:solidFill>
              <a:schemeClr val="bg1"/>
            </a:solidFill>
          </a:endParaRPr>
        </a:p>
      </xdr:txBody>
    </xdr:sp>
    <xdr:clientData/>
  </xdr:twoCellAnchor>
  <xdr:twoCellAnchor>
    <xdr:from>
      <xdr:col>18</xdr:col>
      <xdr:colOff>29219</xdr:colOff>
      <xdr:row>12</xdr:row>
      <xdr:rowOff>140970</xdr:rowOff>
    </xdr:from>
    <xdr:to>
      <xdr:col>19</xdr:col>
      <xdr:colOff>450730</xdr:colOff>
      <xdr:row>14</xdr:row>
      <xdr:rowOff>41910</xdr:rowOff>
    </xdr:to>
    <xdr:sp macro="" textlink="Processing!H1">
      <xdr:nvSpPr>
        <xdr:cNvPr id="32" name="TextBox 31">
          <a:extLst>
            <a:ext uri="{FF2B5EF4-FFF2-40B4-BE49-F238E27FC236}">
              <a16:creationId xmlns:a16="http://schemas.microsoft.com/office/drawing/2014/main" id="{825196B1-8B54-4829-B718-BCDA40AD1E77}"/>
            </a:ext>
          </a:extLst>
        </xdr:cNvPr>
        <xdr:cNvSpPr txBox="1"/>
      </xdr:nvSpPr>
      <xdr:spPr>
        <a:xfrm>
          <a:off x="11002019" y="2335530"/>
          <a:ext cx="103111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7AC2B0D-1DD9-487C-846D-C921B909002D}" type="TxLink">
            <a:rPr lang="en-US" sz="1100" b="0" i="0" u="none" strike="noStrike">
              <a:solidFill>
                <a:schemeClr val="bg1"/>
              </a:solidFill>
              <a:latin typeface="Aptos Narrow"/>
            </a:rPr>
            <a:pPr/>
            <a:t>Regular Clients</a:t>
          </a:fld>
          <a:endParaRPr lang="ru-RU" sz="1200">
            <a:solidFill>
              <a:schemeClr val="bg1"/>
            </a:solidFill>
          </a:endParaRPr>
        </a:p>
      </xdr:txBody>
    </xdr:sp>
    <xdr:clientData/>
  </xdr:twoCellAnchor>
  <xdr:twoCellAnchor>
    <xdr:from>
      <xdr:col>16</xdr:col>
      <xdr:colOff>571387</xdr:colOff>
      <xdr:row>12</xdr:row>
      <xdr:rowOff>140970</xdr:rowOff>
    </xdr:from>
    <xdr:to>
      <xdr:col>18</xdr:col>
      <xdr:colOff>30480</xdr:colOff>
      <xdr:row>14</xdr:row>
      <xdr:rowOff>41910</xdr:rowOff>
    </xdr:to>
    <xdr:sp macro="" textlink="Processing!L14">
      <xdr:nvSpPr>
        <xdr:cNvPr id="33" name="TextBox 32">
          <a:extLst>
            <a:ext uri="{FF2B5EF4-FFF2-40B4-BE49-F238E27FC236}">
              <a16:creationId xmlns:a16="http://schemas.microsoft.com/office/drawing/2014/main" id="{0CDFF67A-F783-490F-92D9-EC823EE58D02}"/>
            </a:ext>
          </a:extLst>
        </xdr:cNvPr>
        <xdr:cNvSpPr txBox="1"/>
      </xdr:nvSpPr>
      <xdr:spPr>
        <a:xfrm>
          <a:off x="10324987" y="2335530"/>
          <a:ext cx="678293"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EF92DEC-6068-4106-A0D1-42DDEBA2897F}" type="TxLink">
            <a:rPr lang="en-US" sz="1100" b="0" i="0" u="none" strike="noStrike">
              <a:solidFill>
                <a:srgbClr val="1AFFD5"/>
              </a:solidFill>
              <a:latin typeface="Aptos Narrow"/>
            </a:rPr>
            <a:pPr/>
            <a:t>  740</a:t>
          </a:fld>
          <a:endParaRPr lang="ru-RU" sz="1200">
            <a:solidFill>
              <a:srgbClr val="1AFFD5"/>
            </a:solidFill>
          </a:endParaRPr>
        </a:p>
      </xdr:txBody>
    </xdr:sp>
    <xdr:clientData/>
  </xdr:twoCellAnchor>
  <xdr:twoCellAnchor>
    <xdr:from>
      <xdr:col>19</xdr:col>
      <xdr:colOff>350407</xdr:colOff>
      <xdr:row>12</xdr:row>
      <xdr:rowOff>140970</xdr:rowOff>
    </xdr:from>
    <xdr:to>
      <xdr:col>20</xdr:col>
      <xdr:colOff>419100</xdr:colOff>
      <xdr:row>14</xdr:row>
      <xdr:rowOff>41910</xdr:rowOff>
    </xdr:to>
    <xdr:sp macro="" textlink="Processing!K14">
      <xdr:nvSpPr>
        <xdr:cNvPr id="34" name="TextBox 33">
          <a:extLst>
            <a:ext uri="{FF2B5EF4-FFF2-40B4-BE49-F238E27FC236}">
              <a16:creationId xmlns:a16="http://schemas.microsoft.com/office/drawing/2014/main" id="{EB90159F-DDE8-44FD-9F94-5049F5BD5D3A}"/>
            </a:ext>
          </a:extLst>
        </xdr:cNvPr>
        <xdr:cNvSpPr txBox="1"/>
      </xdr:nvSpPr>
      <xdr:spPr>
        <a:xfrm>
          <a:off x="11932807" y="2335530"/>
          <a:ext cx="678293"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D99E77C-E9F2-4B9B-906D-8707B4502D74}" type="TxLink">
            <a:rPr lang="en-US" sz="1100" b="0" i="0" u="none" strike="noStrike">
              <a:solidFill>
                <a:srgbClr val="9980FF"/>
              </a:solidFill>
              <a:latin typeface="Aptos Narrow"/>
            </a:rPr>
            <a:pPr/>
            <a:t>  907</a:t>
          </a:fld>
          <a:endParaRPr lang="ru-RU" sz="1200">
            <a:solidFill>
              <a:srgbClr val="9980FF"/>
            </a:solidFill>
          </a:endParaRPr>
        </a:p>
      </xdr:txBody>
    </xdr:sp>
    <xdr:clientData/>
  </xdr:twoCellAnchor>
  <xdr:twoCellAnchor>
    <xdr:from>
      <xdr:col>15</xdr:col>
      <xdr:colOff>403747</xdr:colOff>
      <xdr:row>27</xdr:row>
      <xdr:rowOff>11430</xdr:rowOff>
    </xdr:from>
    <xdr:to>
      <xdr:col>17</xdr:col>
      <xdr:colOff>281827</xdr:colOff>
      <xdr:row>28</xdr:row>
      <xdr:rowOff>95250</xdr:rowOff>
    </xdr:to>
    <xdr:sp macro="" textlink="Processing!P1">
      <xdr:nvSpPr>
        <xdr:cNvPr id="35" name="TextBox 34">
          <a:extLst>
            <a:ext uri="{FF2B5EF4-FFF2-40B4-BE49-F238E27FC236}">
              <a16:creationId xmlns:a16="http://schemas.microsoft.com/office/drawing/2014/main" id="{3E433944-0487-43DC-8FBD-B22F1B7E81AF}"/>
            </a:ext>
          </a:extLst>
        </xdr:cNvPr>
        <xdr:cNvSpPr txBox="1"/>
      </xdr:nvSpPr>
      <xdr:spPr>
        <a:xfrm>
          <a:off x="9547747" y="4949190"/>
          <a:ext cx="10972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58C3385-998E-4BA5-B58F-7B8B9C599941}" type="TxLink">
            <a:rPr lang="en-US" sz="1200" b="0" i="0" u="none" strike="noStrike">
              <a:solidFill>
                <a:schemeClr val="bg1"/>
              </a:solidFill>
              <a:latin typeface="Aptos Narrow"/>
            </a:rPr>
            <a:pPr/>
            <a:t>Points of Sale</a:t>
          </a:fld>
          <a:endParaRPr lang="ru-RU" sz="1400">
            <a:solidFill>
              <a:schemeClr val="bg1"/>
            </a:solidFill>
          </a:endParaRPr>
        </a:p>
      </xdr:txBody>
    </xdr:sp>
    <xdr:clientData/>
  </xdr:twoCellAnchor>
  <xdr:twoCellAnchor>
    <xdr:from>
      <xdr:col>19</xdr:col>
      <xdr:colOff>198119</xdr:colOff>
      <xdr:row>28</xdr:row>
      <xdr:rowOff>64770</xdr:rowOff>
    </xdr:from>
    <xdr:to>
      <xdr:col>20</xdr:col>
      <xdr:colOff>190500</xdr:colOff>
      <xdr:row>29</xdr:row>
      <xdr:rowOff>148590</xdr:rowOff>
    </xdr:to>
    <xdr:sp macro="" textlink="Processing!Q1">
      <xdr:nvSpPr>
        <xdr:cNvPr id="36" name="TextBox 35">
          <a:extLst>
            <a:ext uri="{FF2B5EF4-FFF2-40B4-BE49-F238E27FC236}">
              <a16:creationId xmlns:a16="http://schemas.microsoft.com/office/drawing/2014/main" id="{9CAF550E-FE9A-4868-B953-4BB7E1B06E29}"/>
            </a:ext>
          </a:extLst>
        </xdr:cNvPr>
        <xdr:cNvSpPr txBox="1"/>
      </xdr:nvSpPr>
      <xdr:spPr>
        <a:xfrm>
          <a:off x="11780519" y="5185410"/>
          <a:ext cx="60198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5A41D10-062A-4CDE-857C-AD8D6EE481B3}" type="TxLink">
            <a:rPr lang="en-US" sz="1100" b="0" i="0" u="none" strike="noStrike">
              <a:solidFill>
                <a:schemeClr val="bg1"/>
              </a:solidFill>
              <a:latin typeface="Aptos Narrow"/>
            </a:rPr>
            <a:pPr algn="r"/>
            <a:t>KPI</a:t>
          </a:fld>
          <a:endParaRPr lang="ru-RU" sz="1200">
            <a:solidFill>
              <a:schemeClr val="bg1"/>
            </a:solidFill>
          </a:endParaRPr>
        </a:p>
      </xdr:txBody>
    </xdr:sp>
    <xdr:clientData/>
  </xdr:twoCellAnchor>
  <xdr:twoCellAnchor>
    <xdr:from>
      <xdr:col>19</xdr:col>
      <xdr:colOff>198119</xdr:colOff>
      <xdr:row>27</xdr:row>
      <xdr:rowOff>3810</xdr:rowOff>
    </xdr:from>
    <xdr:to>
      <xdr:col>20</xdr:col>
      <xdr:colOff>190500</xdr:colOff>
      <xdr:row>28</xdr:row>
      <xdr:rowOff>87630</xdr:rowOff>
    </xdr:to>
    <xdr:sp macro="" textlink="Processing!R1">
      <xdr:nvSpPr>
        <xdr:cNvPr id="37" name="TextBox 36">
          <a:extLst>
            <a:ext uri="{FF2B5EF4-FFF2-40B4-BE49-F238E27FC236}">
              <a16:creationId xmlns:a16="http://schemas.microsoft.com/office/drawing/2014/main" id="{1F76B7C1-C19C-42D2-BABF-BE37F1D70C37}"/>
            </a:ext>
          </a:extLst>
        </xdr:cNvPr>
        <xdr:cNvSpPr txBox="1"/>
      </xdr:nvSpPr>
      <xdr:spPr>
        <a:xfrm>
          <a:off x="11780519" y="4941570"/>
          <a:ext cx="60198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9B409F6-96B7-498F-AA21-D52E6DD2F029}" type="TxLink">
            <a:rPr lang="en-US" sz="1200" b="0" i="0" u="none" strike="noStrike">
              <a:solidFill>
                <a:schemeClr val="bg1"/>
              </a:solidFill>
              <a:latin typeface="Aptos Narrow"/>
            </a:rPr>
            <a:pPr algn="r"/>
            <a:t>Cost</a:t>
          </a:fld>
          <a:endParaRPr lang="ru-RU" sz="1400">
            <a:solidFill>
              <a:schemeClr val="bg1"/>
            </a:solidFill>
          </a:endParaRPr>
        </a:p>
      </xdr:txBody>
    </xdr:sp>
    <xdr:clientData/>
  </xdr:twoCellAnchor>
  <xdr:twoCellAnchor>
    <xdr:from>
      <xdr:col>20</xdr:col>
      <xdr:colOff>213360</xdr:colOff>
      <xdr:row>27</xdr:row>
      <xdr:rowOff>68580</xdr:rowOff>
    </xdr:from>
    <xdr:to>
      <xdr:col>20</xdr:col>
      <xdr:colOff>350520</xdr:colOff>
      <xdr:row>28</xdr:row>
      <xdr:rowOff>22860</xdr:rowOff>
    </xdr:to>
    <xdr:sp macro="" textlink="">
      <xdr:nvSpPr>
        <xdr:cNvPr id="38" name="Oval 37">
          <a:extLst>
            <a:ext uri="{FF2B5EF4-FFF2-40B4-BE49-F238E27FC236}">
              <a16:creationId xmlns:a16="http://schemas.microsoft.com/office/drawing/2014/main" id="{720AE841-3BF5-43FE-A839-EAF4AAB47D1C}"/>
            </a:ext>
          </a:extLst>
        </xdr:cNvPr>
        <xdr:cNvSpPr/>
      </xdr:nvSpPr>
      <xdr:spPr>
        <a:xfrm>
          <a:off x="12405360" y="5006340"/>
          <a:ext cx="137160" cy="137160"/>
        </a:xfrm>
        <a:prstGeom prst="ellipse">
          <a:avLst/>
        </a:prstGeom>
        <a:noFill/>
        <a:ln>
          <a:solidFill>
            <a:srgbClr val="998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213360</xdr:colOff>
      <xdr:row>28</xdr:row>
      <xdr:rowOff>121920</xdr:rowOff>
    </xdr:from>
    <xdr:to>
      <xdr:col>20</xdr:col>
      <xdr:colOff>350520</xdr:colOff>
      <xdr:row>29</xdr:row>
      <xdr:rowOff>76200</xdr:rowOff>
    </xdr:to>
    <xdr:sp macro="" textlink="">
      <xdr:nvSpPr>
        <xdr:cNvPr id="39" name="Oval 38">
          <a:extLst>
            <a:ext uri="{FF2B5EF4-FFF2-40B4-BE49-F238E27FC236}">
              <a16:creationId xmlns:a16="http://schemas.microsoft.com/office/drawing/2014/main" id="{26878A02-F08C-4710-AB1E-C62C8D8FB893}"/>
            </a:ext>
          </a:extLst>
        </xdr:cNvPr>
        <xdr:cNvSpPr/>
      </xdr:nvSpPr>
      <xdr:spPr>
        <a:xfrm>
          <a:off x="12405360" y="5242560"/>
          <a:ext cx="137160" cy="137160"/>
        </a:xfrm>
        <a:prstGeom prst="ellipse">
          <a:avLst/>
        </a:prstGeom>
        <a:noFill/>
        <a:ln>
          <a:solidFill>
            <a:srgbClr val="1AFFD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193618</xdr:colOff>
      <xdr:row>38</xdr:row>
      <xdr:rowOff>148590</xdr:rowOff>
    </xdr:from>
    <xdr:to>
      <xdr:col>5</xdr:col>
      <xdr:colOff>484563</xdr:colOff>
      <xdr:row>40</xdr:row>
      <xdr:rowOff>49530</xdr:rowOff>
    </xdr:to>
    <xdr:sp macro="" textlink="Processing!P11">
      <xdr:nvSpPr>
        <xdr:cNvPr id="40" name="TextBox 39">
          <a:extLst>
            <a:ext uri="{FF2B5EF4-FFF2-40B4-BE49-F238E27FC236}">
              <a16:creationId xmlns:a16="http://schemas.microsoft.com/office/drawing/2014/main" id="{72BF3853-0BEA-4524-AE73-F5DBEA61E14C}"/>
            </a:ext>
          </a:extLst>
        </xdr:cNvPr>
        <xdr:cNvSpPr txBox="1"/>
      </xdr:nvSpPr>
      <xdr:spPr>
        <a:xfrm>
          <a:off x="2632018" y="7098030"/>
          <a:ext cx="90054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61E3E4-0238-45CC-9E47-4655CB597091}" type="TxLink">
            <a:rPr lang="en-US" sz="1100" b="0" i="0" u="none" strike="noStrike">
              <a:solidFill>
                <a:srgbClr val="5A6380"/>
              </a:solidFill>
              <a:latin typeface="Aptos Narrow"/>
            </a:rPr>
            <a:pPr algn="ctr"/>
            <a:t>Customer</a:t>
          </a:fld>
          <a:endParaRPr lang="ru-RU" sz="1200">
            <a:solidFill>
              <a:srgbClr val="5A6380"/>
            </a:solidFill>
          </a:endParaRPr>
        </a:p>
      </xdr:txBody>
    </xdr:sp>
    <xdr:clientData/>
  </xdr:twoCellAnchor>
  <xdr:twoCellAnchor>
    <xdr:from>
      <xdr:col>4</xdr:col>
      <xdr:colOff>193618</xdr:colOff>
      <xdr:row>34</xdr:row>
      <xdr:rowOff>60178</xdr:rowOff>
    </xdr:from>
    <xdr:to>
      <xdr:col>5</xdr:col>
      <xdr:colOff>484563</xdr:colOff>
      <xdr:row>37</xdr:row>
      <xdr:rowOff>31262</xdr:rowOff>
    </xdr:to>
    <xdr:sp macro="" textlink="Processing!P11">
      <xdr:nvSpPr>
        <xdr:cNvPr id="41" name="TextBox 40">
          <a:extLst>
            <a:ext uri="{FF2B5EF4-FFF2-40B4-BE49-F238E27FC236}">
              <a16:creationId xmlns:a16="http://schemas.microsoft.com/office/drawing/2014/main" id="{85F35DC4-5236-4A6E-B7E2-CEEDFC19FD33}"/>
            </a:ext>
          </a:extLst>
        </xdr:cNvPr>
        <xdr:cNvSpPr txBox="1"/>
      </xdr:nvSpPr>
      <xdr:spPr>
        <a:xfrm>
          <a:off x="2632018" y="6278098"/>
          <a:ext cx="900545" cy="519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chemeClr val="bg1"/>
              </a:solidFill>
              <a:latin typeface="Aptos Narrow"/>
            </a:rPr>
            <a:t>C</a:t>
          </a:r>
          <a:endParaRPr lang="ru-RU" sz="4400">
            <a:solidFill>
              <a:schemeClr val="bg1"/>
            </a:solidFill>
          </a:endParaRPr>
        </a:p>
      </xdr:txBody>
    </xdr:sp>
    <xdr:clientData/>
  </xdr:twoCellAnchor>
  <xdr:twoCellAnchor>
    <xdr:from>
      <xdr:col>3</xdr:col>
      <xdr:colOff>589281</xdr:colOff>
      <xdr:row>36</xdr:row>
      <xdr:rowOff>144762</xdr:rowOff>
    </xdr:from>
    <xdr:to>
      <xdr:col>6</xdr:col>
      <xdr:colOff>210819</xdr:colOff>
      <xdr:row>39</xdr:row>
      <xdr:rowOff>68598</xdr:rowOff>
    </xdr:to>
    <xdr:sp macro="" textlink="Processing!Q11">
      <xdr:nvSpPr>
        <xdr:cNvPr id="42" name="TextBox 41">
          <a:extLst>
            <a:ext uri="{FF2B5EF4-FFF2-40B4-BE49-F238E27FC236}">
              <a16:creationId xmlns:a16="http://schemas.microsoft.com/office/drawing/2014/main" id="{77E12CF7-FD5A-46AF-930F-91F4B5E2DE0E}"/>
            </a:ext>
          </a:extLst>
        </xdr:cNvPr>
        <xdr:cNvSpPr txBox="1"/>
      </xdr:nvSpPr>
      <xdr:spPr>
        <a:xfrm>
          <a:off x="2418081" y="6728442"/>
          <a:ext cx="1450338" cy="472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9C8F97-42C1-46BC-9F93-80D03DC58D66}" type="TxLink">
            <a:rPr lang="en-US" sz="2800" b="0" i="0" u="none" strike="noStrike">
              <a:solidFill>
                <a:srgbClr val="1AFFD5"/>
              </a:solidFill>
              <a:latin typeface="Aptos Narrow"/>
            </a:rPr>
            <a:pPr algn="ctr"/>
            <a:t>10%</a:t>
          </a:fld>
          <a:endParaRPr lang="ru-RU" sz="7200">
            <a:solidFill>
              <a:srgbClr val="1AFFD5"/>
            </a:solidFill>
          </a:endParaRPr>
        </a:p>
      </xdr:txBody>
    </xdr:sp>
    <xdr:clientData/>
  </xdr:twoCellAnchor>
  <xdr:twoCellAnchor>
    <xdr:from>
      <xdr:col>8</xdr:col>
      <xdr:colOff>155518</xdr:colOff>
      <xdr:row>38</xdr:row>
      <xdr:rowOff>148590</xdr:rowOff>
    </xdr:from>
    <xdr:to>
      <xdr:col>9</xdr:col>
      <xdr:colOff>446463</xdr:colOff>
      <xdr:row>40</xdr:row>
      <xdr:rowOff>49530</xdr:rowOff>
    </xdr:to>
    <xdr:sp macro="" textlink="Processing!P12">
      <xdr:nvSpPr>
        <xdr:cNvPr id="43" name="TextBox 42">
          <a:extLst>
            <a:ext uri="{FF2B5EF4-FFF2-40B4-BE49-F238E27FC236}">
              <a16:creationId xmlns:a16="http://schemas.microsoft.com/office/drawing/2014/main" id="{3E24C44C-2D43-4AF4-8BAC-F2F9134F1DF5}"/>
            </a:ext>
          </a:extLst>
        </xdr:cNvPr>
        <xdr:cNvSpPr txBox="1"/>
      </xdr:nvSpPr>
      <xdr:spPr>
        <a:xfrm>
          <a:off x="5032318" y="7098030"/>
          <a:ext cx="90054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494A07-8249-4A14-A9E4-529450584546}" type="TxLink">
            <a:rPr lang="en-US" sz="1100" b="0" i="0" u="none" strike="noStrike">
              <a:solidFill>
                <a:srgbClr val="5A6380"/>
              </a:solidFill>
              <a:latin typeface="Aptos Narrow"/>
            </a:rPr>
            <a:pPr algn="ctr"/>
            <a:t>Relationship </a:t>
          </a:fld>
          <a:endParaRPr lang="ru-RU" sz="1200">
            <a:solidFill>
              <a:srgbClr val="5A6380"/>
            </a:solidFill>
          </a:endParaRPr>
        </a:p>
      </xdr:txBody>
    </xdr:sp>
    <xdr:clientData/>
  </xdr:twoCellAnchor>
  <xdr:twoCellAnchor>
    <xdr:from>
      <xdr:col>8</xdr:col>
      <xdr:colOff>147898</xdr:colOff>
      <xdr:row>34</xdr:row>
      <xdr:rowOff>60178</xdr:rowOff>
    </xdr:from>
    <xdr:to>
      <xdr:col>9</xdr:col>
      <xdr:colOff>438843</xdr:colOff>
      <xdr:row>37</xdr:row>
      <xdr:rowOff>31262</xdr:rowOff>
    </xdr:to>
    <xdr:sp macro="" textlink="Processing!P11">
      <xdr:nvSpPr>
        <xdr:cNvPr id="44" name="TextBox 43">
          <a:extLst>
            <a:ext uri="{FF2B5EF4-FFF2-40B4-BE49-F238E27FC236}">
              <a16:creationId xmlns:a16="http://schemas.microsoft.com/office/drawing/2014/main" id="{4BA8235C-10BC-4478-B3DB-5539A6E3B312}"/>
            </a:ext>
          </a:extLst>
        </xdr:cNvPr>
        <xdr:cNvSpPr txBox="1"/>
      </xdr:nvSpPr>
      <xdr:spPr>
        <a:xfrm>
          <a:off x="5024698" y="6278098"/>
          <a:ext cx="900545" cy="519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a:solidFill>
                <a:schemeClr val="bg1"/>
              </a:solidFill>
            </a:rPr>
            <a:t>R</a:t>
          </a:r>
          <a:endParaRPr lang="ru-RU" sz="4400">
            <a:solidFill>
              <a:schemeClr val="bg1"/>
            </a:solidFill>
          </a:endParaRPr>
        </a:p>
      </xdr:txBody>
    </xdr:sp>
    <xdr:clientData/>
  </xdr:twoCellAnchor>
  <xdr:twoCellAnchor>
    <xdr:from>
      <xdr:col>7</xdr:col>
      <xdr:colOff>543561</xdr:colOff>
      <xdr:row>36</xdr:row>
      <xdr:rowOff>144762</xdr:rowOff>
    </xdr:from>
    <xdr:to>
      <xdr:col>10</xdr:col>
      <xdr:colOff>165099</xdr:colOff>
      <xdr:row>39</xdr:row>
      <xdr:rowOff>68598</xdr:rowOff>
    </xdr:to>
    <xdr:sp macro="" textlink="Processing!Q12">
      <xdr:nvSpPr>
        <xdr:cNvPr id="45" name="TextBox 44">
          <a:extLst>
            <a:ext uri="{FF2B5EF4-FFF2-40B4-BE49-F238E27FC236}">
              <a16:creationId xmlns:a16="http://schemas.microsoft.com/office/drawing/2014/main" id="{BB5E1198-858C-4FBF-A938-4EB10032E865}"/>
            </a:ext>
          </a:extLst>
        </xdr:cNvPr>
        <xdr:cNvSpPr txBox="1"/>
      </xdr:nvSpPr>
      <xdr:spPr>
        <a:xfrm>
          <a:off x="4810761" y="6728442"/>
          <a:ext cx="1450338" cy="472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C4A6D2E-6605-486B-A739-711EFBEEAD46}" type="TxLink">
            <a:rPr lang="en-US" sz="2800" b="0" i="0" u="none" strike="noStrike">
              <a:solidFill>
                <a:srgbClr val="8F72FF"/>
              </a:solidFill>
              <a:latin typeface="Aptos Narrow"/>
              <a:ea typeface="+mn-ea"/>
              <a:cs typeface="+mn-cs"/>
            </a:rPr>
            <a:pPr marL="0" indent="0" algn="ctr"/>
            <a:t>13%</a:t>
          </a:fld>
          <a:endParaRPr lang="ru-RU" sz="2800" b="0" i="0" u="none" strike="noStrike">
            <a:solidFill>
              <a:srgbClr val="8F72FF"/>
            </a:solidFill>
            <a:latin typeface="Aptos Narrow"/>
            <a:ea typeface="+mn-ea"/>
            <a:cs typeface="+mn-cs"/>
          </a:endParaRPr>
        </a:p>
      </xdr:txBody>
    </xdr:sp>
    <xdr:clientData/>
  </xdr:twoCellAnchor>
  <xdr:twoCellAnchor>
    <xdr:from>
      <xdr:col>12</xdr:col>
      <xdr:colOff>140278</xdr:colOff>
      <xdr:row>38</xdr:row>
      <xdr:rowOff>148590</xdr:rowOff>
    </xdr:from>
    <xdr:to>
      <xdr:col>13</xdr:col>
      <xdr:colOff>431223</xdr:colOff>
      <xdr:row>40</xdr:row>
      <xdr:rowOff>49530</xdr:rowOff>
    </xdr:to>
    <xdr:sp macro="" textlink="Processing!P13">
      <xdr:nvSpPr>
        <xdr:cNvPr id="46" name="TextBox 45">
          <a:extLst>
            <a:ext uri="{FF2B5EF4-FFF2-40B4-BE49-F238E27FC236}">
              <a16:creationId xmlns:a16="http://schemas.microsoft.com/office/drawing/2014/main" id="{2159BB6B-F0C9-41DA-9F1C-475A224FA4D2}"/>
            </a:ext>
          </a:extLst>
        </xdr:cNvPr>
        <xdr:cNvSpPr txBox="1"/>
      </xdr:nvSpPr>
      <xdr:spPr>
        <a:xfrm>
          <a:off x="7455478" y="7098030"/>
          <a:ext cx="90054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44342E-BF6B-478E-874B-7D33F89EE963}" type="TxLink">
            <a:rPr lang="en-US" sz="1100" b="0" i="0" u="none" strike="noStrike">
              <a:solidFill>
                <a:srgbClr val="5A6380"/>
              </a:solidFill>
              <a:latin typeface="Aptos Narrow"/>
            </a:rPr>
            <a:pPr algn="ctr"/>
            <a:t>Management</a:t>
          </a:fld>
          <a:endParaRPr lang="ru-RU" sz="1200">
            <a:solidFill>
              <a:srgbClr val="5A6380"/>
            </a:solidFill>
          </a:endParaRPr>
        </a:p>
      </xdr:txBody>
    </xdr:sp>
    <xdr:clientData/>
  </xdr:twoCellAnchor>
  <xdr:twoCellAnchor>
    <xdr:from>
      <xdr:col>12</xdr:col>
      <xdr:colOff>140278</xdr:colOff>
      <xdr:row>34</xdr:row>
      <xdr:rowOff>60178</xdr:rowOff>
    </xdr:from>
    <xdr:to>
      <xdr:col>13</xdr:col>
      <xdr:colOff>431223</xdr:colOff>
      <xdr:row>37</xdr:row>
      <xdr:rowOff>31262</xdr:rowOff>
    </xdr:to>
    <xdr:sp macro="" textlink="Processing!P11">
      <xdr:nvSpPr>
        <xdr:cNvPr id="47" name="TextBox 46">
          <a:extLst>
            <a:ext uri="{FF2B5EF4-FFF2-40B4-BE49-F238E27FC236}">
              <a16:creationId xmlns:a16="http://schemas.microsoft.com/office/drawing/2014/main" id="{EF8A7FC8-1E65-476C-8CE1-5C316AA605E4}"/>
            </a:ext>
          </a:extLst>
        </xdr:cNvPr>
        <xdr:cNvSpPr txBox="1"/>
      </xdr:nvSpPr>
      <xdr:spPr>
        <a:xfrm>
          <a:off x="7455478" y="6278098"/>
          <a:ext cx="900545" cy="519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chemeClr val="bg1"/>
              </a:solidFill>
              <a:latin typeface="Aptos Narrow"/>
            </a:rPr>
            <a:t>M</a:t>
          </a:r>
          <a:endParaRPr lang="ru-RU" sz="4400">
            <a:solidFill>
              <a:schemeClr val="bg1"/>
            </a:solidFill>
          </a:endParaRPr>
        </a:p>
      </xdr:txBody>
    </xdr:sp>
    <xdr:clientData/>
  </xdr:twoCellAnchor>
  <xdr:twoCellAnchor>
    <xdr:from>
      <xdr:col>11</xdr:col>
      <xdr:colOff>535941</xdr:colOff>
      <xdr:row>36</xdr:row>
      <xdr:rowOff>144762</xdr:rowOff>
    </xdr:from>
    <xdr:to>
      <xdr:col>14</xdr:col>
      <xdr:colOff>157479</xdr:colOff>
      <xdr:row>39</xdr:row>
      <xdr:rowOff>68598</xdr:rowOff>
    </xdr:to>
    <xdr:sp macro="" textlink="Processing!Q13">
      <xdr:nvSpPr>
        <xdr:cNvPr id="48" name="TextBox 47">
          <a:extLst>
            <a:ext uri="{FF2B5EF4-FFF2-40B4-BE49-F238E27FC236}">
              <a16:creationId xmlns:a16="http://schemas.microsoft.com/office/drawing/2014/main" id="{732E55B6-F566-4D11-9E8F-C08D10DAB6FA}"/>
            </a:ext>
          </a:extLst>
        </xdr:cNvPr>
        <xdr:cNvSpPr txBox="1"/>
      </xdr:nvSpPr>
      <xdr:spPr>
        <a:xfrm>
          <a:off x="7241541" y="6728442"/>
          <a:ext cx="1450338" cy="472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9E6101-D655-4690-82E8-3E073DF5DE4A}" type="TxLink">
            <a:rPr lang="en-US" sz="2800" b="0" i="0" u="none" strike="noStrike">
              <a:solidFill>
                <a:srgbClr val="C3DCEB"/>
              </a:solidFill>
              <a:latin typeface="Aptos Narrow"/>
              <a:ea typeface="+mn-ea"/>
              <a:cs typeface="+mn-cs"/>
            </a:rPr>
            <a:pPr marL="0" indent="0" algn="ctr"/>
            <a:t>8%</a:t>
          </a:fld>
          <a:endParaRPr lang="ru-RU" sz="2800" b="0" i="0" u="none" strike="noStrike">
            <a:solidFill>
              <a:srgbClr val="C3DCEB"/>
            </a:solidFill>
            <a:latin typeface="Aptos Narrow"/>
            <a:ea typeface="+mn-ea"/>
            <a:cs typeface="+mn-cs"/>
          </a:endParaRPr>
        </a:p>
      </xdr:txBody>
    </xdr:sp>
    <xdr:clientData/>
  </xdr:twoCellAnchor>
  <xdr:twoCellAnchor editAs="oneCell">
    <xdr:from>
      <xdr:col>4</xdr:col>
      <xdr:colOff>137160</xdr:colOff>
      <xdr:row>27</xdr:row>
      <xdr:rowOff>76200</xdr:rowOff>
    </xdr:from>
    <xdr:to>
      <xdr:col>14</xdr:col>
      <xdr:colOff>259080</xdr:colOff>
      <xdr:row>29</xdr:row>
      <xdr:rowOff>129540</xdr:rowOff>
    </xdr:to>
    <mc:AlternateContent xmlns:mc="http://schemas.openxmlformats.org/markup-compatibility/2006" xmlns:a14="http://schemas.microsoft.com/office/drawing/2010/main">
      <mc:Choice Requires="a14">
        <xdr:graphicFrame macro="">
          <xdr:nvGraphicFramePr>
            <xdr:cNvPr id="49" name="Month 2">
              <a:extLst>
                <a:ext uri="{FF2B5EF4-FFF2-40B4-BE49-F238E27FC236}">
                  <a16:creationId xmlns:a16="http://schemas.microsoft.com/office/drawing/2014/main" id="{9B392FEB-22B6-441F-82FA-EEB3163F0733}"/>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2575560" y="5013960"/>
              <a:ext cx="6217920" cy="4191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175261</xdr:colOff>
      <xdr:row>7</xdr:row>
      <xdr:rowOff>38101</xdr:rowOff>
    </xdr:from>
    <xdr:to>
      <xdr:col>13</xdr:col>
      <xdr:colOff>586741</xdr:colOff>
      <xdr:row>9</xdr:row>
      <xdr:rowOff>106681</xdr:rowOff>
    </xdr:to>
    <mc:AlternateContent xmlns:mc="http://schemas.openxmlformats.org/markup-compatibility/2006" xmlns:a14="http://schemas.microsoft.com/office/drawing/2010/main">
      <mc:Choice Requires="a14">
        <xdr:graphicFrame macro="">
          <xdr:nvGraphicFramePr>
            <xdr:cNvPr id="50" name="Year 2">
              <a:extLst>
                <a:ext uri="{FF2B5EF4-FFF2-40B4-BE49-F238E27FC236}">
                  <a16:creationId xmlns:a16="http://schemas.microsoft.com/office/drawing/2014/main" id="{BC498386-AF89-4F4A-9D03-9552624FC2C5}"/>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6271261" y="1318261"/>
              <a:ext cx="2240280" cy="4343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156557</xdr:colOff>
      <xdr:row>11</xdr:row>
      <xdr:rowOff>177685</xdr:rowOff>
    </xdr:from>
    <xdr:to>
      <xdr:col>20</xdr:col>
      <xdr:colOff>544484</xdr:colOff>
      <xdr:row>24</xdr:row>
      <xdr:rowOff>134736</xdr:rowOff>
    </xdr:to>
    <xdr:sp macro="" textlink="">
      <xdr:nvSpPr>
        <xdr:cNvPr id="51" name="Rectangle 50">
          <a:hlinkClick xmlns:r="http://schemas.openxmlformats.org/officeDocument/2006/relationships" r:id="rId7"/>
          <a:extLst>
            <a:ext uri="{FF2B5EF4-FFF2-40B4-BE49-F238E27FC236}">
              <a16:creationId xmlns:a16="http://schemas.microsoft.com/office/drawing/2014/main" id="{688C05FF-DD9A-45ED-99F0-D251B041AD35}"/>
            </a:ext>
          </a:extLst>
        </xdr:cNvPr>
        <xdr:cNvSpPr/>
      </xdr:nvSpPr>
      <xdr:spPr>
        <a:xfrm>
          <a:off x="9300557" y="2189365"/>
          <a:ext cx="3435927" cy="23344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594360</xdr:colOff>
      <xdr:row>8</xdr:row>
      <xdr:rowOff>99060</xdr:rowOff>
    </xdr:from>
    <xdr:to>
      <xdr:col>10</xdr:col>
      <xdr:colOff>464934</xdr:colOff>
      <xdr:row>11</xdr:row>
      <xdr:rowOff>118110</xdr:rowOff>
    </xdr:to>
    <xdr:sp macro="" textlink="">
      <xdr:nvSpPr>
        <xdr:cNvPr id="52" name="TextBox 51">
          <a:extLst>
            <a:ext uri="{FF2B5EF4-FFF2-40B4-BE49-F238E27FC236}">
              <a16:creationId xmlns:a16="http://schemas.microsoft.com/office/drawing/2014/main" id="{FB28DE54-7308-4D2F-A939-36A24AE9C6B6}"/>
            </a:ext>
          </a:extLst>
        </xdr:cNvPr>
        <xdr:cNvSpPr txBox="1"/>
      </xdr:nvSpPr>
      <xdr:spPr>
        <a:xfrm>
          <a:off x="2423160" y="1562100"/>
          <a:ext cx="4137774" cy="567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4000" b="0" i="0" u="none" strike="noStrike">
              <a:solidFill>
                <a:schemeClr val="tx1"/>
              </a:solidFill>
              <a:latin typeface="Georgia" panose="02040502050405020303" pitchFamily="18" charset="0"/>
            </a:rPr>
            <a:t>CRM </a:t>
          </a:r>
          <a:r>
            <a:rPr lang="en-US" sz="3200" b="0" i="0" u="none" strike="noStrike">
              <a:solidFill>
                <a:schemeClr val="tx1"/>
              </a:solidFill>
              <a:latin typeface="Georgia" panose="02040502050405020303" pitchFamily="18" charset="0"/>
            </a:rPr>
            <a:t>Dashboard</a:t>
          </a:r>
          <a:endParaRPr lang="en-US" sz="4000" b="0" i="0" u="none" strike="noStrike">
            <a:solidFill>
              <a:schemeClr val="tx1"/>
            </a:solidFill>
            <a:latin typeface="Georgia" panose="02040502050405020303" pitchFamily="18" charset="0"/>
          </a:endParaRPr>
        </a:p>
      </xdr:txBody>
    </xdr:sp>
    <xdr:clientData/>
  </xdr:twoCellAnchor>
  <xdr:twoCellAnchor editAs="oneCell">
    <xdr:from>
      <xdr:col>18</xdr:col>
      <xdr:colOff>358140</xdr:colOff>
      <xdr:row>8</xdr:row>
      <xdr:rowOff>114300</xdr:rowOff>
    </xdr:from>
    <xdr:to>
      <xdr:col>19</xdr:col>
      <xdr:colOff>114300</xdr:colOff>
      <xdr:row>10</xdr:row>
      <xdr:rowOff>114300</xdr:rowOff>
    </xdr:to>
    <xdr:pic>
      <xdr:nvPicPr>
        <xdr:cNvPr id="53" name="Graphic 52" descr="Sun with solid fill">
          <a:hlinkClick xmlns:r="http://schemas.openxmlformats.org/officeDocument/2006/relationships" r:id="rId8"/>
          <a:extLst>
            <a:ext uri="{FF2B5EF4-FFF2-40B4-BE49-F238E27FC236}">
              <a16:creationId xmlns:a16="http://schemas.microsoft.com/office/drawing/2014/main" id="{77E11849-AD82-4E21-BE6A-A6C4FA650B2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330940" y="1577340"/>
          <a:ext cx="365760" cy="365760"/>
        </a:xfrm>
        <a:prstGeom prst="rect">
          <a:avLst/>
        </a:prstGeom>
      </xdr:spPr>
    </xdr:pic>
    <xdr:clientData/>
  </xdr:twoCellAnchor>
  <xdr:twoCellAnchor editAs="oneCell">
    <xdr:from>
      <xdr:col>19</xdr:col>
      <xdr:colOff>373380</xdr:colOff>
      <xdr:row>8</xdr:row>
      <xdr:rowOff>114300</xdr:rowOff>
    </xdr:from>
    <xdr:to>
      <xdr:col>20</xdr:col>
      <xdr:colOff>129540</xdr:colOff>
      <xdr:row>10</xdr:row>
      <xdr:rowOff>114300</xdr:rowOff>
    </xdr:to>
    <xdr:pic>
      <xdr:nvPicPr>
        <xdr:cNvPr id="54" name="Graphic 53" descr="Moon and stars with solid fill">
          <a:extLst>
            <a:ext uri="{FF2B5EF4-FFF2-40B4-BE49-F238E27FC236}">
              <a16:creationId xmlns:a16="http://schemas.microsoft.com/office/drawing/2014/main" id="{524B0AC2-2AB2-4FDC-9A8A-1A9BA5B6B4E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955780" y="1577340"/>
          <a:ext cx="365760" cy="365760"/>
        </a:xfrm>
        <a:prstGeom prst="rect">
          <a:avLst/>
        </a:prstGeom>
      </xdr:spPr>
    </xdr:pic>
    <xdr:clientData/>
  </xdr:twoCellAnchor>
  <xdr:twoCellAnchor>
    <xdr:from>
      <xdr:col>0</xdr:col>
      <xdr:colOff>0</xdr:colOff>
      <xdr:row>0</xdr:row>
      <xdr:rowOff>0</xdr:rowOff>
    </xdr:from>
    <xdr:to>
      <xdr:col>2</xdr:col>
      <xdr:colOff>297180</xdr:colOff>
      <xdr:row>7</xdr:row>
      <xdr:rowOff>106680</xdr:rowOff>
    </xdr:to>
    <xdr:sp macro="" textlink="">
      <xdr:nvSpPr>
        <xdr:cNvPr id="55" name="Rectangle 54">
          <a:extLst>
            <a:ext uri="{FF2B5EF4-FFF2-40B4-BE49-F238E27FC236}">
              <a16:creationId xmlns:a16="http://schemas.microsoft.com/office/drawing/2014/main" id="{060BB3C9-DDDA-43D6-B500-4182FF452E25}"/>
            </a:ext>
          </a:extLst>
        </xdr:cNvPr>
        <xdr:cNvSpPr/>
      </xdr:nvSpPr>
      <xdr:spPr>
        <a:xfrm>
          <a:off x="0" y="0"/>
          <a:ext cx="1516380" cy="1386840"/>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10</xdr:row>
      <xdr:rowOff>30480</xdr:rowOff>
    </xdr:from>
    <xdr:to>
      <xdr:col>13</xdr:col>
      <xdr:colOff>304800</xdr:colOff>
      <xdr:row>55</xdr:row>
      <xdr:rowOff>30480</xdr:rowOff>
    </xdr:to>
    <xdr:sp macro="" textlink="">
      <xdr:nvSpPr>
        <xdr:cNvPr id="2" name="Oval 1">
          <a:extLst>
            <a:ext uri="{FF2B5EF4-FFF2-40B4-BE49-F238E27FC236}">
              <a16:creationId xmlns:a16="http://schemas.microsoft.com/office/drawing/2014/main" id="{700CAEFC-D5DC-40B2-A8ED-94B0BF6E7F63}"/>
            </a:ext>
          </a:extLst>
        </xdr:cNvPr>
        <xdr:cNvSpPr/>
      </xdr:nvSpPr>
      <xdr:spPr>
        <a:xfrm>
          <a:off x="0" y="1859280"/>
          <a:ext cx="8229600" cy="8229600"/>
        </a:xfrm>
        <a:prstGeom prst="ellipse">
          <a:avLst/>
        </a:prstGeom>
        <a:solidFill>
          <a:srgbClr val="1032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17</xdr:col>
      <xdr:colOff>7620</xdr:colOff>
      <xdr:row>0</xdr:row>
      <xdr:rowOff>0</xdr:rowOff>
    </xdr:from>
    <xdr:to>
      <xdr:col>27</xdr:col>
      <xdr:colOff>312420</xdr:colOff>
      <xdr:row>35</xdr:row>
      <xdr:rowOff>0</xdr:rowOff>
    </xdr:to>
    <xdr:sp macro="" textlink="">
      <xdr:nvSpPr>
        <xdr:cNvPr id="3" name="Oval 2">
          <a:extLst>
            <a:ext uri="{FF2B5EF4-FFF2-40B4-BE49-F238E27FC236}">
              <a16:creationId xmlns:a16="http://schemas.microsoft.com/office/drawing/2014/main" id="{70AD0B61-7DA6-46C4-93E6-9CC9296B99A8}"/>
            </a:ext>
          </a:extLst>
        </xdr:cNvPr>
        <xdr:cNvSpPr/>
      </xdr:nvSpPr>
      <xdr:spPr>
        <a:xfrm>
          <a:off x="10370820" y="0"/>
          <a:ext cx="6400800" cy="6400800"/>
        </a:xfrm>
        <a:prstGeom prst="ellipse">
          <a:avLst/>
        </a:prstGeom>
        <a:solidFill>
          <a:srgbClr val="241B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2</xdr:col>
      <xdr:colOff>320041</xdr:colOff>
      <xdr:row>6</xdr:row>
      <xdr:rowOff>121920</xdr:rowOff>
    </xdr:from>
    <xdr:to>
      <xdr:col>21</xdr:col>
      <xdr:colOff>441961</xdr:colOff>
      <xdr:row>44</xdr:row>
      <xdr:rowOff>30480</xdr:rowOff>
    </xdr:to>
    <xdr:sp macro="" textlink="">
      <xdr:nvSpPr>
        <xdr:cNvPr id="4" name="Rectangle: Rounded Corners 3">
          <a:extLst>
            <a:ext uri="{FF2B5EF4-FFF2-40B4-BE49-F238E27FC236}">
              <a16:creationId xmlns:a16="http://schemas.microsoft.com/office/drawing/2014/main" id="{7482CDBB-B455-4E09-9F67-DDB2B395AE7C}"/>
            </a:ext>
          </a:extLst>
        </xdr:cNvPr>
        <xdr:cNvSpPr/>
      </xdr:nvSpPr>
      <xdr:spPr>
        <a:xfrm>
          <a:off x="1539241" y="1219200"/>
          <a:ext cx="11704320" cy="6858000"/>
        </a:xfrm>
        <a:prstGeom prst="roundRect">
          <a:avLst>
            <a:gd name="adj" fmla="val 4569"/>
          </a:avLst>
        </a:prstGeom>
        <a:solidFill>
          <a:srgbClr val="5A6380">
            <a:alpha val="58000"/>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3</xdr:col>
      <xdr:colOff>236220</xdr:colOff>
      <xdr:row>12</xdr:row>
      <xdr:rowOff>22860</xdr:rowOff>
    </xdr:from>
    <xdr:to>
      <xdr:col>14</xdr:col>
      <xdr:colOff>388620</xdr:colOff>
      <xdr:row>30</xdr:row>
      <xdr:rowOff>22860</xdr:rowOff>
    </xdr:to>
    <xdr:sp macro="" textlink="">
      <xdr:nvSpPr>
        <xdr:cNvPr id="5" name="Rectangle: Rounded Corners 4">
          <a:extLst>
            <a:ext uri="{FF2B5EF4-FFF2-40B4-BE49-F238E27FC236}">
              <a16:creationId xmlns:a16="http://schemas.microsoft.com/office/drawing/2014/main" id="{0FF647B3-7C81-4894-9E5C-BE3819451174}"/>
            </a:ext>
          </a:extLst>
        </xdr:cNvPr>
        <xdr:cNvSpPr/>
      </xdr:nvSpPr>
      <xdr:spPr>
        <a:xfrm>
          <a:off x="2065020" y="2217420"/>
          <a:ext cx="6858000" cy="3291840"/>
        </a:xfrm>
        <a:prstGeom prst="roundRect">
          <a:avLst>
            <a:gd name="adj" fmla="val 5798"/>
          </a:avLst>
        </a:prstGeom>
        <a:solidFill>
          <a:srgbClr val="1B1B2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160020</xdr:colOff>
      <xdr:row>31</xdr:row>
      <xdr:rowOff>178958</xdr:rowOff>
    </xdr:from>
    <xdr:to>
      <xdr:col>14</xdr:col>
      <xdr:colOff>388620</xdr:colOff>
      <xdr:row>42</xdr:row>
      <xdr:rowOff>87518</xdr:rowOff>
    </xdr:to>
    <xdr:sp macro="" textlink="">
      <xdr:nvSpPr>
        <xdr:cNvPr id="6" name="Rectangle: Rounded Corners 5">
          <a:extLst>
            <a:ext uri="{FF2B5EF4-FFF2-40B4-BE49-F238E27FC236}">
              <a16:creationId xmlns:a16="http://schemas.microsoft.com/office/drawing/2014/main" id="{2D0519CE-B9D8-4276-A9F6-5F482351AF70}"/>
            </a:ext>
          </a:extLst>
        </xdr:cNvPr>
        <xdr:cNvSpPr/>
      </xdr:nvSpPr>
      <xdr:spPr>
        <a:xfrm>
          <a:off x="6865620" y="5848238"/>
          <a:ext cx="2057400" cy="1920240"/>
        </a:xfrm>
        <a:prstGeom prst="roundRect">
          <a:avLst>
            <a:gd name="adj" fmla="val 9426"/>
          </a:avLst>
        </a:prstGeom>
        <a:solidFill>
          <a:srgbClr val="1B1B2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137160</xdr:colOff>
      <xdr:row>12</xdr:row>
      <xdr:rowOff>34177</xdr:rowOff>
    </xdr:from>
    <xdr:to>
      <xdr:col>20</xdr:col>
      <xdr:colOff>563880</xdr:colOff>
      <xdr:row>24</xdr:row>
      <xdr:rowOff>125617</xdr:rowOff>
    </xdr:to>
    <xdr:sp macro="" textlink="">
      <xdr:nvSpPr>
        <xdr:cNvPr id="7" name="Rectangle: Rounded Corners 6">
          <a:extLst>
            <a:ext uri="{FF2B5EF4-FFF2-40B4-BE49-F238E27FC236}">
              <a16:creationId xmlns:a16="http://schemas.microsoft.com/office/drawing/2014/main" id="{A22903F4-A1AA-429D-AAA3-21CA114CE179}"/>
            </a:ext>
          </a:extLst>
        </xdr:cNvPr>
        <xdr:cNvSpPr/>
      </xdr:nvSpPr>
      <xdr:spPr>
        <a:xfrm>
          <a:off x="9281160" y="2228737"/>
          <a:ext cx="3474720" cy="2286000"/>
        </a:xfrm>
        <a:prstGeom prst="roundRect">
          <a:avLst>
            <a:gd name="adj" fmla="val 8426"/>
          </a:avLst>
        </a:prstGeom>
        <a:solidFill>
          <a:srgbClr val="1B1B2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137160</xdr:colOff>
      <xdr:row>26</xdr:row>
      <xdr:rowOff>87518</xdr:rowOff>
    </xdr:from>
    <xdr:to>
      <xdr:col>20</xdr:col>
      <xdr:colOff>563880</xdr:colOff>
      <xdr:row>42</xdr:row>
      <xdr:rowOff>87518</xdr:rowOff>
    </xdr:to>
    <xdr:sp macro="" textlink="">
      <xdr:nvSpPr>
        <xdr:cNvPr id="8" name="Rectangle: Rounded Corners 7">
          <a:extLst>
            <a:ext uri="{FF2B5EF4-FFF2-40B4-BE49-F238E27FC236}">
              <a16:creationId xmlns:a16="http://schemas.microsoft.com/office/drawing/2014/main" id="{7B870EE3-50B8-4D88-885B-F6DA28BF3693}"/>
            </a:ext>
          </a:extLst>
        </xdr:cNvPr>
        <xdr:cNvSpPr/>
      </xdr:nvSpPr>
      <xdr:spPr>
        <a:xfrm>
          <a:off x="9281160" y="4842398"/>
          <a:ext cx="3474720" cy="2926080"/>
        </a:xfrm>
        <a:prstGeom prst="roundRect">
          <a:avLst>
            <a:gd name="adj" fmla="val 6561"/>
          </a:avLst>
        </a:prstGeom>
        <a:solidFill>
          <a:srgbClr val="1B1B2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236220</xdr:colOff>
      <xdr:row>31</xdr:row>
      <xdr:rowOff>178958</xdr:rowOff>
    </xdr:from>
    <xdr:to>
      <xdr:col>6</xdr:col>
      <xdr:colOff>464820</xdr:colOff>
      <xdr:row>42</xdr:row>
      <xdr:rowOff>87518</xdr:rowOff>
    </xdr:to>
    <xdr:sp macro="" textlink="">
      <xdr:nvSpPr>
        <xdr:cNvPr id="9" name="Rectangle: Rounded Corners 8">
          <a:extLst>
            <a:ext uri="{FF2B5EF4-FFF2-40B4-BE49-F238E27FC236}">
              <a16:creationId xmlns:a16="http://schemas.microsoft.com/office/drawing/2014/main" id="{15479224-E2D9-4037-8372-8D2A25042424}"/>
            </a:ext>
          </a:extLst>
        </xdr:cNvPr>
        <xdr:cNvSpPr/>
      </xdr:nvSpPr>
      <xdr:spPr>
        <a:xfrm>
          <a:off x="2065020" y="5848238"/>
          <a:ext cx="2057400" cy="1920240"/>
        </a:xfrm>
        <a:prstGeom prst="roundRect">
          <a:avLst>
            <a:gd name="adj" fmla="val 9426"/>
          </a:avLst>
        </a:prstGeom>
        <a:solidFill>
          <a:srgbClr val="1B1B2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198120</xdr:colOff>
      <xdr:row>31</xdr:row>
      <xdr:rowOff>178958</xdr:rowOff>
    </xdr:from>
    <xdr:to>
      <xdr:col>10</xdr:col>
      <xdr:colOff>426720</xdr:colOff>
      <xdr:row>42</xdr:row>
      <xdr:rowOff>87518</xdr:rowOff>
    </xdr:to>
    <xdr:sp macro="" textlink="">
      <xdr:nvSpPr>
        <xdr:cNvPr id="10" name="Rectangle: Rounded Corners 9">
          <a:extLst>
            <a:ext uri="{FF2B5EF4-FFF2-40B4-BE49-F238E27FC236}">
              <a16:creationId xmlns:a16="http://schemas.microsoft.com/office/drawing/2014/main" id="{79FF6A00-1EC4-4174-AAAC-842217D2E720}"/>
            </a:ext>
          </a:extLst>
        </xdr:cNvPr>
        <xdr:cNvSpPr/>
      </xdr:nvSpPr>
      <xdr:spPr>
        <a:xfrm>
          <a:off x="4465320" y="5848238"/>
          <a:ext cx="2057400" cy="1920240"/>
        </a:xfrm>
        <a:prstGeom prst="roundRect">
          <a:avLst>
            <a:gd name="adj" fmla="val 9426"/>
          </a:avLst>
        </a:prstGeom>
        <a:solidFill>
          <a:srgbClr val="1B1B2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228600</xdr:colOff>
      <xdr:row>30</xdr:row>
      <xdr:rowOff>7620</xdr:rowOff>
    </xdr:from>
    <xdr:to>
      <xdr:col>19</xdr:col>
      <xdr:colOff>411480</xdr:colOff>
      <xdr:row>41</xdr:row>
      <xdr:rowOff>7620</xdr:rowOff>
    </xdr:to>
    <xdr:grpSp>
      <xdr:nvGrpSpPr>
        <xdr:cNvPr id="11" name="Group 10">
          <a:extLst>
            <a:ext uri="{FF2B5EF4-FFF2-40B4-BE49-F238E27FC236}">
              <a16:creationId xmlns:a16="http://schemas.microsoft.com/office/drawing/2014/main" id="{B8F133E1-C347-4739-BFCF-38751033B9A0}"/>
            </a:ext>
          </a:extLst>
        </xdr:cNvPr>
        <xdr:cNvGrpSpPr/>
      </xdr:nvGrpSpPr>
      <xdr:grpSpPr>
        <a:xfrm>
          <a:off x="9711267" y="5722620"/>
          <a:ext cx="1960880" cy="2095500"/>
          <a:chOff x="9982200" y="5394960"/>
          <a:chExt cx="2011680" cy="2011680"/>
        </a:xfrm>
      </xdr:grpSpPr>
      <xdr:sp macro="" textlink="">
        <xdr:nvSpPr>
          <xdr:cNvPr id="12" name="Oval 11">
            <a:extLst>
              <a:ext uri="{FF2B5EF4-FFF2-40B4-BE49-F238E27FC236}">
                <a16:creationId xmlns:a16="http://schemas.microsoft.com/office/drawing/2014/main" id="{6155E695-555D-96A7-5B6F-6D4B68043FE0}"/>
              </a:ext>
            </a:extLst>
          </xdr:cNvPr>
          <xdr:cNvSpPr/>
        </xdr:nvSpPr>
        <xdr:spPr>
          <a:xfrm>
            <a:off x="9982200" y="5394960"/>
            <a:ext cx="2011680" cy="2011680"/>
          </a:xfrm>
          <a:prstGeom prst="ellipse">
            <a:avLst/>
          </a:prstGeom>
          <a:solidFill>
            <a:srgbClr val="252A3E"/>
          </a:solidFill>
          <a:ln w="9525">
            <a:solidFill>
              <a:srgbClr val="5A638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13" name="Oval 12">
            <a:extLst>
              <a:ext uri="{FF2B5EF4-FFF2-40B4-BE49-F238E27FC236}">
                <a16:creationId xmlns:a16="http://schemas.microsoft.com/office/drawing/2014/main" id="{D39E283B-5DE4-17A5-0F4E-DD4C7EDD8D84}"/>
              </a:ext>
            </a:extLst>
          </xdr:cNvPr>
          <xdr:cNvSpPr/>
        </xdr:nvSpPr>
        <xdr:spPr>
          <a:xfrm>
            <a:off x="10210800" y="5615940"/>
            <a:ext cx="1554480" cy="1554480"/>
          </a:xfrm>
          <a:prstGeom prst="ellipse">
            <a:avLst/>
          </a:prstGeom>
          <a:solidFill>
            <a:srgbClr val="252A3E"/>
          </a:solidFill>
          <a:ln w="9525">
            <a:solidFill>
              <a:srgbClr val="5A638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14" name="Oval 13">
            <a:extLst>
              <a:ext uri="{FF2B5EF4-FFF2-40B4-BE49-F238E27FC236}">
                <a16:creationId xmlns:a16="http://schemas.microsoft.com/office/drawing/2014/main" id="{9975B4BD-4E4B-F316-FC17-FBA6C53742CD}"/>
              </a:ext>
            </a:extLst>
          </xdr:cNvPr>
          <xdr:cNvSpPr/>
        </xdr:nvSpPr>
        <xdr:spPr>
          <a:xfrm>
            <a:off x="10485120" y="5890260"/>
            <a:ext cx="1005840" cy="1005840"/>
          </a:xfrm>
          <a:prstGeom prst="ellipse">
            <a:avLst/>
          </a:prstGeom>
          <a:solidFill>
            <a:srgbClr val="252A3E"/>
          </a:solidFill>
          <a:ln w="9525">
            <a:solidFill>
              <a:srgbClr val="5A638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xnSp macro="">
        <xdr:nvCxnSpPr>
          <xdr:cNvPr id="15" name="Straight Connector 14">
            <a:extLst>
              <a:ext uri="{FF2B5EF4-FFF2-40B4-BE49-F238E27FC236}">
                <a16:creationId xmlns:a16="http://schemas.microsoft.com/office/drawing/2014/main" id="{BF1DA280-2F8B-01D3-D6FE-7D33B0A93CE2}"/>
              </a:ext>
            </a:extLst>
          </xdr:cNvPr>
          <xdr:cNvCxnSpPr/>
        </xdr:nvCxnSpPr>
        <xdr:spPr>
          <a:xfrm>
            <a:off x="10988040" y="5402580"/>
            <a:ext cx="0" cy="1005840"/>
          </a:xfrm>
          <a:prstGeom prst="line">
            <a:avLst/>
          </a:prstGeom>
          <a:ln w="9525">
            <a:solidFill>
              <a:srgbClr val="5A6380"/>
            </a:solidFill>
          </a:ln>
        </xdr:spPr>
        <xdr:style>
          <a:lnRef idx="2">
            <a:schemeClr val="accent1"/>
          </a:lnRef>
          <a:fillRef idx="0">
            <a:schemeClr val="accent1"/>
          </a:fillRef>
          <a:effectRef idx="1">
            <a:schemeClr val="accent1"/>
          </a:effectRef>
          <a:fontRef idx="minor">
            <a:schemeClr val="tx1"/>
          </a:fontRef>
        </xdr:style>
      </xdr:cxnSp>
      <xdr:cxnSp macro="">
        <xdr:nvCxnSpPr>
          <xdr:cNvPr id="16" name="Straight Connector 15">
            <a:extLst>
              <a:ext uri="{FF2B5EF4-FFF2-40B4-BE49-F238E27FC236}">
                <a16:creationId xmlns:a16="http://schemas.microsoft.com/office/drawing/2014/main" id="{F46D5481-72BA-1CD5-04E6-9ACA029B541A}"/>
              </a:ext>
            </a:extLst>
          </xdr:cNvPr>
          <xdr:cNvCxnSpPr/>
        </xdr:nvCxnSpPr>
        <xdr:spPr>
          <a:xfrm rot="4320000">
            <a:off x="11484119" y="5774256"/>
            <a:ext cx="0" cy="1005840"/>
          </a:xfrm>
          <a:prstGeom prst="line">
            <a:avLst/>
          </a:prstGeom>
          <a:ln w="9525">
            <a:solidFill>
              <a:srgbClr val="5A6380"/>
            </a:solidFill>
          </a:ln>
        </xdr:spPr>
        <xdr:style>
          <a:lnRef idx="2">
            <a:schemeClr val="accent1"/>
          </a:lnRef>
          <a:fillRef idx="0">
            <a:schemeClr val="accent1"/>
          </a:fillRef>
          <a:effectRef idx="1">
            <a:schemeClr val="accent1"/>
          </a:effectRef>
          <a:fontRef idx="minor">
            <a:schemeClr val="tx1"/>
          </a:fontRef>
        </xdr:style>
      </xdr:cxnSp>
      <xdr:cxnSp macro="">
        <xdr:nvCxnSpPr>
          <xdr:cNvPr id="17" name="Straight Connector 16">
            <a:extLst>
              <a:ext uri="{FF2B5EF4-FFF2-40B4-BE49-F238E27FC236}">
                <a16:creationId xmlns:a16="http://schemas.microsoft.com/office/drawing/2014/main" id="{25CF17E6-AB7A-CEF2-7E95-5181EB81F0A0}"/>
              </a:ext>
            </a:extLst>
          </xdr:cNvPr>
          <xdr:cNvCxnSpPr/>
        </xdr:nvCxnSpPr>
        <xdr:spPr>
          <a:xfrm rot="8640000">
            <a:off x="11264163" y="6313726"/>
            <a:ext cx="0" cy="1005840"/>
          </a:xfrm>
          <a:prstGeom prst="line">
            <a:avLst/>
          </a:prstGeom>
          <a:ln w="9525">
            <a:solidFill>
              <a:srgbClr val="5A6380"/>
            </a:solidFill>
          </a:ln>
        </xdr:spPr>
        <xdr:style>
          <a:lnRef idx="2">
            <a:schemeClr val="accent1"/>
          </a:lnRef>
          <a:fillRef idx="0">
            <a:schemeClr val="accent1"/>
          </a:fillRef>
          <a:effectRef idx="1">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458F0B0A-01A5-77B2-6D83-B97FC0D49DB1}"/>
              </a:ext>
            </a:extLst>
          </xdr:cNvPr>
          <xdr:cNvCxnSpPr/>
        </xdr:nvCxnSpPr>
        <xdr:spPr>
          <a:xfrm rot="12960000">
            <a:off x="10721394" y="6307613"/>
            <a:ext cx="0" cy="1005840"/>
          </a:xfrm>
          <a:prstGeom prst="line">
            <a:avLst/>
          </a:prstGeom>
          <a:ln w="9525">
            <a:solidFill>
              <a:srgbClr val="5A6380"/>
            </a:solidFill>
          </a:ln>
        </xdr:spPr>
        <xdr:style>
          <a:lnRef idx="2">
            <a:schemeClr val="accent1"/>
          </a:lnRef>
          <a:fillRef idx="0">
            <a:schemeClr val="accent1"/>
          </a:fillRef>
          <a:effectRef idx="1">
            <a:schemeClr val="accent1"/>
          </a:effectRef>
          <a:fontRef idx="minor">
            <a:schemeClr val="tx1"/>
          </a:fontRef>
        </xdr:style>
      </xdr:cxnSp>
      <xdr:cxnSp macro="">
        <xdr:nvCxnSpPr>
          <xdr:cNvPr id="19" name="Straight Connector 18">
            <a:extLst>
              <a:ext uri="{FF2B5EF4-FFF2-40B4-BE49-F238E27FC236}">
                <a16:creationId xmlns:a16="http://schemas.microsoft.com/office/drawing/2014/main" id="{5C808EBB-5771-2F96-BD82-D099603FBF93}"/>
              </a:ext>
            </a:extLst>
          </xdr:cNvPr>
          <xdr:cNvCxnSpPr/>
        </xdr:nvCxnSpPr>
        <xdr:spPr>
          <a:xfrm rot="17280000">
            <a:off x="10501139" y="5774256"/>
            <a:ext cx="0" cy="1005840"/>
          </a:xfrm>
          <a:prstGeom prst="line">
            <a:avLst/>
          </a:prstGeom>
          <a:ln w="9525">
            <a:solidFill>
              <a:srgbClr val="5A638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15</xdr:col>
      <xdr:colOff>365760</xdr:colOff>
      <xdr:row>28</xdr:row>
      <xdr:rowOff>68009</xdr:rowOff>
    </xdr:from>
    <xdr:to>
      <xdr:col>20</xdr:col>
      <xdr:colOff>281940</xdr:colOff>
      <xdr:row>43</xdr:row>
      <xdr:rowOff>19622</xdr:rowOff>
    </xdr:to>
    <xdr:graphicFrame macro="">
      <xdr:nvGraphicFramePr>
        <xdr:cNvPr id="20" name="Chart 19">
          <a:extLst>
            <a:ext uri="{FF2B5EF4-FFF2-40B4-BE49-F238E27FC236}">
              <a16:creationId xmlns:a16="http://schemas.microsoft.com/office/drawing/2014/main" id="{46FF9B66-4AE2-486F-AA3E-0673AB2A8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137160</xdr:colOff>
      <xdr:row>14</xdr:row>
      <xdr:rowOff>91440</xdr:rowOff>
    </xdr:from>
    <xdr:to>
      <xdr:col>20</xdr:col>
      <xdr:colOff>579120</xdr:colOff>
      <xdr:row>24</xdr:row>
      <xdr:rowOff>68580</xdr:rowOff>
    </xdr:to>
    <xdr:graphicFrame macro="">
      <xdr:nvGraphicFramePr>
        <xdr:cNvPr id="21" name="Chart 20">
          <a:extLst>
            <a:ext uri="{FF2B5EF4-FFF2-40B4-BE49-F238E27FC236}">
              <a16:creationId xmlns:a16="http://schemas.microsoft.com/office/drawing/2014/main" id="{CA4CB444-A157-4586-8DEC-B8B38B19E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377190</xdr:colOff>
      <xdr:row>14</xdr:row>
      <xdr:rowOff>129540</xdr:rowOff>
    </xdr:from>
    <xdr:to>
      <xdr:col>14</xdr:col>
      <xdr:colOff>281940</xdr:colOff>
      <xdr:row>28</xdr:row>
      <xdr:rowOff>175260</xdr:rowOff>
    </xdr:to>
    <xdr:graphicFrame macro="">
      <xdr:nvGraphicFramePr>
        <xdr:cNvPr id="22" name="Chart 21">
          <a:extLst>
            <a:ext uri="{FF2B5EF4-FFF2-40B4-BE49-F238E27FC236}">
              <a16:creationId xmlns:a16="http://schemas.microsoft.com/office/drawing/2014/main" id="{D1F8E306-62A2-41C6-9E23-834C9FD1A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251460</xdr:colOff>
      <xdr:row>31</xdr:row>
      <xdr:rowOff>144780</xdr:rowOff>
    </xdr:from>
    <xdr:to>
      <xdr:col>6</xdr:col>
      <xdr:colOff>434340</xdr:colOff>
      <xdr:row>42</xdr:row>
      <xdr:rowOff>144780</xdr:rowOff>
    </xdr:to>
    <xdr:graphicFrame macro="">
      <xdr:nvGraphicFramePr>
        <xdr:cNvPr id="23" name="Chart 22">
          <a:extLst>
            <a:ext uri="{FF2B5EF4-FFF2-40B4-BE49-F238E27FC236}">
              <a16:creationId xmlns:a16="http://schemas.microsoft.com/office/drawing/2014/main" id="{F356AD33-549D-4592-B343-CF036153A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213360</xdr:colOff>
      <xdr:row>31</xdr:row>
      <xdr:rowOff>152400</xdr:rowOff>
    </xdr:from>
    <xdr:to>
      <xdr:col>10</xdr:col>
      <xdr:colOff>396240</xdr:colOff>
      <xdr:row>42</xdr:row>
      <xdr:rowOff>152400</xdr:rowOff>
    </xdr:to>
    <xdr:graphicFrame macro="">
      <xdr:nvGraphicFramePr>
        <xdr:cNvPr id="24" name="Chart 23">
          <a:extLst>
            <a:ext uri="{FF2B5EF4-FFF2-40B4-BE49-F238E27FC236}">
              <a16:creationId xmlns:a16="http://schemas.microsoft.com/office/drawing/2014/main" id="{EA392265-D422-4885-B782-E24FC519F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198120</xdr:colOff>
      <xdr:row>31</xdr:row>
      <xdr:rowOff>152400</xdr:rowOff>
    </xdr:from>
    <xdr:to>
      <xdr:col>14</xdr:col>
      <xdr:colOff>381000</xdr:colOff>
      <xdr:row>42</xdr:row>
      <xdr:rowOff>152400</xdr:rowOff>
    </xdr:to>
    <xdr:graphicFrame macro="">
      <xdr:nvGraphicFramePr>
        <xdr:cNvPr id="25" name="Chart 24">
          <a:extLst>
            <a:ext uri="{FF2B5EF4-FFF2-40B4-BE49-F238E27FC236}">
              <a16:creationId xmlns:a16="http://schemas.microsoft.com/office/drawing/2014/main" id="{D59186CE-7364-4DE0-B67B-C39E02031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144666</xdr:colOff>
      <xdr:row>12</xdr:row>
      <xdr:rowOff>140970</xdr:rowOff>
    </xdr:from>
    <xdr:to>
      <xdr:col>6</xdr:col>
      <xdr:colOff>243955</xdr:colOff>
      <xdr:row>14</xdr:row>
      <xdr:rowOff>41910</xdr:rowOff>
    </xdr:to>
    <xdr:sp macro="" textlink="Processing!I1">
      <xdr:nvSpPr>
        <xdr:cNvPr id="26" name="TextBox 25">
          <a:extLst>
            <a:ext uri="{FF2B5EF4-FFF2-40B4-BE49-F238E27FC236}">
              <a16:creationId xmlns:a16="http://schemas.microsoft.com/office/drawing/2014/main" id="{11C406C7-B769-4E87-8754-EEB9F64F7F4F}"/>
            </a:ext>
          </a:extLst>
        </xdr:cNvPr>
        <xdr:cNvSpPr txBox="1"/>
      </xdr:nvSpPr>
      <xdr:spPr>
        <a:xfrm>
          <a:off x="2583066" y="2335530"/>
          <a:ext cx="131848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8C4D6266-A3E6-42AB-A54C-283FF32F3C9B}" type="TxLink">
            <a:rPr lang="en-US" sz="1200" b="0" i="0" u="none" strike="noStrike">
              <a:solidFill>
                <a:schemeClr val="bg1"/>
              </a:solidFill>
              <a:latin typeface="Aptos Narrow"/>
              <a:ea typeface="+mn-ea"/>
              <a:cs typeface="+mn-cs"/>
            </a:rPr>
            <a:pPr marL="0" indent="0"/>
            <a:t>Client Structure</a:t>
          </a:fld>
          <a:endParaRPr lang="ru-RU" sz="1200" b="0" i="0" u="none" strike="noStrike">
            <a:solidFill>
              <a:schemeClr val="bg1"/>
            </a:solidFill>
            <a:latin typeface="Aptos Narrow"/>
            <a:ea typeface="+mn-ea"/>
            <a:cs typeface="+mn-cs"/>
          </a:endParaRPr>
        </a:p>
      </xdr:txBody>
    </xdr:sp>
    <xdr:clientData/>
  </xdr:twoCellAnchor>
  <xdr:twoCellAnchor>
    <xdr:from>
      <xdr:col>7</xdr:col>
      <xdr:colOff>55881</xdr:colOff>
      <xdr:row>12</xdr:row>
      <xdr:rowOff>140970</xdr:rowOff>
    </xdr:from>
    <xdr:to>
      <xdr:col>9</xdr:col>
      <xdr:colOff>287019</xdr:colOff>
      <xdr:row>14</xdr:row>
      <xdr:rowOff>41910</xdr:rowOff>
    </xdr:to>
    <xdr:sp macro="" textlink="Processing!G1">
      <xdr:nvSpPr>
        <xdr:cNvPr id="27" name="TextBox 26">
          <a:extLst>
            <a:ext uri="{FF2B5EF4-FFF2-40B4-BE49-F238E27FC236}">
              <a16:creationId xmlns:a16="http://schemas.microsoft.com/office/drawing/2014/main" id="{11699C0A-A21E-40DC-86F3-181805AE78DB}"/>
            </a:ext>
          </a:extLst>
        </xdr:cNvPr>
        <xdr:cNvSpPr txBox="1"/>
      </xdr:nvSpPr>
      <xdr:spPr>
        <a:xfrm>
          <a:off x="4323081" y="2335530"/>
          <a:ext cx="145033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A17B9EB-55F2-4C15-A378-8ED62CE0532B}" type="TxLink">
            <a:rPr lang="en-US" sz="1200" b="0" i="0" u="none" strike="noStrike">
              <a:solidFill>
                <a:schemeClr val="bg1"/>
              </a:solidFill>
              <a:latin typeface="Aptos Narrow"/>
              <a:ea typeface="+mn-ea"/>
              <a:cs typeface="+mn-cs"/>
            </a:rPr>
            <a:pPr marL="0" indent="0"/>
            <a:t>New Clients</a:t>
          </a:fld>
          <a:endParaRPr lang="ru-RU" sz="1200" b="0" i="0" u="none" strike="noStrike">
            <a:solidFill>
              <a:schemeClr val="bg1"/>
            </a:solidFill>
            <a:latin typeface="Aptos Narrow"/>
            <a:ea typeface="+mn-ea"/>
            <a:cs typeface="+mn-cs"/>
          </a:endParaRPr>
        </a:p>
      </xdr:txBody>
    </xdr:sp>
    <xdr:clientData/>
  </xdr:twoCellAnchor>
  <xdr:twoCellAnchor>
    <xdr:from>
      <xdr:col>10</xdr:col>
      <xdr:colOff>279273</xdr:colOff>
      <xdr:row>12</xdr:row>
      <xdr:rowOff>140970</xdr:rowOff>
    </xdr:from>
    <xdr:to>
      <xdr:col>13</xdr:col>
      <xdr:colOff>17907</xdr:colOff>
      <xdr:row>14</xdr:row>
      <xdr:rowOff>41910</xdr:rowOff>
    </xdr:to>
    <xdr:sp macro="" textlink="Processing!H1">
      <xdr:nvSpPr>
        <xdr:cNvPr id="28" name="TextBox 27">
          <a:extLst>
            <a:ext uri="{FF2B5EF4-FFF2-40B4-BE49-F238E27FC236}">
              <a16:creationId xmlns:a16="http://schemas.microsoft.com/office/drawing/2014/main" id="{1F54F9E9-52FD-4F7E-B85F-A070E38458CE}"/>
            </a:ext>
          </a:extLst>
        </xdr:cNvPr>
        <xdr:cNvSpPr txBox="1"/>
      </xdr:nvSpPr>
      <xdr:spPr>
        <a:xfrm>
          <a:off x="6375273" y="2335530"/>
          <a:ext cx="156743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2AD392E0-7EA6-43E9-978E-C8298B48664B}" type="TxLink">
            <a:rPr lang="en-US" sz="1200" b="0" i="0" u="none" strike="noStrike">
              <a:solidFill>
                <a:schemeClr val="bg1"/>
              </a:solidFill>
              <a:latin typeface="Aptos Narrow"/>
              <a:ea typeface="+mn-ea"/>
              <a:cs typeface="+mn-cs"/>
            </a:rPr>
            <a:pPr marL="0" indent="0"/>
            <a:t>Regular Clients</a:t>
          </a:fld>
          <a:endParaRPr lang="ru-RU" sz="1200" b="0" i="0" u="none" strike="noStrike">
            <a:solidFill>
              <a:schemeClr val="bg1"/>
            </a:solidFill>
            <a:latin typeface="Aptos Narrow"/>
            <a:ea typeface="+mn-ea"/>
            <a:cs typeface="+mn-cs"/>
          </a:endParaRPr>
        </a:p>
      </xdr:txBody>
    </xdr:sp>
    <xdr:clientData/>
  </xdr:twoCellAnchor>
  <xdr:twoCellAnchor>
    <xdr:from>
      <xdr:col>9</xdr:col>
      <xdr:colOff>137160</xdr:colOff>
      <xdr:row>12</xdr:row>
      <xdr:rowOff>140970</xdr:rowOff>
    </xdr:from>
    <xdr:to>
      <xdr:col>11</xdr:col>
      <xdr:colOff>7620</xdr:colOff>
      <xdr:row>14</xdr:row>
      <xdr:rowOff>41910</xdr:rowOff>
    </xdr:to>
    <xdr:sp macro="" textlink="Processing!K14">
      <xdr:nvSpPr>
        <xdr:cNvPr id="29" name="TextBox 28">
          <a:extLst>
            <a:ext uri="{FF2B5EF4-FFF2-40B4-BE49-F238E27FC236}">
              <a16:creationId xmlns:a16="http://schemas.microsoft.com/office/drawing/2014/main" id="{2C9729CE-F4D8-4EA7-93A9-4F90CCF82FA9}"/>
            </a:ext>
          </a:extLst>
        </xdr:cNvPr>
        <xdr:cNvSpPr txBox="1"/>
      </xdr:nvSpPr>
      <xdr:spPr>
        <a:xfrm>
          <a:off x="5623560" y="2335530"/>
          <a:ext cx="10896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DA6C763D-4C9F-4C7F-81DE-CD37FD465BC9}" type="TxLink">
            <a:rPr lang="en-US" sz="1400" b="0" i="0" u="none" strike="noStrike">
              <a:solidFill>
                <a:srgbClr val="1AFFD5"/>
              </a:solidFill>
              <a:latin typeface="Aptos Narrow"/>
              <a:ea typeface="+mn-ea"/>
              <a:cs typeface="+mn-cs"/>
            </a:rPr>
            <a:pPr marL="0" indent="0"/>
            <a:t>  907</a:t>
          </a:fld>
          <a:endParaRPr lang="ru-RU" sz="1400" b="0" i="0" u="none" strike="noStrike">
            <a:solidFill>
              <a:srgbClr val="1AFFD5"/>
            </a:solidFill>
            <a:latin typeface="Aptos Narrow"/>
            <a:ea typeface="+mn-ea"/>
            <a:cs typeface="+mn-cs"/>
          </a:endParaRPr>
        </a:p>
      </xdr:txBody>
    </xdr:sp>
    <xdr:clientData/>
  </xdr:twoCellAnchor>
  <xdr:twoCellAnchor>
    <xdr:from>
      <xdr:col>12</xdr:col>
      <xdr:colOff>472440</xdr:colOff>
      <xdr:row>12</xdr:row>
      <xdr:rowOff>140970</xdr:rowOff>
    </xdr:from>
    <xdr:to>
      <xdr:col>14</xdr:col>
      <xdr:colOff>342900</xdr:colOff>
      <xdr:row>14</xdr:row>
      <xdr:rowOff>41910</xdr:rowOff>
    </xdr:to>
    <xdr:sp macro="" textlink="Processing!L14">
      <xdr:nvSpPr>
        <xdr:cNvPr id="30" name="TextBox 29">
          <a:extLst>
            <a:ext uri="{FF2B5EF4-FFF2-40B4-BE49-F238E27FC236}">
              <a16:creationId xmlns:a16="http://schemas.microsoft.com/office/drawing/2014/main" id="{AD7041FA-27FF-4DC5-BEBB-E4BCDF32F699}"/>
            </a:ext>
          </a:extLst>
        </xdr:cNvPr>
        <xdr:cNvSpPr txBox="1"/>
      </xdr:nvSpPr>
      <xdr:spPr>
        <a:xfrm>
          <a:off x="7787640" y="2335530"/>
          <a:ext cx="10896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642AC0B-C470-41D0-8AE6-42876ADD99A6}" type="TxLink">
            <a:rPr lang="en-US" sz="1400" b="0" i="0" u="none" strike="noStrike">
              <a:solidFill>
                <a:srgbClr val="9980FF"/>
              </a:solidFill>
              <a:latin typeface="Aptos Narrow"/>
              <a:ea typeface="+mn-ea"/>
              <a:cs typeface="+mn-cs"/>
            </a:rPr>
            <a:pPr marL="0" indent="0"/>
            <a:t>  740</a:t>
          </a:fld>
          <a:endParaRPr lang="ru-RU" sz="1400" b="0" i="0" u="none" strike="noStrike">
            <a:solidFill>
              <a:srgbClr val="9980FF"/>
            </a:solidFill>
            <a:latin typeface="Aptos Narrow"/>
            <a:ea typeface="+mn-ea"/>
            <a:cs typeface="+mn-cs"/>
          </a:endParaRPr>
        </a:p>
      </xdr:txBody>
    </xdr:sp>
    <xdr:clientData/>
  </xdr:twoCellAnchor>
  <xdr:twoCellAnchor>
    <xdr:from>
      <xdr:col>15</xdr:col>
      <xdr:colOff>403747</xdr:colOff>
      <xdr:row>12</xdr:row>
      <xdr:rowOff>140970</xdr:rowOff>
    </xdr:from>
    <xdr:to>
      <xdr:col>17</xdr:col>
      <xdr:colOff>121921</xdr:colOff>
      <xdr:row>14</xdr:row>
      <xdr:rowOff>41910</xdr:rowOff>
    </xdr:to>
    <xdr:sp macro="" textlink="Processing!B1">
      <xdr:nvSpPr>
        <xdr:cNvPr id="31" name="TextBox 30">
          <a:extLst>
            <a:ext uri="{FF2B5EF4-FFF2-40B4-BE49-F238E27FC236}">
              <a16:creationId xmlns:a16="http://schemas.microsoft.com/office/drawing/2014/main" id="{CF9230F0-BEB0-46C8-9CCF-1A789D032EF1}"/>
            </a:ext>
          </a:extLst>
        </xdr:cNvPr>
        <xdr:cNvSpPr txBox="1"/>
      </xdr:nvSpPr>
      <xdr:spPr>
        <a:xfrm>
          <a:off x="9547747" y="2335530"/>
          <a:ext cx="93737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5B589CD-15BC-4636-9023-229DD0F4BB40}" type="TxLink">
            <a:rPr lang="en-US" sz="1100" b="0" i="0" u="none" strike="noStrike">
              <a:solidFill>
                <a:schemeClr val="bg1"/>
              </a:solidFill>
              <a:latin typeface="Aptos Narrow"/>
            </a:rPr>
            <a:pPr/>
            <a:t>Active Client Count</a:t>
          </a:fld>
          <a:endParaRPr lang="ru-RU" sz="1200">
            <a:solidFill>
              <a:schemeClr val="bg1"/>
            </a:solidFill>
          </a:endParaRPr>
        </a:p>
      </xdr:txBody>
    </xdr:sp>
    <xdr:clientData/>
  </xdr:twoCellAnchor>
  <xdr:twoCellAnchor>
    <xdr:from>
      <xdr:col>18</xdr:col>
      <xdr:colOff>29219</xdr:colOff>
      <xdr:row>12</xdr:row>
      <xdr:rowOff>140970</xdr:rowOff>
    </xdr:from>
    <xdr:to>
      <xdr:col>19</xdr:col>
      <xdr:colOff>450730</xdr:colOff>
      <xdr:row>14</xdr:row>
      <xdr:rowOff>41910</xdr:rowOff>
    </xdr:to>
    <xdr:sp macro="" textlink="Processing!C1">
      <xdr:nvSpPr>
        <xdr:cNvPr id="32" name="TextBox 31">
          <a:extLst>
            <a:ext uri="{FF2B5EF4-FFF2-40B4-BE49-F238E27FC236}">
              <a16:creationId xmlns:a16="http://schemas.microsoft.com/office/drawing/2014/main" id="{13B1DC0D-FC3D-4A4B-9302-17CE18F78003}"/>
            </a:ext>
          </a:extLst>
        </xdr:cNvPr>
        <xdr:cNvSpPr txBox="1"/>
      </xdr:nvSpPr>
      <xdr:spPr>
        <a:xfrm>
          <a:off x="11002019" y="2335530"/>
          <a:ext cx="103111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12A2977-3B09-4BEA-B5DB-7BEEE62F1754}" type="TxLink">
            <a:rPr lang="en-US" sz="1100" b="0" i="0" u="none" strike="noStrike">
              <a:solidFill>
                <a:schemeClr val="bg1"/>
              </a:solidFill>
              <a:latin typeface="Aptos Narrow"/>
            </a:rPr>
            <a:pPr/>
            <a:t>Average Client Count</a:t>
          </a:fld>
          <a:endParaRPr lang="ru-RU" sz="1200">
            <a:solidFill>
              <a:schemeClr val="bg1"/>
            </a:solidFill>
          </a:endParaRPr>
        </a:p>
      </xdr:txBody>
    </xdr:sp>
    <xdr:clientData/>
  </xdr:twoCellAnchor>
  <xdr:twoCellAnchor>
    <xdr:from>
      <xdr:col>16</xdr:col>
      <xdr:colOff>571387</xdr:colOff>
      <xdr:row>12</xdr:row>
      <xdr:rowOff>140970</xdr:rowOff>
    </xdr:from>
    <xdr:to>
      <xdr:col>18</xdr:col>
      <xdr:colOff>30480</xdr:colOff>
      <xdr:row>14</xdr:row>
      <xdr:rowOff>41910</xdr:rowOff>
    </xdr:to>
    <xdr:sp macro="" textlink="Processing!D14">
      <xdr:nvSpPr>
        <xdr:cNvPr id="33" name="TextBox 32">
          <a:extLst>
            <a:ext uri="{FF2B5EF4-FFF2-40B4-BE49-F238E27FC236}">
              <a16:creationId xmlns:a16="http://schemas.microsoft.com/office/drawing/2014/main" id="{7B0B0FC2-54E0-46E5-B8A3-9D53EC8BE39A}"/>
            </a:ext>
          </a:extLst>
        </xdr:cNvPr>
        <xdr:cNvSpPr txBox="1"/>
      </xdr:nvSpPr>
      <xdr:spPr>
        <a:xfrm>
          <a:off x="10324987" y="2335530"/>
          <a:ext cx="678293"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E9C60656-2119-4698-88A2-0BF8F7A9D3CB}" type="TxLink">
            <a:rPr lang="en-US" sz="1100" b="0" i="0" u="none" strike="noStrike">
              <a:solidFill>
                <a:srgbClr val="00C74D"/>
              </a:solidFill>
              <a:latin typeface="Aptos Narrow"/>
              <a:ea typeface="+mn-ea"/>
              <a:cs typeface="+mn-cs"/>
            </a:rPr>
            <a:pPr marL="0" indent="0"/>
            <a:t>  612</a:t>
          </a:fld>
          <a:endParaRPr lang="ru-RU" sz="1100" b="0" i="0" u="none" strike="noStrike">
            <a:solidFill>
              <a:srgbClr val="00C74D"/>
            </a:solidFill>
            <a:latin typeface="Aptos Narrow"/>
            <a:ea typeface="+mn-ea"/>
            <a:cs typeface="+mn-cs"/>
          </a:endParaRPr>
        </a:p>
      </xdr:txBody>
    </xdr:sp>
    <xdr:clientData/>
  </xdr:twoCellAnchor>
  <xdr:twoCellAnchor>
    <xdr:from>
      <xdr:col>19</xdr:col>
      <xdr:colOff>350407</xdr:colOff>
      <xdr:row>12</xdr:row>
      <xdr:rowOff>140970</xdr:rowOff>
    </xdr:from>
    <xdr:to>
      <xdr:col>20</xdr:col>
      <xdr:colOff>419100</xdr:colOff>
      <xdr:row>14</xdr:row>
      <xdr:rowOff>41910</xdr:rowOff>
    </xdr:to>
    <xdr:sp macro="" textlink="Processing!E14">
      <xdr:nvSpPr>
        <xdr:cNvPr id="34" name="TextBox 33">
          <a:extLst>
            <a:ext uri="{FF2B5EF4-FFF2-40B4-BE49-F238E27FC236}">
              <a16:creationId xmlns:a16="http://schemas.microsoft.com/office/drawing/2014/main" id="{4475C155-8773-4E1D-AB16-2B9387D8FF8C}"/>
            </a:ext>
          </a:extLst>
        </xdr:cNvPr>
        <xdr:cNvSpPr txBox="1"/>
      </xdr:nvSpPr>
      <xdr:spPr>
        <a:xfrm>
          <a:off x="11932807" y="2335530"/>
          <a:ext cx="678293"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87A182F-B3C4-482B-9FD7-0C3FE60C369A}" type="TxLink">
            <a:rPr lang="en-US" sz="1100" b="0" i="0" u="none" strike="noStrike">
              <a:solidFill>
                <a:srgbClr val="9980FF"/>
              </a:solidFill>
              <a:latin typeface="Aptos Narrow"/>
              <a:ea typeface="+mn-ea"/>
              <a:cs typeface="+mn-cs"/>
            </a:rPr>
            <a:pPr/>
            <a:t>  520</a:t>
          </a:fld>
          <a:endParaRPr lang="ru-RU" sz="1100" b="0" i="0" u="none" strike="noStrike">
            <a:solidFill>
              <a:srgbClr val="9980FF"/>
            </a:solidFill>
            <a:latin typeface="Aptos Narrow"/>
            <a:ea typeface="+mn-ea"/>
            <a:cs typeface="+mn-cs"/>
          </a:endParaRPr>
        </a:p>
      </xdr:txBody>
    </xdr:sp>
    <xdr:clientData/>
  </xdr:twoCellAnchor>
  <xdr:twoCellAnchor>
    <xdr:from>
      <xdr:col>15</xdr:col>
      <xdr:colOff>403747</xdr:colOff>
      <xdr:row>27</xdr:row>
      <xdr:rowOff>11430</xdr:rowOff>
    </xdr:from>
    <xdr:to>
      <xdr:col>17</xdr:col>
      <xdr:colOff>281827</xdr:colOff>
      <xdr:row>28</xdr:row>
      <xdr:rowOff>95250</xdr:rowOff>
    </xdr:to>
    <xdr:sp macro="" textlink="Processing!P1">
      <xdr:nvSpPr>
        <xdr:cNvPr id="35" name="TextBox 34">
          <a:extLst>
            <a:ext uri="{FF2B5EF4-FFF2-40B4-BE49-F238E27FC236}">
              <a16:creationId xmlns:a16="http://schemas.microsoft.com/office/drawing/2014/main" id="{62AFB701-EC75-4854-840F-F958BC7FDA7F}"/>
            </a:ext>
          </a:extLst>
        </xdr:cNvPr>
        <xdr:cNvSpPr txBox="1"/>
      </xdr:nvSpPr>
      <xdr:spPr>
        <a:xfrm>
          <a:off x="9547747" y="4949190"/>
          <a:ext cx="10972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58C3385-998E-4BA5-B58F-7B8B9C599941}" type="TxLink">
            <a:rPr lang="en-US" sz="1200" b="0" i="0" u="none" strike="noStrike">
              <a:solidFill>
                <a:schemeClr val="bg1"/>
              </a:solidFill>
              <a:latin typeface="Aptos Narrow"/>
            </a:rPr>
            <a:pPr/>
            <a:t>Points of Sale</a:t>
          </a:fld>
          <a:endParaRPr lang="ru-RU" sz="1400">
            <a:solidFill>
              <a:schemeClr val="bg1"/>
            </a:solidFill>
          </a:endParaRPr>
        </a:p>
      </xdr:txBody>
    </xdr:sp>
    <xdr:clientData/>
  </xdr:twoCellAnchor>
  <xdr:twoCellAnchor>
    <xdr:from>
      <xdr:col>19</xdr:col>
      <xdr:colOff>198119</xdr:colOff>
      <xdr:row>28</xdr:row>
      <xdr:rowOff>64770</xdr:rowOff>
    </xdr:from>
    <xdr:to>
      <xdr:col>20</xdr:col>
      <xdr:colOff>190500</xdr:colOff>
      <xdr:row>29</xdr:row>
      <xdr:rowOff>148590</xdr:rowOff>
    </xdr:to>
    <xdr:sp macro="" textlink="Processing!Q1">
      <xdr:nvSpPr>
        <xdr:cNvPr id="36" name="TextBox 35">
          <a:extLst>
            <a:ext uri="{FF2B5EF4-FFF2-40B4-BE49-F238E27FC236}">
              <a16:creationId xmlns:a16="http://schemas.microsoft.com/office/drawing/2014/main" id="{CE338DD9-D5E8-49A6-885E-FF601E66D235}"/>
            </a:ext>
          </a:extLst>
        </xdr:cNvPr>
        <xdr:cNvSpPr txBox="1"/>
      </xdr:nvSpPr>
      <xdr:spPr>
        <a:xfrm>
          <a:off x="11780519" y="5185410"/>
          <a:ext cx="60198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5A41D10-062A-4CDE-857C-AD8D6EE481B3}" type="TxLink">
            <a:rPr lang="en-US" sz="1100" b="0" i="0" u="none" strike="noStrike">
              <a:solidFill>
                <a:schemeClr val="bg1"/>
              </a:solidFill>
              <a:latin typeface="Aptos Narrow"/>
            </a:rPr>
            <a:pPr algn="r"/>
            <a:t>KPI</a:t>
          </a:fld>
          <a:endParaRPr lang="ru-RU" sz="1200">
            <a:solidFill>
              <a:schemeClr val="bg1"/>
            </a:solidFill>
          </a:endParaRPr>
        </a:p>
      </xdr:txBody>
    </xdr:sp>
    <xdr:clientData/>
  </xdr:twoCellAnchor>
  <xdr:twoCellAnchor>
    <xdr:from>
      <xdr:col>19</xdr:col>
      <xdr:colOff>198119</xdr:colOff>
      <xdr:row>27</xdr:row>
      <xdr:rowOff>3810</xdr:rowOff>
    </xdr:from>
    <xdr:to>
      <xdr:col>20</xdr:col>
      <xdr:colOff>190500</xdr:colOff>
      <xdr:row>28</xdr:row>
      <xdr:rowOff>87630</xdr:rowOff>
    </xdr:to>
    <xdr:sp macro="" textlink="Processing!R1">
      <xdr:nvSpPr>
        <xdr:cNvPr id="37" name="TextBox 36">
          <a:extLst>
            <a:ext uri="{FF2B5EF4-FFF2-40B4-BE49-F238E27FC236}">
              <a16:creationId xmlns:a16="http://schemas.microsoft.com/office/drawing/2014/main" id="{94A20A2F-9B94-4B0D-82D1-7704245791D4}"/>
            </a:ext>
          </a:extLst>
        </xdr:cNvPr>
        <xdr:cNvSpPr txBox="1"/>
      </xdr:nvSpPr>
      <xdr:spPr>
        <a:xfrm>
          <a:off x="11780519" y="4941570"/>
          <a:ext cx="60198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9B409F6-96B7-498F-AA21-D52E6DD2F029}" type="TxLink">
            <a:rPr lang="en-US" sz="1200" b="0" i="0" u="none" strike="noStrike">
              <a:solidFill>
                <a:schemeClr val="bg1"/>
              </a:solidFill>
              <a:latin typeface="Aptos Narrow"/>
            </a:rPr>
            <a:pPr algn="r"/>
            <a:t>Cost</a:t>
          </a:fld>
          <a:endParaRPr lang="ru-RU" sz="1400">
            <a:solidFill>
              <a:schemeClr val="bg1"/>
            </a:solidFill>
          </a:endParaRPr>
        </a:p>
      </xdr:txBody>
    </xdr:sp>
    <xdr:clientData/>
  </xdr:twoCellAnchor>
  <xdr:twoCellAnchor>
    <xdr:from>
      <xdr:col>20</xdr:col>
      <xdr:colOff>213360</xdr:colOff>
      <xdr:row>27</xdr:row>
      <xdr:rowOff>68580</xdr:rowOff>
    </xdr:from>
    <xdr:to>
      <xdr:col>20</xdr:col>
      <xdr:colOff>350520</xdr:colOff>
      <xdr:row>28</xdr:row>
      <xdr:rowOff>22860</xdr:rowOff>
    </xdr:to>
    <xdr:sp macro="" textlink="">
      <xdr:nvSpPr>
        <xdr:cNvPr id="38" name="Oval 37">
          <a:extLst>
            <a:ext uri="{FF2B5EF4-FFF2-40B4-BE49-F238E27FC236}">
              <a16:creationId xmlns:a16="http://schemas.microsoft.com/office/drawing/2014/main" id="{493B9492-0ABF-4173-A537-582079421552}"/>
            </a:ext>
          </a:extLst>
        </xdr:cNvPr>
        <xdr:cNvSpPr/>
      </xdr:nvSpPr>
      <xdr:spPr>
        <a:xfrm>
          <a:off x="12405360" y="5006340"/>
          <a:ext cx="137160" cy="137160"/>
        </a:xfrm>
        <a:prstGeom prst="ellipse">
          <a:avLst/>
        </a:prstGeom>
        <a:noFill/>
        <a:ln>
          <a:solidFill>
            <a:srgbClr val="998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213360</xdr:colOff>
      <xdr:row>28</xdr:row>
      <xdr:rowOff>121920</xdr:rowOff>
    </xdr:from>
    <xdr:to>
      <xdr:col>20</xdr:col>
      <xdr:colOff>350520</xdr:colOff>
      <xdr:row>29</xdr:row>
      <xdr:rowOff>76200</xdr:rowOff>
    </xdr:to>
    <xdr:sp macro="" textlink="">
      <xdr:nvSpPr>
        <xdr:cNvPr id="39" name="Oval 38">
          <a:extLst>
            <a:ext uri="{FF2B5EF4-FFF2-40B4-BE49-F238E27FC236}">
              <a16:creationId xmlns:a16="http://schemas.microsoft.com/office/drawing/2014/main" id="{F3D7F6C1-20ED-4F49-83CD-E91D623FD279}"/>
            </a:ext>
          </a:extLst>
        </xdr:cNvPr>
        <xdr:cNvSpPr/>
      </xdr:nvSpPr>
      <xdr:spPr>
        <a:xfrm>
          <a:off x="12405360" y="5242560"/>
          <a:ext cx="137160" cy="137160"/>
        </a:xfrm>
        <a:prstGeom prst="ellipse">
          <a:avLst/>
        </a:prstGeom>
        <a:noFill/>
        <a:ln>
          <a:solidFill>
            <a:srgbClr val="00C74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193618</xdr:colOff>
      <xdr:row>38</xdr:row>
      <xdr:rowOff>148590</xdr:rowOff>
    </xdr:from>
    <xdr:to>
      <xdr:col>5</xdr:col>
      <xdr:colOff>484563</xdr:colOff>
      <xdr:row>40</xdr:row>
      <xdr:rowOff>49530</xdr:rowOff>
    </xdr:to>
    <xdr:sp macro="" textlink="Processing!P11">
      <xdr:nvSpPr>
        <xdr:cNvPr id="40" name="TextBox 39">
          <a:extLst>
            <a:ext uri="{FF2B5EF4-FFF2-40B4-BE49-F238E27FC236}">
              <a16:creationId xmlns:a16="http://schemas.microsoft.com/office/drawing/2014/main" id="{2244E7C9-3C54-49BD-A53C-B9BE4A97FA0F}"/>
            </a:ext>
          </a:extLst>
        </xdr:cNvPr>
        <xdr:cNvSpPr txBox="1"/>
      </xdr:nvSpPr>
      <xdr:spPr>
        <a:xfrm>
          <a:off x="2632018" y="7098030"/>
          <a:ext cx="90054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61E3E4-0238-45CC-9E47-4655CB597091}" type="TxLink">
            <a:rPr lang="en-US" sz="1100" b="0" i="0" u="none" strike="noStrike">
              <a:solidFill>
                <a:srgbClr val="5A6380"/>
              </a:solidFill>
              <a:latin typeface="Aptos Narrow"/>
            </a:rPr>
            <a:pPr algn="ctr"/>
            <a:t>Customer</a:t>
          </a:fld>
          <a:endParaRPr lang="ru-RU" sz="1200">
            <a:solidFill>
              <a:srgbClr val="5A6380"/>
            </a:solidFill>
          </a:endParaRPr>
        </a:p>
      </xdr:txBody>
    </xdr:sp>
    <xdr:clientData/>
  </xdr:twoCellAnchor>
  <xdr:twoCellAnchor>
    <xdr:from>
      <xdr:col>4</xdr:col>
      <xdr:colOff>193618</xdr:colOff>
      <xdr:row>34</xdr:row>
      <xdr:rowOff>60178</xdr:rowOff>
    </xdr:from>
    <xdr:to>
      <xdr:col>5</xdr:col>
      <xdr:colOff>484563</xdr:colOff>
      <xdr:row>37</xdr:row>
      <xdr:rowOff>31262</xdr:rowOff>
    </xdr:to>
    <xdr:sp macro="" textlink="Processing!P11">
      <xdr:nvSpPr>
        <xdr:cNvPr id="41" name="TextBox 40">
          <a:extLst>
            <a:ext uri="{FF2B5EF4-FFF2-40B4-BE49-F238E27FC236}">
              <a16:creationId xmlns:a16="http://schemas.microsoft.com/office/drawing/2014/main" id="{45930C08-E22A-4A36-AB07-E266B5E908A6}"/>
            </a:ext>
          </a:extLst>
        </xdr:cNvPr>
        <xdr:cNvSpPr txBox="1"/>
      </xdr:nvSpPr>
      <xdr:spPr>
        <a:xfrm>
          <a:off x="2632018" y="6278098"/>
          <a:ext cx="900545" cy="519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chemeClr val="bg1"/>
              </a:solidFill>
              <a:latin typeface="Aptos Narrow"/>
            </a:rPr>
            <a:t>C</a:t>
          </a:r>
          <a:endParaRPr lang="ru-RU" sz="4400">
            <a:solidFill>
              <a:schemeClr val="bg1"/>
            </a:solidFill>
          </a:endParaRPr>
        </a:p>
      </xdr:txBody>
    </xdr:sp>
    <xdr:clientData/>
  </xdr:twoCellAnchor>
  <xdr:twoCellAnchor>
    <xdr:from>
      <xdr:col>3</xdr:col>
      <xdr:colOff>589281</xdr:colOff>
      <xdr:row>36</xdr:row>
      <xdr:rowOff>144762</xdr:rowOff>
    </xdr:from>
    <xdr:to>
      <xdr:col>6</xdr:col>
      <xdr:colOff>210819</xdr:colOff>
      <xdr:row>39</xdr:row>
      <xdr:rowOff>68598</xdr:rowOff>
    </xdr:to>
    <xdr:sp macro="" textlink="Processing!Q11">
      <xdr:nvSpPr>
        <xdr:cNvPr id="42" name="TextBox 41">
          <a:extLst>
            <a:ext uri="{FF2B5EF4-FFF2-40B4-BE49-F238E27FC236}">
              <a16:creationId xmlns:a16="http://schemas.microsoft.com/office/drawing/2014/main" id="{E6D6F2DB-3548-4236-9D36-3FDAC755A147}"/>
            </a:ext>
          </a:extLst>
        </xdr:cNvPr>
        <xdr:cNvSpPr txBox="1"/>
      </xdr:nvSpPr>
      <xdr:spPr>
        <a:xfrm>
          <a:off x="2418081" y="6728442"/>
          <a:ext cx="1450338" cy="472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79C8F97-42C1-46BC-9F93-80D03DC58D66}" type="TxLink">
            <a:rPr lang="en-US" sz="2800" b="0" i="0" u="none" strike="noStrike">
              <a:solidFill>
                <a:srgbClr val="1AFFD5"/>
              </a:solidFill>
              <a:latin typeface="Aptos Narrow"/>
              <a:ea typeface="+mn-ea"/>
              <a:cs typeface="+mn-cs"/>
            </a:rPr>
            <a:pPr marL="0" indent="0" algn="ctr"/>
            <a:t>10%</a:t>
          </a:fld>
          <a:endParaRPr lang="ru-RU" sz="2800" b="0" i="0" u="none" strike="noStrike">
            <a:solidFill>
              <a:srgbClr val="1AFFD5"/>
            </a:solidFill>
            <a:latin typeface="Aptos Narrow"/>
            <a:ea typeface="+mn-ea"/>
            <a:cs typeface="+mn-cs"/>
          </a:endParaRPr>
        </a:p>
      </xdr:txBody>
    </xdr:sp>
    <xdr:clientData/>
  </xdr:twoCellAnchor>
  <xdr:twoCellAnchor>
    <xdr:from>
      <xdr:col>8</xdr:col>
      <xdr:colOff>155518</xdr:colOff>
      <xdr:row>38</xdr:row>
      <xdr:rowOff>148590</xdr:rowOff>
    </xdr:from>
    <xdr:to>
      <xdr:col>9</xdr:col>
      <xdr:colOff>446463</xdr:colOff>
      <xdr:row>40</xdr:row>
      <xdr:rowOff>49530</xdr:rowOff>
    </xdr:to>
    <xdr:sp macro="" textlink="Processing!P12">
      <xdr:nvSpPr>
        <xdr:cNvPr id="43" name="TextBox 42">
          <a:extLst>
            <a:ext uri="{FF2B5EF4-FFF2-40B4-BE49-F238E27FC236}">
              <a16:creationId xmlns:a16="http://schemas.microsoft.com/office/drawing/2014/main" id="{2CA7F063-8723-4539-A78E-53C62B3DFC31}"/>
            </a:ext>
          </a:extLst>
        </xdr:cNvPr>
        <xdr:cNvSpPr txBox="1"/>
      </xdr:nvSpPr>
      <xdr:spPr>
        <a:xfrm>
          <a:off x="5032318" y="7098030"/>
          <a:ext cx="90054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494A07-8249-4A14-A9E4-529450584546}" type="TxLink">
            <a:rPr lang="en-US" sz="1100" b="0" i="0" u="none" strike="noStrike">
              <a:solidFill>
                <a:srgbClr val="5A6380"/>
              </a:solidFill>
              <a:latin typeface="Aptos Narrow"/>
            </a:rPr>
            <a:pPr algn="ctr"/>
            <a:t>Relationship </a:t>
          </a:fld>
          <a:endParaRPr lang="ru-RU" sz="1200">
            <a:solidFill>
              <a:srgbClr val="5A6380"/>
            </a:solidFill>
          </a:endParaRPr>
        </a:p>
      </xdr:txBody>
    </xdr:sp>
    <xdr:clientData/>
  </xdr:twoCellAnchor>
  <xdr:twoCellAnchor>
    <xdr:from>
      <xdr:col>8</xdr:col>
      <xdr:colOff>147898</xdr:colOff>
      <xdr:row>34</xdr:row>
      <xdr:rowOff>60178</xdr:rowOff>
    </xdr:from>
    <xdr:to>
      <xdr:col>9</xdr:col>
      <xdr:colOff>438843</xdr:colOff>
      <xdr:row>37</xdr:row>
      <xdr:rowOff>31262</xdr:rowOff>
    </xdr:to>
    <xdr:sp macro="" textlink="Processing!P11">
      <xdr:nvSpPr>
        <xdr:cNvPr id="44" name="TextBox 43">
          <a:extLst>
            <a:ext uri="{FF2B5EF4-FFF2-40B4-BE49-F238E27FC236}">
              <a16:creationId xmlns:a16="http://schemas.microsoft.com/office/drawing/2014/main" id="{4D9E601D-6DF1-47B0-A0DA-20D97614834A}"/>
            </a:ext>
          </a:extLst>
        </xdr:cNvPr>
        <xdr:cNvSpPr txBox="1"/>
      </xdr:nvSpPr>
      <xdr:spPr>
        <a:xfrm>
          <a:off x="5024698" y="6278098"/>
          <a:ext cx="900545" cy="519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a:solidFill>
                <a:schemeClr val="bg1"/>
              </a:solidFill>
            </a:rPr>
            <a:t>R</a:t>
          </a:r>
          <a:endParaRPr lang="ru-RU" sz="4400">
            <a:solidFill>
              <a:schemeClr val="bg1"/>
            </a:solidFill>
          </a:endParaRPr>
        </a:p>
      </xdr:txBody>
    </xdr:sp>
    <xdr:clientData/>
  </xdr:twoCellAnchor>
  <xdr:twoCellAnchor>
    <xdr:from>
      <xdr:col>7</xdr:col>
      <xdr:colOff>543561</xdr:colOff>
      <xdr:row>36</xdr:row>
      <xdr:rowOff>144762</xdr:rowOff>
    </xdr:from>
    <xdr:to>
      <xdr:col>10</xdr:col>
      <xdr:colOff>165099</xdr:colOff>
      <xdr:row>39</xdr:row>
      <xdr:rowOff>68598</xdr:rowOff>
    </xdr:to>
    <xdr:sp macro="" textlink="Processing!Q12">
      <xdr:nvSpPr>
        <xdr:cNvPr id="45" name="TextBox 44">
          <a:extLst>
            <a:ext uri="{FF2B5EF4-FFF2-40B4-BE49-F238E27FC236}">
              <a16:creationId xmlns:a16="http://schemas.microsoft.com/office/drawing/2014/main" id="{E251AF54-C6E8-4555-AD51-607C14722FF0}"/>
            </a:ext>
          </a:extLst>
        </xdr:cNvPr>
        <xdr:cNvSpPr txBox="1"/>
      </xdr:nvSpPr>
      <xdr:spPr>
        <a:xfrm>
          <a:off x="4810761" y="6728442"/>
          <a:ext cx="1450338" cy="472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C4A6D2E-6605-486B-A739-711EFBEEAD46}" type="TxLink">
            <a:rPr lang="en-US" sz="2800" b="0" i="0" u="none" strike="noStrike">
              <a:solidFill>
                <a:srgbClr val="8F72FF"/>
              </a:solidFill>
              <a:latin typeface="Aptos Narrow"/>
              <a:ea typeface="+mn-ea"/>
              <a:cs typeface="+mn-cs"/>
            </a:rPr>
            <a:pPr marL="0" indent="0" algn="ctr"/>
            <a:t>13%</a:t>
          </a:fld>
          <a:endParaRPr lang="ru-RU" sz="2800" b="0" i="0" u="none" strike="noStrike">
            <a:solidFill>
              <a:srgbClr val="8F72FF"/>
            </a:solidFill>
            <a:latin typeface="Aptos Narrow"/>
            <a:ea typeface="+mn-ea"/>
            <a:cs typeface="+mn-cs"/>
          </a:endParaRPr>
        </a:p>
      </xdr:txBody>
    </xdr:sp>
    <xdr:clientData/>
  </xdr:twoCellAnchor>
  <xdr:twoCellAnchor>
    <xdr:from>
      <xdr:col>12</xdr:col>
      <xdr:colOff>140278</xdr:colOff>
      <xdr:row>38</xdr:row>
      <xdr:rowOff>148590</xdr:rowOff>
    </xdr:from>
    <xdr:to>
      <xdr:col>13</xdr:col>
      <xdr:colOff>431223</xdr:colOff>
      <xdr:row>40</xdr:row>
      <xdr:rowOff>49530</xdr:rowOff>
    </xdr:to>
    <xdr:sp macro="" textlink="Processing!P13">
      <xdr:nvSpPr>
        <xdr:cNvPr id="46" name="TextBox 45">
          <a:extLst>
            <a:ext uri="{FF2B5EF4-FFF2-40B4-BE49-F238E27FC236}">
              <a16:creationId xmlns:a16="http://schemas.microsoft.com/office/drawing/2014/main" id="{217A09D0-6363-4567-9CD5-DA00DACBEA52}"/>
            </a:ext>
          </a:extLst>
        </xdr:cNvPr>
        <xdr:cNvSpPr txBox="1"/>
      </xdr:nvSpPr>
      <xdr:spPr>
        <a:xfrm>
          <a:off x="7455478" y="7098030"/>
          <a:ext cx="90054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44342E-BF6B-478E-874B-7D33F89EE963}" type="TxLink">
            <a:rPr lang="en-US" sz="1100" b="0" i="0" u="none" strike="noStrike">
              <a:solidFill>
                <a:srgbClr val="5A6380"/>
              </a:solidFill>
              <a:latin typeface="Aptos Narrow"/>
            </a:rPr>
            <a:pPr algn="ctr"/>
            <a:t>Management</a:t>
          </a:fld>
          <a:endParaRPr lang="ru-RU" sz="1200">
            <a:solidFill>
              <a:srgbClr val="5A6380"/>
            </a:solidFill>
          </a:endParaRPr>
        </a:p>
      </xdr:txBody>
    </xdr:sp>
    <xdr:clientData/>
  </xdr:twoCellAnchor>
  <xdr:twoCellAnchor>
    <xdr:from>
      <xdr:col>12</xdr:col>
      <xdr:colOff>140278</xdr:colOff>
      <xdr:row>34</xdr:row>
      <xdr:rowOff>60178</xdr:rowOff>
    </xdr:from>
    <xdr:to>
      <xdr:col>13</xdr:col>
      <xdr:colOff>431223</xdr:colOff>
      <xdr:row>37</xdr:row>
      <xdr:rowOff>31262</xdr:rowOff>
    </xdr:to>
    <xdr:sp macro="" textlink="Processing!P11">
      <xdr:nvSpPr>
        <xdr:cNvPr id="47" name="TextBox 46">
          <a:extLst>
            <a:ext uri="{FF2B5EF4-FFF2-40B4-BE49-F238E27FC236}">
              <a16:creationId xmlns:a16="http://schemas.microsoft.com/office/drawing/2014/main" id="{C2228750-BD8A-4F02-87E3-934C79C5EA1F}"/>
            </a:ext>
          </a:extLst>
        </xdr:cNvPr>
        <xdr:cNvSpPr txBox="1"/>
      </xdr:nvSpPr>
      <xdr:spPr>
        <a:xfrm>
          <a:off x="7455478" y="6278098"/>
          <a:ext cx="900545" cy="519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chemeClr val="bg1"/>
              </a:solidFill>
              <a:latin typeface="Aptos Narrow"/>
            </a:rPr>
            <a:t>M</a:t>
          </a:r>
          <a:endParaRPr lang="ru-RU" sz="4400">
            <a:solidFill>
              <a:schemeClr val="bg1"/>
            </a:solidFill>
          </a:endParaRPr>
        </a:p>
      </xdr:txBody>
    </xdr:sp>
    <xdr:clientData/>
  </xdr:twoCellAnchor>
  <xdr:twoCellAnchor>
    <xdr:from>
      <xdr:col>11</xdr:col>
      <xdr:colOff>535941</xdr:colOff>
      <xdr:row>36</xdr:row>
      <xdr:rowOff>144762</xdr:rowOff>
    </xdr:from>
    <xdr:to>
      <xdr:col>14</xdr:col>
      <xdr:colOff>157479</xdr:colOff>
      <xdr:row>39</xdr:row>
      <xdr:rowOff>68598</xdr:rowOff>
    </xdr:to>
    <xdr:sp macro="" textlink="Processing!Q13">
      <xdr:nvSpPr>
        <xdr:cNvPr id="48" name="TextBox 47">
          <a:extLst>
            <a:ext uri="{FF2B5EF4-FFF2-40B4-BE49-F238E27FC236}">
              <a16:creationId xmlns:a16="http://schemas.microsoft.com/office/drawing/2014/main" id="{96DFA667-A0A3-4729-9666-DB81D7A84F3B}"/>
            </a:ext>
          </a:extLst>
        </xdr:cNvPr>
        <xdr:cNvSpPr txBox="1"/>
      </xdr:nvSpPr>
      <xdr:spPr>
        <a:xfrm>
          <a:off x="7241541" y="6728442"/>
          <a:ext cx="1450338" cy="472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9E6101-D655-4690-82E8-3E073DF5DE4A}" type="TxLink">
            <a:rPr lang="en-US" sz="2800" b="0" i="0" u="none" strike="noStrike">
              <a:solidFill>
                <a:srgbClr val="C3DCEB"/>
              </a:solidFill>
              <a:latin typeface="Aptos Narrow"/>
              <a:ea typeface="+mn-ea"/>
              <a:cs typeface="+mn-cs"/>
            </a:rPr>
            <a:pPr marL="0" indent="0" algn="ctr"/>
            <a:t>8%</a:t>
          </a:fld>
          <a:endParaRPr lang="ru-RU" sz="2800" b="0" i="0" u="none" strike="noStrike">
            <a:solidFill>
              <a:srgbClr val="C3DCEB"/>
            </a:solidFill>
            <a:latin typeface="Aptos Narrow"/>
            <a:ea typeface="+mn-ea"/>
            <a:cs typeface="+mn-cs"/>
          </a:endParaRPr>
        </a:p>
      </xdr:txBody>
    </xdr:sp>
    <xdr:clientData/>
  </xdr:twoCellAnchor>
  <xdr:twoCellAnchor editAs="oneCell">
    <xdr:from>
      <xdr:col>4</xdr:col>
      <xdr:colOff>137160</xdr:colOff>
      <xdr:row>27</xdr:row>
      <xdr:rowOff>83820</xdr:rowOff>
    </xdr:from>
    <xdr:to>
      <xdr:col>14</xdr:col>
      <xdr:colOff>259080</xdr:colOff>
      <xdr:row>29</xdr:row>
      <xdr:rowOff>137160</xdr:rowOff>
    </xdr:to>
    <mc:AlternateContent xmlns:mc="http://schemas.openxmlformats.org/markup-compatibility/2006" xmlns:a14="http://schemas.microsoft.com/office/drawing/2010/main">
      <mc:Choice Requires="a14">
        <xdr:graphicFrame macro="">
          <xdr:nvGraphicFramePr>
            <xdr:cNvPr id="49" name="Month 3">
              <a:extLst>
                <a:ext uri="{FF2B5EF4-FFF2-40B4-BE49-F238E27FC236}">
                  <a16:creationId xmlns:a16="http://schemas.microsoft.com/office/drawing/2014/main" id="{1CFC61C3-E6E7-4AC9-9AFF-EF285815A1BE}"/>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2575560" y="5021580"/>
              <a:ext cx="6217920" cy="4191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175261</xdr:colOff>
      <xdr:row>7</xdr:row>
      <xdr:rowOff>38101</xdr:rowOff>
    </xdr:from>
    <xdr:to>
      <xdr:col>13</xdr:col>
      <xdr:colOff>586741</xdr:colOff>
      <xdr:row>9</xdr:row>
      <xdr:rowOff>106681</xdr:rowOff>
    </xdr:to>
    <mc:AlternateContent xmlns:mc="http://schemas.openxmlformats.org/markup-compatibility/2006" xmlns:a14="http://schemas.microsoft.com/office/drawing/2010/main">
      <mc:Choice Requires="a14">
        <xdr:graphicFrame macro="">
          <xdr:nvGraphicFramePr>
            <xdr:cNvPr id="50" name="Year 3">
              <a:extLst>
                <a:ext uri="{FF2B5EF4-FFF2-40B4-BE49-F238E27FC236}">
                  <a16:creationId xmlns:a16="http://schemas.microsoft.com/office/drawing/2014/main" id="{9FCD7E06-1B36-4FBB-9A85-8CE232D27B80}"/>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6271261" y="1318261"/>
              <a:ext cx="2240280" cy="4343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148937</xdr:colOff>
      <xdr:row>12</xdr:row>
      <xdr:rowOff>10045</xdr:rowOff>
    </xdr:from>
    <xdr:to>
      <xdr:col>20</xdr:col>
      <xdr:colOff>536864</xdr:colOff>
      <xdr:row>24</xdr:row>
      <xdr:rowOff>149976</xdr:rowOff>
    </xdr:to>
    <xdr:sp macro="" textlink="">
      <xdr:nvSpPr>
        <xdr:cNvPr id="51" name="Rectangle 50">
          <a:hlinkClick xmlns:r="http://schemas.openxmlformats.org/officeDocument/2006/relationships" r:id="rId7"/>
          <a:extLst>
            <a:ext uri="{FF2B5EF4-FFF2-40B4-BE49-F238E27FC236}">
              <a16:creationId xmlns:a16="http://schemas.microsoft.com/office/drawing/2014/main" id="{65DCD003-3496-414B-BFE9-B249C7EAF4E2}"/>
            </a:ext>
          </a:extLst>
        </xdr:cNvPr>
        <xdr:cNvSpPr/>
      </xdr:nvSpPr>
      <xdr:spPr>
        <a:xfrm>
          <a:off x="9292937" y="2204605"/>
          <a:ext cx="3435927" cy="23344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18</xdr:col>
      <xdr:colOff>358140</xdr:colOff>
      <xdr:row>8</xdr:row>
      <xdr:rowOff>114300</xdr:rowOff>
    </xdr:from>
    <xdr:to>
      <xdr:col>19</xdr:col>
      <xdr:colOff>114300</xdr:colOff>
      <xdr:row>10</xdr:row>
      <xdr:rowOff>114300</xdr:rowOff>
    </xdr:to>
    <xdr:pic>
      <xdr:nvPicPr>
        <xdr:cNvPr id="52" name="Graphic 51" descr="Sun with solid fill">
          <a:hlinkClick xmlns:r="http://schemas.openxmlformats.org/officeDocument/2006/relationships" r:id="rId8"/>
          <a:extLst>
            <a:ext uri="{FF2B5EF4-FFF2-40B4-BE49-F238E27FC236}">
              <a16:creationId xmlns:a16="http://schemas.microsoft.com/office/drawing/2014/main" id="{6CD8DEA2-C839-4B9A-A780-9C6CE7F3B4B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330940" y="1577340"/>
          <a:ext cx="365760" cy="365760"/>
        </a:xfrm>
        <a:prstGeom prst="rect">
          <a:avLst/>
        </a:prstGeom>
      </xdr:spPr>
    </xdr:pic>
    <xdr:clientData/>
  </xdr:twoCellAnchor>
  <xdr:twoCellAnchor editAs="oneCell">
    <xdr:from>
      <xdr:col>19</xdr:col>
      <xdr:colOff>373380</xdr:colOff>
      <xdr:row>8</xdr:row>
      <xdr:rowOff>114300</xdr:rowOff>
    </xdr:from>
    <xdr:to>
      <xdr:col>20</xdr:col>
      <xdr:colOff>129540</xdr:colOff>
      <xdr:row>10</xdr:row>
      <xdr:rowOff>114300</xdr:rowOff>
    </xdr:to>
    <xdr:pic>
      <xdr:nvPicPr>
        <xdr:cNvPr id="53" name="Graphic 52" descr="Moon and stars with solid fill">
          <a:extLst>
            <a:ext uri="{FF2B5EF4-FFF2-40B4-BE49-F238E27FC236}">
              <a16:creationId xmlns:a16="http://schemas.microsoft.com/office/drawing/2014/main" id="{B375A776-75DD-4302-BD0F-73E3CFE4022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955780" y="1577340"/>
          <a:ext cx="365760" cy="365760"/>
        </a:xfrm>
        <a:prstGeom prst="rect">
          <a:avLst/>
        </a:prstGeom>
      </xdr:spPr>
    </xdr:pic>
    <xdr:clientData/>
  </xdr:twoCellAnchor>
  <xdr:twoCellAnchor>
    <xdr:from>
      <xdr:col>3</xdr:col>
      <xdr:colOff>594360</xdr:colOff>
      <xdr:row>8</xdr:row>
      <xdr:rowOff>99060</xdr:rowOff>
    </xdr:from>
    <xdr:to>
      <xdr:col>10</xdr:col>
      <xdr:colOff>464934</xdr:colOff>
      <xdr:row>11</xdr:row>
      <xdr:rowOff>118110</xdr:rowOff>
    </xdr:to>
    <xdr:sp macro="" textlink="">
      <xdr:nvSpPr>
        <xdr:cNvPr id="54" name="TextBox 53">
          <a:extLst>
            <a:ext uri="{FF2B5EF4-FFF2-40B4-BE49-F238E27FC236}">
              <a16:creationId xmlns:a16="http://schemas.microsoft.com/office/drawing/2014/main" id="{AB07CE45-4DBA-4C72-B9E0-1B74F9235A35}"/>
            </a:ext>
          </a:extLst>
        </xdr:cNvPr>
        <xdr:cNvSpPr txBox="1"/>
      </xdr:nvSpPr>
      <xdr:spPr>
        <a:xfrm>
          <a:off x="2423160" y="1562100"/>
          <a:ext cx="4137774" cy="567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4000" b="0" i="0" u="none" strike="noStrike">
              <a:solidFill>
                <a:schemeClr val="tx1"/>
              </a:solidFill>
              <a:latin typeface="Georgia" panose="02040502050405020303" pitchFamily="18" charset="0"/>
            </a:rPr>
            <a:t>CRM </a:t>
          </a:r>
          <a:r>
            <a:rPr lang="en-US" sz="3200" b="0" i="0" u="none" strike="noStrike">
              <a:solidFill>
                <a:schemeClr val="tx1"/>
              </a:solidFill>
              <a:latin typeface="Georgia" panose="02040502050405020303" pitchFamily="18" charset="0"/>
            </a:rPr>
            <a:t>Dashboard</a:t>
          </a:r>
          <a:endParaRPr lang="en-US" sz="4000" b="0" i="0" u="none" strike="noStrike">
            <a:solidFill>
              <a:schemeClr val="tx1"/>
            </a:solidFill>
            <a:latin typeface="Georgia" panose="02040502050405020303" pitchFamily="18" charset="0"/>
          </a:endParaRPr>
        </a:p>
      </xdr:txBody>
    </xdr:sp>
    <xdr:clientData/>
  </xdr:twoCellAnchor>
  <xdr:twoCellAnchor>
    <xdr:from>
      <xdr:col>0</xdr:col>
      <xdr:colOff>7620</xdr:colOff>
      <xdr:row>0</xdr:row>
      <xdr:rowOff>0</xdr:rowOff>
    </xdr:from>
    <xdr:to>
      <xdr:col>2</xdr:col>
      <xdr:colOff>304800</xdr:colOff>
      <xdr:row>7</xdr:row>
      <xdr:rowOff>106680</xdr:rowOff>
    </xdr:to>
    <xdr:sp macro="" textlink="">
      <xdr:nvSpPr>
        <xdr:cNvPr id="55" name="Rectangle 54">
          <a:extLst>
            <a:ext uri="{FF2B5EF4-FFF2-40B4-BE49-F238E27FC236}">
              <a16:creationId xmlns:a16="http://schemas.microsoft.com/office/drawing/2014/main" id="{F8F01261-0B9B-1AE4-FF23-1E0648C1D74E}"/>
            </a:ext>
          </a:extLst>
        </xdr:cNvPr>
        <xdr:cNvSpPr/>
      </xdr:nvSpPr>
      <xdr:spPr>
        <a:xfrm>
          <a:off x="7620" y="0"/>
          <a:ext cx="1516380" cy="1386840"/>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2</xdr:row>
      <xdr:rowOff>0</xdr:rowOff>
    </xdr:from>
    <xdr:to>
      <xdr:col>8</xdr:col>
      <xdr:colOff>342900</xdr:colOff>
      <xdr:row>3</xdr:row>
      <xdr:rowOff>109222</xdr:rowOff>
    </xdr:to>
    <xdr:sp macro="" textlink="">
      <xdr:nvSpPr>
        <xdr:cNvPr id="2" name="Rectangle: Rounded Corners 7">
          <a:extLst>
            <a:ext uri="{FF2B5EF4-FFF2-40B4-BE49-F238E27FC236}">
              <a16:creationId xmlns:a16="http://schemas.microsoft.com/office/drawing/2014/main" id="{534A62DC-65F8-4C3F-97C6-65EEC95D0BE0}"/>
            </a:ext>
          </a:extLst>
        </xdr:cNvPr>
        <xdr:cNvSpPr/>
      </xdr:nvSpPr>
      <xdr:spPr>
        <a:xfrm>
          <a:off x="3657600" y="365760"/>
          <a:ext cx="1562100" cy="292102"/>
        </a:xfrm>
        <a:custGeom>
          <a:avLst/>
          <a:gdLst>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638300 w 1638300"/>
            <a:gd name="connsiteY4" fmla="*/ 363218 h 609600"/>
            <a:gd name="connsiteX5" fmla="*/ 1391918 w 1638300"/>
            <a:gd name="connsiteY5" fmla="*/ 609600 h 609600"/>
            <a:gd name="connsiteX6" fmla="*/ 246382 w 1638300"/>
            <a:gd name="connsiteY6" fmla="*/ 609600 h 609600"/>
            <a:gd name="connsiteX7" fmla="*/ 0 w 1638300"/>
            <a:gd name="connsiteY7" fmla="*/ 363218 h 609600"/>
            <a:gd name="connsiteX8" fmla="*/ 0 w 1638300"/>
            <a:gd name="connsiteY8"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246382 w 1638300"/>
            <a:gd name="connsiteY5" fmla="*/ 609600 h 609600"/>
            <a:gd name="connsiteX6" fmla="*/ 0 w 1638300"/>
            <a:gd name="connsiteY6" fmla="*/ 363218 h 609600"/>
            <a:gd name="connsiteX7" fmla="*/ 0 w 1638300"/>
            <a:gd name="connsiteY7"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246382 w 1638300"/>
            <a:gd name="connsiteY5" fmla="*/ 609600 h 609600"/>
            <a:gd name="connsiteX6" fmla="*/ 0 w 1638300"/>
            <a:gd name="connsiteY6"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0 w 1638300"/>
            <a:gd name="connsiteY5" fmla="*/ 246382 h 609600"/>
            <a:gd name="connsiteX0" fmla="*/ 0 w 1638300"/>
            <a:gd name="connsiteY0" fmla="*/ 246382 h 246382"/>
            <a:gd name="connsiteX1" fmla="*/ 246382 w 1638300"/>
            <a:gd name="connsiteY1" fmla="*/ 0 h 246382"/>
            <a:gd name="connsiteX2" fmla="*/ 1391918 w 1638300"/>
            <a:gd name="connsiteY2" fmla="*/ 0 h 246382"/>
            <a:gd name="connsiteX3" fmla="*/ 1638300 w 1638300"/>
            <a:gd name="connsiteY3" fmla="*/ 246382 h 246382"/>
            <a:gd name="connsiteX4" fmla="*/ 0 w 1638300"/>
            <a:gd name="connsiteY4" fmla="*/ 246382 h 2463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38300" h="246382">
              <a:moveTo>
                <a:pt x="0" y="246382"/>
              </a:moveTo>
              <a:cubicBezTo>
                <a:pt x="0" y="110309"/>
                <a:pt x="110309" y="0"/>
                <a:pt x="246382" y="0"/>
              </a:cubicBezTo>
              <a:lnTo>
                <a:pt x="1391918" y="0"/>
              </a:lnTo>
              <a:cubicBezTo>
                <a:pt x="1527991" y="0"/>
                <a:pt x="1638300" y="110309"/>
                <a:pt x="1638300" y="246382"/>
              </a:cubicBezTo>
              <a:lnTo>
                <a:pt x="0" y="246382"/>
              </a:lnTo>
              <a:close/>
            </a:path>
          </a:pathLst>
        </a:custGeom>
        <a:solidFill>
          <a:srgbClr val="C3DC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0</xdr:colOff>
      <xdr:row>6</xdr:row>
      <xdr:rowOff>60960</xdr:rowOff>
    </xdr:from>
    <xdr:to>
      <xdr:col>8</xdr:col>
      <xdr:colOff>342900</xdr:colOff>
      <xdr:row>7</xdr:row>
      <xdr:rowOff>170182</xdr:rowOff>
    </xdr:to>
    <xdr:sp macro="" textlink="">
      <xdr:nvSpPr>
        <xdr:cNvPr id="3" name="Rectangle: Rounded Corners 7">
          <a:extLst>
            <a:ext uri="{FF2B5EF4-FFF2-40B4-BE49-F238E27FC236}">
              <a16:creationId xmlns:a16="http://schemas.microsoft.com/office/drawing/2014/main" id="{F0DCBD17-213D-4AF2-A44F-E3316E6572F1}"/>
            </a:ext>
          </a:extLst>
        </xdr:cNvPr>
        <xdr:cNvSpPr/>
      </xdr:nvSpPr>
      <xdr:spPr>
        <a:xfrm rot="10800000">
          <a:off x="3657600" y="1158240"/>
          <a:ext cx="1562100" cy="292102"/>
        </a:xfrm>
        <a:custGeom>
          <a:avLst/>
          <a:gdLst>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638300 w 1638300"/>
            <a:gd name="connsiteY4" fmla="*/ 363218 h 609600"/>
            <a:gd name="connsiteX5" fmla="*/ 1391918 w 1638300"/>
            <a:gd name="connsiteY5" fmla="*/ 609600 h 609600"/>
            <a:gd name="connsiteX6" fmla="*/ 246382 w 1638300"/>
            <a:gd name="connsiteY6" fmla="*/ 609600 h 609600"/>
            <a:gd name="connsiteX7" fmla="*/ 0 w 1638300"/>
            <a:gd name="connsiteY7" fmla="*/ 363218 h 609600"/>
            <a:gd name="connsiteX8" fmla="*/ 0 w 1638300"/>
            <a:gd name="connsiteY8"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246382 w 1638300"/>
            <a:gd name="connsiteY5" fmla="*/ 609600 h 609600"/>
            <a:gd name="connsiteX6" fmla="*/ 0 w 1638300"/>
            <a:gd name="connsiteY6" fmla="*/ 363218 h 609600"/>
            <a:gd name="connsiteX7" fmla="*/ 0 w 1638300"/>
            <a:gd name="connsiteY7"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246382 w 1638300"/>
            <a:gd name="connsiteY5" fmla="*/ 609600 h 609600"/>
            <a:gd name="connsiteX6" fmla="*/ 0 w 1638300"/>
            <a:gd name="connsiteY6"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0 w 1638300"/>
            <a:gd name="connsiteY5" fmla="*/ 246382 h 609600"/>
            <a:gd name="connsiteX0" fmla="*/ 0 w 1638300"/>
            <a:gd name="connsiteY0" fmla="*/ 246382 h 246382"/>
            <a:gd name="connsiteX1" fmla="*/ 246382 w 1638300"/>
            <a:gd name="connsiteY1" fmla="*/ 0 h 246382"/>
            <a:gd name="connsiteX2" fmla="*/ 1391918 w 1638300"/>
            <a:gd name="connsiteY2" fmla="*/ 0 h 246382"/>
            <a:gd name="connsiteX3" fmla="*/ 1638300 w 1638300"/>
            <a:gd name="connsiteY3" fmla="*/ 246382 h 246382"/>
            <a:gd name="connsiteX4" fmla="*/ 0 w 1638300"/>
            <a:gd name="connsiteY4" fmla="*/ 246382 h 2463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38300" h="246382">
              <a:moveTo>
                <a:pt x="0" y="246382"/>
              </a:moveTo>
              <a:cubicBezTo>
                <a:pt x="0" y="110309"/>
                <a:pt x="110309" y="0"/>
                <a:pt x="246382" y="0"/>
              </a:cubicBezTo>
              <a:lnTo>
                <a:pt x="1391918" y="0"/>
              </a:lnTo>
              <a:cubicBezTo>
                <a:pt x="1527991" y="0"/>
                <a:pt x="1638300" y="110309"/>
                <a:pt x="1638300" y="246382"/>
              </a:cubicBezTo>
              <a:lnTo>
                <a:pt x="0" y="246382"/>
              </a:lnTo>
              <a:close/>
            </a:path>
          </a:pathLst>
        </a:custGeom>
        <a:solidFill>
          <a:srgbClr val="C3DC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563880</xdr:colOff>
      <xdr:row>2</xdr:row>
      <xdr:rowOff>0</xdr:rowOff>
    </xdr:from>
    <xdr:to>
      <xdr:col>11</xdr:col>
      <xdr:colOff>297180</xdr:colOff>
      <xdr:row>3</xdr:row>
      <xdr:rowOff>109222</xdr:rowOff>
    </xdr:to>
    <xdr:sp macro="" textlink="">
      <xdr:nvSpPr>
        <xdr:cNvPr id="4" name="Rectangle: Rounded Corners 7">
          <a:extLst>
            <a:ext uri="{FF2B5EF4-FFF2-40B4-BE49-F238E27FC236}">
              <a16:creationId xmlns:a16="http://schemas.microsoft.com/office/drawing/2014/main" id="{5DC0B641-56B7-4A34-ACA8-2A03E750EF05}"/>
            </a:ext>
          </a:extLst>
        </xdr:cNvPr>
        <xdr:cNvSpPr/>
      </xdr:nvSpPr>
      <xdr:spPr>
        <a:xfrm>
          <a:off x="5440680" y="365760"/>
          <a:ext cx="1562100" cy="292102"/>
        </a:xfrm>
        <a:custGeom>
          <a:avLst/>
          <a:gdLst>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638300 w 1638300"/>
            <a:gd name="connsiteY4" fmla="*/ 363218 h 609600"/>
            <a:gd name="connsiteX5" fmla="*/ 1391918 w 1638300"/>
            <a:gd name="connsiteY5" fmla="*/ 609600 h 609600"/>
            <a:gd name="connsiteX6" fmla="*/ 246382 w 1638300"/>
            <a:gd name="connsiteY6" fmla="*/ 609600 h 609600"/>
            <a:gd name="connsiteX7" fmla="*/ 0 w 1638300"/>
            <a:gd name="connsiteY7" fmla="*/ 363218 h 609600"/>
            <a:gd name="connsiteX8" fmla="*/ 0 w 1638300"/>
            <a:gd name="connsiteY8"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246382 w 1638300"/>
            <a:gd name="connsiteY5" fmla="*/ 609600 h 609600"/>
            <a:gd name="connsiteX6" fmla="*/ 0 w 1638300"/>
            <a:gd name="connsiteY6" fmla="*/ 363218 h 609600"/>
            <a:gd name="connsiteX7" fmla="*/ 0 w 1638300"/>
            <a:gd name="connsiteY7"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246382 w 1638300"/>
            <a:gd name="connsiteY5" fmla="*/ 609600 h 609600"/>
            <a:gd name="connsiteX6" fmla="*/ 0 w 1638300"/>
            <a:gd name="connsiteY6"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0 w 1638300"/>
            <a:gd name="connsiteY5" fmla="*/ 246382 h 609600"/>
            <a:gd name="connsiteX0" fmla="*/ 0 w 1638300"/>
            <a:gd name="connsiteY0" fmla="*/ 246382 h 246382"/>
            <a:gd name="connsiteX1" fmla="*/ 246382 w 1638300"/>
            <a:gd name="connsiteY1" fmla="*/ 0 h 246382"/>
            <a:gd name="connsiteX2" fmla="*/ 1391918 w 1638300"/>
            <a:gd name="connsiteY2" fmla="*/ 0 h 246382"/>
            <a:gd name="connsiteX3" fmla="*/ 1638300 w 1638300"/>
            <a:gd name="connsiteY3" fmla="*/ 246382 h 246382"/>
            <a:gd name="connsiteX4" fmla="*/ 0 w 1638300"/>
            <a:gd name="connsiteY4" fmla="*/ 246382 h 2463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38300" h="246382">
              <a:moveTo>
                <a:pt x="0" y="246382"/>
              </a:moveTo>
              <a:cubicBezTo>
                <a:pt x="0" y="110309"/>
                <a:pt x="110309" y="0"/>
                <a:pt x="246382" y="0"/>
              </a:cubicBezTo>
              <a:lnTo>
                <a:pt x="1391918" y="0"/>
              </a:lnTo>
              <a:cubicBezTo>
                <a:pt x="1527991" y="0"/>
                <a:pt x="1638300" y="110309"/>
                <a:pt x="1638300" y="246382"/>
              </a:cubicBezTo>
              <a:lnTo>
                <a:pt x="0" y="246382"/>
              </a:lnTo>
              <a:close/>
            </a:path>
          </a:pathLst>
        </a:custGeom>
        <a:solidFill>
          <a:srgbClr val="00C7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563880</xdr:colOff>
      <xdr:row>6</xdr:row>
      <xdr:rowOff>60960</xdr:rowOff>
    </xdr:from>
    <xdr:to>
      <xdr:col>11</xdr:col>
      <xdr:colOff>297180</xdr:colOff>
      <xdr:row>7</xdr:row>
      <xdr:rowOff>170182</xdr:rowOff>
    </xdr:to>
    <xdr:sp macro="" textlink="">
      <xdr:nvSpPr>
        <xdr:cNvPr id="5" name="Rectangle: Rounded Corners 7">
          <a:extLst>
            <a:ext uri="{FF2B5EF4-FFF2-40B4-BE49-F238E27FC236}">
              <a16:creationId xmlns:a16="http://schemas.microsoft.com/office/drawing/2014/main" id="{1C747BED-B09E-410E-AEF4-5DA277518795}"/>
            </a:ext>
          </a:extLst>
        </xdr:cNvPr>
        <xdr:cNvSpPr/>
      </xdr:nvSpPr>
      <xdr:spPr>
        <a:xfrm rot="10800000">
          <a:off x="5440680" y="1158240"/>
          <a:ext cx="1562100" cy="292102"/>
        </a:xfrm>
        <a:custGeom>
          <a:avLst/>
          <a:gdLst>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638300 w 1638300"/>
            <a:gd name="connsiteY4" fmla="*/ 363218 h 609600"/>
            <a:gd name="connsiteX5" fmla="*/ 1391918 w 1638300"/>
            <a:gd name="connsiteY5" fmla="*/ 609600 h 609600"/>
            <a:gd name="connsiteX6" fmla="*/ 246382 w 1638300"/>
            <a:gd name="connsiteY6" fmla="*/ 609600 h 609600"/>
            <a:gd name="connsiteX7" fmla="*/ 0 w 1638300"/>
            <a:gd name="connsiteY7" fmla="*/ 363218 h 609600"/>
            <a:gd name="connsiteX8" fmla="*/ 0 w 1638300"/>
            <a:gd name="connsiteY8"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246382 w 1638300"/>
            <a:gd name="connsiteY5" fmla="*/ 609600 h 609600"/>
            <a:gd name="connsiteX6" fmla="*/ 0 w 1638300"/>
            <a:gd name="connsiteY6" fmla="*/ 363218 h 609600"/>
            <a:gd name="connsiteX7" fmla="*/ 0 w 1638300"/>
            <a:gd name="connsiteY7"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246382 w 1638300"/>
            <a:gd name="connsiteY5" fmla="*/ 609600 h 609600"/>
            <a:gd name="connsiteX6" fmla="*/ 0 w 1638300"/>
            <a:gd name="connsiteY6"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0 w 1638300"/>
            <a:gd name="connsiteY5" fmla="*/ 246382 h 609600"/>
            <a:gd name="connsiteX0" fmla="*/ 0 w 1638300"/>
            <a:gd name="connsiteY0" fmla="*/ 246382 h 246382"/>
            <a:gd name="connsiteX1" fmla="*/ 246382 w 1638300"/>
            <a:gd name="connsiteY1" fmla="*/ 0 h 246382"/>
            <a:gd name="connsiteX2" fmla="*/ 1391918 w 1638300"/>
            <a:gd name="connsiteY2" fmla="*/ 0 h 246382"/>
            <a:gd name="connsiteX3" fmla="*/ 1638300 w 1638300"/>
            <a:gd name="connsiteY3" fmla="*/ 246382 h 246382"/>
            <a:gd name="connsiteX4" fmla="*/ 0 w 1638300"/>
            <a:gd name="connsiteY4" fmla="*/ 246382 h 2463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38300" h="246382">
              <a:moveTo>
                <a:pt x="0" y="246382"/>
              </a:moveTo>
              <a:cubicBezTo>
                <a:pt x="0" y="110309"/>
                <a:pt x="110309" y="0"/>
                <a:pt x="246382" y="0"/>
              </a:cubicBezTo>
              <a:lnTo>
                <a:pt x="1391918" y="0"/>
              </a:lnTo>
              <a:cubicBezTo>
                <a:pt x="1527991" y="0"/>
                <a:pt x="1638300" y="110309"/>
                <a:pt x="1638300" y="246382"/>
              </a:cubicBezTo>
              <a:lnTo>
                <a:pt x="0" y="246382"/>
              </a:lnTo>
              <a:close/>
            </a:path>
          </a:pathLst>
        </a:custGeom>
        <a:solidFill>
          <a:srgbClr val="9980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22860</xdr:colOff>
      <xdr:row>2</xdr:row>
      <xdr:rowOff>0</xdr:rowOff>
    </xdr:from>
    <xdr:to>
      <xdr:col>14</xdr:col>
      <xdr:colOff>365760</xdr:colOff>
      <xdr:row>3</xdr:row>
      <xdr:rowOff>109222</xdr:rowOff>
    </xdr:to>
    <xdr:sp macro="" textlink="">
      <xdr:nvSpPr>
        <xdr:cNvPr id="6" name="Rectangle: Rounded Corners 7">
          <a:extLst>
            <a:ext uri="{FF2B5EF4-FFF2-40B4-BE49-F238E27FC236}">
              <a16:creationId xmlns:a16="http://schemas.microsoft.com/office/drawing/2014/main" id="{15B0FF51-619B-05C9-7EFA-8FCEA450C3AE}"/>
            </a:ext>
          </a:extLst>
        </xdr:cNvPr>
        <xdr:cNvSpPr/>
      </xdr:nvSpPr>
      <xdr:spPr>
        <a:xfrm>
          <a:off x="7338060" y="365760"/>
          <a:ext cx="1562100" cy="292102"/>
        </a:xfrm>
        <a:custGeom>
          <a:avLst/>
          <a:gdLst>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638300 w 1638300"/>
            <a:gd name="connsiteY4" fmla="*/ 363218 h 609600"/>
            <a:gd name="connsiteX5" fmla="*/ 1391918 w 1638300"/>
            <a:gd name="connsiteY5" fmla="*/ 609600 h 609600"/>
            <a:gd name="connsiteX6" fmla="*/ 246382 w 1638300"/>
            <a:gd name="connsiteY6" fmla="*/ 609600 h 609600"/>
            <a:gd name="connsiteX7" fmla="*/ 0 w 1638300"/>
            <a:gd name="connsiteY7" fmla="*/ 363218 h 609600"/>
            <a:gd name="connsiteX8" fmla="*/ 0 w 1638300"/>
            <a:gd name="connsiteY8"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246382 w 1638300"/>
            <a:gd name="connsiteY5" fmla="*/ 609600 h 609600"/>
            <a:gd name="connsiteX6" fmla="*/ 0 w 1638300"/>
            <a:gd name="connsiteY6" fmla="*/ 363218 h 609600"/>
            <a:gd name="connsiteX7" fmla="*/ 0 w 1638300"/>
            <a:gd name="connsiteY7"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246382 w 1638300"/>
            <a:gd name="connsiteY5" fmla="*/ 609600 h 609600"/>
            <a:gd name="connsiteX6" fmla="*/ 0 w 1638300"/>
            <a:gd name="connsiteY6"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0 w 1638300"/>
            <a:gd name="connsiteY5" fmla="*/ 246382 h 609600"/>
            <a:gd name="connsiteX0" fmla="*/ 0 w 1638300"/>
            <a:gd name="connsiteY0" fmla="*/ 246382 h 246382"/>
            <a:gd name="connsiteX1" fmla="*/ 246382 w 1638300"/>
            <a:gd name="connsiteY1" fmla="*/ 0 h 246382"/>
            <a:gd name="connsiteX2" fmla="*/ 1391918 w 1638300"/>
            <a:gd name="connsiteY2" fmla="*/ 0 h 246382"/>
            <a:gd name="connsiteX3" fmla="*/ 1638300 w 1638300"/>
            <a:gd name="connsiteY3" fmla="*/ 246382 h 246382"/>
            <a:gd name="connsiteX4" fmla="*/ 0 w 1638300"/>
            <a:gd name="connsiteY4" fmla="*/ 246382 h 2463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38300" h="246382">
              <a:moveTo>
                <a:pt x="0" y="246382"/>
              </a:moveTo>
              <a:cubicBezTo>
                <a:pt x="0" y="110309"/>
                <a:pt x="110309" y="0"/>
                <a:pt x="246382" y="0"/>
              </a:cubicBezTo>
              <a:lnTo>
                <a:pt x="1391918" y="0"/>
              </a:lnTo>
              <a:cubicBezTo>
                <a:pt x="1527991" y="0"/>
                <a:pt x="1638300" y="110309"/>
                <a:pt x="1638300" y="246382"/>
              </a:cubicBezTo>
              <a:lnTo>
                <a:pt x="0" y="246382"/>
              </a:lnTo>
              <a:close/>
            </a:path>
          </a:pathLst>
        </a:custGeom>
        <a:solidFill>
          <a:srgbClr val="BCF5B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22860</xdr:colOff>
      <xdr:row>6</xdr:row>
      <xdr:rowOff>60960</xdr:rowOff>
    </xdr:from>
    <xdr:to>
      <xdr:col>14</xdr:col>
      <xdr:colOff>365760</xdr:colOff>
      <xdr:row>7</xdr:row>
      <xdr:rowOff>170182</xdr:rowOff>
    </xdr:to>
    <xdr:sp macro="" textlink="">
      <xdr:nvSpPr>
        <xdr:cNvPr id="7" name="Rectangle: Rounded Corners 7">
          <a:extLst>
            <a:ext uri="{FF2B5EF4-FFF2-40B4-BE49-F238E27FC236}">
              <a16:creationId xmlns:a16="http://schemas.microsoft.com/office/drawing/2014/main" id="{CE8E9D8B-DEFF-DFDA-F338-691C7F673C54}"/>
            </a:ext>
          </a:extLst>
        </xdr:cNvPr>
        <xdr:cNvSpPr/>
      </xdr:nvSpPr>
      <xdr:spPr>
        <a:xfrm rot="10800000">
          <a:off x="7338060" y="1158240"/>
          <a:ext cx="1562100" cy="292102"/>
        </a:xfrm>
        <a:custGeom>
          <a:avLst/>
          <a:gdLst>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638300 w 1638300"/>
            <a:gd name="connsiteY4" fmla="*/ 363218 h 609600"/>
            <a:gd name="connsiteX5" fmla="*/ 1391918 w 1638300"/>
            <a:gd name="connsiteY5" fmla="*/ 609600 h 609600"/>
            <a:gd name="connsiteX6" fmla="*/ 246382 w 1638300"/>
            <a:gd name="connsiteY6" fmla="*/ 609600 h 609600"/>
            <a:gd name="connsiteX7" fmla="*/ 0 w 1638300"/>
            <a:gd name="connsiteY7" fmla="*/ 363218 h 609600"/>
            <a:gd name="connsiteX8" fmla="*/ 0 w 1638300"/>
            <a:gd name="connsiteY8"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246382 w 1638300"/>
            <a:gd name="connsiteY5" fmla="*/ 609600 h 609600"/>
            <a:gd name="connsiteX6" fmla="*/ 0 w 1638300"/>
            <a:gd name="connsiteY6" fmla="*/ 363218 h 609600"/>
            <a:gd name="connsiteX7" fmla="*/ 0 w 1638300"/>
            <a:gd name="connsiteY7"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246382 w 1638300"/>
            <a:gd name="connsiteY5" fmla="*/ 609600 h 609600"/>
            <a:gd name="connsiteX6" fmla="*/ 0 w 1638300"/>
            <a:gd name="connsiteY6"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0 w 1638300"/>
            <a:gd name="connsiteY5" fmla="*/ 246382 h 609600"/>
            <a:gd name="connsiteX0" fmla="*/ 0 w 1638300"/>
            <a:gd name="connsiteY0" fmla="*/ 246382 h 246382"/>
            <a:gd name="connsiteX1" fmla="*/ 246382 w 1638300"/>
            <a:gd name="connsiteY1" fmla="*/ 0 h 246382"/>
            <a:gd name="connsiteX2" fmla="*/ 1391918 w 1638300"/>
            <a:gd name="connsiteY2" fmla="*/ 0 h 246382"/>
            <a:gd name="connsiteX3" fmla="*/ 1638300 w 1638300"/>
            <a:gd name="connsiteY3" fmla="*/ 246382 h 246382"/>
            <a:gd name="connsiteX4" fmla="*/ 0 w 1638300"/>
            <a:gd name="connsiteY4" fmla="*/ 246382 h 2463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38300" h="246382">
              <a:moveTo>
                <a:pt x="0" y="246382"/>
              </a:moveTo>
              <a:cubicBezTo>
                <a:pt x="0" y="110309"/>
                <a:pt x="110309" y="0"/>
                <a:pt x="246382" y="0"/>
              </a:cubicBezTo>
              <a:lnTo>
                <a:pt x="1391918" y="0"/>
              </a:lnTo>
              <a:cubicBezTo>
                <a:pt x="1527991" y="0"/>
                <a:pt x="1638300" y="110309"/>
                <a:pt x="1638300" y="246382"/>
              </a:cubicBezTo>
              <a:lnTo>
                <a:pt x="0" y="246382"/>
              </a:lnTo>
              <a:close/>
            </a:path>
          </a:pathLst>
        </a:custGeom>
        <a:solidFill>
          <a:srgbClr val="CCB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563880</xdr:colOff>
      <xdr:row>9</xdr:row>
      <xdr:rowOff>121920</xdr:rowOff>
    </xdr:from>
    <xdr:to>
      <xdr:col>11</xdr:col>
      <xdr:colOff>297180</xdr:colOff>
      <xdr:row>11</xdr:row>
      <xdr:rowOff>48262</xdr:rowOff>
    </xdr:to>
    <xdr:sp macro="" textlink="">
      <xdr:nvSpPr>
        <xdr:cNvPr id="8" name="Rectangle: Rounded Corners 7">
          <a:extLst>
            <a:ext uri="{FF2B5EF4-FFF2-40B4-BE49-F238E27FC236}">
              <a16:creationId xmlns:a16="http://schemas.microsoft.com/office/drawing/2014/main" id="{0F53E73B-670F-8A4E-48E7-A352F3B2DBF6}"/>
            </a:ext>
          </a:extLst>
        </xdr:cNvPr>
        <xdr:cNvSpPr/>
      </xdr:nvSpPr>
      <xdr:spPr>
        <a:xfrm>
          <a:off x="5440680" y="1767840"/>
          <a:ext cx="1562100" cy="292102"/>
        </a:xfrm>
        <a:custGeom>
          <a:avLst/>
          <a:gdLst>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638300 w 1638300"/>
            <a:gd name="connsiteY4" fmla="*/ 363218 h 609600"/>
            <a:gd name="connsiteX5" fmla="*/ 1391918 w 1638300"/>
            <a:gd name="connsiteY5" fmla="*/ 609600 h 609600"/>
            <a:gd name="connsiteX6" fmla="*/ 246382 w 1638300"/>
            <a:gd name="connsiteY6" fmla="*/ 609600 h 609600"/>
            <a:gd name="connsiteX7" fmla="*/ 0 w 1638300"/>
            <a:gd name="connsiteY7" fmla="*/ 363218 h 609600"/>
            <a:gd name="connsiteX8" fmla="*/ 0 w 1638300"/>
            <a:gd name="connsiteY8"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246382 w 1638300"/>
            <a:gd name="connsiteY5" fmla="*/ 609600 h 609600"/>
            <a:gd name="connsiteX6" fmla="*/ 0 w 1638300"/>
            <a:gd name="connsiteY6" fmla="*/ 363218 h 609600"/>
            <a:gd name="connsiteX7" fmla="*/ 0 w 1638300"/>
            <a:gd name="connsiteY7"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246382 w 1638300"/>
            <a:gd name="connsiteY5" fmla="*/ 609600 h 609600"/>
            <a:gd name="connsiteX6" fmla="*/ 0 w 1638300"/>
            <a:gd name="connsiteY6"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0 w 1638300"/>
            <a:gd name="connsiteY5" fmla="*/ 246382 h 609600"/>
            <a:gd name="connsiteX0" fmla="*/ 0 w 1638300"/>
            <a:gd name="connsiteY0" fmla="*/ 246382 h 246382"/>
            <a:gd name="connsiteX1" fmla="*/ 246382 w 1638300"/>
            <a:gd name="connsiteY1" fmla="*/ 0 h 246382"/>
            <a:gd name="connsiteX2" fmla="*/ 1391918 w 1638300"/>
            <a:gd name="connsiteY2" fmla="*/ 0 h 246382"/>
            <a:gd name="connsiteX3" fmla="*/ 1638300 w 1638300"/>
            <a:gd name="connsiteY3" fmla="*/ 246382 h 246382"/>
            <a:gd name="connsiteX4" fmla="*/ 0 w 1638300"/>
            <a:gd name="connsiteY4" fmla="*/ 246382 h 2463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38300" h="246382">
              <a:moveTo>
                <a:pt x="0" y="246382"/>
              </a:moveTo>
              <a:cubicBezTo>
                <a:pt x="0" y="110309"/>
                <a:pt x="110309" y="0"/>
                <a:pt x="246382" y="0"/>
              </a:cubicBezTo>
              <a:lnTo>
                <a:pt x="1391918" y="0"/>
              </a:lnTo>
              <a:cubicBezTo>
                <a:pt x="1527991" y="0"/>
                <a:pt x="1638300" y="110309"/>
                <a:pt x="1638300" y="246382"/>
              </a:cubicBezTo>
              <a:lnTo>
                <a:pt x="0" y="246382"/>
              </a:lnTo>
              <a:close/>
            </a:path>
          </a:pathLst>
        </a:custGeom>
        <a:solidFill>
          <a:srgbClr val="5BDD8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563880</xdr:colOff>
      <xdr:row>14</xdr:row>
      <xdr:rowOff>0</xdr:rowOff>
    </xdr:from>
    <xdr:to>
      <xdr:col>11</xdr:col>
      <xdr:colOff>297180</xdr:colOff>
      <xdr:row>15</xdr:row>
      <xdr:rowOff>109222</xdr:rowOff>
    </xdr:to>
    <xdr:sp macro="" textlink="">
      <xdr:nvSpPr>
        <xdr:cNvPr id="9" name="Rectangle: Rounded Corners 7">
          <a:extLst>
            <a:ext uri="{FF2B5EF4-FFF2-40B4-BE49-F238E27FC236}">
              <a16:creationId xmlns:a16="http://schemas.microsoft.com/office/drawing/2014/main" id="{CCE312C3-D214-CED8-31E0-8B91110A56DB}"/>
            </a:ext>
          </a:extLst>
        </xdr:cNvPr>
        <xdr:cNvSpPr/>
      </xdr:nvSpPr>
      <xdr:spPr>
        <a:xfrm rot="10800000">
          <a:off x="5440680" y="2560320"/>
          <a:ext cx="1562100" cy="292102"/>
        </a:xfrm>
        <a:custGeom>
          <a:avLst/>
          <a:gdLst>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638300 w 1638300"/>
            <a:gd name="connsiteY4" fmla="*/ 363218 h 609600"/>
            <a:gd name="connsiteX5" fmla="*/ 1391918 w 1638300"/>
            <a:gd name="connsiteY5" fmla="*/ 609600 h 609600"/>
            <a:gd name="connsiteX6" fmla="*/ 246382 w 1638300"/>
            <a:gd name="connsiteY6" fmla="*/ 609600 h 609600"/>
            <a:gd name="connsiteX7" fmla="*/ 0 w 1638300"/>
            <a:gd name="connsiteY7" fmla="*/ 363218 h 609600"/>
            <a:gd name="connsiteX8" fmla="*/ 0 w 1638300"/>
            <a:gd name="connsiteY8"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246382 w 1638300"/>
            <a:gd name="connsiteY5" fmla="*/ 609600 h 609600"/>
            <a:gd name="connsiteX6" fmla="*/ 0 w 1638300"/>
            <a:gd name="connsiteY6" fmla="*/ 363218 h 609600"/>
            <a:gd name="connsiteX7" fmla="*/ 0 w 1638300"/>
            <a:gd name="connsiteY7"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246382 w 1638300"/>
            <a:gd name="connsiteY5" fmla="*/ 609600 h 609600"/>
            <a:gd name="connsiteX6" fmla="*/ 0 w 1638300"/>
            <a:gd name="connsiteY6"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0 w 1638300"/>
            <a:gd name="connsiteY5" fmla="*/ 246382 h 609600"/>
            <a:gd name="connsiteX0" fmla="*/ 0 w 1638300"/>
            <a:gd name="connsiteY0" fmla="*/ 246382 h 246382"/>
            <a:gd name="connsiteX1" fmla="*/ 246382 w 1638300"/>
            <a:gd name="connsiteY1" fmla="*/ 0 h 246382"/>
            <a:gd name="connsiteX2" fmla="*/ 1391918 w 1638300"/>
            <a:gd name="connsiteY2" fmla="*/ 0 h 246382"/>
            <a:gd name="connsiteX3" fmla="*/ 1638300 w 1638300"/>
            <a:gd name="connsiteY3" fmla="*/ 246382 h 246382"/>
            <a:gd name="connsiteX4" fmla="*/ 0 w 1638300"/>
            <a:gd name="connsiteY4" fmla="*/ 246382 h 2463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38300" h="246382">
              <a:moveTo>
                <a:pt x="0" y="246382"/>
              </a:moveTo>
              <a:cubicBezTo>
                <a:pt x="0" y="110309"/>
                <a:pt x="110309" y="0"/>
                <a:pt x="246382" y="0"/>
              </a:cubicBezTo>
              <a:lnTo>
                <a:pt x="1391918" y="0"/>
              </a:lnTo>
              <a:cubicBezTo>
                <a:pt x="1527991" y="0"/>
                <a:pt x="1638300" y="110309"/>
                <a:pt x="1638300" y="246382"/>
              </a:cubicBezTo>
              <a:lnTo>
                <a:pt x="0" y="246382"/>
              </a:lnTo>
              <a:close/>
            </a:path>
          </a:pathLst>
        </a:custGeom>
        <a:solidFill>
          <a:srgbClr val="B19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0</xdr:colOff>
      <xdr:row>10</xdr:row>
      <xdr:rowOff>160020</xdr:rowOff>
    </xdr:from>
    <xdr:to>
      <xdr:col>8</xdr:col>
      <xdr:colOff>342900</xdr:colOff>
      <xdr:row>12</xdr:row>
      <xdr:rowOff>86362</xdr:rowOff>
    </xdr:to>
    <xdr:sp macro="" textlink="">
      <xdr:nvSpPr>
        <xdr:cNvPr id="10" name="Rectangle: Rounded Corners 7">
          <a:extLst>
            <a:ext uri="{FF2B5EF4-FFF2-40B4-BE49-F238E27FC236}">
              <a16:creationId xmlns:a16="http://schemas.microsoft.com/office/drawing/2014/main" id="{C1682411-A32C-8C25-EDA2-90D45C33EFCF}"/>
            </a:ext>
          </a:extLst>
        </xdr:cNvPr>
        <xdr:cNvSpPr/>
      </xdr:nvSpPr>
      <xdr:spPr>
        <a:xfrm>
          <a:off x="3657600" y="1988820"/>
          <a:ext cx="1562100" cy="292102"/>
        </a:xfrm>
        <a:custGeom>
          <a:avLst/>
          <a:gdLst>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638300 w 1638300"/>
            <a:gd name="connsiteY4" fmla="*/ 363218 h 609600"/>
            <a:gd name="connsiteX5" fmla="*/ 1391918 w 1638300"/>
            <a:gd name="connsiteY5" fmla="*/ 609600 h 609600"/>
            <a:gd name="connsiteX6" fmla="*/ 246382 w 1638300"/>
            <a:gd name="connsiteY6" fmla="*/ 609600 h 609600"/>
            <a:gd name="connsiteX7" fmla="*/ 0 w 1638300"/>
            <a:gd name="connsiteY7" fmla="*/ 363218 h 609600"/>
            <a:gd name="connsiteX8" fmla="*/ 0 w 1638300"/>
            <a:gd name="connsiteY8"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246382 w 1638300"/>
            <a:gd name="connsiteY5" fmla="*/ 609600 h 609600"/>
            <a:gd name="connsiteX6" fmla="*/ 0 w 1638300"/>
            <a:gd name="connsiteY6" fmla="*/ 363218 h 609600"/>
            <a:gd name="connsiteX7" fmla="*/ 0 w 1638300"/>
            <a:gd name="connsiteY7"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246382 w 1638300"/>
            <a:gd name="connsiteY5" fmla="*/ 609600 h 609600"/>
            <a:gd name="connsiteX6" fmla="*/ 0 w 1638300"/>
            <a:gd name="connsiteY6"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0 w 1638300"/>
            <a:gd name="connsiteY5" fmla="*/ 246382 h 609600"/>
            <a:gd name="connsiteX0" fmla="*/ 0 w 1638300"/>
            <a:gd name="connsiteY0" fmla="*/ 246382 h 246382"/>
            <a:gd name="connsiteX1" fmla="*/ 246382 w 1638300"/>
            <a:gd name="connsiteY1" fmla="*/ 0 h 246382"/>
            <a:gd name="connsiteX2" fmla="*/ 1391918 w 1638300"/>
            <a:gd name="connsiteY2" fmla="*/ 0 h 246382"/>
            <a:gd name="connsiteX3" fmla="*/ 1638300 w 1638300"/>
            <a:gd name="connsiteY3" fmla="*/ 246382 h 246382"/>
            <a:gd name="connsiteX4" fmla="*/ 0 w 1638300"/>
            <a:gd name="connsiteY4" fmla="*/ 246382 h 2463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38300" h="246382">
              <a:moveTo>
                <a:pt x="0" y="246382"/>
              </a:moveTo>
              <a:cubicBezTo>
                <a:pt x="0" y="110309"/>
                <a:pt x="110309" y="0"/>
                <a:pt x="246382" y="0"/>
              </a:cubicBezTo>
              <a:lnTo>
                <a:pt x="1391918" y="0"/>
              </a:lnTo>
              <a:cubicBezTo>
                <a:pt x="1527991" y="0"/>
                <a:pt x="1638300" y="110309"/>
                <a:pt x="1638300" y="246382"/>
              </a:cubicBezTo>
              <a:lnTo>
                <a:pt x="0" y="246382"/>
              </a:lnTo>
              <a:close/>
            </a:path>
          </a:pathLst>
        </a:custGeom>
        <a:solidFill>
          <a:srgbClr val="5A638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0</xdr:colOff>
      <xdr:row>15</xdr:row>
      <xdr:rowOff>38100</xdr:rowOff>
    </xdr:from>
    <xdr:to>
      <xdr:col>8</xdr:col>
      <xdr:colOff>342900</xdr:colOff>
      <xdr:row>16</xdr:row>
      <xdr:rowOff>147322</xdr:rowOff>
    </xdr:to>
    <xdr:sp macro="" textlink="">
      <xdr:nvSpPr>
        <xdr:cNvPr id="11" name="Rectangle: Rounded Corners 7">
          <a:extLst>
            <a:ext uri="{FF2B5EF4-FFF2-40B4-BE49-F238E27FC236}">
              <a16:creationId xmlns:a16="http://schemas.microsoft.com/office/drawing/2014/main" id="{BEEAAD12-98E4-B07D-D79C-1F88CC155754}"/>
            </a:ext>
          </a:extLst>
        </xdr:cNvPr>
        <xdr:cNvSpPr/>
      </xdr:nvSpPr>
      <xdr:spPr>
        <a:xfrm rot="10800000">
          <a:off x="3657600" y="2781300"/>
          <a:ext cx="1562100" cy="292102"/>
        </a:xfrm>
        <a:custGeom>
          <a:avLst/>
          <a:gdLst>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638300 w 1638300"/>
            <a:gd name="connsiteY4" fmla="*/ 363218 h 609600"/>
            <a:gd name="connsiteX5" fmla="*/ 1391918 w 1638300"/>
            <a:gd name="connsiteY5" fmla="*/ 609600 h 609600"/>
            <a:gd name="connsiteX6" fmla="*/ 246382 w 1638300"/>
            <a:gd name="connsiteY6" fmla="*/ 609600 h 609600"/>
            <a:gd name="connsiteX7" fmla="*/ 0 w 1638300"/>
            <a:gd name="connsiteY7" fmla="*/ 363218 h 609600"/>
            <a:gd name="connsiteX8" fmla="*/ 0 w 1638300"/>
            <a:gd name="connsiteY8"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246382 w 1638300"/>
            <a:gd name="connsiteY5" fmla="*/ 609600 h 609600"/>
            <a:gd name="connsiteX6" fmla="*/ 0 w 1638300"/>
            <a:gd name="connsiteY6" fmla="*/ 363218 h 609600"/>
            <a:gd name="connsiteX7" fmla="*/ 0 w 1638300"/>
            <a:gd name="connsiteY7"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246382 w 1638300"/>
            <a:gd name="connsiteY5" fmla="*/ 609600 h 609600"/>
            <a:gd name="connsiteX6" fmla="*/ 0 w 1638300"/>
            <a:gd name="connsiteY6"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0 w 1638300"/>
            <a:gd name="connsiteY5" fmla="*/ 246382 h 609600"/>
            <a:gd name="connsiteX0" fmla="*/ 0 w 1638300"/>
            <a:gd name="connsiteY0" fmla="*/ 246382 h 246382"/>
            <a:gd name="connsiteX1" fmla="*/ 246382 w 1638300"/>
            <a:gd name="connsiteY1" fmla="*/ 0 h 246382"/>
            <a:gd name="connsiteX2" fmla="*/ 1391918 w 1638300"/>
            <a:gd name="connsiteY2" fmla="*/ 0 h 246382"/>
            <a:gd name="connsiteX3" fmla="*/ 1638300 w 1638300"/>
            <a:gd name="connsiteY3" fmla="*/ 246382 h 246382"/>
            <a:gd name="connsiteX4" fmla="*/ 0 w 1638300"/>
            <a:gd name="connsiteY4" fmla="*/ 246382 h 2463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38300" h="246382">
              <a:moveTo>
                <a:pt x="0" y="246382"/>
              </a:moveTo>
              <a:cubicBezTo>
                <a:pt x="0" y="110309"/>
                <a:pt x="110309" y="0"/>
                <a:pt x="246382" y="0"/>
              </a:cubicBezTo>
              <a:lnTo>
                <a:pt x="1391918" y="0"/>
              </a:lnTo>
              <a:cubicBezTo>
                <a:pt x="1527991" y="0"/>
                <a:pt x="1638300" y="110309"/>
                <a:pt x="1638300" y="246382"/>
              </a:cubicBezTo>
              <a:lnTo>
                <a:pt x="0" y="246382"/>
              </a:lnTo>
              <a:close/>
            </a:path>
          </a:pathLst>
        </a:custGeom>
        <a:solidFill>
          <a:srgbClr val="5A638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563880</xdr:colOff>
      <xdr:row>17</xdr:row>
      <xdr:rowOff>129540</xdr:rowOff>
    </xdr:from>
    <xdr:to>
      <xdr:col>11</xdr:col>
      <xdr:colOff>297180</xdr:colOff>
      <xdr:row>19</xdr:row>
      <xdr:rowOff>55882</xdr:rowOff>
    </xdr:to>
    <xdr:sp macro="" textlink="">
      <xdr:nvSpPr>
        <xdr:cNvPr id="12" name="Rectangle: Rounded Corners 7">
          <a:extLst>
            <a:ext uri="{FF2B5EF4-FFF2-40B4-BE49-F238E27FC236}">
              <a16:creationId xmlns:a16="http://schemas.microsoft.com/office/drawing/2014/main" id="{F73014FC-AD38-D9D4-D2CF-9E9FB90B1C4E}"/>
            </a:ext>
          </a:extLst>
        </xdr:cNvPr>
        <xdr:cNvSpPr/>
      </xdr:nvSpPr>
      <xdr:spPr>
        <a:xfrm>
          <a:off x="5440680" y="3238500"/>
          <a:ext cx="1562100" cy="292102"/>
        </a:xfrm>
        <a:custGeom>
          <a:avLst/>
          <a:gdLst>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638300 w 1638300"/>
            <a:gd name="connsiteY4" fmla="*/ 363218 h 609600"/>
            <a:gd name="connsiteX5" fmla="*/ 1391918 w 1638300"/>
            <a:gd name="connsiteY5" fmla="*/ 609600 h 609600"/>
            <a:gd name="connsiteX6" fmla="*/ 246382 w 1638300"/>
            <a:gd name="connsiteY6" fmla="*/ 609600 h 609600"/>
            <a:gd name="connsiteX7" fmla="*/ 0 w 1638300"/>
            <a:gd name="connsiteY7" fmla="*/ 363218 h 609600"/>
            <a:gd name="connsiteX8" fmla="*/ 0 w 1638300"/>
            <a:gd name="connsiteY8"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246382 w 1638300"/>
            <a:gd name="connsiteY5" fmla="*/ 609600 h 609600"/>
            <a:gd name="connsiteX6" fmla="*/ 0 w 1638300"/>
            <a:gd name="connsiteY6" fmla="*/ 363218 h 609600"/>
            <a:gd name="connsiteX7" fmla="*/ 0 w 1638300"/>
            <a:gd name="connsiteY7"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246382 w 1638300"/>
            <a:gd name="connsiteY5" fmla="*/ 609600 h 609600"/>
            <a:gd name="connsiteX6" fmla="*/ 0 w 1638300"/>
            <a:gd name="connsiteY6"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0 w 1638300"/>
            <a:gd name="connsiteY5" fmla="*/ 246382 h 609600"/>
            <a:gd name="connsiteX0" fmla="*/ 0 w 1638300"/>
            <a:gd name="connsiteY0" fmla="*/ 246382 h 246382"/>
            <a:gd name="connsiteX1" fmla="*/ 246382 w 1638300"/>
            <a:gd name="connsiteY1" fmla="*/ 0 h 246382"/>
            <a:gd name="connsiteX2" fmla="*/ 1391918 w 1638300"/>
            <a:gd name="connsiteY2" fmla="*/ 0 h 246382"/>
            <a:gd name="connsiteX3" fmla="*/ 1638300 w 1638300"/>
            <a:gd name="connsiteY3" fmla="*/ 246382 h 246382"/>
            <a:gd name="connsiteX4" fmla="*/ 0 w 1638300"/>
            <a:gd name="connsiteY4" fmla="*/ 246382 h 2463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38300" h="246382">
              <a:moveTo>
                <a:pt x="0" y="246382"/>
              </a:moveTo>
              <a:cubicBezTo>
                <a:pt x="0" y="110309"/>
                <a:pt x="110309" y="0"/>
                <a:pt x="246382" y="0"/>
              </a:cubicBezTo>
              <a:lnTo>
                <a:pt x="1391918" y="0"/>
              </a:lnTo>
              <a:cubicBezTo>
                <a:pt x="1527991" y="0"/>
                <a:pt x="1638300" y="110309"/>
                <a:pt x="1638300" y="246382"/>
              </a:cubicBezTo>
              <a:lnTo>
                <a:pt x="0" y="246382"/>
              </a:lnTo>
              <a:close/>
            </a:path>
          </a:pathLst>
        </a:custGeom>
        <a:solidFill>
          <a:srgbClr val="1AFFD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563880</xdr:colOff>
      <xdr:row>22</xdr:row>
      <xdr:rowOff>7620</xdr:rowOff>
    </xdr:from>
    <xdr:to>
      <xdr:col>11</xdr:col>
      <xdr:colOff>297180</xdr:colOff>
      <xdr:row>23</xdr:row>
      <xdr:rowOff>116842</xdr:rowOff>
    </xdr:to>
    <xdr:sp macro="" textlink="">
      <xdr:nvSpPr>
        <xdr:cNvPr id="13" name="Rectangle: Rounded Corners 7">
          <a:extLst>
            <a:ext uri="{FF2B5EF4-FFF2-40B4-BE49-F238E27FC236}">
              <a16:creationId xmlns:a16="http://schemas.microsoft.com/office/drawing/2014/main" id="{AD3B8D6B-FBED-4436-EB93-14D201C01993}"/>
            </a:ext>
          </a:extLst>
        </xdr:cNvPr>
        <xdr:cNvSpPr/>
      </xdr:nvSpPr>
      <xdr:spPr>
        <a:xfrm rot="10800000">
          <a:off x="5440680" y="4030980"/>
          <a:ext cx="1562100" cy="292102"/>
        </a:xfrm>
        <a:custGeom>
          <a:avLst/>
          <a:gdLst>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638300 w 1638300"/>
            <a:gd name="connsiteY4" fmla="*/ 363218 h 609600"/>
            <a:gd name="connsiteX5" fmla="*/ 1391918 w 1638300"/>
            <a:gd name="connsiteY5" fmla="*/ 609600 h 609600"/>
            <a:gd name="connsiteX6" fmla="*/ 246382 w 1638300"/>
            <a:gd name="connsiteY6" fmla="*/ 609600 h 609600"/>
            <a:gd name="connsiteX7" fmla="*/ 0 w 1638300"/>
            <a:gd name="connsiteY7" fmla="*/ 363218 h 609600"/>
            <a:gd name="connsiteX8" fmla="*/ 0 w 1638300"/>
            <a:gd name="connsiteY8"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246382 w 1638300"/>
            <a:gd name="connsiteY5" fmla="*/ 609600 h 609600"/>
            <a:gd name="connsiteX6" fmla="*/ 0 w 1638300"/>
            <a:gd name="connsiteY6" fmla="*/ 363218 h 609600"/>
            <a:gd name="connsiteX7" fmla="*/ 0 w 1638300"/>
            <a:gd name="connsiteY7"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246382 w 1638300"/>
            <a:gd name="connsiteY5" fmla="*/ 609600 h 609600"/>
            <a:gd name="connsiteX6" fmla="*/ 0 w 1638300"/>
            <a:gd name="connsiteY6" fmla="*/ 246382 h 609600"/>
            <a:gd name="connsiteX0" fmla="*/ 0 w 1638300"/>
            <a:gd name="connsiteY0" fmla="*/ 246382 h 609600"/>
            <a:gd name="connsiteX1" fmla="*/ 246382 w 1638300"/>
            <a:gd name="connsiteY1" fmla="*/ 0 h 609600"/>
            <a:gd name="connsiteX2" fmla="*/ 1391918 w 1638300"/>
            <a:gd name="connsiteY2" fmla="*/ 0 h 609600"/>
            <a:gd name="connsiteX3" fmla="*/ 1638300 w 1638300"/>
            <a:gd name="connsiteY3" fmla="*/ 246382 h 609600"/>
            <a:gd name="connsiteX4" fmla="*/ 1391918 w 1638300"/>
            <a:gd name="connsiteY4" fmla="*/ 609600 h 609600"/>
            <a:gd name="connsiteX5" fmla="*/ 0 w 1638300"/>
            <a:gd name="connsiteY5" fmla="*/ 246382 h 609600"/>
            <a:gd name="connsiteX0" fmla="*/ 0 w 1638300"/>
            <a:gd name="connsiteY0" fmla="*/ 246382 h 246382"/>
            <a:gd name="connsiteX1" fmla="*/ 246382 w 1638300"/>
            <a:gd name="connsiteY1" fmla="*/ 0 h 246382"/>
            <a:gd name="connsiteX2" fmla="*/ 1391918 w 1638300"/>
            <a:gd name="connsiteY2" fmla="*/ 0 h 246382"/>
            <a:gd name="connsiteX3" fmla="*/ 1638300 w 1638300"/>
            <a:gd name="connsiteY3" fmla="*/ 246382 h 246382"/>
            <a:gd name="connsiteX4" fmla="*/ 0 w 1638300"/>
            <a:gd name="connsiteY4" fmla="*/ 246382 h 2463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38300" h="246382">
              <a:moveTo>
                <a:pt x="0" y="246382"/>
              </a:moveTo>
              <a:cubicBezTo>
                <a:pt x="0" y="110309"/>
                <a:pt x="110309" y="0"/>
                <a:pt x="246382" y="0"/>
              </a:cubicBezTo>
              <a:lnTo>
                <a:pt x="1391918" y="0"/>
              </a:lnTo>
              <a:cubicBezTo>
                <a:pt x="1527991" y="0"/>
                <a:pt x="1638300" y="110309"/>
                <a:pt x="1638300" y="246382"/>
              </a:cubicBezTo>
              <a:lnTo>
                <a:pt x="0" y="246382"/>
              </a:lnTo>
              <a:close/>
            </a:path>
          </a:pathLst>
        </a:custGeom>
        <a:solidFill>
          <a:srgbClr val="9980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76.46677997685" createdVersion="8" refreshedVersion="8" minRefreshableVersion="3" recordCount="48" xr:uid="{A0209B77-A240-4B6E-B7B7-2EEB6CD433A2}">
  <cacheSource type="worksheet">
    <worksheetSource name="mydata"/>
  </cacheSource>
  <cacheFields count="19">
    <cacheField name="Year" numFmtId="0">
      <sharedItems containsSemiMixedTypes="0" containsString="0" containsNumber="1" containsInteger="1" minValue="2025" maxValue="2028" count="4">
        <n v="2025"/>
        <n v="2026"/>
        <n v="2027"/>
        <n v="2028"/>
      </sharedItems>
    </cacheField>
    <cacheField name="Month" numFmtId="0">
      <sharedItems count="12">
        <s v="JAN"/>
        <s v="FEB"/>
        <s v="MAR"/>
        <s v="APR"/>
        <s v="MAY"/>
        <s v="JUN"/>
        <s v="JUL"/>
        <s v="AUG"/>
        <s v="SEP"/>
        <s v="OCT"/>
        <s v="NOV"/>
        <s v="DEC"/>
      </sharedItems>
    </cacheField>
    <cacheField name="Active Client Count" numFmtId="0">
      <sharedItems containsSemiMixedTypes="0" containsString="0" containsNumber="1" containsInteger="1" minValue="448" maxValue="1135"/>
    </cacheField>
    <cacheField name="Average Client Count" numFmtId="0">
      <sharedItems containsSemiMixedTypes="0" containsString="0" containsNumber="1" containsInteger="1" minValue="500" maxValue="1075"/>
    </cacheField>
    <cacheField name="New Clients" numFmtId="0">
      <sharedItems containsSemiMixedTypes="0" containsString="0" containsNumber="1" containsInteger="1" minValue="448" maxValue="1135"/>
    </cacheField>
    <cacheField name="Regular Clients" numFmtId="0">
      <sharedItems containsSemiMixedTypes="0" containsString="0" containsNumber="1" containsInteger="1" minValue="500" maxValue="1100"/>
    </cacheField>
    <cacheField name="Customer" numFmtId="9">
      <sharedItems containsSemiMixedTypes="0" containsString="0" containsNumber="1" minValue="0.05" maxValue="0.95"/>
    </cacheField>
    <cacheField name="Relationship " numFmtId="9">
      <sharedItems containsSemiMixedTypes="0" containsString="0" containsNumber="1" minValue="7.0000000000000007E-2" maxValue="0.95"/>
    </cacheField>
    <cacheField name="Management" numFmtId="9">
      <sharedItems containsSemiMixedTypes="0" containsString="0" containsNumber="1" minValue="0.06" maxValue="0.95"/>
    </cacheField>
    <cacheField name="K Point 1" numFmtId="0">
      <sharedItems containsSemiMixedTypes="0" containsString="0" containsNumber="1" containsInteger="1" minValue="17175" maxValue="47096"/>
    </cacheField>
    <cacheField name="K Point 2" numFmtId="0">
      <sharedItems containsSemiMixedTypes="0" containsString="0" containsNumber="1" containsInteger="1" minValue="16048" maxValue="47286"/>
    </cacheField>
    <cacheField name="K Point 3" numFmtId="0">
      <sharedItems containsSemiMixedTypes="0" containsString="0" containsNumber="1" containsInteger="1" minValue="11777" maxValue="49500"/>
    </cacheField>
    <cacheField name="K Point 4" numFmtId="0">
      <sharedItems containsSemiMixedTypes="0" containsString="0" containsNumber="1" containsInteger="1" minValue="13741" maxValue="44407"/>
    </cacheField>
    <cacheField name="K Point 5" numFmtId="0">
      <sharedItems containsSemiMixedTypes="0" containsString="0" containsNumber="1" containsInteger="1" minValue="15732" maxValue="47242"/>
    </cacheField>
    <cacheField name="C Point 1" numFmtId="0">
      <sharedItems containsSemiMixedTypes="0" containsString="0" containsNumber="1" containsInteger="1" minValue="21495" maxValue="37321"/>
    </cacheField>
    <cacheField name="C Point 2" numFmtId="0">
      <sharedItems containsSemiMixedTypes="0" containsString="0" containsNumber="1" containsInteger="1" minValue="21140" maxValue="39496"/>
    </cacheField>
    <cacheField name="C Point 3" numFmtId="0">
      <sharedItems containsSemiMixedTypes="0" containsString="0" containsNumber="1" containsInteger="1" minValue="20315" maxValue="35721"/>
    </cacheField>
    <cacheField name="C Point 4" numFmtId="0">
      <sharedItems containsSemiMixedTypes="0" containsString="0" containsNumber="1" containsInteger="1" minValue="20036" maxValue="36461"/>
    </cacheField>
    <cacheField name="C Point 5" numFmtId="0">
      <sharedItems containsSemiMixedTypes="0" containsString="0" containsNumber="1" containsInteger="1" minValue="21286" maxValue="39202"/>
    </cacheField>
  </cacheFields>
  <extLst>
    <ext xmlns:x14="http://schemas.microsoft.com/office/spreadsheetml/2009/9/main" uri="{725AE2AE-9491-48be-B2B4-4EB974FC3084}">
      <x14:pivotCacheDefinition pivotCacheId="11265207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n v="590"/>
    <n v="675"/>
    <n v="930"/>
    <n v="950"/>
    <n v="0.06"/>
    <n v="0.08"/>
    <n v="7.0000000000000007E-2"/>
    <n v="47096"/>
    <n v="28182"/>
    <n v="13507"/>
    <n v="32366"/>
    <n v="46241"/>
    <n v="37321"/>
    <n v="28729"/>
    <n v="20315"/>
    <n v="29726"/>
    <n v="39202"/>
  </r>
  <r>
    <x v="0"/>
    <x v="1"/>
    <n v="811"/>
    <n v="626"/>
    <n v="955"/>
    <n v="800"/>
    <n v="0.15"/>
    <n v="0.12"/>
    <n v="0.18"/>
    <n v="33425"/>
    <n v="35068"/>
    <n v="26642"/>
    <n v="24449"/>
    <n v="34073"/>
    <n v="29349"/>
    <n v="28895"/>
    <n v="23165"/>
    <n v="26403"/>
    <n v="34380"/>
  </r>
  <r>
    <x v="0"/>
    <x v="2"/>
    <n v="843"/>
    <n v="687"/>
    <n v="1080"/>
    <n v="620"/>
    <n v="0.28000000000000003"/>
    <n v="0.25"/>
    <n v="0.3"/>
    <n v="31885"/>
    <n v="16048"/>
    <n v="29495"/>
    <n v="41274"/>
    <n v="31697"/>
    <n v="27610"/>
    <n v="21140"/>
    <n v="25957"/>
    <n v="35532"/>
    <n v="34006"/>
  </r>
  <r>
    <x v="0"/>
    <x v="3"/>
    <n v="732"/>
    <n v="786"/>
    <n v="1135"/>
    <n v="500"/>
    <n v="0.35"/>
    <n v="0.38"/>
    <n v="0.41"/>
    <n v="22137"/>
    <n v="23255"/>
    <n v="38004"/>
    <n v="36927"/>
    <n v="22468"/>
    <n v="22753"/>
    <n v="21567"/>
    <n v="29541"/>
    <n v="35391"/>
    <n v="35639"/>
  </r>
  <r>
    <x v="0"/>
    <x v="4"/>
    <n v="571"/>
    <n v="735"/>
    <n v="990"/>
    <n v="640"/>
    <n v="0.49"/>
    <n v="0.52"/>
    <n v="0.55000000000000004"/>
    <n v="24618"/>
    <n v="25243"/>
    <n v="35565"/>
    <n v="35034"/>
    <n v="26135"/>
    <n v="21495"/>
    <n v="26087"/>
    <n v="33496"/>
    <n v="33233"/>
    <n v="30826"/>
  </r>
  <r>
    <x v="0"/>
    <x v="5"/>
    <n v="448"/>
    <n v="614"/>
    <n v="545"/>
    <n v="810"/>
    <n v="0.57999999999999996"/>
    <n v="0.61"/>
    <n v="0.64"/>
    <n v="30192"/>
    <n v="35630"/>
    <n v="34117"/>
    <n v="25597"/>
    <n v="23426"/>
    <n v="21890"/>
    <n v="31229"/>
    <n v="34093"/>
    <n v="28849"/>
    <n v="23972"/>
  </r>
  <r>
    <x v="0"/>
    <x v="6"/>
    <n v="522"/>
    <n v="580"/>
    <n v="470"/>
    <n v="980"/>
    <n v="0.69"/>
    <n v="0.72"/>
    <n v="0.75"/>
    <n v="35662"/>
    <n v="44346"/>
    <n v="36069"/>
    <n v="17107"/>
    <n v="19982"/>
    <n v="24628"/>
    <n v="37241"/>
    <n v="31466"/>
    <n v="23634"/>
    <n v="22879"/>
  </r>
  <r>
    <x v="0"/>
    <x v="7"/>
    <n v="967"/>
    <n v="657"/>
    <n v="598"/>
    <n v="1100"/>
    <n v="0.78"/>
    <n v="0.81"/>
    <n v="0.84"/>
    <n v="33610"/>
    <n v="47170"/>
    <n v="43682"/>
    <n v="17055"/>
    <n v="19915"/>
    <n v="30652"/>
    <n v="39310"/>
    <n v="28760"/>
    <n v="21834"/>
    <n v="22740"/>
  </r>
  <r>
    <x v="0"/>
    <x v="8"/>
    <n v="1110"/>
    <n v="809"/>
    <n v="755"/>
    <n v="1030"/>
    <n v="0.85"/>
    <n v="0.88"/>
    <n v="0.9"/>
    <n v="24123"/>
    <n v="38184"/>
    <n v="49500"/>
    <n v="25194"/>
    <n v="21174"/>
    <n v="36033"/>
    <n v="39496"/>
    <n v="23447"/>
    <n v="20036"/>
    <n v="25161"/>
  </r>
  <r>
    <x v="0"/>
    <x v="9"/>
    <n v="1056"/>
    <n v="898"/>
    <n v="851"/>
    <n v="850"/>
    <n v="0.89"/>
    <n v="0.91"/>
    <n v="0.92"/>
    <n v="19319"/>
    <n v="26910"/>
    <n v="47133"/>
    <n v="38235"/>
    <n v="27042"/>
    <n v="35598"/>
    <n v="34070"/>
    <n v="21694"/>
    <n v="20990"/>
    <n v="28479"/>
  </r>
  <r>
    <x v="0"/>
    <x v="10"/>
    <n v="770"/>
    <n v="850"/>
    <n v="815"/>
    <n v="670"/>
    <n v="0.93"/>
    <n v="0.94"/>
    <n v="0.94"/>
    <n v="20157"/>
    <n v="21395"/>
    <n v="37271"/>
    <n v="43962"/>
    <n v="32890"/>
    <n v="31843"/>
    <n v="26922"/>
    <n v="20419"/>
    <n v="23808"/>
    <n v="32786"/>
  </r>
  <r>
    <x v="0"/>
    <x v="11"/>
    <n v="907"/>
    <n v="740"/>
    <n v="612"/>
    <n v="520"/>
    <n v="0.95"/>
    <n v="0.95"/>
    <n v="0.95"/>
    <n v="26580"/>
    <n v="20295"/>
    <n v="24594"/>
    <n v="40417"/>
    <n v="39835"/>
    <n v="27075"/>
    <n v="23262"/>
    <n v="21889"/>
    <n v="28863"/>
    <n v="36582"/>
  </r>
  <r>
    <x v="1"/>
    <x v="0"/>
    <n v="800"/>
    <n v="680"/>
    <n v="800"/>
    <n v="765"/>
    <n v="0.09"/>
    <n v="0.11"/>
    <n v="0.06"/>
    <n v="36741"/>
    <n v="24078"/>
    <n v="15139"/>
    <n v="29492"/>
    <n v="45372"/>
    <n v="23004"/>
    <n v="21742"/>
    <n v="26701"/>
    <n v="34641"/>
    <n v="36988"/>
  </r>
  <r>
    <x v="1"/>
    <x v="1"/>
    <n v="962"/>
    <n v="635"/>
    <n v="1027"/>
    <n v="875"/>
    <n v="0.16"/>
    <n v="0.19"/>
    <n v="0.13"/>
    <n v="44641"/>
    <n v="29129"/>
    <n v="12241"/>
    <n v="20588"/>
    <n v="47242"/>
    <n v="21807"/>
    <n v="25386"/>
    <n v="32377"/>
    <n v="35110"/>
    <n v="33712"/>
  </r>
  <r>
    <x v="1"/>
    <x v="2"/>
    <n v="1073"/>
    <n v="695"/>
    <n v="1097"/>
    <n v="925"/>
    <n v="0.28999999999999998"/>
    <n v="0.32"/>
    <n v="0.26"/>
    <n v="47045"/>
    <n v="28461"/>
    <n v="11777"/>
    <n v="18531"/>
    <n v="43860"/>
    <n v="23365"/>
    <n v="32143"/>
    <n v="35259"/>
    <n v="30966"/>
    <n v="27789"/>
  </r>
  <r>
    <x v="1"/>
    <x v="3"/>
    <n v="1097"/>
    <n v="775"/>
    <n v="962"/>
    <n v="835"/>
    <n v="0.36"/>
    <n v="0.39"/>
    <n v="0.33"/>
    <n v="42282"/>
    <n v="21596"/>
    <n v="15999"/>
    <n v="24249"/>
    <n v="37349"/>
    <n v="27254"/>
    <n v="35678"/>
    <n v="33791"/>
    <n v="24328"/>
    <n v="22394"/>
  </r>
  <r>
    <x v="1"/>
    <x v="4"/>
    <n v="1027"/>
    <n v="720"/>
    <n v="715"/>
    <n v="680"/>
    <n v="0.5"/>
    <n v="0.53"/>
    <n v="0.45"/>
    <n v="33241"/>
    <n v="18347"/>
    <n v="26491"/>
    <n v="34593"/>
    <n v="32728"/>
    <n v="31971"/>
    <n v="38166"/>
    <n v="28748"/>
    <n v="21311"/>
    <n v="21286"/>
  </r>
  <r>
    <x v="1"/>
    <x v="5"/>
    <n v="885"/>
    <n v="600"/>
    <n v="527"/>
    <n v="602"/>
    <n v="0.59"/>
    <n v="0.62"/>
    <n v="0.56999999999999995"/>
    <n v="23786"/>
    <n v="20762"/>
    <n v="36437"/>
    <n v="44407"/>
    <n v="30687"/>
    <n v="35146"/>
    <n v="37155"/>
    <n v="24002"/>
    <n v="20256"/>
    <n v="23609"/>
  </r>
  <r>
    <x v="1"/>
    <x v="6"/>
    <n v="715"/>
    <n v="590"/>
    <n v="527"/>
    <n v="635"/>
    <n v="0.7"/>
    <n v="0.73"/>
    <n v="0.68"/>
    <n v="17645"/>
    <n v="26785"/>
    <n v="42604"/>
    <n v="44339"/>
    <n v="29559"/>
    <n v="34015"/>
    <n v="30473"/>
    <n v="21283"/>
    <n v="22806"/>
    <n v="28897"/>
  </r>
  <r>
    <x v="1"/>
    <x v="7"/>
    <n v="573"/>
    <n v="670"/>
    <n v="715"/>
    <n v="760"/>
    <n v="0.79"/>
    <n v="0.82"/>
    <n v="0.77"/>
    <n v="17175"/>
    <n v="34653"/>
    <n v="42977"/>
    <n v="36763"/>
    <n v="26658"/>
    <n v="28791"/>
    <n v="23869"/>
    <n v="21773"/>
    <n v="28334"/>
    <n v="33156"/>
  </r>
  <r>
    <x v="1"/>
    <x v="8"/>
    <n v="503"/>
    <n v="820"/>
    <n v="962"/>
    <n v="812"/>
    <n v="0.86"/>
    <n v="0.89"/>
    <n v="0.83"/>
    <n v="21736"/>
    <n v="42224"/>
    <n v="45800"/>
    <n v="30277"/>
    <n v="18212"/>
    <n v="35847"/>
    <n v="32370"/>
    <n v="27171"/>
    <n v="25453"/>
    <n v="22096"/>
  </r>
  <r>
    <x v="1"/>
    <x v="9"/>
    <n v="527"/>
    <n v="880"/>
    <n v="1097"/>
    <n v="719"/>
    <n v="0.9"/>
    <n v="0.92"/>
    <n v="0.87"/>
    <n v="24574"/>
    <n v="47145"/>
    <n v="43193"/>
    <n v="21438"/>
    <n v="15732"/>
    <n v="24245"/>
    <n v="21755"/>
    <n v="26109"/>
    <n v="33516"/>
    <n v="36213"/>
  </r>
  <r>
    <x v="1"/>
    <x v="10"/>
    <n v="638"/>
    <n v="840"/>
    <n v="1027"/>
    <n v="650"/>
    <n v="0.93"/>
    <n v="0.94"/>
    <n v="0.91"/>
    <n v="29431"/>
    <n v="47286"/>
    <n v="37787"/>
    <n v="15420"/>
    <n v="16644"/>
    <n v="22468"/>
    <n v="25573"/>
    <n v="31289"/>
    <n v="34812"/>
    <n v="34888"/>
  </r>
  <r>
    <x v="1"/>
    <x v="11"/>
    <n v="800"/>
    <n v="750"/>
    <n v="800"/>
    <n v="705"/>
    <n v="0.95"/>
    <n v="0.95"/>
    <n v="0.95"/>
    <n v="32768"/>
    <n v="44020"/>
    <n v="32520"/>
    <n v="13741"/>
    <n v="20993"/>
    <n v="23190"/>
    <n v="30064"/>
    <n v="34157"/>
    <n v="31956"/>
    <n v="30683"/>
  </r>
  <r>
    <x v="2"/>
    <x v="0"/>
    <n v="800"/>
    <n v="705"/>
    <n v="800"/>
    <n v="750"/>
    <n v="0.05"/>
    <n v="7.0000000000000007E-2"/>
    <n v="0.1"/>
    <n v="31692"/>
    <n v="36106"/>
    <n v="31104"/>
    <n v="17288"/>
    <n v="27818"/>
    <n v="26101"/>
    <n v="34899"/>
    <n v="33653"/>
    <n v="27219"/>
    <n v="24998"/>
  </r>
  <r>
    <x v="2"/>
    <x v="1"/>
    <n v="1027"/>
    <n v="650"/>
    <n v="638"/>
    <n v="840"/>
    <n v="0.14000000000000001"/>
    <n v="0.16"/>
    <n v="0.2"/>
    <n v="26597"/>
    <n v="26485"/>
    <n v="35586"/>
    <n v="25217"/>
    <n v="34949"/>
    <n v="30219"/>
    <n v="36544"/>
    <n v="29372"/>
    <n v="23101"/>
    <n v="22890"/>
  </r>
  <r>
    <x v="2"/>
    <x v="2"/>
    <n v="1097"/>
    <n v="719"/>
    <n v="527"/>
    <n v="880"/>
    <n v="0.27"/>
    <n v="0.28999999999999998"/>
    <n v="0.33"/>
    <n v="21055"/>
    <n v="20257"/>
    <n v="42245"/>
    <n v="33635"/>
    <n v="39292"/>
    <n v="33486"/>
    <n v="35748"/>
    <n v="24536"/>
    <n v="21034"/>
    <n v="23892"/>
  </r>
  <r>
    <x v="2"/>
    <x v="3"/>
    <n v="962"/>
    <n v="812"/>
    <n v="503"/>
    <n v="820"/>
    <n v="0.34"/>
    <n v="0.37"/>
    <n v="0.4"/>
    <n v="18012"/>
    <n v="20871"/>
    <n v="45197"/>
    <n v="39789"/>
    <n v="38565"/>
    <n v="34991"/>
    <n v="30400"/>
    <n v="21062"/>
    <n v="22553"/>
    <n v="27687"/>
  </r>
  <r>
    <x v="2"/>
    <x v="4"/>
    <n v="715"/>
    <n v="760"/>
    <n v="573"/>
    <n v="670"/>
    <n v="0.48"/>
    <n v="0.51"/>
    <n v="0.54"/>
    <n v="19402"/>
    <n v="26627"/>
    <n v="42893"/>
    <n v="40858"/>
    <n v="33890"/>
    <n v="32155"/>
    <n v="24688"/>
    <n v="21686"/>
    <n v="27311"/>
    <n v="31055"/>
  </r>
  <r>
    <x v="2"/>
    <x v="5"/>
    <n v="527"/>
    <n v="635"/>
    <n v="715"/>
    <n v="590"/>
    <n v="0.56999999999999995"/>
    <n v="0.6"/>
    <n v="0.63"/>
    <n v="24530"/>
    <n v="31782"/>
    <n v="36376"/>
    <n v="35861"/>
    <n v="27116"/>
    <n v="28030"/>
    <n v="21503"/>
    <n v="24869"/>
    <n v="32877"/>
    <n v="33387"/>
  </r>
  <r>
    <x v="2"/>
    <x v="6"/>
    <n v="527"/>
    <n v="602"/>
    <n v="885"/>
    <n v="600"/>
    <n v="0.68"/>
    <n v="0.71"/>
    <n v="0.74"/>
    <n v="30449"/>
    <n v="33114"/>
    <n v="28285"/>
    <n v="26959"/>
    <n v="21270"/>
    <n v="24653"/>
    <n v="22626"/>
    <n v="30513"/>
    <n v="36461"/>
    <n v="32248"/>
  </r>
  <r>
    <x v="2"/>
    <x v="7"/>
    <n v="715"/>
    <n v="680"/>
    <n v="1027"/>
    <n v="720"/>
    <n v="0.77"/>
    <n v="0.8"/>
    <n v="0.83"/>
    <n v="35455"/>
    <n v="30156"/>
    <n v="22212"/>
    <n v="20725"/>
    <n v="19318"/>
    <n v="22793"/>
    <n v="27717"/>
    <n v="34500"/>
    <n v="35696"/>
    <n v="29072"/>
  </r>
  <r>
    <x v="2"/>
    <x v="8"/>
    <n v="962"/>
    <n v="835"/>
    <n v="1097"/>
    <n v="775"/>
    <n v="0.84"/>
    <n v="0.87"/>
    <n v="0.89"/>
    <n v="37333"/>
    <n v="27074"/>
    <n v="19522"/>
    <n v="19704"/>
    <n v="21882"/>
    <n v="24418"/>
    <n v="33610"/>
    <n v="35721"/>
    <n v="31222"/>
    <n v="25283"/>
  </r>
  <r>
    <x v="2"/>
    <x v="9"/>
    <n v="1097"/>
    <n v="925"/>
    <n v="1073"/>
    <n v="695"/>
    <n v="0.88"/>
    <n v="0.9"/>
    <n v="0.91"/>
    <n v="34335"/>
    <n v="26546"/>
    <n v="20258"/>
    <n v="23826"/>
    <n v="27356"/>
    <n v="28507"/>
    <n v="36877"/>
    <n v="32385"/>
    <n v="24619"/>
    <n v="21914"/>
  </r>
  <r>
    <x v="2"/>
    <x v="10"/>
    <n v="1027"/>
    <n v="875"/>
    <n v="962"/>
    <n v="635"/>
    <n v="0.92"/>
    <n v="0.93"/>
    <n v="0.93"/>
    <n v="28633"/>
    <n v="28992"/>
    <n v="24071"/>
    <n v="30913"/>
    <n v="33269"/>
    <n v="32778"/>
    <n v="35477"/>
    <n v="26766"/>
    <n v="21422"/>
    <n v="22357"/>
  </r>
  <r>
    <x v="2"/>
    <x v="11"/>
    <n v="800"/>
    <n v="765"/>
    <n v="800"/>
    <n v="680"/>
    <n v="0.95"/>
    <n v="0.95"/>
    <n v="0.95"/>
    <n v="23527"/>
    <n v="31398"/>
    <n v="29650"/>
    <n v="37298"/>
    <n v="35896"/>
    <n v="35415"/>
    <n v="29680"/>
    <n v="22190"/>
    <n v="22100"/>
    <n v="26385"/>
  </r>
  <r>
    <x v="3"/>
    <x v="0"/>
    <n v="612"/>
    <n v="520"/>
    <n v="907"/>
    <n v="740"/>
    <n v="0.1"/>
    <n v="0.13"/>
    <n v="0.08"/>
    <n v="21331"/>
    <n v="32190"/>
    <n v="34484"/>
    <n v="39213"/>
    <n v="34138"/>
    <n v="33169"/>
    <n v="23348"/>
    <n v="24244"/>
    <n v="26367"/>
    <n v="30946"/>
  </r>
  <r>
    <x v="3"/>
    <x v="1"/>
    <n v="815"/>
    <n v="670"/>
    <n v="770"/>
    <n v="850"/>
    <n v="0.17"/>
    <n v="0.2"/>
    <n v="0.15"/>
    <n v="23085"/>
    <n v="31289"/>
    <n v="36333"/>
    <n v="36100"/>
    <n v="30058"/>
    <n v="27990"/>
    <n v="21398"/>
    <n v="28661"/>
    <n v="31747"/>
    <n v="32722"/>
  </r>
  <r>
    <x v="3"/>
    <x v="2"/>
    <n v="851"/>
    <n v="850"/>
    <n v="1056"/>
    <n v="898"/>
    <n v="0.3"/>
    <n v="0.33"/>
    <n v="0.28000000000000003"/>
    <n v="26987"/>
    <n v="30582"/>
    <n v="34864"/>
    <n v="30278"/>
    <n v="25736"/>
    <n v="23489"/>
    <n v="24373"/>
    <n v="33111"/>
    <n v="35304"/>
    <n v="30719"/>
  </r>
  <r>
    <x v="3"/>
    <x v="3"/>
    <n v="755"/>
    <n v="1030"/>
    <n v="1110"/>
    <n v="809"/>
    <n v="0.37"/>
    <n v="0.4"/>
    <n v="0.35"/>
    <n v="30892"/>
    <n v="31222"/>
    <n v="30599"/>
    <n v="24194"/>
    <n v="22820"/>
    <n v="22158"/>
    <n v="28834"/>
    <n v="35699"/>
    <n v="33533"/>
    <n v="26324"/>
  </r>
  <r>
    <x v="3"/>
    <x v="4"/>
    <n v="598"/>
    <n v="1075"/>
    <n v="967"/>
    <n v="657"/>
    <n v="0.51"/>
    <n v="0.54"/>
    <n v="0.47"/>
    <n v="32641"/>
    <n v="32699"/>
    <n v="25306"/>
    <n v="19980"/>
    <n v="22836"/>
    <n v="23974"/>
    <n v="32344"/>
    <n v="34488"/>
    <n v="28896"/>
    <n v="22815"/>
  </r>
  <r>
    <x v="3"/>
    <x v="5"/>
    <n v="470"/>
    <n v="980"/>
    <n v="522"/>
    <n v="580"/>
    <n v="0.6"/>
    <n v="0.63"/>
    <n v="0.59"/>
    <n v="30850"/>
    <n v="32767"/>
    <n v="20885"/>
    <n v="19263"/>
    <n v="26095"/>
    <n v="27543"/>
    <n v="34696"/>
    <n v="30657"/>
    <n v="24100"/>
    <n v="21362"/>
  </r>
  <r>
    <x v="3"/>
    <x v="6"/>
    <n v="545"/>
    <n v="810"/>
    <n v="448"/>
    <n v="614"/>
    <n v="0.71"/>
    <n v="0.74"/>
    <n v="0.7"/>
    <n v="25985"/>
    <n v="29990"/>
    <n v="19099"/>
    <n v="22490"/>
    <n v="31506"/>
    <n v="31457"/>
    <n v="33218"/>
    <n v="25576"/>
    <n v="21308"/>
    <n v="22980"/>
  </r>
  <r>
    <x v="3"/>
    <x v="7"/>
    <n v="990"/>
    <n v="640"/>
    <n v="571"/>
    <n v="735"/>
    <n v="0.8"/>
    <n v="0.83"/>
    <n v="0.79"/>
    <n v="20453"/>
    <n v="24891"/>
    <n v="21521"/>
    <n v="28787"/>
    <n v="36695"/>
    <n v="33817"/>
    <n v="28466"/>
    <n v="22201"/>
    <n v="23555"/>
    <n v="27290"/>
  </r>
  <r>
    <x v="3"/>
    <x v="8"/>
    <n v="1135"/>
    <n v="500"/>
    <n v="732"/>
    <n v="786"/>
    <n v="0.87"/>
    <n v="0.9"/>
    <n v="0.85"/>
    <n v="17731"/>
    <n v="20065"/>
    <n v="27043"/>
    <n v="35420"/>
    <n v="39067"/>
    <n v="32712"/>
    <n v="24409"/>
    <n v="22638"/>
    <n v="28589"/>
    <n v="30948"/>
  </r>
  <r>
    <x v="3"/>
    <x v="9"/>
    <n v="1080"/>
    <n v="620"/>
    <n v="843"/>
    <n v="687"/>
    <n v="0.91"/>
    <n v="0.93"/>
    <n v="0.88"/>
    <n v="19530"/>
    <n v="18358"/>
    <n v="31959"/>
    <n v="38447"/>
    <n v="36932"/>
    <n v="29042"/>
    <n v="22690"/>
    <n v="26811"/>
    <n v="33279"/>
    <n v="31363"/>
  </r>
  <r>
    <x v="3"/>
    <x v="10"/>
    <n v="955"/>
    <n v="800"/>
    <n v="811"/>
    <n v="626"/>
    <n v="0.94"/>
    <n v="0.94"/>
    <n v="0.92"/>
    <n v="24764"/>
    <n v="20794"/>
    <n v="33934"/>
    <n v="37040"/>
    <n v="31723"/>
    <n v="25116"/>
    <n v="24833"/>
    <n v="31993"/>
    <n v="35147"/>
    <n v="28493"/>
  </r>
  <r>
    <x v="3"/>
    <x v="11"/>
    <n v="930"/>
    <n v="950"/>
    <n v="590"/>
    <n v="675"/>
    <n v="0.95"/>
    <n v="0.95"/>
    <n v="0.95"/>
    <n v="30878"/>
    <n v="26284"/>
    <n v="31862"/>
    <n v="31846"/>
    <n v="26150"/>
    <n v="23325"/>
    <n v="29676"/>
    <n v="35309"/>
    <n v="33641"/>
    <n v="240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E3BB14-0557-45FC-919B-6DE571968D9A}" name="PivotTable2" cacheId="19"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20:E33" firstHeaderRow="0" firstDataRow="1" firstDataCol="1"/>
  <pivotFields count="19">
    <pivotField showAll="0">
      <items count="5">
        <item h="1" x="0"/>
        <item h="1" x="1"/>
        <item h="1" x="2"/>
        <item x="3"/>
        <item t="default"/>
      </items>
    </pivotField>
    <pivotField axis="axisRow" showAll="0">
      <items count="13">
        <item x="0"/>
        <item x="1"/>
        <item x="2"/>
        <item x="3"/>
        <item x="4"/>
        <item x="5"/>
        <item x="6"/>
        <item x="7"/>
        <item x="8"/>
        <item x="9"/>
        <item x="10"/>
        <item x="11"/>
        <item t="default"/>
      </items>
    </pivotField>
    <pivotField dataField="1" showAll="0"/>
    <pivotField dataField="1" showAll="0"/>
    <pivotField dataField="1" showAll="0"/>
    <pivotField dataField="1"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Sum of Active Client Count" fld="2" baseField="0" baseItem="0"/>
    <dataField name="Sum of Average Client Count" fld="3" baseField="0" baseItem="0"/>
    <dataField name="Sum of New Clients" fld="4" baseField="0" baseItem="0"/>
    <dataField name="Sum of Regular Clien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359134-A89C-44F1-994B-97C79E5F8AA3}" name="PivotTable1" cacheId="19"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R5" firstHeaderRow="0" firstDataRow="1" firstDataCol="1"/>
  <pivotFields count="19">
    <pivotField showAll="0">
      <items count="5">
        <item h="1" x="0"/>
        <item h="1" x="1"/>
        <item h="1" x="2"/>
        <item x="3"/>
        <item t="default"/>
      </items>
    </pivotField>
    <pivotField axis="axisRow" showAll="0">
      <items count="13">
        <item x="0"/>
        <item h="1" x="1"/>
        <item h="1" x="2"/>
        <item h="1" x="3"/>
        <item h="1" x="4"/>
        <item h="1" x="5"/>
        <item h="1" x="6"/>
        <item h="1" x="7"/>
        <item h="1" x="8"/>
        <item h="1" x="9"/>
        <item h="1" x="10"/>
        <item h="1" x="11"/>
        <item t="default"/>
      </items>
    </pivotField>
    <pivotField dataField="1" showAll="0"/>
    <pivotField dataField="1" showAll="0"/>
    <pivotField dataField="1" showAll="0"/>
    <pivotField dataField="1" showAll="0"/>
    <pivotField dataField="1" numFmtId="9" showAll="0"/>
    <pivotField dataField="1" numFmtId="9" showAll="0"/>
    <pivotField dataField="1" numFmtId="9"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1"/>
  </rowFields>
  <rowItems count="2">
    <i>
      <x/>
    </i>
    <i t="grand">
      <x/>
    </i>
  </rowItems>
  <colFields count="1">
    <field x="-2"/>
  </colFields>
  <colItems count="17">
    <i>
      <x/>
    </i>
    <i i="1">
      <x v="1"/>
    </i>
    <i i="2">
      <x v="2"/>
    </i>
    <i i="3">
      <x v="3"/>
    </i>
    <i i="4">
      <x v="4"/>
    </i>
    <i i="5">
      <x v="5"/>
    </i>
    <i i="6">
      <x v="6"/>
    </i>
    <i i="7">
      <x v="7"/>
    </i>
    <i i="8">
      <x v="8"/>
    </i>
    <i i="9">
      <x v="9"/>
    </i>
    <i i="10">
      <x v="10"/>
    </i>
    <i i="11">
      <x v="11"/>
    </i>
    <i i="12">
      <x v="12"/>
    </i>
    <i i="13">
      <x v="13"/>
    </i>
    <i i="14">
      <x v="14"/>
    </i>
    <i i="15">
      <x v="15"/>
    </i>
    <i i="16">
      <x v="16"/>
    </i>
  </colItems>
  <dataFields count="17">
    <dataField name="Sum of Active Client Count" fld="2" baseField="0" baseItem="0"/>
    <dataField name="Sum of Average Client Count" fld="3" baseField="0" baseItem="0"/>
    <dataField name="Sum of New Clients" fld="4" baseField="0" baseItem="0"/>
    <dataField name="Sum of Regular Clients" fld="5" baseField="0" baseItem="0"/>
    <dataField name="Average of Customer" fld="6" subtotal="average" baseField="1" baseItem="0" numFmtId="9"/>
    <dataField name="Average of Relationship " fld="7" subtotal="average" baseField="1" baseItem="0" numFmtId="9"/>
    <dataField name="Average of Management" fld="8" subtotal="average" baseField="1" baseItem="0" numFmtId="9"/>
    <dataField name="Sum of K Point 1" fld="9" baseField="0" baseItem="0"/>
    <dataField name="Sum of K Point 2" fld="10" baseField="0" baseItem="0"/>
    <dataField name="Sum of K Point 3" fld="11" baseField="0" baseItem="0"/>
    <dataField name="Sum of K Point 4" fld="12" baseField="0" baseItem="0"/>
    <dataField name="Sum of K Point 5" fld="13" baseField="0" baseItem="0"/>
    <dataField name="Sum of C Point 1" fld="14" baseField="0" baseItem="0"/>
    <dataField name="Sum of C Point 2" fld="15" baseField="0" baseItem="0"/>
    <dataField name="Sum of C Point 3" fld="16" baseField="0" baseItem="0"/>
    <dataField name="Sum of C Point 4" fld="17" baseField="0" baseItem="0"/>
    <dataField name="Sum of C Point 5"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4C505FD-C5FB-4F62-ABBC-94660353E849}" sourceName="Month">
  <pivotTables>
    <pivotTable tabId="6" name="PivotTable1"/>
  </pivotTables>
  <data>
    <tabular pivotCacheId="1126520768">
      <items count="12">
        <i x="0" s="1"/>
        <i x="1"/>
        <i x="2"/>
        <i x="3"/>
        <i x="4"/>
        <i x="5"/>
        <i x="6"/>
        <i x="7"/>
        <i x="8"/>
        <i x="9"/>
        <i x="10"/>
        <i x="1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A9EF94F-819D-427C-B8B0-AB5E17D36A33}" sourceName="Year">
  <pivotTables>
    <pivotTable tabId="6" name="PivotTable1"/>
    <pivotTable tabId="6" name="PivotTable2"/>
  </pivotTables>
  <data>
    <tabular pivotCacheId="1126520768">
      <items count="4">
        <i x="0"/>
        <i x="1"/>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79F1B23-7500-4B58-B6A9-2B21B344856F}" cache="Slicer_Month" caption="Month" columnCount="12" showCaption="0" style="SlicerStyleLight1 2" rowHeight="247650"/>
  <slicer name="Year" xr10:uid="{2E2891AA-ACE3-470B-BD1F-ED6DF4F2972F}" cache="Slicer_Year" caption="Year" columnCount="4" showCaption="0" style="SlicerStyleLight1 2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3BDF8C55-F9F2-4FE7-A169-54F31F954270}" cache="Slicer_Month" caption="Month" columnCount="12" showCaption="0" style="SlicerStyleLight1 2" rowHeight="247650"/>
  <slicer name="Year 1" xr10:uid="{88E7D0C0-EDC5-463D-8E2D-7DD2529FB15B}" cache="Slicer_Year" caption="Year" columnCount="4" showCaption="0" style="SlicerStyleLight1 2 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A5AFCFE2-E66E-4469-8A62-CC1221F21A9A}" cache="Slicer_Month" caption="Month" columnCount="12" showCaption="0" style="SlicerStyleLight1 2 3" rowHeight="247650"/>
  <slicer name="Year 2" xr10:uid="{B2ACBCFF-A08B-4AC6-8A85-FCB8CFF43BFD}" cache="Slicer_Year" caption="Year" columnCount="4" showCaption="0" style="SlicerStyleLight1 2 2 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31AF0F5B-185A-4D94-AB49-5612CAE3C7E4}" cache="Slicer_Month" caption="Month" columnCount="12" showCaption="0" style="SlicerStyleLight1 2 3" rowHeight="247650"/>
  <slicer name="Year 3" xr10:uid="{3E230BAF-2A9B-4BE9-9109-203763781C23}" cache="Slicer_Year" caption="Year" columnCount="4" showCaption="0" style="SlicerStyleLight1 2 2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47721A-F661-4229-8C2B-946D7BFE6F07}" name="mydata" displayName="mydata" ref="A2:S50" totalsRowShown="0" headerRowDxfId="9">
  <autoFilter ref="A2:S50" xr:uid="{8447721A-F661-4229-8C2B-946D7BFE6F07}"/>
  <tableColumns count="19">
    <tableColumn id="1" xr3:uid="{72C9866D-E5EE-4E89-8BB2-BA5EBA434B25}" name="Year" dataDxfId="8"/>
    <tableColumn id="2" xr3:uid="{F5757D8E-0532-446A-A98C-13CE1DC9184E}" name="Month" dataDxfId="7"/>
    <tableColumn id="3" xr3:uid="{9D76193E-7573-4DBC-B6E6-94D6AEC27839}" name="Active Client Count" dataDxfId="6"/>
    <tableColumn id="4" xr3:uid="{D43F2AFE-C1C2-493C-AD01-00A4EE15215C}" name="Average Client Count" dataDxfId="5"/>
    <tableColumn id="5" xr3:uid="{22F9887A-F809-4E7A-92EB-22B5F7E4ADC5}" name="New Clients" dataDxfId="4"/>
    <tableColumn id="6" xr3:uid="{D63927C9-CD83-4564-8DE1-7C15B491154A}" name="Regular Clients" dataDxfId="3"/>
    <tableColumn id="7" xr3:uid="{054E9ADD-05CA-40D0-9401-689D95FADE5A}" name="Customer" dataDxfId="2"/>
    <tableColumn id="8" xr3:uid="{477D69AA-64AE-4F21-9E06-1D30D2434006}" name="Relationship " dataDxfId="1"/>
    <tableColumn id="9" xr3:uid="{E36A33F1-FDDD-4D2A-B2B5-7259F5B5F2E8}" name="Management" dataDxfId="0"/>
    <tableColumn id="10" xr3:uid="{292AB84A-9581-4202-BA76-63F339FB290F}" name="K Point 1"/>
    <tableColumn id="11" xr3:uid="{FCBF9BF4-B327-4D09-89D7-5DA899F39694}" name="K Point 2"/>
    <tableColumn id="12" xr3:uid="{7C698D9A-820F-458E-AB4F-50D499354517}" name="K Point 3"/>
    <tableColumn id="13" xr3:uid="{2DA151B4-4729-43F6-8909-0572B708F460}" name="K Point 4"/>
    <tableColumn id="14" xr3:uid="{E2A65C1B-2477-40A6-ACC3-896F9D4E0037}" name="K Point 5"/>
    <tableColumn id="15" xr3:uid="{7F472CC7-0590-45C9-8AE5-0EF6367A4DCD}" name="C Point 1"/>
    <tableColumn id="16" xr3:uid="{215DB288-05DD-4271-BAA4-AF2BB867540F}" name="C Point 2"/>
    <tableColumn id="17" xr3:uid="{63A78224-AB1A-4519-A4EF-A76C5F4D3000}" name="C Point 3"/>
    <tableColumn id="18" xr3:uid="{B733E2F3-3848-42C9-A021-28E1F0AF3C80}" name="C Point 4"/>
    <tableColumn id="19" xr3:uid="{F3072ED2-D9E0-4B86-A85E-E19FA6E4AB81}" name="C Point 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F7204-5FE9-4775-BB65-E3C292C15059}">
  <dimension ref="K2:M2"/>
  <sheetViews>
    <sheetView showGridLines="0" showRowColHeaders="0" tabSelected="1" zoomScale="90" zoomScaleNormal="90" workbookViewId="0">
      <selection activeCell="O5" sqref="O5"/>
    </sheetView>
  </sheetViews>
  <sheetFormatPr defaultColWidth="8.85546875" defaultRowHeight="15" x14ac:dyDescent="0.25"/>
  <cols>
    <col min="1" max="16384" width="8.85546875" style="1"/>
  </cols>
  <sheetData>
    <row r="2" spans="11:13" x14ac:dyDescent="0.25">
      <c r="K2" s="27"/>
      <c r="L2" s="27"/>
      <c r="M2" s="27"/>
    </row>
  </sheetData>
  <mergeCells count="1">
    <mergeCell ref="K2:M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A429C-D2EE-478E-BA67-D27FB6AD20E3}">
  <dimension ref="K4:M4"/>
  <sheetViews>
    <sheetView showGridLines="0" showRowColHeaders="0" zoomScale="90" zoomScaleNormal="90" workbookViewId="0">
      <selection activeCell="W45" sqref="W45"/>
    </sheetView>
  </sheetViews>
  <sheetFormatPr defaultColWidth="8.85546875" defaultRowHeight="15" x14ac:dyDescent="0.25"/>
  <cols>
    <col min="1" max="16384" width="8.85546875" style="1"/>
  </cols>
  <sheetData>
    <row r="4" spans="11:13" x14ac:dyDescent="0.25">
      <c r="K4" s="27"/>
      <c r="L4" s="27"/>
      <c r="M4" s="27"/>
    </row>
  </sheetData>
  <mergeCells count="1">
    <mergeCell ref="K4:M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EA19B-7CEE-4D45-B3DE-3C96F2515DD2}">
  <dimension ref="A1"/>
  <sheetViews>
    <sheetView showGridLines="0" showRowColHeaders="0" zoomScale="90" zoomScaleNormal="90" workbookViewId="0">
      <selection activeCell="B7" sqref="B7"/>
    </sheetView>
  </sheetViews>
  <sheetFormatPr defaultColWidth="8.85546875" defaultRowHeight="15" x14ac:dyDescent="0.25"/>
  <cols>
    <col min="1" max="16384" width="8.85546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E817F-DF11-47D1-9E64-AFDEA6AF1C19}">
  <dimension ref="A1"/>
  <sheetViews>
    <sheetView showGridLines="0" showRowColHeaders="0" zoomScale="90" zoomScaleNormal="90" workbookViewId="0">
      <selection activeCell="B7" sqref="B7"/>
    </sheetView>
  </sheetViews>
  <sheetFormatPr defaultColWidth="8.85546875" defaultRowHeight="15" x14ac:dyDescent="0.25"/>
  <cols>
    <col min="1" max="16384" width="8.85546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5E89E-E075-48DA-942E-BBE9FD9BBF2B}">
  <dimension ref="A1:T17"/>
  <sheetViews>
    <sheetView workbookViewId="0">
      <selection activeCell="A16" sqref="A16:D17"/>
    </sheetView>
  </sheetViews>
  <sheetFormatPr defaultRowHeight="15" x14ac:dyDescent="0.25"/>
  <cols>
    <col min="1" max="1" width="8.85546875" style="26"/>
  </cols>
  <sheetData>
    <row r="1" spans="1:20" x14ac:dyDescent="0.25">
      <c r="A1" t="s">
        <v>32</v>
      </c>
      <c r="B1" t="s">
        <v>27</v>
      </c>
      <c r="C1" t="s">
        <v>26</v>
      </c>
      <c r="D1" t="s">
        <v>30</v>
      </c>
      <c r="E1" t="s">
        <v>31</v>
      </c>
      <c r="G1" t="s">
        <v>28</v>
      </c>
      <c r="H1" t="s">
        <v>29</v>
      </c>
      <c r="I1" t="s">
        <v>33</v>
      </c>
      <c r="J1" t="s">
        <v>20</v>
      </c>
      <c r="K1" t="s">
        <v>22</v>
      </c>
      <c r="L1" t="s">
        <v>23</v>
      </c>
      <c r="M1" t="s">
        <v>19</v>
      </c>
      <c r="N1" t="s">
        <v>21</v>
      </c>
      <c r="P1" t="s">
        <v>34</v>
      </c>
      <c r="Q1" t="s">
        <v>12</v>
      </c>
      <c r="R1" t="s">
        <v>18</v>
      </c>
    </row>
    <row r="2" spans="1:20" x14ac:dyDescent="0.25">
      <c r="A2" s="2" t="s">
        <v>0</v>
      </c>
      <c r="B2">
        <f>GETPIVOTDATA(""&amp;B$1,Control!$A$20,"Month",""&amp;$A2)</f>
        <v>612</v>
      </c>
      <c r="C2">
        <f>GETPIVOTDATA(""&amp;C$1,Control!$A$20,"Month",""&amp;$A2)</f>
        <v>520</v>
      </c>
      <c r="D2">
        <f>IFERROR(GETPIVOTDATA(""&amp;B$1,Control!$A$3,"Month",""&amp;$A2),NA())</f>
        <v>612</v>
      </c>
      <c r="E2">
        <f>IFERROR(GETPIVOTDATA(""&amp;C$1,Control!$A$3,"Month",""&amp;$A2),NA())</f>
        <v>520</v>
      </c>
      <c r="G2">
        <f>GETPIVOTDATA(""&amp;G$1,Control!$A$20,"Month",""&amp;$I2)</f>
        <v>907</v>
      </c>
      <c r="H2">
        <f>GETPIVOTDATA(""&amp;H$1,Control!$A$20,"Month",""&amp;$I2)</f>
        <v>740</v>
      </c>
      <c r="I2" s="2" t="s">
        <v>0</v>
      </c>
      <c r="J2" s="2">
        <f>G2+H2</f>
        <v>1647</v>
      </c>
      <c r="K2">
        <f>IF(ISNA(D2),D2,G2)</f>
        <v>907</v>
      </c>
      <c r="L2">
        <f>IF(ISNA(E2),E2,H2)</f>
        <v>740</v>
      </c>
      <c r="M2">
        <f>$M$14</f>
        <v>55.5</v>
      </c>
      <c r="N2">
        <f>IF(ISNA(E2),E2,M2)</f>
        <v>55.5</v>
      </c>
      <c r="P2" t="s">
        <v>13</v>
      </c>
      <c r="Q2">
        <f>GETPIVOTDATA(LEFT(Q$1,1)&amp;" "&amp;$P2,Control!$A$3)</f>
        <v>21331</v>
      </c>
      <c r="R2">
        <f>GETPIVOTDATA(LEFT(R$1,1)&amp;" "&amp;$P2,Control!$A$3)</f>
        <v>33169</v>
      </c>
    </row>
    <row r="3" spans="1:20" x14ac:dyDescent="0.25">
      <c r="A3" s="2" t="s">
        <v>1</v>
      </c>
      <c r="B3">
        <f>GETPIVOTDATA(""&amp;B$1,Control!$A$20,"Month",""&amp;$A3)</f>
        <v>815</v>
      </c>
      <c r="C3">
        <f>GETPIVOTDATA(""&amp;C$1,Control!$A$20,"Month",""&amp;$A3)</f>
        <v>670</v>
      </c>
      <c r="D3" t="e">
        <f>IFERROR(GETPIVOTDATA(""&amp;B$1,Control!$A$3,"Month",""&amp;$A3),NA())</f>
        <v>#N/A</v>
      </c>
      <c r="E3" t="e">
        <f>IFERROR(GETPIVOTDATA(""&amp;C$1,Control!$A$3,"Month",""&amp;$A3),NA())</f>
        <v>#N/A</v>
      </c>
      <c r="G3">
        <f>GETPIVOTDATA(""&amp;G$1,Control!$A$20,"Month",""&amp;$I3)</f>
        <v>770</v>
      </c>
      <c r="H3">
        <f>GETPIVOTDATA(""&amp;H$1,Control!$A$20,"Month",""&amp;$I3)</f>
        <v>850</v>
      </c>
      <c r="I3" s="2" t="s">
        <v>1</v>
      </c>
      <c r="J3" s="2">
        <f t="shared" ref="J3:J13" si="0">G3+H3</f>
        <v>1620</v>
      </c>
      <c r="K3" t="e">
        <f t="shared" ref="K3:L13" si="1">IF(ISNA(D3),D3,G3)</f>
        <v>#N/A</v>
      </c>
      <c r="L3" t="e">
        <f t="shared" si="1"/>
        <v>#N/A</v>
      </c>
      <c r="M3">
        <f t="shared" ref="M3:M13" si="2">$M$14</f>
        <v>55.5</v>
      </c>
      <c r="N3" t="e">
        <f t="shared" ref="N3:N13" si="3">IF(ISNA(E3),E3,M3)</f>
        <v>#N/A</v>
      </c>
      <c r="P3" t="s">
        <v>14</v>
      </c>
      <c r="Q3">
        <f>GETPIVOTDATA(LEFT(Q$1,1)&amp;" "&amp;$P3,Control!$A$3)</f>
        <v>32190</v>
      </c>
      <c r="R3">
        <f>GETPIVOTDATA(LEFT(R$1,1)&amp;" "&amp;$P3,Control!$A$3)</f>
        <v>23348</v>
      </c>
    </row>
    <row r="4" spans="1:20" x14ac:dyDescent="0.25">
      <c r="A4" s="2" t="s">
        <v>2</v>
      </c>
      <c r="B4">
        <f>GETPIVOTDATA(""&amp;B$1,Control!$A$20,"Month",""&amp;$A4)</f>
        <v>851</v>
      </c>
      <c r="C4">
        <f>GETPIVOTDATA(""&amp;C$1,Control!$A$20,"Month",""&amp;$A4)</f>
        <v>850</v>
      </c>
      <c r="D4" t="e">
        <f>IFERROR(GETPIVOTDATA(""&amp;B$1,Control!$A$3,"Month",""&amp;$A4),NA())</f>
        <v>#N/A</v>
      </c>
      <c r="E4" t="e">
        <f>IFERROR(GETPIVOTDATA(""&amp;C$1,Control!$A$3,"Month",""&amp;$A4),NA())</f>
        <v>#N/A</v>
      </c>
      <c r="G4">
        <f>GETPIVOTDATA(""&amp;G$1,Control!$A$20,"Month",""&amp;$I4)</f>
        <v>1056</v>
      </c>
      <c r="H4">
        <f>GETPIVOTDATA(""&amp;H$1,Control!$A$20,"Month",""&amp;$I4)</f>
        <v>898</v>
      </c>
      <c r="I4" s="2" t="s">
        <v>2</v>
      </c>
      <c r="J4" s="2">
        <f t="shared" si="0"/>
        <v>1954</v>
      </c>
      <c r="K4" t="e">
        <f t="shared" si="1"/>
        <v>#N/A</v>
      </c>
      <c r="L4" t="e">
        <f t="shared" si="1"/>
        <v>#N/A</v>
      </c>
      <c r="M4">
        <f t="shared" si="2"/>
        <v>55.5</v>
      </c>
      <c r="N4" t="e">
        <f t="shared" si="3"/>
        <v>#N/A</v>
      </c>
      <c r="P4" t="s">
        <v>15</v>
      </c>
      <c r="Q4">
        <f>GETPIVOTDATA(LEFT(Q$1,1)&amp;" "&amp;$P4,Control!$A$3)</f>
        <v>34484</v>
      </c>
      <c r="R4">
        <f>GETPIVOTDATA(LEFT(R$1,1)&amp;" "&amp;$P4,Control!$A$3)</f>
        <v>24244</v>
      </c>
    </row>
    <row r="5" spans="1:20" x14ac:dyDescent="0.25">
      <c r="A5" s="2" t="s">
        <v>3</v>
      </c>
      <c r="B5">
        <f>GETPIVOTDATA(""&amp;B$1,Control!$A$20,"Month",""&amp;$A5)</f>
        <v>755</v>
      </c>
      <c r="C5">
        <f>GETPIVOTDATA(""&amp;C$1,Control!$A$20,"Month",""&amp;$A5)</f>
        <v>1030</v>
      </c>
      <c r="D5" t="e">
        <f>IFERROR(GETPIVOTDATA(""&amp;B$1,Control!$A$3,"Month",""&amp;$A5),NA())</f>
        <v>#N/A</v>
      </c>
      <c r="E5" t="e">
        <f>IFERROR(GETPIVOTDATA(""&amp;C$1,Control!$A$3,"Month",""&amp;$A5),NA())</f>
        <v>#N/A</v>
      </c>
      <c r="G5">
        <f>GETPIVOTDATA(""&amp;G$1,Control!$A$20,"Month",""&amp;$I5)</f>
        <v>1110</v>
      </c>
      <c r="H5">
        <f>GETPIVOTDATA(""&amp;H$1,Control!$A$20,"Month",""&amp;$I5)</f>
        <v>809</v>
      </c>
      <c r="I5" s="2" t="s">
        <v>3</v>
      </c>
      <c r="J5" s="2">
        <f t="shared" si="0"/>
        <v>1919</v>
      </c>
      <c r="K5" t="e">
        <f t="shared" si="1"/>
        <v>#N/A</v>
      </c>
      <c r="L5" t="e">
        <f t="shared" si="1"/>
        <v>#N/A</v>
      </c>
      <c r="M5">
        <f t="shared" si="2"/>
        <v>55.5</v>
      </c>
      <c r="N5" t="e">
        <f t="shared" si="3"/>
        <v>#N/A</v>
      </c>
      <c r="P5" t="s">
        <v>16</v>
      </c>
      <c r="Q5">
        <f>GETPIVOTDATA(LEFT(Q$1,1)&amp;" "&amp;$P5,Control!$A$3)</f>
        <v>39213</v>
      </c>
      <c r="R5">
        <f>GETPIVOTDATA(LEFT(R$1,1)&amp;" "&amp;$P5,Control!$A$3)</f>
        <v>26367</v>
      </c>
    </row>
    <row r="6" spans="1:20" x14ac:dyDescent="0.25">
      <c r="A6" s="2" t="s">
        <v>4</v>
      </c>
      <c r="B6">
        <f>GETPIVOTDATA(""&amp;B$1,Control!$A$20,"Month",""&amp;$A6)</f>
        <v>598</v>
      </c>
      <c r="C6">
        <f>GETPIVOTDATA(""&amp;C$1,Control!$A$20,"Month",""&amp;$A6)</f>
        <v>1075</v>
      </c>
      <c r="D6" t="e">
        <f>IFERROR(GETPIVOTDATA(""&amp;B$1,Control!$A$3,"Month",""&amp;$A6),NA())</f>
        <v>#N/A</v>
      </c>
      <c r="E6" t="e">
        <f>IFERROR(GETPIVOTDATA(""&amp;C$1,Control!$A$3,"Month",""&amp;$A6),NA())</f>
        <v>#N/A</v>
      </c>
      <c r="G6">
        <f>GETPIVOTDATA(""&amp;G$1,Control!$A$20,"Month",""&amp;$I6)</f>
        <v>967</v>
      </c>
      <c r="H6">
        <f>GETPIVOTDATA(""&amp;H$1,Control!$A$20,"Month",""&amp;$I6)</f>
        <v>657</v>
      </c>
      <c r="I6" s="2" t="s">
        <v>4</v>
      </c>
      <c r="J6" s="2">
        <f t="shared" si="0"/>
        <v>1624</v>
      </c>
      <c r="K6" t="e">
        <f t="shared" si="1"/>
        <v>#N/A</v>
      </c>
      <c r="L6" t="e">
        <f t="shared" si="1"/>
        <v>#N/A</v>
      </c>
      <c r="M6">
        <f t="shared" si="2"/>
        <v>55.5</v>
      </c>
      <c r="N6" t="e">
        <f t="shared" si="3"/>
        <v>#N/A</v>
      </c>
      <c r="P6" t="s">
        <v>17</v>
      </c>
      <c r="Q6">
        <f>GETPIVOTDATA(LEFT(Q$1,1)&amp;" "&amp;$P6,Control!$A$3)</f>
        <v>34138</v>
      </c>
      <c r="R6">
        <f>GETPIVOTDATA(LEFT(R$1,1)&amp;" "&amp;$P6,Control!$A$3)</f>
        <v>30946</v>
      </c>
    </row>
    <row r="7" spans="1:20" x14ac:dyDescent="0.25">
      <c r="A7" s="2" t="s">
        <v>5</v>
      </c>
      <c r="B7">
        <f>GETPIVOTDATA(""&amp;B$1,Control!$A$20,"Month",""&amp;$A7)</f>
        <v>470</v>
      </c>
      <c r="C7">
        <f>GETPIVOTDATA(""&amp;C$1,Control!$A$20,"Month",""&amp;$A7)</f>
        <v>980</v>
      </c>
      <c r="D7" t="e">
        <f>IFERROR(GETPIVOTDATA(""&amp;B$1,Control!$A$3,"Month",""&amp;$A7),NA())</f>
        <v>#N/A</v>
      </c>
      <c r="E7" t="e">
        <f>IFERROR(GETPIVOTDATA(""&amp;C$1,Control!$A$3,"Month",""&amp;$A7),NA())</f>
        <v>#N/A</v>
      </c>
      <c r="G7">
        <f>GETPIVOTDATA(""&amp;G$1,Control!$A$20,"Month",""&amp;$I7)</f>
        <v>522</v>
      </c>
      <c r="H7">
        <f>GETPIVOTDATA(""&amp;H$1,Control!$A$20,"Month",""&amp;$I7)</f>
        <v>580</v>
      </c>
      <c r="I7" s="2" t="s">
        <v>5</v>
      </c>
      <c r="J7" s="2">
        <f t="shared" si="0"/>
        <v>1102</v>
      </c>
      <c r="K7" t="e">
        <f t="shared" si="1"/>
        <v>#N/A</v>
      </c>
      <c r="L7" t="e">
        <f t="shared" si="1"/>
        <v>#N/A</v>
      </c>
      <c r="M7">
        <f t="shared" si="2"/>
        <v>55.5</v>
      </c>
      <c r="N7" t="e">
        <f t="shared" si="3"/>
        <v>#N/A</v>
      </c>
    </row>
    <row r="8" spans="1:20" x14ac:dyDescent="0.25">
      <c r="A8" s="2" t="s">
        <v>6</v>
      </c>
      <c r="B8">
        <f>GETPIVOTDATA(""&amp;B$1,Control!$A$20,"Month",""&amp;$A8)</f>
        <v>545</v>
      </c>
      <c r="C8">
        <f>GETPIVOTDATA(""&amp;C$1,Control!$A$20,"Month",""&amp;$A8)</f>
        <v>810</v>
      </c>
      <c r="D8" t="e">
        <f>IFERROR(GETPIVOTDATA(""&amp;B$1,Control!$A$3,"Month",""&amp;$A8),NA())</f>
        <v>#N/A</v>
      </c>
      <c r="E8" t="e">
        <f>IFERROR(GETPIVOTDATA(""&amp;C$1,Control!$A$3,"Month",""&amp;$A8),NA())</f>
        <v>#N/A</v>
      </c>
      <c r="G8">
        <f>GETPIVOTDATA(""&amp;G$1,Control!$A$20,"Month",""&amp;$I8)</f>
        <v>448</v>
      </c>
      <c r="H8">
        <f>GETPIVOTDATA(""&amp;H$1,Control!$A$20,"Month",""&amp;$I8)</f>
        <v>614</v>
      </c>
      <c r="I8" s="2" t="s">
        <v>6</v>
      </c>
      <c r="J8" s="2">
        <f t="shared" si="0"/>
        <v>1062</v>
      </c>
      <c r="K8" t="e">
        <f t="shared" si="1"/>
        <v>#N/A</v>
      </c>
      <c r="L8" t="e">
        <f t="shared" si="1"/>
        <v>#N/A</v>
      </c>
      <c r="M8">
        <f t="shared" si="2"/>
        <v>55.5</v>
      </c>
      <c r="N8" t="e">
        <f t="shared" si="3"/>
        <v>#N/A</v>
      </c>
    </row>
    <row r="9" spans="1:20" x14ac:dyDescent="0.25">
      <c r="A9" s="2" t="s">
        <v>7</v>
      </c>
      <c r="B9">
        <f>GETPIVOTDATA(""&amp;B$1,Control!$A$20,"Month",""&amp;$A9)</f>
        <v>990</v>
      </c>
      <c r="C9">
        <f>GETPIVOTDATA(""&amp;C$1,Control!$A$20,"Month",""&amp;$A9)</f>
        <v>640</v>
      </c>
      <c r="D9" t="e">
        <f>IFERROR(GETPIVOTDATA(""&amp;B$1,Control!$A$3,"Month",""&amp;$A9),NA())</f>
        <v>#N/A</v>
      </c>
      <c r="E9" t="e">
        <f>IFERROR(GETPIVOTDATA(""&amp;C$1,Control!$A$3,"Month",""&amp;$A9),NA())</f>
        <v>#N/A</v>
      </c>
      <c r="G9">
        <f>GETPIVOTDATA(""&amp;G$1,Control!$A$20,"Month",""&amp;$I9)</f>
        <v>571</v>
      </c>
      <c r="H9">
        <f>GETPIVOTDATA(""&amp;H$1,Control!$A$20,"Month",""&amp;$I9)</f>
        <v>735</v>
      </c>
      <c r="I9" s="2" t="s">
        <v>7</v>
      </c>
      <c r="J9" s="2">
        <f t="shared" si="0"/>
        <v>1306</v>
      </c>
      <c r="K9" t="e">
        <f t="shared" si="1"/>
        <v>#N/A</v>
      </c>
      <c r="L9" t="e">
        <f t="shared" si="1"/>
        <v>#N/A</v>
      </c>
      <c r="M9">
        <f t="shared" si="2"/>
        <v>55.5</v>
      </c>
      <c r="N9" t="e">
        <f t="shared" si="3"/>
        <v>#N/A</v>
      </c>
      <c r="S9" s="2" t="s">
        <v>24</v>
      </c>
      <c r="T9" s="2" t="s">
        <v>25</v>
      </c>
    </row>
    <row r="10" spans="1:20" x14ac:dyDescent="0.25">
      <c r="A10" s="2" t="s">
        <v>8</v>
      </c>
      <c r="B10">
        <f>GETPIVOTDATA(""&amp;B$1,Control!$A$20,"Month",""&amp;$A10)</f>
        <v>1135</v>
      </c>
      <c r="C10">
        <f>GETPIVOTDATA(""&amp;C$1,Control!$A$20,"Month",""&amp;$A10)</f>
        <v>500</v>
      </c>
      <c r="D10" t="e">
        <f>IFERROR(GETPIVOTDATA(""&amp;B$1,Control!$A$3,"Month",""&amp;$A10),NA())</f>
        <v>#N/A</v>
      </c>
      <c r="E10" t="e">
        <f>IFERROR(GETPIVOTDATA(""&amp;C$1,Control!$A$3,"Month",""&amp;$A10),NA())</f>
        <v>#N/A</v>
      </c>
      <c r="G10">
        <f>GETPIVOTDATA(""&amp;G$1,Control!$A$20,"Month",""&amp;$I10)</f>
        <v>732</v>
      </c>
      <c r="H10">
        <f>GETPIVOTDATA(""&amp;H$1,Control!$A$20,"Month",""&amp;$I10)</f>
        <v>786</v>
      </c>
      <c r="I10" s="2" t="s">
        <v>8</v>
      </c>
      <c r="J10" s="2">
        <f t="shared" si="0"/>
        <v>1518</v>
      </c>
      <c r="K10" t="e">
        <f t="shared" si="1"/>
        <v>#N/A</v>
      </c>
      <c r="L10" t="e">
        <f t="shared" si="1"/>
        <v>#N/A</v>
      </c>
      <c r="M10">
        <f t="shared" si="2"/>
        <v>55.5</v>
      </c>
      <c r="N10" t="e">
        <f t="shared" si="3"/>
        <v>#N/A</v>
      </c>
      <c r="S10" s="2">
        <v>0.95</v>
      </c>
      <c r="T10" s="2">
        <v>0.95</v>
      </c>
    </row>
    <row r="11" spans="1:20" x14ac:dyDescent="0.25">
      <c r="A11" s="2" t="s">
        <v>9</v>
      </c>
      <c r="B11">
        <f>GETPIVOTDATA(""&amp;B$1,Control!$A$20,"Month",""&amp;$A11)</f>
        <v>1080</v>
      </c>
      <c r="C11">
        <f>GETPIVOTDATA(""&amp;C$1,Control!$A$20,"Month",""&amp;$A11)</f>
        <v>620</v>
      </c>
      <c r="D11" t="e">
        <f>IFERROR(GETPIVOTDATA(""&amp;B$1,Control!$A$3,"Month",""&amp;$A11),NA())</f>
        <v>#N/A</v>
      </c>
      <c r="E11" t="e">
        <f>IFERROR(GETPIVOTDATA(""&amp;C$1,Control!$A$3,"Month",""&amp;$A11),NA())</f>
        <v>#N/A</v>
      </c>
      <c r="G11">
        <f>GETPIVOTDATA(""&amp;G$1,Control!$A$20,"Month",""&amp;$I11)</f>
        <v>843</v>
      </c>
      <c r="H11">
        <f>GETPIVOTDATA(""&amp;H$1,Control!$A$20,"Month",""&amp;$I11)</f>
        <v>687</v>
      </c>
      <c r="I11" s="2" t="s">
        <v>9</v>
      </c>
      <c r="J11" s="2">
        <f t="shared" si="0"/>
        <v>1530</v>
      </c>
      <c r="K11" t="e">
        <f t="shared" si="1"/>
        <v>#N/A</v>
      </c>
      <c r="L11" t="e">
        <f t="shared" si="1"/>
        <v>#N/A</v>
      </c>
      <c r="M11">
        <f t="shared" si="2"/>
        <v>55.5</v>
      </c>
      <c r="N11" t="e">
        <f t="shared" si="3"/>
        <v>#N/A</v>
      </c>
      <c r="P11" s="25" t="s">
        <v>35</v>
      </c>
      <c r="Q11" s="3">
        <f>GETPIVOTDATA(""&amp;P11,Control!$A$3)</f>
        <v>0.1</v>
      </c>
      <c r="R11" s="4">
        <f>100%-Q11</f>
        <v>0.9</v>
      </c>
      <c r="S11">
        <f>SIN((Q11+8.3%)*2*PI())*$S$10</f>
        <v>0.86705700803332753</v>
      </c>
      <c r="T11">
        <f>COS((R11-8.3%)*2*PI())*$T$10</f>
        <v>0.3882166209995318</v>
      </c>
    </row>
    <row r="12" spans="1:20" x14ac:dyDescent="0.25">
      <c r="A12" s="2" t="s">
        <v>10</v>
      </c>
      <c r="B12">
        <f>GETPIVOTDATA(""&amp;B$1,Control!$A$20,"Month",""&amp;$A12)</f>
        <v>955</v>
      </c>
      <c r="C12">
        <f>GETPIVOTDATA(""&amp;C$1,Control!$A$20,"Month",""&amp;$A12)</f>
        <v>800</v>
      </c>
      <c r="D12" t="e">
        <f>IFERROR(GETPIVOTDATA(""&amp;B$1,Control!$A$3,"Month",""&amp;$A12),NA())</f>
        <v>#N/A</v>
      </c>
      <c r="E12" t="e">
        <f>IFERROR(GETPIVOTDATA(""&amp;C$1,Control!$A$3,"Month",""&amp;$A12),NA())</f>
        <v>#N/A</v>
      </c>
      <c r="G12">
        <f>GETPIVOTDATA(""&amp;G$1,Control!$A$20,"Month",""&amp;$I12)</f>
        <v>811</v>
      </c>
      <c r="H12">
        <f>GETPIVOTDATA(""&amp;H$1,Control!$A$20,"Month",""&amp;$I12)</f>
        <v>626</v>
      </c>
      <c r="I12" s="2" t="s">
        <v>10</v>
      </c>
      <c r="J12" s="2">
        <f t="shared" si="0"/>
        <v>1437</v>
      </c>
      <c r="K12" t="e">
        <f t="shared" si="1"/>
        <v>#N/A</v>
      </c>
      <c r="L12" t="e">
        <f t="shared" si="1"/>
        <v>#N/A</v>
      </c>
      <c r="M12">
        <f t="shared" si="2"/>
        <v>55.5</v>
      </c>
      <c r="N12" t="e">
        <f t="shared" si="3"/>
        <v>#N/A</v>
      </c>
      <c r="P12" s="25" t="s">
        <v>36</v>
      </c>
      <c r="Q12" s="3">
        <f>GETPIVOTDATA(""&amp;P12,Control!$A$3)</f>
        <v>0.13</v>
      </c>
      <c r="R12" s="4">
        <f t="shared" ref="R12" si="4">100%-Q12</f>
        <v>0.87</v>
      </c>
      <c r="S12">
        <f>SIN((Q12+8.3%)*2*PI())*$S$10</f>
        <v>0.9244435854330203</v>
      </c>
      <c r="T12">
        <f>COS((R12-8.3%)*2*PI())*$T$10</f>
        <v>0.21886995534276146</v>
      </c>
    </row>
    <row r="13" spans="1:20" x14ac:dyDescent="0.25">
      <c r="A13" s="2" t="s">
        <v>11</v>
      </c>
      <c r="B13">
        <f>GETPIVOTDATA(""&amp;B$1,Control!$A$20,"Month",""&amp;$A13)</f>
        <v>930</v>
      </c>
      <c r="C13">
        <f>GETPIVOTDATA(""&amp;C$1,Control!$A$20,"Month",""&amp;$A13)</f>
        <v>950</v>
      </c>
      <c r="D13" t="e">
        <f>IFERROR(GETPIVOTDATA(""&amp;B$1,Control!$A$3,"Month",""&amp;$A13),NA())</f>
        <v>#N/A</v>
      </c>
      <c r="E13" t="e">
        <f>IFERROR(GETPIVOTDATA(""&amp;C$1,Control!$A$3,"Month",""&amp;$A13),NA())</f>
        <v>#N/A</v>
      </c>
      <c r="G13">
        <f>GETPIVOTDATA(""&amp;G$1,Control!$A$20,"Month",""&amp;$I13)</f>
        <v>590</v>
      </c>
      <c r="H13">
        <f>GETPIVOTDATA(""&amp;H$1,Control!$A$20,"Month",""&amp;$I13)</f>
        <v>675</v>
      </c>
      <c r="I13" s="2" t="s">
        <v>11</v>
      </c>
      <c r="J13" s="2">
        <f t="shared" si="0"/>
        <v>1265</v>
      </c>
      <c r="K13" t="e">
        <f t="shared" si="1"/>
        <v>#N/A</v>
      </c>
      <c r="L13" t="e">
        <f t="shared" si="1"/>
        <v>#N/A</v>
      </c>
      <c r="M13">
        <f t="shared" si="2"/>
        <v>55.5</v>
      </c>
      <c r="N13" t="e">
        <f t="shared" si="3"/>
        <v>#N/A</v>
      </c>
      <c r="P13" s="25" t="s">
        <v>37</v>
      </c>
      <c r="Q13" s="3">
        <f>GETPIVOTDATA(""&amp;P13,Control!$A$3)</f>
        <v>0.08</v>
      </c>
      <c r="R13" s="4">
        <f>100%-Q13</f>
        <v>0.92</v>
      </c>
      <c r="S13">
        <f>SIN((Q13+8.3%)*2*PI())*$S$10</f>
        <v>0.8115635601143304</v>
      </c>
      <c r="T13">
        <f>COS((R13-8.3%)*2*PI())*$T$10</f>
        <v>0.49382647548967434</v>
      </c>
    </row>
    <row r="14" spans="1:20" x14ac:dyDescent="0.25">
      <c r="A14"/>
      <c r="C14" t="s">
        <v>20</v>
      </c>
      <c r="D14" s="5" cm="1">
        <f t="array" ref="D14">SUM(IFERROR(D2:D13,0))</f>
        <v>612</v>
      </c>
      <c r="E14" s="5" cm="1">
        <f t="array" ref="E14">SUM(IFERROR(E2:E13,0))</f>
        <v>520</v>
      </c>
      <c r="J14" t="s">
        <v>20</v>
      </c>
      <c r="K14" s="5" cm="1">
        <f t="array" ref="K14">SUM(IFERROR(K2:K13,0))</f>
        <v>907</v>
      </c>
      <c r="L14" s="5" cm="1">
        <f t="array" ref="L14">SUM(IFERROR(L2:L13,0))</f>
        <v>740</v>
      </c>
      <c r="M14">
        <f>MAX(G2:H13)*5%</f>
        <v>55.5</v>
      </c>
    </row>
    <row r="16" spans="1:20" ht="15" customHeight="1" x14ac:dyDescent="0.25">
      <c r="B16" s="26"/>
      <c r="C16" s="26"/>
      <c r="D16" s="26"/>
    </row>
    <row r="17" spans="2:4" ht="15" customHeight="1" x14ac:dyDescent="0.25">
      <c r="B17" s="26"/>
      <c r="C17" s="26"/>
      <c r="D17" s="26"/>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4AA92-B5D3-4D58-BD0A-0DA6DECD74CC}">
  <dimension ref="A1:R33"/>
  <sheetViews>
    <sheetView workbookViewId="0"/>
  </sheetViews>
  <sheetFormatPr defaultRowHeight="15" x14ac:dyDescent="0.25"/>
  <cols>
    <col min="1" max="1" width="13.42578125" bestFit="1" customWidth="1"/>
    <col min="2" max="2" width="25.85546875" bestFit="1" customWidth="1"/>
    <col min="3" max="3" width="27.42578125" bestFit="1" customWidth="1"/>
    <col min="4" max="4" width="19" bestFit="1" customWidth="1"/>
    <col min="5" max="5" width="22" bestFit="1" customWidth="1"/>
    <col min="6" max="6" width="20.140625" bestFit="1" customWidth="1"/>
    <col min="7" max="7" width="23.140625" bestFit="1" customWidth="1"/>
    <col min="8" max="8" width="22.85546875" bestFit="1" customWidth="1"/>
    <col min="9" max="13" width="15.5703125" bestFit="1" customWidth="1"/>
    <col min="14" max="18" width="15.85546875" bestFit="1" customWidth="1"/>
  </cols>
  <sheetData>
    <row r="1" spans="1:18" ht="15" customHeight="1" x14ac:dyDescent="0.25"/>
    <row r="2" spans="1:18" ht="15" customHeight="1" x14ac:dyDescent="0.25"/>
    <row r="3" spans="1:18" x14ac:dyDescent="0.25">
      <c r="A3" s="9" t="s">
        <v>51</v>
      </c>
      <c r="B3" t="s">
        <v>53</v>
      </c>
      <c r="C3" t="s">
        <v>54</v>
      </c>
      <c r="D3" t="s">
        <v>55</v>
      </c>
      <c r="E3" t="s">
        <v>56</v>
      </c>
      <c r="F3" t="s">
        <v>67</v>
      </c>
      <c r="G3" t="s">
        <v>68</v>
      </c>
      <c r="H3" t="s">
        <v>69</v>
      </c>
      <c r="I3" t="s">
        <v>57</v>
      </c>
      <c r="J3" t="s">
        <v>58</v>
      </c>
      <c r="K3" t="s">
        <v>59</v>
      </c>
      <c r="L3" t="s">
        <v>60</v>
      </c>
      <c r="M3" t="s">
        <v>61</v>
      </c>
      <c r="N3" t="s">
        <v>62</v>
      </c>
      <c r="O3" t="s">
        <v>63</v>
      </c>
      <c r="P3" t="s">
        <v>64</v>
      </c>
      <c r="Q3" t="s">
        <v>65</v>
      </c>
      <c r="R3" t="s">
        <v>66</v>
      </c>
    </row>
    <row r="4" spans="1:18" x14ac:dyDescent="0.25">
      <c r="A4" s="10" t="s">
        <v>0</v>
      </c>
      <c r="B4" s="29">
        <v>612</v>
      </c>
      <c r="C4" s="29">
        <v>520</v>
      </c>
      <c r="D4" s="29">
        <v>907</v>
      </c>
      <c r="E4" s="29">
        <v>740</v>
      </c>
      <c r="F4" s="3">
        <v>0.1</v>
      </c>
      <c r="G4" s="3">
        <v>0.13</v>
      </c>
      <c r="H4" s="3">
        <v>0.08</v>
      </c>
      <c r="I4" s="29">
        <v>21331</v>
      </c>
      <c r="J4" s="29">
        <v>32190</v>
      </c>
      <c r="K4" s="29">
        <v>34484</v>
      </c>
      <c r="L4" s="29">
        <v>39213</v>
      </c>
      <c r="M4" s="29">
        <v>34138</v>
      </c>
      <c r="N4" s="29">
        <v>33169</v>
      </c>
      <c r="O4" s="29">
        <v>23348</v>
      </c>
      <c r="P4" s="29">
        <v>24244</v>
      </c>
      <c r="Q4" s="29">
        <v>26367</v>
      </c>
      <c r="R4" s="29">
        <v>30946</v>
      </c>
    </row>
    <row r="5" spans="1:18" x14ac:dyDescent="0.25">
      <c r="A5" s="10" t="s">
        <v>52</v>
      </c>
      <c r="B5" s="29">
        <v>612</v>
      </c>
      <c r="C5" s="29">
        <v>520</v>
      </c>
      <c r="D5" s="29">
        <v>907</v>
      </c>
      <c r="E5" s="29">
        <v>740</v>
      </c>
      <c r="F5" s="3">
        <v>0.1</v>
      </c>
      <c r="G5" s="3">
        <v>0.13</v>
      </c>
      <c r="H5" s="3">
        <v>0.08</v>
      </c>
      <c r="I5" s="29">
        <v>21331</v>
      </c>
      <c r="J5" s="29">
        <v>32190</v>
      </c>
      <c r="K5" s="29">
        <v>34484</v>
      </c>
      <c r="L5" s="29">
        <v>39213</v>
      </c>
      <c r="M5" s="29">
        <v>34138</v>
      </c>
      <c r="N5" s="29">
        <v>33169</v>
      </c>
      <c r="O5" s="29">
        <v>23348</v>
      </c>
      <c r="P5" s="29">
        <v>24244</v>
      </c>
      <c r="Q5" s="29">
        <v>26367</v>
      </c>
      <c r="R5" s="29">
        <v>30946</v>
      </c>
    </row>
    <row r="20" spans="1:5" x14ac:dyDescent="0.25">
      <c r="A20" s="9" t="s">
        <v>51</v>
      </c>
      <c r="B20" t="s">
        <v>53</v>
      </c>
      <c r="C20" t="s">
        <v>54</v>
      </c>
      <c r="D20" t="s">
        <v>55</v>
      </c>
      <c r="E20" t="s">
        <v>56</v>
      </c>
    </row>
    <row r="21" spans="1:5" x14ac:dyDescent="0.25">
      <c r="A21" s="10" t="s">
        <v>0</v>
      </c>
      <c r="B21" s="29">
        <v>612</v>
      </c>
      <c r="C21" s="29">
        <v>520</v>
      </c>
      <c r="D21" s="29">
        <v>907</v>
      </c>
      <c r="E21" s="29">
        <v>740</v>
      </c>
    </row>
    <row r="22" spans="1:5" x14ac:dyDescent="0.25">
      <c r="A22" s="10" t="s">
        <v>1</v>
      </c>
      <c r="B22" s="29">
        <v>815</v>
      </c>
      <c r="C22" s="29">
        <v>670</v>
      </c>
      <c r="D22" s="29">
        <v>770</v>
      </c>
      <c r="E22" s="29">
        <v>850</v>
      </c>
    </row>
    <row r="23" spans="1:5" x14ac:dyDescent="0.25">
      <c r="A23" s="10" t="s">
        <v>2</v>
      </c>
      <c r="B23" s="29">
        <v>851</v>
      </c>
      <c r="C23" s="29">
        <v>850</v>
      </c>
      <c r="D23" s="29">
        <v>1056</v>
      </c>
      <c r="E23" s="29">
        <v>898</v>
      </c>
    </row>
    <row r="24" spans="1:5" x14ac:dyDescent="0.25">
      <c r="A24" s="10" t="s">
        <v>3</v>
      </c>
      <c r="B24" s="29">
        <v>755</v>
      </c>
      <c r="C24" s="29">
        <v>1030</v>
      </c>
      <c r="D24" s="29">
        <v>1110</v>
      </c>
      <c r="E24" s="29">
        <v>809</v>
      </c>
    </row>
    <row r="25" spans="1:5" x14ac:dyDescent="0.25">
      <c r="A25" s="10" t="s">
        <v>4</v>
      </c>
      <c r="B25" s="29">
        <v>598</v>
      </c>
      <c r="C25" s="29">
        <v>1075</v>
      </c>
      <c r="D25" s="29">
        <v>967</v>
      </c>
      <c r="E25" s="29">
        <v>657</v>
      </c>
    </row>
    <row r="26" spans="1:5" x14ac:dyDescent="0.25">
      <c r="A26" s="10" t="s">
        <v>5</v>
      </c>
      <c r="B26" s="29">
        <v>470</v>
      </c>
      <c r="C26" s="29">
        <v>980</v>
      </c>
      <c r="D26" s="29">
        <v>522</v>
      </c>
      <c r="E26" s="29">
        <v>580</v>
      </c>
    </row>
    <row r="27" spans="1:5" x14ac:dyDescent="0.25">
      <c r="A27" s="10" t="s">
        <v>6</v>
      </c>
      <c r="B27" s="29">
        <v>545</v>
      </c>
      <c r="C27" s="29">
        <v>810</v>
      </c>
      <c r="D27" s="29">
        <v>448</v>
      </c>
      <c r="E27" s="29">
        <v>614</v>
      </c>
    </row>
    <row r="28" spans="1:5" x14ac:dyDescent="0.25">
      <c r="A28" s="10" t="s">
        <v>7</v>
      </c>
      <c r="B28" s="29">
        <v>990</v>
      </c>
      <c r="C28" s="29">
        <v>640</v>
      </c>
      <c r="D28" s="29">
        <v>571</v>
      </c>
      <c r="E28" s="29">
        <v>735</v>
      </c>
    </row>
    <row r="29" spans="1:5" x14ac:dyDescent="0.25">
      <c r="A29" s="10" t="s">
        <v>8</v>
      </c>
      <c r="B29" s="29">
        <v>1135</v>
      </c>
      <c r="C29" s="29">
        <v>500</v>
      </c>
      <c r="D29" s="29">
        <v>732</v>
      </c>
      <c r="E29" s="29">
        <v>786</v>
      </c>
    </row>
    <row r="30" spans="1:5" x14ac:dyDescent="0.25">
      <c r="A30" s="10" t="s">
        <v>9</v>
      </c>
      <c r="B30" s="29">
        <v>1080</v>
      </c>
      <c r="C30" s="29">
        <v>620</v>
      </c>
      <c r="D30" s="29">
        <v>843</v>
      </c>
      <c r="E30" s="29">
        <v>687</v>
      </c>
    </row>
    <row r="31" spans="1:5" x14ac:dyDescent="0.25">
      <c r="A31" s="10" t="s">
        <v>10</v>
      </c>
      <c r="B31" s="29">
        <v>955</v>
      </c>
      <c r="C31" s="29">
        <v>800</v>
      </c>
      <c r="D31" s="29">
        <v>811</v>
      </c>
      <c r="E31" s="29">
        <v>626</v>
      </c>
    </row>
    <row r="32" spans="1:5" x14ac:dyDescent="0.25">
      <c r="A32" s="10" t="s">
        <v>11</v>
      </c>
      <c r="B32" s="29">
        <v>930</v>
      </c>
      <c r="C32" s="29">
        <v>950</v>
      </c>
      <c r="D32" s="29">
        <v>590</v>
      </c>
      <c r="E32" s="29">
        <v>675</v>
      </c>
    </row>
    <row r="33" spans="1:5" x14ac:dyDescent="0.25">
      <c r="A33" s="10" t="s">
        <v>52</v>
      </c>
      <c r="B33" s="29">
        <v>9736</v>
      </c>
      <c r="C33" s="29">
        <v>9445</v>
      </c>
      <c r="D33" s="29">
        <v>9327</v>
      </c>
      <c r="E33" s="29">
        <v>8657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66262-3F68-4D44-B5DD-1301A744BDFB}">
  <dimension ref="A1:S50"/>
  <sheetViews>
    <sheetView zoomScaleNormal="100" workbookViewId="0">
      <selection activeCell="A2" sqref="A2"/>
    </sheetView>
  </sheetViews>
  <sheetFormatPr defaultRowHeight="15" x14ac:dyDescent="0.25"/>
  <cols>
    <col min="3" max="3" width="18.7109375" style="2" customWidth="1"/>
    <col min="4" max="4" width="20" style="2" customWidth="1"/>
    <col min="5" max="5" width="12.7109375" style="2" customWidth="1"/>
    <col min="6" max="6" width="15.28515625" style="2" customWidth="1"/>
    <col min="7" max="7" width="11" customWidth="1"/>
    <col min="8" max="8" width="13.7109375" customWidth="1"/>
    <col min="9" max="9" width="13.5703125" customWidth="1"/>
    <col min="10" max="14" width="10" customWidth="1"/>
    <col min="15" max="19" width="10.140625" customWidth="1"/>
  </cols>
  <sheetData>
    <row r="1" spans="1:19" ht="15" customHeight="1" x14ac:dyDescent="0.25">
      <c r="J1" s="28" t="s">
        <v>12</v>
      </c>
      <c r="K1" s="28"/>
      <c r="L1" s="28"/>
      <c r="M1" s="28"/>
      <c r="N1" s="28"/>
      <c r="O1" s="28" t="s">
        <v>50</v>
      </c>
      <c r="P1" s="28"/>
      <c r="Q1" s="28"/>
      <c r="R1" s="28"/>
      <c r="S1" s="28"/>
    </row>
    <row r="2" spans="1:19" ht="15" customHeight="1" x14ac:dyDescent="0.25">
      <c r="A2" s="6" t="s">
        <v>38</v>
      </c>
      <c r="B2" s="6" t="s">
        <v>39</v>
      </c>
      <c r="C2" s="7" t="s">
        <v>27</v>
      </c>
      <c r="D2" s="7" t="s">
        <v>26</v>
      </c>
      <c r="E2" s="7" t="s">
        <v>28</v>
      </c>
      <c r="F2" s="7" t="s">
        <v>29</v>
      </c>
      <c r="G2" s="7" t="s">
        <v>35</v>
      </c>
      <c r="H2" s="7" t="s">
        <v>36</v>
      </c>
      <c r="I2" s="7" t="s">
        <v>37</v>
      </c>
      <c r="J2" s="7" t="s">
        <v>40</v>
      </c>
      <c r="K2" s="7" t="s">
        <v>41</v>
      </c>
      <c r="L2" s="7" t="s">
        <v>42</v>
      </c>
      <c r="M2" s="7" t="s">
        <v>43</v>
      </c>
      <c r="N2" s="7" t="s">
        <v>44</v>
      </c>
      <c r="O2" s="7" t="s">
        <v>45</v>
      </c>
      <c r="P2" s="7" t="s">
        <v>46</v>
      </c>
      <c r="Q2" s="7" t="s">
        <v>47</v>
      </c>
      <c r="R2" s="7" t="s">
        <v>48</v>
      </c>
      <c r="S2" s="7" t="s">
        <v>49</v>
      </c>
    </row>
    <row r="3" spans="1:19" x14ac:dyDescent="0.25">
      <c r="A3" s="2">
        <v>2025</v>
      </c>
      <c r="B3" s="2" t="s">
        <v>0</v>
      </c>
      <c r="C3" s="2">
        <v>590</v>
      </c>
      <c r="D3" s="2">
        <v>675</v>
      </c>
      <c r="E3" s="2">
        <v>930</v>
      </c>
      <c r="F3" s="2">
        <v>950</v>
      </c>
      <c r="G3" s="8">
        <v>0.06</v>
      </c>
      <c r="H3" s="8">
        <v>0.08</v>
      </c>
      <c r="I3" s="8">
        <v>7.0000000000000007E-2</v>
      </c>
      <c r="J3">
        <v>47096</v>
      </c>
      <c r="K3">
        <v>28182</v>
      </c>
      <c r="L3">
        <v>13507</v>
      </c>
      <c r="M3">
        <v>32366</v>
      </c>
      <c r="N3">
        <v>46241</v>
      </c>
      <c r="O3">
        <v>37321</v>
      </c>
      <c r="P3">
        <v>28729</v>
      </c>
      <c r="Q3">
        <v>20315</v>
      </c>
      <c r="R3">
        <v>29726</v>
      </c>
      <c r="S3">
        <v>39202</v>
      </c>
    </row>
    <row r="4" spans="1:19" x14ac:dyDescent="0.25">
      <c r="A4" s="2">
        <v>2025</v>
      </c>
      <c r="B4" s="2" t="s">
        <v>1</v>
      </c>
      <c r="C4" s="2">
        <v>811</v>
      </c>
      <c r="D4" s="2">
        <v>626</v>
      </c>
      <c r="E4" s="2">
        <v>955</v>
      </c>
      <c r="F4" s="2">
        <v>800</v>
      </c>
      <c r="G4" s="8">
        <v>0.15</v>
      </c>
      <c r="H4" s="8">
        <v>0.12</v>
      </c>
      <c r="I4" s="8">
        <v>0.18</v>
      </c>
      <c r="J4">
        <v>33425</v>
      </c>
      <c r="K4">
        <v>35068</v>
      </c>
      <c r="L4">
        <v>26642</v>
      </c>
      <c r="M4">
        <v>24449</v>
      </c>
      <c r="N4">
        <v>34073</v>
      </c>
      <c r="O4">
        <v>29349</v>
      </c>
      <c r="P4">
        <v>28895</v>
      </c>
      <c r="Q4">
        <v>23165</v>
      </c>
      <c r="R4">
        <v>26403</v>
      </c>
      <c r="S4">
        <v>34380</v>
      </c>
    </row>
    <row r="5" spans="1:19" x14ac:dyDescent="0.25">
      <c r="A5" s="2">
        <v>2025</v>
      </c>
      <c r="B5" s="2" t="s">
        <v>2</v>
      </c>
      <c r="C5" s="2">
        <v>843</v>
      </c>
      <c r="D5" s="2">
        <v>687</v>
      </c>
      <c r="E5" s="2">
        <v>1080</v>
      </c>
      <c r="F5" s="2">
        <v>620</v>
      </c>
      <c r="G5" s="8">
        <v>0.28000000000000003</v>
      </c>
      <c r="H5" s="8">
        <v>0.25</v>
      </c>
      <c r="I5" s="8">
        <v>0.3</v>
      </c>
      <c r="J5">
        <v>31885</v>
      </c>
      <c r="K5">
        <v>16048</v>
      </c>
      <c r="L5">
        <v>29495</v>
      </c>
      <c r="M5">
        <v>41274</v>
      </c>
      <c r="N5">
        <v>31697</v>
      </c>
      <c r="O5">
        <v>27610</v>
      </c>
      <c r="P5">
        <v>21140</v>
      </c>
      <c r="Q5">
        <v>25957</v>
      </c>
      <c r="R5">
        <v>35532</v>
      </c>
      <c r="S5">
        <v>34006</v>
      </c>
    </row>
    <row r="6" spans="1:19" x14ac:dyDescent="0.25">
      <c r="A6" s="2">
        <v>2025</v>
      </c>
      <c r="B6" s="2" t="s">
        <v>3</v>
      </c>
      <c r="C6" s="2">
        <v>732</v>
      </c>
      <c r="D6" s="2">
        <v>786</v>
      </c>
      <c r="E6" s="2">
        <v>1135</v>
      </c>
      <c r="F6" s="2">
        <v>500</v>
      </c>
      <c r="G6" s="8">
        <v>0.35</v>
      </c>
      <c r="H6" s="8">
        <v>0.38</v>
      </c>
      <c r="I6" s="8">
        <v>0.41</v>
      </c>
      <c r="J6">
        <v>22137</v>
      </c>
      <c r="K6">
        <v>23255</v>
      </c>
      <c r="L6">
        <v>38004</v>
      </c>
      <c r="M6">
        <v>36927</v>
      </c>
      <c r="N6">
        <v>22468</v>
      </c>
      <c r="O6">
        <v>22753</v>
      </c>
      <c r="P6">
        <v>21567</v>
      </c>
      <c r="Q6">
        <v>29541</v>
      </c>
      <c r="R6">
        <v>35391</v>
      </c>
      <c r="S6">
        <v>35639</v>
      </c>
    </row>
    <row r="7" spans="1:19" x14ac:dyDescent="0.25">
      <c r="A7" s="2">
        <v>2025</v>
      </c>
      <c r="B7" s="2" t="s">
        <v>4</v>
      </c>
      <c r="C7" s="2">
        <v>571</v>
      </c>
      <c r="D7" s="2">
        <v>735</v>
      </c>
      <c r="E7" s="2">
        <v>990</v>
      </c>
      <c r="F7" s="2">
        <v>640</v>
      </c>
      <c r="G7" s="8">
        <v>0.49</v>
      </c>
      <c r="H7" s="8">
        <v>0.52</v>
      </c>
      <c r="I7" s="8">
        <v>0.55000000000000004</v>
      </c>
      <c r="J7">
        <v>24618</v>
      </c>
      <c r="K7">
        <v>25243</v>
      </c>
      <c r="L7">
        <v>35565</v>
      </c>
      <c r="M7">
        <v>35034</v>
      </c>
      <c r="N7">
        <v>26135</v>
      </c>
      <c r="O7">
        <v>21495</v>
      </c>
      <c r="P7">
        <v>26087</v>
      </c>
      <c r="Q7">
        <v>33496</v>
      </c>
      <c r="R7">
        <v>33233</v>
      </c>
      <c r="S7">
        <v>30826</v>
      </c>
    </row>
    <row r="8" spans="1:19" x14ac:dyDescent="0.25">
      <c r="A8" s="2">
        <v>2025</v>
      </c>
      <c r="B8" s="2" t="s">
        <v>5</v>
      </c>
      <c r="C8" s="2">
        <v>448</v>
      </c>
      <c r="D8" s="2">
        <v>614</v>
      </c>
      <c r="E8" s="2">
        <v>545</v>
      </c>
      <c r="F8" s="2">
        <v>810</v>
      </c>
      <c r="G8" s="8">
        <v>0.57999999999999996</v>
      </c>
      <c r="H8" s="8">
        <v>0.61</v>
      </c>
      <c r="I8" s="8">
        <v>0.64</v>
      </c>
      <c r="J8">
        <v>30192</v>
      </c>
      <c r="K8">
        <v>35630</v>
      </c>
      <c r="L8">
        <v>34117</v>
      </c>
      <c r="M8">
        <v>25597</v>
      </c>
      <c r="N8">
        <v>23426</v>
      </c>
      <c r="O8">
        <v>21890</v>
      </c>
      <c r="P8">
        <v>31229</v>
      </c>
      <c r="Q8">
        <v>34093</v>
      </c>
      <c r="R8">
        <v>28849</v>
      </c>
      <c r="S8">
        <v>23972</v>
      </c>
    </row>
    <row r="9" spans="1:19" x14ac:dyDescent="0.25">
      <c r="A9" s="2">
        <v>2025</v>
      </c>
      <c r="B9" s="2" t="s">
        <v>6</v>
      </c>
      <c r="C9" s="2">
        <v>522</v>
      </c>
      <c r="D9" s="2">
        <v>580</v>
      </c>
      <c r="E9" s="2">
        <v>470</v>
      </c>
      <c r="F9" s="2">
        <v>980</v>
      </c>
      <c r="G9" s="8">
        <v>0.69</v>
      </c>
      <c r="H9" s="8">
        <v>0.72</v>
      </c>
      <c r="I9" s="8">
        <v>0.75</v>
      </c>
      <c r="J9">
        <v>35662</v>
      </c>
      <c r="K9">
        <v>44346</v>
      </c>
      <c r="L9">
        <v>36069</v>
      </c>
      <c r="M9">
        <v>17107</v>
      </c>
      <c r="N9">
        <v>19982</v>
      </c>
      <c r="O9">
        <v>24628</v>
      </c>
      <c r="P9">
        <v>37241</v>
      </c>
      <c r="Q9">
        <v>31466</v>
      </c>
      <c r="R9">
        <v>23634</v>
      </c>
      <c r="S9">
        <v>22879</v>
      </c>
    </row>
    <row r="10" spans="1:19" x14ac:dyDescent="0.25">
      <c r="A10" s="2">
        <v>2025</v>
      </c>
      <c r="B10" s="2" t="s">
        <v>7</v>
      </c>
      <c r="C10" s="2">
        <v>967</v>
      </c>
      <c r="D10" s="2">
        <v>657</v>
      </c>
      <c r="E10" s="2">
        <v>598</v>
      </c>
      <c r="F10" s="2">
        <v>1100</v>
      </c>
      <c r="G10" s="8">
        <v>0.78</v>
      </c>
      <c r="H10" s="8">
        <v>0.81</v>
      </c>
      <c r="I10" s="8">
        <v>0.84</v>
      </c>
      <c r="J10">
        <v>33610</v>
      </c>
      <c r="K10">
        <v>47170</v>
      </c>
      <c r="L10">
        <v>43682</v>
      </c>
      <c r="M10">
        <v>17055</v>
      </c>
      <c r="N10">
        <v>19915</v>
      </c>
      <c r="O10">
        <v>30652</v>
      </c>
      <c r="P10">
        <v>39310</v>
      </c>
      <c r="Q10">
        <v>28760</v>
      </c>
      <c r="R10">
        <v>21834</v>
      </c>
      <c r="S10">
        <v>22740</v>
      </c>
    </row>
    <row r="11" spans="1:19" x14ac:dyDescent="0.25">
      <c r="A11" s="2">
        <v>2025</v>
      </c>
      <c r="B11" s="2" t="s">
        <v>8</v>
      </c>
      <c r="C11" s="2">
        <v>1110</v>
      </c>
      <c r="D11" s="2">
        <v>809</v>
      </c>
      <c r="E11" s="2">
        <v>755</v>
      </c>
      <c r="F11" s="2">
        <v>1030</v>
      </c>
      <c r="G11" s="8">
        <v>0.85</v>
      </c>
      <c r="H11" s="8">
        <v>0.88</v>
      </c>
      <c r="I11" s="8">
        <v>0.9</v>
      </c>
      <c r="J11">
        <v>24123</v>
      </c>
      <c r="K11">
        <v>38184</v>
      </c>
      <c r="L11">
        <v>49500</v>
      </c>
      <c r="M11">
        <v>25194</v>
      </c>
      <c r="N11">
        <v>21174</v>
      </c>
      <c r="O11">
        <v>36033</v>
      </c>
      <c r="P11">
        <v>39496</v>
      </c>
      <c r="Q11">
        <v>23447</v>
      </c>
      <c r="R11">
        <v>20036</v>
      </c>
      <c r="S11">
        <v>25161</v>
      </c>
    </row>
    <row r="12" spans="1:19" x14ac:dyDescent="0.25">
      <c r="A12" s="2">
        <v>2025</v>
      </c>
      <c r="B12" s="2" t="s">
        <v>9</v>
      </c>
      <c r="C12" s="2">
        <v>1056</v>
      </c>
      <c r="D12" s="2">
        <v>898</v>
      </c>
      <c r="E12" s="2">
        <v>851</v>
      </c>
      <c r="F12" s="2">
        <v>850</v>
      </c>
      <c r="G12" s="8">
        <v>0.89</v>
      </c>
      <c r="H12" s="8">
        <v>0.91</v>
      </c>
      <c r="I12" s="8">
        <v>0.92</v>
      </c>
      <c r="J12">
        <v>19319</v>
      </c>
      <c r="K12">
        <v>26910</v>
      </c>
      <c r="L12">
        <v>47133</v>
      </c>
      <c r="M12">
        <v>38235</v>
      </c>
      <c r="N12">
        <v>27042</v>
      </c>
      <c r="O12">
        <v>35598</v>
      </c>
      <c r="P12">
        <v>34070</v>
      </c>
      <c r="Q12">
        <v>21694</v>
      </c>
      <c r="R12">
        <v>20990</v>
      </c>
      <c r="S12">
        <v>28479</v>
      </c>
    </row>
    <row r="13" spans="1:19" x14ac:dyDescent="0.25">
      <c r="A13" s="2">
        <v>2025</v>
      </c>
      <c r="B13" s="2" t="s">
        <v>10</v>
      </c>
      <c r="C13" s="2">
        <v>770</v>
      </c>
      <c r="D13" s="2">
        <v>850</v>
      </c>
      <c r="E13" s="2">
        <v>815</v>
      </c>
      <c r="F13" s="2">
        <v>670</v>
      </c>
      <c r="G13" s="8">
        <v>0.93</v>
      </c>
      <c r="H13" s="8">
        <v>0.94</v>
      </c>
      <c r="I13" s="8">
        <v>0.94</v>
      </c>
      <c r="J13">
        <v>20157</v>
      </c>
      <c r="K13">
        <v>21395</v>
      </c>
      <c r="L13">
        <v>37271</v>
      </c>
      <c r="M13">
        <v>43962</v>
      </c>
      <c r="N13">
        <v>32890</v>
      </c>
      <c r="O13">
        <v>31843</v>
      </c>
      <c r="P13">
        <v>26922</v>
      </c>
      <c r="Q13">
        <v>20419</v>
      </c>
      <c r="R13">
        <v>23808</v>
      </c>
      <c r="S13">
        <v>32786</v>
      </c>
    </row>
    <row r="14" spans="1:19" x14ac:dyDescent="0.25">
      <c r="A14" s="2">
        <v>2025</v>
      </c>
      <c r="B14" s="2" t="s">
        <v>11</v>
      </c>
      <c r="C14" s="2">
        <v>907</v>
      </c>
      <c r="D14" s="2">
        <v>740</v>
      </c>
      <c r="E14" s="2">
        <v>612</v>
      </c>
      <c r="F14" s="2">
        <v>520</v>
      </c>
      <c r="G14" s="8">
        <v>0.95</v>
      </c>
      <c r="H14" s="8">
        <v>0.95</v>
      </c>
      <c r="I14" s="8">
        <v>0.95</v>
      </c>
      <c r="J14">
        <v>26580</v>
      </c>
      <c r="K14">
        <v>20295</v>
      </c>
      <c r="L14">
        <v>24594</v>
      </c>
      <c r="M14">
        <v>40417</v>
      </c>
      <c r="N14">
        <v>39835</v>
      </c>
      <c r="O14">
        <v>27075</v>
      </c>
      <c r="P14">
        <v>23262</v>
      </c>
      <c r="Q14">
        <v>21889</v>
      </c>
      <c r="R14">
        <v>28863</v>
      </c>
      <c r="S14">
        <v>36582</v>
      </c>
    </row>
    <row r="15" spans="1:19" x14ac:dyDescent="0.25">
      <c r="A15" s="2">
        <v>2026</v>
      </c>
      <c r="B15" s="2" t="s">
        <v>0</v>
      </c>
      <c r="C15" s="2">
        <v>800</v>
      </c>
      <c r="D15" s="2">
        <v>680</v>
      </c>
      <c r="E15" s="2">
        <v>800</v>
      </c>
      <c r="F15" s="2">
        <v>765</v>
      </c>
      <c r="G15" s="8">
        <v>0.09</v>
      </c>
      <c r="H15" s="8">
        <v>0.11</v>
      </c>
      <c r="I15" s="8">
        <v>0.06</v>
      </c>
      <c r="J15">
        <v>36741</v>
      </c>
      <c r="K15">
        <v>24078</v>
      </c>
      <c r="L15">
        <v>15139</v>
      </c>
      <c r="M15">
        <v>29492</v>
      </c>
      <c r="N15">
        <v>45372</v>
      </c>
      <c r="O15">
        <v>23004</v>
      </c>
      <c r="P15">
        <v>21742</v>
      </c>
      <c r="Q15">
        <v>26701</v>
      </c>
      <c r="R15">
        <v>34641</v>
      </c>
      <c r="S15">
        <v>36988</v>
      </c>
    </row>
    <row r="16" spans="1:19" x14ac:dyDescent="0.25">
      <c r="A16" s="2">
        <v>2026</v>
      </c>
      <c r="B16" s="2" t="s">
        <v>1</v>
      </c>
      <c r="C16" s="2">
        <v>962</v>
      </c>
      <c r="D16" s="2">
        <v>635</v>
      </c>
      <c r="E16" s="2">
        <v>1027</v>
      </c>
      <c r="F16" s="2">
        <v>875</v>
      </c>
      <c r="G16" s="8">
        <v>0.16</v>
      </c>
      <c r="H16" s="8">
        <v>0.19</v>
      </c>
      <c r="I16" s="8">
        <v>0.13</v>
      </c>
      <c r="J16">
        <v>44641</v>
      </c>
      <c r="K16">
        <v>29129</v>
      </c>
      <c r="L16">
        <v>12241</v>
      </c>
      <c r="M16">
        <v>20588</v>
      </c>
      <c r="N16">
        <v>47242</v>
      </c>
      <c r="O16">
        <v>21807</v>
      </c>
      <c r="P16">
        <v>25386</v>
      </c>
      <c r="Q16">
        <v>32377</v>
      </c>
      <c r="R16">
        <v>35110</v>
      </c>
      <c r="S16">
        <v>33712</v>
      </c>
    </row>
    <row r="17" spans="1:19" x14ac:dyDescent="0.25">
      <c r="A17" s="2">
        <v>2026</v>
      </c>
      <c r="B17" s="2" t="s">
        <v>2</v>
      </c>
      <c r="C17" s="2">
        <v>1073</v>
      </c>
      <c r="D17" s="2">
        <v>695</v>
      </c>
      <c r="E17" s="2">
        <v>1097</v>
      </c>
      <c r="F17" s="2">
        <v>925</v>
      </c>
      <c r="G17" s="8">
        <v>0.28999999999999998</v>
      </c>
      <c r="H17" s="8">
        <v>0.32</v>
      </c>
      <c r="I17" s="8">
        <v>0.26</v>
      </c>
      <c r="J17">
        <v>47045</v>
      </c>
      <c r="K17">
        <v>28461</v>
      </c>
      <c r="L17">
        <v>11777</v>
      </c>
      <c r="M17">
        <v>18531</v>
      </c>
      <c r="N17">
        <v>43860</v>
      </c>
      <c r="O17">
        <v>23365</v>
      </c>
      <c r="P17">
        <v>32143</v>
      </c>
      <c r="Q17">
        <v>35259</v>
      </c>
      <c r="R17">
        <v>30966</v>
      </c>
      <c r="S17">
        <v>27789</v>
      </c>
    </row>
    <row r="18" spans="1:19" x14ac:dyDescent="0.25">
      <c r="A18" s="2">
        <v>2026</v>
      </c>
      <c r="B18" s="2" t="s">
        <v>3</v>
      </c>
      <c r="C18" s="2">
        <v>1097</v>
      </c>
      <c r="D18" s="2">
        <v>775</v>
      </c>
      <c r="E18" s="2">
        <v>962</v>
      </c>
      <c r="F18" s="2">
        <v>835</v>
      </c>
      <c r="G18" s="8">
        <v>0.36</v>
      </c>
      <c r="H18" s="8">
        <v>0.39</v>
      </c>
      <c r="I18" s="8">
        <v>0.33</v>
      </c>
      <c r="J18">
        <v>42282</v>
      </c>
      <c r="K18">
        <v>21596</v>
      </c>
      <c r="L18">
        <v>15999</v>
      </c>
      <c r="M18">
        <v>24249</v>
      </c>
      <c r="N18">
        <v>37349</v>
      </c>
      <c r="O18">
        <v>27254</v>
      </c>
      <c r="P18">
        <v>35678</v>
      </c>
      <c r="Q18">
        <v>33791</v>
      </c>
      <c r="R18">
        <v>24328</v>
      </c>
      <c r="S18">
        <v>22394</v>
      </c>
    </row>
    <row r="19" spans="1:19" x14ac:dyDescent="0.25">
      <c r="A19" s="2">
        <v>2026</v>
      </c>
      <c r="B19" s="2" t="s">
        <v>4</v>
      </c>
      <c r="C19" s="2">
        <v>1027</v>
      </c>
      <c r="D19" s="2">
        <v>720</v>
      </c>
      <c r="E19" s="2">
        <v>715</v>
      </c>
      <c r="F19" s="2">
        <v>680</v>
      </c>
      <c r="G19" s="8">
        <v>0.5</v>
      </c>
      <c r="H19" s="8">
        <v>0.53</v>
      </c>
      <c r="I19" s="8">
        <v>0.45</v>
      </c>
      <c r="J19">
        <v>33241</v>
      </c>
      <c r="K19">
        <v>18347</v>
      </c>
      <c r="L19">
        <v>26491</v>
      </c>
      <c r="M19">
        <v>34593</v>
      </c>
      <c r="N19">
        <v>32728</v>
      </c>
      <c r="O19">
        <v>31971</v>
      </c>
      <c r="P19">
        <v>38166</v>
      </c>
      <c r="Q19">
        <v>28748</v>
      </c>
      <c r="R19">
        <v>21311</v>
      </c>
      <c r="S19">
        <v>21286</v>
      </c>
    </row>
    <row r="20" spans="1:19" x14ac:dyDescent="0.25">
      <c r="A20" s="2">
        <v>2026</v>
      </c>
      <c r="B20" s="2" t="s">
        <v>5</v>
      </c>
      <c r="C20" s="2">
        <v>885</v>
      </c>
      <c r="D20" s="2">
        <v>600</v>
      </c>
      <c r="E20" s="2">
        <v>527</v>
      </c>
      <c r="F20" s="2">
        <v>602</v>
      </c>
      <c r="G20" s="8">
        <v>0.59</v>
      </c>
      <c r="H20" s="8">
        <v>0.62</v>
      </c>
      <c r="I20" s="8">
        <v>0.56999999999999995</v>
      </c>
      <c r="J20">
        <v>23786</v>
      </c>
      <c r="K20">
        <v>20762</v>
      </c>
      <c r="L20">
        <v>36437</v>
      </c>
      <c r="M20">
        <v>44407</v>
      </c>
      <c r="N20">
        <v>30687</v>
      </c>
      <c r="O20">
        <v>35146</v>
      </c>
      <c r="P20">
        <v>37155</v>
      </c>
      <c r="Q20">
        <v>24002</v>
      </c>
      <c r="R20">
        <v>20256</v>
      </c>
      <c r="S20">
        <v>23609</v>
      </c>
    </row>
    <row r="21" spans="1:19" x14ac:dyDescent="0.25">
      <c r="A21" s="2">
        <v>2026</v>
      </c>
      <c r="B21" s="2" t="s">
        <v>6</v>
      </c>
      <c r="C21" s="2">
        <v>715</v>
      </c>
      <c r="D21" s="2">
        <v>590</v>
      </c>
      <c r="E21" s="2">
        <v>527</v>
      </c>
      <c r="F21" s="2">
        <v>635</v>
      </c>
      <c r="G21" s="8">
        <v>0.7</v>
      </c>
      <c r="H21" s="8">
        <v>0.73</v>
      </c>
      <c r="I21" s="8">
        <v>0.68</v>
      </c>
      <c r="J21">
        <v>17645</v>
      </c>
      <c r="K21">
        <v>26785</v>
      </c>
      <c r="L21">
        <v>42604</v>
      </c>
      <c r="M21">
        <v>44339</v>
      </c>
      <c r="N21">
        <v>29559</v>
      </c>
      <c r="O21">
        <v>34015</v>
      </c>
      <c r="P21">
        <v>30473</v>
      </c>
      <c r="Q21">
        <v>21283</v>
      </c>
      <c r="R21">
        <v>22806</v>
      </c>
      <c r="S21">
        <v>28897</v>
      </c>
    </row>
    <row r="22" spans="1:19" x14ac:dyDescent="0.25">
      <c r="A22" s="2">
        <v>2026</v>
      </c>
      <c r="B22" s="2" t="s">
        <v>7</v>
      </c>
      <c r="C22" s="2">
        <v>573</v>
      </c>
      <c r="D22" s="2">
        <v>670</v>
      </c>
      <c r="E22" s="2">
        <v>715</v>
      </c>
      <c r="F22" s="2">
        <v>760</v>
      </c>
      <c r="G22" s="8">
        <v>0.79</v>
      </c>
      <c r="H22" s="8">
        <v>0.82</v>
      </c>
      <c r="I22" s="8">
        <v>0.77</v>
      </c>
      <c r="J22">
        <v>17175</v>
      </c>
      <c r="K22">
        <v>34653</v>
      </c>
      <c r="L22">
        <v>42977</v>
      </c>
      <c r="M22">
        <v>36763</v>
      </c>
      <c r="N22">
        <v>26658</v>
      </c>
      <c r="O22">
        <v>28791</v>
      </c>
      <c r="P22">
        <v>23869</v>
      </c>
      <c r="Q22">
        <v>21773</v>
      </c>
      <c r="R22">
        <v>28334</v>
      </c>
      <c r="S22">
        <v>33156</v>
      </c>
    </row>
    <row r="23" spans="1:19" x14ac:dyDescent="0.25">
      <c r="A23" s="2">
        <v>2026</v>
      </c>
      <c r="B23" s="2" t="s">
        <v>8</v>
      </c>
      <c r="C23" s="2">
        <v>503</v>
      </c>
      <c r="D23" s="2">
        <v>820</v>
      </c>
      <c r="E23" s="2">
        <v>962</v>
      </c>
      <c r="F23" s="2">
        <v>812</v>
      </c>
      <c r="G23" s="8">
        <v>0.86</v>
      </c>
      <c r="H23" s="8">
        <v>0.89</v>
      </c>
      <c r="I23" s="8">
        <v>0.83</v>
      </c>
      <c r="J23">
        <v>21736</v>
      </c>
      <c r="K23">
        <v>42224</v>
      </c>
      <c r="L23">
        <v>45800</v>
      </c>
      <c r="M23">
        <v>30277</v>
      </c>
      <c r="N23">
        <v>18212</v>
      </c>
      <c r="O23">
        <v>35847</v>
      </c>
      <c r="P23">
        <v>32370</v>
      </c>
      <c r="Q23">
        <v>27171</v>
      </c>
      <c r="R23">
        <v>25453</v>
      </c>
      <c r="S23">
        <v>22096</v>
      </c>
    </row>
    <row r="24" spans="1:19" x14ac:dyDescent="0.25">
      <c r="A24" s="2">
        <v>2026</v>
      </c>
      <c r="B24" s="2" t="s">
        <v>9</v>
      </c>
      <c r="C24" s="2">
        <v>527</v>
      </c>
      <c r="D24" s="2">
        <v>880</v>
      </c>
      <c r="E24" s="2">
        <v>1097</v>
      </c>
      <c r="F24" s="2">
        <v>719</v>
      </c>
      <c r="G24" s="8">
        <v>0.9</v>
      </c>
      <c r="H24" s="8">
        <v>0.92</v>
      </c>
      <c r="I24" s="8">
        <v>0.87</v>
      </c>
      <c r="J24">
        <v>24574</v>
      </c>
      <c r="K24">
        <v>47145</v>
      </c>
      <c r="L24">
        <v>43193</v>
      </c>
      <c r="M24">
        <v>21438</v>
      </c>
      <c r="N24">
        <v>15732</v>
      </c>
      <c r="O24">
        <v>24245</v>
      </c>
      <c r="P24">
        <v>21755</v>
      </c>
      <c r="Q24">
        <v>26109</v>
      </c>
      <c r="R24">
        <v>33516</v>
      </c>
      <c r="S24">
        <v>36213</v>
      </c>
    </row>
    <row r="25" spans="1:19" x14ac:dyDescent="0.25">
      <c r="A25" s="2">
        <v>2026</v>
      </c>
      <c r="B25" s="2" t="s">
        <v>10</v>
      </c>
      <c r="C25" s="2">
        <v>638</v>
      </c>
      <c r="D25" s="2">
        <v>840</v>
      </c>
      <c r="E25" s="2">
        <v>1027</v>
      </c>
      <c r="F25" s="2">
        <v>650</v>
      </c>
      <c r="G25" s="8">
        <v>0.93</v>
      </c>
      <c r="H25" s="8">
        <v>0.94</v>
      </c>
      <c r="I25" s="8">
        <v>0.91</v>
      </c>
      <c r="J25">
        <v>29431</v>
      </c>
      <c r="K25">
        <v>47286</v>
      </c>
      <c r="L25">
        <v>37787</v>
      </c>
      <c r="M25">
        <v>15420</v>
      </c>
      <c r="N25">
        <v>16644</v>
      </c>
      <c r="O25">
        <v>22468</v>
      </c>
      <c r="P25">
        <v>25573</v>
      </c>
      <c r="Q25">
        <v>31289</v>
      </c>
      <c r="R25">
        <v>34812</v>
      </c>
      <c r="S25">
        <v>34888</v>
      </c>
    </row>
    <row r="26" spans="1:19" x14ac:dyDescent="0.25">
      <c r="A26" s="2">
        <v>2026</v>
      </c>
      <c r="B26" s="2" t="s">
        <v>11</v>
      </c>
      <c r="C26" s="2">
        <v>800</v>
      </c>
      <c r="D26" s="2">
        <v>750</v>
      </c>
      <c r="E26" s="2">
        <v>800</v>
      </c>
      <c r="F26" s="2">
        <v>705</v>
      </c>
      <c r="G26" s="8">
        <v>0.95</v>
      </c>
      <c r="H26" s="8">
        <v>0.95</v>
      </c>
      <c r="I26" s="8">
        <v>0.95</v>
      </c>
      <c r="J26">
        <v>32768</v>
      </c>
      <c r="K26">
        <v>44020</v>
      </c>
      <c r="L26">
        <v>32520</v>
      </c>
      <c r="M26">
        <v>13741</v>
      </c>
      <c r="N26">
        <v>20993</v>
      </c>
      <c r="O26">
        <v>23190</v>
      </c>
      <c r="P26">
        <v>30064</v>
      </c>
      <c r="Q26">
        <v>34157</v>
      </c>
      <c r="R26">
        <v>31956</v>
      </c>
      <c r="S26">
        <v>30683</v>
      </c>
    </row>
    <row r="27" spans="1:19" x14ac:dyDescent="0.25">
      <c r="A27" s="2">
        <v>2027</v>
      </c>
      <c r="B27" s="2" t="s">
        <v>0</v>
      </c>
      <c r="C27" s="2">
        <v>800</v>
      </c>
      <c r="D27" s="2">
        <v>705</v>
      </c>
      <c r="E27" s="2">
        <v>800</v>
      </c>
      <c r="F27" s="2">
        <v>750</v>
      </c>
      <c r="G27" s="8">
        <v>0.05</v>
      </c>
      <c r="H27" s="8">
        <v>7.0000000000000007E-2</v>
      </c>
      <c r="I27" s="8">
        <v>0.1</v>
      </c>
      <c r="J27">
        <v>31692</v>
      </c>
      <c r="K27">
        <v>36106</v>
      </c>
      <c r="L27">
        <v>31104</v>
      </c>
      <c r="M27">
        <v>17288</v>
      </c>
      <c r="N27">
        <v>27818</v>
      </c>
      <c r="O27">
        <v>26101</v>
      </c>
      <c r="P27">
        <v>34899</v>
      </c>
      <c r="Q27">
        <v>33653</v>
      </c>
      <c r="R27">
        <v>27219</v>
      </c>
      <c r="S27">
        <v>24998</v>
      </c>
    </row>
    <row r="28" spans="1:19" x14ac:dyDescent="0.25">
      <c r="A28" s="2">
        <v>2027</v>
      </c>
      <c r="B28" s="2" t="s">
        <v>1</v>
      </c>
      <c r="C28" s="2">
        <v>1027</v>
      </c>
      <c r="D28" s="2">
        <v>650</v>
      </c>
      <c r="E28" s="2">
        <v>638</v>
      </c>
      <c r="F28" s="2">
        <v>840</v>
      </c>
      <c r="G28" s="8">
        <v>0.14000000000000001</v>
      </c>
      <c r="H28" s="8">
        <v>0.16</v>
      </c>
      <c r="I28" s="8">
        <v>0.2</v>
      </c>
      <c r="J28">
        <v>26597</v>
      </c>
      <c r="K28">
        <v>26485</v>
      </c>
      <c r="L28">
        <v>35586</v>
      </c>
      <c r="M28">
        <v>25217</v>
      </c>
      <c r="N28">
        <v>34949</v>
      </c>
      <c r="O28">
        <v>30219</v>
      </c>
      <c r="P28">
        <v>36544</v>
      </c>
      <c r="Q28">
        <v>29372</v>
      </c>
      <c r="R28">
        <v>23101</v>
      </c>
      <c r="S28">
        <v>22890</v>
      </c>
    </row>
    <row r="29" spans="1:19" x14ac:dyDescent="0.25">
      <c r="A29" s="2">
        <v>2027</v>
      </c>
      <c r="B29" s="2" t="s">
        <v>2</v>
      </c>
      <c r="C29" s="2">
        <v>1097</v>
      </c>
      <c r="D29" s="2">
        <v>719</v>
      </c>
      <c r="E29" s="2">
        <v>527</v>
      </c>
      <c r="F29" s="2">
        <v>880</v>
      </c>
      <c r="G29" s="8">
        <v>0.27</v>
      </c>
      <c r="H29" s="8">
        <v>0.28999999999999998</v>
      </c>
      <c r="I29" s="8">
        <v>0.33</v>
      </c>
      <c r="J29">
        <v>21055</v>
      </c>
      <c r="K29">
        <v>20257</v>
      </c>
      <c r="L29">
        <v>42245</v>
      </c>
      <c r="M29">
        <v>33635</v>
      </c>
      <c r="N29">
        <v>39292</v>
      </c>
      <c r="O29">
        <v>33486</v>
      </c>
      <c r="P29">
        <v>35748</v>
      </c>
      <c r="Q29">
        <v>24536</v>
      </c>
      <c r="R29">
        <v>21034</v>
      </c>
      <c r="S29">
        <v>23892</v>
      </c>
    </row>
    <row r="30" spans="1:19" x14ac:dyDescent="0.25">
      <c r="A30" s="2">
        <v>2027</v>
      </c>
      <c r="B30" s="2" t="s">
        <v>3</v>
      </c>
      <c r="C30" s="2">
        <v>962</v>
      </c>
      <c r="D30" s="2">
        <v>812</v>
      </c>
      <c r="E30" s="2">
        <v>503</v>
      </c>
      <c r="F30" s="2">
        <v>820</v>
      </c>
      <c r="G30" s="8">
        <v>0.34</v>
      </c>
      <c r="H30" s="8">
        <v>0.37</v>
      </c>
      <c r="I30" s="8">
        <v>0.4</v>
      </c>
      <c r="J30">
        <v>18012</v>
      </c>
      <c r="K30">
        <v>20871</v>
      </c>
      <c r="L30">
        <v>45197</v>
      </c>
      <c r="M30">
        <v>39789</v>
      </c>
      <c r="N30">
        <v>38565</v>
      </c>
      <c r="O30">
        <v>34991</v>
      </c>
      <c r="P30">
        <v>30400</v>
      </c>
      <c r="Q30">
        <v>21062</v>
      </c>
      <c r="R30">
        <v>22553</v>
      </c>
      <c r="S30">
        <v>27687</v>
      </c>
    </row>
    <row r="31" spans="1:19" x14ac:dyDescent="0.25">
      <c r="A31" s="2">
        <v>2027</v>
      </c>
      <c r="B31" s="2" t="s">
        <v>4</v>
      </c>
      <c r="C31" s="2">
        <v>715</v>
      </c>
      <c r="D31" s="2">
        <v>760</v>
      </c>
      <c r="E31" s="2">
        <v>573</v>
      </c>
      <c r="F31" s="2">
        <v>670</v>
      </c>
      <c r="G31" s="8">
        <v>0.48</v>
      </c>
      <c r="H31" s="8">
        <v>0.51</v>
      </c>
      <c r="I31" s="8">
        <v>0.54</v>
      </c>
      <c r="J31">
        <v>19402</v>
      </c>
      <c r="K31">
        <v>26627</v>
      </c>
      <c r="L31">
        <v>42893</v>
      </c>
      <c r="M31">
        <v>40858</v>
      </c>
      <c r="N31">
        <v>33890</v>
      </c>
      <c r="O31">
        <v>32155</v>
      </c>
      <c r="P31">
        <v>24688</v>
      </c>
      <c r="Q31">
        <v>21686</v>
      </c>
      <c r="R31">
        <v>27311</v>
      </c>
      <c r="S31">
        <v>31055</v>
      </c>
    </row>
    <row r="32" spans="1:19" x14ac:dyDescent="0.25">
      <c r="A32" s="2">
        <v>2027</v>
      </c>
      <c r="B32" s="2" t="s">
        <v>5</v>
      </c>
      <c r="C32" s="2">
        <v>527</v>
      </c>
      <c r="D32" s="2">
        <v>635</v>
      </c>
      <c r="E32" s="2">
        <v>715</v>
      </c>
      <c r="F32" s="2">
        <v>590</v>
      </c>
      <c r="G32" s="8">
        <v>0.56999999999999995</v>
      </c>
      <c r="H32" s="8">
        <v>0.6</v>
      </c>
      <c r="I32" s="8">
        <v>0.63</v>
      </c>
      <c r="J32">
        <v>24530</v>
      </c>
      <c r="K32">
        <v>31782</v>
      </c>
      <c r="L32">
        <v>36376</v>
      </c>
      <c r="M32">
        <v>35861</v>
      </c>
      <c r="N32">
        <v>27116</v>
      </c>
      <c r="O32">
        <v>28030</v>
      </c>
      <c r="P32">
        <v>21503</v>
      </c>
      <c r="Q32">
        <v>24869</v>
      </c>
      <c r="R32">
        <v>32877</v>
      </c>
      <c r="S32">
        <v>33387</v>
      </c>
    </row>
    <row r="33" spans="1:19" x14ac:dyDescent="0.25">
      <c r="A33" s="2">
        <v>2027</v>
      </c>
      <c r="B33" s="2" t="s">
        <v>6</v>
      </c>
      <c r="C33" s="2">
        <v>527</v>
      </c>
      <c r="D33" s="2">
        <v>602</v>
      </c>
      <c r="E33" s="2">
        <v>885</v>
      </c>
      <c r="F33" s="2">
        <v>600</v>
      </c>
      <c r="G33" s="8">
        <v>0.68</v>
      </c>
      <c r="H33" s="8">
        <v>0.71</v>
      </c>
      <c r="I33" s="8">
        <v>0.74</v>
      </c>
      <c r="J33">
        <v>30449</v>
      </c>
      <c r="K33">
        <v>33114</v>
      </c>
      <c r="L33">
        <v>28285</v>
      </c>
      <c r="M33">
        <v>26959</v>
      </c>
      <c r="N33">
        <v>21270</v>
      </c>
      <c r="O33">
        <v>24653</v>
      </c>
      <c r="P33">
        <v>22626</v>
      </c>
      <c r="Q33">
        <v>30513</v>
      </c>
      <c r="R33">
        <v>36461</v>
      </c>
      <c r="S33">
        <v>32248</v>
      </c>
    </row>
    <row r="34" spans="1:19" x14ac:dyDescent="0.25">
      <c r="A34" s="2">
        <v>2027</v>
      </c>
      <c r="B34" s="2" t="s">
        <v>7</v>
      </c>
      <c r="C34" s="2">
        <v>715</v>
      </c>
      <c r="D34" s="2">
        <v>680</v>
      </c>
      <c r="E34" s="2">
        <v>1027</v>
      </c>
      <c r="F34" s="2">
        <v>720</v>
      </c>
      <c r="G34" s="8">
        <v>0.77</v>
      </c>
      <c r="H34" s="8">
        <v>0.8</v>
      </c>
      <c r="I34" s="8">
        <v>0.83</v>
      </c>
      <c r="J34">
        <v>35455</v>
      </c>
      <c r="K34">
        <v>30156</v>
      </c>
      <c r="L34">
        <v>22212</v>
      </c>
      <c r="M34">
        <v>20725</v>
      </c>
      <c r="N34">
        <v>19318</v>
      </c>
      <c r="O34">
        <v>22793</v>
      </c>
      <c r="P34">
        <v>27717</v>
      </c>
      <c r="Q34">
        <v>34500</v>
      </c>
      <c r="R34">
        <v>35696</v>
      </c>
      <c r="S34">
        <v>29072</v>
      </c>
    </row>
    <row r="35" spans="1:19" x14ac:dyDescent="0.25">
      <c r="A35" s="2">
        <v>2027</v>
      </c>
      <c r="B35" s="2" t="s">
        <v>8</v>
      </c>
      <c r="C35" s="2">
        <v>962</v>
      </c>
      <c r="D35" s="2">
        <v>835</v>
      </c>
      <c r="E35" s="2">
        <v>1097</v>
      </c>
      <c r="F35" s="2">
        <v>775</v>
      </c>
      <c r="G35" s="8">
        <v>0.84</v>
      </c>
      <c r="H35" s="8">
        <v>0.87</v>
      </c>
      <c r="I35" s="8">
        <v>0.89</v>
      </c>
      <c r="J35">
        <v>37333</v>
      </c>
      <c r="K35">
        <v>27074</v>
      </c>
      <c r="L35">
        <v>19522</v>
      </c>
      <c r="M35">
        <v>19704</v>
      </c>
      <c r="N35">
        <v>21882</v>
      </c>
      <c r="O35">
        <v>24418</v>
      </c>
      <c r="P35">
        <v>33610</v>
      </c>
      <c r="Q35">
        <v>35721</v>
      </c>
      <c r="R35">
        <v>31222</v>
      </c>
      <c r="S35">
        <v>25283</v>
      </c>
    </row>
    <row r="36" spans="1:19" x14ac:dyDescent="0.25">
      <c r="A36" s="2">
        <v>2027</v>
      </c>
      <c r="B36" s="2" t="s">
        <v>9</v>
      </c>
      <c r="C36" s="2">
        <v>1097</v>
      </c>
      <c r="D36" s="2">
        <v>925</v>
      </c>
      <c r="E36" s="2">
        <v>1073</v>
      </c>
      <c r="F36" s="2">
        <v>695</v>
      </c>
      <c r="G36" s="8">
        <v>0.88</v>
      </c>
      <c r="H36" s="8">
        <v>0.9</v>
      </c>
      <c r="I36" s="8">
        <v>0.91</v>
      </c>
      <c r="J36">
        <v>34335</v>
      </c>
      <c r="K36">
        <v>26546</v>
      </c>
      <c r="L36">
        <v>20258</v>
      </c>
      <c r="M36">
        <v>23826</v>
      </c>
      <c r="N36">
        <v>27356</v>
      </c>
      <c r="O36">
        <v>28507</v>
      </c>
      <c r="P36">
        <v>36877</v>
      </c>
      <c r="Q36">
        <v>32385</v>
      </c>
      <c r="R36">
        <v>24619</v>
      </c>
      <c r="S36">
        <v>21914</v>
      </c>
    </row>
    <row r="37" spans="1:19" x14ac:dyDescent="0.25">
      <c r="A37" s="2">
        <v>2027</v>
      </c>
      <c r="B37" s="2" t="s">
        <v>10</v>
      </c>
      <c r="C37" s="2">
        <v>1027</v>
      </c>
      <c r="D37" s="2">
        <v>875</v>
      </c>
      <c r="E37" s="2">
        <v>962</v>
      </c>
      <c r="F37" s="2">
        <v>635</v>
      </c>
      <c r="G37" s="8">
        <v>0.92</v>
      </c>
      <c r="H37" s="8">
        <v>0.93</v>
      </c>
      <c r="I37" s="8">
        <v>0.93</v>
      </c>
      <c r="J37">
        <v>28633</v>
      </c>
      <c r="K37">
        <v>28992</v>
      </c>
      <c r="L37">
        <v>24071</v>
      </c>
      <c r="M37">
        <v>30913</v>
      </c>
      <c r="N37">
        <v>33269</v>
      </c>
      <c r="O37">
        <v>32778</v>
      </c>
      <c r="P37">
        <v>35477</v>
      </c>
      <c r="Q37">
        <v>26766</v>
      </c>
      <c r="R37">
        <v>21422</v>
      </c>
      <c r="S37">
        <v>22357</v>
      </c>
    </row>
    <row r="38" spans="1:19" x14ac:dyDescent="0.25">
      <c r="A38" s="2">
        <v>2027</v>
      </c>
      <c r="B38" s="2" t="s">
        <v>11</v>
      </c>
      <c r="C38" s="2">
        <v>800</v>
      </c>
      <c r="D38" s="2">
        <v>765</v>
      </c>
      <c r="E38" s="2">
        <v>800</v>
      </c>
      <c r="F38" s="2">
        <v>680</v>
      </c>
      <c r="G38" s="8">
        <v>0.95</v>
      </c>
      <c r="H38" s="8">
        <v>0.95</v>
      </c>
      <c r="I38" s="8">
        <v>0.95</v>
      </c>
      <c r="J38">
        <v>23527</v>
      </c>
      <c r="K38">
        <v>31398</v>
      </c>
      <c r="L38">
        <v>29650</v>
      </c>
      <c r="M38">
        <v>37298</v>
      </c>
      <c r="N38">
        <v>35896</v>
      </c>
      <c r="O38">
        <v>35415</v>
      </c>
      <c r="P38">
        <v>29680</v>
      </c>
      <c r="Q38">
        <v>22190</v>
      </c>
      <c r="R38">
        <v>22100</v>
      </c>
      <c r="S38">
        <v>26385</v>
      </c>
    </row>
    <row r="39" spans="1:19" x14ac:dyDescent="0.25">
      <c r="A39" s="2">
        <v>2028</v>
      </c>
      <c r="B39" s="2" t="s">
        <v>0</v>
      </c>
      <c r="C39" s="2">
        <v>612</v>
      </c>
      <c r="D39" s="2">
        <v>520</v>
      </c>
      <c r="E39" s="2">
        <v>907</v>
      </c>
      <c r="F39" s="2">
        <v>740</v>
      </c>
      <c r="G39" s="8">
        <v>0.1</v>
      </c>
      <c r="H39" s="8">
        <v>0.13</v>
      </c>
      <c r="I39" s="8">
        <v>0.08</v>
      </c>
      <c r="J39">
        <v>21331</v>
      </c>
      <c r="K39">
        <v>32190</v>
      </c>
      <c r="L39">
        <v>34484</v>
      </c>
      <c r="M39">
        <v>39213</v>
      </c>
      <c r="N39">
        <v>34138</v>
      </c>
      <c r="O39">
        <v>33169</v>
      </c>
      <c r="P39">
        <v>23348</v>
      </c>
      <c r="Q39">
        <v>24244</v>
      </c>
      <c r="R39">
        <v>26367</v>
      </c>
      <c r="S39">
        <v>30946</v>
      </c>
    </row>
    <row r="40" spans="1:19" x14ac:dyDescent="0.25">
      <c r="A40" s="2">
        <v>2028</v>
      </c>
      <c r="B40" s="2" t="s">
        <v>1</v>
      </c>
      <c r="C40" s="2">
        <v>815</v>
      </c>
      <c r="D40" s="2">
        <v>670</v>
      </c>
      <c r="E40" s="2">
        <v>770</v>
      </c>
      <c r="F40" s="2">
        <v>850</v>
      </c>
      <c r="G40" s="8">
        <v>0.17</v>
      </c>
      <c r="H40" s="8">
        <v>0.2</v>
      </c>
      <c r="I40" s="8">
        <v>0.15</v>
      </c>
      <c r="J40">
        <v>23085</v>
      </c>
      <c r="K40">
        <v>31289</v>
      </c>
      <c r="L40">
        <v>36333</v>
      </c>
      <c r="M40">
        <v>36100</v>
      </c>
      <c r="N40">
        <v>30058</v>
      </c>
      <c r="O40">
        <v>27990</v>
      </c>
      <c r="P40">
        <v>21398</v>
      </c>
      <c r="Q40">
        <v>28661</v>
      </c>
      <c r="R40">
        <v>31747</v>
      </c>
      <c r="S40">
        <v>32722</v>
      </c>
    </row>
    <row r="41" spans="1:19" x14ac:dyDescent="0.25">
      <c r="A41" s="2">
        <v>2028</v>
      </c>
      <c r="B41" s="2" t="s">
        <v>2</v>
      </c>
      <c r="C41" s="2">
        <v>851</v>
      </c>
      <c r="D41" s="2">
        <v>850</v>
      </c>
      <c r="E41" s="2">
        <v>1056</v>
      </c>
      <c r="F41" s="2">
        <v>898</v>
      </c>
      <c r="G41" s="8">
        <v>0.3</v>
      </c>
      <c r="H41" s="8">
        <v>0.33</v>
      </c>
      <c r="I41" s="8">
        <v>0.28000000000000003</v>
      </c>
      <c r="J41">
        <v>26987</v>
      </c>
      <c r="K41">
        <v>30582</v>
      </c>
      <c r="L41">
        <v>34864</v>
      </c>
      <c r="M41">
        <v>30278</v>
      </c>
      <c r="N41">
        <v>25736</v>
      </c>
      <c r="O41">
        <v>23489</v>
      </c>
      <c r="P41">
        <v>24373</v>
      </c>
      <c r="Q41">
        <v>33111</v>
      </c>
      <c r="R41">
        <v>35304</v>
      </c>
      <c r="S41">
        <v>30719</v>
      </c>
    </row>
    <row r="42" spans="1:19" x14ac:dyDescent="0.25">
      <c r="A42" s="2">
        <v>2028</v>
      </c>
      <c r="B42" s="2" t="s">
        <v>3</v>
      </c>
      <c r="C42" s="2">
        <v>755</v>
      </c>
      <c r="D42" s="2">
        <v>1030</v>
      </c>
      <c r="E42" s="2">
        <v>1110</v>
      </c>
      <c r="F42" s="2">
        <v>809</v>
      </c>
      <c r="G42" s="8">
        <v>0.37</v>
      </c>
      <c r="H42" s="8">
        <v>0.4</v>
      </c>
      <c r="I42" s="8">
        <v>0.35</v>
      </c>
      <c r="J42">
        <v>30892</v>
      </c>
      <c r="K42">
        <v>31222</v>
      </c>
      <c r="L42">
        <v>30599</v>
      </c>
      <c r="M42">
        <v>24194</v>
      </c>
      <c r="N42">
        <v>22820</v>
      </c>
      <c r="O42">
        <v>22158</v>
      </c>
      <c r="P42">
        <v>28834</v>
      </c>
      <c r="Q42">
        <v>35699</v>
      </c>
      <c r="R42">
        <v>33533</v>
      </c>
      <c r="S42">
        <v>26324</v>
      </c>
    </row>
    <row r="43" spans="1:19" x14ac:dyDescent="0.25">
      <c r="A43" s="2">
        <v>2028</v>
      </c>
      <c r="B43" s="2" t="s">
        <v>4</v>
      </c>
      <c r="C43" s="2">
        <v>598</v>
      </c>
      <c r="D43" s="2">
        <v>1075</v>
      </c>
      <c r="E43" s="2">
        <v>967</v>
      </c>
      <c r="F43" s="2">
        <v>657</v>
      </c>
      <c r="G43" s="8">
        <v>0.51</v>
      </c>
      <c r="H43" s="8">
        <v>0.54</v>
      </c>
      <c r="I43" s="8">
        <v>0.47</v>
      </c>
      <c r="J43">
        <v>32641</v>
      </c>
      <c r="K43">
        <v>32699</v>
      </c>
      <c r="L43">
        <v>25306</v>
      </c>
      <c r="M43">
        <v>19980</v>
      </c>
      <c r="N43">
        <v>22836</v>
      </c>
      <c r="O43">
        <v>23974</v>
      </c>
      <c r="P43">
        <v>32344</v>
      </c>
      <c r="Q43">
        <v>34488</v>
      </c>
      <c r="R43">
        <v>28896</v>
      </c>
      <c r="S43">
        <v>22815</v>
      </c>
    </row>
    <row r="44" spans="1:19" x14ac:dyDescent="0.25">
      <c r="A44" s="2">
        <v>2028</v>
      </c>
      <c r="B44" s="2" t="s">
        <v>5</v>
      </c>
      <c r="C44" s="2">
        <v>470</v>
      </c>
      <c r="D44" s="2">
        <v>980</v>
      </c>
      <c r="E44" s="2">
        <v>522</v>
      </c>
      <c r="F44" s="2">
        <v>580</v>
      </c>
      <c r="G44" s="8">
        <v>0.6</v>
      </c>
      <c r="H44" s="8">
        <v>0.63</v>
      </c>
      <c r="I44" s="8">
        <v>0.59</v>
      </c>
      <c r="J44">
        <v>30850</v>
      </c>
      <c r="K44">
        <v>32767</v>
      </c>
      <c r="L44">
        <v>20885</v>
      </c>
      <c r="M44">
        <v>19263</v>
      </c>
      <c r="N44">
        <v>26095</v>
      </c>
      <c r="O44">
        <v>27543</v>
      </c>
      <c r="P44">
        <v>34696</v>
      </c>
      <c r="Q44">
        <v>30657</v>
      </c>
      <c r="R44">
        <v>24100</v>
      </c>
      <c r="S44">
        <v>21362</v>
      </c>
    </row>
    <row r="45" spans="1:19" x14ac:dyDescent="0.25">
      <c r="A45" s="2">
        <v>2028</v>
      </c>
      <c r="B45" s="2" t="s">
        <v>6</v>
      </c>
      <c r="C45" s="2">
        <v>545</v>
      </c>
      <c r="D45" s="2">
        <v>810</v>
      </c>
      <c r="E45" s="2">
        <v>448</v>
      </c>
      <c r="F45" s="2">
        <v>614</v>
      </c>
      <c r="G45" s="8">
        <v>0.71</v>
      </c>
      <c r="H45" s="8">
        <v>0.74</v>
      </c>
      <c r="I45" s="8">
        <v>0.7</v>
      </c>
      <c r="J45">
        <v>25985</v>
      </c>
      <c r="K45">
        <v>29990</v>
      </c>
      <c r="L45">
        <v>19099</v>
      </c>
      <c r="M45">
        <v>22490</v>
      </c>
      <c r="N45">
        <v>31506</v>
      </c>
      <c r="O45">
        <v>31457</v>
      </c>
      <c r="P45">
        <v>33218</v>
      </c>
      <c r="Q45">
        <v>25576</v>
      </c>
      <c r="R45">
        <v>21308</v>
      </c>
      <c r="S45">
        <v>22980</v>
      </c>
    </row>
    <row r="46" spans="1:19" x14ac:dyDescent="0.25">
      <c r="A46" s="2">
        <v>2028</v>
      </c>
      <c r="B46" s="2" t="s">
        <v>7</v>
      </c>
      <c r="C46" s="2">
        <v>990</v>
      </c>
      <c r="D46" s="2">
        <v>640</v>
      </c>
      <c r="E46" s="2">
        <v>571</v>
      </c>
      <c r="F46" s="2">
        <v>735</v>
      </c>
      <c r="G46" s="8">
        <v>0.8</v>
      </c>
      <c r="H46" s="8">
        <v>0.83</v>
      </c>
      <c r="I46" s="8">
        <v>0.79</v>
      </c>
      <c r="J46">
        <v>20453</v>
      </c>
      <c r="K46">
        <v>24891</v>
      </c>
      <c r="L46">
        <v>21521</v>
      </c>
      <c r="M46">
        <v>28787</v>
      </c>
      <c r="N46">
        <v>36695</v>
      </c>
      <c r="O46">
        <v>33817</v>
      </c>
      <c r="P46">
        <v>28466</v>
      </c>
      <c r="Q46">
        <v>22201</v>
      </c>
      <c r="R46">
        <v>23555</v>
      </c>
      <c r="S46">
        <v>27290</v>
      </c>
    </row>
    <row r="47" spans="1:19" x14ac:dyDescent="0.25">
      <c r="A47" s="2">
        <v>2028</v>
      </c>
      <c r="B47" s="2" t="s">
        <v>8</v>
      </c>
      <c r="C47" s="2">
        <v>1135</v>
      </c>
      <c r="D47" s="2">
        <v>500</v>
      </c>
      <c r="E47" s="2">
        <v>732</v>
      </c>
      <c r="F47" s="2">
        <v>786</v>
      </c>
      <c r="G47" s="8">
        <v>0.87</v>
      </c>
      <c r="H47" s="8">
        <v>0.9</v>
      </c>
      <c r="I47" s="8">
        <v>0.85</v>
      </c>
      <c r="J47">
        <v>17731</v>
      </c>
      <c r="K47">
        <v>20065</v>
      </c>
      <c r="L47">
        <v>27043</v>
      </c>
      <c r="M47">
        <v>35420</v>
      </c>
      <c r="N47">
        <v>39067</v>
      </c>
      <c r="O47">
        <v>32712</v>
      </c>
      <c r="P47">
        <v>24409</v>
      </c>
      <c r="Q47">
        <v>22638</v>
      </c>
      <c r="R47">
        <v>28589</v>
      </c>
      <c r="S47">
        <v>30948</v>
      </c>
    </row>
    <row r="48" spans="1:19" x14ac:dyDescent="0.25">
      <c r="A48" s="2">
        <v>2028</v>
      </c>
      <c r="B48" s="2" t="s">
        <v>9</v>
      </c>
      <c r="C48" s="2">
        <v>1080</v>
      </c>
      <c r="D48" s="2">
        <v>620</v>
      </c>
      <c r="E48" s="2">
        <v>843</v>
      </c>
      <c r="F48" s="2">
        <v>687</v>
      </c>
      <c r="G48" s="8">
        <v>0.91</v>
      </c>
      <c r="H48" s="8">
        <v>0.93</v>
      </c>
      <c r="I48" s="8">
        <v>0.88</v>
      </c>
      <c r="J48">
        <v>19530</v>
      </c>
      <c r="K48">
        <v>18358</v>
      </c>
      <c r="L48">
        <v>31959</v>
      </c>
      <c r="M48">
        <v>38447</v>
      </c>
      <c r="N48">
        <v>36932</v>
      </c>
      <c r="O48">
        <v>29042</v>
      </c>
      <c r="P48">
        <v>22690</v>
      </c>
      <c r="Q48">
        <v>26811</v>
      </c>
      <c r="R48">
        <v>33279</v>
      </c>
      <c r="S48">
        <v>31363</v>
      </c>
    </row>
    <row r="49" spans="1:19" x14ac:dyDescent="0.25">
      <c r="A49" s="2">
        <v>2028</v>
      </c>
      <c r="B49" s="2" t="s">
        <v>10</v>
      </c>
      <c r="C49" s="2">
        <v>955</v>
      </c>
      <c r="D49" s="2">
        <v>800</v>
      </c>
      <c r="E49" s="2">
        <v>811</v>
      </c>
      <c r="F49" s="2">
        <v>626</v>
      </c>
      <c r="G49" s="8">
        <v>0.94</v>
      </c>
      <c r="H49" s="8">
        <v>0.94</v>
      </c>
      <c r="I49" s="8">
        <v>0.92</v>
      </c>
      <c r="J49">
        <v>24764</v>
      </c>
      <c r="K49">
        <v>20794</v>
      </c>
      <c r="L49">
        <v>33934</v>
      </c>
      <c r="M49">
        <v>37040</v>
      </c>
      <c r="N49">
        <v>31723</v>
      </c>
      <c r="O49">
        <v>25116</v>
      </c>
      <c r="P49">
        <v>24833</v>
      </c>
      <c r="Q49">
        <v>31993</v>
      </c>
      <c r="R49">
        <v>35147</v>
      </c>
      <c r="S49">
        <v>28493</v>
      </c>
    </row>
    <row r="50" spans="1:19" x14ac:dyDescent="0.25">
      <c r="A50" s="2">
        <v>2028</v>
      </c>
      <c r="B50" s="2" t="s">
        <v>11</v>
      </c>
      <c r="C50" s="2">
        <v>930</v>
      </c>
      <c r="D50" s="2">
        <v>950</v>
      </c>
      <c r="E50" s="2">
        <v>590</v>
      </c>
      <c r="F50" s="2">
        <v>675</v>
      </c>
      <c r="G50" s="8">
        <v>0.95</v>
      </c>
      <c r="H50" s="8">
        <v>0.95</v>
      </c>
      <c r="I50" s="8">
        <v>0.95</v>
      </c>
      <c r="J50">
        <v>30878</v>
      </c>
      <c r="K50">
        <v>26284</v>
      </c>
      <c r="L50">
        <v>31862</v>
      </c>
      <c r="M50">
        <v>31846</v>
      </c>
      <c r="N50">
        <v>26150</v>
      </c>
      <c r="O50">
        <v>23325</v>
      </c>
      <c r="P50">
        <v>29676</v>
      </c>
      <c r="Q50">
        <v>35309</v>
      </c>
      <c r="R50">
        <v>33641</v>
      </c>
      <c r="S50">
        <v>24033</v>
      </c>
    </row>
  </sheetData>
  <mergeCells count="2">
    <mergeCell ref="J1:N1"/>
    <mergeCell ref="O1:S1"/>
  </mergeCells>
  <phoneticPr fontId="3"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8DCCB-3E25-4CC3-A76C-24AF24DB3FB1}">
  <dimension ref="B1:D13"/>
  <sheetViews>
    <sheetView workbookViewId="0">
      <selection activeCell="P1" sqref="P1:S2"/>
    </sheetView>
  </sheetViews>
  <sheetFormatPr defaultRowHeight="15" x14ac:dyDescent="0.25"/>
  <sheetData>
    <row r="1" spans="2:4" ht="15" customHeight="1" x14ac:dyDescent="0.25">
      <c r="B1" s="1" t="s">
        <v>71</v>
      </c>
      <c r="D1" s="18" t="s">
        <v>70</v>
      </c>
    </row>
    <row r="2" spans="2:4" ht="15" customHeight="1" x14ac:dyDescent="0.25"/>
    <row r="3" spans="2:4" x14ac:dyDescent="0.25">
      <c r="B3" s="12" t="s">
        <v>72</v>
      </c>
      <c r="D3" s="19" t="s">
        <v>78</v>
      </c>
    </row>
    <row r="4" spans="2:4" x14ac:dyDescent="0.25">
      <c r="B4" s="13" t="s">
        <v>73</v>
      </c>
      <c r="D4" s="21" t="s">
        <v>80</v>
      </c>
    </row>
    <row r="6" spans="2:4" x14ac:dyDescent="0.25">
      <c r="B6" s="14" t="s">
        <v>74</v>
      </c>
      <c r="D6" s="20" t="s">
        <v>79</v>
      </c>
    </row>
    <row r="7" spans="2:4" x14ac:dyDescent="0.25">
      <c r="B7" s="15" t="s">
        <v>75</v>
      </c>
      <c r="D7" s="22" t="s">
        <v>81</v>
      </c>
    </row>
    <row r="9" spans="2:4" x14ac:dyDescent="0.25">
      <c r="B9" s="16" t="s">
        <v>76</v>
      </c>
      <c r="D9" s="24" t="s">
        <v>83</v>
      </c>
    </row>
    <row r="13" spans="2:4" x14ac:dyDescent="0.25">
      <c r="B13" s="17" t="s">
        <v>77</v>
      </c>
      <c r="D13" s="23" t="s">
        <v>82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Client Structure</vt:lpstr>
      <vt:lpstr>DASHBOARD Dark</vt:lpstr>
      <vt:lpstr>Client Structure Dark</vt:lpstr>
      <vt:lpstr>Processing</vt:lpstr>
      <vt:lpstr>Control</vt:lpstr>
      <vt:lpstr>Data</vt:lpstr>
      <vt:lpstr>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Serhii Ivanyk</dc:creator>
  <cp:lastModifiedBy>User</cp:lastModifiedBy>
  <dcterms:created xsi:type="dcterms:W3CDTF">2025-04-28T07:28:25Z</dcterms:created>
  <dcterms:modified xsi:type="dcterms:W3CDTF">2026-09-18T06:48:27Z</dcterms:modified>
</cp:coreProperties>
</file>