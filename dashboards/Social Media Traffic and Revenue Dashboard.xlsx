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trlProps/ctrlProp2.xml" ContentType="application/vnd.ms-excel.controlproperties+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trlProps/ctrlProp3.xml" ContentType="application/vnd.ms-excel.controlproperties+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trlProps/ctrlProp4.xml" ContentType="application/vnd.ms-excel.controlproperties+xml"/>
  <Override PartName="/xl/slicers/slicer4.xml" ContentType="application/vnd.ms-excel.slicer+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ctrlProps/ctrlProp5.xml" ContentType="application/vnd.ms-excel.controlproperties+xml"/>
  <Override PartName="/xl/slicers/slicer5.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harts/chart32.xml" ContentType="application/vnd.openxmlformats-officedocument.drawingml.chart+xml"/>
  <Override PartName="/xl/charts/style30.xml" ContentType="application/vnd.ms-office.chartstyle+xml"/>
  <Override PartName="/xl/charts/colors30.xml" ContentType="application/vnd.ms-office.chartcolorstyle+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6.xml" ContentType="application/vnd.openxmlformats-officedocument.drawing+xml"/>
  <Override PartName="/xl/ctrlProps/ctrlProp6.xml" ContentType="application/vnd.ms-excel.controlproperties+xml"/>
  <Override PartName="/xl/slicers/slicer6.xml" ContentType="application/vnd.ms-excel.slicer+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style33.xml" ContentType="application/vnd.ms-office.chartstyle+xml"/>
  <Override PartName="/xl/charts/colors33.xml" ContentType="application/vnd.ms-office.chartcolorstyle+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charts/chart39.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7.xml" ContentType="application/vnd.openxmlformats-officedocument.drawing+xml"/>
  <Override PartName="/xl/ctrlProps/ctrlProp7.xml" ContentType="application/vnd.ms-excel.controlproperties+xml"/>
  <Override PartName="/xl/slicers/slicer7.xml" ContentType="application/vnd.ms-excel.slicer+xml"/>
  <Override PartName="/xl/charts/chart40.xml" ContentType="application/vnd.openxmlformats-officedocument.drawingml.chart+xml"/>
  <Override PartName="/xl/charts/style36.xml" ContentType="application/vnd.ms-office.chartstyle+xml"/>
  <Override PartName="/xl/charts/colors36.xml" ContentType="application/vnd.ms-office.chartcolorstyle+xml"/>
  <Override PartName="/xl/charts/chart41.xml" ContentType="application/vnd.openxmlformats-officedocument.drawingml.chart+xml"/>
  <Override PartName="/xl/charts/style37.xml" ContentType="application/vnd.ms-office.chartstyle+xml"/>
  <Override PartName="/xl/charts/colors37.xml" ContentType="application/vnd.ms-office.chartcolorstyle+xml"/>
  <Override PartName="/xl/charts/chart42.xml" ContentType="application/vnd.openxmlformats-officedocument.drawingml.chart+xml"/>
  <Override PartName="/xl/charts/style38.xml" ContentType="application/vnd.ms-office.chartstyle+xml"/>
  <Override PartName="/xl/charts/colors38.xml" ContentType="application/vnd.ms-office.chartcolorstyle+xml"/>
  <Override PartName="/xl/charts/chart43.xml" ContentType="application/vnd.openxmlformats-officedocument.drawingml.chart+xml"/>
  <Override PartName="/xl/charts/style39.xml" ContentType="application/vnd.ms-office.chartstyle+xml"/>
  <Override PartName="/xl/charts/colors39.xml" ContentType="application/vnd.ms-office.chartcolorstyle+xml"/>
  <Override PartName="/xl/charts/chart44.xml" ContentType="application/vnd.openxmlformats-officedocument.drawingml.chart+xml"/>
  <Override PartName="/xl/charts/style40.xml" ContentType="application/vnd.ms-office.chartstyle+xml"/>
  <Override PartName="/xl/charts/colors40.xml" ContentType="application/vnd.ms-office.chartcolorstyle+xml"/>
  <Override PartName="/xl/charts/chart45.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8.xml" ContentType="application/vnd.openxmlformats-officedocument.drawing+xml"/>
  <Override PartName="/xl/ctrlProps/ctrlProp8.xml" ContentType="application/vnd.ms-excel.controlproperties+xml"/>
  <Override PartName="/xl/slicers/slicer8.xml" ContentType="application/vnd.ms-excel.slicer+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style42.xml" ContentType="application/vnd.ms-office.chartstyle+xml"/>
  <Override PartName="/xl/charts/colors42.xml" ContentType="application/vnd.ms-office.chartcolorstyle+xml"/>
  <Override PartName="/xl/charts/chart50.xml" ContentType="application/vnd.openxmlformats-officedocument.drawingml.chart+xml"/>
  <Override PartName="/xl/charts/chart51.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9.xml" ContentType="application/vnd.openxmlformats-officedocument.drawing+xml"/>
  <Override PartName="/xl/ctrlProps/ctrlProp9.xml" ContentType="application/vnd.ms-excel.controlproperties+xml"/>
  <Override PartName="/xl/slicers/slicer9.xml" ContentType="application/vnd.ms-excel.slicer+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style44.xml" ContentType="application/vnd.ms-office.chartstyle+xml"/>
  <Override PartName="/xl/charts/colors44.xml" ContentType="application/vnd.ms-office.chartcolorstyle+xml"/>
  <Override PartName="/xl/charts/chart56.xml" ContentType="application/vnd.openxmlformats-officedocument.drawingml.chart+xml"/>
  <Override PartName="/xl/charts/chart57.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10.xml" ContentType="application/vnd.openxmlformats-officedocument.drawing+xml"/>
  <Override PartName="/xl/ctrlProps/ctrlProp10.xml" ContentType="application/vnd.ms-excel.controlproperties+xml"/>
  <Override PartName="/xl/slicers/slicer10.xml" ContentType="application/vnd.ms-excel.slicer+xml"/>
  <Override PartName="/xl/charts/chart58.xml" ContentType="application/vnd.openxmlformats-officedocument.drawingml.chart+xml"/>
  <Override PartName="/xl/charts/style46.xml" ContentType="application/vnd.ms-office.chartstyle+xml"/>
  <Override PartName="/xl/charts/colors46.xml" ContentType="application/vnd.ms-office.chartcolorstyle+xml"/>
  <Override PartName="/xl/charts/chart59.xml" ContentType="application/vnd.openxmlformats-officedocument.drawingml.chart+xml"/>
  <Override PartName="/xl/charts/style47.xml" ContentType="application/vnd.ms-office.chartstyle+xml"/>
  <Override PartName="/xl/charts/colors47.xml" ContentType="application/vnd.ms-office.chartcolorstyle+xml"/>
  <Override PartName="/xl/charts/chart60.xml" ContentType="application/vnd.openxmlformats-officedocument.drawingml.chart+xml"/>
  <Override PartName="/xl/charts/style48.xml" ContentType="application/vnd.ms-office.chartstyle+xml"/>
  <Override PartName="/xl/charts/colors48.xml" ContentType="application/vnd.ms-office.chartcolorstyle+xml"/>
  <Override PartName="/xl/charts/chart61.xml" ContentType="application/vnd.openxmlformats-officedocument.drawingml.chart+xml"/>
  <Override PartName="/xl/charts/style49.xml" ContentType="application/vnd.ms-office.chartstyle+xml"/>
  <Override PartName="/xl/charts/colors49.xml" ContentType="application/vnd.ms-office.chartcolorstyle+xml"/>
  <Override PartName="/xl/charts/chart62.xml" ContentType="application/vnd.openxmlformats-officedocument.drawingml.chart+xml"/>
  <Override PartName="/xl/charts/style50.xml" ContentType="application/vnd.ms-office.chartstyle+xml"/>
  <Override PartName="/xl/charts/colors50.xml" ContentType="application/vnd.ms-office.chartcolorstyle+xml"/>
  <Override PartName="/xl/charts/chart63.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11.xml" ContentType="application/vnd.openxmlformats-officedocument.drawing+xml"/>
  <Override PartName="/xl/ctrlProps/ctrlProp11.xml" ContentType="application/vnd.ms-excel.controlproperties+xml"/>
  <Override PartName="/xl/slicers/slicer11.xml" ContentType="application/vnd.ms-excel.slicer+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style52.xml" ContentType="application/vnd.ms-office.chartstyle+xml"/>
  <Override PartName="/xl/charts/colors52.xml" ContentType="application/vnd.ms-office.chartcolorstyle+xml"/>
  <Override PartName="/xl/charts/chart68.xml" ContentType="application/vnd.openxmlformats-officedocument.drawingml.chart+xml"/>
  <Override PartName="/xl/charts/chart69.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12.xml" ContentType="application/vnd.openxmlformats-officedocument.drawing+xml"/>
  <Override PartName="/xl/ctrlProps/ctrlProp12.xml" ContentType="application/vnd.ms-excel.controlproperties+xml"/>
  <Override PartName="/xl/slicers/slicer12.xml" ContentType="application/vnd.ms-excel.slicer+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style54.xml" ContentType="application/vnd.ms-office.chartstyle+xml"/>
  <Override PartName="/xl/charts/colors54.xml" ContentType="application/vnd.ms-office.chartcolorstyle+xml"/>
  <Override PartName="/xl/charts/chart74.xml" ContentType="application/vnd.openxmlformats-officedocument.drawingml.chart+xml"/>
  <Override PartName="/xl/charts/chart75.xml" ContentType="application/vnd.openxmlformats-officedocument.drawingml.chart+xml"/>
  <Override PartName="/xl/charts/style55.xml" ContentType="application/vnd.ms-office.chartstyle+xml"/>
  <Override PartName="/xl/charts/colors55.xml" ContentType="application/vnd.ms-office.chartcolorstyle+xml"/>
  <Override PartName="/xl/drawings/drawing13.xml" ContentType="application/vnd.openxmlformats-officedocument.drawing+xml"/>
  <Override PartName="/xl/slicers/slicer13.xml" ContentType="application/vnd.ms-excel.slicer+xml"/>
  <Override PartName="/xl/charts/chart76.xml" ContentType="application/vnd.openxmlformats-officedocument.drawingml.chart+xml"/>
  <Override PartName="/xl/charts/style56.xml" ContentType="application/vnd.ms-office.chartstyle+xml"/>
  <Override PartName="/xl/charts/colors56.xml" ContentType="application/vnd.ms-office.chartcolorstyle+xml"/>
  <Override PartName="/xl/charts/chart77.xml" ContentType="application/vnd.openxmlformats-officedocument.drawingml.chart+xml"/>
  <Override PartName="/xl/charts/style57.xml" ContentType="application/vnd.ms-office.chartstyle+xml"/>
  <Override PartName="/xl/charts/colors57.xml" ContentType="application/vnd.ms-office.chartcolorstyle+xml"/>
  <Override PartName="/xl/charts/chart78.xml" ContentType="application/vnd.openxmlformats-officedocument.drawingml.chart+xml"/>
  <Override PartName="/xl/charts/style58.xml" ContentType="application/vnd.ms-office.chartstyle+xml"/>
  <Override PartName="/xl/charts/colors58.xml" ContentType="application/vnd.ms-office.chartcolorstyle+xml"/>
  <Override PartName="/xl/charts/chart79.xml" ContentType="application/vnd.openxmlformats-officedocument.drawingml.chart+xml"/>
  <Override PartName="/xl/charts/style59.xml" ContentType="application/vnd.ms-office.chartstyle+xml"/>
  <Override PartName="/xl/charts/colors59.xml" ContentType="application/vnd.ms-office.chartcolorstyle+xml"/>
  <Override PartName="/xl/charts/chart80.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14.xml" ContentType="application/vnd.openxmlformats-officedocument.drawing+xml"/>
  <Override PartName="/xl/slicers/slicer14.xml" ContentType="application/vnd.ms-excel.slicer+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15.xml" ContentType="application/vnd.openxmlformats-officedocument.drawing+xml"/>
  <Override PartName="/xl/slicers/slicer15.xml" ContentType="application/vnd.ms-excel.slicer+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style62.xml" ContentType="application/vnd.ms-office.chartstyle+xml"/>
  <Override PartName="/xl/charts/colors6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c6e5fe5563ab6cfd/Desktop/Dashboard Projects/Dashboard/Chart96/"/>
    </mc:Choice>
  </mc:AlternateContent>
  <xr:revisionPtr revIDLastSave="1" documentId="8_{05AD27EC-FA7F-4A21-A196-960B6CA89865}" xr6:coauthVersionLast="47" xr6:coauthVersionMax="47" xr10:uidLastSave="{51A6C866-340A-487C-B133-58E32DCE77B9}"/>
  <bookViews>
    <workbookView xWindow="-120" yWindow="-120" windowWidth="20730" windowHeight="11310" tabRatio="785" xr2:uid="{C43CFEB0-5504-4C96-8ACD-ACEA14457BCE}"/>
  </bookViews>
  <sheets>
    <sheet name="DASHBOARD" sheetId="1" r:id="rId1"/>
    <sheet name="DASHBOARD Light" sheetId="10" r:id="rId2"/>
    <sheet name="DASHBOARD Bright" sheetId="19" r:id="rId3"/>
    <sheet name="Sales" sheetId="6" r:id="rId4"/>
    <sheet name="Sales Light" sheetId="11" r:id="rId5"/>
    <sheet name="Sales Bright" sheetId="18" r:id="rId6"/>
    <sheet name="Tariffs" sheetId="7" r:id="rId7"/>
    <sheet name="Tariffs Light" sheetId="12" r:id="rId8"/>
    <sheet name="Tariffs Bright" sheetId="17" r:id="rId9"/>
    <sheet name="Coverage" sheetId="8" r:id="rId10"/>
    <sheet name="Coverage Light" sheetId="13" r:id="rId11"/>
    <sheet name="Coverage Bright" sheetId="16" r:id="rId12"/>
    <sheet name="Traffic" sheetId="9" r:id="rId13"/>
    <sheet name="Traffic Light" sheetId="14" r:id="rId14"/>
    <sheet name="Traffic Bright" sheetId="15" r:id="rId15"/>
    <sheet name="Processing" sheetId="2" r:id="rId16"/>
    <sheet name="Control" sheetId="3" r:id="rId17"/>
    <sheet name="Data" sheetId="4" r:id="rId18"/>
    <sheet name="Resources" sheetId="5" r:id="rId19"/>
  </sheets>
  <definedNames>
    <definedName name="Slicer_Indicators">#N/A</definedName>
    <definedName name="Slicer_Month">#N/A</definedName>
    <definedName name="Slicer_Tariffs">#N/A</definedName>
    <definedName name="Slicer_Traffic">#N/A</definedName>
    <definedName name="Slicer_Year">#N/A</definedName>
  </definedNames>
  <calcPr calcId="191029"/>
  <pivotCaches>
    <pivotCache cacheId="21" r:id="rId20"/>
    <pivotCache cacheId="22" r:id="rId21"/>
    <pivotCache cacheId="23" r:id="rId22"/>
    <pivotCache cacheId="24" r:id="rId23"/>
  </pivotCaches>
  <extLs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2" l="1"/>
  <c r="N7" i="2"/>
  <c r="M30" i="2"/>
  <c r="N30" i="2"/>
  <c r="O30" i="2"/>
  <c r="L30" i="2"/>
  <c r="I21" i="2"/>
  <c r="D16" i="2"/>
  <c r="C16" i="2"/>
  <c r="O28" i="2"/>
  <c r="N21" i="2"/>
  <c r="O21" i="2"/>
  <c r="N28" i="2"/>
  <c r="L19" i="2"/>
  <c r="L29" i="2"/>
  <c r="C25" i="2"/>
  <c r="K4" i="2"/>
  <c r="R6" i="2"/>
  <c r="Q8" i="2"/>
  <c r="H19" i="2"/>
  <c r="M11" i="2"/>
  <c r="H23" i="2"/>
  <c r="M21" i="2"/>
  <c r="M24" i="2"/>
  <c r="N24" i="2"/>
  <c r="O24" i="2"/>
  <c r="L27" i="2"/>
  <c r="L24" i="2"/>
  <c r="C24" i="2"/>
  <c r="P8" i="2"/>
  <c r="G15" i="2"/>
  <c r="H21" i="2"/>
  <c r="H25" i="2"/>
  <c r="M15" i="2"/>
  <c r="O23" i="2"/>
  <c r="O26" i="2"/>
  <c r="M27" i="2"/>
  <c r="O19" i="2"/>
  <c r="L20" i="2"/>
  <c r="L25" i="2"/>
  <c r="C20" i="2"/>
  <c r="F20" i="2" s="1"/>
  <c r="L15" i="2"/>
  <c r="F24" i="2"/>
  <c r="M14" i="2"/>
  <c r="H20" i="2"/>
  <c r="M12" i="2"/>
  <c r="H26" i="2"/>
  <c r="N26" i="2"/>
  <c r="N29" i="2"/>
  <c r="O29" i="2"/>
  <c r="M20" i="2"/>
  <c r="L28" i="2"/>
  <c r="L18" i="2"/>
  <c r="C26" i="2"/>
  <c r="F26" i="2" s="1"/>
  <c r="L8" i="2"/>
  <c r="H15" i="2"/>
  <c r="K3" i="2"/>
  <c r="H24" i="2"/>
  <c r="M18" i="2"/>
  <c r="M29" i="2"/>
  <c r="N27" i="2"/>
  <c r="N19" i="2"/>
  <c r="O22" i="2"/>
  <c r="L21" i="2"/>
  <c r="F30" i="2"/>
  <c r="C18" i="2"/>
  <c r="F18" i="2" s="1"/>
  <c r="F15" i="2"/>
  <c r="L10" i="2"/>
  <c r="F28" i="2"/>
  <c r="H29" i="2"/>
  <c r="O20" i="2"/>
  <c r="N20" i="2"/>
  <c r="M25" i="2"/>
  <c r="M22" i="2"/>
  <c r="N25" i="2"/>
  <c r="L22" i="2"/>
  <c r="G30" i="2"/>
  <c r="C23" i="2"/>
  <c r="F23" i="2" s="1"/>
  <c r="K2" i="2"/>
  <c r="F25" i="2"/>
  <c r="M9" i="2"/>
  <c r="M10" i="2"/>
  <c r="N23" i="2"/>
  <c r="N18" i="2"/>
  <c r="M23" i="2"/>
  <c r="N22" i="2"/>
  <c r="M28" i="2"/>
  <c r="L26" i="2"/>
  <c r="D18" i="2"/>
  <c r="G18" i="2" s="1"/>
  <c r="C19" i="2"/>
  <c r="F19" i="2" s="1"/>
  <c r="L14" i="2"/>
  <c r="L9" i="2"/>
  <c r="L11" i="2"/>
  <c r="H18" i="2"/>
  <c r="H27" i="2"/>
  <c r="M8" i="2"/>
  <c r="M26" i="2"/>
  <c r="O18" i="2"/>
  <c r="M19" i="2"/>
  <c r="O27" i="2"/>
  <c r="O25" i="2"/>
  <c r="L23" i="2"/>
  <c r="C27" i="2"/>
  <c r="F27" i="2" s="1"/>
  <c r="C28" i="2"/>
  <c r="K5" i="2"/>
  <c r="L12" i="2"/>
  <c r="L13" i="2"/>
  <c r="M13" i="2"/>
  <c r="H22" i="2"/>
  <c r="H28" i="2"/>
  <c r="N8" i="2" l="1"/>
  <c r="P28" i="2" a="1"/>
  <c r="P26" i="2" a="1"/>
  <c r="P20" i="2" a="1"/>
  <c r="P27" i="2" a="1"/>
  <c r="P25" i="2" a="1"/>
  <c r="P24" i="2" a="1"/>
  <c r="P19" i="2" a="1"/>
  <c r="P23" i="2" a="1"/>
  <c r="P18" i="2" a="1"/>
  <c r="L16" i="2"/>
  <c r="I22" i="2"/>
  <c r="Q12" i="2"/>
  <c r="P10" i="2"/>
  <c r="Q10" i="2" s="1"/>
  <c r="D25" i="2"/>
  <c r="D22" i="2"/>
  <c r="C22" i="2"/>
  <c r="G22" i="2"/>
  <c r="D26" i="2"/>
  <c r="C29" i="2"/>
  <c r="D19" i="2"/>
  <c r="C21" i="2"/>
  <c r="D28" i="2"/>
  <c r="G28" i="2" s="1"/>
  <c r="D23" i="2"/>
  <c r="G23" i="2" s="1"/>
  <c r="D29" i="2"/>
  <c r="G29" i="2" s="1"/>
  <c r="D24" i="2"/>
  <c r="G24" i="2" s="1"/>
  <c r="G26" i="2"/>
  <c r="D21" i="2"/>
  <c r="G21" i="2" s="1"/>
  <c r="D20" i="2"/>
  <c r="G20" i="2" s="1"/>
  <c r="G25" i="2"/>
  <c r="D27" i="2"/>
  <c r="G27" i="2" s="1"/>
  <c r="G19" i="2"/>
  <c r="B30" i="2" l="1" a="1"/>
  <c r="B23" i="2" s="1"/>
  <c r="E23" i="2" s="1"/>
  <c r="P15" i="2"/>
  <c r="P16" i="2" s="1"/>
  <c r="P13" i="2"/>
  <c r="P14" i="2" s="1"/>
  <c r="F21" i="2"/>
  <c r="F29" i="2"/>
  <c r="F22" i="2"/>
  <c r="P22" i="2" l="1" a="1"/>
  <c r="P29" i="2" a="1"/>
  <c r="P21" i="2" a="1"/>
  <c r="B28" i="2"/>
  <c r="E28" i="2" s="1"/>
  <c r="B25" i="2"/>
  <c r="E25" i="2" s="1"/>
  <c r="B18" i="2"/>
  <c r="E18" i="2" s="1"/>
  <c r="B27" i="2"/>
  <c r="E27" i="2" s="1"/>
  <c r="B19" i="2"/>
  <c r="E19" i="2" s="1"/>
  <c r="B22" i="2"/>
  <c r="E22" i="2" s="1"/>
  <c r="B29" i="2"/>
  <c r="E29" i="2" s="1"/>
  <c r="B26" i="2"/>
  <c r="E26" i="2" s="1"/>
  <c r="B21" i="2"/>
  <c r="E21" i="2" s="1"/>
  <c r="B20" i="2"/>
  <c r="E20" i="2" s="1"/>
  <c r="B24" i="2"/>
  <c r="E24" i="2" s="1"/>
  <c r="C1" i="2" l="1"/>
  <c r="C10" i="2" s="1"/>
  <c r="F10" i="2" s="1"/>
  <c r="D1" i="2"/>
  <c r="D6" i="2" s="1"/>
  <c r="G6" i="2" s="1"/>
  <c r="B1" i="2"/>
  <c r="B4" i="2" s="1"/>
  <c r="E4" i="2" s="1"/>
  <c r="I3" i="2"/>
  <c r="I2" i="2"/>
  <c r="Q3" i="2"/>
  <c r="Q4" i="2"/>
  <c r="Q5" i="2"/>
  <c r="Q2" i="2"/>
  <c r="H12" i="2"/>
  <c r="H7" i="2"/>
  <c r="H4" i="2"/>
  <c r="H14" i="2"/>
  <c r="H3" i="2"/>
  <c r="H9" i="2"/>
  <c r="H6" i="2"/>
  <c r="H5" i="2"/>
  <c r="H13" i="2"/>
  <c r="H11" i="2"/>
  <c r="H10" i="2"/>
  <c r="H8" i="2"/>
  <c r="R2" i="2" l="1"/>
  <c r="R3" i="2"/>
  <c r="R4" i="2"/>
  <c r="R5" i="2"/>
  <c r="B14" i="2"/>
  <c r="E14" i="2" s="1"/>
  <c r="B8" i="2"/>
  <c r="E8" i="2" s="1"/>
  <c r="C8" i="2"/>
  <c r="F8" i="2" s="1"/>
  <c r="C5" i="2"/>
  <c r="F5" i="2" s="1"/>
  <c r="B7" i="2"/>
  <c r="E7" i="2" s="1"/>
  <c r="D3" i="2"/>
  <c r="G3" i="2" s="1"/>
  <c r="C4" i="2"/>
  <c r="F4" i="2" s="1"/>
  <c r="D9" i="2"/>
  <c r="G9" i="2" s="1"/>
  <c r="D11" i="2"/>
  <c r="G11" i="2" s="1"/>
  <c r="D7" i="2"/>
  <c r="G7" i="2" s="1"/>
  <c r="C11" i="2"/>
  <c r="F11" i="2" s="1"/>
  <c r="C3" i="2"/>
  <c r="F3" i="2" s="1"/>
  <c r="B9" i="2"/>
  <c r="E9" i="2" s="1"/>
  <c r="B5" i="2"/>
  <c r="E5" i="2" s="1"/>
  <c r="B13" i="2"/>
  <c r="E13" i="2" s="1"/>
  <c r="D4" i="2"/>
  <c r="G4" i="2" s="1"/>
  <c r="D14" i="2"/>
  <c r="G14" i="2" s="1"/>
  <c r="B11" i="2"/>
  <c r="E11" i="2" s="1"/>
  <c r="D12" i="2"/>
  <c r="C12" i="2"/>
  <c r="B12" i="2"/>
  <c r="D5" i="2"/>
  <c r="G5" i="2" s="1"/>
  <c r="B6" i="2"/>
  <c r="E6" i="2" s="1"/>
  <c r="D10" i="2"/>
  <c r="C14" i="2"/>
  <c r="F14" i="2" s="1"/>
  <c r="C9" i="2"/>
  <c r="F9" i="2" s="1"/>
  <c r="D8" i="2"/>
  <c r="G8" i="2" s="1"/>
  <c r="B10" i="2"/>
  <c r="E10" i="2" s="1"/>
  <c r="B3" i="2"/>
  <c r="E3" i="2" s="1"/>
  <c r="D13" i="2"/>
  <c r="G13" i="2" s="1"/>
  <c r="C7" i="2"/>
  <c r="F7" i="2" s="1"/>
  <c r="C13" i="2"/>
  <c r="F13" i="2" s="1"/>
  <c r="C6" i="2"/>
  <c r="F6" i="2" s="1"/>
  <c r="P6" i="2" l="1"/>
  <c r="P2" i="2" s="1"/>
  <c r="L4" i="2"/>
  <c r="L3" i="2"/>
  <c r="L1" i="2"/>
  <c r="E12" i="2"/>
  <c r="G12" i="2"/>
  <c r="F12" i="2"/>
  <c r="G10" i="2"/>
  <c r="P5" i="2" l="1"/>
  <c r="P4" i="2"/>
  <c r="P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<sst xmlns="http://schemas.openxmlformats.org/spreadsheetml/2006/main" count="283" uniqueCount="99">
  <si>
    <t>Referral</t>
  </si>
  <si>
    <t>Social</t>
  </si>
  <si>
    <t>Organic</t>
  </si>
  <si>
    <t>Other</t>
  </si>
  <si>
    <t>Label</t>
  </si>
  <si>
    <t>Traffic Sources</t>
  </si>
  <si>
    <t>North</t>
  </si>
  <si>
    <t>N</t>
  </si>
  <si>
    <t>Northeast</t>
  </si>
  <si>
    <t>NE</t>
  </si>
  <si>
    <t>E</t>
  </si>
  <si>
    <t>East</t>
  </si>
  <si>
    <t>Southeast</t>
  </si>
  <si>
    <t>SE</t>
  </si>
  <si>
    <t>South</t>
  </si>
  <si>
    <t>S</t>
  </si>
  <si>
    <t>Southwest</t>
  </si>
  <si>
    <t>SW</t>
  </si>
  <si>
    <t>West</t>
  </si>
  <si>
    <t>W</t>
  </si>
  <si>
    <t>NW</t>
  </si>
  <si>
    <t>Northwest</t>
  </si>
  <si>
    <t>District</t>
  </si>
  <si>
    <t>Coverage</t>
  </si>
  <si>
    <t>Month</t>
  </si>
  <si>
    <t>JAN</t>
  </si>
  <si>
    <t>FEB</t>
  </si>
  <si>
    <t>MAR</t>
  </si>
  <si>
    <t>APR</t>
  </si>
  <si>
    <t>MAY</t>
  </si>
  <si>
    <t>JUN</t>
  </si>
  <si>
    <t>JUL</t>
  </si>
  <si>
    <t>AUG</t>
  </si>
  <si>
    <t>SEP</t>
  </si>
  <si>
    <t>OCT</t>
  </si>
  <si>
    <t>NOV</t>
  </si>
  <si>
    <t>DEC</t>
  </si>
  <si>
    <t>Revenue</t>
  </si>
  <si>
    <t>Expenses</t>
  </si>
  <si>
    <t>Profit</t>
  </si>
  <si>
    <t>Cursor R</t>
  </si>
  <si>
    <t>Cursor E</t>
  </si>
  <si>
    <t>Cursor P</t>
  </si>
  <si>
    <t>Subscribers</t>
  </si>
  <si>
    <t>Year</t>
  </si>
  <si>
    <t>Sales Target</t>
  </si>
  <si>
    <t>Subscribers Target</t>
  </si>
  <si>
    <t>Leads</t>
  </si>
  <si>
    <t>Deals</t>
  </si>
  <si>
    <t>Row Labels</t>
  </si>
  <si>
    <t>Grand Total</t>
  </si>
  <si>
    <t>Sum of Revenue</t>
  </si>
  <si>
    <t>Sum of Expenses</t>
  </si>
  <si>
    <t>Sum of Sales Target</t>
  </si>
  <si>
    <t>Sum of Subscribers</t>
  </si>
  <si>
    <t>Target</t>
  </si>
  <si>
    <t>toggle</t>
  </si>
  <si>
    <t>Indicators</t>
  </si>
  <si>
    <t>Sum of Profit</t>
  </si>
  <si>
    <t>E993EB</t>
  </si>
  <si>
    <t>394CA9</t>
  </si>
  <si>
    <t>#5987F6</t>
  </si>
  <si>
    <t>#7A59CD</t>
  </si>
  <si>
    <t>#F0F8FD</t>
  </si>
  <si>
    <t>#A2D8F0</t>
  </si>
  <si>
    <t>Sum of Leads</t>
  </si>
  <si>
    <t>Sum of Deals</t>
  </si>
  <si>
    <t>Average of Referral</t>
  </si>
  <si>
    <t>Average of Social</t>
  </si>
  <si>
    <t>Average of Organic</t>
  </si>
  <si>
    <t>Average of Other</t>
  </si>
  <si>
    <t>Average of N</t>
  </si>
  <si>
    <t>Average of NE</t>
  </si>
  <si>
    <t>Average of E</t>
  </si>
  <si>
    <t>Average of SE</t>
  </si>
  <si>
    <t>Average of S</t>
  </si>
  <si>
    <t>Average of SW</t>
  </si>
  <si>
    <t>Average of W</t>
  </si>
  <si>
    <t>Average of NW</t>
  </si>
  <si>
    <t>indent</t>
  </si>
  <si>
    <t>Cursor</t>
  </si>
  <si>
    <t>Conversion</t>
  </si>
  <si>
    <t>Standart</t>
  </si>
  <si>
    <t>Sum of Standart</t>
  </si>
  <si>
    <t>Cursor S</t>
  </si>
  <si>
    <t>indent C</t>
  </si>
  <si>
    <t>#61A7F5</t>
  </si>
  <si>
    <t>Tariffs</t>
  </si>
  <si>
    <t>Premium</t>
  </si>
  <si>
    <t>Sum of Premium</t>
  </si>
  <si>
    <t>Sum of Subscribers Target</t>
  </si>
  <si>
    <t>Coverage Target</t>
  </si>
  <si>
    <t>Max of Coverage Target</t>
  </si>
  <si>
    <t>Sum of Referral</t>
  </si>
  <si>
    <t>Sum of Social</t>
  </si>
  <si>
    <t>Sum of Organic</t>
  </si>
  <si>
    <t>Sum of Other</t>
  </si>
  <si>
    <t>Traffic</t>
  </si>
  <si>
    <t>https://exceltable.com/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</si>
</sst>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quot;$&quot;* #,##0_);_(&quot;$&quot;* \(#,##0\);_(&quot;$&quot;* &quot;-&quot;??_);_(@_)"/>
    <numFmt numFmtId="165" formatCode="#\ ###\ ###"/>
    <numFmt numFmtId="167" formatCode="_(* #,##0_);_(* \(#,##0\);_(* &quot;-&quot;??_);_(@_)"/>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u/>
      <sz val="28"/>
      <color theme="10"/>
      <name val="Aptos Narrow"/>
      <family val="2"/>
      <scheme val="minor"/>
    </font>
  </fonts>
  <fills count="11">
    <fill>
      <patternFill patternType="none"/>
    </fill>
    <fill>
      <patternFill patternType="gray125"/>
    </fill>
    <fill>
      <patternFill patternType="solid">
        <fgColor theme="4"/>
        <bgColor theme="4"/>
      </patternFill>
    </fill>
    <fill>
      <patternFill patternType="solid">
        <fgColor rgb="FF4C4D8E"/>
        <bgColor indexed="64"/>
      </patternFill>
    </fill>
    <fill>
      <patternFill patternType="solid">
        <fgColor rgb="FF394CA9"/>
        <bgColor indexed="64"/>
      </patternFill>
    </fill>
    <fill>
      <patternFill patternType="solid">
        <fgColor rgb="FFE993EB"/>
        <bgColor indexed="64"/>
      </patternFill>
    </fill>
    <fill>
      <patternFill patternType="solid">
        <fgColor rgb="FF5987F6"/>
        <bgColor indexed="64"/>
      </patternFill>
    </fill>
    <fill>
      <patternFill patternType="solid">
        <fgColor rgb="FF7A59CD"/>
        <bgColor indexed="64"/>
      </patternFill>
    </fill>
    <fill>
      <patternFill patternType="solid">
        <fgColor rgb="FFF0F8FD"/>
        <bgColor indexed="64"/>
      </patternFill>
    </fill>
    <fill>
      <patternFill patternType="solid">
        <fgColor rgb="FFA2D8F0"/>
        <bgColor indexed="64"/>
      </patternFill>
    </fill>
    <fill>
      <patternFill patternType="solid">
        <fgColor rgb="FF61A7F5"/>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43" fontId="1" fillId="0" borderId="0" applyFont="0" applyFill="0" applyBorder="0" applyAlignment="0" applyProtection="0"/>
  </cellStyleXfs>
  <cellXfs count="28">
    <xf numFmtId="0" fontId="0" fillId="0" borderId="0" xfId="0"/>
    <xf numFmtId="9" fontId="0" fillId="0" borderId="0" xfId="0" applyNumberFormat="1"/>
    <xf numFmtId="9" fontId="0" fillId="0" borderId="0" xfId="0" applyNumberFormat="1" applyAlignment="1">
      <alignment horizontal="center"/>
    </xf>
    <xf numFmtId="0" fontId="0" fillId="0" borderId="0" xfId="0" applyAlignment="1">
      <alignment horizontal="center"/>
    </xf>
    <xf numFmtId="0" fontId="3" fillId="0" borderId="0" xfId="0" applyFont="1"/>
    <xf numFmtId="0" fontId="3" fillId="0" borderId="0" xfId="0" applyFont="1" applyAlignment="1">
      <alignment horizontal="center"/>
    </xf>
    <xf numFmtId="164" fontId="0" fillId="0" borderId="0" xfId="1" applyNumberFormat="1" applyFont="1"/>
    <xf numFmtId="0" fontId="2" fillId="2" borderId="1" xfId="0" applyFont="1" applyFill="1" applyBorder="1" applyAlignment="1">
      <alignment horizontal="center"/>
    </xf>
    <xf numFmtId="0" fontId="2" fillId="2" borderId="2" xfId="0" applyFont="1" applyFill="1" applyBorder="1" applyAlignment="1">
      <alignment horizontal="center"/>
    </xf>
    <xf numFmtId="9" fontId="0" fillId="0" borderId="0" xfId="2" applyFont="1" applyAlignment="1">
      <alignment horizontal="center"/>
    </xf>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5" borderId="0" xfId="0" applyFill="1"/>
    <xf numFmtId="0" fontId="4" fillId="6" borderId="0" xfId="0" applyFont="1" applyFill="1"/>
    <xf numFmtId="0" fontId="0" fillId="7" borderId="0" xfId="0" applyFill="1"/>
    <xf numFmtId="0" fontId="0" fillId="8" borderId="0" xfId="0" applyFill="1"/>
    <xf numFmtId="0" fontId="0" fillId="9" borderId="0" xfId="0" applyFill="1"/>
    <xf numFmtId="165" fontId="0" fillId="0" borderId="0" xfId="0" applyNumberFormat="1" applyAlignment="1">
      <alignment horizontal="center"/>
    </xf>
    <xf numFmtId="165" fontId="0" fillId="0" borderId="0" xfId="1" applyNumberFormat="1" applyFont="1" applyAlignment="1">
      <alignment horizontal="center"/>
    </xf>
    <xf numFmtId="0" fontId="0" fillId="10" borderId="0" xfId="0" applyFill="1"/>
    <xf numFmtId="0" fontId="2" fillId="2" borderId="3" xfId="0" applyFont="1" applyFill="1" applyBorder="1" applyAlignment="1">
      <alignment horizontal="center"/>
    </xf>
    <xf numFmtId="0" fontId="6" fillId="0" borderId="0" xfId="3" applyFont="1"/>
    <xf numFmtId="0" fontId="0" fillId="0" borderId="0" xfId="0" applyNumberFormat="1"/>
    <xf numFmtId="167" fontId="0" fillId="0" borderId="0" xfId="4" applyNumberFormat="1" applyFont="1"/>
    <xf numFmtId="167" fontId="0" fillId="0" borderId="0" xfId="4" applyNumberFormat="1" applyFont="1" applyAlignment="1">
      <alignment horizontal="center"/>
    </xf>
    <xf numFmtId="0" fontId="6" fillId="0" borderId="0" xfId="3" applyFont="1" applyAlignment="1"/>
  </cellXfs>
  <cellStyles count="5">
    <cellStyle name="Comma" xfId="4" builtinId="3"/>
    <cellStyle name="Currency" xfId="1" builtinId="4"/>
    <cellStyle name="Hyperlink" xfId="3" builtinId="8"/>
    <cellStyle name="Normal" xfId="0" builtinId="0"/>
    <cellStyle name="Percent" xfId="2" builtinId="5"/>
  </cellStyles>
  <dxfs count="40">
    <dxf>
      <numFmt numFmtId="167" formatCode="_(* #,##0_);_(* \(#,##0\);_(*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_(* #,##0_);_(* \(#,##0\);_(* &quot;-&quot;??_);_(@_)"/>
    </dxf>
    <dxf>
      <numFmt numFmtId="167" formatCode="_(* #,##0_);_(* \(#,##0\);_(* &quot;-&quot;??_);_(@_)"/>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E2DEFF"/>
        </patternFill>
      </fill>
      <border diagonalUp="0" diagonalDown="0">
        <left/>
        <right/>
        <top/>
        <bottom/>
        <vertical/>
        <horizontal/>
      </border>
    </dxf>
    <dxf>
      <font>
        <b/>
        <color theme="1"/>
      </font>
      <border>
        <bottom style="thin">
          <color theme="4"/>
        </bottom>
        <vertical/>
        <horizontal/>
      </border>
    </dxf>
    <dxf>
      <font>
        <color theme="1"/>
      </font>
      <fill>
        <patternFill>
          <bgColor rgb="FF2C3977"/>
        </patternFill>
      </fill>
      <border diagonalUp="0" diagonalDown="0">
        <left/>
        <right/>
        <top/>
        <bottom/>
        <vertical/>
        <horizontal/>
      </border>
    </dxf>
    <dxf>
      <font>
        <b/>
        <color theme="1"/>
      </font>
      <border>
        <bottom style="thin">
          <color theme="4"/>
        </bottom>
        <vertical/>
        <horizontal/>
      </border>
    </dxf>
    <dxf>
      <font>
        <color theme="1"/>
      </font>
      <fill>
        <patternFill>
          <bgColor rgb="FF2A3E7E"/>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E2DEFF"/>
        </patternFill>
      </fill>
      <border diagonalUp="0" diagonalDown="0">
        <left/>
        <right/>
        <top/>
        <bottom/>
        <vertical/>
        <horizontal/>
      </border>
    </dxf>
    <dxf>
      <font>
        <b/>
        <color theme="1"/>
      </font>
      <border>
        <bottom style="thin">
          <color theme="4"/>
        </bottom>
        <vertical/>
        <horizontal/>
      </border>
    </dxf>
    <dxf>
      <font>
        <color theme="1"/>
      </font>
      <fill>
        <patternFill>
          <bgColor rgb="FF4C4D8E"/>
        </patternFill>
      </fill>
      <border diagonalUp="0" diagonalDown="0">
        <left/>
        <right/>
        <top/>
        <bottom/>
        <vertical/>
        <horizontal/>
      </border>
    </dxf>
  </dxfs>
  <tableStyles count="7" defaultTableStyle="TableStyleMedium2" defaultPivotStyle="PivotStyleLight16">
    <tableStyle name="SlicerStyleLight1 2" pivot="0" table="0" count="10" xr9:uid="{B5DE39B0-1E30-42F3-ABB7-C91EBA68690C}">
      <tableStyleElement type="wholeTable" dxfId="39"/>
      <tableStyleElement type="headerRow" dxfId="38"/>
    </tableStyle>
    <tableStyle name="SlicerStyleLight1 2 2" pivot="0" table="0" count="10" xr9:uid="{0F8A5F16-A458-4E7D-A9AD-62F2B5DDA4B1}">
      <tableStyleElement type="wholeTable" dxfId="37"/>
      <tableStyleElement type="headerRow" dxfId="36"/>
    </tableStyle>
    <tableStyle name="SlicerStyleLight1 2 2 2" pivot="0" table="0" count="10" xr9:uid="{CB2D1D23-840C-4062-AEC5-86E72878C69F}">
      <tableStyleElement type="wholeTable" dxfId="35"/>
      <tableStyleElement type="headerRow" dxfId="34"/>
    </tableStyle>
    <tableStyle name="SlicerStyleLight1 3" pivot="0" table="0" count="10" xr9:uid="{106E871A-EE5A-457F-A75B-89491A7DFC99}">
      <tableStyleElement type="wholeTable" dxfId="33"/>
      <tableStyleElement type="headerRow" dxfId="32"/>
    </tableStyle>
    <tableStyle name="SlicerStyleLight1 3 2" pivot="0" table="0" count="10" xr9:uid="{62208F10-A4DC-4C70-B4DD-E76E5CCAD749}">
      <tableStyleElement type="wholeTable" dxfId="31"/>
      <tableStyleElement type="headerRow" dxfId="30"/>
    </tableStyle>
    <tableStyle name="SlicerStyleLight1 3 3" pivot="0" table="0" count="10" xr9:uid="{363F3BE1-2CB8-47B4-9AAD-4CC284D5434B}">
      <tableStyleElement type="wholeTable" dxfId="29"/>
      <tableStyleElement type="headerRow" dxfId="28"/>
    </tableStyle>
    <tableStyle name="SlicerStyleLight1 3 3 2" pivot="0" table="0" count="10" xr9:uid="{588D5FD5-CCAF-4AFA-95CA-0E6FFE5AC1BC}">
      <tableStyleElement type="wholeTable" dxfId="27"/>
      <tableStyleElement type="headerRow" dxfId="26"/>
    </tableStyle>
  </tableStyles>
  <colors>
    <mruColors>
      <color rgb="FFE993EB"/>
      <color rgb="FFE45181"/>
      <color rgb="FFFF6600"/>
      <color rgb="FF8278FC"/>
      <color rgb="FF00B0F0"/>
      <color rgb="FF6B92F1"/>
      <color rgb="FFEB97ED"/>
      <color rgb="FF0D328D"/>
      <color rgb="FFAEABFE"/>
      <color rgb="FFF0ECFF"/>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7"/>
            <color theme="0"/>
          </font>
          <fill>
            <gradientFill degree="90">
              <stop position="0">
                <color rgb="FF00B0F0"/>
              </stop>
              <stop position="1">
                <color rgb="FF6C57E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theme="1"/>
          </font>
          <fill>
            <gradientFill degree="90">
              <stop position="0">
                <color rgb="FFF0F8FD"/>
              </stop>
              <stop position="1">
                <color rgb="FFA2D8F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7"/>
            <color theme="0"/>
          </font>
          <fill>
            <gradientFill degree="90">
              <stop position="0">
                <color rgb="FF00B0F0"/>
              </stop>
              <stop position="1">
                <color rgb="FF6C57E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theme="1"/>
          </font>
          <fill>
            <gradientFill degree="90">
              <stop position="0">
                <color rgb="FFF0F8FD"/>
              </stop>
              <stop position="1">
                <color rgb="FFA2D8F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3" tint="9.9948118533890809E-2"/>
          </font>
          <fill>
            <gradientFill degree="90">
              <stop position="0">
                <color rgb="FFF0F8FD"/>
              </stop>
              <stop position="1">
                <color rgb="FFA2D8F0"/>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0"/>
          </font>
          <fill>
            <gradientFill degree="90">
              <stop position="0">
                <color rgb="FF5987F6"/>
              </stop>
              <stop position="1">
                <color rgb="FF7A59CD"/>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7"/>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7"/>
            <color theme="3" tint="9.9917600024414813E-2"/>
          </font>
          <fill>
            <gradientFill degree="90">
              <stop position="0">
                <color rgb="FFF0F8FD"/>
              </stop>
              <stop position="1">
                <color rgb="FFA2D8F0"/>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7"/>
            <color theme="0"/>
          </font>
          <fill>
            <gradientFill degree="90">
              <stop position="0">
                <color rgb="FF5987F6"/>
              </stop>
              <stop position="1">
                <color rgb="FF7A59CD"/>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00B0F0"/>
              </stop>
              <stop position="1">
                <color rgb="FF6C57E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000000"/>
          </font>
          <fill>
            <patternFill patternType="solid">
              <fgColor rgb="FFFFFFFF"/>
              <bgColor rgb="FFCCC4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00B0F0"/>
              </stop>
              <stop position="1">
                <color rgb="FF6C57E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000000"/>
          </font>
          <fill>
            <patternFill patternType="solid">
              <fgColor rgb="FFFFFFFF"/>
              <bgColor rgb="FFCCC4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5987F6"/>
              </stop>
              <stop position="1">
                <color rgb="FF7A59CD"/>
              </stop>
            </gradientFill>
          </fill>
          <border diagonalUp="0" diagonalDown="0">
            <left style="thin">
              <color rgb="FF324385"/>
            </left>
            <right style="thin">
              <color rgb="FF324385"/>
            </right>
            <top style="thin">
              <color rgb="FF324385"/>
            </top>
            <bottom style="thin">
              <color rgb="FF324385"/>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000000"/>
          </font>
          <fill>
            <patternFill patternType="solid">
              <fgColor rgb="FFFFFFFF"/>
              <bgColor rgb="FF817EC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image" Target="../media/image2.png"/></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2.xml"/><Relationship Id="rId1" Type="http://schemas.microsoft.com/office/2011/relationships/chartStyle" Target="style12.xml"/><Relationship Id="rId4" Type="http://schemas.openxmlformats.org/officeDocument/2006/relationships/image" Target="../media/image2.png"/></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9.xml"/><Relationship Id="rId1" Type="http://schemas.microsoft.com/office/2011/relationships/chartStyle" Target="style19.xml"/><Relationship Id="rId4" Type="http://schemas.openxmlformats.org/officeDocument/2006/relationships/image" Target="../media/image2.png"/></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6.xml"/><Relationship Id="rId1" Type="http://schemas.microsoft.com/office/2011/relationships/chartStyle" Target="style26.xml"/><Relationship Id="rId4" Type="http://schemas.openxmlformats.org/officeDocument/2006/relationships/image" Target="../media/image2.png"/></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0.xml"/><Relationship Id="rId1" Type="http://schemas.microsoft.com/office/2011/relationships/chartStyle" Target="style30.xml"/><Relationship Id="rId4" Type="http://schemas.openxmlformats.org/officeDocument/2006/relationships/image" Target="../media/image2.png"/></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4.xml"/><Relationship Id="rId1" Type="http://schemas.microsoft.com/office/2011/relationships/chartStyle" Target="style34.xml"/><Relationship Id="rId4" Type="http://schemas.openxmlformats.org/officeDocument/2006/relationships/image" Target="../media/image2.png"/></Relationships>
</file>

<file path=xl/charts/_rels/chart3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9.xml"/><Relationship Id="rId1" Type="http://schemas.microsoft.com/office/2011/relationships/chartStyle" Target="style39.xml"/><Relationship Id="rId4" Type="http://schemas.openxmlformats.org/officeDocument/2006/relationships/image" Target="../media/image2.png"/></Relationships>
</file>

<file path=xl/charts/_rels/chart4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5.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2.xml"/><Relationship Id="rId1" Type="http://schemas.microsoft.com/office/2011/relationships/chartStyle" Target="style42.xml"/><Relationship Id="rId4" Type="http://schemas.openxmlformats.org/officeDocument/2006/relationships/image" Target="../media/image2.png"/></Relationships>
</file>

<file path=xl/charts/_rels/chart5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4.xml"/><Relationship Id="rId1" Type="http://schemas.microsoft.com/office/2011/relationships/chartStyle" Target="style44.xml"/><Relationship Id="rId4" Type="http://schemas.openxmlformats.org/officeDocument/2006/relationships/image" Target="../media/image2.png"/></Relationships>
</file>

<file path=xl/charts/_rels/chart5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6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9.xml"/><Relationship Id="rId1" Type="http://schemas.microsoft.com/office/2011/relationships/chartStyle" Target="style49.xml"/><Relationship Id="rId4" Type="http://schemas.openxmlformats.org/officeDocument/2006/relationships/image" Target="../media/image2.png"/></Relationships>
</file>

<file path=xl/charts/_rels/chart6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2.xml"/><Relationship Id="rId1" Type="http://schemas.microsoft.com/office/2011/relationships/chartStyle" Target="style52.xml"/><Relationship Id="rId4" Type="http://schemas.openxmlformats.org/officeDocument/2006/relationships/image" Target="../media/image2.png"/></Relationships>
</file>

<file path=xl/charts/_rels/chart69.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7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4.xml"/><Relationship Id="rId1" Type="http://schemas.microsoft.com/office/2011/relationships/chartStyle" Target="style54.xml"/><Relationship Id="rId4" Type="http://schemas.openxmlformats.org/officeDocument/2006/relationships/image" Target="../media/image2.png"/></Relationships>
</file>

<file path=xl/charts/_rels/chart7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7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8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85.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90.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70000"/>
                </a:prstClr>
              </a:outerShdw>
            </a:effectLst>
          </c:spPr>
          <c:dPt>
            <c:idx val="0"/>
            <c:bubble3D val="0"/>
            <c:spPr>
              <a:gradFill>
                <a:gsLst>
                  <a:gs pos="0">
                    <a:schemeClr val="accent5">
                      <a:lumMod val="60000"/>
                      <a:lumOff val="40000"/>
                    </a:schemeClr>
                  </a:gs>
                  <a:gs pos="97000">
                    <a:srgbClr val="A62C97"/>
                  </a:gs>
                </a:gsLst>
                <a:lin ang="3000000" scaled="0"/>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1-B413-43F7-897A-5170162B7C1F}"/>
              </c:ext>
            </c:extLst>
          </c:dPt>
          <c:dPt>
            <c:idx val="1"/>
            <c:bubble3D val="0"/>
            <c:spPr>
              <a:gradFill>
                <a:gsLst>
                  <a:gs pos="100000">
                    <a:srgbClr val="61A7F5"/>
                  </a:gs>
                  <a:gs pos="0">
                    <a:srgbClr val="4077E3"/>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3-B413-43F7-897A-5170162B7C1F}"/>
              </c:ext>
            </c:extLst>
          </c:dPt>
          <c:dPt>
            <c:idx val="2"/>
            <c:bubble3D val="0"/>
            <c:spPr>
              <a:gradFill>
                <a:gsLst>
                  <a:gs pos="0">
                    <a:srgbClr val="8070E2"/>
                  </a:gs>
                  <a:gs pos="100000">
                    <a:srgbClr val="5A4EBD"/>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5-B413-43F7-897A-5170162B7C1F}"/>
              </c:ext>
            </c:extLst>
          </c:dPt>
          <c:dPt>
            <c:idx val="3"/>
            <c:bubble3D val="0"/>
            <c:spPr>
              <a:noFill/>
              <a:ln w="19050">
                <a:noFill/>
              </a:ln>
              <a:effectLst>
                <a:innerShdw blurRad="114300">
                  <a:prstClr val="black"/>
                </a:innerShdw>
              </a:effectLst>
            </c:spPr>
            <c:extLst>
              <c:ext xmlns:c16="http://schemas.microsoft.com/office/drawing/2014/chart" uri="{C3380CC4-5D6E-409C-BE32-E72D297353CC}">
                <c16:uniqueId val="{00000007-B413-43F7-897A-5170162B7C1F}"/>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B413-43F7-897A-5170162B7C1F}"/>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1C0F-41BC-BF02-3D4872B274F5}"/>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70CC-4B80-B7AE-DAD39CF732D0}"/>
            </c:ext>
          </c:extLst>
        </c:ser>
        <c:ser>
          <c:idx val="1"/>
          <c:order val="1"/>
          <c:spPr>
            <a:solidFill>
              <a:schemeClr val="accent2"/>
            </a:solidFill>
            <a:ln w="127000">
              <a:gradFill>
                <a:gsLst>
                  <a:gs pos="65000">
                    <a:srgbClr val="5987F6"/>
                  </a:gs>
                  <a:gs pos="100000">
                    <a:srgbClr val="7A59CD"/>
                  </a:gs>
                </a:gsLst>
                <a:lin ang="5400000" scaled="1"/>
              </a:gradFill>
            </a:ln>
            <a:effectLst>
              <a:outerShdw blurRad="50800" dist="38100" dir="8100000" algn="tr" rotWithShape="0">
                <a:prstClr val="black">
                  <a:alpha val="40000"/>
                </a:prstClr>
              </a:outerShdw>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70CC-4B80-B7AE-DAD39CF732D0}"/>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70CC-4B80-B7AE-DAD39CF732D0}"/>
            </c:ext>
          </c:extLst>
        </c:ser>
        <c:ser>
          <c:idx val="3"/>
          <c:order val="3"/>
          <c:tx>
            <c:v>Cursor</c:v>
          </c:tx>
          <c:spPr>
            <a:solidFill>
              <a:schemeClr val="accent4"/>
            </a:solidFill>
            <a:ln w="127000">
              <a:gradFill>
                <a:gsLst>
                  <a:gs pos="0">
                    <a:schemeClr val="accent1">
                      <a:lumMod val="5000"/>
                      <a:lumOff val="95000"/>
                    </a:schemeClr>
                  </a:gs>
                  <a:gs pos="62000">
                    <a:schemeClr val="accent1">
                      <a:lumMod val="30000"/>
                      <a:lumOff val="70000"/>
                    </a:schemeClr>
                  </a:gs>
                </a:gsLst>
                <a:lin ang="5400000" scaled="1"/>
              </a:gradFill>
            </a:ln>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70CC-4B80-B7AE-DAD39CF732D0}"/>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Processing!$B$2</c:f>
              <c:strCache>
                <c:ptCount val="1"/>
                <c:pt idx="0">
                  <c:v>Revenue</c:v>
                </c:pt>
              </c:strCache>
            </c:strRef>
          </c:tx>
          <c:spPr>
            <a:ln w="25400" cap="rnd">
              <a:solidFill>
                <a:srgbClr val="00B0F0"/>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Processing!$B$3:$B$14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val>
          <c:smooth val="1"/>
          <c:extLst>
            <c:ext xmlns:c16="http://schemas.microsoft.com/office/drawing/2014/chart" uri="{C3380CC4-5D6E-409C-BE32-E72D297353CC}">
              <c16:uniqueId val="{00000000-D098-40C9-8CAC-85B53071BE1C}"/>
            </c:ext>
          </c:extLst>
        </c:ser>
        <c:ser>
          <c:idx val="1"/>
          <c:order val="1"/>
          <c:tx>
            <c:strRef>
              <c:f>Processing!$C$2</c:f>
              <c:strCache>
                <c:ptCount val="1"/>
                <c:pt idx="0">
                  <c:v>Expenses</c:v>
                </c:pt>
              </c:strCache>
            </c:strRef>
          </c:tx>
          <c:spPr>
            <a:ln w="25400" cap="rnd">
              <a:solidFill>
                <a:srgbClr val="EE0078"/>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Processing!$C$3:$C$14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1-D098-40C9-8CAC-85B53071BE1C}"/>
            </c:ext>
          </c:extLst>
        </c:ser>
        <c:ser>
          <c:idx val="2"/>
          <c:order val="2"/>
          <c:tx>
            <c:strRef>
              <c:f>Processing!$D$2</c:f>
              <c:strCache>
                <c:ptCount val="1"/>
                <c:pt idx="0">
                  <c:v>Profit</c:v>
                </c:pt>
              </c:strCache>
            </c:strRef>
          </c:tx>
          <c:spPr>
            <a:ln w="25400" cap="rnd">
              <a:solidFill>
                <a:srgbClr val="01F3FF"/>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Processing!$D$3:$D$14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2-D098-40C9-8CAC-85B53071BE1C}"/>
            </c:ext>
          </c:extLst>
        </c:ser>
        <c:ser>
          <c:idx val="6"/>
          <c:order val="6"/>
          <c:tx>
            <c:strRef>
              <c:f>Processing!$H$2</c:f>
              <c:strCache>
                <c:ptCount val="1"/>
                <c:pt idx="0">
                  <c:v>Sales Target</c:v>
                </c:pt>
              </c:strCache>
            </c:strRef>
          </c:tx>
          <c:spPr>
            <a:ln w="9525" cap="rnd">
              <a:solidFill>
                <a:schemeClr val="bg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6F6B-4779-A3CD-1A24DF87B2C5}"/>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6B-4779-A3CD-1A24DF87B2C5}"/>
                </c:ext>
              </c:extLst>
            </c:dLbl>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Processing!$H$3:$H$14</c:f>
              <c:numCache>
                <c:formatCode>_("$"* #,##0_);_("$"* \(#,##0\);_("$"* "-"??_);_(@_)</c:formatCode>
                <c:ptCount val="12"/>
                <c:pt idx="0">
                  <c:v>100000</c:v>
                </c:pt>
                <c:pt idx="1">
                  <c:v>100000</c:v>
                </c:pt>
                <c:pt idx="2">
                  <c:v>100000</c:v>
                </c:pt>
                <c:pt idx="3">
                  <c:v>100000</c:v>
                </c:pt>
                <c:pt idx="4">
                  <c:v>100000</c:v>
                </c:pt>
                <c:pt idx="5">
                  <c:v>100000</c:v>
                </c:pt>
                <c:pt idx="6">
                  <c:v>100000</c:v>
                </c:pt>
                <c:pt idx="7">
                  <c:v>100000</c:v>
                </c:pt>
                <c:pt idx="8">
                  <c:v>100000</c:v>
                </c:pt>
                <c:pt idx="9">
                  <c:v>100000</c:v>
                </c:pt>
                <c:pt idx="10">
                  <c:v>100000</c:v>
                </c:pt>
                <c:pt idx="11">
                  <c:v>100000</c:v>
                </c:pt>
              </c:numCache>
            </c:numRef>
          </c:val>
          <c:smooth val="0"/>
          <c:extLst>
            <c:ext xmlns:c16="http://schemas.microsoft.com/office/drawing/2014/chart" uri="{C3380CC4-5D6E-409C-BE32-E72D297353CC}">
              <c16:uniqueId val="{00000000-6F6B-4779-A3CD-1A24DF87B2C5}"/>
            </c:ext>
          </c:extLst>
        </c:ser>
        <c:dLbls>
          <c:showLegendKey val="0"/>
          <c:showVal val="0"/>
          <c:showCatName val="0"/>
          <c:showSerName val="0"/>
          <c:showPercent val="0"/>
          <c:showBubbleSize val="0"/>
        </c:dLbls>
        <c:marker val="1"/>
        <c:smooth val="0"/>
        <c:axId val="1195768800"/>
        <c:axId val="1195787040"/>
      </c:lineChart>
      <c:scatterChart>
        <c:scatterStyle val="lineMarker"/>
        <c:varyColors val="0"/>
        <c:ser>
          <c:idx val="3"/>
          <c:order val="3"/>
          <c:tx>
            <c:strRef>
              <c:f>Processing!$E$2</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0B0F0"/>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Processing!$E$3:$E$14</c:f>
                <c:numCache>
                  <c:formatCode>General</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Processing!$E$3:$E$14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yVal>
          <c:smooth val="0"/>
          <c:extLst>
            <c:ext xmlns:c16="http://schemas.microsoft.com/office/drawing/2014/chart" uri="{C3380CC4-5D6E-409C-BE32-E72D297353CC}">
              <c16:uniqueId val="{00000003-D098-40C9-8CAC-85B53071BE1C}"/>
            </c:ext>
          </c:extLst>
        </c:ser>
        <c:ser>
          <c:idx val="4"/>
          <c:order val="4"/>
          <c:tx>
            <c:strRef>
              <c:f>Processing!$F$2</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EE0078"/>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Processing!$F$3:$F$14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Processing!$F$3:$F$14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4-D098-40C9-8CAC-85B53071BE1C}"/>
            </c:ext>
          </c:extLst>
        </c:ser>
        <c:ser>
          <c:idx val="5"/>
          <c:order val="5"/>
          <c:tx>
            <c:strRef>
              <c:f>Processing!$G$2</c:f>
              <c:strCache>
                <c:ptCount val="1"/>
                <c:pt idx="0">
                  <c:v>Cursor P</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1F3FF"/>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Processing!$G$3:$G$14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Processing!$G$3:$G$14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5-D098-40C9-8CAC-85B53071BE1C}"/>
            </c:ext>
          </c:extLst>
        </c:ser>
        <c:dLbls>
          <c:showLegendKey val="0"/>
          <c:showVal val="0"/>
          <c:showCatName val="0"/>
          <c:showSerName val="0"/>
          <c:showPercent val="0"/>
          <c:showBubbleSize val="0"/>
        </c:dLbls>
        <c:axId val="1195768800"/>
        <c:axId val="1195787040"/>
      </c:scatterChart>
      <c:catAx>
        <c:axId val="1195768800"/>
        <c:scaling>
          <c:orientation val="minMax"/>
        </c:scaling>
        <c:delete val="1"/>
        <c:axPos val="b"/>
        <c:numFmt formatCode="General" sourceLinked="1"/>
        <c:majorTickMark val="none"/>
        <c:minorTickMark val="none"/>
        <c:tickLblPos val="nextTo"/>
        <c:crossAx val="1195787040"/>
        <c:crosses val="autoZero"/>
        <c:auto val="1"/>
        <c:lblAlgn val="ctr"/>
        <c:lblOffset val="100"/>
        <c:noMultiLvlLbl val="0"/>
      </c:catAx>
      <c:valAx>
        <c:axId val="1195787040"/>
        <c:scaling>
          <c:orientation val="minMax"/>
        </c:scaling>
        <c:delete val="0"/>
        <c:axPos val="l"/>
        <c:majorGridlines>
          <c:spPr>
            <a:ln w="9525" cap="flat" cmpd="sng" algn="ctr">
              <a:solidFill>
                <a:srgbClr val="626DAE"/>
              </a:solidFill>
              <a:round/>
            </a:ln>
            <a:effectLst/>
          </c:spPr>
        </c:majorGridlines>
        <c:numFmt formatCode="[&gt;=1000]0,&quot;k&quot;;[&l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ru-RU"/>
          </a:p>
        </c:txPr>
        <c:crossAx val="11957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57C3-4845-A92B-ADBC028F8C94}"/>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57C3-4845-A92B-ADBC028F8C94}"/>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154A-4FC2-8137-E078339FB16F}"/>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154A-4FC2-8137-E078339FB16F}"/>
              </c:ext>
            </c:extLst>
          </c:dPt>
          <c:val>
            <c:numRef>
              <c:f>Processing!$P$10:$Q$10</c:f>
              <c:numCache>
                <c:formatCode>0%</c:formatCode>
                <c:ptCount val="2"/>
                <c:pt idx="0">
                  <c:v>0.65246404256278456</c:v>
                </c:pt>
                <c:pt idx="1">
                  <c:v>0.34753595743721544</c:v>
                </c:pt>
              </c:numCache>
            </c:numRef>
          </c:val>
          <c:extLst>
            <c:ext xmlns:c16="http://schemas.microsoft.com/office/drawing/2014/chart" uri="{C3380CC4-5D6E-409C-BE32-E72D297353CC}">
              <c16:uniqueId val="{00000004-154A-4FC2-8137-E078339FB16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354C-4BCD-BF67-3AF022A327B0}"/>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354C-4BCD-BF67-3AF022A327B0}"/>
              </c:ext>
            </c:extLst>
          </c:dPt>
          <c:dPt>
            <c:idx val="2"/>
            <c:bubble3D val="0"/>
            <c:spPr>
              <a:solidFill>
                <a:srgbClr val="01F3FF"/>
              </a:solidFill>
              <a:ln w="19050">
                <a:noFill/>
              </a:ln>
              <a:effectLst/>
            </c:spPr>
            <c:extLst>
              <c:ext xmlns:c16="http://schemas.microsoft.com/office/drawing/2014/chart" uri="{C3380CC4-5D6E-409C-BE32-E72D297353CC}">
                <c16:uniqueId val="{00000005-354C-4BCD-BF67-3AF022A327B0}"/>
              </c:ext>
            </c:extLst>
          </c:dPt>
          <c:dPt>
            <c:idx val="3"/>
            <c:bubble3D val="0"/>
            <c:spPr>
              <a:solidFill>
                <a:schemeClr val="bg1"/>
              </a:solidFill>
              <a:ln w="19050">
                <a:noFill/>
              </a:ln>
              <a:effectLst/>
            </c:spPr>
            <c:extLst>
              <c:ext xmlns:c16="http://schemas.microsoft.com/office/drawing/2014/chart" uri="{C3380CC4-5D6E-409C-BE32-E72D297353CC}">
                <c16:uniqueId val="{00000007-9438-4452-99E9-D2031A6CB012}"/>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4-354C-4BCD-BF67-3AF022A327B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F43F-43B8-BED4-748F400CA987}"/>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F43F-43B8-BED4-748F400CA987}"/>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5-F43F-43B8-BED4-748F400CA987}"/>
              </c:ext>
            </c:extLst>
          </c:dPt>
          <c:dPt>
            <c:idx val="3"/>
            <c:bubble3D val="0"/>
            <c:spPr>
              <a:noFill/>
              <a:ln w="19050">
                <a:noFill/>
              </a:ln>
              <a:effectLst/>
            </c:spPr>
            <c:extLst>
              <c:ext xmlns:c16="http://schemas.microsoft.com/office/drawing/2014/chart" uri="{C3380CC4-5D6E-409C-BE32-E72D297353CC}">
                <c16:uniqueId val="{00000007-F43F-43B8-BED4-748F400CA987}"/>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F43F-43B8-BED4-748F400CA987}"/>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19AB-4988-9C39-3722E7CB80FC}"/>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F"/>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6562-426A-A62B-2FA988A29D26}"/>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6562-426A-A62B-2FA988A29D26}"/>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6562-426A-A62B-2FA988A29D26}"/>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6562-426A-A62B-2FA988A29D26}"/>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Processing!$B$2</c:f>
              <c:strCache>
                <c:ptCount val="1"/>
                <c:pt idx="0">
                  <c:v>Revenue</c:v>
                </c:pt>
              </c:strCache>
            </c:strRef>
          </c:tx>
          <c:spPr>
            <a:ln w="25400" cap="rnd">
              <a:solidFill>
                <a:srgbClr val="00B0F0"/>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Processing!$B$3:$B$14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val>
          <c:smooth val="1"/>
          <c:extLst>
            <c:ext xmlns:c16="http://schemas.microsoft.com/office/drawing/2014/chart" uri="{C3380CC4-5D6E-409C-BE32-E72D297353CC}">
              <c16:uniqueId val="{00000000-E5FC-43A4-B1B5-C1DA8FB4B277}"/>
            </c:ext>
          </c:extLst>
        </c:ser>
        <c:ser>
          <c:idx val="1"/>
          <c:order val="1"/>
          <c:tx>
            <c:strRef>
              <c:f>Processing!$C$2</c:f>
              <c:strCache>
                <c:ptCount val="1"/>
                <c:pt idx="0">
                  <c:v>Expenses</c:v>
                </c:pt>
              </c:strCache>
            </c:strRef>
          </c:tx>
          <c:spPr>
            <a:ln w="25400" cap="rnd">
              <a:solidFill>
                <a:srgbClr val="EE0078"/>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Processing!$C$3:$C$14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1-E5FC-43A4-B1B5-C1DA8FB4B277}"/>
            </c:ext>
          </c:extLst>
        </c:ser>
        <c:ser>
          <c:idx val="2"/>
          <c:order val="2"/>
          <c:tx>
            <c:strRef>
              <c:f>Processing!$D$2</c:f>
              <c:strCache>
                <c:ptCount val="1"/>
                <c:pt idx="0">
                  <c:v>Profit</c:v>
                </c:pt>
              </c:strCache>
            </c:strRef>
          </c:tx>
          <c:spPr>
            <a:ln w="25400" cap="rnd">
              <a:solidFill>
                <a:srgbClr val="00D0DA"/>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Processing!$D$3:$D$14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2-E5FC-43A4-B1B5-C1DA8FB4B277}"/>
            </c:ext>
          </c:extLst>
        </c:ser>
        <c:ser>
          <c:idx val="6"/>
          <c:order val="6"/>
          <c:tx>
            <c:strRef>
              <c:f>Processing!$H$2</c:f>
              <c:strCache>
                <c:ptCount val="1"/>
                <c:pt idx="0">
                  <c:v>Sales Target</c:v>
                </c:pt>
              </c:strCache>
            </c:strRef>
          </c:tx>
          <c:spPr>
            <a:ln w="9525" cap="rnd">
              <a:solidFill>
                <a:schemeClr val="tx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E5FC-43A4-B1B5-C1DA8FB4B277}"/>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FC-43A4-B1B5-C1DA8FB4B277}"/>
                </c:ext>
              </c:extLst>
            </c:dLbl>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Processing!$H$3:$H$14</c:f>
              <c:numCache>
                <c:formatCode>_("$"* #,##0_);_("$"* \(#,##0\);_("$"* "-"??_);_(@_)</c:formatCode>
                <c:ptCount val="12"/>
                <c:pt idx="0">
                  <c:v>100000</c:v>
                </c:pt>
                <c:pt idx="1">
                  <c:v>100000</c:v>
                </c:pt>
                <c:pt idx="2">
                  <c:v>100000</c:v>
                </c:pt>
                <c:pt idx="3">
                  <c:v>100000</c:v>
                </c:pt>
                <c:pt idx="4">
                  <c:v>100000</c:v>
                </c:pt>
                <c:pt idx="5">
                  <c:v>100000</c:v>
                </c:pt>
                <c:pt idx="6">
                  <c:v>100000</c:v>
                </c:pt>
                <c:pt idx="7">
                  <c:v>100000</c:v>
                </c:pt>
                <c:pt idx="8">
                  <c:v>100000</c:v>
                </c:pt>
                <c:pt idx="9">
                  <c:v>100000</c:v>
                </c:pt>
                <c:pt idx="10">
                  <c:v>100000</c:v>
                </c:pt>
                <c:pt idx="11">
                  <c:v>100000</c:v>
                </c:pt>
              </c:numCache>
            </c:numRef>
          </c:val>
          <c:smooth val="0"/>
          <c:extLst>
            <c:ext xmlns:c16="http://schemas.microsoft.com/office/drawing/2014/chart" uri="{C3380CC4-5D6E-409C-BE32-E72D297353CC}">
              <c16:uniqueId val="{00000005-E5FC-43A4-B1B5-C1DA8FB4B277}"/>
            </c:ext>
          </c:extLst>
        </c:ser>
        <c:dLbls>
          <c:showLegendKey val="0"/>
          <c:showVal val="0"/>
          <c:showCatName val="0"/>
          <c:showSerName val="0"/>
          <c:showPercent val="0"/>
          <c:showBubbleSize val="0"/>
        </c:dLbls>
        <c:marker val="1"/>
        <c:smooth val="0"/>
        <c:axId val="1195768800"/>
        <c:axId val="1195787040"/>
      </c:lineChart>
      <c:scatterChart>
        <c:scatterStyle val="lineMarker"/>
        <c:varyColors val="0"/>
        <c:ser>
          <c:idx val="3"/>
          <c:order val="3"/>
          <c:tx>
            <c:strRef>
              <c:f>Processing!$E$2</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0B0F0"/>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Processing!$E$3:$E$14</c:f>
                <c:numCache>
                  <c:formatCode>General</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Processing!$E$3:$E$14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yVal>
          <c:smooth val="0"/>
          <c:extLst>
            <c:ext xmlns:c16="http://schemas.microsoft.com/office/drawing/2014/chart" uri="{C3380CC4-5D6E-409C-BE32-E72D297353CC}">
              <c16:uniqueId val="{00000006-E5FC-43A4-B1B5-C1DA8FB4B277}"/>
            </c:ext>
          </c:extLst>
        </c:ser>
        <c:ser>
          <c:idx val="4"/>
          <c:order val="4"/>
          <c:tx>
            <c:strRef>
              <c:f>Processing!$F$2</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EE0078"/>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Processing!$F$3:$F$14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Processing!$F$3:$F$14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E5FC-43A4-B1B5-C1DA8FB4B277}"/>
            </c:ext>
          </c:extLst>
        </c:ser>
        <c:ser>
          <c:idx val="5"/>
          <c:order val="5"/>
          <c:tx>
            <c:strRef>
              <c:f>Processing!$G$2</c:f>
              <c:strCache>
                <c:ptCount val="1"/>
                <c:pt idx="0">
                  <c:v>Cursor P</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1F3FF"/>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Processing!$G$3:$G$14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Processing!$G$3:$G$14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8-E5FC-43A4-B1B5-C1DA8FB4B277}"/>
            </c:ext>
          </c:extLst>
        </c:ser>
        <c:dLbls>
          <c:showLegendKey val="0"/>
          <c:showVal val="0"/>
          <c:showCatName val="0"/>
          <c:showSerName val="0"/>
          <c:showPercent val="0"/>
          <c:showBubbleSize val="0"/>
        </c:dLbls>
        <c:axId val="1195768800"/>
        <c:axId val="1195787040"/>
      </c:scatterChart>
      <c:catAx>
        <c:axId val="1195768800"/>
        <c:scaling>
          <c:orientation val="minMax"/>
        </c:scaling>
        <c:delete val="1"/>
        <c:axPos val="b"/>
        <c:numFmt formatCode="General" sourceLinked="1"/>
        <c:majorTickMark val="none"/>
        <c:minorTickMark val="none"/>
        <c:tickLblPos val="nextTo"/>
        <c:crossAx val="1195787040"/>
        <c:crosses val="autoZero"/>
        <c:auto val="1"/>
        <c:lblAlgn val="ctr"/>
        <c:lblOffset val="100"/>
        <c:noMultiLvlLbl val="0"/>
      </c:catAx>
      <c:valAx>
        <c:axId val="1195787040"/>
        <c:scaling>
          <c:orientation val="minMax"/>
        </c:scaling>
        <c:delete val="0"/>
        <c:axPos val="l"/>
        <c:majorGridlines>
          <c:spPr>
            <a:ln w="9525" cap="flat" cmpd="sng" algn="ctr">
              <a:solidFill>
                <a:srgbClr val="AEABFF"/>
              </a:solidFill>
              <a:round/>
            </a:ln>
            <a:effectLst/>
          </c:spPr>
        </c:majorGridlines>
        <c:numFmt formatCode="[&gt;=1000]0,&quot;k&quot;;[&l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1957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050D-419B-B020-2BF07FC6D223}"/>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050D-419B-B020-2BF07FC6D223}"/>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1-5FAE-40EC-8AAD-11881F9675A5}"/>
              </c:ext>
            </c:extLst>
          </c:dPt>
          <c:dPt>
            <c:idx val="1"/>
            <c:bubble3D val="0"/>
            <c:spPr>
              <a:solidFill>
                <a:schemeClr val="bg1"/>
              </a:solidFill>
              <a:ln w="19050">
                <a:noFill/>
              </a:ln>
              <a:effectLst/>
            </c:spPr>
            <c:extLst>
              <c:ext xmlns:c16="http://schemas.microsoft.com/office/drawing/2014/chart" uri="{C3380CC4-5D6E-409C-BE32-E72D297353CC}">
                <c16:uniqueId val="{00000003-5FAE-40EC-8AAD-11881F9675A5}"/>
              </c:ext>
            </c:extLst>
          </c:dPt>
          <c:val>
            <c:numRef>
              <c:f>Processing!$P$10:$Q$10</c:f>
              <c:numCache>
                <c:formatCode>0%</c:formatCode>
                <c:ptCount val="2"/>
                <c:pt idx="0">
                  <c:v>0.65246404256278456</c:v>
                </c:pt>
                <c:pt idx="1">
                  <c:v>0.34753595743721544</c:v>
                </c:pt>
              </c:numCache>
            </c:numRef>
          </c:val>
          <c:extLst>
            <c:ext xmlns:c16="http://schemas.microsoft.com/office/drawing/2014/chart" uri="{C3380CC4-5D6E-409C-BE32-E72D297353CC}">
              <c16:uniqueId val="{00000004-5FAE-40EC-8AAD-11881F9675A5}"/>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1-D3CD-4BED-84DB-E77F6C9E078E}"/>
              </c:ext>
            </c:extLst>
          </c:dPt>
          <c:dPt>
            <c:idx val="1"/>
            <c:bubble3D val="0"/>
            <c:spPr>
              <a:solidFill>
                <a:schemeClr val="bg1"/>
              </a:solidFill>
              <a:ln w="19050">
                <a:noFill/>
              </a:ln>
              <a:effectLst/>
            </c:spPr>
            <c:extLst>
              <c:ext xmlns:c16="http://schemas.microsoft.com/office/drawing/2014/chart" uri="{C3380CC4-5D6E-409C-BE32-E72D297353CC}">
                <c16:uniqueId val="{00000003-D3CD-4BED-84DB-E77F6C9E078E}"/>
              </c:ext>
            </c:extLst>
          </c:dPt>
          <c:dPt>
            <c:idx val="2"/>
            <c:bubble3D val="0"/>
            <c:spPr>
              <a:solidFill>
                <a:srgbClr val="0070C0"/>
              </a:solidFill>
              <a:ln w="19050">
                <a:noFill/>
              </a:ln>
              <a:effectLst/>
            </c:spPr>
            <c:extLst>
              <c:ext xmlns:c16="http://schemas.microsoft.com/office/drawing/2014/chart" uri="{C3380CC4-5D6E-409C-BE32-E72D297353CC}">
                <c16:uniqueId val="{00000005-D3CD-4BED-84DB-E77F6C9E078E}"/>
              </c:ext>
            </c:extLst>
          </c:dPt>
          <c:dPt>
            <c:idx val="3"/>
            <c:bubble3D val="0"/>
            <c:spPr>
              <a:solidFill>
                <a:srgbClr val="00B0F0"/>
              </a:solidFill>
              <a:ln w="19050">
                <a:noFill/>
              </a:ln>
              <a:effectLst/>
            </c:spPr>
            <c:extLst>
              <c:ext xmlns:c16="http://schemas.microsoft.com/office/drawing/2014/chart" uri="{C3380CC4-5D6E-409C-BE32-E72D297353CC}">
                <c16:uniqueId val="{00000007-D3CD-4BED-84DB-E77F6C9E078E}"/>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D3CD-4BED-84DB-E77F6C9E078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34F6-46FA-8D36-35FF1AB7DC54}"/>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34F6-46FA-8D36-35FF1AB7DC54}"/>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5-34F6-46FA-8D36-35FF1AB7DC54}"/>
              </c:ext>
            </c:extLst>
          </c:dPt>
          <c:dPt>
            <c:idx val="3"/>
            <c:bubble3D val="0"/>
            <c:spPr>
              <a:noFill/>
              <a:ln w="19050">
                <a:noFill/>
              </a:ln>
              <a:effectLst/>
            </c:spPr>
            <c:extLst>
              <c:ext xmlns:c16="http://schemas.microsoft.com/office/drawing/2014/chart" uri="{C3380CC4-5D6E-409C-BE32-E72D297353CC}">
                <c16:uniqueId val="{00000007-34F6-46FA-8D36-35FF1AB7DC54}"/>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34F6-46FA-8D36-35FF1AB7DC54}"/>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D192-41F4-96CE-1E269899F591}"/>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F"/>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2CA6-4E34-8ABC-53A8D3280269}"/>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2CA6-4E34-8ABC-53A8D3280269}"/>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2CA6-4E34-8ABC-53A8D3280269}"/>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2CA6-4E34-8ABC-53A8D3280269}"/>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Processing!$B$2</c:f>
              <c:strCache>
                <c:ptCount val="1"/>
                <c:pt idx="0">
                  <c:v>Revenue</c:v>
                </c:pt>
              </c:strCache>
            </c:strRef>
          </c:tx>
          <c:spPr>
            <a:ln w="25400" cap="rnd">
              <a:solidFill>
                <a:srgbClr val="00B0F0"/>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Processing!$B$3:$B$14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val>
          <c:smooth val="1"/>
          <c:extLst>
            <c:ext xmlns:c16="http://schemas.microsoft.com/office/drawing/2014/chart" uri="{C3380CC4-5D6E-409C-BE32-E72D297353CC}">
              <c16:uniqueId val="{00000000-8E8C-434A-8BC4-A6F146AF0946}"/>
            </c:ext>
          </c:extLst>
        </c:ser>
        <c:ser>
          <c:idx val="1"/>
          <c:order val="1"/>
          <c:tx>
            <c:strRef>
              <c:f>Processing!$C$2</c:f>
              <c:strCache>
                <c:ptCount val="1"/>
                <c:pt idx="0">
                  <c:v>Expenses</c:v>
                </c:pt>
              </c:strCache>
            </c:strRef>
          </c:tx>
          <c:spPr>
            <a:ln w="25400" cap="rnd">
              <a:solidFill>
                <a:srgbClr val="EE0078"/>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Processing!$C$3:$C$14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1-8E8C-434A-8BC4-A6F146AF0946}"/>
            </c:ext>
          </c:extLst>
        </c:ser>
        <c:ser>
          <c:idx val="2"/>
          <c:order val="2"/>
          <c:tx>
            <c:strRef>
              <c:f>Processing!$D$2</c:f>
              <c:strCache>
                <c:ptCount val="1"/>
                <c:pt idx="0">
                  <c:v>Profit</c:v>
                </c:pt>
              </c:strCache>
            </c:strRef>
          </c:tx>
          <c:spPr>
            <a:ln w="25400" cap="rnd">
              <a:solidFill>
                <a:srgbClr val="00D0DA"/>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Processing!$D$3:$D$14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2-8E8C-434A-8BC4-A6F146AF0946}"/>
            </c:ext>
          </c:extLst>
        </c:ser>
        <c:ser>
          <c:idx val="6"/>
          <c:order val="6"/>
          <c:tx>
            <c:strRef>
              <c:f>Processing!$H$2</c:f>
              <c:strCache>
                <c:ptCount val="1"/>
                <c:pt idx="0">
                  <c:v>Sales Target</c:v>
                </c:pt>
              </c:strCache>
            </c:strRef>
          </c:tx>
          <c:spPr>
            <a:ln w="9525" cap="rnd">
              <a:solidFill>
                <a:schemeClr val="tx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8E8C-434A-8BC4-A6F146AF0946}"/>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E8C-434A-8BC4-A6F146AF0946}"/>
                </c:ext>
              </c:extLst>
            </c:dLbl>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Processing!$H$3:$H$14</c:f>
              <c:numCache>
                <c:formatCode>_("$"* #,##0_);_("$"* \(#,##0\);_("$"* "-"??_);_(@_)</c:formatCode>
                <c:ptCount val="12"/>
                <c:pt idx="0">
                  <c:v>100000</c:v>
                </c:pt>
                <c:pt idx="1">
                  <c:v>100000</c:v>
                </c:pt>
                <c:pt idx="2">
                  <c:v>100000</c:v>
                </c:pt>
                <c:pt idx="3">
                  <c:v>100000</c:v>
                </c:pt>
                <c:pt idx="4">
                  <c:v>100000</c:v>
                </c:pt>
                <c:pt idx="5">
                  <c:v>100000</c:v>
                </c:pt>
                <c:pt idx="6">
                  <c:v>100000</c:v>
                </c:pt>
                <c:pt idx="7">
                  <c:v>100000</c:v>
                </c:pt>
                <c:pt idx="8">
                  <c:v>100000</c:v>
                </c:pt>
                <c:pt idx="9">
                  <c:v>100000</c:v>
                </c:pt>
                <c:pt idx="10">
                  <c:v>100000</c:v>
                </c:pt>
                <c:pt idx="11">
                  <c:v>100000</c:v>
                </c:pt>
              </c:numCache>
            </c:numRef>
          </c:val>
          <c:smooth val="0"/>
          <c:extLst>
            <c:ext xmlns:c16="http://schemas.microsoft.com/office/drawing/2014/chart" uri="{C3380CC4-5D6E-409C-BE32-E72D297353CC}">
              <c16:uniqueId val="{00000005-8E8C-434A-8BC4-A6F146AF0946}"/>
            </c:ext>
          </c:extLst>
        </c:ser>
        <c:dLbls>
          <c:showLegendKey val="0"/>
          <c:showVal val="0"/>
          <c:showCatName val="0"/>
          <c:showSerName val="0"/>
          <c:showPercent val="0"/>
          <c:showBubbleSize val="0"/>
        </c:dLbls>
        <c:marker val="1"/>
        <c:smooth val="0"/>
        <c:axId val="1195768800"/>
        <c:axId val="1195787040"/>
      </c:lineChart>
      <c:scatterChart>
        <c:scatterStyle val="lineMarker"/>
        <c:varyColors val="0"/>
        <c:ser>
          <c:idx val="3"/>
          <c:order val="3"/>
          <c:tx>
            <c:strRef>
              <c:f>Processing!$E$2</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0B0F0"/>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Processing!$E$3:$E$14</c:f>
                <c:numCache>
                  <c:formatCode>General</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Processing!$E$3:$E$14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yVal>
          <c:smooth val="0"/>
          <c:extLst>
            <c:ext xmlns:c16="http://schemas.microsoft.com/office/drawing/2014/chart" uri="{C3380CC4-5D6E-409C-BE32-E72D297353CC}">
              <c16:uniqueId val="{00000006-8E8C-434A-8BC4-A6F146AF0946}"/>
            </c:ext>
          </c:extLst>
        </c:ser>
        <c:ser>
          <c:idx val="4"/>
          <c:order val="4"/>
          <c:tx>
            <c:strRef>
              <c:f>Processing!$F$2</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EE0078"/>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Processing!$F$3:$F$14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Processing!$F$3:$F$14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8E8C-434A-8BC4-A6F146AF0946}"/>
            </c:ext>
          </c:extLst>
        </c:ser>
        <c:ser>
          <c:idx val="5"/>
          <c:order val="5"/>
          <c:tx>
            <c:strRef>
              <c:f>Processing!$G$2</c:f>
              <c:strCache>
                <c:ptCount val="1"/>
                <c:pt idx="0">
                  <c:v>Cursor P</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1F3FF"/>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Processing!$G$3:$G$14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Processing!$G$3:$G$14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8-8E8C-434A-8BC4-A6F146AF0946}"/>
            </c:ext>
          </c:extLst>
        </c:ser>
        <c:dLbls>
          <c:showLegendKey val="0"/>
          <c:showVal val="0"/>
          <c:showCatName val="0"/>
          <c:showSerName val="0"/>
          <c:showPercent val="0"/>
          <c:showBubbleSize val="0"/>
        </c:dLbls>
        <c:axId val="1195768800"/>
        <c:axId val="1195787040"/>
      </c:scatterChart>
      <c:catAx>
        <c:axId val="1195768800"/>
        <c:scaling>
          <c:orientation val="minMax"/>
        </c:scaling>
        <c:delete val="1"/>
        <c:axPos val="b"/>
        <c:numFmt formatCode="General" sourceLinked="1"/>
        <c:majorTickMark val="none"/>
        <c:minorTickMark val="none"/>
        <c:tickLblPos val="nextTo"/>
        <c:crossAx val="1195787040"/>
        <c:crosses val="autoZero"/>
        <c:auto val="1"/>
        <c:lblAlgn val="ctr"/>
        <c:lblOffset val="100"/>
        <c:noMultiLvlLbl val="0"/>
      </c:catAx>
      <c:valAx>
        <c:axId val="1195787040"/>
        <c:scaling>
          <c:orientation val="minMax"/>
        </c:scaling>
        <c:delete val="0"/>
        <c:axPos val="l"/>
        <c:majorGridlines>
          <c:spPr>
            <a:ln w="9525" cap="flat" cmpd="sng" algn="ctr">
              <a:solidFill>
                <a:srgbClr val="AEABFF"/>
              </a:solidFill>
              <a:round/>
            </a:ln>
            <a:effectLst/>
          </c:spPr>
        </c:majorGridlines>
        <c:numFmt formatCode="[&gt;=1000]0,&quot;k&quot;;[&l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1957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96C5-4F9F-BBDC-8BACECC30E93}"/>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96C5-4F9F-BBDC-8BACECC30E93}"/>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1-7D1C-4962-A22F-D8BF61EDAC43}"/>
              </c:ext>
            </c:extLst>
          </c:dPt>
          <c:dPt>
            <c:idx val="1"/>
            <c:bubble3D val="0"/>
            <c:spPr>
              <a:solidFill>
                <a:schemeClr val="bg1"/>
              </a:solidFill>
              <a:ln w="19050">
                <a:noFill/>
              </a:ln>
              <a:effectLst/>
            </c:spPr>
            <c:extLst>
              <c:ext xmlns:c16="http://schemas.microsoft.com/office/drawing/2014/chart" uri="{C3380CC4-5D6E-409C-BE32-E72D297353CC}">
                <c16:uniqueId val="{00000003-7D1C-4962-A22F-D8BF61EDAC43}"/>
              </c:ext>
            </c:extLst>
          </c:dPt>
          <c:val>
            <c:numRef>
              <c:f>Processing!$P$10:$Q$10</c:f>
              <c:numCache>
                <c:formatCode>0%</c:formatCode>
                <c:ptCount val="2"/>
                <c:pt idx="0">
                  <c:v>0.65246404256278456</c:v>
                </c:pt>
                <c:pt idx="1">
                  <c:v>0.34753595743721544</c:v>
                </c:pt>
              </c:numCache>
            </c:numRef>
          </c:val>
          <c:extLst>
            <c:ext xmlns:c16="http://schemas.microsoft.com/office/drawing/2014/chart" uri="{C3380CC4-5D6E-409C-BE32-E72D297353CC}">
              <c16:uniqueId val="{00000004-7D1C-4962-A22F-D8BF61EDAC4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1-E478-4B21-8B19-209AE0870E22}"/>
              </c:ext>
            </c:extLst>
          </c:dPt>
          <c:dPt>
            <c:idx val="1"/>
            <c:bubble3D val="0"/>
            <c:spPr>
              <a:solidFill>
                <a:schemeClr val="bg1"/>
              </a:solidFill>
              <a:ln w="19050">
                <a:noFill/>
              </a:ln>
              <a:effectLst/>
            </c:spPr>
            <c:extLst>
              <c:ext xmlns:c16="http://schemas.microsoft.com/office/drawing/2014/chart" uri="{C3380CC4-5D6E-409C-BE32-E72D297353CC}">
                <c16:uniqueId val="{00000003-E478-4B21-8B19-209AE0870E22}"/>
              </c:ext>
            </c:extLst>
          </c:dPt>
          <c:dPt>
            <c:idx val="2"/>
            <c:bubble3D val="0"/>
            <c:spPr>
              <a:solidFill>
                <a:srgbClr val="0070C0"/>
              </a:solidFill>
              <a:ln w="19050">
                <a:noFill/>
              </a:ln>
              <a:effectLst/>
            </c:spPr>
            <c:extLst>
              <c:ext xmlns:c16="http://schemas.microsoft.com/office/drawing/2014/chart" uri="{C3380CC4-5D6E-409C-BE32-E72D297353CC}">
                <c16:uniqueId val="{00000005-E478-4B21-8B19-209AE0870E22}"/>
              </c:ext>
            </c:extLst>
          </c:dPt>
          <c:dPt>
            <c:idx val="3"/>
            <c:bubble3D val="0"/>
            <c:spPr>
              <a:solidFill>
                <a:srgbClr val="00B0F0"/>
              </a:solidFill>
              <a:ln w="19050">
                <a:noFill/>
              </a:ln>
              <a:effectLst/>
            </c:spPr>
            <c:extLst>
              <c:ext xmlns:c16="http://schemas.microsoft.com/office/drawing/2014/chart" uri="{C3380CC4-5D6E-409C-BE32-E72D297353CC}">
                <c16:uniqueId val="{00000007-E478-4B21-8B19-209AE0870E22}"/>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E478-4B21-8B19-209AE0870E2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70000"/>
                </a:prstClr>
              </a:outerShdw>
            </a:effectLst>
          </c:spPr>
          <c:dPt>
            <c:idx val="0"/>
            <c:bubble3D val="0"/>
            <c:spPr>
              <a:gradFill>
                <a:gsLst>
                  <a:gs pos="0">
                    <a:schemeClr val="accent5">
                      <a:lumMod val="60000"/>
                      <a:lumOff val="40000"/>
                    </a:schemeClr>
                  </a:gs>
                  <a:gs pos="97000">
                    <a:srgbClr val="A62C97"/>
                  </a:gs>
                </a:gsLst>
                <a:lin ang="3000000" scaled="0"/>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1-9AA0-4F29-A305-4E6791C19252}"/>
              </c:ext>
            </c:extLst>
          </c:dPt>
          <c:dPt>
            <c:idx val="1"/>
            <c:bubble3D val="0"/>
            <c:spPr>
              <a:gradFill>
                <a:gsLst>
                  <a:gs pos="100000">
                    <a:srgbClr val="61A7F5"/>
                  </a:gs>
                  <a:gs pos="0">
                    <a:srgbClr val="4077E3"/>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3-9AA0-4F29-A305-4E6791C19252}"/>
              </c:ext>
            </c:extLst>
          </c:dPt>
          <c:dPt>
            <c:idx val="2"/>
            <c:bubble3D val="0"/>
            <c:spPr>
              <a:gradFill>
                <a:gsLst>
                  <a:gs pos="0">
                    <a:srgbClr val="8070E2"/>
                  </a:gs>
                  <a:gs pos="100000">
                    <a:srgbClr val="5A4EBD"/>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5-9AA0-4F29-A305-4E6791C19252}"/>
              </c:ext>
            </c:extLst>
          </c:dPt>
          <c:dPt>
            <c:idx val="3"/>
            <c:bubble3D val="0"/>
            <c:spPr>
              <a:noFill/>
              <a:ln w="19050">
                <a:noFill/>
              </a:ln>
              <a:effectLst>
                <a:innerShdw blurRad="114300">
                  <a:prstClr val="black"/>
                </a:innerShdw>
              </a:effectLst>
            </c:spPr>
            <c:extLst>
              <c:ext xmlns:c16="http://schemas.microsoft.com/office/drawing/2014/chart" uri="{C3380CC4-5D6E-409C-BE32-E72D297353CC}">
                <c16:uniqueId val="{00000007-9AA0-4F29-A305-4E6791C19252}"/>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9AA0-4F29-A305-4E6791C19252}"/>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7D1E-46F2-8FEE-D32F30E3E6CA}"/>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7E8E-4964-ABBD-23AA2DB89A64}"/>
            </c:ext>
          </c:extLst>
        </c:ser>
        <c:ser>
          <c:idx val="1"/>
          <c:order val="1"/>
          <c:spPr>
            <a:solidFill>
              <a:schemeClr val="accent2"/>
            </a:solidFill>
            <a:ln w="127000">
              <a:gradFill>
                <a:gsLst>
                  <a:gs pos="65000">
                    <a:srgbClr val="5987F6"/>
                  </a:gs>
                  <a:gs pos="100000">
                    <a:srgbClr val="7A59CD"/>
                  </a:gs>
                </a:gsLst>
                <a:lin ang="5400000" scaled="1"/>
              </a:gradFill>
            </a:ln>
            <a:effectLst>
              <a:outerShdw blurRad="50800" dist="38100" dir="8100000" algn="tr" rotWithShape="0">
                <a:prstClr val="black">
                  <a:alpha val="40000"/>
                </a:prstClr>
              </a:outerShdw>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7E8E-4964-ABBD-23AA2DB89A64}"/>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7E8E-4964-ABBD-23AA2DB89A64}"/>
            </c:ext>
          </c:extLst>
        </c:ser>
        <c:ser>
          <c:idx val="3"/>
          <c:order val="3"/>
          <c:tx>
            <c:v>Cursor</c:v>
          </c:tx>
          <c:spPr>
            <a:solidFill>
              <a:schemeClr val="accent4"/>
            </a:solidFill>
            <a:ln w="127000">
              <a:gradFill>
                <a:gsLst>
                  <a:gs pos="0">
                    <a:schemeClr val="accent1">
                      <a:lumMod val="5000"/>
                      <a:lumOff val="95000"/>
                    </a:schemeClr>
                  </a:gs>
                  <a:gs pos="62000">
                    <a:schemeClr val="accent1">
                      <a:lumMod val="30000"/>
                      <a:lumOff val="70000"/>
                    </a:schemeClr>
                  </a:gs>
                </a:gsLst>
                <a:lin ang="5400000" scaled="1"/>
              </a:gradFill>
            </a:ln>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7E8E-4964-ABBD-23AA2DB89A64}"/>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Processing!$B$2</c:f>
              <c:strCache>
                <c:ptCount val="1"/>
                <c:pt idx="0">
                  <c:v>Revenue</c:v>
                </c:pt>
              </c:strCache>
            </c:strRef>
          </c:tx>
          <c:spPr>
            <a:ln w="25400" cap="rnd">
              <a:solidFill>
                <a:srgbClr val="00B0F0"/>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Processing!$B$3:$B$14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val>
          <c:smooth val="1"/>
          <c:extLst>
            <c:ext xmlns:c16="http://schemas.microsoft.com/office/drawing/2014/chart" uri="{C3380CC4-5D6E-409C-BE32-E72D297353CC}">
              <c16:uniqueId val="{00000000-73AF-4668-8B7C-B5DEAA3C064A}"/>
            </c:ext>
          </c:extLst>
        </c:ser>
        <c:ser>
          <c:idx val="1"/>
          <c:order val="1"/>
          <c:tx>
            <c:strRef>
              <c:f>Processing!$C$2</c:f>
              <c:strCache>
                <c:ptCount val="1"/>
                <c:pt idx="0">
                  <c:v>Expenses</c:v>
                </c:pt>
              </c:strCache>
            </c:strRef>
          </c:tx>
          <c:spPr>
            <a:ln w="25400" cap="rnd">
              <a:solidFill>
                <a:srgbClr val="EE0078"/>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Processing!$C$3:$C$14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1-73AF-4668-8B7C-B5DEAA3C064A}"/>
            </c:ext>
          </c:extLst>
        </c:ser>
        <c:ser>
          <c:idx val="2"/>
          <c:order val="2"/>
          <c:tx>
            <c:strRef>
              <c:f>Processing!$D$2</c:f>
              <c:strCache>
                <c:ptCount val="1"/>
                <c:pt idx="0">
                  <c:v>Profit</c:v>
                </c:pt>
              </c:strCache>
            </c:strRef>
          </c:tx>
          <c:spPr>
            <a:ln w="25400" cap="rnd">
              <a:solidFill>
                <a:srgbClr val="01F3FF"/>
              </a:solidFill>
              <a:round/>
            </a:ln>
            <a:effectLst>
              <a:outerShdw blurRad="50800" dist="38100" dir="5400000" algn="t" rotWithShape="0">
                <a:prstClr val="black">
                  <a:alpha val="40000"/>
                </a:prstClr>
              </a:outerShdw>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Processing!$D$3:$D$14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2-73AF-4668-8B7C-B5DEAA3C064A}"/>
            </c:ext>
          </c:extLst>
        </c:ser>
        <c:ser>
          <c:idx val="6"/>
          <c:order val="6"/>
          <c:tx>
            <c:strRef>
              <c:f>Processing!$H$2</c:f>
              <c:strCache>
                <c:ptCount val="1"/>
                <c:pt idx="0">
                  <c:v>Sales Target</c:v>
                </c:pt>
              </c:strCache>
            </c:strRef>
          </c:tx>
          <c:spPr>
            <a:ln w="9525" cap="rnd">
              <a:solidFill>
                <a:schemeClr val="bg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73AF-4668-8B7C-B5DEAA3C064A}"/>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AF-4668-8B7C-B5DEAA3C064A}"/>
                </c:ext>
              </c:extLst>
            </c:dLbl>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Processing!$H$3:$H$14</c:f>
              <c:numCache>
                <c:formatCode>_("$"* #,##0_);_("$"* \(#,##0\);_("$"* "-"??_);_(@_)</c:formatCode>
                <c:ptCount val="12"/>
                <c:pt idx="0">
                  <c:v>100000</c:v>
                </c:pt>
                <c:pt idx="1">
                  <c:v>100000</c:v>
                </c:pt>
                <c:pt idx="2">
                  <c:v>100000</c:v>
                </c:pt>
                <c:pt idx="3">
                  <c:v>100000</c:v>
                </c:pt>
                <c:pt idx="4">
                  <c:v>100000</c:v>
                </c:pt>
                <c:pt idx="5">
                  <c:v>100000</c:v>
                </c:pt>
                <c:pt idx="6">
                  <c:v>100000</c:v>
                </c:pt>
                <c:pt idx="7">
                  <c:v>100000</c:v>
                </c:pt>
                <c:pt idx="8">
                  <c:v>100000</c:v>
                </c:pt>
                <c:pt idx="9">
                  <c:v>100000</c:v>
                </c:pt>
                <c:pt idx="10">
                  <c:v>100000</c:v>
                </c:pt>
                <c:pt idx="11">
                  <c:v>100000</c:v>
                </c:pt>
              </c:numCache>
            </c:numRef>
          </c:val>
          <c:smooth val="0"/>
          <c:extLst>
            <c:ext xmlns:c16="http://schemas.microsoft.com/office/drawing/2014/chart" uri="{C3380CC4-5D6E-409C-BE32-E72D297353CC}">
              <c16:uniqueId val="{00000005-73AF-4668-8B7C-B5DEAA3C064A}"/>
            </c:ext>
          </c:extLst>
        </c:ser>
        <c:dLbls>
          <c:showLegendKey val="0"/>
          <c:showVal val="0"/>
          <c:showCatName val="0"/>
          <c:showSerName val="0"/>
          <c:showPercent val="0"/>
          <c:showBubbleSize val="0"/>
        </c:dLbls>
        <c:marker val="1"/>
        <c:smooth val="0"/>
        <c:axId val="1195768800"/>
        <c:axId val="1195787040"/>
      </c:lineChart>
      <c:scatterChart>
        <c:scatterStyle val="lineMarker"/>
        <c:varyColors val="0"/>
        <c:ser>
          <c:idx val="3"/>
          <c:order val="3"/>
          <c:tx>
            <c:strRef>
              <c:f>Processing!$E$2</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0B0F0"/>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Processing!$E$3:$E$14</c:f>
                <c:numCache>
                  <c:formatCode>General</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Processing!$E$3:$E$14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yVal>
          <c:smooth val="0"/>
          <c:extLst>
            <c:ext xmlns:c16="http://schemas.microsoft.com/office/drawing/2014/chart" uri="{C3380CC4-5D6E-409C-BE32-E72D297353CC}">
              <c16:uniqueId val="{00000006-73AF-4668-8B7C-B5DEAA3C064A}"/>
            </c:ext>
          </c:extLst>
        </c:ser>
        <c:ser>
          <c:idx val="4"/>
          <c:order val="4"/>
          <c:tx>
            <c:strRef>
              <c:f>Processing!$F$2</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EE0078"/>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Processing!$F$3:$F$14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Processing!$F$3:$F$14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73AF-4668-8B7C-B5DEAA3C064A}"/>
            </c:ext>
          </c:extLst>
        </c:ser>
        <c:ser>
          <c:idx val="5"/>
          <c:order val="5"/>
          <c:tx>
            <c:strRef>
              <c:f>Processing!$G$2</c:f>
              <c:strCache>
                <c:ptCount val="1"/>
                <c:pt idx="0">
                  <c:v>Cursor P</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1F3FF"/>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Processing!$G$3:$G$14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Processing!$G$3:$G$14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8-73AF-4668-8B7C-B5DEAA3C064A}"/>
            </c:ext>
          </c:extLst>
        </c:ser>
        <c:dLbls>
          <c:showLegendKey val="0"/>
          <c:showVal val="0"/>
          <c:showCatName val="0"/>
          <c:showSerName val="0"/>
          <c:showPercent val="0"/>
          <c:showBubbleSize val="0"/>
        </c:dLbls>
        <c:axId val="1195768800"/>
        <c:axId val="1195787040"/>
      </c:scatterChart>
      <c:catAx>
        <c:axId val="1195768800"/>
        <c:scaling>
          <c:orientation val="minMax"/>
        </c:scaling>
        <c:delete val="1"/>
        <c:axPos val="b"/>
        <c:numFmt formatCode="General" sourceLinked="1"/>
        <c:majorTickMark val="none"/>
        <c:minorTickMark val="none"/>
        <c:tickLblPos val="nextTo"/>
        <c:crossAx val="1195787040"/>
        <c:crosses val="autoZero"/>
        <c:auto val="1"/>
        <c:lblAlgn val="ctr"/>
        <c:lblOffset val="100"/>
        <c:noMultiLvlLbl val="0"/>
      </c:catAx>
      <c:valAx>
        <c:axId val="1195787040"/>
        <c:scaling>
          <c:orientation val="minMax"/>
        </c:scaling>
        <c:delete val="0"/>
        <c:axPos val="l"/>
        <c:majorGridlines>
          <c:spPr>
            <a:ln w="9525" cap="flat" cmpd="sng" algn="ctr">
              <a:solidFill>
                <a:srgbClr val="626DAE"/>
              </a:solidFill>
              <a:round/>
            </a:ln>
            <a:effectLst/>
          </c:spPr>
        </c:majorGridlines>
        <c:numFmt formatCode="[&gt;=1000]0,&quot;k&quot;;[&l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ru-RU"/>
          </a:p>
        </c:txPr>
        <c:crossAx val="11957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D954-46E5-8439-3DE6E4329DDA}"/>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D954-46E5-8439-3DE6E4329DDA}"/>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F288-4A66-AEFD-AADFC5151084}"/>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F288-4A66-AEFD-AADFC5151084}"/>
              </c:ext>
            </c:extLst>
          </c:dPt>
          <c:dPt>
            <c:idx val="2"/>
            <c:bubble3D val="0"/>
            <c:spPr>
              <a:solidFill>
                <a:srgbClr val="01F3FF"/>
              </a:solidFill>
              <a:ln w="19050">
                <a:noFill/>
              </a:ln>
              <a:effectLst/>
            </c:spPr>
            <c:extLst>
              <c:ext xmlns:c16="http://schemas.microsoft.com/office/drawing/2014/chart" uri="{C3380CC4-5D6E-409C-BE32-E72D297353CC}">
                <c16:uniqueId val="{00000005-F288-4A66-AEFD-AADFC5151084}"/>
              </c:ext>
            </c:extLst>
          </c:dPt>
          <c:dPt>
            <c:idx val="3"/>
            <c:bubble3D val="0"/>
            <c:spPr>
              <a:solidFill>
                <a:schemeClr val="bg1"/>
              </a:solidFill>
              <a:ln w="19050">
                <a:noFill/>
              </a:ln>
              <a:effectLst/>
            </c:spPr>
            <c:extLst>
              <c:ext xmlns:c16="http://schemas.microsoft.com/office/drawing/2014/chart" uri="{C3380CC4-5D6E-409C-BE32-E72D297353CC}">
                <c16:uniqueId val="{00000007-F288-4A66-AEFD-AADFC5151084}"/>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F288-4A66-AEFD-AADFC515108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992E-4B48-849A-F87CF871EC79}"/>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992E-4B48-849A-F87CF871EC79}"/>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5-992E-4B48-849A-F87CF871EC79}"/>
              </c:ext>
            </c:extLst>
          </c:dPt>
          <c:dPt>
            <c:idx val="3"/>
            <c:bubble3D val="0"/>
            <c:spPr>
              <a:noFill/>
              <a:ln w="19050">
                <a:noFill/>
              </a:ln>
              <a:effectLst/>
            </c:spPr>
            <c:extLst>
              <c:ext xmlns:c16="http://schemas.microsoft.com/office/drawing/2014/chart" uri="{C3380CC4-5D6E-409C-BE32-E72D297353CC}">
                <c16:uniqueId val="{00000007-992E-4B48-849A-F87CF871EC79}"/>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992E-4B48-849A-F87CF871EC79}"/>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2-BFC5-4AD5-9BA7-536C79B1CD01}"/>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E"/>
              </a:solidFill>
              <a:round/>
            </a:ln>
            <a:effectLst/>
          </c:spPr>
        </c:majorGridlines>
        <c:numFmt formatCode="0%" sourceLinked="1"/>
        <c:majorTickMark val="out"/>
        <c:minorTickMark val="none"/>
        <c:tickLblPos val="nextTo"/>
        <c:crossAx val="133817539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5-6B6A-4060-B7A5-F7C866E578AB}"/>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7-6B6A-4060-B7A5-F7C866E578AB}"/>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9-6B6A-4060-B7A5-F7C866E578AB}"/>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B-6B6A-4060-B7A5-F7C866E578AB}"/>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Processing!$B$2</c:f>
              <c:strCache>
                <c:ptCount val="1"/>
                <c:pt idx="0">
                  <c:v>Revenue</c:v>
                </c:pt>
              </c:strCache>
            </c:strRef>
          </c:tx>
          <c:spPr>
            <a:ln w="25400" cap="rnd">
              <a:solidFill>
                <a:srgbClr val="00B0F0"/>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Processing!$B$3:$B$14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val>
          <c:smooth val="1"/>
          <c:extLst>
            <c:ext xmlns:c16="http://schemas.microsoft.com/office/drawing/2014/chart" uri="{C3380CC4-5D6E-409C-BE32-E72D297353CC}">
              <c16:uniqueId val="{00000000-76F8-40C9-A423-0C1DF2A35DD3}"/>
            </c:ext>
          </c:extLst>
        </c:ser>
        <c:ser>
          <c:idx val="1"/>
          <c:order val="1"/>
          <c:tx>
            <c:strRef>
              <c:f>Processing!$C$2</c:f>
              <c:strCache>
                <c:ptCount val="1"/>
                <c:pt idx="0">
                  <c:v>Expenses</c:v>
                </c:pt>
              </c:strCache>
            </c:strRef>
          </c:tx>
          <c:spPr>
            <a:ln w="25400" cap="rnd">
              <a:solidFill>
                <a:srgbClr val="EE0078"/>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Processing!$C$3:$C$14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1-76F8-40C9-A423-0C1DF2A35DD3}"/>
            </c:ext>
          </c:extLst>
        </c:ser>
        <c:ser>
          <c:idx val="2"/>
          <c:order val="2"/>
          <c:tx>
            <c:strRef>
              <c:f>Processing!$D$2</c:f>
              <c:strCache>
                <c:ptCount val="1"/>
                <c:pt idx="0">
                  <c:v>Profit</c:v>
                </c:pt>
              </c:strCache>
            </c:strRef>
          </c:tx>
          <c:spPr>
            <a:ln w="25400" cap="rnd">
              <a:solidFill>
                <a:srgbClr val="00D0DA"/>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Processing!$D$3:$D$14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2-76F8-40C9-A423-0C1DF2A35DD3}"/>
            </c:ext>
          </c:extLst>
        </c:ser>
        <c:ser>
          <c:idx val="6"/>
          <c:order val="6"/>
          <c:tx>
            <c:strRef>
              <c:f>Processing!$H$2</c:f>
              <c:strCache>
                <c:ptCount val="1"/>
                <c:pt idx="0">
                  <c:v>Sales Target</c:v>
                </c:pt>
              </c:strCache>
            </c:strRef>
          </c:tx>
          <c:spPr>
            <a:ln w="12700" cap="rnd">
              <a:solidFill>
                <a:schemeClr val="tx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76F8-40C9-A423-0C1DF2A35DD3}"/>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F8-40C9-A423-0C1DF2A35DD3}"/>
                </c:ext>
              </c:extLst>
            </c:dLbl>
            <c:numFmt formatCode="[&gt;=1000000]#,##0.0,,\ &quot;M&quot;;[&gt;=1000]#,##0,\ &quot;K&quot;;0" sourceLinked="0"/>
            <c:spPr>
              <a:solidFill>
                <a:schemeClr val="bg1">
                  <a:alpha val="73000"/>
                </a:schemeClr>
              </a:solidFill>
              <a:ln>
                <a:solidFill>
                  <a:schemeClr val="bg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Processing!$H$3:$H$14</c:f>
              <c:numCache>
                <c:formatCode>_("$"* #,##0_);_("$"* \(#,##0\);_("$"* "-"??_);_(@_)</c:formatCode>
                <c:ptCount val="12"/>
                <c:pt idx="0">
                  <c:v>100000</c:v>
                </c:pt>
                <c:pt idx="1">
                  <c:v>100000</c:v>
                </c:pt>
                <c:pt idx="2">
                  <c:v>100000</c:v>
                </c:pt>
                <c:pt idx="3">
                  <c:v>100000</c:v>
                </c:pt>
                <c:pt idx="4">
                  <c:v>100000</c:v>
                </c:pt>
                <c:pt idx="5">
                  <c:v>100000</c:v>
                </c:pt>
                <c:pt idx="6">
                  <c:v>100000</c:v>
                </c:pt>
                <c:pt idx="7">
                  <c:v>100000</c:v>
                </c:pt>
                <c:pt idx="8">
                  <c:v>100000</c:v>
                </c:pt>
                <c:pt idx="9">
                  <c:v>100000</c:v>
                </c:pt>
                <c:pt idx="10">
                  <c:v>100000</c:v>
                </c:pt>
                <c:pt idx="11">
                  <c:v>100000</c:v>
                </c:pt>
              </c:numCache>
            </c:numRef>
          </c:val>
          <c:smooth val="0"/>
          <c:extLst>
            <c:ext xmlns:c16="http://schemas.microsoft.com/office/drawing/2014/chart" uri="{C3380CC4-5D6E-409C-BE32-E72D297353CC}">
              <c16:uniqueId val="{00000005-76F8-40C9-A423-0C1DF2A35DD3}"/>
            </c:ext>
          </c:extLst>
        </c:ser>
        <c:dLbls>
          <c:showLegendKey val="0"/>
          <c:showVal val="0"/>
          <c:showCatName val="0"/>
          <c:showSerName val="0"/>
          <c:showPercent val="0"/>
          <c:showBubbleSize val="0"/>
        </c:dLbls>
        <c:marker val="1"/>
        <c:smooth val="0"/>
        <c:axId val="1195768800"/>
        <c:axId val="1195787040"/>
      </c:lineChart>
      <c:scatterChart>
        <c:scatterStyle val="lineMarker"/>
        <c:varyColors val="0"/>
        <c:ser>
          <c:idx val="3"/>
          <c:order val="3"/>
          <c:tx>
            <c:strRef>
              <c:f>Processing!$E$2</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0B0F0"/>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Processing!$E$3:$E$14</c:f>
                <c:numCache>
                  <c:formatCode>General</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Processing!$E$3:$E$14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yVal>
          <c:smooth val="0"/>
          <c:extLst>
            <c:ext xmlns:c16="http://schemas.microsoft.com/office/drawing/2014/chart" uri="{C3380CC4-5D6E-409C-BE32-E72D297353CC}">
              <c16:uniqueId val="{00000006-76F8-40C9-A423-0C1DF2A35DD3}"/>
            </c:ext>
          </c:extLst>
        </c:ser>
        <c:ser>
          <c:idx val="4"/>
          <c:order val="4"/>
          <c:tx>
            <c:strRef>
              <c:f>Processing!$F$2</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EE0078"/>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Processing!$F$3:$F$14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Processing!$F$3:$F$14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76F8-40C9-A423-0C1DF2A35DD3}"/>
            </c:ext>
          </c:extLst>
        </c:ser>
        <c:ser>
          <c:idx val="5"/>
          <c:order val="5"/>
          <c:tx>
            <c:strRef>
              <c:f>Processing!$G$2</c:f>
              <c:strCache>
                <c:ptCount val="1"/>
                <c:pt idx="0">
                  <c:v>Cursor P</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1F3FF"/>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Processing!$G$3:$G$14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Processing!$G$3:$G$14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8-76F8-40C9-A423-0C1DF2A35DD3}"/>
            </c:ext>
          </c:extLst>
        </c:ser>
        <c:dLbls>
          <c:showLegendKey val="0"/>
          <c:showVal val="0"/>
          <c:showCatName val="0"/>
          <c:showSerName val="0"/>
          <c:showPercent val="0"/>
          <c:showBubbleSize val="0"/>
        </c:dLbls>
        <c:axId val="1195768800"/>
        <c:axId val="1195787040"/>
      </c:scatterChart>
      <c:catAx>
        <c:axId val="1195768800"/>
        <c:scaling>
          <c:orientation val="minMax"/>
        </c:scaling>
        <c:delete val="1"/>
        <c:axPos val="b"/>
        <c:numFmt formatCode="General" sourceLinked="1"/>
        <c:majorTickMark val="none"/>
        <c:minorTickMark val="none"/>
        <c:tickLblPos val="nextTo"/>
        <c:crossAx val="1195787040"/>
        <c:crosses val="autoZero"/>
        <c:auto val="1"/>
        <c:lblAlgn val="ctr"/>
        <c:lblOffset val="100"/>
        <c:noMultiLvlLbl val="0"/>
      </c:catAx>
      <c:valAx>
        <c:axId val="1195787040"/>
        <c:scaling>
          <c:orientation val="minMax"/>
        </c:scaling>
        <c:delete val="0"/>
        <c:axPos val="l"/>
        <c:majorGridlines>
          <c:spPr>
            <a:ln w="9525" cap="flat" cmpd="sng" algn="ctr">
              <a:solidFill>
                <a:srgbClr val="AEABFF"/>
              </a:solidFill>
              <a:round/>
            </a:ln>
            <a:effectLst/>
          </c:spPr>
        </c:majorGridlines>
        <c:numFmt formatCode="[&gt;=1000]0,&quot;k&quot;;[&l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1957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B9E6-4289-A90D-DB16F5749527}"/>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B9E6-4289-A90D-DB16F5749527}"/>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1-C76F-445D-8439-E97A0CD9C0F1}"/>
              </c:ext>
            </c:extLst>
          </c:dPt>
          <c:dPt>
            <c:idx val="1"/>
            <c:bubble3D val="0"/>
            <c:spPr>
              <a:solidFill>
                <a:schemeClr val="bg1"/>
              </a:solidFill>
              <a:ln w="19050">
                <a:noFill/>
              </a:ln>
              <a:effectLst/>
            </c:spPr>
            <c:extLst>
              <c:ext xmlns:c16="http://schemas.microsoft.com/office/drawing/2014/chart" uri="{C3380CC4-5D6E-409C-BE32-E72D297353CC}">
                <c16:uniqueId val="{00000003-C76F-445D-8439-E97A0CD9C0F1}"/>
              </c:ext>
            </c:extLst>
          </c:dPt>
          <c:dPt>
            <c:idx val="2"/>
            <c:bubble3D val="0"/>
            <c:spPr>
              <a:solidFill>
                <a:srgbClr val="0070C0"/>
              </a:solidFill>
              <a:ln w="19050">
                <a:noFill/>
              </a:ln>
              <a:effectLst/>
            </c:spPr>
            <c:extLst>
              <c:ext xmlns:c16="http://schemas.microsoft.com/office/drawing/2014/chart" uri="{C3380CC4-5D6E-409C-BE32-E72D297353CC}">
                <c16:uniqueId val="{00000005-C76F-445D-8439-E97A0CD9C0F1}"/>
              </c:ext>
            </c:extLst>
          </c:dPt>
          <c:dPt>
            <c:idx val="3"/>
            <c:bubble3D val="0"/>
            <c:spPr>
              <a:solidFill>
                <a:srgbClr val="00B0F0"/>
              </a:solidFill>
              <a:ln w="19050">
                <a:noFill/>
              </a:ln>
              <a:effectLst/>
            </c:spPr>
            <c:extLst>
              <c:ext xmlns:c16="http://schemas.microsoft.com/office/drawing/2014/chart" uri="{C3380CC4-5D6E-409C-BE32-E72D297353CC}">
                <c16:uniqueId val="{00000007-C76F-445D-8439-E97A0CD9C0F1}"/>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C76F-445D-8439-E97A0CD9C0F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D3E0-4BEC-BE8B-DBD63E404C44}"/>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D3E0-4BEC-BE8B-DBD63E404C44}"/>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5-D3E0-4BEC-BE8B-DBD63E404C44}"/>
              </c:ext>
            </c:extLst>
          </c:dPt>
          <c:dPt>
            <c:idx val="3"/>
            <c:bubble3D val="0"/>
            <c:spPr>
              <a:noFill/>
              <a:ln w="19050">
                <a:noFill/>
              </a:ln>
              <a:effectLst/>
            </c:spPr>
            <c:extLst>
              <c:ext xmlns:c16="http://schemas.microsoft.com/office/drawing/2014/chart" uri="{C3380CC4-5D6E-409C-BE32-E72D297353CC}">
                <c16:uniqueId val="{00000007-D3E0-4BEC-BE8B-DBD63E404C44}"/>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D3E0-4BEC-BE8B-DBD63E404C44}"/>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A7AE-4ABA-8730-3192E72119CC}"/>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E"/>
              </a:solidFill>
              <a:round/>
            </a:ln>
            <a:effectLst/>
          </c:spPr>
        </c:majorGridlines>
        <c:numFmt formatCode="0%" sourceLinked="1"/>
        <c:majorTickMark val="out"/>
        <c:minorTickMark val="none"/>
        <c:tickLblPos val="nextTo"/>
        <c:crossAx val="133817539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D0DE-43F3-8E88-FF0A7954511C}"/>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D0DE-43F3-8E88-FF0A7954511C}"/>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D0DE-43F3-8E88-FF0A7954511C}"/>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D0DE-43F3-8E88-FF0A7954511C}"/>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Processing!$B$2</c:f>
              <c:strCache>
                <c:ptCount val="1"/>
                <c:pt idx="0">
                  <c:v>Revenue</c:v>
                </c:pt>
              </c:strCache>
            </c:strRef>
          </c:tx>
          <c:spPr>
            <a:ln w="25400" cap="rnd">
              <a:solidFill>
                <a:srgbClr val="00B0F0"/>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Processing!$B$3:$B$14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val>
          <c:smooth val="1"/>
          <c:extLst>
            <c:ext xmlns:c16="http://schemas.microsoft.com/office/drawing/2014/chart" uri="{C3380CC4-5D6E-409C-BE32-E72D297353CC}">
              <c16:uniqueId val="{00000000-202C-4726-BD5F-E20CC4258551}"/>
            </c:ext>
          </c:extLst>
        </c:ser>
        <c:ser>
          <c:idx val="1"/>
          <c:order val="1"/>
          <c:tx>
            <c:strRef>
              <c:f>Processing!$C$2</c:f>
              <c:strCache>
                <c:ptCount val="1"/>
                <c:pt idx="0">
                  <c:v>Expenses</c:v>
                </c:pt>
              </c:strCache>
            </c:strRef>
          </c:tx>
          <c:spPr>
            <a:ln w="25400" cap="rnd">
              <a:solidFill>
                <a:srgbClr val="EE0078"/>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Processing!$C$3:$C$14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1-202C-4726-BD5F-E20CC4258551}"/>
            </c:ext>
          </c:extLst>
        </c:ser>
        <c:ser>
          <c:idx val="2"/>
          <c:order val="2"/>
          <c:tx>
            <c:strRef>
              <c:f>Processing!$D$2</c:f>
              <c:strCache>
                <c:ptCount val="1"/>
                <c:pt idx="0">
                  <c:v>Profit</c:v>
                </c:pt>
              </c:strCache>
            </c:strRef>
          </c:tx>
          <c:spPr>
            <a:ln w="25400" cap="rnd">
              <a:solidFill>
                <a:srgbClr val="00D0DA"/>
              </a:solidFill>
              <a:round/>
            </a:ln>
            <a:effectLst/>
          </c:spPr>
          <c:marker>
            <c:symbol val="none"/>
          </c:marker>
          <c:cat>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Processing!$D$3:$D$14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2-202C-4726-BD5F-E20CC4258551}"/>
            </c:ext>
          </c:extLst>
        </c:ser>
        <c:ser>
          <c:idx val="6"/>
          <c:order val="6"/>
          <c:tx>
            <c:strRef>
              <c:f>Processing!$H$2</c:f>
              <c:strCache>
                <c:ptCount val="1"/>
                <c:pt idx="0">
                  <c:v>Sales Target</c:v>
                </c:pt>
              </c:strCache>
            </c:strRef>
          </c:tx>
          <c:spPr>
            <a:ln w="12700" cap="rnd">
              <a:solidFill>
                <a:schemeClr val="tx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02C-4726-BD5F-E20CC4258551}"/>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2C-4726-BD5F-E20CC4258551}"/>
                </c:ext>
              </c:extLst>
            </c:dLbl>
            <c:numFmt formatCode="[&gt;=1000000]#,##0.0,,\ &quot;M&quot;;[&gt;=1000]#,##0,\ &quot;K&quot;;0" sourceLinked="0"/>
            <c:spPr>
              <a:solidFill>
                <a:schemeClr val="bg1">
                  <a:alpha val="73000"/>
                </a:schemeClr>
              </a:solidFill>
              <a:ln>
                <a:solidFill>
                  <a:schemeClr val="bg1"/>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Processing!$H$3:$H$14</c:f>
              <c:numCache>
                <c:formatCode>_("$"* #,##0_);_("$"* \(#,##0\);_("$"* "-"??_);_(@_)</c:formatCode>
                <c:ptCount val="12"/>
                <c:pt idx="0">
                  <c:v>100000</c:v>
                </c:pt>
                <c:pt idx="1">
                  <c:v>100000</c:v>
                </c:pt>
                <c:pt idx="2">
                  <c:v>100000</c:v>
                </c:pt>
                <c:pt idx="3">
                  <c:v>100000</c:v>
                </c:pt>
                <c:pt idx="4">
                  <c:v>100000</c:v>
                </c:pt>
                <c:pt idx="5">
                  <c:v>100000</c:v>
                </c:pt>
                <c:pt idx="6">
                  <c:v>100000</c:v>
                </c:pt>
                <c:pt idx="7">
                  <c:v>100000</c:v>
                </c:pt>
                <c:pt idx="8">
                  <c:v>100000</c:v>
                </c:pt>
                <c:pt idx="9">
                  <c:v>100000</c:v>
                </c:pt>
                <c:pt idx="10">
                  <c:v>100000</c:v>
                </c:pt>
                <c:pt idx="11">
                  <c:v>100000</c:v>
                </c:pt>
              </c:numCache>
            </c:numRef>
          </c:val>
          <c:smooth val="0"/>
          <c:extLst>
            <c:ext xmlns:c16="http://schemas.microsoft.com/office/drawing/2014/chart" uri="{C3380CC4-5D6E-409C-BE32-E72D297353CC}">
              <c16:uniqueId val="{00000005-202C-4726-BD5F-E20CC4258551}"/>
            </c:ext>
          </c:extLst>
        </c:ser>
        <c:dLbls>
          <c:showLegendKey val="0"/>
          <c:showVal val="0"/>
          <c:showCatName val="0"/>
          <c:showSerName val="0"/>
          <c:showPercent val="0"/>
          <c:showBubbleSize val="0"/>
        </c:dLbls>
        <c:marker val="1"/>
        <c:smooth val="0"/>
        <c:axId val="1195768800"/>
        <c:axId val="1195787040"/>
      </c:lineChart>
      <c:scatterChart>
        <c:scatterStyle val="lineMarker"/>
        <c:varyColors val="0"/>
        <c:ser>
          <c:idx val="3"/>
          <c:order val="3"/>
          <c:tx>
            <c:strRef>
              <c:f>Processing!$E$2</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0B0F0"/>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Processing!$E$3:$E$14</c:f>
                <c:numCache>
                  <c:formatCode>General</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Processing!$E$3:$E$14</c:f>
              <c:numCache>
                <c:formatCode>_("$"* #,##0_);_("$"* \(#,##0\);_("$"* "-"??_);_(@_)</c:formatCode>
                <c:ptCount val="12"/>
                <c:pt idx="0">
                  <c:v>112023</c:v>
                </c:pt>
                <c:pt idx="1">
                  <c:v>89374</c:v>
                </c:pt>
                <c:pt idx="2">
                  <c:v>73824</c:v>
                </c:pt>
                <c:pt idx="3">
                  <c:v>70497</c:v>
                </c:pt>
                <c:pt idx="4">
                  <c:v>80257</c:v>
                </c:pt>
                <c:pt idx="5">
                  <c:v>100146</c:v>
                </c:pt>
                <c:pt idx="6">
                  <c:v>123979</c:v>
                </c:pt>
                <c:pt idx="7">
                  <c:v>143879</c:v>
                </c:pt>
                <c:pt idx="8">
                  <c:v>153629</c:v>
                </c:pt>
                <c:pt idx="9">
                  <c:v>150252</c:v>
                </c:pt>
                <c:pt idx="10">
                  <c:v>134779</c:v>
                </c:pt>
                <c:pt idx="11">
                  <c:v>112126</c:v>
                </c:pt>
              </c:numCache>
            </c:numRef>
          </c:yVal>
          <c:smooth val="0"/>
          <c:extLst>
            <c:ext xmlns:c16="http://schemas.microsoft.com/office/drawing/2014/chart" uri="{C3380CC4-5D6E-409C-BE32-E72D297353CC}">
              <c16:uniqueId val="{00000006-202C-4726-BD5F-E20CC4258551}"/>
            </c:ext>
          </c:extLst>
        </c:ser>
        <c:ser>
          <c:idx val="4"/>
          <c:order val="4"/>
          <c:tx>
            <c:strRef>
              <c:f>Processing!$F$2</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EE0078"/>
                </a:solidFill>
              </a:ln>
              <a:effectLst>
                <a:outerShdw blurRad="50800" dist="38100" dir="5400000" algn="t" rotWithShape="0">
                  <a:prstClr val="black">
                    <a:alpha val="40000"/>
                  </a:prstClr>
                </a:outerShdw>
              </a:effectLst>
            </c:spPr>
          </c:marker>
          <c:errBars>
            <c:errDir val="y"/>
            <c:errBarType val="minus"/>
            <c:errValType val="cust"/>
            <c:noEndCap val="0"/>
            <c:plus>
              <c:numLit>
                <c:formatCode>General</c:formatCode>
                <c:ptCount val="1"/>
                <c:pt idx="0">
                  <c:v>1</c:v>
                </c:pt>
              </c:numLit>
            </c:plus>
            <c:minus>
              <c:numRef>
                <c:f>Processing!$F$3:$F$14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Processing!$F$3:$F$14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7-202C-4726-BD5F-E20CC4258551}"/>
            </c:ext>
          </c:extLst>
        </c:ser>
        <c:ser>
          <c:idx val="5"/>
          <c:order val="5"/>
          <c:tx>
            <c:strRef>
              <c:f>Processing!$G$2</c:f>
              <c:strCache>
                <c:ptCount val="1"/>
                <c:pt idx="0">
                  <c:v>Cursor P</c:v>
                </c:pt>
              </c:strCache>
            </c:strRef>
          </c:tx>
          <c:spPr>
            <a:ln w="25400" cap="rnd">
              <a:noFill/>
              <a:round/>
            </a:ln>
            <a:effectLst>
              <a:outerShdw blurRad="50800" dist="38100" dir="5400000" algn="t" rotWithShape="0">
                <a:prstClr val="black">
                  <a:alpha val="40000"/>
                </a:prstClr>
              </a:outerShdw>
            </a:effectLst>
          </c:spPr>
          <c:marker>
            <c:symbol val="circle"/>
            <c:size val="6"/>
            <c:spPr>
              <a:solidFill>
                <a:schemeClr val="bg1"/>
              </a:solidFill>
              <a:ln w="12700">
                <a:solidFill>
                  <a:srgbClr val="01F3FF"/>
                </a:solidFill>
              </a:ln>
              <a:effectLst>
                <a:outerShdw blurRad="50800" dist="38100" dir="5400000" algn="t" rotWithShape="0">
                  <a:prstClr val="black">
                    <a:alpha val="40000"/>
                  </a:prstClr>
                </a:outerShdw>
              </a:effectLst>
            </c:spPr>
          </c:marker>
          <c:errBars>
            <c:errDir val="y"/>
            <c:errBarType val="minus"/>
            <c:errValType val="cust"/>
            <c:noEndCap val="1"/>
            <c:plus>
              <c:numLit>
                <c:formatCode>General</c:formatCode>
                <c:ptCount val="1"/>
                <c:pt idx="0">
                  <c:v>1</c:v>
                </c:pt>
              </c:numLit>
            </c:plus>
            <c:minus>
              <c:numRef>
                <c:f>Processing!$G$3:$G$14</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minus>
            <c:spPr>
              <a:noFill/>
              <a:ln w="9525" cap="flat" cmpd="sng" algn="ctr">
                <a:solidFill>
                  <a:srgbClr val="5987F6"/>
                </a:solidFill>
                <a:round/>
              </a:ln>
              <a:effectLst/>
            </c:spPr>
          </c:errBars>
          <c:xVal>
            <c:strRef>
              <c:f>Processing!$A$3:$A$14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Processing!$G$3:$G$14</c:f>
              <c:numCache>
                <c:formatCode>_("$"* #,##0_);_("$"* \(#,##0\);_("$"* "-"??_);_(@_)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8-202C-4726-BD5F-E20CC4258551}"/>
            </c:ext>
          </c:extLst>
        </c:ser>
        <c:dLbls>
          <c:showLegendKey val="0"/>
          <c:showVal val="0"/>
          <c:showCatName val="0"/>
          <c:showSerName val="0"/>
          <c:showPercent val="0"/>
          <c:showBubbleSize val="0"/>
        </c:dLbls>
        <c:axId val="1195768800"/>
        <c:axId val="1195787040"/>
      </c:scatterChart>
      <c:catAx>
        <c:axId val="1195768800"/>
        <c:scaling>
          <c:orientation val="minMax"/>
        </c:scaling>
        <c:delete val="1"/>
        <c:axPos val="b"/>
        <c:numFmt formatCode="General" sourceLinked="1"/>
        <c:majorTickMark val="none"/>
        <c:minorTickMark val="none"/>
        <c:tickLblPos val="nextTo"/>
        <c:crossAx val="1195787040"/>
        <c:crosses val="autoZero"/>
        <c:auto val="1"/>
        <c:lblAlgn val="ctr"/>
        <c:lblOffset val="100"/>
        <c:noMultiLvlLbl val="0"/>
      </c:catAx>
      <c:valAx>
        <c:axId val="1195787040"/>
        <c:scaling>
          <c:orientation val="minMax"/>
        </c:scaling>
        <c:delete val="0"/>
        <c:axPos val="l"/>
        <c:majorGridlines>
          <c:spPr>
            <a:ln w="9525" cap="flat" cmpd="sng" algn="ctr">
              <a:solidFill>
                <a:srgbClr val="AEABFF"/>
              </a:solidFill>
              <a:round/>
            </a:ln>
            <a:effectLst/>
          </c:spPr>
        </c:majorGridlines>
        <c:numFmt formatCode="[&gt;=1000]0,&quot;k&quot;;[&l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19576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F9E5-4956-8CB4-AD46437D45A1}"/>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F9E5-4956-8CB4-AD46437D45A1}"/>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1-54DD-40AD-8A11-F65C8205FB88}"/>
              </c:ext>
            </c:extLst>
          </c:dPt>
          <c:dPt>
            <c:idx val="1"/>
            <c:bubble3D val="0"/>
            <c:spPr>
              <a:solidFill>
                <a:schemeClr val="bg1"/>
              </a:solidFill>
              <a:ln w="19050">
                <a:noFill/>
              </a:ln>
              <a:effectLst/>
            </c:spPr>
            <c:extLst>
              <c:ext xmlns:c16="http://schemas.microsoft.com/office/drawing/2014/chart" uri="{C3380CC4-5D6E-409C-BE32-E72D297353CC}">
                <c16:uniqueId val="{00000003-54DD-40AD-8A11-F65C8205FB88}"/>
              </c:ext>
            </c:extLst>
          </c:dPt>
          <c:dPt>
            <c:idx val="2"/>
            <c:bubble3D val="0"/>
            <c:spPr>
              <a:solidFill>
                <a:srgbClr val="0070C0"/>
              </a:solidFill>
              <a:ln w="19050">
                <a:noFill/>
              </a:ln>
              <a:effectLst/>
            </c:spPr>
            <c:extLst>
              <c:ext xmlns:c16="http://schemas.microsoft.com/office/drawing/2014/chart" uri="{C3380CC4-5D6E-409C-BE32-E72D297353CC}">
                <c16:uniqueId val="{00000005-54DD-40AD-8A11-F65C8205FB88}"/>
              </c:ext>
            </c:extLst>
          </c:dPt>
          <c:dPt>
            <c:idx val="3"/>
            <c:bubble3D val="0"/>
            <c:spPr>
              <a:solidFill>
                <a:srgbClr val="00B0F0"/>
              </a:solidFill>
              <a:ln w="19050">
                <a:noFill/>
              </a:ln>
              <a:effectLst/>
            </c:spPr>
            <c:extLst>
              <c:ext xmlns:c16="http://schemas.microsoft.com/office/drawing/2014/chart" uri="{C3380CC4-5D6E-409C-BE32-E72D297353CC}">
                <c16:uniqueId val="{00000007-54DD-40AD-8A11-F65C8205FB88}"/>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54DD-40AD-8A11-F65C8205FB88}"/>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70000"/>
                </a:prstClr>
              </a:outerShdw>
            </a:effectLst>
          </c:spPr>
          <c:dPt>
            <c:idx val="0"/>
            <c:bubble3D val="0"/>
            <c:spPr>
              <a:gradFill>
                <a:gsLst>
                  <a:gs pos="0">
                    <a:schemeClr val="accent5">
                      <a:lumMod val="60000"/>
                      <a:lumOff val="40000"/>
                    </a:schemeClr>
                  </a:gs>
                  <a:gs pos="97000">
                    <a:srgbClr val="A62C97"/>
                  </a:gs>
                </a:gsLst>
                <a:lin ang="3000000" scaled="0"/>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1-86BA-402E-B08F-249D0D0DA4E0}"/>
              </c:ext>
            </c:extLst>
          </c:dPt>
          <c:dPt>
            <c:idx val="1"/>
            <c:bubble3D val="0"/>
            <c:spPr>
              <a:gradFill>
                <a:gsLst>
                  <a:gs pos="100000">
                    <a:srgbClr val="61A7F5"/>
                  </a:gs>
                  <a:gs pos="0">
                    <a:srgbClr val="4077E3"/>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3-86BA-402E-B08F-249D0D0DA4E0}"/>
              </c:ext>
            </c:extLst>
          </c:dPt>
          <c:dPt>
            <c:idx val="2"/>
            <c:bubble3D val="0"/>
            <c:spPr>
              <a:gradFill>
                <a:gsLst>
                  <a:gs pos="0">
                    <a:srgbClr val="8070E2"/>
                  </a:gs>
                  <a:gs pos="100000">
                    <a:srgbClr val="5A4EBD"/>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5-86BA-402E-B08F-249D0D0DA4E0}"/>
              </c:ext>
            </c:extLst>
          </c:dPt>
          <c:dPt>
            <c:idx val="3"/>
            <c:bubble3D val="0"/>
            <c:spPr>
              <a:noFill/>
              <a:ln w="19050">
                <a:noFill/>
              </a:ln>
              <a:effectLst>
                <a:innerShdw blurRad="114300">
                  <a:prstClr val="black"/>
                </a:innerShdw>
              </a:effectLst>
            </c:spPr>
            <c:extLst>
              <c:ext xmlns:c16="http://schemas.microsoft.com/office/drawing/2014/chart" uri="{C3380CC4-5D6E-409C-BE32-E72D297353CC}">
                <c16:uniqueId val="{00000007-86BA-402E-B08F-249D0D0DA4E0}"/>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86BA-402E-B08F-249D0D0DA4E0}"/>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D86F-471B-A414-B2EB61C842C4}"/>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1902-4B86-9FA8-205EC8F8E0D7}"/>
            </c:ext>
          </c:extLst>
        </c:ser>
        <c:ser>
          <c:idx val="1"/>
          <c:order val="1"/>
          <c:spPr>
            <a:solidFill>
              <a:schemeClr val="accent2"/>
            </a:solidFill>
            <a:ln w="127000">
              <a:gradFill>
                <a:gsLst>
                  <a:gs pos="65000">
                    <a:srgbClr val="5987F6"/>
                  </a:gs>
                  <a:gs pos="100000">
                    <a:srgbClr val="7A59CD"/>
                  </a:gs>
                </a:gsLst>
                <a:lin ang="5400000" scaled="1"/>
              </a:gradFill>
            </a:ln>
            <a:effectLst>
              <a:outerShdw blurRad="50800" dist="38100" dir="8100000" algn="tr" rotWithShape="0">
                <a:prstClr val="black">
                  <a:alpha val="40000"/>
                </a:prstClr>
              </a:outerShdw>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1902-4B86-9FA8-205EC8F8E0D7}"/>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1902-4B86-9FA8-205EC8F8E0D7}"/>
            </c:ext>
          </c:extLst>
        </c:ser>
        <c:ser>
          <c:idx val="3"/>
          <c:order val="3"/>
          <c:tx>
            <c:v>Cursor</c:v>
          </c:tx>
          <c:spPr>
            <a:solidFill>
              <a:schemeClr val="accent4"/>
            </a:solidFill>
            <a:ln w="127000">
              <a:gradFill>
                <a:gsLst>
                  <a:gs pos="0">
                    <a:schemeClr val="accent1">
                      <a:lumMod val="5000"/>
                      <a:lumOff val="95000"/>
                    </a:schemeClr>
                  </a:gs>
                  <a:gs pos="62000">
                    <a:schemeClr val="accent1">
                      <a:lumMod val="30000"/>
                      <a:lumOff val="70000"/>
                    </a:schemeClr>
                  </a:gs>
                </a:gsLst>
                <a:lin ang="5400000" scaled="1"/>
              </a:gradFill>
            </a:ln>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1902-4B86-9FA8-205EC8F8E0D7}"/>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B389-4AA1-AC35-0F910433615A}"/>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B389-4AA1-AC35-0F910433615A}"/>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B207-4ABC-9674-0065F14B20F1}"/>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B207-4ABC-9674-0065F14B20F1}"/>
              </c:ext>
            </c:extLst>
          </c:dPt>
          <c:dPt>
            <c:idx val="2"/>
            <c:bubble3D val="0"/>
            <c:spPr>
              <a:solidFill>
                <a:srgbClr val="01F3FF"/>
              </a:solidFill>
              <a:ln w="19050">
                <a:noFill/>
              </a:ln>
              <a:effectLst/>
            </c:spPr>
            <c:extLst>
              <c:ext xmlns:c16="http://schemas.microsoft.com/office/drawing/2014/chart" uri="{C3380CC4-5D6E-409C-BE32-E72D297353CC}">
                <c16:uniqueId val="{00000005-B207-4ABC-9674-0065F14B20F1}"/>
              </c:ext>
            </c:extLst>
          </c:dPt>
          <c:dPt>
            <c:idx val="3"/>
            <c:bubble3D val="0"/>
            <c:spPr>
              <a:solidFill>
                <a:schemeClr val="bg1"/>
              </a:solidFill>
              <a:ln w="19050">
                <a:noFill/>
              </a:ln>
              <a:effectLst/>
            </c:spPr>
            <c:extLst>
              <c:ext xmlns:c16="http://schemas.microsoft.com/office/drawing/2014/chart" uri="{C3380CC4-5D6E-409C-BE32-E72D297353CC}">
                <c16:uniqueId val="{00000007-B207-4ABC-9674-0065F14B20F1}"/>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B207-4ABC-9674-0065F14B20F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val>
            <c:numRef>
              <c:f>Processing!$B$18:$B$29</c:f>
              <c:numCache>
                <c:formatCode>General</c:formatCode>
                <c:ptCount val="12"/>
                <c:pt idx="0">
                  <c:v>71.92</c:v>
                </c:pt>
                <c:pt idx="1">
                  <c:v>71.92</c:v>
                </c:pt>
                <c:pt idx="2">
                  <c:v>71.92</c:v>
                </c:pt>
                <c:pt idx="3">
                  <c:v>71.92</c:v>
                </c:pt>
                <c:pt idx="4">
                  <c:v>71.92</c:v>
                </c:pt>
                <c:pt idx="5">
                  <c:v>71.92</c:v>
                </c:pt>
                <c:pt idx="6">
                  <c:v>71.92</c:v>
                </c:pt>
                <c:pt idx="7">
                  <c:v>71.92</c:v>
                </c:pt>
                <c:pt idx="8">
                  <c:v>71.92</c:v>
                </c:pt>
                <c:pt idx="9">
                  <c:v>71.92</c:v>
                </c:pt>
                <c:pt idx="10">
                  <c:v>71.92</c:v>
                </c:pt>
                <c:pt idx="11">
                  <c:v>71.92</c:v>
                </c:pt>
              </c:numCache>
            </c:numRef>
          </c:val>
          <c:extLst>
            <c:ext xmlns:c16="http://schemas.microsoft.com/office/drawing/2014/chart" uri="{C3380CC4-5D6E-409C-BE32-E72D297353CC}">
              <c16:uniqueId val="{00000000-B397-4E04-9ABD-E067E6419C16}"/>
            </c:ext>
          </c:extLst>
        </c:ser>
        <c:ser>
          <c:idx val="1"/>
          <c:order val="1"/>
          <c:tx>
            <c:strRef>
              <c:f>Processing!$C$17</c:f>
              <c:strCache>
                <c:ptCount val="1"/>
                <c:pt idx="0">
                  <c:v>Standart</c:v>
                </c:pt>
              </c:strCache>
            </c:strRef>
          </c:tx>
          <c:spPr>
            <a:solidFill>
              <a:schemeClr val="accent2"/>
            </a:solidFill>
            <a:ln w="127000">
              <a:gradFill>
                <a:gsLst>
                  <a:gs pos="55000">
                    <a:srgbClr val="5987F6"/>
                  </a:gs>
                  <a:gs pos="100000">
                    <a:srgbClr val="7A59CD"/>
                  </a:gs>
                </a:gsLst>
                <a:lin ang="5400000" scaled="1"/>
              </a:gradFill>
            </a:ln>
            <a:effectLst/>
          </c:spPr>
          <c:invertIfNegative val="0"/>
          <c:val>
            <c:numRef>
              <c:f>Processing!$C$18:$C$29</c:f>
              <c:numCache>
                <c:formatCode>General</c:formatCode>
                <c:ptCount val="12"/>
                <c:pt idx="0">
                  <c:v>1090</c:v>
                </c:pt>
                <c:pt idx="1">
                  <c:v>956</c:v>
                </c:pt>
                <c:pt idx="2">
                  <c:v>969</c:v>
                </c:pt>
                <c:pt idx="3">
                  <c:v>1430</c:v>
                </c:pt>
                <c:pt idx="4">
                  <c:v>834</c:v>
                </c:pt>
                <c:pt idx="5">
                  <c:v>961</c:v>
                </c:pt>
                <c:pt idx="6">
                  <c:v>1644</c:v>
                </c:pt>
                <c:pt idx="7">
                  <c:v>1637</c:v>
                </c:pt>
                <c:pt idx="8">
                  <c:v>1482</c:v>
                </c:pt>
                <c:pt idx="9">
                  <c:v>1701</c:v>
                </c:pt>
                <c:pt idx="10">
                  <c:v>1156</c:v>
                </c:pt>
                <c:pt idx="11">
                  <c:v>1798</c:v>
                </c:pt>
              </c:numCache>
            </c:numRef>
          </c:val>
          <c:extLst>
            <c:ext xmlns:c16="http://schemas.microsoft.com/office/drawing/2014/chart" uri="{C3380CC4-5D6E-409C-BE32-E72D297353CC}">
              <c16:uniqueId val="{00000001-B397-4E04-9ABD-E067E6419C16}"/>
            </c:ext>
          </c:extLst>
        </c:ser>
        <c:ser>
          <c:idx val="2"/>
          <c:order val="2"/>
          <c:tx>
            <c:strRef>
              <c:f>Processing!$D$17</c:f>
              <c:strCache>
                <c:ptCount val="1"/>
                <c:pt idx="0">
                  <c:v>Premium</c:v>
                </c:pt>
              </c:strCache>
            </c:strRef>
          </c:tx>
          <c:spPr>
            <a:solidFill>
              <a:srgbClr val="6185D0"/>
            </a:solidFill>
            <a:ln w="127000">
              <a:solidFill>
                <a:srgbClr val="89AAF8"/>
              </a:solidFill>
            </a:ln>
            <a:effectLst/>
          </c:spPr>
          <c:invertIfNegative val="0"/>
          <c:val>
            <c:numRef>
              <c:f>Processing!$D$18:$D$29</c:f>
              <c:numCache>
                <c:formatCode>General</c:formatCode>
                <c:ptCount val="12"/>
                <c:pt idx="0">
                  <c:v>474</c:v>
                </c:pt>
                <c:pt idx="1">
                  <c:v>561</c:v>
                </c:pt>
                <c:pt idx="2">
                  <c:v>614</c:v>
                </c:pt>
                <c:pt idx="3">
                  <c:v>254</c:v>
                </c:pt>
                <c:pt idx="4">
                  <c:v>913</c:v>
                </c:pt>
                <c:pt idx="5">
                  <c:v>803</c:v>
                </c:pt>
                <c:pt idx="6">
                  <c:v>149</c:v>
                </c:pt>
                <c:pt idx="7">
                  <c:v>149</c:v>
                </c:pt>
                <c:pt idx="8">
                  <c:v>338</c:v>
                </c:pt>
                <c:pt idx="9">
                  <c:v>189</c:v>
                </c:pt>
                <c:pt idx="10">
                  <c:v>785</c:v>
                </c:pt>
                <c:pt idx="11">
                  <c:v>202</c:v>
                </c:pt>
              </c:numCache>
            </c:numRef>
          </c:val>
          <c:extLst>
            <c:ext xmlns:c16="http://schemas.microsoft.com/office/drawing/2014/chart" uri="{C3380CC4-5D6E-409C-BE32-E72D297353CC}">
              <c16:uniqueId val="{00000002-B397-4E04-9ABD-E067E6419C16}"/>
            </c:ext>
          </c:extLst>
        </c:ser>
        <c:dLbls>
          <c:showLegendKey val="0"/>
          <c:showVal val="0"/>
          <c:showCatName val="0"/>
          <c:showSerName val="0"/>
          <c:showPercent val="0"/>
          <c:showBubbleSize val="0"/>
        </c:dLbls>
        <c:gapWidth val="250"/>
        <c:overlap val="100"/>
        <c:axId val="1536816671"/>
        <c:axId val="1536816191"/>
      </c:barChart>
      <c:barChart>
        <c:barDir val="col"/>
        <c:grouping val="stacked"/>
        <c:varyColors val="0"/>
        <c:ser>
          <c:idx val="3"/>
          <c:order val="3"/>
          <c:tx>
            <c:strRef>
              <c:f>Processing!$E$17</c:f>
              <c:strCache>
                <c:ptCount val="1"/>
                <c:pt idx="0">
                  <c:v>indent C</c:v>
                </c:pt>
              </c:strCache>
            </c:strRef>
          </c:tx>
          <c:spPr>
            <a:noFill/>
            <a:ln>
              <a:noFill/>
            </a:ln>
            <a:effectLst/>
          </c:spPr>
          <c:invertIfNegative val="0"/>
          <c:val>
            <c:numRef>
              <c:f>Processing!$E$18:$E$29</c:f>
              <c:numCache>
                <c:formatCode>General</c:formatCode>
                <c:ptCount val="12"/>
                <c:pt idx="0">
                  <c:v>71.92</c:v>
                </c:pt>
                <c:pt idx="1">
                  <c:v>71.92</c:v>
                </c:pt>
                <c:pt idx="2">
                  <c:v>71.92</c:v>
                </c:pt>
                <c:pt idx="3">
                  <c:v>71.92</c:v>
                </c:pt>
                <c:pt idx="4">
                  <c:v>71.92</c:v>
                </c:pt>
                <c:pt idx="5">
                  <c:v>71.92</c:v>
                </c:pt>
                <c:pt idx="6">
                  <c:v>71.92</c:v>
                </c:pt>
                <c:pt idx="7">
                  <c:v>71.92</c:v>
                </c:pt>
                <c:pt idx="8">
                  <c:v>71.92</c:v>
                </c:pt>
                <c:pt idx="9">
                  <c:v>71.92</c:v>
                </c:pt>
                <c:pt idx="10">
                  <c:v>71.92</c:v>
                </c:pt>
                <c:pt idx="11">
                  <c:v>71.92</c:v>
                </c:pt>
              </c:numCache>
            </c:numRef>
          </c:val>
          <c:extLst>
            <c:ext xmlns:c16="http://schemas.microsoft.com/office/drawing/2014/chart" uri="{C3380CC4-5D6E-409C-BE32-E72D297353CC}">
              <c16:uniqueId val="{00000003-B397-4E04-9ABD-E067E6419C16}"/>
            </c:ext>
          </c:extLst>
        </c:ser>
        <c:ser>
          <c:idx val="4"/>
          <c:order val="4"/>
          <c:tx>
            <c:strRef>
              <c:f>Processing!$F$17</c:f>
              <c:strCache>
                <c:ptCount val="1"/>
                <c:pt idx="0">
                  <c:v>Cursor S</c:v>
                </c:pt>
              </c:strCache>
            </c:strRef>
          </c:tx>
          <c:spPr>
            <a:solidFill>
              <a:schemeClr val="accent5"/>
            </a:solidFill>
            <a:ln w="1270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val>
            <c:numRef>
              <c:f>Processing!$F$18:$F$29</c:f>
              <c:numCache>
                <c:formatCode>General</c:formatCode>
                <c:ptCount val="12"/>
                <c:pt idx="0">
                  <c:v>1090</c:v>
                </c:pt>
                <c:pt idx="1">
                  <c:v>956</c:v>
                </c:pt>
                <c:pt idx="2">
                  <c:v>969</c:v>
                </c:pt>
                <c:pt idx="3">
                  <c:v>1430</c:v>
                </c:pt>
                <c:pt idx="4">
                  <c:v>834</c:v>
                </c:pt>
                <c:pt idx="5">
                  <c:v>961</c:v>
                </c:pt>
                <c:pt idx="6">
                  <c:v>1644</c:v>
                </c:pt>
                <c:pt idx="7">
                  <c:v>1637</c:v>
                </c:pt>
                <c:pt idx="8">
                  <c:v>1482</c:v>
                </c:pt>
                <c:pt idx="9">
                  <c:v>1701</c:v>
                </c:pt>
                <c:pt idx="10">
                  <c:v>1156</c:v>
                </c:pt>
                <c:pt idx="11">
                  <c:v>1798</c:v>
                </c:pt>
              </c:numCache>
            </c:numRef>
          </c:val>
          <c:extLst>
            <c:ext xmlns:c16="http://schemas.microsoft.com/office/drawing/2014/chart" uri="{C3380CC4-5D6E-409C-BE32-E72D297353CC}">
              <c16:uniqueId val="{00000004-B397-4E04-9ABD-E067E6419C16}"/>
            </c:ext>
          </c:extLst>
        </c:ser>
        <c:ser>
          <c:idx val="5"/>
          <c:order val="5"/>
          <c:tx>
            <c:strRef>
              <c:f>Processing!$G$17</c:f>
              <c:strCache>
                <c:ptCount val="1"/>
                <c:pt idx="0">
                  <c:v>Cursor P</c:v>
                </c:pt>
              </c:strCache>
            </c:strRef>
          </c:tx>
          <c:spPr>
            <a:solidFill>
              <a:schemeClr val="accent6"/>
            </a:solidFill>
            <a:ln w="127000">
              <a:solidFill>
                <a:schemeClr val="accent1">
                  <a:lumMod val="60000"/>
                  <a:lumOff val="40000"/>
                </a:schemeClr>
              </a:solidFill>
            </a:ln>
            <a:effectLst/>
          </c:spPr>
          <c:invertIfNegative val="0"/>
          <c:val>
            <c:numRef>
              <c:f>Processing!$G$18:$G$29</c:f>
              <c:numCache>
                <c:formatCode>General</c:formatCode>
                <c:ptCount val="12"/>
                <c:pt idx="0">
                  <c:v>474</c:v>
                </c:pt>
                <c:pt idx="1">
                  <c:v>561</c:v>
                </c:pt>
                <c:pt idx="2">
                  <c:v>614</c:v>
                </c:pt>
                <c:pt idx="3">
                  <c:v>254</c:v>
                </c:pt>
                <c:pt idx="4">
                  <c:v>913</c:v>
                </c:pt>
                <c:pt idx="5">
                  <c:v>803</c:v>
                </c:pt>
                <c:pt idx="6">
                  <c:v>149</c:v>
                </c:pt>
                <c:pt idx="7">
                  <c:v>149</c:v>
                </c:pt>
                <c:pt idx="8">
                  <c:v>338</c:v>
                </c:pt>
                <c:pt idx="9">
                  <c:v>189</c:v>
                </c:pt>
                <c:pt idx="10">
                  <c:v>785</c:v>
                </c:pt>
                <c:pt idx="11">
                  <c:v>202</c:v>
                </c:pt>
              </c:numCache>
            </c:numRef>
          </c:val>
          <c:extLst>
            <c:ext xmlns:c16="http://schemas.microsoft.com/office/drawing/2014/chart" uri="{C3380CC4-5D6E-409C-BE32-E72D297353CC}">
              <c16:uniqueId val="{00000005-B397-4E04-9ABD-E067E6419C16}"/>
            </c:ext>
          </c:extLst>
        </c:ser>
        <c:dLbls>
          <c:showLegendKey val="0"/>
          <c:showVal val="0"/>
          <c:showCatName val="0"/>
          <c:showSerName val="0"/>
          <c:showPercent val="0"/>
          <c:showBubbleSize val="0"/>
        </c:dLbls>
        <c:gapWidth val="250"/>
        <c:overlap val="100"/>
        <c:axId val="1536836831"/>
        <c:axId val="1536843551"/>
      </c:barChart>
      <c:lineChart>
        <c:grouping val="standard"/>
        <c:varyColors val="0"/>
        <c:ser>
          <c:idx val="6"/>
          <c:order val="6"/>
          <c:tx>
            <c:strRef>
              <c:f>Processing!$H$17</c:f>
              <c:strCache>
                <c:ptCount val="1"/>
                <c:pt idx="0">
                  <c:v>Target</c:v>
                </c:pt>
              </c:strCache>
            </c:strRef>
          </c:tx>
          <c:spPr>
            <a:ln w="12700" cap="rnd">
              <a:solidFill>
                <a:schemeClr val="bg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B397-4E04-9ABD-E067E6419C16}"/>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397-4E04-9ABD-E067E6419C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Processing!$H$18:$H$29</c:f>
              <c:numCache>
                <c:formatCode>General</c:formatCode>
                <c:ptCount val="12"/>
                <c:pt idx="0">
                  <c:v>1800</c:v>
                </c:pt>
                <c:pt idx="1">
                  <c:v>1800</c:v>
                </c:pt>
                <c:pt idx="2">
                  <c:v>1800</c:v>
                </c:pt>
                <c:pt idx="3">
                  <c:v>1800</c:v>
                </c:pt>
                <c:pt idx="4">
                  <c:v>1800</c:v>
                </c:pt>
                <c:pt idx="5">
                  <c:v>1800</c:v>
                </c:pt>
                <c:pt idx="6">
                  <c:v>1800</c:v>
                </c:pt>
                <c:pt idx="7">
                  <c:v>1800</c:v>
                </c:pt>
                <c:pt idx="8">
                  <c:v>1800</c:v>
                </c:pt>
                <c:pt idx="9">
                  <c:v>1800</c:v>
                </c:pt>
                <c:pt idx="10">
                  <c:v>1800</c:v>
                </c:pt>
                <c:pt idx="11">
                  <c:v>1800</c:v>
                </c:pt>
              </c:numCache>
            </c:numRef>
          </c:val>
          <c:smooth val="0"/>
          <c:extLst>
            <c:ext xmlns:c16="http://schemas.microsoft.com/office/drawing/2014/chart" uri="{C3380CC4-5D6E-409C-BE32-E72D297353CC}">
              <c16:uniqueId val="{00000008-B397-4E04-9ABD-E067E6419C16}"/>
            </c:ext>
          </c:extLst>
        </c:ser>
        <c:dLbls>
          <c:showLegendKey val="0"/>
          <c:showVal val="0"/>
          <c:showCatName val="0"/>
          <c:showSerName val="0"/>
          <c:showPercent val="0"/>
          <c:showBubbleSize val="0"/>
        </c:dLbls>
        <c:marker val="1"/>
        <c:smooth val="0"/>
        <c:axId val="1536836831"/>
        <c:axId val="1536843551"/>
      </c:lineChart>
      <c:catAx>
        <c:axId val="1536816671"/>
        <c:scaling>
          <c:orientation val="minMax"/>
        </c:scaling>
        <c:delete val="1"/>
        <c:axPos val="b"/>
        <c:majorTickMark val="none"/>
        <c:minorTickMark val="none"/>
        <c:tickLblPos val="nextTo"/>
        <c:crossAx val="1536816191"/>
        <c:crosses val="autoZero"/>
        <c:auto val="1"/>
        <c:lblAlgn val="ctr"/>
        <c:lblOffset val="100"/>
        <c:noMultiLvlLbl val="0"/>
      </c:catAx>
      <c:valAx>
        <c:axId val="1536816191"/>
        <c:scaling>
          <c:orientation val="minMax"/>
        </c:scaling>
        <c:delete val="0"/>
        <c:axPos val="l"/>
        <c:majorGridlines>
          <c:spPr>
            <a:ln w="9525" cap="flat" cmpd="sng" algn="ctr">
              <a:solidFill>
                <a:srgbClr val="626DAE"/>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536816671"/>
        <c:crosses val="autoZero"/>
        <c:crossBetween val="between"/>
      </c:valAx>
      <c:valAx>
        <c:axId val="1536843551"/>
        <c:scaling>
          <c:orientation val="minMax"/>
        </c:scaling>
        <c:delete val="1"/>
        <c:axPos val="r"/>
        <c:numFmt formatCode="General" sourceLinked="1"/>
        <c:majorTickMark val="out"/>
        <c:minorTickMark val="none"/>
        <c:tickLblPos val="nextTo"/>
        <c:crossAx val="1536836831"/>
        <c:crosses val="max"/>
        <c:crossBetween val="between"/>
      </c:valAx>
      <c:catAx>
        <c:axId val="1536836831"/>
        <c:scaling>
          <c:orientation val="minMax"/>
        </c:scaling>
        <c:delete val="1"/>
        <c:axPos val="b"/>
        <c:majorTickMark val="out"/>
        <c:minorTickMark val="none"/>
        <c:tickLblPos val="nextTo"/>
        <c:crossAx val="15368435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B-8C4D-4E78-A547-0ECCC35A5FE0}"/>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D-8C4D-4E78-A547-0ECCC35A5FE0}"/>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F-8C4D-4E78-A547-0ECCC35A5FE0}"/>
              </c:ext>
            </c:extLst>
          </c:dPt>
          <c:dPt>
            <c:idx val="3"/>
            <c:bubble3D val="0"/>
            <c:spPr>
              <a:noFill/>
              <a:ln w="19050">
                <a:noFill/>
              </a:ln>
              <a:effectLst/>
            </c:spPr>
            <c:extLst>
              <c:ext xmlns:c16="http://schemas.microsoft.com/office/drawing/2014/chart" uri="{C3380CC4-5D6E-409C-BE32-E72D297353CC}">
                <c16:uniqueId val="{00000011-8C4D-4E78-A547-0ECCC35A5FE0}"/>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12-8C4D-4E78-A547-0ECCC35A5FE0}"/>
            </c:ext>
          </c:extLst>
        </c:ser>
        <c:dLbls>
          <c:showLegendKey val="0"/>
          <c:showVal val="0"/>
          <c:showCatName val="0"/>
          <c:showSerName val="0"/>
          <c:showPercent val="0"/>
          <c:showBubbleSize val="0"/>
          <c:showLeaderLines val="1"/>
        </c:dLbls>
        <c:firstSliceAng val="0"/>
        <c:holeSize val="5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2-D3AF-47B0-8F7B-DBF0D33B4256}"/>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E"/>
              </a:solidFill>
              <a:round/>
            </a:ln>
            <a:effectLst/>
          </c:spPr>
        </c:majorGridlines>
        <c:numFmt formatCode="0%" sourceLinked="1"/>
        <c:majorTickMark val="out"/>
        <c:minorTickMark val="none"/>
        <c:tickLblPos val="nextTo"/>
        <c:crossAx val="133817539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5-26E1-4C30-87DB-442E0C73885F}"/>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7-26E1-4C30-87DB-442E0C73885F}"/>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9-26E1-4C30-87DB-442E0C73885F}"/>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B-26E1-4C30-87DB-442E0C73885F}"/>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66E8-46FB-BEDE-3D711482AA09}"/>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66E8-46FB-BEDE-3D711482AA09}"/>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B-3FAA-43E5-8686-68F9E72AE6E2}"/>
              </c:ext>
            </c:extLst>
          </c:dPt>
          <c:dPt>
            <c:idx val="1"/>
            <c:bubble3D val="0"/>
            <c:spPr>
              <a:solidFill>
                <a:schemeClr val="bg1"/>
              </a:solidFill>
              <a:ln w="19050">
                <a:noFill/>
              </a:ln>
              <a:effectLst/>
            </c:spPr>
            <c:extLst>
              <c:ext xmlns:c16="http://schemas.microsoft.com/office/drawing/2014/chart" uri="{C3380CC4-5D6E-409C-BE32-E72D297353CC}">
                <c16:uniqueId val="{0000000D-3FAA-43E5-8686-68F9E72AE6E2}"/>
              </c:ext>
            </c:extLst>
          </c:dPt>
          <c:dPt>
            <c:idx val="2"/>
            <c:bubble3D val="0"/>
            <c:spPr>
              <a:solidFill>
                <a:srgbClr val="0070C0"/>
              </a:solidFill>
              <a:ln w="19050">
                <a:noFill/>
              </a:ln>
              <a:effectLst/>
            </c:spPr>
            <c:extLst>
              <c:ext xmlns:c16="http://schemas.microsoft.com/office/drawing/2014/chart" uri="{C3380CC4-5D6E-409C-BE32-E72D297353CC}">
                <c16:uniqueId val="{0000000F-3FAA-43E5-8686-68F9E72AE6E2}"/>
              </c:ext>
            </c:extLst>
          </c:dPt>
          <c:dPt>
            <c:idx val="3"/>
            <c:bubble3D val="0"/>
            <c:spPr>
              <a:solidFill>
                <a:srgbClr val="00B0F0"/>
              </a:solidFill>
              <a:ln w="19050">
                <a:noFill/>
              </a:ln>
              <a:effectLst/>
            </c:spPr>
            <c:extLst>
              <c:ext xmlns:c16="http://schemas.microsoft.com/office/drawing/2014/chart" uri="{C3380CC4-5D6E-409C-BE32-E72D297353CC}">
                <c16:uniqueId val="{00000011-3FAA-43E5-8686-68F9E72AE6E2}"/>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12-3FAA-43E5-8686-68F9E72AE6E2}"/>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val>
            <c:numRef>
              <c:f>Processing!$B$18:$B$29</c:f>
              <c:numCache>
                <c:formatCode>General</c:formatCode>
                <c:ptCount val="12"/>
                <c:pt idx="0">
                  <c:v>71.92</c:v>
                </c:pt>
                <c:pt idx="1">
                  <c:v>71.92</c:v>
                </c:pt>
                <c:pt idx="2">
                  <c:v>71.92</c:v>
                </c:pt>
                <c:pt idx="3">
                  <c:v>71.92</c:v>
                </c:pt>
                <c:pt idx="4">
                  <c:v>71.92</c:v>
                </c:pt>
                <c:pt idx="5">
                  <c:v>71.92</c:v>
                </c:pt>
                <c:pt idx="6">
                  <c:v>71.92</c:v>
                </c:pt>
                <c:pt idx="7">
                  <c:v>71.92</c:v>
                </c:pt>
                <c:pt idx="8">
                  <c:v>71.92</c:v>
                </c:pt>
                <c:pt idx="9">
                  <c:v>71.92</c:v>
                </c:pt>
                <c:pt idx="10">
                  <c:v>71.92</c:v>
                </c:pt>
                <c:pt idx="11">
                  <c:v>71.92</c:v>
                </c:pt>
              </c:numCache>
            </c:numRef>
          </c:val>
          <c:extLst>
            <c:ext xmlns:c16="http://schemas.microsoft.com/office/drawing/2014/chart" uri="{C3380CC4-5D6E-409C-BE32-E72D297353CC}">
              <c16:uniqueId val="{00000000-A9F3-4A55-B16C-B3EF3B41A491}"/>
            </c:ext>
          </c:extLst>
        </c:ser>
        <c:ser>
          <c:idx val="1"/>
          <c:order val="1"/>
          <c:tx>
            <c:strRef>
              <c:f>Processing!$C$17</c:f>
              <c:strCache>
                <c:ptCount val="1"/>
                <c:pt idx="0">
                  <c:v>Standart</c:v>
                </c:pt>
              </c:strCache>
            </c:strRef>
          </c:tx>
          <c:spPr>
            <a:solidFill>
              <a:schemeClr val="accent2"/>
            </a:solidFill>
            <a:ln w="127000">
              <a:gradFill flip="none" rotWithShape="1">
                <a:gsLst>
                  <a:gs pos="0">
                    <a:srgbClr val="54C8F3"/>
                  </a:gs>
                  <a:gs pos="20979">
                    <a:srgbClr val="00B0F0"/>
                  </a:gs>
                  <a:gs pos="55000">
                    <a:srgbClr val="8278FC"/>
                  </a:gs>
                  <a:gs pos="100000">
                    <a:srgbClr val="CC72EA"/>
                  </a:gs>
                </a:gsLst>
                <a:lin ang="8100000" scaled="1"/>
                <a:tileRect/>
              </a:gradFill>
            </a:ln>
            <a:effectLst/>
          </c:spPr>
          <c:invertIfNegative val="0"/>
          <c:val>
            <c:numRef>
              <c:f>Processing!$C$18:$C$29</c:f>
              <c:numCache>
                <c:formatCode>General</c:formatCode>
                <c:ptCount val="12"/>
                <c:pt idx="0">
                  <c:v>1090</c:v>
                </c:pt>
                <c:pt idx="1">
                  <c:v>956</c:v>
                </c:pt>
                <c:pt idx="2">
                  <c:v>969</c:v>
                </c:pt>
                <c:pt idx="3">
                  <c:v>1430</c:v>
                </c:pt>
                <c:pt idx="4">
                  <c:v>834</c:v>
                </c:pt>
                <c:pt idx="5">
                  <c:v>961</c:v>
                </c:pt>
                <c:pt idx="6">
                  <c:v>1644</c:v>
                </c:pt>
                <c:pt idx="7">
                  <c:v>1637</c:v>
                </c:pt>
                <c:pt idx="8">
                  <c:v>1482</c:v>
                </c:pt>
                <c:pt idx="9">
                  <c:v>1701</c:v>
                </c:pt>
                <c:pt idx="10">
                  <c:v>1156</c:v>
                </c:pt>
                <c:pt idx="11">
                  <c:v>1798</c:v>
                </c:pt>
              </c:numCache>
            </c:numRef>
          </c:val>
          <c:extLst>
            <c:ext xmlns:c16="http://schemas.microsoft.com/office/drawing/2014/chart" uri="{C3380CC4-5D6E-409C-BE32-E72D297353CC}">
              <c16:uniqueId val="{00000001-A9F3-4A55-B16C-B3EF3B41A491}"/>
            </c:ext>
          </c:extLst>
        </c:ser>
        <c:ser>
          <c:idx val="2"/>
          <c:order val="2"/>
          <c:tx>
            <c:strRef>
              <c:f>Processing!$D$17</c:f>
              <c:strCache>
                <c:ptCount val="1"/>
                <c:pt idx="0">
                  <c:v>Premium</c:v>
                </c:pt>
              </c:strCache>
            </c:strRef>
          </c:tx>
          <c:spPr>
            <a:solidFill>
              <a:srgbClr val="6185D0"/>
            </a:solidFill>
            <a:ln w="127000">
              <a:solidFill>
                <a:srgbClr val="89AAF8"/>
              </a:solidFill>
            </a:ln>
            <a:effectLst/>
          </c:spPr>
          <c:invertIfNegative val="0"/>
          <c:val>
            <c:numRef>
              <c:f>Processing!$D$18:$D$29</c:f>
              <c:numCache>
                <c:formatCode>General</c:formatCode>
                <c:ptCount val="12"/>
                <c:pt idx="0">
                  <c:v>474</c:v>
                </c:pt>
                <c:pt idx="1">
                  <c:v>561</c:v>
                </c:pt>
                <c:pt idx="2">
                  <c:v>614</c:v>
                </c:pt>
                <c:pt idx="3">
                  <c:v>254</c:v>
                </c:pt>
                <c:pt idx="4">
                  <c:v>913</c:v>
                </c:pt>
                <c:pt idx="5">
                  <c:v>803</c:v>
                </c:pt>
                <c:pt idx="6">
                  <c:v>149</c:v>
                </c:pt>
                <c:pt idx="7">
                  <c:v>149</c:v>
                </c:pt>
                <c:pt idx="8">
                  <c:v>338</c:v>
                </c:pt>
                <c:pt idx="9">
                  <c:v>189</c:v>
                </c:pt>
                <c:pt idx="10">
                  <c:v>785</c:v>
                </c:pt>
                <c:pt idx="11">
                  <c:v>202</c:v>
                </c:pt>
              </c:numCache>
            </c:numRef>
          </c:val>
          <c:extLst>
            <c:ext xmlns:c16="http://schemas.microsoft.com/office/drawing/2014/chart" uri="{C3380CC4-5D6E-409C-BE32-E72D297353CC}">
              <c16:uniqueId val="{00000002-A9F3-4A55-B16C-B3EF3B41A491}"/>
            </c:ext>
          </c:extLst>
        </c:ser>
        <c:dLbls>
          <c:showLegendKey val="0"/>
          <c:showVal val="0"/>
          <c:showCatName val="0"/>
          <c:showSerName val="0"/>
          <c:showPercent val="0"/>
          <c:showBubbleSize val="0"/>
        </c:dLbls>
        <c:gapWidth val="250"/>
        <c:overlap val="100"/>
        <c:axId val="1536816671"/>
        <c:axId val="1536816191"/>
      </c:barChart>
      <c:barChart>
        <c:barDir val="col"/>
        <c:grouping val="stacked"/>
        <c:varyColors val="0"/>
        <c:ser>
          <c:idx val="3"/>
          <c:order val="3"/>
          <c:tx>
            <c:strRef>
              <c:f>Processing!$E$17</c:f>
              <c:strCache>
                <c:ptCount val="1"/>
                <c:pt idx="0">
                  <c:v>indent C</c:v>
                </c:pt>
              </c:strCache>
            </c:strRef>
          </c:tx>
          <c:spPr>
            <a:noFill/>
            <a:ln>
              <a:noFill/>
            </a:ln>
            <a:effectLst/>
          </c:spPr>
          <c:invertIfNegative val="0"/>
          <c:val>
            <c:numRef>
              <c:f>Processing!$E$18:$E$29</c:f>
              <c:numCache>
                <c:formatCode>General</c:formatCode>
                <c:ptCount val="12"/>
                <c:pt idx="0">
                  <c:v>71.92</c:v>
                </c:pt>
                <c:pt idx="1">
                  <c:v>71.92</c:v>
                </c:pt>
                <c:pt idx="2">
                  <c:v>71.92</c:v>
                </c:pt>
                <c:pt idx="3">
                  <c:v>71.92</c:v>
                </c:pt>
                <c:pt idx="4">
                  <c:v>71.92</c:v>
                </c:pt>
                <c:pt idx="5">
                  <c:v>71.92</c:v>
                </c:pt>
                <c:pt idx="6">
                  <c:v>71.92</c:v>
                </c:pt>
                <c:pt idx="7">
                  <c:v>71.92</c:v>
                </c:pt>
                <c:pt idx="8">
                  <c:v>71.92</c:v>
                </c:pt>
                <c:pt idx="9">
                  <c:v>71.92</c:v>
                </c:pt>
                <c:pt idx="10">
                  <c:v>71.92</c:v>
                </c:pt>
                <c:pt idx="11">
                  <c:v>71.92</c:v>
                </c:pt>
              </c:numCache>
            </c:numRef>
          </c:val>
          <c:extLst>
            <c:ext xmlns:c16="http://schemas.microsoft.com/office/drawing/2014/chart" uri="{C3380CC4-5D6E-409C-BE32-E72D297353CC}">
              <c16:uniqueId val="{00000003-A9F3-4A55-B16C-B3EF3B41A491}"/>
            </c:ext>
          </c:extLst>
        </c:ser>
        <c:ser>
          <c:idx val="4"/>
          <c:order val="4"/>
          <c:tx>
            <c:strRef>
              <c:f>Processing!$F$17</c:f>
              <c:strCache>
                <c:ptCount val="1"/>
                <c:pt idx="0">
                  <c:v>Cursor S</c:v>
                </c:pt>
              </c:strCache>
            </c:strRef>
          </c:tx>
          <c:spPr>
            <a:solidFill>
              <a:schemeClr val="accent5"/>
            </a:solidFill>
            <a:ln w="127000">
              <a:gradFill>
                <a:gsLst>
                  <a:gs pos="61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Processing!$F$18:$F$29</c:f>
              <c:numCache>
                <c:formatCode>General</c:formatCode>
                <c:ptCount val="12"/>
                <c:pt idx="0">
                  <c:v>1090</c:v>
                </c:pt>
                <c:pt idx="1">
                  <c:v>956</c:v>
                </c:pt>
                <c:pt idx="2">
                  <c:v>969</c:v>
                </c:pt>
                <c:pt idx="3">
                  <c:v>1430</c:v>
                </c:pt>
                <c:pt idx="4">
                  <c:v>834</c:v>
                </c:pt>
                <c:pt idx="5">
                  <c:v>961</c:v>
                </c:pt>
                <c:pt idx="6">
                  <c:v>1644</c:v>
                </c:pt>
                <c:pt idx="7">
                  <c:v>1637</c:v>
                </c:pt>
                <c:pt idx="8">
                  <c:v>1482</c:v>
                </c:pt>
                <c:pt idx="9">
                  <c:v>1701</c:v>
                </c:pt>
                <c:pt idx="10">
                  <c:v>1156</c:v>
                </c:pt>
                <c:pt idx="11">
                  <c:v>1798</c:v>
                </c:pt>
              </c:numCache>
            </c:numRef>
          </c:val>
          <c:extLst>
            <c:ext xmlns:c16="http://schemas.microsoft.com/office/drawing/2014/chart" uri="{C3380CC4-5D6E-409C-BE32-E72D297353CC}">
              <c16:uniqueId val="{00000004-A9F3-4A55-B16C-B3EF3B41A491}"/>
            </c:ext>
          </c:extLst>
        </c:ser>
        <c:ser>
          <c:idx val="5"/>
          <c:order val="5"/>
          <c:tx>
            <c:strRef>
              <c:f>Processing!$G$17</c:f>
              <c:strCache>
                <c:ptCount val="1"/>
                <c:pt idx="0">
                  <c:v>Cursor P</c:v>
                </c:pt>
              </c:strCache>
            </c:strRef>
          </c:tx>
          <c:spPr>
            <a:solidFill>
              <a:schemeClr val="accent6"/>
            </a:solidFill>
            <a:ln w="127000">
              <a:solidFill>
                <a:schemeClr val="accent1">
                  <a:lumMod val="60000"/>
                  <a:lumOff val="40000"/>
                </a:schemeClr>
              </a:solidFill>
            </a:ln>
            <a:effectLst>
              <a:outerShdw blurRad="50800" dist="38100" dir="8100000" algn="tr" rotWithShape="0">
                <a:prstClr val="black">
                  <a:alpha val="40000"/>
                </a:prstClr>
              </a:outerShdw>
            </a:effectLst>
          </c:spPr>
          <c:invertIfNegative val="0"/>
          <c:val>
            <c:numRef>
              <c:f>Processing!$G$18:$G$29</c:f>
              <c:numCache>
                <c:formatCode>General</c:formatCode>
                <c:ptCount val="12"/>
                <c:pt idx="0">
                  <c:v>474</c:v>
                </c:pt>
                <c:pt idx="1">
                  <c:v>561</c:v>
                </c:pt>
                <c:pt idx="2">
                  <c:v>614</c:v>
                </c:pt>
                <c:pt idx="3">
                  <c:v>254</c:v>
                </c:pt>
                <c:pt idx="4">
                  <c:v>913</c:v>
                </c:pt>
                <c:pt idx="5">
                  <c:v>803</c:v>
                </c:pt>
                <c:pt idx="6">
                  <c:v>149</c:v>
                </c:pt>
                <c:pt idx="7">
                  <c:v>149</c:v>
                </c:pt>
                <c:pt idx="8">
                  <c:v>338</c:v>
                </c:pt>
                <c:pt idx="9">
                  <c:v>189</c:v>
                </c:pt>
                <c:pt idx="10">
                  <c:v>785</c:v>
                </c:pt>
                <c:pt idx="11">
                  <c:v>202</c:v>
                </c:pt>
              </c:numCache>
            </c:numRef>
          </c:val>
          <c:extLst>
            <c:ext xmlns:c16="http://schemas.microsoft.com/office/drawing/2014/chart" uri="{C3380CC4-5D6E-409C-BE32-E72D297353CC}">
              <c16:uniqueId val="{00000005-A9F3-4A55-B16C-B3EF3B41A491}"/>
            </c:ext>
          </c:extLst>
        </c:ser>
        <c:dLbls>
          <c:showLegendKey val="0"/>
          <c:showVal val="0"/>
          <c:showCatName val="0"/>
          <c:showSerName val="0"/>
          <c:showPercent val="0"/>
          <c:showBubbleSize val="0"/>
        </c:dLbls>
        <c:gapWidth val="250"/>
        <c:overlap val="100"/>
        <c:axId val="1536836831"/>
        <c:axId val="1536843551"/>
      </c:barChart>
      <c:lineChart>
        <c:grouping val="standard"/>
        <c:varyColors val="0"/>
        <c:ser>
          <c:idx val="6"/>
          <c:order val="6"/>
          <c:tx>
            <c:strRef>
              <c:f>Processing!$H$17</c:f>
              <c:strCache>
                <c:ptCount val="1"/>
                <c:pt idx="0">
                  <c:v>Target</c:v>
                </c:pt>
              </c:strCache>
            </c:strRef>
          </c:tx>
          <c:spPr>
            <a:ln w="12700" cap="rnd">
              <a:solidFill>
                <a:schemeClr val="tx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A9F3-4A55-B16C-B3EF3B41A491}"/>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F3-4A55-B16C-B3EF3B41A491}"/>
                </c:ext>
              </c:extLst>
            </c:dLbl>
            <c:spPr>
              <a:solidFill>
                <a:schemeClr val="bg1">
                  <a:alpha val="86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Processing!$H$18:$H$29</c:f>
              <c:numCache>
                <c:formatCode>General</c:formatCode>
                <c:ptCount val="12"/>
                <c:pt idx="0">
                  <c:v>1800</c:v>
                </c:pt>
                <c:pt idx="1">
                  <c:v>1800</c:v>
                </c:pt>
                <c:pt idx="2">
                  <c:v>1800</c:v>
                </c:pt>
                <c:pt idx="3">
                  <c:v>1800</c:v>
                </c:pt>
                <c:pt idx="4">
                  <c:v>1800</c:v>
                </c:pt>
                <c:pt idx="5">
                  <c:v>1800</c:v>
                </c:pt>
                <c:pt idx="6">
                  <c:v>1800</c:v>
                </c:pt>
                <c:pt idx="7">
                  <c:v>1800</c:v>
                </c:pt>
                <c:pt idx="8">
                  <c:v>1800</c:v>
                </c:pt>
                <c:pt idx="9">
                  <c:v>1800</c:v>
                </c:pt>
                <c:pt idx="10">
                  <c:v>1800</c:v>
                </c:pt>
                <c:pt idx="11">
                  <c:v>1800</c:v>
                </c:pt>
              </c:numCache>
            </c:numRef>
          </c:val>
          <c:smooth val="0"/>
          <c:extLst>
            <c:ext xmlns:c16="http://schemas.microsoft.com/office/drawing/2014/chart" uri="{C3380CC4-5D6E-409C-BE32-E72D297353CC}">
              <c16:uniqueId val="{00000008-A9F3-4A55-B16C-B3EF3B41A491}"/>
            </c:ext>
          </c:extLst>
        </c:ser>
        <c:dLbls>
          <c:showLegendKey val="0"/>
          <c:showVal val="0"/>
          <c:showCatName val="0"/>
          <c:showSerName val="0"/>
          <c:showPercent val="0"/>
          <c:showBubbleSize val="0"/>
        </c:dLbls>
        <c:marker val="1"/>
        <c:smooth val="0"/>
        <c:axId val="1536836831"/>
        <c:axId val="1536843551"/>
      </c:lineChart>
      <c:catAx>
        <c:axId val="1536816671"/>
        <c:scaling>
          <c:orientation val="minMax"/>
        </c:scaling>
        <c:delete val="1"/>
        <c:axPos val="b"/>
        <c:majorTickMark val="none"/>
        <c:minorTickMark val="none"/>
        <c:tickLblPos val="nextTo"/>
        <c:crossAx val="1536816191"/>
        <c:crosses val="autoZero"/>
        <c:auto val="1"/>
        <c:lblAlgn val="ctr"/>
        <c:lblOffset val="100"/>
        <c:noMultiLvlLbl val="0"/>
      </c:catAx>
      <c:valAx>
        <c:axId val="1536816191"/>
        <c:scaling>
          <c:orientation val="minMax"/>
        </c:scaling>
        <c:delete val="0"/>
        <c:axPos val="l"/>
        <c:majorGridlines>
          <c:spPr>
            <a:ln w="9525" cap="flat" cmpd="sng" algn="ctr">
              <a:solidFill>
                <a:srgbClr val="AEABF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536816671"/>
        <c:crosses val="autoZero"/>
        <c:crossBetween val="between"/>
      </c:valAx>
      <c:valAx>
        <c:axId val="1536843551"/>
        <c:scaling>
          <c:orientation val="minMax"/>
        </c:scaling>
        <c:delete val="1"/>
        <c:axPos val="r"/>
        <c:numFmt formatCode="General" sourceLinked="1"/>
        <c:majorTickMark val="out"/>
        <c:minorTickMark val="none"/>
        <c:tickLblPos val="nextTo"/>
        <c:crossAx val="1536836831"/>
        <c:crosses val="max"/>
        <c:crossBetween val="between"/>
      </c:valAx>
      <c:catAx>
        <c:axId val="1536836831"/>
        <c:scaling>
          <c:orientation val="minMax"/>
        </c:scaling>
        <c:delete val="1"/>
        <c:axPos val="b"/>
        <c:majorTickMark val="out"/>
        <c:minorTickMark val="none"/>
        <c:tickLblPos val="nextTo"/>
        <c:crossAx val="15368435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AC45-46BB-97FB-97B6C6FE8FE7}"/>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AC45-46BB-97FB-97B6C6FE8FE7}"/>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5-AC45-46BB-97FB-97B6C6FE8FE7}"/>
              </c:ext>
            </c:extLst>
          </c:dPt>
          <c:dPt>
            <c:idx val="3"/>
            <c:bubble3D val="0"/>
            <c:spPr>
              <a:noFill/>
              <a:ln w="19050">
                <a:noFill/>
              </a:ln>
              <a:effectLst/>
            </c:spPr>
            <c:extLst>
              <c:ext xmlns:c16="http://schemas.microsoft.com/office/drawing/2014/chart" uri="{C3380CC4-5D6E-409C-BE32-E72D297353CC}">
                <c16:uniqueId val="{00000007-AC45-46BB-97FB-97B6C6FE8FE7}"/>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AC45-46BB-97FB-97B6C6FE8FE7}"/>
            </c:ext>
          </c:extLst>
        </c:ser>
        <c:dLbls>
          <c:showLegendKey val="0"/>
          <c:showVal val="0"/>
          <c:showCatName val="0"/>
          <c:showSerName val="0"/>
          <c:showPercent val="0"/>
          <c:showBubbleSize val="0"/>
          <c:showLeaderLines val="1"/>
        </c:dLbls>
        <c:firstSliceAng val="0"/>
        <c:holeSize val="5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6CF1-4A45-B9D1-78DE6B34DE47}"/>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E"/>
              </a:solidFill>
              <a:round/>
            </a:ln>
            <a:effectLst/>
          </c:spPr>
        </c:majorGridlines>
        <c:numFmt formatCode="0%" sourceLinked="1"/>
        <c:majorTickMark val="out"/>
        <c:minorTickMark val="none"/>
        <c:tickLblPos val="nextTo"/>
        <c:crossAx val="133817539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F966-4909-8553-60059E71B8A1}"/>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F966-4909-8553-60059E71B8A1}"/>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F966-4909-8553-60059E71B8A1}"/>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F966-4909-8553-60059E71B8A1}"/>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87F2-4785-9793-58B9176CF77E}"/>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87F2-4785-9793-58B9176CF77E}"/>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1-7E7E-4F07-AC42-CF36F42811EE}"/>
              </c:ext>
            </c:extLst>
          </c:dPt>
          <c:dPt>
            <c:idx val="1"/>
            <c:bubble3D val="0"/>
            <c:spPr>
              <a:solidFill>
                <a:schemeClr val="bg1"/>
              </a:solidFill>
              <a:ln w="19050">
                <a:noFill/>
              </a:ln>
              <a:effectLst/>
            </c:spPr>
            <c:extLst>
              <c:ext xmlns:c16="http://schemas.microsoft.com/office/drawing/2014/chart" uri="{C3380CC4-5D6E-409C-BE32-E72D297353CC}">
                <c16:uniqueId val="{00000003-7E7E-4F07-AC42-CF36F42811EE}"/>
              </c:ext>
            </c:extLst>
          </c:dPt>
          <c:dPt>
            <c:idx val="2"/>
            <c:bubble3D val="0"/>
            <c:spPr>
              <a:solidFill>
                <a:srgbClr val="0070C0"/>
              </a:solidFill>
              <a:ln w="19050">
                <a:noFill/>
              </a:ln>
              <a:effectLst/>
            </c:spPr>
            <c:extLst>
              <c:ext xmlns:c16="http://schemas.microsoft.com/office/drawing/2014/chart" uri="{C3380CC4-5D6E-409C-BE32-E72D297353CC}">
                <c16:uniqueId val="{00000005-7E7E-4F07-AC42-CF36F42811EE}"/>
              </c:ext>
            </c:extLst>
          </c:dPt>
          <c:dPt>
            <c:idx val="3"/>
            <c:bubble3D val="0"/>
            <c:spPr>
              <a:solidFill>
                <a:srgbClr val="00B0F0"/>
              </a:solidFill>
              <a:ln w="19050">
                <a:noFill/>
              </a:ln>
              <a:effectLst/>
            </c:spPr>
            <c:extLst>
              <c:ext xmlns:c16="http://schemas.microsoft.com/office/drawing/2014/chart" uri="{C3380CC4-5D6E-409C-BE32-E72D297353CC}">
                <c16:uniqueId val="{00000007-7E7E-4F07-AC42-CF36F42811EE}"/>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7E7E-4F07-AC42-CF36F42811EE}"/>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Processing!$B$17</c:f>
              <c:strCache>
                <c:ptCount val="1"/>
                <c:pt idx="0">
                  <c:v>indent</c:v>
                </c:pt>
              </c:strCache>
            </c:strRef>
          </c:tx>
          <c:spPr>
            <a:noFill/>
            <a:ln>
              <a:noFill/>
            </a:ln>
            <a:effectLst/>
          </c:spPr>
          <c:invertIfNegative val="0"/>
          <c:val>
            <c:numRef>
              <c:f>Processing!$B$18:$B$29</c:f>
              <c:numCache>
                <c:formatCode>General</c:formatCode>
                <c:ptCount val="12"/>
                <c:pt idx="0">
                  <c:v>71.92</c:v>
                </c:pt>
                <c:pt idx="1">
                  <c:v>71.92</c:v>
                </c:pt>
                <c:pt idx="2">
                  <c:v>71.92</c:v>
                </c:pt>
                <c:pt idx="3">
                  <c:v>71.92</c:v>
                </c:pt>
                <c:pt idx="4">
                  <c:v>71.92</c:v>
                </c:pt>
                <c:pt idx="5">
                  <c:v>71.92</c:v>
                </c:pt>
                <c:pt idx="6">
                  <c:v>71.92</c:v>
                </c:pt>
                <c:pt idx="7">
                  <c:v>71.92</c:v>
                </c:pt>
                <c:pt idx="8">
                  <c:v>71.92</c:v>
                </c:pt>
                <c:pt idx="9">
                  <c:v>71.92</c:v>
                </c:pt>
                <c:pt idx="10">
                  <c:v>71.92</c:v>
                </c:pt>
                <c:pt idx="11">
                  <c:v>71.92</c:v>
                </c:pt>
              </c:numCache>
            </c:numRef>
          </c:val>
          <c:extLst>
            <c:ext xmlns:c16="http://schemas.microsoft.com/office/drawing/2014/chart" uri="{C3380CC4-5D6E-409C-BE32-E72D297353CC}">
              <c16:uniqueId val="{00000000-77E7-4BF9-A7C7-148AAEB14432}"/>
            </c:ext>
          </c:extLst>
        </c:ser>
        <c:ser>
          <c:idx val="1"/>
          <c:order val="1"/>
          <c:tx>
            <c:strRef>
              <c:f>Processing!$C$17</c:f>
              <c:strCache>
                <c:ptCount val="1"/>
                <c:pt idx="0">
                  <c:v>Standart</c:v>
                </c:pt>
              </c:strCache>
            </c:strRef>
          </c:tx>
          <c:spPr>
            <a:solidFill>
              <a:schemeClr val="accent2"/>
            </a:solidFill>
            <a:ln w="127000">
              <a:gradFill flip="none" rotWithShape="1">
                <a:gsLst>
                  <a:gs pos="0">
                    <a:srgbClr val="54C8F3"/>
                  </a:gs>
                  <a:gs pos="20979">
                    <a:srgbClr val="00B0F0"/>
                  </a:gs>
                  <a:gs pos="55000">
                    <a:srgbClr val="8278FC"/>
                  </a:gs>
                  <a:gs pos="100000">
                    <a:srgbClr val="CC72EA"/>
                  </a:gs>
                </a:gsLst>
                <a:lin ang="8100000" scaled="1"/>
                <a:tileRect/>
              </a:gradFill>
            </a:ln>
            <a:effectLst/>
          </c:spPr>
          <c:invertIfNegative val="0"/>
          <c:val>
            <c:numRef>
              <c:f>Processing!$C$18:$C$29</c:f>
              <c:numCache>
                <c:formatCode>General</c:formatCode>
                <c:ptCount val="12"/>
                <c:pt idx="0">
                  <c:v>1090</c:v>
                </c:pt>
                <c:pt idx="1">
                  <c:v>956</c:v>
                </c:pt>
                <c:pt idx="2">
                  <c:v>969</c:v>
                </c:pt>
                <c:pt idx="3">
                  <c:v>1430</c:v>
                </c:pt>
                <c:pt idx="4">
                  <c:v>834</c:v>
                </c:pt>
                <c:pt idx="5">
                  <c:v>961</c:v>
                </c:pt>
                <c:pt idx="6">
                  <c:v>1644</c:v>
                </c:pt>
                <c:pt idx="7">
                  <c:v>1637</c:v>
                </c:pt>
                <c:pt idx="8">
                  <c:v>1482</c:v>
                </c:pt>
                <c:pt idx="9">
                  <c:v>1701</c:v>
                </c:pt>
                <c:pt idx="10">
                  <c:v>1156</c:v>
                </c:pt>
                <c:pt idx="11">
                  <c:v>1798</c:v>
                </c:pt>
              </c:numCache>
            </c:numRef>
          </c:val>
          <c:extLst>
            <c:ext xmlns:c16="http://schemas.microsoft.com/office/drawing/2014/chart" uri="{C3380CC4-5D6E-409C-BE32-E72D297353CC}">
              <c16:uniqueId val="{00000001-77E7-4BF9-A7C7-148AAEB14432}"/>
            </c:ext>
          </c:extLst>
        </c:ser>
        <c:ser>
          <c:idx val="2"/>
          <c:order val="2"/>
          <c:tx>
            <c:strRef>
              <c:f>Processing!$D$17</c:f>
              <c:strCache>
                <c:ptCount val="1"/>
                <c:pt idx="0">
                  <c:v>Premium</c:v>
                </c:pt>
              </c:strCache>
            </c:strRef>
          </c:tx>
          <c:spPr>
            <a:solidFill>
              <a:srgbClr val="6185D0"/>
            </a:solidFill>
            <a:ln w="127000">
              <a:solidFill>
                <a:srgbClr val="89AAF8"/>
              </a:solidFill>
            </a:ln>
            <a:effectLst/>
          </c:spPr>
          <c:invertIfNegative val="0"/>
          <c:val>
            <c:numRef>
              <c:f>Processing!$D$18:$D$29</c:f>
              <c:numCache>
                <c:formatCode>General</c:formatCode>
                <c:ptCount val="12"/>
                <c:pt idx="0">
                  <c:v>474</c:v>
                </c:pt>
                <c:pt idx="1">
                  <c:v>561</c:v>
                </c:pt>
                <c:pt idx="2">
                  <c:v>614</c:v>
                </c:pt>
                <c:pt idx="3">
                  <c:v>254</c:v>
                </c:pt>
                <c:pt idx="4">
                  <c:v>913</c:v>
                </c:pt>
                <c:pt idx="5">
                  <c:v>803</c:v>
                </c:pt>
                <c:pt idx="6">
                  <c:v>149</c:v>
                </c:pt>
                <c:pt idx="7">
                  <c:v>149</c:v>
                </c:pt>
                <c:pt idx="8">
                  <c:v>338</c:v>
                </c:pt>
                <c:pt idx="9">
                  <c:v>189</c:v>
                </c:pt>
                <c:pt idx="10">
                  <c:v>785</c:v>
                </c:pt>
                <c:pt idx="11">
                  <c:v>202</c:v>
                </c:pt>
              </c:numCache>
            </c:numRef>
          </c:val>
          <c:extLst>
            <c:ext xmlns:c16="http://schemas.microsoft.com/office/drawing/2014/chart" uri="{C3380CC4-5D6E-409C-BE32-E72D297353CC}">
              <c16:uniqueId val="{00000002-77E7-4BF9-A7C7-148AAEB14432}"/>
            </c:ext>
          </c:extLst>
        </c:ser>
        <c:dLbls>
          <c:showLegendKey val="0"/>
          <c:showVal val="0"/>
          <c:showCatName val="0"/>
          <c:showSerName val="0"/>
          <c:showPercent val="0"/>
          <c:showBubbleSize val="0"/>
        </c:dLbls>
        <c:gapWidth val="250"/>
        <c:overlap val="100"/>
        <c:axId val="1536816671"/>
        <c:axId val="1536816191"/>
      </c:barChart>
      <c:barChart>
        <c:barDir val="col"/>
        <c:grouping val="stacked"/>
        <c:varyColors val="0"/>
        <c:ser>
          <c:idx val="3"/>
          <c:order val="3"/>
          <c:tx>
            <c:strRef>
              <c:f>Processing!$E$17</c:f>
              <c:strCache>
                <c:ptCount val="1"/>
                <c:pt idx="0">
                  <c:v>indent C</c:v>
                </c:pt>
              </c:strCache>
            </c:strRef>
          </c:tx>
          <c:spPr>
            <a:noFill/>
            <a:ln>
              <a:noFill/>
            </a:ln>
            <a:effectLst/>
          </c:spPr>
          <c:invertIfNegative val="0"/>
          <c:val>
            <c:numRef>
              <c:f>Processing!$E$18:$E$29</c:f>
              <c:numCache>
                <c:formatCode>General</c:formatCode>
                <c:ptCount val="12"/>
                <c:pt idx="0">
                  <c:v>71.92</c:v>
                </c:pt>
                <c:pt idx="1">
                  <c:v>71.92</c:v>
                </c:pt>
                <c:pt idx="2">
                  <c:v>71.92</c:v>
                </c:pt>
                <c:pt idx="3">
                  <c:v>71.92</c:v>
                </c:pt>
                <c:pt idx="4">
                  <c:v>71.92</c:v>
                </c:pt>
                <c:pt idx="5">
                  <c:v>71.92</c:v>
                </c:pt>
                <c:pt idx="6">
                  <c:v>71.92</c:v>
                </c:pt>
                <c:pt idx="7">
                  <c:v>71.92</c:v>
                </c:pt>
                <c:pt idx="8">
                  <c:v>71.92</c:v>
                </c:pt>
                <c:pt idx="9">
                  <c:v>71.92</c:v>
                </c:pt>
                <c:pt idx="10">
                  <c:v>71.92</c:v>
                </c:pt>
                <c:pt idx="11">
                  <c:v>71.92</c:v>
                </c:pt>
              </c:numCache>
            </c:numRef>
          </c:val>
          <c:extLst>
            <c:ext xmlns:c16="http://schemas.microsoft.com/office/drawing/2014/chart" uri="{C3380CC4-5D6E-409C-BE32-E72D297353CC}">
              <c16:uniqueId val="{00000003-77E7-4BF9-A7C7-148AAEB14432}"/>
            </c:ext>
          </c:extLst>
        </c:ser>
        <c:ser>
          <c:idx val="4"/>
          <c:order val="4"/>
          <c:tx>
            <c:strRef>
              <c:f>Processing!$F$17</c:f>
              <c:strCache>
                <c:ptCount val="1"/>
                <c:pt idx="0">
                  <c:v>Cursor S</c:v>
                </c:pt>
              </c:strCache>
            </c:strRef>
          </c:tx>
          <c:spPr>
            <a:solidFill>
              <a:schemeClr val="accent5"/>
            </a:solidFill>
            <a:ln w="127000">
              <a:gradFill>
                <a:gsLst>
                  <a:gs pos="61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Processing!$F$18:$F$29</c:f>
              <c:numCache>
                <c:formatCode>General</c:formatCode>
                <c:ptCount val="12"/>
                <c:pt idx="0">
                  <c:v>1090</c:v>
                </c:pt>
                <c:pt idx="1">
                  <c:v>956</c:v>
                </c:pt>
                <c:pt idx="2">
                  <c:v>969</c:v>
                </c:pt>
                <c:pt idx="3">
                  <c:v>1430</c:v>
                </c:pt>
                <c:pt idx="4">
                  <c:v>834</c:v>
                </c:pt>
                <c:pt idx="5">
                  <c:v>961</c:v>
                </c:pt>
                <c:pt idx="6">
                  <c:v>1644</c:v>
                </c:pt>
                <c:pt idx="7">
                  <c:v>1637</c:v>
                </c:pt>
                <c:pt idx="8">
                  <c:v>1482</c:v>
                </c:pt>
                <c:pt idx="9">
                  <c:v>1701</c:v>
                </c:pt>
                <c:pt idx="10">
                  <c:v>1156</c:v>
                </c:pt>
                <c:pt idx="11">
                  <c:v>1798</c:v>
                </c:pt>
              </c:numCache>
            </c:numRef>
          </c:val>
          <c:extLst>
            <c:ext xmlns:c16="http://schemas.microsoft.com/office/drawing/2014/chart" uri="{C3380CC4-5D6E-409C-BE32-E72D297353CC}">
              <c16:uniqueId val="{00000004-77E7-4BF9-A7C7-148AAEB14432}"/>
            </c:ext>
          </c:extLst>
        </c:ser>
        <c:ser>
          <c:idx val="5"/>
          <c:order val="5"/>
          <c:tx>
            <c:strRef>
              <c:f>Processing!$G$17</c:f>
              <c:strCache>
                <c:ptCount val="1"/>
                <c:pt idx="0">
                  <c:v>Cursor P</c:v>
                </c:pt>
              </c:strCache>
            </c:strRef>
          </c:tx>
          <c:spPr>
            <a:solidFill>
              <a:schemeClr val="accent6"/>
            </a:solidFill>
            <a:ln w="127000">
              <a:solidFill>
                <a:schemeClr val="accent1">
                  <a:lumMod val="60000"/>
                  <a:lumOff val="40000"/>
                </a:schemeClr>
              </a:solidFill>
            </a:ln>
            <a:effectLst>
              <a:outerShdw blurRad="50800" dist="38100" dir="8100000" algn="tr" rotWithShape="0">
                <a:prstClr val="black">
                  <a:alpha val="40000"/>
                </a:prstClr>
              </a:outerShdw>
            </a:effectLst>
          </c:spPr>
          <c:invertIfNegative val="0"/>
          <c:val>
            <c:numRef>
              <c:f>Processing!$G$18:$G$29</c:f>
              <c:numCache>
                <c:formatCode>General</c:formatCode>
                <c:ptCount val="12"/>
                <c:pt idx="0">
                  <c:v>474</c:v>
                </c:pt>
                <c:pt idx="1">
                  <c:v>561</c:v>
                </c:pt>
                <c:pt idx="2">
                  <c:v>614</c:v>
                </c:pt>
                <c:pt idx="3">
                  <c:v>254</c:v>
                </c:pt>
                <c:pt idx="4">
                  <c:v>913</c:v>
                </c:pt>
                <c:pt idx="5">
                  <c:v>803</c:v>
                </c:pt>
                <c:pt idx="6">
                  <c:v>149</c:v>
                </c:pt>
                <c:pt idx="7">
                  <c:v>149</c:v>
                </c:pt>
                <c:pt idx="8">
                  <c:v>338</c:v>
                </c:pt>
                <c:pt idx="9">
                  <c:v>189</c:v>
                </c:pt>
                <c:pt idx="10">
                  <c:v>785</c:v>
                </c:pt>
                <c:pt idx="11">
                  <c:v>202</c:v>
                </c:pt>
              </c:numCache>
            </c:numRef>
          </c:val>
          <c:extLst>
            <c:ext xmlns:c16="http://schemas.microsoft.com/office/drawing/2014/chart" uri="{C3380CC4-5D6E-409C-BE32-E72D297353CC}">
              <c16:uniqueId val="{00000005-77E7-4BF9-A7C7-148AAEB14432}"/>
            </c:ext>
          </c:extLst>
        </c:ser>
        <c:dLbls>
          <c:showLegendKey val="0"/>
          <c:showVal val="0"/>
          <c:showCatName val="0"/>
          <c:showSerName val="0"/>
          <c:showPercent val="0"/>
          <c:showBubbleSize val="0"/>
        </c:dLbls>
        <c:gapWidth val="250"/>
        <c:overlap val="100"/>
        <c:axId val="1536836831"/>
        <c:axId val="1536843551"/>
      </c:barChart>
      <c:lineChart>
        <c:grouping val="standard"/>
        <c:varyColors val="0"/>
        <c:ser>
          <c:idx val="6"/>
          <c:order val="6"/>
          <c:tx>
            <c:strRef>
              <c:f>Processing!$H$17</c:f>
              <c:strCache>
                <c:ptCount val="1"/>
                <c:pt idx="0">
                  <c:v>Target</c:v>
                </c:pt>
              </c:strCache>
            </c:strRef>
          </c:tx>
          <c:spPr>
            <a:ln w="12700" cap="rnd">
              <a:solidFill>
                <a:schemeClr val="tx1"/>
              </a:solidFill>
              <a:round/>
            </a:ln>
            <a:effectLst/>
          </c:spPr>
          <c:marker>
            <c:symbol val="none"/>
          </c:marker>
          <c:dLbls>
            <c:dLbl>
              <c:idx val="0"/>
              <c:dLblPos val="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77E7-4BF9-A7C7-148AAEB14432}"/>
                </c:ext>
              </c:extLst>
            </c:dLbl>
            <c:dLbl>
              <c:idx val="1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E7-4BF9-A7C7-148AAEB14432}"/>
                </c:ext>
              </c:extLst>
            </c:dLbl>
            <c:spPr>
              <a:solidFill>
                <a:schemeClr val="bg1">
                  <a:alpha val="86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Processing!$H$18:$H$29</c:f>
              <c:numCache>
                <c:formatCode>General</c:formatCode>
                <c:ptCount val="12"/>
                <c:pt idx="0">
                  <c:v>1800</c:v>
                </c:pt>
                <c:pt idx="1">
                  <c:v>1800</c:v>
                </c:pt>
                <c:pt idx="2">
                  <c:v>1800</c:v>
                </c:pt>
                <c:pt idx="3">
                  <c:v>1800</c:v>
                </c:pt>
                <c:pt idx="4">
                  <c:v>1800</c:v>
                </c:pt>
                <c:pt idx="5">
                  <c:v>1800</c:v>
                </c:pt>
                <c:pt idx="6">
                  <c:v>1800</c:v>
                </c:pt>
                <c:pt idx="7">
                  <c:v>1800</c:v>
                </c:pt>
                <c:pt idx="8">
                  <c:v>1800</c:v>
                </c:pt>
                <c:pt idx="9">
                  <c:v>1800</c:v>
                </c:pt>
                <c:pt idx="10">
                  <c:v>1800</c:v>
                </c:pt>
                <c:pt idx="11">
                  <c:v>1800</c:v>
                </c:pt>
              </c:numCache>
            </c:numRef>
          </c:val>
          <c:smooth val="0"/>
          <c:extLst>
            <c:ext xmlns:c16="http://schemas.microsoft.com/office/drawing/2014/chart" uri="{C3380CC4-5D6E-409C-BE32-E72D297353CC}">
              <c16:uniqueId val="{00000008-77E7-4BF9-A7C7-148AAEB14432}"/>
            </c:ext>
          </c:extLst>
        </c:ser>
        <c:dLbls>
          <c:showLegendKey val="0"/>
          <c:showVal val="0"/>
          <c:showCatName val="0"/>
          <c:showSerName val="0"/>
          <c:showPercent val="0"/>
          <c:showBubbleSize val="0"/>
        </c:dLbls>
        <c:marker val="1"/>
        <c:smooth val="0"/>
        <c:axId val="1536836831"/>
        <c:axId val="1536843551"/>
      </c:lineChart>
      <c:catAx>
        <c:axId val="1536816671"/>
        <c:scaling>
          <c:orientation val="minMax"/>
        </c:scaling>
        <c:delete val="1"/>
        <c:axPos val="b"/>
        <c:majorTickMark val="none"/>
        <c:minorTickMark val="none"/>
        <c:tickLblPos val="nextTo"/>
        <c:crossAx val="1536816191"/>
        <c:crosses val="autoZero"/>
        <c:auto val="1"/>
        <c:lblAlgn val="ctr"/>
        <c:lblOffset val="100"/>
        <c:noMultiLvlLbl val="0"/>
      </c:catAx>
      <c:valAx>
        <c:axId val="1536816191"/>
        <c:scaling>
          <c:orientation val="minMax"/>
        </c:scaling>
        <c:delete val="0"/>
        <c:axPos val="l"/>
        <c:majorGridlines>
          <c:spPr>
            <a:ln w="9525" cap="flat" cmpd="sng" algn="ctr">
              <a:solidFill>
                <a:srgbClr val="AEABFF"/>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536816671"/>
        <c:crosses val="autoZero"/>
        <c:crossBetween val="between"/>
      </c:valAx>
      <c:valAx>
        <c:axId val="1536843551"/>
        <c:scaling>
          <c:orientation val="minMax"/>
        </c:scaling>
        <c:delete val="1"/>
        <c:axPos val="r"/>
        <c:numFmt formatCode="General" sourceLinked="1"/>
        <c:majorTickMark val="out"/>
        <c:minorTickMark val="none"/>
        <c:tickLblPos val="nextTo"/>
        <c:crossAx val="1536836831"/>
        <c:crosses val="max"/>
        <c:crossBetween val="between"/>
      </c:valAx>
      <c:catAx>
        <c:axId val="1536836831"/>
        <c:scaling>
          <c:orientation val="minMax"/>
        </c:scaling>
        <c:delete val="1"/>
        <c:axPos val="b"/>
        <c:majorTickMark val="out"/>
        <c:minorTickMark val="none"/>
        <c:tickLblPos val="nextTo"/>
        <c:crossAx val="15368435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70000"/>
                </a:prstClr>
              </a:outerShdw>
            </a:effectLst>
          </c:spPr>
          <c:dPt>
            <c:idx val="0"/>
            <c:bubble3D val="0"/>
            <c:spPr>
              <a:gradFill>
                <a:gsLst>
                  <a:gs pos="0">
                    <a:schemeClr val="accent5">
                      <a:lumMod val="60000"/>
                      <a:lumOff val="40000"/>
                    </a:schemeClr>
                  </a:gs>
                  <a:gs pos="97000">
                    <a:srgbClr val="A62C97"/>
                  </a:gs>
                </a:gsLst>
                <a:lin ang="3000000" scaled="0"/>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1-0283-4642-950F-59695785AFCE}"/>
              </c:ext>
            </c:extLst>
          </c:dPt>
          <c:dPt>
            <c:idx val="1"/>
            <c:bubble3D val="0"/>
            <c:spPr>
              <a:gradFill>
                <a:gsLst>
                  <a:gs pos="100000">
                    <a:srgbClr val="61A7F5"/>
                  </a:gs>
                  <a:gs pos="0">
                    <a:srgbClr val="4077E3"/>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3-0283-4642-950F-59695785AFCE}"/>
              </c:ext>
            </c:extLst>
          </c:dPt>
          <c:dPt>
            <c:idx val="2"/>
            <c:bubble3D val="0"/>
            <c:spPr>
              <a:gradFill>
                <a:gsLst>
                  <a:gs pos="0">
                    <a:srgbClr val="8070E2"/>
                  </a:gs>
                  <a:gs pos="100000">
                    <a:srgbClr val="5A4EBD"/>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5-0283-4642-950F-59695785AFCE}"/>
              </c:ext>
            </c:extLst>
          </c:dPt>
          <c:dPt>
            <c:idx val="3"/>
            <c:bubble3D val="0"/>
            <c:spPr>
              <a:noFill/>
              <a:ln w="19050">
                <a:noFill/>
              </a:ln>
              <a:effectLst>
                <a:innerShdw blurRad="114300">
                  <a:prstClr val="black"/>
                </a:innerShdw>
              </a:effectLst>
            </c:spPr>
            <c:extLst>
              <c:ext xmlns:c16="http://schemas.microsoft.com/office/drawing/2014/chart" uri="{C3380CC4-5D6E-409C-BE32-E72D297353CC}">
                <c16:uniqueId val="{00000007-0283-4642-950F-59695785AFCE}"/>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0283-4642-950F-59695785AFCE}"/>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83CA-4CAA-BB88-4A3AE2902A27}"/>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9246-40A0-AE6C-0949A2CCB742}"/>
            </c:ext>
          </c:extLst>
        </c:ser>
        <c:ser>
          <c:idx val="1"/>
          <c:order val="1"/>
          <c:spPr>
            <a:solidFill>
              <a:schemeClr val="accent2"/>
            </a:solidFill>
            <a:ln w="127000">
              <a:gradFill>
                <a:gsLst>
                  <a:gs pos="65000">
                    <a:srgbClr val="5987F6"/>
                  </a:gs>
                  <a:gs pos="100000">
                    <a:srgbClr val="7A59CD"/>
                  </a:gs>
                </a:gsLst>
                <a:lin ang="5400000" scaled="1"/>
              </a:gradFill>
            </a:ln>
            <a:effectLst>
              <a:outerShdw blurRad="50800" dist="38100" dir="8100000" algn="tr" rotWithShape="0">
                <a:prstClr val="black">
                  <a:alpha val="40000"/>
                </a:prstClr>
              </a:outerShdw>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9246-40A0-AE6C-0949A2CCB742}"/>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9246-40A0-AE6C-0949A2CCB742}"/>
            </c:ext>
          </c:extLst>
        </c:ser>
        <c:ser>
          <c:idx val="3"/>
          <c:order val="3"/>
          <c:tx>
            <c:v>Cursor</c:v>
          </c:tx>
          <c:spPr>
            <a:solidFill>
              <a:schemeClr val="accent4"/>
            </a:solidFill>
            <a:ln w="127000">
              <a:gradFill>
                <a:gsLst>
                  <a:gs pos="0">
                    <a:schemeClr val="accent1">
                      <a:lumMod val="5000"/>
                      <a:lumOff val="95000"/>
                    </a:schemeClr>
                  </a:gs>
                  <a:gs pos="62000">
                    <a:schemeClr val="accent1">
                      <a:lumMod val="30000"/>
                      <a:lumOff val="70000"/>
                    </a:schemeClr>
                  </a:gs>
                </a:gsLst>
                <a:lin ang="5400000" scaled="1"/>
              </a:gradFill>
            </a:ln>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9246-40A0-AE6C-0949A2CCB742}"/>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F329-4294-A092-AF24B7CDC9BA}"/>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F329-4294-A092-AF24B7CDC9BA}"/>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D30F-44C9-B79A-F81DD15B1FD6}"/>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D30F-44C9-B79A-F81DD15B1FD6}"/>
              </c:ext>
            </c:extLst>
          </c:dPt>
          <c:dPt>
            <c:idx val="2"/>
            <c:bubble3D val="0"/>
            <c:spPr>
              <a:solidFill>
                <a:srgbClr val="01F3FF"/>
              </a:solidFill>
              <a:ln w="19050">
                <a:noFill/>
              </a:ln>
              <a:effectLst/>
            </c:spPr>
            <c:extLst>
              <c:ext xmlns:c16="http://schemas.microsoft.com/office/drawing/2014/chart" uri="{C3380CC4-5D6E-409C-BE32-E72D297353CC}">
                <c16:uniqueId val="{00000005-D30F-44C9-B79A-F81DD15B1FD6}"/>
              </c:ext>
            </c:extLst>
          </c:dPt>
          <c:dPt>
            <c:idx val="3"/>
            <c:bubble3D val="0"/>
            <c:spPr>
              <a:solidFill>
                <a:schemeClr val="bg1"/>
              </a:solidFill>
              <a:ln w="19050">
                <a:noFill/>
              </a:ln>
              <a:effectLst/>
            </c:spPr>
            <c:extLst>
              <c:ext xmlns:c16="http://schemas.microsoft.com/office/drawing/2014/chart" uri="{C3380CC4-5D6E-409C-BE32-E72D297353CC}">
                <c16:uniqueId val="{00000007-D30F-44C9-B79A-F81DD15B1FD6}"/>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D30F-44C9-B79A-F81DD15B1FD6}"/>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83CA-4CAA-BB88-4A3AE2902A27}"/>
            </c:ext>
          </c:extLst>
        </c:ser>
        <c:ser>
          <c:idx val="1"/>
          <c:order val="1"/>
          <c:tx>
            <c:strRef>
              <c:f>Processing!$M$7</c:f>
              <c:strCache>
                <c:ptCount val="1"/>
                <c:pt idx="0">
                  <c:v>Coverage Target</c:v>
                </c:pt>
              </c:strCache>
            </c:strRef>
          </c:tx>
          <c:spPr>
            <a:solidFill>
              <a:srgbClr val="2587D1">
                <a:alpha val="15000"/>
              </a:srgbClr>
            </a:solidFill>
            <a:ln w="19050">
              <a:solidFill>
                <a:schemeClr val="bg1"/>
              </a:solidFill>
            </a:ln>
            <a:effectLst/>
          </c:spPr>
          <c:val>
            <c:numRef>
              <c:f>Processing!$M$8:$M$15</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9293-4A2B-8C8F-C949D6023317}"/>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B-9A23-4C43-8FD4-8D767D0AA206}"/>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D-9A23-4C43-8FD4-8D767D0AA206}"/>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F-9A23-4C43-8FD4-8D767D0AA206}"/>
              </c:ext>
            </c:extLst>
          </c:dPt>
          <c:dPt>
            <c:idx val="3"/>
            <c:bubble3D val="0"/>
            <c:spPr>
              <a:noFill/>
              <a:ln w="19050">
                <a:noFill/>
              </a:ln>
              <a:effectLst/>
            </c:spPr>
            <c:extLst>
              <c:ext xmlns:c16="http://schemas.microsoft.com/office/drawing/2014/chart" uri="{C3380CC4-5D6E-409C-BE32-E72D297353CC}">
                <c16:uniqueId val="{00000011-9A23-4C43-8FD4-8D767D0AA206}"/>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12-9A23-4C43-8FD4-8D767D0AA206}"/>
            </c:ext>
          </c:extLst>
        </c:ser>
        <c:dLbls>
          <c:showLegendKey val="0"/>
          <c:showVal val="0"/>
          <c:showCatName val="0"/>
          <c:showSerName val="0"/>
          <c:showPercent val="0"/>
          <c:showBubbleSize val="0"/>
          <c:showLeaderLines val="1"/>
        </c:dLbls>
        <c:firstSliceAng val="0"/>
        <c:holeSize val="5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2-50E8-4AA4-82B7-E8BA2B736B58}"/>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E"/>
              </a:solidFill>
              <a:round/>
            </a:ln>
            <a:effectLst/>
          </c:spPr>
        </c:majorGridlines>
        <c:numFmt formatCode="0%" sourceLinked="1"/>
        <c:majorTickMark val="out"/>
        <c:minorTickMark val="none"/>
        <c:tickLblPos val="nextTo"/>
        <c:crossAx val="133817539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5-9667-43F7-9111-0CD6CB88E062}"/>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7-9667-43F7-9111-0CD6CB88E062}"/>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9-9667-43F7-9111-0CD6CB88E062}"/>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B-9667-43F7-9111-0CD6CB88E062}"/>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7B42-4CEB-A5FC-91D2A0E7C234}"/>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7B42-4CEB-A5FC-91D2A0E7C234}"/>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B-640E-47D8-A1CE-178635ED1664}"/>
              </c:ext>
            </c:extLst>
          </c:dPt>
          <c:dPt>
            <c:idx val="1"/>
            <c:bubble3D val="0"/>
            <c:spPr>
              <a:solidFill>
                <a:schemeClr val="bg1"/>
              </a:solidFill>
              <a:ln w="19050">
                <a:noFill/>
              </a:ln>
              <a:effectLst/>
            </c:spPr>
            <c:extLst>
              <c:ext xmlns:c16="http://schemas.microsoft.com/office/drawing/2014/chart" uri="{C3380CC4-5D6E-409C-BE32-E72D297353CC}">
                <c16:uniqueId val="{0000000D-640E-47D8-A1CE-178635ED1664}"/>
              </c:ext>
            </c:extLst>
          </c:dPt>
          <c:dPt>
            <c:idx val="2"/>
            <c:bubble3D val="0"/>
            <c:spPr>
              <a:solidFill>
                <a:srgbClr val="0070C0"/>
              </a:solidFill>
              <a:ln w="19050">
                <a:noFill/>
              </a:ln>
              <a:effectLst/>
            </c:spPr>
            <c:extLst>
              <c:ext xmlns:c16="http://schemas.microsoft.com/office/drawing/2014/chart" uri="{C3380CC4-5D6E-409C-BE32-E72D297353CC}">
                <c16:uniqueId val="{0000000F-640E-47D8-A1CE-178635ED1664}"/>
              </c:ext>
            </c:extLst>
          </c:dPt>
          <c:dPt>
            <c:idx val="3"/>
            <c:bubble3D val="0"/>
            <c:spPr>
              <a:solidFill>
                <a:srgbClr val="00B0F0"/>
              </a:solidFill>
              <a:ln w="19050">
                <a:noFill/>
              </a:ln>
              <a:effectLst/>
            </c:spPr>
            <c:extLst>
              <c:ext xmlns:c16="http://schemas.microsoft.com/office/drawing/2014/chart" uri="{C3380CC4-5D6E-409C-BE32-E72D297353CC}">
                <c16:uniqueId val="{00000011-640E-47D8-A1CE-178635ED1664}"/>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12-640E-47D8-A1CE-178635ED1664}"/>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2A6C-4021-8F9B-980E330658F0}"/>
            </c:ext>
          </c:extLst>
        </c:ser>
        <c:ser>
          <c:idx val="1"/>
          <c:order val="1"/>
          <c:tx>
            <c:strRef>
              <c:f>Processing!$M$7</c:f>
              <c:strCache>
                <c:ptCount val="1"/>
                <c:pt idx="0">
                  <c:v>Coverage Target</c:v>
                </c:pt>
              </c:strCache>
            </c:strRef>
          </c:tx>
          <c:spPr>
            <a:solidFill>
              <a:srgbClr val="7D84FF">
                <a:alpha val="20000"/>
              </a:srgbClr>
            </a:solidFill>
            <a:ln w="12700">
              <a:solidFill>
                <a:schemeClr val="bg1"/>
              </a:solidFill>
            </a:ln>
            <a:effectLst>
              <a:outerShdw blurRad="50800" dist="38100" dir="8100000" algn="tr" rotWithShape="0">
                <a:prstClr val="black">
                  <a:alpha val="40000"/>
                </a:prstClr>
              </a:outerShdw>
            </a:effectLst>
          </c:spPr>
          <c:val>
            <c:numRef>
              <c:f>Processing!$M$8:$M$15</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2A6C-4021-8F9B-980E330658F0}"/>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057A-4C1F-9BAE-64245233EC22}"/>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057A-4C1F-9BAE-64245233EC22}"/>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5-057A-4C1F-9BAE-64245233EC22}"/>
              </c:ext>
            </c:extLst>
          </c:dPt>
          <c:dPt>
            <c:idx val="3"/>
            <c:bubble3D val="0"/>
            <c:spPr>
              <a:noFill/>
              <a:ln w="19050">
                <a:noFill/>
              </a:ln>
              <a:effectLst/>
            </c:spPr>
            <c:extLst>
              <c:ext xmlns:c16="http://schemas.microsoft.com/office/drawing/2014/chart" uri="{C3380CC4-5D6E-409C-BE32-E72D297353CC}">
                <c16:uniqueId val="{00000007-057A-4C1F-9BAE-64245233EC22}"/>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057A-4C1F-9BAE-64245233EC22}"/>
            </c:ext>
          </c:extLst>
        </c:ser>
        <c:dLbls>
          <c:showLegendKey val="0"/>
          <c:showVal val="0"/>
          <c:showCatName val="0"/>
          <c:showSerName val="0"/>
          <c:showPercent val="0"/>
          <c:showBubbleSize val="0"/>
          <c:showLeaderLines val="1"/>
        </c:dLbls>
        <c:firstSliceAng val="0"/>
        <c:holeSize val="5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7F0E-436B-BE2E-1FD5CA6D7956}"/>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E"/>
              </a:solidFill>
              <a:round/>
            </a:ln>
            <a:effectLst/>
          </c:spPr>
        </c:majorGridlines>
        <c:numFmt formatCode="0%" sourceLinked="1"/>
        <c:majorTickMark val="out"/>
        <c:minorTickMark val="none"/>
        <c:tickLblPos val="nextTo"/>
        <c:crossAx val="133817539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91B2-4C7C-851E-D79B66753F5F}"/>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91B2-4C7C-851E-D79B66753F5F}"/>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91B2-4C7C-851E-D79B66753F5F}"/>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91B2-4C7C-851E-D79B66753F5F}"/>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Processing!$I$2</c:f>
              <c:numCache>
                <c:formatCode>General</c:formatCode>
                <c:ptCount val="1"/>
                <c:pt idx="0">
                  <c:v>10</c:v>
                </c:pt>
              </c:numCache>
            </c:numRef>
          </c:val>
          <c:extLst>
            <c:ext xmlns:c16="http://schemas.microsoft.com/office/drawing/2014/chart" uri="{C3380CC4-5D6E-409C-BE32-E72D297353CC}">
              <c16:uniqueId val="{00000000-5388-4C3E-A5B3-B9BFE8FA4D86}"/>
            </c:ext>
          </c:extLst>
        </c:ser>
        <c:ser>
          <c:idx val="1"/>
          <c:order val="1"/>
          <c:spPr>
            <a:blipFill>
              <a:blip xmlns:r="http://schemas.openxmlformats.org/officeDocument/2006/relationships" r:embed="rId4"/>
              <a:stretch>
                <a:fillRect/>
              </a:stretch>
            </a:blipFill>
            <a:ln>
              <a:noFill/>
            </a:ln>
            <a:effectLst/>
          </c:spPr>
          <c:invertIfNegative val="0"/>
          <c:val>
            <c:numRef>
              <c:f>Processing!$I$3</c:f>
              <c:numCache>
                <c:formatCode>General</c:formatCode>
                <c:ptCount val="1"/>
                <c:pt idx="0">
                  <c:v>0</c:v>
                </c:pt>
              </c:numCache>
            </c:numRef>
          </c:val>
          <c:extLst>
            <c:ext xmlns:c16="http://schemas.microsoft.com/office/drawing/2014/chart" uri="{C3380CC4-5D6E-409C-BE32-E72D297353CC}">
              <c16:uniqueId val="{00000001-5388-4C3E-A5B3-B9BFE8FA4D86}"/>
            </c:ext>
          </c:extLst>
        </c:ser>
        <c:dLbls>
          <c:showLegendKey val="0"/>
          <c:showVal val="0"/>
          <c:showCatName val="0"/>
          <c:showSerName val="0"/>
          <c:showPercent val="0"/>
          <c:showBubbleSize val="0"/>
        </c:dLbls>
        <c:gapWidth val="0"/>
        <c:overlap val="100"/>
        <c:axId val="945048095"/>
        <c:axId val="945050015"/>
      </c:barChart>
      <c:catAx>
        <c:axId val="945048095"/>
        <c:scaling>
          <c:orientation val="minMax"/>
        </c:scaling>
        <c:delete val="1"/>
        <c:axPos val="b"/>
        <c:majorTickMark val="out"/>
        <c:minorTickMark val="none"/>
        <c:tickLblPos val="nextTo"/>
        <c:crossAx val="945050015"/>
        <c:crosses val="autoZero"/>
        <c:auto val="1"/>
        <c:lblAlgn val="ctr"/>
        <c:lblOffset val="100"/>
        <c:noMultiLvlLbl val="0"/>
      </c:catAx>
      <c:valAx>
        <c:axId val="945050015"/>
        <c:scaling>
          <c:orientation val="minMax"/>
          <c:max val="10"/>
        </c:scaling>
        <c:delete val="1"/>
        <c:axPos val="l"/>
        <c:numFmt formatCode="General" sourceLinked="1"/>
        <c:majorTickMark val="out"/>
        <c:minorTickMark val="none"/>
        <c:tickLblPos val="nextTo"/>
        <c:crossAx val="94504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1-B858-4B8B-B601-60DCD8CA3179}"/>
              </c:ext>
            </c:extLst>
          </c:dPt>
          <c:dPt>
            <c:idx val="1"/>
            <c:bubble3D val="0"/>
            <c:spPr>
              <a:solidFill>
                <a:schemeClr val="bg1"/>
              </a:solidFill>
              <a:ln w="19050">
                <a:noFill/>
              </a:ln>
              <a:effectLst/>
            </c:spPr>
            <c:extLst>
              <c:ext xmlns:c16="http://schemas.microsoft.com/office/drawing/2014/chart" uri="{C3380CC4-5D6E-409C-BE32-E72D297353CC}">
                <c16:uniqueId val="{00000003-B858-4B8B-B601-60DCD8CA3179}"/>
              </c:ext>
            </c:extLst>
          </c:dPt>
          <c:dPt>
            <c:idx val="2"/>
            <c:bubble3D val="0"/>
            <c:spPr>
              <a:solidFill>
                <a:srgbClr val="0070C0"/>
              </a:solidFill>
              <a:ln w="19050">
                <a:noFill/>
              </a:ln>
              <a:effectLst/>
            </c:spPr>
            <c:extLst>
              <c:ext xmlns:c16="http://schemas.microsoft.com/office/drawing/2014/chart" uri="{C3380CC4-5D6E-409C-BE32-E72D297353CC}">
                <c16:uniqueId val="{00000005-B858-4B8B-B601-60DCD8CA3179}"/>
              </c:ext>
            </c:extLst>
          </c:dPt>
          <c:dPt>
            <c:idx val="3"/>
            <c:bubble3D val="0"/>
            <c:spPr>
              <a:solidFill>
                <a:srgbClr val="00B0F0"/>
              </a:solidFill>
              <a:ln w="19050">
                <a:noFill/>
              </a:ln>
              <a:effectLst/>
            </c:spPr>
            <c:extLst>
              <c:ext xmlns:c16="http://schemas.microsoft.com/office/drawing/2014/chart" uri="{C3380CC4-5D6E-409C-BE32-E72D297353CC}">
                <c16:uniqueId val="{00000007-B858-4B8B-B601-60DCD8CA3179}"/>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B858-4B8B-B601-60DCD8CA3179}"/>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E6F9-40CD-A85D-FA57064D1063}"/>
            </c:ext>
          </c:extLst>
        </c:ser>
        <c:ser>
          <c:idx val="1"/>
          <c:order val="1"/>
          <c:tx>
            <c:strRef>
              <c:f>Processing!$M$7</c:f>
              <c:strCache>
                <c:ptCount val="1"/>
                <c:pt idx="0">
                  <c:v>Coverage Target</c:v>
                </c:pt>
              </c:strCache>
            </c:strRef>
          </c:tx>
          <c:spPr>
            <a:solidFill>
              <a:srgbClr val="7D84FF">
                <a:alpha val="20000"/>
              </a:srgbClr>
            </a:solidFill>
            <a:ln w="12700">
              <a:solidFill>
                <a:schemeClr val="bg1"/>
              </a:solidFill>
            </a:ln>
            <a:effectLst>
              <a:outerShdw blurRad="50800" dist="38100" dir="8100000" algn="tr" rotWithShape="0">
                <a:prstClr val="black">
                  <a:alpha val="40000"/>
                </a:prstClr>
              </a:outerShdw>
            </a:effectLst>
          </c:spPr>
          <c:val>
            <c:numRef>
              <c:f>Processing!$M$8:$M$15</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E6F9-40CD-A85D-FA57064D1063}"/>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70000"/>
                </a:prstClr>
              </a:outerShdw>
            </a:effectLst>
          </c:spPr>
          <c:dPt>
            <c:idx val="0"/>
            <c:bubble3D val="0"/>
            <c:spPr>
              <a:gradFill>
                <a:gsLst>
                  <a:gs pos="0">
                    <a:schemeClr val="accent5">
                      <a:lumMod val="60000"/>
                      <a:lumOff val="40000"/>
                    </a:schemeClr>
                  </a:gs>
                  <a:gs pos="97000">
                    <a:srgbClr val="A62C97"/>
                  </a:gs>
                </a:gsLst>
                <a:lin ang="3000000" scaled="0"/>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1-5612-40B2-A4AB-7A4E20204790}"/>
              </c:ext>
            </c:extLst>
          </c:dPt>
          <c:dPt>
            <c:idx val="1"/>
            <c:bubble3D val="0"/>
            <c:spPr>
              <a:gradFill>
                <a:gsLst>
                  <a:gs pos="100000">
                    <a:srgbClr val="61A7F5"/>
                  </a:gs>
                  <a:gs pos="0">
                    <a:srgbClr val="4077E3"/>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3-5612-40B2-A4AB-7A4E20204790}"/>
              </c:ext>
            </c:extLst>
          </c:dPt>
          <c:dPt>
            <c:idx val="2"/>
            <c:bubble3D val="0"/>
            <c:spPr>
              <a:gradFill>
                <a:gsLst>
                  <a:gs pos="0">
                    <a:srgbClr val="8070E2"/>
                  </a:gs>
                  <a:gs pos="100000">
                    <a:srgbClr val="5A4EBD"/>
                  </a:gs>
                </a:gsLst>
                <a:lin ang="5400000" scaled="1"/>
              </a:gradFill>
              <a:ln w="19050">
                <a:noFill/>
              </a:ln>
              <a:effectLst>
                <a:outerShdw blurRad="279400" dist="165100" dir="8100000" algn="tr" rotWithShape="0">
                  <a:prstClr val="black">
                    <a:alpha val="70000"/>
                  </a:prstClr>
                </a:outerShdw>
              </a:effectLst>
            </c:spPr>
            <c:extLst>
              <c:ext xmlns:c16="http://schemas.microsoft.com/office/drawing/2014/chart" uri="{C3380CC4-5D6E-409C-BE32-E72D297353CC}">
                <c16:uniqueId val="{00000005-5612-40B2-A4AB-7A4E20204790}"/>
              </c:ext>
            </c:extLst>
          </c:dPt>
          <c:dPt>
            <c:idx val="3"/>
            <c:bubble3D val="0"/>
            <c:spPr>
              <a:noFill/>
              <a:ln w="19050">
                <a:noFill/>
              </a:ln>
              <a:effectLst>
                <a:innerShdw blurRad="114300">
                  <a:prstClr val="black"/>
                </a:innerShdw>
              </a:effectLst>
            </c:spPr>
            <c:extLst>
              <c:ext xmlns:c16="http://schemas.microsoft.com/office/drawing/2014/chart" uri="{C3380CC4-5D6E-409C-BE32-E72D297353CC}">
                <c16:uniqueId val="{00000007-5612-40B2-A4AB-7A4E20204790}"/>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5612-40B2-A4AB-7A4E20204790}"/>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flip="none" rotWithShape="1">
              <a:gsLst>
                <a:gs pos="9000">
                  <a:srgbClr val="B471EC">
                    <a:alpha val="80000"/>
                  </a:srgbClr>
                </a:gs>
                <a:gs pos="100000">
                  <a:srgbClr val="5B59D0">
                    <a:alpha val="70000"/>
                  </a:srgbClr>
                </a:gs>
              </a:gsLst>
              <a:lin ang="5400000" scaled="1"/>
              <a:tileRect/>
            </a:gradFill>
            <a:ln>
              <a:noFill/>
            </a:ln>
            <a:effectLst>
              <a:outerShdw blurRad="50800" dist="38100" dir="8100000" algn="tr" rotWithShape="0">
                <a:prstClr val="black">
                  <a:alpha val="40000"/>
                </a:prstClr>
              </a:outerShdw>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51FC-40DE-A71F-792E155C43CD}"/>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626DAE"/>
              </a:solidFill>
              <a:round/>
            </a:ln>
            <a:effectLst/>
          </c:spPr>
        </c:majorGridlines>
        <c:numFmt formatCode="0%" sourceLinked="1"/>
        <c:majorTickMark val="out"/>
        <c:minorTickMark val="none"/>
        <c:tickLblPos val="nextTo"/>
        <c:crossAx val="133817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A8B3-4B8D-956F-D4B95EA43F51}"/>
            </c:ext>
          </c:extLst>
        </c:ser>
        <c:ser>
          <c:idx val="1"/>
          <c:order val="1"/>
          <c:spPr>
            <a:solidFill>
              <a:schemeClr val="accent2"/>
            </a:solidFill>
            <a:ln w="127000">
              <a:gradFill>
                <a:gsLst>
                  <a:gs pos="65000">
                    <a:srgbClr val="5987F6"/>
                  </a:gs>
                  <a:gs pos="100000">
                    <a:srgbClr val="7A59CD"/>
                  </a:gs>
                </a:gsLst>
                <a:lin ang="5400000" scaled="1"/>
              </a:gradFill>
            </a:ln>
            <a:effectLst>
              <a:outerShdw blurRad="50800" dist="38100" dir="8100000" algn="tr" rotWithShape="0">
                <a:prstClr val="black">
                  <a:alpha val="40000"/>
                </a:prstClr>
              </a:outerShdw>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A8B3-4B8D-956F-D4B95EA43F51}"/>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A8B3-4B8D-956F-D4B95EA43F51}"/>
            </c:ext>
          </c:extLst>
        </c:ser>
        <c:ser>
          <c:idx val="3"/>
          <c:order val="3"/>
          <c:tx>
            <c:v>Cursor</c:v>
          </c:tx>
          <c:spPr>
            <a:solidFill>
              <a:schemeClr val="accent4"/>
            </a:solidFill>
            <a:ln w="127000">
              <a:gradFill>
                <a:gsLst>
                  <a:gs pos="0">
                    <a:schemeClr val="accent1">
                      <a:lumMod val="5000"/>
                      <a:lumOff val="95000"/>
                    </a:schemeClr>
                  </a:gs>
                  <a:gs pos="62000">
                    <a:schemeClr val="accent1">
                      <a:lumMod val="30000"/>
                      <a:lumOff val="70000"/>
                    </a:schemeClr>
                  </a:gs>
                </a:gsLst>
                <a:lin ang="5400000" scaled="1"/>
              </a:gradFill>
            </a:ln>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A8B3-4B8D-956F-D4B95EA43F51}"/>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65D5-4251-B596-8DB73E1EB043}"/>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65D5-4251-B596-8DB73E1EB043}"/>
              </c:ext>
            </c:extLst>
          </c:dPt>
          <c:dPt>
            <c:idx val="2"/>
            <c:bubble3D val="0"/>
            <c:spPr>
              <a:solidFill>
                <a:srgbClr val="01F3FF"/>
              </a:solidFill>
              <a:ln w="19050">
                <a:noFill/>
              </a:ln>
              <a:effectLst/>
            </c:spPr>
            <c:extLst>
              <c:ext xmlns:c16="http://schemas.microsoft.com/office/drawing/2014/chart" uri="{C3380CC4-5D6E-409C-BE32-E72D297353CC}">
                <c16:uniqueId val="{00000005-65D5-4251-B596-8DB73E1EB043}"/>
              </c:ext>
            </c:extLst>
          </c:dPt>
          <c:dPt>
            <c:idx val="3"/>
            <c:bubble3D val="0"/>
            <c:spPr>
              <a:solidFill>
                <a:schemeClr val="bg1"/>
              </a:solidFill>
              <a:ln w="19050">
                <a:noFill/>
              </a:ln>
              <a:effectLst/>
            </c:spPr>
            <c:extLst>
              <c:ext xmlns:c16="http://schemas.microsoft.com/office/drawing/2014/chart" uri="{C3380CC4-5D6E-409C-BE32-E72D297353CC}">
                <c16:uniqueId val="{00000007-65D5-4251-B596-8DB73E1EB043}"/>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65D5-4251-B596-8DB73E1EB04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Processing!$L$17</c:f>
              <c:strCache>
                <c:ptCount val="1"/>
                <c:pt idx="0">
                  <c:v>Referral</c:v>
                </c:pt>
              </c:strCache>
            </c:strRef>
          </c:tx>
          <c:spPr>
            <a:ln w="28575" cap="rnd">
              <a:gradFill>
                <a:gsLst>
                  <a:gs pos="0">
                    <a:srgbClr val="A62C97"/>
                  </a:gs>
                  <a:gs pos="100000">
                    <a:srgbClr val="D86ECC"/>
                  </a:gs>
                </a:gsLst>
                <a:lin ang="0" scaled="0"/>
              </a:gradFill>
              <a:round/>
            </a:ln>
            <a:effectLst>
              <a:outerShdw blurRad="50800" dist="38100" dir="5400000" algn="t" rotWithShape="0">
                <a:prstClr val="black">
                  <a:alpha val="40000"/>
                </a:prstClr>
              </a:outerShdw>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Processing!$L$18:$L$29</c:f>
              <c:numCache>
                <c:formatCode>0%</c:formatCode>
                <c:ptCount val="12"/>
                <c:pt idx="0">
                  <c:v>0.13</c:v>
                </c:pt>
                <c:pt idx="1">
                  <c:v>0.21</c:v>
                </c:pt>
                <c:pt idx="2">
                  <c:v>0.18</c:v>
                </c:pt>
                <c:pt idx="3">
                  <c:v>7.0000000000000007E-2</c:v>
                </c:pt>
                <c:pt idx="4">
                  <c:v>0.12</c:v>
                </c:pt>
                <c:pt idx="5">
                  <c:v>0.25</c:v>
                </c:pt>
                <c:pt idx="6">
                  <c:v>0.18</c:v>
                </c:pt>
                <c:pt idx="7">
                  <c:v>0.18</c:v>
                </c:pt>
                <c:pt idx="8">
                  <c:v>0.23</c:v>
                </c:pt>
                <c:pt idx="9">
                  <c:v>0.18</c:v>
                </c:pt>
                <c:pt idx="10">
                  <c:v>0.12</c:v>
                </c:pt>
                <c:pt idx="11">
                  <c:v>0.12</c:v>
                </c:pt>
              </c:numCache>
            </c:numRef>
          </c:val>
          <c:smooth val="1"/>
          <c:extLst>
            <c:ext xmlns:c16="http://schemas.microsoft.com/office/drawing/2014/chart" uri="{C3380CC4-5D6E-409C-BE32-E72D297353CC}">
              <c16:uniqueId val="{00000000-37AF-4741-A250-6923D4F9DD8E}"/>
            </c:ext>
          </c:extLst>
        </c:ser>
        <c:ser>
          <c:idx val="1"/>
          <c:order val="1"/>
          <c:tx>
            <c:strRef>
              <c:f>Processing!$M$17</c:f>
              <c:strCache>
                <c:ptCount val="1"/>
                <c:pt idx="0">
                  <c:v>Social</c:v>
                </c:pt>
              </c:strCache>
            </c:strRef>
          </c:tx>
          <c:spPr>
            <a:ln w="28575" cap="rnd">
              <a:gradFill>
                <a:gsLst>
                  <a:gs pos="0">
                    <a:srgbClr val="4077E3">
                      <a:lumMod val="98000"/>
                    </a:srgbClr>
                  </a:gs>
                  <a:gs pos="100000">
                    <a:srgbClr val="61A7F5"/>
                  </a:gs>
                </a:gsLst>
                <a:lin ang="0" scaled="0"/>
              </a:gradFill>
              <a:round/>
            </a:ln>
            <a:effectLst>
              <a:outerShdw blurRad="50800" dist="38100" dir="5400000" algn="t" rotWithShape="0">
                <a:prstClr val="black">
                  <a:alpha val="40000"/>
                </a:prstClr>
              </a:outerShdw>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Processing!$M$18:$M$29</c:f>
              <c:numCache>
                <c:formatCode>0%</c:formatCode>
                <c:ptCount val="12"/>
                <c:pt idx="0">
                  <c:v>0.31</c:v>
                </c:pt>
                <c:pt idx="1">
                  <c:v>0.44</c:v>
                </c:pt>
                <c:pt idx="2">
                  <c:v>0.27</c:v>
                </c:pt>
                <c:pt idx="3">
                  <c:v>0.47</c:v>
                </c:pt>
                <c:pt idx="4">
                  <c:v>0.44</c:v>
                </c:pt>
                <c:pt idx="5">
                  <c:v>0.38</c:v>
                </c:pt>
                <c:pt idx="6">
                  <c:v>0.48</c:v>
                </c:pt>
                <c:pt idx="7">
                  <c:v>0.43</c:v>
                </c:pt>
                <c:pt idx="8">
                  <c:v>0.43</c:v>
                </c:pt>
                <c:pt idx="9">
                  <c:v>0.2</c:v>
                </c:pt>
                <c:pt idx="10">
                  <c:v>0.33</c:v>
                </c:pt>
                <c:pt idx="11">
                  <c:v>0.23</c:v>
                </c:pt>
              </c:numCache>
            </c:numRef>
          </c:val>
          <c:smooth val="1"/>
          <c:extLst>
            <c:ext xmlns:c16="http://schemas.microsoft.com/office/drawing/2014/chart" uri="{C3380CC4-5D6E-409C-BE32-E72D297353CC}">
              <c16:uniqueId val="{00000001-37AF-4741-A250-6923D4F9DD8E}"/>
            </c:ext>
          </c:extLst>
        </c:ser>
        <c:ser>
          <c:idx val="2"/>
          <c:order val="2"/>
          <c:tx>
            <c:strRef>
              <c:f>Processing!$N$17</c:f>
              <c:strCache>
                <c:ptCount val="1"/>
                <c:pt idx="0">
                  <c:v>Organic</c:v>
                </c:pt>
              </c:strCache>
            </c:strRef>
          </c:tx>
          <c:spPr>
            <a:ln w="28575" cap="rnd">
              <a:gradFill>
                <a:gsLst>
                  <a:gs pos="0">
                    <a:srgbClr val="5A4EBD"/>
                  </a:gs>
                  <a:gs pos="100000">
                    <a:srgbClr val="8070E2"/>
                  </a:gs>
                </a:gsLst>
                <a:lin ang="0" scaled="0"/>
              </a:gradFill>
              <a:round/>
            </a:ln>
            <a:effectLst>
              <a:outerShdw blurRad="50800" dist="38100" dir="5400000" algn="t" rotWithShape="0">
                <a:prstClr val="black">
                  <a:alpha val="40000"/>
                </a:prstClr>
              </a:outerShdw>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Processing!$N$18:$N$29</c:f>
              <c:numCache>
                <c:formatCode>0%</c:formatCode>
                <c:ptCount val="12"/>
                <c:pt idx="0">
                  <c:v>0.14666666666666667</c:v>
                </c:pt>
                <c:pt idx="1">
                  <c:v>0.21666666666666667</c:v>
                </c:pt>
                <c:pt idx="2">
                  <c:v>0.15</c:v>
                </c:pt>
                <c:pt idx="3">
                  <c:v>0.18000000000000002</c:v>
                </c:pt>
                <c:pt idx="4">
                  <c:v>0.18666666666666668</c:v>
                </c:pt>
                <c:pt idx="5">
                  <c:v>0.21</c:v>
                </c:pt>
                <c:pt idx="6">
                  <c:v>0.21999999999999997</c:v>
                </c:pt>
                <c:pt idx="7">
                  <c:v>0.20333333333333334</c:v>
                </c:pt>
                <c:pt idx="8">
                  <c:v>0.22</c:v>
                </c:pt>
                <c:pt idx="9">
                  <c:v>0.12666666666666668</c:v>
                </c:pt>
                <c:pt idx="10">
                  <c:v>0.15</c:v>
                </c:pt>
                <c:pt idx="11">
                  <c:v>0.11666666666666665</c:v>
                </c:pt>
              </c:numCache>
            </c:numRef>
          </c:val>
          <c:smooth val="1"/>
          <c:extLst>
            <c:ext xmlns:c16="http://schemas.microsoft.com/office/drawing/2014/chart" uri="{C3380CC4-5D6E-409C-BE32-E72D297353CC}">
              <c16:uniqueId val="{00000002-37AF-4741-A250-6923D4F9DD8E}"/>
            </c:ext>
          </c:extLst>
        </c:ser>
        <c:ser>
          <c:idx val="3"/>
          <c:order val="3"/>
          <c:tx>
            <c:strRef>
              <c:f>Processing!$O$17</c:f>
              <c:strCache>
                <c:ptCount val="1"/>
                <c:pt idx="0">
                  <c:v>Other</c:v>
                </c:pt>
              </c:strCache>
            </c:strRef>
          </c:tx>
          <c:spPr>
            <a:ln w="28575" cap="rnd">
              <a:gradFill>
                <a:gsLst>
                  <a:gs pos="1000">
                    <a:srgbClr val="49375B"/>
                  </a:gs>
                  <a:gs pos="100000">
                    <a:srgbClr val="977DB1"/>
                  </a:gs>
                </a:gsLst>
                <a:lin ang="0" scaled="0"/>
              </a:gradFill>
              <a:round/>
            </a:ln>
            <a:effectLst>
              <a:outerShdw blurRad="50800" dist="38100" dir="5400000" algn="t" rotWithShape="0">
                <a:prstClr val="black">
                  <a:alpha val="40000"/>
                </a:prstClr>
              </a:outerShdw>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Processing!$O$18:$O$29</c:f>
              <c:numCache>
                <c:formatCode>0%</c:formatCode>
                <c:ptCount val="12"/>
                <c:pt idx="0">
                  <c:v>0.41333333333333333</c:v>
                </c:pt>
                <c:pt idx="1">
                  <c:v>0.1333333333333333</c:v>
                </c:pt>
                <c:pt idx="2">
                  <c:v>0.4</c:v>
                </c:pt>
                <c:pt idx="3">
                  <c:v>0.27999999999999992</c:v>
                </c:pt>
                <c:pt idx="4">
                  <c:v>0.2533333333333333</c:v>
                </c:pt>
                <c:pt idx="5">
                  <c:v>0.16000000000000003</c:v>
                </c:pt>
                <c:pt idx="6">
                  <c:v>0.12000000000000011</c:v>
                </c:pt>
                <c:pt idx="7">
                  <c:v>0.18666666666666665</c:v>
                </c:pt>
                <c:pt idx="8">
                  <c:v>0.12</c:v>
                </c:pt>
                <c:pt idx="9">
                  <c:v>0.49333333333333329</c:v>
                </c:pt>
                <c:pt idx="10">
                  <c:v>0.4</c:v>
                </c:pt>
                <c:pt idx="11">
                  <c:v>0.53333333333333344</c:v>
                </c:pt>
              </c:numCache>
            </c:numRef>
          </c:val>
          <c:smooth val="1"/>
          <c:extLst>
            <c:ext xmlns:c16="http://schemas.microsoft.com/office/drawing/2014/chart" uri="{C3380CC4-5D6E-409C-BE32-E72D297353CC}">
              <c16:uniqueId val="{00000003-37AF-4741-A250-6923D4F9DD8E}"/>
            </c:ext>
          </c:extLst>
        </c:ser>
        <c:dLbls>
          <c:showLegendKey val="0"/>
          <c:showVal val="0"/>
          <c:showCatName val="0"/>
          <c:showSerName val="0"/>
          <c:showPercent val="0"/>
          <c:showBubbleSize val="0"/>
        </c:dLbls>
        <c:marker val="1"/>
        <c:smooth val="0"/>
        <c:axId val="983484256"/>
        <c:axId val="983484736"/>
      </c:lineChart>
      <c:scatterChart>
        <c:scatterStyle val="lineMarker"/>
        <c:varyColors val="0"/>
        <c:ser>
          <c:idx val="4"/>
          <c:order val="4"/>
          <c:tx>
            <c:strRef>
              <c:f>Processing!$P$17</c:f>
              <c:strCache>
                <c:ptCount val="1"/>
                <c:pt idx="0">
                  <c:v>Cursor</c:v>
                </c:pt>
              </c:strCache>
            </c:strRef>
          </c:tx>
          <c:spPr>
            <a:ln w="25400" cap="rnd">
              <a:noFill/>
              <a:round/>
            </a:ln>
            <a:effectLst/>
          </c:spPr>
          <c:marker>
            <c:symbol val="circle"/>
            <c:size val="5"/>
            <c:spPr>
              <a:solidFill>
                <a:srgbClr val="B9CCFB"/>
              </a:solidFill>
              <a:ln w="9525">
                <a:noFill/>
              </a:ln>
              <a:effectLst/>
            </c:spPr>
          </c:marker>
          <c:errBars>
            <c:errDir val="y"/>
            <c:errBarType val="minus"/>
            <c:errValType val="cust"/>
            <c:noEndCap val="0"/>
            <c:plus>
              <c:numLit>
                <c:formatCode>General</c:formatCode>
                <c:ptCount val="1"/>
                <c:pt idx="0">
                  <c:v>1</c:v>
                </c:pt>
              </c:numLit>
            </c:plus>
            <c:minus>
              <c:numRef>
                <c:f>Processing!$P$18:$P$29</c:f>
                <c:numCache>
                  <c:formatCode>General</c:formatCode>
                  <c:ptCount val="12"/>
                  <c:pt idx="0">
                    <c:v>0.63333333333333341</c:v>
                  </c:pt>
                  <c:pt idx="1">
                    <c:v>0.63333333333333341</c:v>
                  </c:pt>
                  <c:pt idx="2">
                    <c:v>0.63333333333333341</c:v>
                  </c:pt>
                  <c:pt idx="3">
                    <c:v>0.63333333333333341</c:v>
                  </c:pt>
                  <c:pt idx="4">
                    <c:v>0.63333333333333341</c:v>
                  </c:pt>
                  <c:pt idx="5">
                    <c:v>0.63333333333333341</c:v>
                  </c:pt>
                  <c:pt idx="6">
                    <c:v>0.63333333333333341</c:v>
                  </c:pt>
                  <c:pt idx="7">
                    <c:v>0.63333333333333341</c:v>
                  </c:pt>
                  <c:pt idx="8">
                    <c:v>0.63333333333333341</c:v>
                  </c:pt>
                  <c:pt idx="9">
                    <c:v>0.63333333333333341</c:v>
                  </c:pt>
                  <c:pt idx="10">
                    <c:v>0.63333333333333341</c:v>
                  </c:pt>
                  <c:pt idx="11">
                    <c:v>0.63333333333333341</c:v>
                  </c:pt>
                </c:numCache>
              </c:numRef>
            </c:minus>
            <c:spPr>
              <a:noFill/>
              <a:ln w="9525" cap="flat" cmpd="sng" algn="ctr">
                <a:solidFill>
                  <a:srgbClr val="B9CCFB"/>
                </a:solidFill>
                <a:round/>
              </a:ln>
              <a:effectLst/>
            </c:spPr>
          </c:errBars>
          <c:xVal>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Processing!$P$18:$P$29</c:f>
              <c:numCache>
                <c:formatCode>0%</c:formatCode>
                <c:ptCount val="12"/>
                <c:pt idx="0">
                  <c:v>0.63333333333333341</c:v>
                </c:pt>
                <c:pt idx="1">
                  <c:v>0.63333333333333341</c:v>
                </c:pt>
                <c:pt idx="2">
                  <c:v>0.63333333333333341</c:v>
                </c:pt>
                <c:pt idx="3">
                  <c:v>0.63333333333333341</c:v>
                </c:pt>
                <c:pt idx="4">
                  <c:v>0.63333333333333341</c:v>
                </c:pt>
                <c:pt idx="5">
                  <c:v>0.63333333333333341</c:v>
                </c:pt>
                <c:pt idx="6">
                  <c:v>0.63333333333333341</c:v>
                </c:pt>
                <c:pt idx="7">
                  <c:v>0.63333333333333341</c:v>
                </c:pt>
                <c:pt idx="8">
                  <c:v>0.63333333333333341</c:v>
                </c:pt>
                <c:pt idx="9">
                  <c:v>0.63333333333333341</c:v>
                </c:pt>
                <c:pt idx="10">
                  <c:v>0.63333333333333341</c:v>
                </c:pt>
                <c:pt idx="11">
                  <c:v>0.63333333333333341</c:v>
                </c:pt>
              </c:numCache>
            </c:numRef>
          </c:yVal>
          <c:smooth val="0"/>
          <c:extLst>
            <c:ext xmlns:c16="http://schemas.microsoft.com/office/drawing/2014/chart" uri="{C3380CC4-5D6E-409C-BE32-E72D297353CC}">
              <c16:uniqueId val="{00000004-37AF-4741-A250-6923D4F9DD8E}"/>
            </c:ext>
          </c:extLst>
        </c:ser>
        <c:dLbls>
          <c:showLegendKey val="0"/>
          <c:showVal val="0"/>
          <c:showCatName val="0"/>
          <c:showSerName val="0"/>
          <c:showPercent val="0"/>
          <c:showBubbleSize val="0"/>
        </c:dLbls>
        <c:axId val="983484256"/>
        <c:axId val="983484736"/>
      </c:scatterChart>
      <c:catAx>
        <c:axId val="983484256"/>
        <c:scaling>
          <c:orientation val="minMax"/>
        </c:scaling>
        <c:delete val="1"/>
        <c:axPos val="b"/>
        <c:numFmt formatCode="General" sourceLinked="1"/>
        <c:majorTickMark val="none"/>
        <c:minorTickMark val="none"/>
        <c:tickLblPos val="nextTo"/>
        <c:crossAx val="983484736"/>
        <c:crosses val="autoZero"/>
        <c:auto val="1"/>
        <c:lblAlgn val="ctr"/>
        <c:lblOffset val="100"/>
        <c:noMultiLvlLbl val="0"/>
      </c:catAx>
      <c:valAx>
        <c:axId val="983484736"/>
        <c:scaling>
          <c:orientation val="minMax"/>
          <c:min val="0"/>
        </c:scaling>
        <c:delete val="0"/>
        <c:axPos val="l"/>
        <c:majorGridlines>
          <c:spPr>
            <a:ln w="9525" cap="flat" cmpd="sng" algn="ctr">
              <a:solidFill>
                <a:srgbClr val="626DAE"/>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98348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B-978B-47FF-A7D5-BDDD7BF57CAF}"/>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D-978B-47FF-A7D5-BDDD7BF57CAF}"/>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F-978B-47FF-A7D5-BDDD7BF57CAF}"/>
              </c:ext>
            </c:extLst>
          </c:dPt>
          <c:dPt>
            <c:idx val="3"/>
            <c:bubble3D val="0"/>
            <c:spPr>
              <a:noFill/>
              <a:ln w="19050">
                <a:noFill/>
              </a:ln>
              <a:effectLst/>
            </c:spPr>
            <c:extLst>
              <c:ext xmlns:c16="http://schemas.microsoft.com/office/drawing/2014/chart" uri="{C3380CC4-5D6E-409C-BE32-E72D297353CC}">
                <c16:uniqueId val="{00000011-978B-47FF-A7D5-BDDD7BF57CAF}"/>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12-978B-47FF-A7D5-BDDD7BF57CAF}"/>
            </c:ext>
          </c:extLst>
        </c:ser>
        <c:dLbls>
          <c:showLegendKey val="0"/>
          <c:showVal val="0"/>
          <c:showCatName val="0"/>
          <c:showSerName val="0"/>
          <c:showPercent val="0"/>
          <c:showBubbleSize val="0"/>
          <c:showLeaderLines val="1"/>
        </c:dLbls>
        <c:firstSliceAng val="0"/>
        <c:holeSize val="5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2-E229-4317-88DE-90A7AEBFF51D}"/>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E"/>
              </a:solidFill>
              <a:round/>
            </a:ln>
            <a:effectLst/>
          </c:spPr>
        </c:majorGridlines>
        <c:numFmt formatCode="0%" sourceLinked="1"/>
        <c:majorTickMark val="out"/>
        <c:minorTickMark val="none"/>
        <c:tickLblPos val="nextTo"/>
        <c:crossAx val="133817539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5-8277-4EF9-A219-61A5C715212B}"/>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7-8277-4EF9-A219-61A5C715212B}"/>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9-8277-4EF9-A219-61A5C715212B}"/>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B-8277-4EF9-A219-61A5C715212B}"/>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B-4836-412F-A6DF-A16BF1059AE9}"/>
              </c:ext>
            </c:extLst>
          </c:dPt>
          <c:dPt>
            <c:idx val="1"/>
            <c:bubble3D val="0"/>
            <c:spPr>
              <a:solidFill>
                <a:schemeClr val="bg1"/>
              </a:solidFill>
              <a:ln w="19050">
                <a:noFill/>
              </a:ln>
              <a:effectLst/>
            </c:spPr>
            <c:extLst>
              <c:ext xmlns:c16="http://schemas.microsoft.com/office/drawing/2014/chart" uri="{C3380CC4-5D6E-409C-BE32-E72D297353CC}">
                <c16:uniqueId val="{0000000D-4836-412F-A6DF-A16BF1059AE9}"/>
              </c:ext>
            </c:extLst>
          </c:dPt>
          <c:dPt>
            <c:idx val="2"/>
            <c:bubble3D val="0"/>
            <c:spPr>
              <a:solidFill>
                <a:srgbClr val="0070C0"/>
              </a:solidFill>
              <a:ln w="19050">
                <a:noFill/>
              </a:ln>
              <a:effectLst/>
            </c:spPr>
            <c:extLst>
              <c:ext xmlns:c16="http://schemas.microsoft.com/office/drawing/2014/chart" uri="{C3380CC4-5D6E-409C-BE32-E72D297353CC}">
                <c16:uniqueId val="{0000000F-4836-412F-A6DF-A16BF1059AE9}"/>
              </c:ext>
            </c:extLst>
          </c:dPt>
          <c:dPt>
            <c:idx val="3"/>
            <c:bubble3D val="0"/>
            <c:spPr>
              <a:solidFill>
                <a:srgbClr val="00B0F0"/>
              </a:solidFill>
              <a:ln w="19050">
                <a:noFill/>
              </a:ln>
              <a:effectLst/>
            </c:spPr>
            <c:extLst>
              <c:ext xmlns:c16="http://schemas.microsoft.com/office/drawing/2014/chart" uri="{C3380CC4-5D6E-409C-BE32-E72D297353CC}">
                <c16:uniqueId val="{00000011-4836-412F-A6DF-A16BF1059AE9}"/>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12-4836-412F-A6DF-A16BF1059AE9}"/>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Processing!$L$17</c:f>
              <c:strCache>
                <c:ptCount val="1"/>
                <c:pt idx="0">
                  <c:v>Referral</c:v>
                </c:pt>
              </c:strCache>
            </c:strRef>
          </c:tx>
          <c:spPr>
            <a:ln w="28575" cap="rnd">
              <a:gradFill>
                <a:gsLst>
                  <a:gs pos="0">
                    <a:srgbClr val="A62C97"/>
                  </a:gs>
                  <a:gs pos="100000">
                    <a:srgbClr val="D86ECC"/>
                  </a:gs>
                </a:gsLst>
                <a:lin ang="0" scaled="0"/>
              </a:gradFill>
              <a:round/>
            </a:ln>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Processing!$L$18:$L$29</c:f>
              <c:numCache>
                <c:formatCode>0%</c:formatCode>
                <c:ptCount val="12"/>
                <c:pt idx="0">
                  <c:v>0.13</c:v>
                </c:pt>
                <c:pt idx="1">
                  <c:v>0.21</c:v>
                </c:pt>
                <c:pt idx="2">
                  <c:v>0.18</c:v>
                </c:pt>
                <c:pt idx="3">
                  <c:v>7.0000000000000007E-2</c:v>
                </c:pt>
                <c:pt idx="4">
                  <c:v>0.12</c:v>
                </c:pt>
                <c:pt idx="5">
                  <c:v>0.25</c:v>
                </c:pt>
                <c:pt idx="6">
                  <c:v>0.18</c:v>
                </c:pt>
                <c:pt idx="7">
                  <c:v>0.18</c:v>
                </c:pt>
                <c:pt idx="8">
                  <c:v>0.23</c:v>
                </c:pt>
                <c:pt idx="9">
                  <c:v>0.18</c:v>
                </c:pt>
                <c:pt idx="10">
                  <c:v>0.12</c:v>
                </c:pt>
                <c:pt idx="11">
                  <c:v>0.12</c:v>
                </c:pt>
              </c:numCache>
            </c:numRef>
          </c:val>
          <c:smooth val="1"/>
          <c:extLst>
            <c:ext xmlns:c16="http://schemas.microsoft.com/office/drawing/2014/chart" uri="{C3380CC4-5D6E-409C-BE32-E72D297353CC}">
              <c16:uniqueId val="{00000000-1E7D-4F19-95FB-10CD165A5407}"/>
            </c:ext>
          </c:extLst>
        </c:ser>
        <c:ser>
          <c:idx val="1"/>
          <c:order val="1"/>
          <c:tx>
            <c:strRef>
              <c:f>Processing!$M$17</c:f>
              <c:strCache>
                <c:ptCount val="1"/>
                <c:pt idx="0">
                  <c:v>Social</c:v>
                </c:pt>
              </c:strCache>
            </c:strRef>
          </c:tx>
          <c:spPr>
            <a:ln w="28575" cap="rnd">
              <a:gradFill>
                <a:gsLst>
                  <a:gs pos="0">
                    <a:srgbClr val="4077E3">
                      <a:lumMod val="98000"/>
                    </a:srgbClr>
                  </a:gs>
                  <a:gs pos="100000">
                    <a:srgbClr val="61A7F5"/>
                  </a:gs>
                </a:gsLst>
                <a:lin ang="0" scaled="0"/>
              </a:gradFill>
              <a:round/>
            </a:ln>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Processing!$M$18:$M$29</c:f>
              <c:numCache>
                <c:formatCode>0%</c:formatCode>
                <c:ptCount val="12"/>
                <c:pt idx="0">
                  <c:v>0.31</c:v>
                </c:pt>
                <c:pt idx="1">
                  <c:v>0.44</c:v>
                </c:pt>
                <c:pt idx="2">
                  <c:v>0.27</c:v>
                </c:pt>
                <c:pt idx="3">
                  <c:v>0.47</c:v>
                </c:pt>
                <c:pt idx="4">
                  <c:v>0.44</c:v>
                </c:pt>
                <c:pt idx="5">
                  <c:v>0.38</c:v>
                </c:pt>
                <c:pt idx="6">
                  <c:v>0.48</c:v>
                </c:pt>
                <c:pt idx="7">
                  <c:v>0.43</c:v>
                </c:pt>
                <c:pt idx="8">
                  <c:v>0.43</c:v>
                </c:pt>
                <c:pt idx="9">
                  <c:v>0.2</c:v>
                </c:pt>
                <c:pt idx="10">
                  <c:v>0.33</c:v>
                </c:pt>
                <c:pt idx="11">
                  <c:v>0.23</c:v>
                </c:pt>
              </c:numCache>
            </c:numRef>
          </c:val>
          <c:smooth val="1"/>
          <c:extLst>
            <c:ext xmlns:c16="http://schemas.microsoft.com/office/drawing/2014/chart" uri="{C3380CC4-5D6E-409C-BE32-E72D297353CC}">
              <c16:uniqueId val="{00000001-1E7D-4F19-95FB-10CD165A5407}"/>
            </c:ext>
          </c:extLst>
        </c:ser>
        <c:ser>
          <c:idx val="2"/>
          <c:order val="2"/>
          <c:tx>
            <c:strRef>
              <c:f>Processing!$N$17</c:f>
              <c:strCache>
                <c:ptCount val="1"/>
                <c:pt idx="0">
                  <c:v>Organic</c:v>
                </c:pt>
              </c:strCache>
            </c:strRef>
          </c:tx>
          <c:spPr>
            <a:ln w="28575" cap="rnd">
              <a:gradFill>
                <a:gsLst>
                  <a:gs pos="0">
                    <a:srgbClr val="5A4EBD"/>
                  </a:gs>
                  <a:gs pos="100000">
                    <a:srgbClr val="8070E2"/>
                  </a:gs>
                </a:gsLst>
                <a:lin ang="0" scaled="0"/>
              </a:gradFill>
              <a:round/>
            </a:ln>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Processing!$N$18:$N$29</c:f>
              <c:numCache>
                <c:formatCode>0%</c:formatCode>
                <c:ptCount val="12"/>
                <c:pt idx="0">
                  <c:v>0.14666666666666667</c:v>
                </c:pt>
                <c:pt idx="1">
                  <c:v>0.21666666666666667</c:v>
                </c:pt>
                <c:pt idx="2">
                  <c:v>0.15</c:v>
                </c:pt>
                <c:pt idx="3">
                  <c:v>0.18000000000000002</c:v>
                </c:pt>
                <c:pt idx="4">
                  <c:v>0.18666666666666668</c:v>
                </c:pt>
                <c:pt idx="5">
                  <c:v>0.21</c:v>
                </c:pt>
                <c:pt idx="6">
                  <c:v>0.21999999999999997</c:v>
                </c:pt>
                <c:pt idx="7">
                  <c:v>0.20333333333333334</c:v>
                </c:pt>
                <c:pt idx="8">
                  <c:v>0.22</c:v>
                </c:pt>
                <c:pt idx="9">
                  <c:v>0.12666666666666668</c:v>
                </c:pt>
                <c:pt idx="10">
                  <c:v>0.15</c:v>
                </c:pt>
                <c:pt idx="11">
                  <c:v>0.11666666666666665</c:v>
                </c:pt>
              </c:numCache>
            </c:numRef>
          </c:val>
          <c:smooth val="1"/>
          <c:extLst>
            <c:ext xmlns:c16="http://schemas.microsoft.com/office/drawing/2014/chart" uri="{C3380CC4-5D6E-409C-BE32-E72D297353CC}">
              <c16:uniqueId val="{00000002-1E7D-4F19-95FB-10CD165A5407}"/>
            </c:ext>
          </c:extLst>
        </c:ser>
        <c:ser>
          <c:idx val="3"/>
          <c:order val="3"/>
          <c:tx>
            <c:strRef>
              <c:f>Processing!$O$17</c:f>
              <c:strCache>
                <c:ptCount val="1"/>
                <c:pt idx="0">
                  <c:v>Other</c:v>
                </c:pt>
              </c:strCache>
            </c:strRef>
          </c:tx>
          <c:spPr>
            <a:ln w="28575" cap="rnd">
              <a:gradFill>
                <a:gsLst>
                  <a:gs pos="1000">
                    <a:srgbClr val="49375B"/>
                  </a:gs>
                  <a:gs pos="100000">
                    <a:srgbClr val="977DB1"/>
                  </a:gs>
                </a:gsLst>
                <a:lin ang="0" scaled="0"/>
              </a:gradFill>
              <a:round/>
            </a:ln>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Processing!$O$18:$O$29</c:f>
              <c:numCache>
                <c:formatCode>0%</c:formatCode>
                <c:ptCount val="12"/>
                <c:pt idx="0">
                  <c:v>0.41333333333333333</c:v>
                </c:pt>
                <c:pt idx="1">
                  <c:v>0.1333333333333333</c:v>
                </c:pt>
                <c:pt idx="2">
                  <c:v>0.4</c:v>
                </c:pt>
                <c:pt idx="3">
                  <c:v>0.27999999999999992</c:v>
                </c:pt>
                <c:pt idx="4">
                  <c:v>0.2533333333333333</c:v>
                </c:pt>
                <c:pt idx="5">
                  <c:v>0.16000000000000003</c:v>
                </c:pt>
                <c:pt idx="6">
                  <c:v>0.12000000000000011</c:v>
                </c:pt>
                <c:pt idx="7">
                  <c:v>0.18666666666666665</c:v>
                </c:pt>
                <c:pt idx="8">
                  <c:v>0.12</c:v>
                </c:pt>
                <c:pt idx="9">
                  <c:v>0.49333333333333329</c:v>
                </c:pt>
                <c:pt idx="10">
                  <c:v>0.4</c:v>
                </c:pt>
                <c:pt idx="11">
                  <c:v>0.53333333333333344</c:v>
                </c:pt>
              </c:numCache>
            </c:numRef>
          </c:val>
          <c:smooth val="1"/>
          <c:extLst>
            <c:ext xmlns:c16="http://schemas.microsoft.com/office/drawing/2014/chart" uri="{C3380CC4-5D6E-409C-BE32-E72D297353CC}">
              <c16:uniqueId val="{00000003-1E7D-4F19-95FB-10CD165A5407}"/>
            </c:ext>
          </c:extLst>
        </c:ser>
        <c:dLbls>
          <c:showLegendKey val="0"/>
          <c:showVal val="0"/>
          <c:showCatName val="0"/>
          <c:showSerName val="0"/>
          <c:showPercent val="0"/>
          <c:showBubbleSize val="0"/>
        </c:dLbls>
        <c:marker val="1"/>
        <c:smooth val="0"/>
        <c:axId val="983484256"/>
        <c:axId val="983484736"/>
      </c:lineChart>
      <c:scatterChart>
        <c:scatterStyle val="lineMarker"/>
        <c:varyColors val="0"/>
        <c:ser>
          <c:idx val="4"/>
          <c:order val="4"/>
          <c:tx>
            <c:strRef>
              <c:f>Processing!$P$17</c:f>
              <c:strCache>
                <c:ptCount val="1"/>
                <c:pt idx="0">
                  <c:v>Cursor</c:v>
                </c:pt>
              </c:strCache>
            </c:strRef>
          </c:tx>
          <c:spPr>
            <a:ln w="25400" cap="rnd">
              <a:noFill/>
              <a:round/>
            </a:ln>
            <a:effectLst/>
          </c:spPr>
          <c:marker>
            <c:symbol val="circle"/>
            <c:size val="5"/>
            <c:spPr>
              <a:solidFill>
                <a:schemeClr val="tx1">
                  <a:lumMod val="65000"/>
                  <a:lumOff val="35000"/>
                </a:schemeClr>
              </a:solidFill>
              <a:ln w="9525">
                <a:noFill/>
              </a:ln>
              <a:effectLst/>
            </c:spPr>
          </c:marker>
          <c:errBars>
            <c:errDir val="y"/>
            <c:errBarType val="minus"/>
            <c:errValType val="cust"/>
            <c:noEndCap val="0"/>
            <c:plus>
              <c:numLit>
                <c:formatCode>General</c:formatCode>
                <c:ptCount val="1"/>
                <c:pt idx="0">
                  <c:v>1</c:v>
                </c:pt>
              </c:numLit>
            </c:plus>
            <c:minus>
              <c:numRef>
                <c:f>Processing!$P$18:$P$29</c:f>
                <c:numCache>
                  <c:formatCode>General</c:formatCode>
                  <c:ptCount val="12"/>
                  <c:pt idx="0">
                    <c:v>0.63333333333333341</c:v>
                  </c:pt>
                  <c:pt idx="1">
                    <c:v>0.63333333333333341</c:v>
                  </c:pt>
                  <c:pt idx="2">
                    <c:v>0.63333333333333341</c:v>
                  </c:pt>
                  <c:pt idx="3">
                    <c:v>0.63333333333333341</c:v>
                  </c:pt>
                  <c:pt idx="4">
                    <c:v>0.63333333333333341</c:v>
                  </c:pt>
                  <c:pt idx="5">
                    <c:v>0.63333333333333341</c:v>
                  </c:pt>
                  <c:pt idx="6">
                    <c:v>0.63333333333333341</c:v>
                  </c:pt>
                  <c:pt idx="7">
                    <c:v>0.63333333333333341</c:v>
                  </c:pt>
                  <c:pt idx="8">
                    <c:v>0.63333333333333341</c:v>
                  </c:pt>
                  <c:pt idx="9">
                    <c:v>0.63333333333333341</c:v>
                  </c:pt>
                  <c:pt idx="10">
                    <c:v>0.63333333333333341</c:v>
                  </c:pt>
                  <c:pt idx="11">
                    <c:v>0.63333333333333341</c:v>
                  </c:pt>
                </c:numCache>
              </c:numRef>
            </c:minus>
            <c:spPr>
              <a:noFill/>
              <a:ln w="9525" cap="flat" cmpd="sng" algn="ctr">
                <a:solidFill>
                  <a:schemeClr val="tx1"/>
                </a:solidFill>
                <a:round/>
              </a:ln>
              <a:effectLst/>
            </c:spPr>
          </c:errBars>
          <c:xVal>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Processing!$P$18:$P$29</c:f>
              <c:numCache>
                <c:formatCode>0%</c:formatCode>
                <c:ptCount val="12"/>
                <c:pt idx="0">
                  <c:v>0.63333333333333341</c:v>
                </c:pt>
                <c:pt idx="1">
                  <c:v>0.63333333333333341</c:v>
                </c:pt>
                <c:pt idx="2">
                  <c:v>0.63333333333333341</c:v>
                </c:pt>
                <c:pt idx="3">
                  <c:v>0.63333333333333341</c:v>
                </c:pt>
                <c:pt idx="4">
                  <c:v>0.63333333333333341</c:v>
                </c:pt>
                <c:pt idx="5">
                  <c:v>0.63333333333333341</c:v>
                </c:pt>
                <c:pt idx="6">
                  <c:v>0.63333333333333341</c:v>
                </c:pt>
                <c:pt idx="7">
                  <c:v>0.63333333333333341</c:v>
                </c:pt>
                <c:pt idx="8">
                  <c:v>0.63333333333333341</c:v>
                </c:pt>
                <c:pt idx="9">
                  <c:v>0.63333333333333341</c:v>
                </c:pt>
                <c:pt idx="10">
                  <c:v>0.63333333333333341</c:v>
                </c:pt>
                <c:pt idx="11">
                  <c:v>0.63333333333333341</c:v>
                </c:pt>
              </c:numCache>
            </c:numRef>
          </c:yVal>
          <c:smooth val="0"/>
          <c:extLst>
            <c:ext xmlns:c16="http://schemas.microsoft.com/office/drawing/2014/chart" uri="{C3380CC4-5D6E-409C-BE32-E72D297353CC}">
              <c16:uniqueId val="{00000004-1E7D-4F19-95FB-10CD165A5407}"/>
            </c:ext>
          </c:extLst>
        </c:ser>
        <c:dLbls>
          <c:showLegendKey val="0"/>
          <c:showVal val="0"/>
          <c:showCatName val="0"/>
          <c:showSerName val="0"/>
          <c:showPercent val="0"/>
          <c:showBubbleSize val="0"/>
        </c:dLbls>
        <c:axId val="983484256"/>
        <c:axId val="983484736"/>
      </c:scatterChart>
      <c:catAx>
        <c:axId val="983484256"/>
        <c:scaling>
          <c:orientation val="minMax"/>
        </c:scaling>
        <c:delete val="1"/>
        <c:axPos val="b"/>
        <c:numFmt formatCode="General" sourceLinked="1"/>
        <c:majorTickMark val="none"/>
        <c:minorTickMark val="none"/>
        <c:tickLblPos val="nextTo"/>
        <c:crossAx val="983484736"/>
        <c:crosses val="autoZero"/>
        <c:auto val="1"/>
        <c:lblAlgn val="ctr"/>
        <c:lblOffset val="100"/>
        <c:noMultiLvlLbl val="0"/>
      </c:catAx>
      <c:valAx>
        <c:axId val="983484736"/>
        <c:scaling>
          <c:orientation val="minMax"/>
          <c:min val="0"/>
        </c:scaling>
        <c:delete val="0"/>
        <c:axPos val="l"/>
        <c:majorGridlines>
          <c:spPr>
            <a:ln w="9525" cap="flat" cmpd="sng" algn="ctr">
              <a:solidFill>
                <a:srgbClr val="626DAE"/>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98348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010852324903"/>
          <c:y val="8.0808080808080815E-2"/>
          <c:w val="0.66366140746306046"/>
          <c:h val="0.80303030303030309"/>
        </c:manualLayout>
      </c:layout>
      <c:doughnutChart>
        <c:varyColors val="1"/>
        <c:ser>
          <c:idx val="0"/>
          <c:order val="0"/>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EC3C-4896-A513-2B02C5FB78B1}"/>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EC3C-4896-A513-2B02C5FB78B1}"/>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5-EC3C-4896-A513-2B02C5FB78B1}"/>
              </c:ext>
            </c:extLst>
          </c:dPt>
          <c:dPt>
            <c:idx val="3"/>
            <c:bubble3D val="0"/>
            <c:spPr>
              <a:noFill/>
              <a:ln w="19050">
                <a:noFill/>
              </a:ln>
              <a:effectLst/>
            </c:spPr>
            <c:extLst>
              <c:ext xmlns:c16="http://schemas.microsoft.com/office/drawing/2014/chart" uri="{C3380CC4-5D6E-409C-BE32-E72D297353CC}">
                <c16:uniqueId val="{00000007-EC3C-4896-A513-2B02C5FB78B1}"/>
              </c:ext>
            </c:extLst>
          </c:dPt>
          <c:cat>
            <c:strRef>
              <c:f>Processing!$J$2:$J$5</c:f>
              <c:strCache>
                <c:ptCount val="4"/>
                <c:pt idx="0">
                  <c:v>Referral</c:v>
                </c:pt>
                <c:pt idx="1">
                  <c:v>Social</c:v>
                </c:pt>
                <c:pt idx="2">
                  <c:v>Organic</c:v>
                </c:pt>
                <c:pt idx="3">
                  <c:v>Other</c:v>
                </c:pt>
              </c:strCache>
            </c:strRef>
          </c:cat>
          <c:val>
            <c:numRef>
              <c:f>Processing!$K$2:$K$5</c:f>
              <c:numCache>
                <c:formatCode>0%</c:formatCode>
                <c:ptCount val="4"/>
                <c:pt idx="0">
                  <c:v>0.16416666666666668</c:v>
                </c:pt>
                <c:pt idx="1">
                  <c:v>0.3675000000000001</c:v>
                </c:pt>
                <c:pt idx="2">
                  <c:v>0.17722222222222225</c:v>
                </c:pt>
                <c:pt idx="3">
                  <c:v>0.2911111111111111</c:v>
                </c:pt>
              </c:numCache>
            </c:numRef>
          </c:val>
          <c:extLst>
            <c:ext xmlns:c16="http://schemas.microsoft.com/office/drawing/2014/chart" uri="{C3380CC4-5D6E-409C-BE32-E72D297353CC}">
              <c16:uniqueId val="{00000008-EC3C-4896-A513-2B02C5FB78B1}"/>
            </c:ext>
          </c:extLst>
        </c:ser>
        <c:dLbls>
          <c:showLegendKey val="0"/>
          <c:showVal val="0"/>
          <c:showCatName val="0"/>
          <c:showSerName val="0"/>
          <c:showPercent val="0"/>
          <c:showBubbleSize val="0"/>
          <c:showLeaderLines val="1"/>
        </c:dLbls>
        <c:firstSliceAng val="0"/>
        <c:holeSize val="5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Processing!$L$7</c:f>
              <c:strCache>
                <c:ptCount val="1"/>
                <c:pt idx="0">
                  <c:v>Coverage</c:v>
                </c:pt>
              </c:strCache>
            </c:strRef>
          </c:tx>
          <c:spPr>
            <a:gradFill>
              <a:gsLst>
                <a:gs pos="32000">
                  <a:srgbClr val="00B0F0">
                    <a:alpha val="70000"/>
                  </a:srgbClr>
                </a:gs>
                <a:gs pos="0">
                  <a:srgbClr val="5DCBF4">
                    <a:alpha val="70000"/>
                  </a:srgbClr>
                </a:gs>
                <a:gs pos="77000">
                  <a:srgbClr val="CC72EA">
                    <a:alpha val="70000"/>
                  </a:srgbClr>
                </a:gs>
              </a:gsLst>
              <a:lin ang="8100000" scaled="1"/>
            </a:gradFill>
            <a:ln>
              <a:noFill/>
            </a:ln>
            <a:effectLst/>
          </c:spPr>
          <c:cat>
            <c:strRef>
              <c:f>Processing!$K$8:$K$15</c:f>
              <c:strCache>
                <c:ptCount val="8"/>
                <c:pt idx="0">
                  <c:v>N</c:v>
                </c:pt>
                <c:pt idx="1">
                  <c:v>NE</c:v>
                </c:pt>
                <c:pt idx="2">
                  <c:v>E</c:v>
                </c:pt>
                <c:pt idx="3">
                  <c:v>SE</c:v>
                </c:pt>
                <c:pt idx="4">
                  <c:v>S</c:v>
                </c:pt>
                <c:pt idx="5">
                  <c:v>SW</c:v>
                </c:pt>
                <c:pt idx="6">
                  <c:v>W</c:v>
                </c:pt>
                <c:pt idx="7">
                  <c:v>NW</c:v>
                </c:pt>
              </c:strCache>
            </c:strRef>
          </c:cat>
          <c:val>
            <c:numRef>
              <c:f>Processing!$L$8:$L$15</c:f>
              <c:numCache>
                <c:formatCode>0%</c:formatCode>
                <c:ptCount val="8"/>
                <c:pt idx="0">
                  <c:v>0.96666666666666667</c:v>
                </c:pt>
                <c:pt idx="1">
                  <c:v>0.95833333333333337</c:v>
                </c:pt>
                <c:pt idx="2">
                  <c:v>0.95000000000000007</c:v>
                </c:pt>
                <c:pt idx="3">
                  <c:v>0.94166666666666676</c:v>
                </c:pt>
                <c:pt idx="4">
                  <c:v>0.93333333333333346</c:v>
                </c:pt>
                <c:pt idx="5">
                  <c:v>0.91666666666666685</c:v>
                </c:pt>
                <c:pt idx="6">
                  <c:v>0.9</c:v>
                </c:pt>
                <c:pt idx="7">
                  <c:v>0.88333333333333341</c:v>
                </c:pt>
              </c:numCache>
            </c:numRef>
          </c:val>
          <c:extLst>
            <c:ext xmlns:c16="http://schemas.microsoft.com/office/drawing/2014/chart" uri="{C3380CC4-5D6E-409C-BE32-E72D297353CC}">
              <c16:uniqueId val="{00000000-27BF-4712-A333-557278BA3C11}"/>
            </c:ext>
          </c:extLst>
        </c:ser>
        <c:dLbls>
          <c:showLegendKey val="0"/>
          <c:showVal val="0"/>
          <c:showCatName val="0"/>
          <c:showSerName val="0"/>
          <c:showPercent val="0"/>
          <c:showBubbleSize val="0"/>
        </c:dLbls>
        <c:axId val="1338175392"/>
        <c:axId val="1338172992"/>
      </c:radarChart>
      <c:catAx>
        <c:axId val="133817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1338172992"/>
        <c:crosses val="autoZero"/>
        <c:auto val="1"/>
        <c:lblAlgn val="ctr"/>
        <c:lblOffset val="100"/>
        <c:noMultiLvlLbl val="0"/>
      </c:catAx>
      <c:valAx>
        <c:axId val="1338172992"/>
        <c:scaling>
          <c:orientation val="minMax"/>
          <c:max val="1"/>
          <c:min val="0"/>
        </c:scaling>
        <c:delete val="1"/>
        <c:axPos val="l"/>
        <c:majorGridlines>
          <c:spPr>
            <a:ln w="6350" cap="flat" cmpd="sng" algn="ctr">
              <a:solidFill>
                <a:srgbClr val="AEABFE"/>
              </a:solidFill>
              <a:round/>
            </a:ln>
            <a:effectLst/>
          </c:spPr>
        </c:majorGridlines>
        <c:numFmt formatCode="0%" sourceLinked="1"/>
        <c:majorTickMark val="out"/>
        <c:minorTickMark val="none"/>
        <c:tickLblPos val="nextTo"/>
        <c:crossAx val="1338175392"/>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0-6A69-4309-9773-F60E53B195AC}"/>
            </c:ext>
          </c:extLst>
        </c:ser>
        <c:ser>
          <c:idx val="1"/>
          <c:order val="1"/>
          <c:spPr>
            <a:solidFill>
              <a:schemeClr val="accent2"/>
            </a:solidFill>
            <a:ln w="127000">
              <a:gradFill flip="none" rotWithShape="1">
                <a:gsLst>
                  <a:gs pos="52000">
                    <a:srgbClr val="8278FC"/>
                  </a:gs>
                  <a:gs pos="0">
                    <a:srgbClr val="5DCBF4">
                      <a:lumMod val="97000"/>
                    </a:srgbClr>
                  </a:gs>
                  <a:gs pos="22000">
                    <a:srgbClr val="00B0F0"/>
                  </a:gs>
                  <a:gs pos="91000">
                    <a:srgbClr val="CC72EA"/>
                  </a:gs>
                </a:gsLst>
                <a:lin ang="8100000" scaled="1"/>
                <a:tileRect/>
              </a:gradFill>
            </a:ln>
            <a:effectLst/>
          </c:spPr>
          <c:invertIfNegative val="0"/>
          <c:val>
            <c:numRef>
              <c:f>Processing!$Q$2:$Q$5</c:f>
              <c:numCache>
                <c:formatCode>#\ ###\ ###</c:formatCode>
                <c:ptCount val="4"/>
                <c:pt idx="0">
                  <c:v>3873</c:v>
                </c:pt>
                <c:pt idx="1">
                  <c:v>9235</c:v>
                </c:pt>
                <c:pt idx="2">
                  <c:v>15418</c:v>
                </c:pt>
                <c:pt idx="3">
                  <c:v>21089</c:v>
                </c:pt>
              </c:numCache>
            </c:numRef>
          </c:val>
          <c:extLst>
            <c:ext xmlns:c16="http://schemas.microsoft.com/office/drawing/2014/chart" uri="{C3380CC4-5D6E-409C-BE32-E72D297353CC}">
              <c16:uniqueId val="{00000001-6A69-4309-9773-F60E53B195AC}"/>
            </c:ext>
          </c:extLst>
        </c:ser>
        <c:dLbls>
          <c:showLegendKey val="0"/>
          <c:showVal val="0"/>
          <c:showCatName val="0"/>
          <c:showSerName val="0"/>
          <c:showPercent val="0"/>
          <c:showBubbleSize val="0"/>
        </c:dLbls>
        <c:gapWidth val="220"/>
        <c:overlap val="100"/>
        <c:axId val="1015113280"/>
        <c:axId val="1015110400"/>
      </c:barChart>
      <c:barChart>
        <c:barDir val="col"/>
        <c:grouping val="stacked"/>
        <c:varyColors val="0"/>
        <c:ser>
          <c:idx val="2"/>
          <c:order val="2"/>
          <c:tx>
            <c:v>Indent Cursor</c:v>
          </c:tx>
          <c:spPr>
            <a:noFill/>
            <a:ln>
              <a:noFill/>
            </a:ln>
            <a:effectLst/>
          </c:spPr>
          <c:invertIfNegative val="0"/>
          <c:val>
            <c:numRef>
              <c:f>Processing!$P$2:$P$5</c:f>
              <c:numCache>
                <c:formatCode>General</c:formatCode>
                <c:ptCount val="4"/>
                <c:pt idx="0">
                  <c:v>843.56000000000006</c:v>
                </c:pt>
                <c:pt idx="1">
                  <c:v>843.56000000000006</c:v>
                </c:pt>
                <c:pt idx="2">
                  <c:v>843.56000000000006</c:v>
                </c:pt>
                <c:pt idx="3">
                  <c:v>843.56000000000006</c:v>
                </c:pt>
              </c:numCache>
            </c:numRef>
          </c:val>
          <c:extLst>
            <c:ext xmlns:c16="http://schemas.microsoft.com/office/drawing/2014/chart" uri="{C3380CC4-5D6E-409C-BE32-E72D297353CC}">
              <c16:uniqueId val="{00000002-6A69-4309-9773-F60E53B195AC}"/>
            </c:ext>
          </c:extLst>
        </c:ser>
        <c:ser>
          <c:idx val="3"/>
          <c:order val="3"/>
          <c:tx>
            <c:v>Cursor</c:v>
          </c:tx>
          <c:spPr>
            <a:solidFill>
              <a:srgbClr val="7D84FF"/>
            </a:solidFill>
            <a:ln w="127000">
              <a:gradFill>
                <a:gsLst>
                  <a:gs pos="68000">
                    <a:srgbClr val="F0ECFF"/>
                  </a:gs>
                  <a:gs pos="100000">
                    <a:srgbClr val="D6DCFE"/>
                  </a:gs>
                </a:gsLst>
                <a:lin ang="5400000" scaled="1"/>
              </a:gradFill>
            </a:ln>
            <a:effectLst>
              <a:outerShdw blurRad="50800" dist="38100" dir="8100000" algn="tr" rotWithShape="0">
                <a:prstClr val="black">
                  <a:alpha val="40000"/>
                </a:prstClr>
              </a:outerShdw>
            </a:effectLst>
          </c:spPr>
          <c:invertIfNegative val="0"/>
          <c:val>
            <c:numRef>
              <c:f>Processing!$R$2:$R$5</c:f>
              <c:numCache>
                <c:formatCode>#\ ###\ ###</c:formatCode>
                <c:ptCount val="4"/>
                <c:pt idx="0">
                  <c:v>#N/A</c:v>
                </c:pt>
                <c:pt idx="1">
                  <c:v>#N/A</c:v>
                </c:pt>
                <c:pt idx="2">
                  <c:v>#N/A</c:v>
                </c:pt>
                <c:pt idx="3">
                  <c:v>21089</c:v>
                </c:pt>
              </c:numCache>
            </c:numRef>
          </c:val>
          <c:extLst>
            <c:ext xmlns:c16="http://schemas.microsoft.com/office/drawing/2014/chart" uri="{C3380CC4-5D6E-409C-BE32-E72D297353CC}">
              <c16:uniqueId val="{00000003-6A69-4309-9773-F60E53B195AC}"/>
            </c:ext>
          </c:extLst>
        </c:ser>
        <c:dLbls>
          <c:showLegendKey val="0"/>
          <c:showVal val="0"/>
          <c:showCatName val="0"/>
          <c:showSerName val="0"/>
          <c:showPercent val="0"/>
          <c:showBubbleSize val="0"/>
        </c:dLbls>
        <c:gapWidth val="220"/>
        <c:overlap val="100"/>
        <c:axId val="1338170112"/>
        <c:axId val="1338171552"/>
      </c:barChart>
      <c:catAx>
        <c:axId val="1015113280"/>
        <c:scaling>
          <c:orientation val="minMax"/>
        </c:scaling>
        <c:delete val="1"/>
        <c:axPos val="b"/>
        <c:majorTickMark val="none"/>
        <c:minorTickMark val="none"/>
        <c:tickLblPos val="nextTo"/>
        <c:crossAx val="1015110400"/>
        <c:crosses val="autoZero"/>
        <c:auto val="1"/>
        <c:lblAlgn val="ctr"/>
        <c:lblOffset val="100"/>
        <c:noMultiLvlLbl val="0"/>
      </c:catAx>
      <c:valAx>
        <c:axId val="1015110400"/>
        <c:scaling>
          <c:orientation val="minMax"/>
        </c:scaling>
        <c:delete val="1"/>
        <c:axPos val="l"/>
        <c:numFmt formatCode="General" sourceLinked="1"/>
        <c:majorTickMark val="none"/>
        <c:minorTickMark val="none"/>
        <c:tickLblPos val="nextTo"/>
        <c:crossAx val="1015113280"/>
        <c:crosses val="autoZero"/>
        <c:crossBetween val="between"/>
      </c:valAx>
      <c:valAx>
        <c:axId val="1338171552"/>
        <c:scaling>
          <c:orientation val="minMax"/>
        </c:scaling>
        <c:delete val="1"/>
        <c:axPos val="r"/>
        <c:numFmt formatCode="General" sourceLinked="1"/>
        <c:majorTickMark val="out"/>
        <c:minorTickMark val="none"/>
        <c:tickLblPos val="nextTo"/>
        <c:crossAx val="1338170112"/>
        <c:crosses val="max"/>
        <c:crossBetween val="between"/>
      </c:valAx>
      <c:catAx>
        <c:axId val="1338170112"/>
        <c:scaling>
          <c:orientation val="minMax"/>
        </c:scaling>
        <c:delete val="1"/>
        <c:axPos val="b"/>
        <c:majorTickMark val="out"/>
        <c:minorTickMark val="none"/>
        <c:tickLblPos val="nextTo"/>
        <c:crossAx val="1338171552"/>
        <c:crosses val="autoZero"/>
        <c:auto val="1"/>
        <c:lblAlgn val="ctr"/>
        <c:lblOffset val="100"/>
        <c:noMultiLvlLbl val="0"/>
      </c:cat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solidFill>
            <a:ln>
              <a:noFill/>
            </a:ln>
          </c:spPr>
          <c:dPt>
            <c:idx val="0"/>
            <c:bubble3D val="0"/>
            <c:spPr>
              <a:solidFill>
                <a:srgbClr val="00B0F0"/>
              </a:solidFill>
              <a:ln w="19050">
                <a:noFill/>
              </a:ln>
              <a:effectLst/>
            </c:spPr>
            <c:extLst>
              <c:ext xmlns:c16="http://schemas.microsoft.com/office/drawing/2014/chart" uri="{C3380CC4-5D6E-409C-BE32-E72D297353CC}">
                <c16:uniqueId val="{00000001-8E7B-4743-9D07-DC8CF7B641E3}"/>
              </c:ext>
            </c:extLst>
          </c:dPt>
          <c:dPt>
            <c:idx val="1"/>
            <c:bubble3D val="0"/>
            <c:spPr>
              <a:solidFill>
                <a:schemeClr val="bg1"/>
              </a:solidFill>
              <a:ln w="19050">
                <a:noFill/>
              </a:ln>
              <a:effectLst/>
            </c:spPr>
            <c:extLst>
              <c:ext xmlns:c16="http://schemas.microsoft.com/office/drawing/2014/chart" uri="{C3380CC4-5D6E-409C-BE32-E72D297353CC}">
                <c16:uniqueId val="{00000003-8E7B-4743-9D07-DC8CF7B641E3}"/>
              </c:ext>
            </c:extLst>
          </c:dPt>
          <c:dPt>
            <c:idx val="2"/>
            <c:bubble3D val="0"/>
            <c:spPr>
              <a:solidFill>
                <a:srgbClr val="0070C0"/>
              </a:solidFill>
              <a:ln w="19050">
                <a:noFill/>
              </a:ln>
              <a:effectLst/>
            </c:spPr>
            <c:extLst>
              <c:ext xmlns:c16="http://schemas.microsoft.com/office/drawing/2014/chart" uri="{C3380CC4-5D6E-409C-BE32-E72D297353CC}">
                <c16:uniqueId val="{00000005-8E7B-4743-9D07-DC8CF7B641E3}"/>
              </c:ext>
            </c:extLst>
          </c:dPt>
          <c:dPt>
            <c:idx val="3"/>
            <c:bubble3D val="0"/>
            <c:spPr>
              <a:solidFill>
                <a:srgbClr val="00B0F0"/>
              </a:solidFill>
              <a:ln w="19050">
                <a:noFill/>
              </a:ln>
              <a:effectLst/>
            </c:spPr>
            <c:extLst>
              <c:ext xmlns:c16="http://schemas.microsoft.com/office/drawing/2014/chart" uri="{C3380CC4-5D6E-409C-BE32-E72D297353CC}">
                <c16:uniqueId val="{00000007-8E7B-4743-9D07-DC8CF7B641E3}"/>
              </c:ext>
            </c:extLst>
          </c:dPt>
          <c:val>
            <c:numRef>
              <c:f>Processing!$P$13:$P$16</c:f>
              <c:numCache>
                <c:formatCode>0%</c:formatCode>
                <c:ptCount val="4"/>
                <c:pt idx="0">
                  <c:v>0</c:v>
                </c:pt>
                <c:pt idx="1">
                  <c:v>0</c:v>
                </c:pt>
                <c:pt idx="2">
                  <c:v>0.12063749999999995</c:v>
                </c:pt>
                <c:pt idx="3">
                  <c:v>0.87936250000000005</c:v>
                </c:pt>
              </c:numCache>
            </c:numRef>
          </c:val>
          <c:extLst>
            <c:ext xmlns:c16="http://schemas.microsoft.com/office/drawing/2014/chart" uri="{C3380CC4-5D6E-409C-BE32-E72D297353CC}">
              <c16:uniqueId val="{00000008-8E7B-4743-9D07-DC8CF7B641E3}"/>
            </c:ext>
          </c:extLst>
        </c:ser>
        <c:dLbls>
          <c:showLegendKey val="0"/>
          <c:showVal val="0"/>
          <c:showCatName val="0"/>
          <c:showSerName val="0"/>
          <c:showPercent val="0"/>
          <c:showBubbleSize val="0"/>
          <c:showLeaderLines val="1"/>
        </c:dLbls>
        <c:firstSliceAng val="0"/>
        <c:holeSize val="9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Processing!$L$17</c:f>
              <c:strCache>
                <c:ptCount val="1"/>
                <c:pt idx="0">
                  <c:v>Referral</c:v>
                </c:pt>
              </c:strCache>
            </c:strRef>
          </c:tx>
          <c:spPr>
            <a:ln w="28575" cap="rnd">
              <a:gradFill>
                <a:gsLst>
                  <a:gs pos="0">
                    <a:srgbClr val="A62C97"/>
                  </a:gs>
                  <a:gs pos="100000">
                    <a:srgbClr val="D86ECC"/>
                  </a:gs>
                </a:gsLst>
                <a:lin ang="0" scaled="0"/>
              </a:gradFill>
              <a:round/>
            </a:ln>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Processing!$L$18:$L$29</c:f>
              <c:numCache>
                <c:formatCode>0%</c:formatCode>
                <c:ptCount val="12"/>
                <c:pt idx="0">
                  <c:v>0.13</c:v>
                </c:pt>
                <c:pt idx="1">
                  <c:v>0.21</c:v>
                </c:pt>
                <c:pt idx="2">
                  <c:v>0.18</c:v>
                </c:pt>
                <c:pt idx="3">
                  <c:v>7.0000000000000007E-2</c:v>
                </c:pt>
                <c:pt idx="4">
                  <c:v>0.12</c:v>
                </c:pt>
                <c:pt idx="5">
                  <c:v>0.25</c:v>
                </c:pt>
                <c:pt idx="6">
                  <c:v>0.18</c:v>
                </c:pt>
                <c:pt idx="7">
                  <c:v>0.18</c:v>
                </c:pt>
                <c:pt idx="8">
                  <c:v>0.23</c:v>
                </c:pt>
                <c:pt idx="9">
                  <c:v>0.18</c:v>
                </c:pt>
                <c:pt idx="10">
                  <c:v>0.12</c:v>
                </c:pt>
                <c:pt idx="11">
                  <c:v>0.12</c:v>
                </c:pt>
              </c:numCache>
            </c:numRef>
          </c:val>
          <c:smooth val="1"/>
          <c:extLst>
            <c:ext xmlns:c16="http://schemas.microsoft.com/office/drawing/2014/chart" uri="{C3380CC4-5D6E-409C-BE32-E72D297353CC}">
              <c16:uniqueId val="{00000000-266B-4ED5-AA95-F84D9F852A63}"/>
            </c:ext>
          </c:extLst>
        </c:ser>
        <c:ser>
          <c:idx val="1"/>
          <c:order val="1"/>
          <c:tx>
            <c:strRef>
              <c:f>Processing!$M$17</c:f>
              <c:strCache>
                <c:ptCount val="1"/>
                <c:pt idx="0">
                  <c:v>Social</c:v>
                </c:pt>
              </c:strCache>
            </c:strRef>
          </c:tx>
          <c:spPr>
            <a:ln w="28575" cap="rnd">
              <a:gradFill>
                <a:gsLst>
                  <a:gs pos="0">
                    <a:srgbClr val="4077E3">
                      <a:lumMod val="98000"/>
                    </a:srgbClr>
                  </a:gs>
                  <a:gs pos="100000">
                    <a:srgbClr val="61A7F5"/>
                  </a:gs>
                </a:gsLst>
                <a:lin ang="0" scaled="0"/>
              </a:gradFill>
              <a:round/>
            </a:ln>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Processing!$M$18:$M$29</c:f>
              <c:numCache>
                <c:formatCode>0%</c:formatCode>
                <c:ptCount val="12"/>
                <c:pt idx="0">
                  <c:v>0.31</c:v>
                </c:pt>
                <c:pt idx="1">
                  <c:v>0.44</c:v>
                </c:pt>
                <c:pt idx="2">
                  <c:v>0.27</c:v>
                </c:pt>
                <c:pt idx="3">
                  <c:v>0.47</c:v>
                </c:pt>
                <c:pt idx="4">
                  <c:v>0.44</c:v>
                </c:pt>
                <c:pt idx="5">
                  <c:v>0.38</c:v>
                </c:pt>
                <c:pt idx="6">
                  <c:v>0.48</c:v>
                </c:pt>
                <c:pt idx="7">
                  <c:v>0.43</c:v>
                </c:pt>
                <c:pt idx="8">
                  <c:v>0.43</c:v>
                </c:pt>
                <c:pt idx="9">
                  <c:v>0.2</c:v>
                </c:pt>
                <c:pt idx="10">
                  <c:v>0.33</c:v>
                </c:pt>
                <c:pt idx="11">
                  <c:v>0.23</c:v>
                </c:pt>
              </c:numCache>
            </c:numRef>
          </c:val>
          <c:smooth val="1"/>
          <c:extLst>
            <c:ext xmlns:c16="http://schemas.microsoft.com/office/drawing/2014/chart" uri="{C3380CC4-5D6E-409C-BE32-E72D297353CC}">
              <c16:uniqueId val="{00000001-266B-4ED5-AA95-F84D9F852A63}"/>
            </c:ext>
          </c:extLst>
        </c:ser>
        <c:ser>
          <c:idx val="2"/>
          <c:order val="2"/>
          <c:tx>
            <c:strRef>
              <c:f>Processing!$N$17</c:f>
              <c:strCache>
                <c:ptCount val="1"/>
                <c:pt idx="0">
                  <c:v>Organic</c:v>
                </c:pt>
              </c:strCache>
            </c:strRef>
          </c:tx>
          <c:spPr>
            <a:ln w="28575" cap="rnd">
              <a:gradFill>
                <a:gsLst>
                  <a:gs pos="0">
                    <a:srgbClr val="5A4EBD"/>
                  </a:gs>
                  <a:gs pos="100000">
                    <a:srgbClr val="8070E2"/>
                  </a:gs>
                </a:gsLst>
                <a:lin ang="0" scaled="0"/>
              </a:gradFill>
              <a:round/>
            </a:ln>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Processing!$N$18:$N$29</c:f>
              <c:numCache>
                <c:formatCode>0%</c:formatCode>
                <c:ptCount val="12"/>
                <c:pt idx="0">
                  <c:v>0.14666666666666667</c:v>
                </c:pt>
                <c:pt idx="1">
                  <c:v>0.21666666666666667</c:v>
                </c:pt>
                <c:pt idx="2">
                  <c:v>0.15</c:v>
                </c:pt>
                <c:pt idx="3">
                  <c:v>0.18000000000000002</c:v>
                </c:pt>
                <c:pt idx="4">
                  <c:v>0.18666666666666668</c:v>
                </c:pt>
                <c:pt idx="5">
                  <c:v>0.21</c:v>
                </c:pt>
                <c:pt idx="6">
                  <c:v>0.21999999999999997</c:v>
                </c:pt>
                <c:pt idx="7">
                  <c:v>0.20333333333333334</c:v>
                </c:pt>
                <c:pt idx="8">
                  <c:v>0.22</c:v>
                </c:pt>
                <c:pt idx="9">
                  <c:v>0.12666666666666668</c:v>
                </c:pt>
                <c:pt idx="10">
                  <c:v>0.15</c:v>
                </c:pt>
                <c:pt idx="11">
                  <c:v>0.11666666666666665</c:v>
                </c:pt>
              </c:numCache>
            </c:numRef>
          </c:val>
          <c:smooth val="1"/>
          <c:extLst>
            <c:ext xmlns:c16="http://schemas.microsoft.com/office/drawing/2014/chart" uri="{C3380CC4-5D6E-409C-BE32-E72D297353CC}">
              <c16:uniqueId val="{00000002-266B-4ED5-AA95-F84D9F852A63}"/>
            </c:ext>
          </c:extLst>
        </c:ser>
        <c:ser>
          <c:idx val="3"/>
          <c:order val="3"/>
          <c:tx>
            <c:strRef>
              <c:f>Processing!$O$17</c:f>
              <c:strCache>
                <c:ptCount val="1"/>
                <c:pt idx="0">
                  <c:v>Other</c:v>
                </c:pt>
              </c:strCache>
            </c:strRef>
          </c:tx>
          <c:spPr>
            <a:ln w="28575" cap="rnd">
              <a:gradFill>
                <a:gsLst>
                  <a:gs pos="1000">
                    <a:srgbClr val="49375B"/>
                  </a:gs>
                  <a:gs pos="100000">
                    <a:srgbClr val="977DB1"/>
                  </a:gs>
                </a:gsLst>
                <a:lin ang="0" scaled="0"/>
              </a:gradFill>
              <a:round/>
            </a:ln>
            <a:effectLst/>
          </c:spPr>
          <c:marker>
            <c:symbol val="none"/>
          </c:marker>
          <c:cat>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Processing!$O$18:$O$29</c:f>
              <c:numCache>
                <c:formatCode>0%</c:formatCode>
                <c:ptCount val="12"/>
                <c:pt idx="0">
                  <c:v>0.41333333333333333</c:v>
                </c:pt>
                <c:pt idx="1">
                  <c:v>0.1333333333333333</c:v>
                </c:pt>
                <c:pt idx="2">
                  <c:v>0.4</c:v>
                </c:pt>
                <c:pt idx="3">
                  <c:v>0.27999999999999992</c:v>
                </c:pt>
                <c:pt idx="4">
                  <c:v>0.2533333333333333</c:v>
                </c:pt>
                <c:pt idx="5">
                  <c:v>0.16000000000000003</c:v>
                </c:pt>
                <c:pt idx="6">
                  <c:v>0.12000000000000011</c:v>
                </c:pt>
                <c:pt idx="7">
                  <c:v>0.18666666666666665</c:v>
                </c:pt>
                <c:pt idx="8">
                  <c:v>0.12</c:v>
                </c:pt>
                <c:pt idx="9">
                  <c:v>0.49333333333333329</c:v>
                </c:pt>
                <c:pt idx="10">
                  <c:v>0.4</c:v>
                </c:pt>
                <c:pt idx="11">
                  <c:v>0.53333333333333344</c:v>
                </c:pt>
              </c:numCache>
            </c:numRef>
          </c:val>
          <c:smooth val="1"/>
          <c:extLst>
            <c:ext xmlns:c16="http://schemas.microsoft.com/office/drawing/2014/chart" uri="{C3380CC4-5D6E-409C-BE32-E72D297353CC}">
              <c16:uniqueId val="{00000003-266B-4ED5-AA95-F84D9F852A63}"/>
            </c:ext>
          </c:extLst>
        </c:ser>
        <c:dLbls>
          <c:showLegendKey val="0"/>
          <c:showVal val="0"/>
          <c:showCatName val="0"/>
          <c:showSerName val="0"/>
          <c:showPercent val="0"/>
          <c:showBubbleSize val="0"/>
        </c:dLbls>
        <c:marker val="1"/>
        <c:smooth val="0"/>
        <c:axId val="983484256"/>
        <c:axId val="983484736"/>
      </c:lineChart>
      <c:scatterChart>
        <c:scatterStyle val="lineMarker"/>
        <c:varyColors val="0"/>
        <c:ser>
          <c:idx val="4"/>
          <c:order val="4"/>
          <c:tx>
            <c:strRef>
              <c:f>Processing!$P$17</c:f>
              <c:strCache>
                <c:ptCount val="1"/>
                <c:pt idx="0">
                  <c:v>Cursor</c:v>
                </c:pt>
              </c:strCache>
            </c:strRef>
          </c:tx>
          <c:spPr>
            <a:ln w="25400" cap="rnd">
              <a:noFill/>
              <a:round/>
            </a:ln>
            <a:effectLst/>
          </c:spPr>
          <c:marker>
            <c:symbol val="circle"/>
            <c:size val="5"/>
            <c:spPr>
              <a:solidFill>
                <a:schemeClr val="tx1">
                  <a:lumMod val="65000"/>
                  <a:lumOff val="35000"/>
                </a:schemeClr>
              </a:solidFill>
              <a:ln w="9525">
                <a:noFill/>
              </a:ln>
              <a:effectLst/>
            </c:spPr>
          </c:marker>
          <c:errBars>
            <c:errDir val="y"/>
            <c:errBarType val="minus"/>
            <c:errValType val="cust"/>
            <c:noEndCap val="0"/>
            <c:plus>
              <c:numLit>
                <c:formatCode>General</c:formatCode>
                <c:ptCount val="1"/>
                <c:pt idx="0">
                  <c:v>1</c:v>
                </c:pt>
              </c:numLit>
            </c:plus>
            <c:minus>
              <c:numRef>
                <c:f>Processing!$P$18:$P$29</c:f>
                <c:numCache>
                  <c:formatCode>General</c:formatCode>
                  <c:ptCount val="12"/>
                  <c:pt idx="0">
                    <c:v>0.63333333333333341</c:v>
                  </c:pt>
                  <c:pt idx="1">
                    <c:v>0.63333333333333341</c:v>
                  </c:pt>
                  <c:pt idx="2">
                    <c:v>0.63333333333333341</c:v>
                  </c:pt>
                  <c:pt idx="3">
                    <c:v>0.63333333333333341</c:v>
                  </c:pt>
                  <c:pt idx="4">
                    <c:v>0.63333333333333341</c:v>
                  </c:pt>
                  <c:pt idx="5">
                    <c:v>0.63333333333333341</c:v>
                  </c:pt>
                  <c:pt idx="6">
                    <c:v>0.63333333333333341</c:v>
                  </c:pt>
                  <c:pt idx="7">
                    <c:v>0.63333333333333341</c:v>
                  </c:pt>
                  <c:pt idx="8">
                    <c:v>0.63333333333333341</c:v>
                  </c:pt>
                  <c:pt idx="9">
                    <c:v>0.63333333333333341</c:v>
                  </c:pt>
                  <c:pt idx="10">
                    <c:v>0.63333333333333341</c:v>
                  </c:pt>
                  <c:pt idx="11">
                    <c:v>0.63333333333333341</c:v>
                  </c:pt>
                </c:numCache>
              </c:numRef>
            </c:minus>
            <c:spPr>
              <a:noFill/>
              <a:ln w="9525" cap="flat" cmpd="sng" algn="ctr">
                <a:solidFill>
                  <a:schemeClr val="tx1"/>
                </a:solidFill>
                <a:round/>
              </a:ln>
              <a:effectLst/>
            </c:spPr>
          </c:errBars>
          <c:xVal>
            <c:strRef>
              <c:f>Processing!$K$18:$K$29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Processing!$P$18:$P$29</c:f>
              <c:numCache>
                <c:formatCode>0%</c:formatCode>
                <c:ptCount val="12"/>
                <c:pt idx="0">
                  <c:v>0.63333333333333341</c:v>
                </c:pt>
                <c:pt idx="1">
                  <c:v>0.63333333333333341</c:v>
                </c:pt>
                <c:pt idx="2">
                  <c:v>0.63333333333333341</c:v>
                </c:pt>
                <c:pt idx="3">
                  <c:v>0.63333333333333341</c:v>
                </c:pt>
                <c:pt idx="4">
                  <c:v>0.63333333333333341</c:v>
                </c:pt>
                <c:pt idx="5">
                  <c:v>0.63333333333333341</c:v>
                </c:pt>
                <c:pt idx="6">
                  <c:v>0.63333333333333341</c:v>
                </c:pt>
                <c:pt idx="7">
                  <c:v>0.63333333333333341</c:v>
                </c:pt>
                <c:pt idx="8">
                  <c:v>0.63333333333333341</c:v>
                </c:pt>
                <c:pt idx="9">
                  <c:v>0.63333333333333341</c:v>
                </c:pt>
                <c:pt idx="10">
                  <c:v>0.63333333333333341</c:v>
                </c:pt>
                <c:pt idx="11">
                  <c:v>0.63333333333333341</c:v>
                </c:pt>
              </c:numCache>
            </c:numRef>
          </c:yVal>
          <c:smooth val="0"/>
          <c:extLst>
            <c:ext xmlns:c16="http://schemas.microsoft.com/office/drawing/2014/chart" uri="{C3380CC4-5D6E-409C-BE32-E72D297353CC}">
              <c16:uniqueId val="{00000004-266B-4ED5-AA95-F84D9F852A63}"/>
            </c:ext>
          </c:extLst>
        </c:ser>
        <c:dLbls>
          <c:showLegendKey val="0"/>
          <c:showVal val="0"/>
          <c:showCatName val="0"/>
          <c:showSerName val="0"/>
          <c:showPercent val="0"/>
          <c:showBubbleSize val="0"/>
        </c:dLbls>
        <c:axId val="983484256"/>
        <c:axId val="983484736"/>
      </c:scatterChart>
      <c:catAx>
        <c:axId val="983484256"/>
        <c:scaling>
          <c:orientation val="minMax"/>
        </c:scaling>
        <c:delete val="1"/>
        <c:axPos val="b"/>
        <c:numFmt formatCode="General" sourceLinked="1"/>
        <c:majorTickMark val="none"/>
        <c:minorTickMark val="none"/>
        <c:tickLblPos val="nextTo"/>
        <c:crossAx val="983484736"/>
        <c:crosses val="autoZero"/>
        <c:auto val="1"/>
        <c:lblAlgn val="ctr"/>
        <c:lblOffset val="100"/>
        <c:noMultiLvlLbl val="0"/>
      </c:catAx>
      <c:valAx>
        <c:axId val="983484736"/>
        <c:scaling>
          <c:orientation val="minMax"/>
          <c:min val="0"/>
        </c:scaling>
        <c:delete val="0"/>
        <c:axPos val="l"/>
        <c:majorGridlines>
          <c:spPr>
            <a:ln w="9525" cap="flat" cmpd="sng" algn="ctr">
              <a:solidFill>
                <a:srgbClr val="626DAE"/>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98348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Processing!$H$1" lockText="1" noThreeD="1"/>
</file>

<file path=xl/ctrlProps/ctrlProp2.xml><?xml version="1.0" encoding="utf-8"?>
<formControlPr xmlns="http://schemas.microsoft.com/office/spreadsheetml/2009/9/main" objectType="CheckBox" checked="Checked" fmlaLink="Processing!$H$1" lockText="1" noThreeD="1"/>
</file>

<file path=xl/ctrlProps/ctrlProp3.xml><?xml version="1.0" encoding="utf-8"?>
<formControlPr xmlns="http://schemas.microsoft.com/office/spreadsheetml/2009/9/main" objectType="CheckBox" checked="Checked" fmlaLink="Processing!$H$1" lockText="1" noThreeD="1"/>
</file>

<file path=xl/ctrlProps/ctrlProp4.xml><?xml version="1.0" encoding="utf-8"?>
<formControlPr xmlns="http://schemas.microsoft.com/office/spreadsheetml/2009/9/main" objectType="CheckBox" checked="Checked" fmlaLink="Processing!$H$1" lockText="1" noThreeD="1"/>
</file>

<file path=xl/ctrlProps/ctrlProp5.xml><?xml version="1.0" encoding="utf-8"?>
<formControlPr xmlns="http://schemas.microsoft.com/office/spreadsheetml/2009/9/main" objectType="CheckBox" checked="Checked" fmlaLink="Processing!$H$1" lockText="1" noThreeD="1"/>
</file>

<file path=xl/ctrlProps/ctrlProp6.xml><?xml version="1.0" encoding="utf-8"?>
<formControlPr xmlns="http://schemas.microsoft.com/office/spreadsheetml/2009/9/main" objectType="CheckBox" checked="Checked" fmlaLink="Processing!$H$1" lockText="1" noThreeD="1"/>
</file>

<file path=xl/ctrlProps/ctrlProp7.xml><?xml version="1.0" encoding="utf-8"?>
<formControlPr xmlns="http://schemas.microsoft.com/office/spreadsheetml/2009/9/main" objectType="CheckBox" checked="Checked" fmlaLink="Processing!$H$1" lockText="1" noThreeD="1"/>
</file>

<file path=xl/ctrlProps/ctrlProp8.xml><?xml version="1.0" encoding="utf-8"?>
<formControlPr xmlns="http://schemas.microsoft.com/office/spreadsheetml/2009/9/main" objectType="CheckBox" checked="Checked" fmlaLink="Processing!$H$1" lockText="1" noThreeD="1"/>
</file>

<file path=xl/ctrlProps/ctrlProp9.xml><?xml version="1.0" encoding="utf-8"?>
<formControlPr xmlns="http://schemas.microsoft.com/office/spreadsheetml/2009/9/main" objectType="CheckBox" checked="Checked" fmlaLink="Processing!$H$1" lockText="1" noThreeD="1"/>
</file>

<file path=xl/ctrlProps/ctrlProp10.xml><?xml version="1.0" encoding="utf-8"?>
<formControlPr xmlns="http://schemas.microsoft.com/office/spreadsheetml/2009/9/main" objectType="CheckBox" checked="Checked" fmlaLink="Processing!$H$1" lockText="1" noThreeD="1"/>
</file>

<file path=xl/ctrlProps/ctrlProp11.xml><?xml version="1.0" encoding="utf-8"?>
<formControlPr xmlns="http://schemas.microsoft.com/office/spreadsheetml/2009/9/main" objectType="CheckBox" checked="Checked" fmlaLink="Processing!$H$1" lockText="1" noThreeD="1"/>
</file>

<file path=xl/ctrlProps/ctrlProp12.xml><?xml version="1.0" encoding="utf-8"?>
<formControlPr xmlns="http://schemas.microsoft.com/office/spreadsheetml/2009/9/main" objectType="CheckBox" checked="Checked" fmlaLink="Processing!$H$1" lockText="1" noThreeD="1"/>
</file>

<file path=xl/drawings/_rels/drawing1.xml.rels><?xml version="1.0" encoding="UTF-8" standalone="yes"?>
<Relationships xmlns="http://schemas.openxmlformats.org/package/2006/relationships"><Relationship Id="rId8" Type="http://schemas.openxmlformats.org/officeDocument/2006/relationships/hyperlink" Target="#Sales!A1"/><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hyperlink" Target="#'DASHBOARD Light'!A1"/><Relationship Id="rId17"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5.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Coverage!A1"/><Relationship Id="rId5" Type="http://schemas.openxmlformats.org/officeDocument/2006/relationships/chart" Target="../charts/chart5.xml"/><Relationship Id="rId15" Type="http://schemas.openxmlformats.org/officeDocument/2006/relationships/hyperlink" Target="#'DASHBOARD Bright'!A1"/><Relationship Id="rId10" Type="http://schemas.openxmlformats.org/officeDocument/2006/relationships/hyperlink" Target="#Tariffs!A1"/><Relationship Id="rId4" Type="http://schemas.openxmlformats.org/officeDocument/2006/relationships/chart" Target="../charts/chart4.xml"/><Relationship Id="rId9" Type="http://schemas.openxmlformats.org/officeDocument/2006/relationships/hyperlink" Target="#Traffic!A1"/><Relationship Id="rId14"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hyperlink" Target="#'Sales Light'!A1"/><Relationship Id="rId13" Type="http://schemas.openxmlformats.org/officeDocument/2006/relationships/image" Target="../media/image7.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hyperlink" Target="#DASHBOARD!A1"/><Relationship Id="rId17" Type="http://schemas.openxmlformats.org/officeDocument/2006/relationships/image" Target="../media/image6.svg"/><Relationship Id="rId2" Type="http://schemas.openxmlformats.org/officeDocument/2006/relationships/chart" Target="../charts/chart9.xml"/><Relationship Id="rId16" Type="http://schemas.openxmlformats.org/officeDocument/2006/relationships/image" Target="../media/image5.pn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hyperlink" Target="#'Coverage Light'!A1"/><Relationship Id="rId5" Type="http://schemas.openxmlformats.org/officeDocument/2006/relationships/chart" Target="../charts/chart12.xml"/><Relationship Id="rId15" Type="http://schemas.openxmlformats.org/officeDocument/2006/relationships/hyperlink" Target="#'DASHBOARD Bright'!A1"/><Relationship Id="rId10" Type="http://schemas.openxmlformats.org/officeDocument/2006/relationships/hyperlink" Target="#'Tariffs Light'!A1"/><Relationship Id="rId4" Type="http://schemas.openxmlformats.org/officeDocument/2006/relationships/chart" Target="../charts/chart11.xml"/><Relationship Id="rId9" Type="http://schemas.openxmlformats.org/officeDocument/2006/relationships/hyperlink" Target="#'Traffic Light'!A1"/><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Sales Bright'!A1"/><Relationship Id="rId13" Type="http://schemas.openxmlformats.org/officeDocument/2006/relationships/hyperlink" Target="#DASHBOARD!A1"/><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hyperlink" Target="#'DASHBOARD Light'!A1"/><Relationship Id="rId17" Type="http://schemas.openxmlformats.org/officeDocument/2006/relationships/image" Target="../media/image10.svg"/><Relationship Id="rId2" Type="http://schemas.openxmlformats.org/officeDocument/2006/relationships/chart" Target="../charts/chart16.xml"/><Relationship Id="rId16" Type="http://schemas.openxmlformats.org/officeDocument/2006/relationships/image" Target="../media/image9.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hyperlink" Target="#'Coverage Bright'!A1"/><Relationship Id="rId5" Type="http://schemas.openxmlformats.org/officeDocument/2006/relationships/chart" Target="../charts/chart19.xml"/><Relationship Id="rId15" Type="http://schemas.openxmlformats.org/officeDocument/2006/relationships/image" Target="../media/image8.svg"/><Relationship Id="rId10" Type="http://schemas.openxmlformats.org/officeDocument/2006/relationships/hyperlink" Target="#'Tariffs Bright'!A1"/><Relationship Id="rId4" Type="http://schemas.openxmlformats.org/officeDocument/2006/relationships/chart" Target="../charts/chart18.xml"/><Relationship Id="rId9" Type="http://schemas.openxmlformats.org/officeDocument/2006/relationships/hyperlink" Target="#'Traffic Bright'!A1"/><Relationship Id="rId14"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hyperlink" Target="#Traffic!A1"/><Relationship Id="rId13" Type="http://schemas.openxmlformats.org/officeDocument/2006/relationships/image" Target="../media/image4.svg"/><Relationship Id="rId3" Type="http://schemas.openxmlformats.org/officeDocument/2006/relationships/chart" Target="../charts/chart24.xml"/><Relationship Id="rId7" Type="http://schemas.openxmlformats.org/officeDocument/2006/relationships/hyperlink" Target="#DASHBOARD!A1"/><Relationship Id="rId12" Type="http://schemas.openxmlformats.org/officeDocument/2006/relationships/image" Target="../media/image3.png"/><Relationship Id="rId2" Type="http://schemas.openxmlformats.org/officeDocument/2006/relationships/chart" Target="../charts/chart23.xml"/><Relationship Id="rId16" Type="http://schemas.openxmlformats.org/officeDocument/2006/relationships/image" Target="../media/image6.svg"/><Relationship Id="rId1" Type="http://schemas.openxmlformats.org/officeDocument/2006/relationships/chart" Target="../charts/chart22.xml"/><Relationship Id="rId6" Type="http://schemas.openxmlformats.org/officeDocument/2006/relationships/chart" Target="../charts/chart27.xml"/><Relationship Id="rId11" Type="http://schemas.openxmlformats.org/officeDocument/2006/relationships/hyperlink" Target="#'Sales Light'!A1"/><Relationship Id="rId5" Type="http://schemas.openxmlformats.org/officeDocument/2006/relationships/chart" Target="../charts/chart26.xml"/><Relationship Id="rId15" Type="http://schemas.openxmlformats.org/officeDocument/2006/relationships/image" Target="../media/image5.png"/><Relationship Id="rId10" Type="http://schemas.openxmlformats.org/officeDocument/2006/relationships/hyperlink" Target="#Coverage!A1"/><Relationship Id="rId4" Type="http://schemas.openxmlformats.org/officeDocument/2006/relationships/chart" Target="../charts/chart25.xml"/><Relationship Id="rId9" Type="http://schemas.openxmlformats.org/officeDocument/2006/relationships/hyperlink" Target="#Tariffs!A1"/><Relationship Id="rId14" Type="http://schemas.openxmlformats.org/officeDocument/2006/relationships/hyperlink" Target="#'Sales Bright'!A1"/></Relationships>
</file>

<file path=xl/drawings/_rels/drawing5.xml.rels><?xml version="1.0" encoding="UTF-8" standalone="yes"?>
<Relationships xmlns="http://schemas.openxmlformats.org/package/2006/relationships"><Relationship Id="rId8" Type="http://schemas.openxmlformats.org/officeDocument/2006/relationships/hyperlink" Target="#'Traffic Light'!A1"/><Relationship Id="rId13" Type="http://schemas.openxmlformats.org/officeDocument/2006/relationships/image" Target="../media/image7.png"/><Relationship Id="rId3" Type="http://schemas.openxmlformats.org/officeDocument/2006/relationships/chart" Target="../charts/chart30.xml"/><Relationship Id="rId7" Type="http://schemas.openxmlformats.org/officeDocument/2006/relationships/hyperlink" Target="#'Sales Light'!A1"/><Relationship Id="rId12" Type="http://schemas.openxmlformats.org/officeDocument/2006/relationships/hyperlink" Target="#Sales!A1"/><Relationship Id="rId17" Type="http://schemas.openxmlformats.org/officeDocument/2006/relationships/image" Target="../media/image6.svg"/><Relationship Id="rId2" Type="http://schemas.openxmlformats.org/officeDocument/2006/relationships/chart" Target="../charts/chart29.xml"/><Relationship Id="rId16" Type="http://schemas.openxmlformats.org/officeDocument/2006/relationships/image" Target="../media/image5.png"/><Relationship Id="rId1" Type="http://schemas.openxmlformats.org/officeDocument/2006/relationships/chart" Target="../charts/chart28.xml"/><Relationship Id="rId6" Type="http://schemas.openxmlformats.org/officeDocument/2006/relationships/chart" Target="../charts/chart33.xml"/><Relationship Id="rId11" Type="http://schemas.openxmlformats.org/officeDocument/2006/relationships/hyperlink" Target="#'DASHBOARD Light'!A1"/><Relationship Id="rId5" Type="http://schemas.openxmlformats.org/officeDocument/2006/relationships/chart" Target="../charts/chart32.xml"/><Relationship Id="rId15" Type="http://schemas.openxmlformats.org/officeDocument/2006/relationships/hyperlink" Target="#'Sales Bright'!A1"/><Relationship Id="rId10" Type="http://schemas.openxmlformats.org/officeDocument/2006/relationships/hyperlink" Target="#'Coverage Light'!A1"/><Relationship Id="rId4" Type="http://schemas.openxmlformats.org/officeDocument/2006/relationships/chart" Target="../charts/chart31.xml"/><Relationship Id="rId9" Type="http://schemas.openxmlformats.org/officeDocument/2006/relationships/hyperlink" Target="#'Tariffs Light'!A1"/><Relationship Id="rId14" Type="http://schemas.openxmlformats.org/officeDocument/2006/relationships/image" Target="../media/image8.svg"/></Relationships>
</file>

<file path=xl/drawings/_rels/drawing6.xml.rels><?xml version="1.0" encoding="UTF-8" standalone="yes"?>
<Relationships xmlns="http://schemas.openxmlformats.org/package/2006/relationships"><Relationship Id="rId8" Type="http://schemas.openxmlformats.org/officeDocument/2006/relationships/hyperlink" Target="#'Traffic Bright'!A1"/><Relationship Id="rId13" Type="http://schemas.openxmlformats.org/officeDocument/2006/relationships/hyperlink" Target="#Sales!A1"/><Relationship Id="rId3" Type="http://schemas.openxmlformats.org/officeDocument/2006/relationships/chart" Target="../charts/chart36.xml"/><Relationship Id="rId7" Type="http://schemas.openxmlformats.org/officeDocument/2006/relationships/hyperlink" Target="#'Sales Bright'!A1"/><Relationship Id="rId12" Type="http://schemas.openxmlformats.org/officeDocument/2006/relationships/hyperlink" Target="#'Sales Light'!A1"/><Relationship Id="rId17" Type="http://schemas.openxmlformats.org/officeDocument/2006/relationships/image" Target="../media/image10.svg"/><Relationship Id="rId2" Type="http://schemas.openxmlformats.org/officeDocument/2006/relationships/chart" Target="../charts/chart35.xml"/><Relationship Id="rId16" Type="http://schemas.openxmlformats.org/officeDocument/2006/relationships/image" Target="../media/image9.png"/><Relationship Id="rId1" Type="http://schemas.openxmlformats.org/officeDocument/2006/relationships/chart" Target="../charts/chart34.xml"/><Relationship Id="rId6" Type="http://schemas.openxmlformats.org/officeDocument/2006/relationships/chart" Target="../charts/chart39.xml"/><Relationship Id="rId11" Type="http://schemas.openxmlformats.org/officeDocument/2006/relationships/hyperlink" Target="#'DASHBOARD Bright'!A1"/><Relationship Id="rId5" Type="http://schemas.openxmlformats.org/officeDocument/2006/relationships/chart" Target="../charts/chart38.xml"/><Relationship Id="rId15" Type="http://schemas.openxmlformats.org/officeDocument/2006/relationships/image" Target="../media/image8.svg"/><Relationship Id="rId10" Type="http://schemas.openxmlformats.org/officeDocument/2006/relationships/hyperlink" Target="#'Coverage Bright'!A1"/><Relationship Id="rId4" Type="http://schemas.openxmlformats.org/officeDocument/2006/relationships/chart" Target="../charts/chart37.xml"/><Relationship Id="rId9" Type="http://schemas.openxmlformats.org/officeDocument/2006/relationships/hyperlink" Target="#'Tariffs Bright'!A1"/><Relationship Id="rId14" Type="http://schemas.openxmlformats.org/officeDocument/2006/relationships/image" Target="../media/image7.png"/></Relationships>
</file>

<file path=xl/drawings/_rels/drawing7.xml.rels><?xml version="1.0" encoding="UTF-8" standalone="yes"?>
<Relationships xmlns="http://schemas.openxmlformats.org/package/2006/relationships"><Relationship Id="rId8" Type="http://schemas.openxmlformats.org/officeDocument/2006/relationships/hyperlink" Target="#Traffic!A1"/><Relationship Id="rId13" Type="http://schemas.openxmlformats.org/officeDocument/2006/relationships/image" Target="../media/image3.png"/><Relationship Id="rId3" Type="http://schemas.openxmlformats.org/officeDocument/2006/relationships/chart" Target="../charts/chart42.xml"/><Relationship Id="rId7" Type="http://schemas.openxmlformats.org/officeDocument/2006/relationships/hyperlink" Target="#Sales!A1"/><Relationship Id="rId12" Type="http://schemas.openxmlformats.org/officeDocument/2006/relationships/hyperlink" Target="#'Tariffs Light'!A1"/><Relationship Id="rId17" Type="http://schemas.openxmlformats.org/officeDocument/2006/relationships/image" Target="../media/image6.svg"/><Relationship Id="rId2" Type="http://schemas.openxmlformats.org/officeDocument/2006/relationships/chart" Target="../charts/chart41.xml"/><Relationship Id="rId16" Type="http://schemas.openxmlformats.org/officeDocument/2006/relationships/image" Target="../media/image5.png"/><Relationship Id="rId1" Type="http://schemas.openxmlformats.org/officeDocument/2006/relationships/chart" Target="../charts/chart40.xml"/><Relationship Id="rId6" Type="http://schemas.openxmlformats.org/officeDocument/2006/relationships/chart" Target="../charts/chart45.xml"/><Relationship Id="rId11" Type="http://schemas.openxmlformats.org/officeDocument/2006/relationships/hyperlink" Target="#DASHBOARD!A1"/><Relationship Id="rId5" Type="http://schemas.openxmlformats.org/officeDocument/2006/relationships/chart" Target="../charts/chart44.xml"/><Relationship Id="rId15" Type="http://schemas.openxmlformats.org/officeDocument/2006/relationships/hyperlink" Target="#'Tariffs Bright'!A1"/><Relationship Id="rId10" Type="http://schemas.openxmlformats.org/officeDocument/2006/relationships/hyperlink" Target="#Coverage!A1"/><Relationship Id="rId4" Type="http://schemas.openxmlformats.org/officeDocument/2006/relationships/chart" Target="../charts/chart43.xml"/><Relationship Id="rId9" Type="http://schemas.openxmlformats.org/officeDocument/2006/relationships/hyperlink" Target="#Tariffs!A1"/><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hyperlink" Target="#'Tariffs Light'!A1"/><Relationship Id="rId13" Type="http://schemas.openxmlformats.org/officeDocument/2006/relationships/image" Target="../media/image8.svg"/><Relationship Id="rId3" Type="http://schemas.openxmlformats.org/officeDocument/2006/relationships/chart" Target="../charts/chart48.xml"/><Relationship Id="rId7" Type="http://schemas.openxmlformats.org/officeDocument/2006/relationships/hyperlink" Target="#'Traffic Light'!A1"/><Relationship Id="rId12" Type="http://schemas.openxmlformats.org/officeDocument/2006/relationships/image" Target="../media/image7.png"/><Relationship Id="rId17" Type="http://schemas.openxmlformats.org/officeDocument/2006/relationships/hyperlink" Target="#'Sales Light'!A1"/><Relationship Id="rId2" Type="http://schemas.openxmlformats.org/officeDocument/2006/relationships/chart" Target="../charts/chart47.xml"/><Relationship Id="rId16" Type="http://schemas.openxmlformats.org/officeDocument/2006/relationships/image" Target="../media/image6.svg"/><Relationship Id="rId1" Type="http://schemas.openxmlformats.org/officeDocument/2006/relationships/chart" Target="../charts/chart46.xml"/><Relationship Id="rId6" Type="http://schemas.openxmlformats.org/officeDocument/2006/relationships/chart" Target="../charts/chart51.xml"/><Relationship Id="rId11" Type="http://schemas.openxmlformats.org/officeDocument/2006/relationships/hyperlink" Target="#Tariffs!A1"/><Relationship Id="rId5" Type="http://schemas.openxmlformats.org/officeDocument/2006/relationships/chart" Target="../charts/chart50.xml"/><Relationship Id="rId15" Type="http://schemas.openxmlformats.org/officeDocument/2006/relationships/image" Target="../media/image5.png"/><Relationship Id="rId10" Type="http://schemas.openxmlformats.org/officeDocument/2006/relationships/hyperlink" Target="#'DASHBOARD Light'!A1"/><Relationship Id="rId4" Type="http://schemas.openxmlformats.org/officeDocument/2006/relationships/chart" Target="../charts/chart49.xml"/><Relationship Id="rId9" Type="http://schemas.openxmlformats.org/officeDocument/2006/relationships/hyperlink" Target="#'Coverage Light'!A1"/><Relationship Id="rId14" Type="http://schemas.openxmlformats.org/officeDocument/2006/relationships/hyperlink" Target="#'Tariffs Bright'!A1"/></Relationships>
</file>

<file path=xl/drawings/_rels/drawing9.xml.rels><?xml version="1.0" encoding="UTF-8" standalone="yes"?>
<Relationships xmlns="http://schemas.openxmlformats.org/package/2006/relationships"><Relationship Id="rId8" Type="http://schemas.openxmlformats.org/officeDocument/2006/relationships/hyperlink" Target="#'Traffic Bright'!A1"/><Relationship Id="rId13" Type="http://schemas.openxmlformats.org/officeDocument/2006/relationships/hyperlink" Target="#Tariffs!A1"/><Relationship Id="rId18" Type="http://schemas.openxmlformats.org/officeDocument/2006/relationships/hyperlink" Target="#'Sales Light'!A1"/><Relationship Id="rId3" Type="http://schemas.openxmlformats.org/officeDocument/2006/relationships/chart" Target="../charts/chart54.xml"/><Relationship Id="rId7" Type="http://schemas.openxmlformats.org/officeDocument/2006/relationships/hyperlink" Target="#'Sales Bright'!A1"/><Relationship Id="rId12" Type="http://schemas.openxmlformats.org/officeDocument/2006/relationships/hyperlink" Target="#'Traffic Light'!A1"/><Relationship Id="rId17" Type="http://schemas.openxmlformats.org/officeDocument/2006/relationships/image" Target="../media/image10.svg"/><Relationship Id="rId2" Type="http://schemas.openxmlformats.org/officeDocument/2006/relationships/chart" Target="../charts/chart53.xml"/><Relationship Id="rId16" Type="http://schemas.openxmlformats.org/officeDocument/2006/relationships/image" Target="../media/image9.png"/><Relationship Id="rId1" Type="http://schemas.openxmlformats.org/officeDocument/2006/relationships/chart" Target="../charts/chart52.xml"/><Relationship Id="rId6" Type="http://schemas.openxmlformats.org/officeDocument/2006/relationships/chart" Target="../charts/chart57.xml"/><Relationship Id="rId11" Type="http://schemas.openxmlformats.org/officeDocument/2006/relationships/hyperlink" Target="#'DASHBOARD Bright'!A1"/><Relationship Id="rId5" Type="http://schemas.openxmlformats.org/officeDocument/2006/relationships/chart" Target="../charts/chart56.xml"/><Relationship Id="rId15" Type="http://schemas.openxmlformats.org/officeDocument/2006/relationships/image" Target="../media/image8.svg"/><Relationship Id="rId10" Type="http://schemas.openxmlformats.org/officeDocument/2006/relationships/hyperlink" Target="#'Coverage Bright'!A1"/><Relationship Id="rId4" Type="http://schemas.openxmlformats.org/officeDocument/2006/relationships/chart" Target="../charts/chart55.xml"/><Relationship Id="rId9" Type="http://schemas.openxmlformats.org/officeDocument/2006/relationships/hyperlink" Target="#'Tariffs Bright'!A1"/><Relationship Id="rId14" Type="http://schemas.openxmlformats.org/officeDocument/2006/relationships/image" Target="../media/image7.png"/></Relationships>
</file>

<file path=xl/drawings/_rels/drawing10.xml.rels><?xml version="1.0" encoding="UTF-8" standalone="yes"?>
<Relationships xmlns="http://schemas.openxmlformats.org/package/2006/relationships"><Relationship Id="rId8" Type="http://schemas.openxmlformats.org/officeDocument/2006/relationships/hyperlink" Target="#Traffic!A1"/><Relationship Id="rId13" Type="http://schemas.openxmlformats.org/officeDocument/2006/relationships/image" Target="../media/image3.png"/><Relationship Id="rId3" Type="http://schemas.openxmlformats.org/officeDocument/2006/relationships/chart" Target="../charts/chart60.xml"/><Relationship Id="rId7" Type="http://schemas.openxmlformats.org/officeDocument/2006/relationships/hyperlink" Target="#Sales!A1"/><Relationship Id="rId12" Type="http://schemas.openxmlformats.org/officeDocument/2006/relationships/hyperlink" Target="#'Coverage Light'!A1"/><Relationship Id="rId17" Type="http://schemas.openxmlformats.org/officeDocument/2006/relationships/image" Target="../media/image6.svg"/><Relationship Id="rId2" Type="http://schemas.openxmlformats.org/officeDocument/2006/relationships/chart" Target="../charts/chart59.xml"/><Relationship Id="rId16" Type="http://schemas.openxmlformats.org/officeDocument/2006/relationships/image" Target="../media/image5.png"/><Relationship Id="rId1" Type="http://schemas.openxmlformats.org/officeDocument/2006/relationships/chart" Target="../charts/chart58.xml"/><Relationship Id="rId6" Type="http://schemas.openxmlformats.org/officeDocument/2006/relationships/chart" Target="../charts/chart63.xml"/><Relationship Id="rId11" Type="http://schemas.openxmlformats.org/officeDocument/2006/relationships/hyperlink" Target="#DASHBOARD!A1"/><Relationship Id="rId5" Type="http://schemas.openxmlformats.org/officeDocument/2006/relationships/chart" Target="../charts/chart62.xml"/><Relationship Id="rId15" Type="http://schemas.openxmlformats.org/officeDocument/2006/relationships/hyperlink" Target="#'Coverage Bright'!A1"/><Relationship Id="rId10" Type="http://schemas.openxmlformats.org/officeDocument/2006/relationships/hyperlink" Target="#Coverage!A1"/><Relationship Id="rId4" Type="http://schemas.openxmlformats.org/officeDocument/2006/relationships/chart" Target="../charts/chart61.xml"/><Relationship Id="rId9" Type="http://schemas.openxmlformats.org/officeDocument/2006/relationships/hyperlink" Target="#Tariffs!A1"/><Relationship Id="rId14" Type="http://schemas.openxmlformats.org/officeDocument/2006/relationships/image" Target="../media/image4.svg"/></Relationships>
</file>

<file path=xl/drawings/_rels/drawing11.xml.rels><?xml version="1.0" encoding="UTF-8" standalone="yes"?>
<Relationships xmlns="http://schemas.openxmlformats.org/package/2006/relationships"><Relationship Id="rId8" Type="http://schemas.openxmlformats.org/officeDocument/2006/relationships/hyperlink" Target="#'Traffic Light'!A1"/><Relationship Id="rId13" Type="http://schemas.openxmlformats.org/officeDocument/2006/relationships/image" Target="../media/image7.png"/><Relationship Id="rId3" Type="http://schemas.openxmlformats.org/officeDocument/2006/relationships/chart" Target="../charts/chart66.xml"/><Relationship Id="rId7" Type="http://schemas.openxmlformats.org/officeDocument/2006/relationships/hyperlink" Target="#'Sales Light'!A1"/><Relationship Id="rId12" Type="http://schemas.openxmlformats.org/officeDocument/2006/relationships/hyperlink" Target="#Coverage!A1"/><Relationship Id="rId17" Type="http://schemas.openxmlformats.org/officeDocument/2006/relationships/image" Target="../media/image6.svg"/><Relationship Id="rId2" Type="http://schemas.openxmlformats.org/officeDocument/2006/relationships/chart" Target="../charts/chart65.xml"/><Relationship Id="rId16" Type="http://schemas.openxmlformats.org/officeDocument/2006/relationships/image" Target="../media/image5.png"/><Relationship Id="rId1" Type="http://schemas.openxmlformats.org/officeDocument/2006/relationships/chart" Target="../charts/chart64.xml"/><Relationship Id="rId6" Type="http://schemas.openxmlformats.org/officeDocument/2006/relationships/chart" Target="../charts/chart69.xml"/><Relationship Id="rId11" Type="http://schemas.openxmlformats.org/officeDocument/2006/relationships/hyperlink" Target="#'DASHBOARD Light'!A1"/><Relationship Id="rId5" Type="http://schemas.openxmlformats.org/officeDocument/2006/relationships/chart" Target="../charts/chart68.xml"/><Relationship Id="rId15" Type="http://schemas.openxmlformats.org/officeDocument/2006/relationships/hyperlink" Target="#'Coverage Bright'!A1"/><Relationship Id="rId10" Type="http://schemas.openxmlformats.org/officeDocument/2006/relationships/hyperlink" Target="#'Coverage Light'!A1"/><Relationship Id="rId4" Type="http://schemas.openxmlformats.org/officeDocument/2006/relationships/chart" Target="../charts/chart67.xml"/><Relationship Id="rId9" Type="http://schemas.openxmlformats.org/officeDocument/2006/relationships/hyperlink" Target="#'Tariffs Light'!A1"/><Relationship Id="rId14" Type="http://schemas.openxmlformats.org/officeDocument/2006/relationships/image" Target="../media/image8.svg"/></Relationships>
</file>

<file path=xl/drawings/_rels/drawing12.xml.rels><?xml version="1.0" encoding="UTF-8" standalone="yes"?>
<Relationships xmlns="http://schemas.openxmlformats.org/package/2006/relationships"><Relationship Id="rId8" Type="http://schemas.openxmlformats.org/officeDocument/2006/relationships/hyperlink" Target="#'Tariffs Bright'!A1"/><Relationship Id="rId13" Type="http://schemas.openxmlformats.org/officeDocument/2006/relationships/image" Target="../media/image7.png"/><Relationship Id="rId3" Type="http://schemas.openxmlformats.org/officeDocument/2006/relationships/chart" Target="../charts/chart72.xml"/><Relationship Id="rId7" Type="http://schemas.openxmlformats.org/officeDocument/2006/relationships/hyperlink" Target="#'Traffic Bright'!A1"/><Relationship Id="rId12" Type="http://schemas.openxmlformats.org/officeDocument/2006/relationships/hyperlink" Target="#Coverage!A1"/><Relationship Id="rId17" Type="http://schemas.openxmlformats.org/officeDocument/2006/relationships/hyperlink" Target="#'Sales Light'!A1"/><Relationship Id="rId2" Type="http://schemas.openxmlformats.org/officeDocument/2006/relationships/chart" Target="../charts/chart71.xml"/><Relationship Id="rId16" Type="http://schemas.openxmlformats.org/officeDocument/2006/relationships/image" Target="../media/image10.svg"/><Relationship Id="rId1" Type="http://schemas.openxmlformats.org/officeDocument/2006/relationships/chart" Target="../charts/chart70.xml"/><Relationship Id="rId6" Type="http://schemas.openxmlformats.org/officeDocument/2006/relationships/chart" Target="../charts/chart75.xml"/><Relationship Id="rId11" Type="http://schemas.openxmlformats.org/officeDocument/2006/relationships/hyperlink" Target="#'Coverage Light'!A1"/><Relationship Id="rId5" Type="http://schemas.openxmlformats.org/officeDocument/2006/relationships/chart" Target="../charts/chart74.xml"/><Relationship Id="rId15" Type="http://schemas.openxmlformats.org/officeDocument/2006/relationships/image" Target="../media/image9.png"/><Relationship Id="rId10" Type="http://schemas.openxmlformats.org/officeDocument/2006/relationships/hyperlink" Target="#'DASHBOARD Bright'!A1"/><Relationship Id="rId4" Type="http://schemas.openxmlformats.org/officeDocument/2006/relationships/chart" Target="../charts/chart73.xml"/><Relationship Id="rId9" Type="http://schemas.openxmlformats.org/officeDocument/2006/relationships/hyperlink" Target="#'Coverage Bright'!A1"/><Relationship Id="rId14" Type="http://schemas.openxmlformats.org/officeDocument/2006/relationships/image" Target="../media/image8.svg"/></Relationships>
</file>

<file path=xl/drawings/_rels/drawing13.xml.rels><?xml version="1.0" encoding="UTF-8" standalone="yes"?>
<Relationships xmlns="http://schemas.openxmlformats.org/package/2006/relationships"><Relationship Id="rId8" Type="http://schemas.openxmlformats.org/officeDocument/2006/relationships/hyperlink" Target="#Tariffs!A1"/><Relationship Id="rId13" Type="http://schemas.openxmlformats.org/officeDocument/2006/relationships/image" Target="../media/image4.svg"/><Relationship Id="rId3" Type="http://schemas.openxmlformats.org/officeDocument/2006/relationships/chart" Target="../charts/chart78.xml"/><Relationship Id="rId7" Type="http://schemas.openxmlformats.org/officeDocument/2006/relationships/hyperlink" Target="#Traffic!A1"/><Relationship Id="rId12" Type="http://schemas.openxmlformats.org/officeDocument/2006/relationships/image" Target="../media/image3.png"/><Relationship Id="rId2" Type="http://schemas.openxmlformats.org/officeDocument/2006/relationships/chart" Target="../charts/chart77.xml"/><Relationship Id="rId16" Type="http://schemas.openxmlformats.org/officeDocument/2006/relationships/image" Target="../media/image6.svg"/><Relationship Id="rId1" Type="http://schemas.openxmlformats.org/officeDocument/2006/relationships/chart" Target="../charts/chart76.xml"/><Relationship Id="rId6" Type="http://schemas.openxmlformats.org/officeDocument/2006/relationships/hyperlink" Target="#Sales!A1"/><Relationship Id="rId11" Type="http://schemas.openxmlformats.org/officeDocument/2006/relationships/hyperlink" Target="#'Traffic Light'!A1"/><Relationship Id="rId5" Type="http://schemas.openxmlformats.org/officeDocument/2006/relationships/chart" Target="../charts/chart80.xml"/><Relationship Id="rId15" Type="http://schemas.openxmlformats.org/officeDocument/2006/relationships/image" Target="../media/image5.png"/><Relationship Id="rId10" Type="http://schemas.openxmlformats.org/officeDocument/2006/relationships/hyperlink" Target="#DASHBOARD!A1"/><Relationship Id="rId4" Type="http://schemas.openxmlformats.org/officeDocument/2006/relationships/chart" Target="../charts/chart79.xml"/><Relationship Id="rId9" Type="http://schemas.openxmlformats.org/officeDocument/2006/relationships/hyperlink" Target="#Coverage!A1"/><Relationship Id="rId14" Type="http://schemas.openxmlformats.org/officeDocument/2006/relationships/hyperlink" Target="#'Traffic Bright'!A1"/></Relationships>
</file>

<file path=xl/drawings/_rels/drawing14.xml.rels><?xml version="1.0" encoding="UTF-8" standalone="yes"?>
<Relationships xmlns="http://schemas.openxmlformats.org/package/2006/relationships"><Relationship Id="rId8" Type="http://schemas.openxmlformats.org/officeDocument/2006/relationships/hyperlink" Target="#'Coverage Light'!A1"/><Relationship Id="rId13" Type="http://schemas.openxmlformats.org/officeDocument/2006/relationships/hyperlink" Target="#'Traffic Bright'!A1"/><Relationship Id="rId3" Type="http://schemas.openxmlformats.org/officeDocument/2006/relationships/chart" Target="../charts/chart83.xml"/><Relationship Id="rId7" Type="http://schemas.openxmlformats.org/officeDocument/2006/relationships/hyperlink" Target="#'Tariffs Light'!A1"/><Relationship Id="rId12" Type="http://schemas.openxmlformats.org/officeDocument/2006/relationships/image" Target="../media/image8.svg"/><Relationship Id="rId2" Type="http://schemas.openxmlformats.org/officeDocument/2006/relationships/chart" Target="../charts/chart82.xml"/><Relationship Id="rId16" Type="http://schemas.openxmlformats.org/officeDocument/2006/relationships/hyperlink" Target="#'Sales Light'!A1"/><Relationship Id="rId1" Type="http://schemas.openxmlformats.org/officeDocument/2006/relationships/chart" Target="../charts/chart81.xml"/><Relationship Id="rId6" Type="http://schemas.openxmlformats.org/officeDocument/2006/relationships/hyperlink" Target="#'Traffic Light'!A1"/><Relationship Id="rId11" Type="http://schemas.openxmlformats.org/officeDocument/2006/relationships/image" Target="../media/image7.png"/><Relationship Id="rId5" Type="http://schemas.openxmlformats.org/officeDocument/2006/relationships/chart" Target="../charts/chart85.xml"/><Relationship Id="rId15" Type="http://schemas.openxmlformats.org/officeDocument/2006/relationships/image" Target="../media/image6.svg"/><Relationship Id="rId10" Type="http://schemas.openxmlformats.org/officeDocument/2006/relationships/hyperlink" Target="#Traffic!A1"/><Relationship Id="rId4" Type="http://schemas.openxmlformats.org/officeDocument/2006/relationships/chart" Target="../charts/chart84.xml"/><Relationship Id="rId9" Type="http://schemas.openxmlformats.org/officeDocument/2006/relationships/hyperlink" Target="#'DASHBOARD Light'!A1"/><Relationship Id="rId14" Type="http://schemas.openxmlformats.org/officeDocument/2006/relationships/image" Target="../media/image5.png"/></Relationships>
</file>

<file path=xl/drawings/_rels/drawing15.xml.rels><?xml version="1.0" encoding="UTF-8" standalone="yes"?>
<Relationships xmlns="http://schemas.openxmlformats.org/package/2006/relationships"><Relationship Id="rId8" Type="http://schemas.openxmlformats.org/officeDocument/2006/relationships/hyperlink" Target="#'Coverage Bright'!A1"/><Relationship Id="rId13" Type="http://schemas.openxmlformats.org/officeDocument/2006/relationships/image" Target="../media/image8.svg"/><Relationship Id="rId3" Type="http://schemas.openxmlformats.org/officeDocument/2006/relationships/chart" Target="../charts/chart88.xml"/><Relationship Id="rId7" Type="http://schemas.openxmlformats.org/officeDocument/2006/relationships/hyperlink" Target="#'Tariffs Bright'!A1"/><Relationship Id="rId12" Type="http://schemas.openxmlformats.org/officeDocument/2006/relationships/image" Target="../media/image7.png"/><Relationship Id="rId2" Type="http://schemas.openxmlformats.org/officeDocument/2006/relationships/chart" Target="../charts/chart87.xml"/><Relationship Id="rId16" Type="http://schemas.openxmlformats.org/officeDocument/2006/relationships/hyperlink" Target="#'Sales Light'!A1"/><Relationship Id="rId1" Type="http://schemas.openxmlformats.org/officeDocument/2006/relationships/chart" Target="../charts/chart86.xml"/><Relationship Id="rId6" Type="http://schemas.openxmlformats.org/officeDocument/2006/relationships/hyperlink" Target="#'Traffic Bright'!A1"/><Relationship Id="rId11" Type="http://schemas.openxmlformats.org/officeDocument/2006/relationships/hyperlink" Target="#Traffic!A1"/><Relationship Id="rId5" Type="http://schemas.openxmlformats.org/officeDocument/2006/relationships/chart" Target="../charts/chart90.xml"/><Relationship Id="rId15" Type="http://schemas.openxmlformats.org/officeDocument/2006/relationships/image" Target="../media/image10.svg"/><Relationship Id="rId10" Type="http://schemas.openxmlformats.org/officeDocument/2006/relationships/hyperlink" Target="#'Traffic Light'!A1"/><Relationship Id="rId4" Type="http://schemas.openxmlformats.org/officeDocument/2006/relationships/chart" Target="../charts/chart89.xml"/><Relationship Id="rId9" Type="http://schemas.openxmlformats.org/officeDocument/2006/relationships/hyperlink" Target="#'DASHBOARD Bright'!A1"/><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grpSp>
      <xdr:nvGrpSpPr>
        <xdr:cNvPr id="2" name="Group 1">
          <a:extLst>
            <a:ext uri="{FF2B5EF4-FFF2-40B4-BE49-F238E27FC236}">
              <a16:creationId xmlns:a16="http://schemas.microsoft.com/office/drawing/2014/main" id="{65C9005C-2AA9-73C4-A337-18BA55DEF010}"/>
            </a:ext>
          </a:extLst>
        </xdr:cNvPr>
        <xdr:cNvGrpSpPr/>
      </xdr:nvGrpSpPr>
      <xdr:grpSpPr>
        <a:xfrm>
          <a:off x="7620" y="0"/>
          <a:ext cx="14732000" cy="8572500"/>
          <a:chOff x="172844" y="6858000"/>
          <a:chExt cx="11850624" cy="7235580"/>
        </a:xfrm>
      </xdr:grpSpPr>
      <xdr:sp macro="" textlink="">
        <xdr:nvSpPr>
          <xdr:cNvPr id="3" name="Rectangle 2">
            <a:extLst>
              <a:ext uri="{FF2B5EF4-FFF2-40B4-BE49-F238E27FC236}">
                <a16:creationId xmlns:a16="http://schemas.microsoft.com/office/drawing/2014/main" id="{A947540C-9B83-0BC4-EA1D-9658789C1E1D}"/>
              </a:ext>
            </a:extLst>
          </xdr:cNvPr>
          <xdr:cNvSpPr/>
        </xdr:nvSpPr>
        <xdr:spPr>
          <a:xfrm>
            <a:off x="172844" y="6858000"/>
            <a:ext cx="11846312" cy="7235580"/>
          </a:xfrm>
          <a:prstGeom prst="rect">
            <a:avLst/>
          </a:prstGeom>
          <a:gradFill flip="none" rotWithShape="1">
            <a:gsLst>
              <a:gs pos="28000">
                <a:srgbClr val="353C96"/>
              </a:gs>
              <a:gs pos="97000">
                <a:srgbClr val="2587D1"/>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2EEFB082-D00F-6D1E-F570-E21BB4963CCF}"/>
              </a:ext>
            </a:extLst>
          </xdr:cNvPr>
          <xdr:cNvSpPr/>
        </xdr:nvSpPr>
        <xdr:spPr>
          <a:xfrm>
            <a:off x="172844" y="6858000"/>
            <a:ext cx="11850624" cy="7235580"/>
          </a:xfrm>
          <a:prstGeom prst="rect">
            <a:avLst/>
          </a:prstGeom>
          <a:gradFill flip="none" rotWithShape="1">
            <a:gsLst>
              <a:gs pos="0">
                <a:srgbClr val="A66AB0"/>
              </a:gs>
              <a:gs pos="37000">
                <a:srgbClr val="353C97">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grpSp>
      <xdr:nvGrpSpPr>
        <xdr:cNvPr id="5" name="Group 4">
          <a:extLst>
            <a:ext uri="{FF2B5EF4-FFF2-40B4-BE49-F238E27FC236}">
              <a16:creationId xmlns:a16="http://schemas.microsoft.com/office/drawing/2014/main" id="{DEB2981D-54DF-AA47-EB77-B061533A7FE5}"/>
            </a:ext>
          </a:extLst>
        </xdr:cNvPr>
        <xdr:cNvGrpSpPr/>
      </xdr:nvGrpSpPr>
      <xdr:grpSpPr>
        <a:xfrm>
          <a:off x="1932940" y="396240"/>
          <a:ext cx="10770447" cy="6758940"/>
          <a:chOff x="914143" y="7218382"/>
          <a:chExt cx="10698480" cy="6492240"/>
        </a:xfrm>
        <a:effectLst>
          <a:outerShdw blurRad="571500" dist="190500" dir="8100000" algn="tr" rotWithShape="0">
            <a:prstClr val="black">
              <a:alpha val="60000"/>
            </a:prstClr>
          </a:outerShdw>
        </a:effectLst>
      </xdr:grpSpPr>
      <xdr:sp macro="" textlink="">
        <xdr:nvSpPr>
          <xdr:cNvPr id="18" name="Rectangle: Rounded Corners 17">
            <a:extLst>
              <a:ext uri="{FF2B5EF4-FFF2-40B4-BE49-F238E27FC236}">
                <a16:creationId xmlns:a16="http://schemas.microsoft.com/office/drawing/2014/main" id="{856E9558-5015-DB05-C678-9DBB108F37D2}"/>
              </a:ext>
            </a:extLst>
          </xdr:cNvPr>
          <xdr:cNvSpPr/>
        </xdr:nvSpPr>
        <xdr:spPr>
          <a:xfrm>
            <a:off x="914143" y="7218382"/>
            <a:ext cx="10698480" cy="6492240"/>
          </a:xfrm>
          <a:prstGeom prst="roundRect">
            <a:avLst>
              <a:gd name="adj" fmla="val 5678"/>
            </a:avLst>
          </a:prstGeom>
          <a:gradFill flip="none" rotWithShape="1">
            <a:gsLst>
              <a:gs pos="100000">
                <a:srgbClr val="1A598D"/>
              </a:gs>
              <a:gs pos="72000">
                <a:srgbClr val="353874"/>
              </a:gs>
              <a:gs pos="27000">
                <a:srgbClr val="353874"/>
              </a:gs>
              <a:gs pos="0">
                <a:srgbClr val="43348B"/>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9" name="Rectangle: Rounded Corners 18">
            <a:extLst>
              <a:ext uri="{FF2B5EF4-FFF2-40B4-BE49-F238E27FC236}">
                <a16:creationId xmlns:a16="http://schemas.microsoft.com/office/drawing/2014/main" id="{BA371109-2D3E-B2E9-E007-597F54C3F3CC}"/>
              </a:ext>
            </a:extLst>
          </xdr:cNvPr>
          <xdr:cNvSpPr/>
        </xdr:nvSpPr>
        <xdr:spPr>
          <a:xfrm>
            <a:off x="914143" y="7218382"/>
            <a:ext cx="10698480" cy="6492240"/>
          </a:xfrm>
          <a:prstGeom prst="roundRect">
            <a:avLst>
              <a:gd name="adj" fmla="val 5678"/>
            </a:avLst>
          </a:prstGeom>
          <a:gradFill flip="none" rotWithShape="1">
            <a:gsLst>
              <a:gs pos="100000">
                <a:srgbClr val="5E376F"/>
              </a:gs>
              <a:gs pos="72000">
                <a:srgbClr val="353874">
                  <a:alpha val="0"/>
                </a:srgbClr>
              </a:gs>
              <a:gs pos="27000">
                <a:srgbClr val="353874">
                  <a:alpha val="0"/>
                </a:srgbClr>
              </a:gs>
              <a:gs pos="0">
                <a:srgbClr val="43348B"/>
              </a:gs>
            </a:gsLst>
            <a:lin ang="18900000" scaled="1"/>
            <a:tileRect/>
          </a:gradFill>
          <a:ln w="9525">
            <a:gradFill flip="none" rotWithShape="1">
              <a:gsLst>
                <a:gs pos="0">
                  <a:srgbClr val="00B0F0"/>
                </a:gs>
                <a:gs pos="100000">
                  <a:srgbClr val="9079D9"/>
                </a:gs>
                <a:gs pos="68000">
                  <a:srgbClr val="6956B1"/>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488462</xdr:colOff>
      <xdr:row>3</xdr:row>
      <xdr:rowOff>167548</xdr:rowOff>
    </xdr:from>
    <xdr:to>
      <xdr:col>7</xdr:col>
      <xdr:colOff>492048</xdr:colOff>
      <xdr:row>20</xdr:row>
      <xdr:rowOff>125879</xdr:rowOff>
    </xdr:to>
    <xdr:sp macro="" textlink="">
      <xdr:nvSpPr>
        <xdr:cNvPr id="6" name="Rectangle: Rounded Corners 5">
          <a:extLst>
            <a:ext uri="{FF2B5EF4-FFF2-40B4-BE49-F238E27FC236}">
              <a16:creationId xmlns:a16="http://schemas.microsoft.com/office/drawing/2014/main" id="{DD7CB8B6-4861-055E-1AEE-0C0EBE512C5B}"/>
            </a:ext>
          </a:extLst>
        </xdr:cNvPr>
        <xdr:cNvSpPr/>
      </xdr:nvSpPr>
      <xdr:spPr>
        <a:xfrm>
          <a:off x="2317262" y="716188"/>
          <a:ext cx="2441986" cy="3067291"/>
        </a:xfrm>
        <a:prstGeom prst="roundRect">
          <a:avLst>
            <a:gd name="adj" fmla="val 9318"/>
          </a:avLst>
        </a:prstGeom>
        <a:gradFill flip="none" rotWithShape="1">
          <a:gsLst>
            <a:gs pos="3000">
              <a:srgbClr val="574998"/>
            </a:gs>
            <a:gs pos="76000">
              <a:srgbClr val="262D6A"/>
            </a:gs>
          </a:gsLst>
          <a:lin ang="6600000" scaled="0"/>
          <a:tileRect/>
        </a:gradFill>
        <a:ln w="9525">
          <a:gradFill flip="none" rotWithShape="1">
            <a:gsLst>
              <a:gs pos="0">
                <a:srgbClr val="BB75D8"/>
              </a:gs>
              <a:gs pos="51000">
                <a:srgbClr val="3B3E75"/>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100053</xdr:colOff>
      <xdr:row>3</xdr:row>
      <xdr:rowOff>170237</xdr:rowOff>
    </xdr:from>
    <xdr:to>
      <xdr:col>12</xdr:col>
      <xdr:colOff>474302</xdr:colOff>
      <xdr:row>20</xdr:row>
      <xdr:rowOff>128568</xdr:rowOff>
    </xdr:to>
    <xdr:sp macro="" textlink="">
      <xdr:nvSpPr>
        <xdr:cNvPr id="7" name="Rectangle: Rounded Corners 6">
          <a:extLst>
            <a:ext uri="{FF2B5EF4-FFF2-40B4-BE49-F238E27FC236}">
              <a16:creationId xmlns:a16="http://schemas.microsoft.com/office/drawing/2014/main" id="{320940A8-D26B-4110-87A1-71FBE95370FC}"/>
            </a:ext>
          </a:extLst>
        </xdr:cNvPr>
        <xdr:cNvSpPr/>
      </xdr:nvSpPr>
      <xdr:spPr>
        <a:xfrm>
          <a:off x="4976853" y="718877"/>
          <a:ext cx="2812649" cy="3067291"/>
        </a:xfrm>
        <a:prstGeom prst="roundRect">
          <a:avLst>
            <a:gd name="adj" fmla="val 8437"/>
          </a:avLst>
        </a:prstGeom>
        <a:gradFill flip="none" rotWithShape="1">
          <a:gsLst>
            <a:gs pos="0">
              <a:srgbClr val="7D59A1"/>
            </a:gs>
            <a:gs pos="68000">
              <a:srgbClr val="30306F"/>
            </a:gs>
          </a:gsLst>
          <a:lin ang="6600000" scaled="0"/>
          <a:tileRect/>
        </a:gradFill>
        <a:ln w="9525">
          <a:gradFill flip="none" rotWithShape="1">
            <a:gsLst>
              <a:gs pos="0">
                <a:srgbClr val="EB97ED"/>
              </a:gs>
              <a:gs pos="49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317657</xdr:colOff>
      <xdr:row>12</xdr:row>
      <xdr:rowOff>136199</xdr:rowOff>
    </xdr:from>
    <xdr:to>
      <xdr:col>12</xdr:col>
      <xdr:colOff>256697</xdr:colOff>
      <xdr:row>19</xdr:row>
      <xdr:rowOff>44759</xdr:rowOff>
    </xdr:to>
    <xdr:grpSp>
      <xdr:nvGrpSpPr>
        <xdr:cNvPr id="8" name="Group 7">
          <a:extLst>
            <a:ext uri="{FF2B5EF4-FFF2-40B4-BE49-F238E27FC236}">
              <a16:creationId xmlns:a16="http://schemas.microsoft.com/office/drawing/2014/main" id="{C64D4754-A15F-CB4D-BE14-0AFF50037040}"/>
            </a:ext>
          </a:extLst>
        </xdr:cNvPr>
        <xdr:cNvGrpSpPr/>
      </xdr:nvGrpSpPr>
      <xdr:grpSpPr>
        <a:xfrm>
          <a:off x="5228324" y="2422199"/>
          <a:ext cx="2394373" cy="1242060"/>
          <a:chOff x="4327066" y="2477006"/>
          <a:chExt cx="2017854" cy="1200912"/>
        </a:xfrm>
        <a:effectLst>
          <a:outerShdw blurRad="190500" dist="63500" dir="8100000" algn="tr" rotWithShape="0">
            <a:prstClr val="black">
              <a:alpha val="80000"/>
            </a:prstClr>
          </a:outerShdw>
        </a:effectLst>
      </xdr:grpSpPr>
      <xdr:sp macro="" textlink="">
        <xdr:nvSpPr>
          <xdr:cNvPr id="16" name="Rectangle: Rounded Corners 15">
            <a:extLst>
              <a:ext uri="{FF2B5EF4-FFF2-40B4-BE49-F238E27FC236}">
                <a16:creationId xmlns:a16="http://schemas.microsoft.com/office/drawing/2014/main" id="{21CD9839-D5FE-E0B1-3CE0-3FE8F00BDB6B}"/>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Q8">
        <xdr:nvSpPr>
          <xdr:cNvPr id="17" name="Rectangle: Rounded Corners 16">
            <a:extLst>
              <a:ext uri="{FF2B5EF4-FFF2-40B4-BE49-F238E27FC236}">
                <a16:creationId xmlns:a16="http://schemas.microsoft.com/office/drawing/2014/main" id="{52356B0C-91FA-9E07-A59B-B24686C55825}"/>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6CBDB07D-9677-49EA-9D28-FB05AE8A6784}" type="TxLink">
              <a:rPr lang="en-US" sz="4000" b="0" i="0" u="none" strike="noStrike">
                <a:solidFill>
                  <a:schemeClr val="bg1"/>
                </a:solidFill>
                <a:latin typeface="Aptos Narrow"/>
              </a:rPr>
              <a:pPr algn="l"/>
              <a:t> 28 942</a:t>
            </a:fld>
            <a:endParaRPr lang="ru-RU" sz="4000">
              <a:solidFill>
                <a:schemeClr val="bg1"/>
              </a:solidFill>
            </a:endParaRPr>
          </a:p>
        </xdr:txBody>
      </xdr:sp>
    </xdr:grpSp>
    <xdr:clientData/>
  </xdr:twoCellAnchor>
  <xdr:twoCellAnchor>
    <xdr:from>
      <xdr:col>8</xdr:col>
      <xdr:colOff>317657</xdr:colOff>
      <xdr:row>5</xdr:row>
      <xdr:rowOff>25457</xdr:rowOff>
    </xdr:from>
    <xdr:to>
      <xdr:col>12</xdr:col>
      <xdr:colOff>256697</xdr:colOff>
      <xdr:row>11</xdr:row>
      <xdr:rowOff>116897</xdr:rowOff>
    </xdr:to>
    <xdr:grpSp>
      <xdr:nvGrpSpPr>
        <xdr:cNvPr id="9" name="Group 8">
          <a:extLst>
            <a:ext uri="{FF2B5EF4-FFF2-40B4-BE49-F238E27FC236}">
              <a16:creationId xmlns:a16="http://schemas.microsoft.com/office/drawing/2014/main" id="{37208BA6-EDD1-59B5-6ECD-C116A2ADE6A5}"/>
            </a:ext>
          </a:extLst>
        </xdr:cNvPr>
        <xdr:cNvGrpSpPr/>
      </xdr:nvGrpSpPr>
      <xdr:grpSpPr>
        <a:xfrm>
          <a:off x="5228324" y="977957"/>
          <a:ext cx="2394373" cy="1234440"/>
          <a:chOff x="4327066" y="2477006"/>
          <a:chExt cx="2017854" cy="1200912"/>
        </a:xfrm>
        <a:effectLst>
          <a:outerShdw blurRad="190500" dist="63500" dir="8100000" algn="tr" rotWithShape="0">
            <a:prstClr val="black">
              <a:alpha val="80000"/>
            </a:prstClr>
          </a:outerShdw>
        </a:effectLst>
      </xdr:grpSpPr>
      <xdr:sp macro="" textlink="">
        <xdr:nvSpPr>
          <xdr:cNvPr id="14" name="Rectangle: Rounded Corners 13">
            <a:extLst>
              <a:ext uri="{FF2B5EF4-FFF2-40B4-BE49-F238E27FC236}">
                <a16:creationId xmlns:a16="http://schemas.microsoft.com/office/drawing/2014/main" id="{3C6F46E2-C5CB-FBA2-F7D1-DFEEAC6DAF53}"/>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E15">
        <xdr:nvSpPr>
          <xdr:cNvPr id="15" name="Rectangle: Rounded Corners 14">
            <a:extLst>
              <a:ext uri="{FF2B5EF4-FFF2-40B4-BE49-F238E27FC236}">
                <a16:creationId xmlns:a16="http://schemas.microsoft.com/office/drawing/2014/main" id="{543505F8-4B0B-457F-3652-A4444E12D155}"/>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7F9CE73C-E2A6-491B-A672-9AFFE5A714CF}" type="TxLink">
              <a:rPr lang="en-US" sz="3400" b="0" i="0" u="none" strike="noStrike">
                <a:solidFill>
                  <a:schemeClr val="bg1"/>
                </a:solidFill>
                <a:latin typeface="Aptos Narrow"/>
              </a:rPr>
              <a:pPr algn="l"/>
              <a:t> $13,44,765 </a:t>
            </a:fld>
            <a:endParaRPr lang="ru-RU" sz="3400">
              <a:solidFill>
                <a:schemeClr val="bg1"/>
              </a:solidFill>
            </a:endParaRPr>
          </a:p>
        </xdr:txBody>
      </xdr:sp>
    </xdr:grpSp>
    <xdr:clientData/>
  </xdr:twoCellAnchor>
  <xdr:twoCellAnchor>
    <xdr:from>
      <xdr:col>13</xdr:col>
      <xdr:colOff>117892</xdr:colOff>
      <xdr:row>3</xdr:row>
      <xdr:rowOff>167548</xdr:rowOff>
    </xdr:from>
    <xdr:to>
      <xdr:col>20</xdr:col>
      <xdr:colOff>11212</xdr:colOff>
      <xdr:row>17</xdr:row>
      <xdr:rowOff>86268</xdr:rowOff>
    </xdr:to>
    <xdr:sp macro="" textlink="">
      <xdr:nvSpPr>
        <xdr:cNvPr id="10" name="Rectangle: Rounded Corners 9">
          <a:extLst>
            <a:ext uri="{FF2B5EF4-FFF2-40B4-BE49-F238E27FC236}">
              <a16:creationId xmlns:a16="http://schemas.microsoft.com/office/drawing/2014/main" id="{2B2C5B8F-8CA2-E2EE-B7E4-C377C2DB4413}"/>
            </a:ext>
          </a:extLst>
        </xdr:cNvPr>
        <xdr:cNvSpPr/>
      </xdr:nvSpPr>
      <xdr:spPr>
        <a:xfrm>
          <a:off x="8042692" y="716188"/>
          <a:ext cx="4160520" cy="2479040"/>
        </a:xfrm>
        <a:prstGeom prst="roundRect">
          <a:avLst>
            <a:gd name="adj" fmla="val 8437"/>
          </a:avLst>
        </a:prstGeom>
        <a:gradFill flip="none" rotWithShape="1">
          <a:gsLst>
            <a:gs pos="85000">
              <a:srgbClr val="4F4C91"/>
            </a:gs>
            <a:gs pos="34000">
              <a:srgbClr val="7B5FA2"/>
            </a:gs>
            <a:gs pos="0">
              <a:srgbClr val="9D71AE"/>
            </a:gs>
            <a:gs pos="69000">
              <a:srgbClr val="5A4E94"/>
            </a:gs>
          </a:gsLst>
          <a:lin ang="6000000" scaled="0"/>
          <a:tileRect/>
        </a:gradFill>
        <a:ln w="9525">
          <a:gradFill flip="none" rotWithShape="1">
            <a:gsLst>
              <a:gs pos="0">
                <a:srgbClr val="F2BBF3"/>
              </a:gs>
              <a:gs pos="58000">
                <a:srgbClr val="9079D9"/>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1" name="Rectangle: Rounded Corners 10">
          <a:extLst>
            <a:ext uri="{FF2B5EF4-FFF2-40B4-BE49-F238E27FC236}">
              <a16:creationId xmlns:a16="http://schemas.microsoft.com/office/drawing/2014/main" id="{678C2659-E375-8E07-5D28-5B8FD7AC9B3E}"/>
            </a:ext>
          </a:extLst>
        </xdr:cNvPr>
        <xdr:cNvSpPr/>
      </xdr:nvSpPr>
      <xdr:spPr>
        <a:xfrm>
          <a:off x="10100092" y="3422015"/>
          <a:ext cx="210312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2" name="Rectangle: Rounded Corners 11">
          <a:extLst>
            <a:ext uri="{FF2B5EF4-FFF2-40B4-BE49-F238E27FC236}">
              <a16:creationId xmlns:a16="http://schemas.microsoft.com/office/drawing/2014/main" id="{6633E419-C88D-447E-97E4-E914A6041E5F}"/>
            </a:ext>
          </a:extLst>
        </xdr:cNvPr>
        <xdr:cNvSpPr/>
      </xdr:nvSpPr>
      <xdr:spPr>
        <a:xfrm>
          <a:off x="8042692" y="3422015"/>
          <a:ext cx="182880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482872</xdr:colOff>
      <xdr:row>22</xdr:row>
      <xdr:rowOff>8255</xdr:rowOff>
    </xdr:from>
    <xdr:to>
      <xdr:col>12</xdr:col>
      <xdr:colOff>474302</xdr:colOff>
      <xdr:row>35</xdr:row>
      <xdr:rowOff>130175</xdr:rowOff>
    </xdr:to>
    <xdr:sp macro="" textlink="">
      <xdr:nvSpPr>
        <xdr:cNvPr id="13" name="Rectangle: Rounded Corners 12">
          <a:extLst>
            <a:ext uri="{FF2B5EF4-FFF2-40B4-BE49-F238E27FC236}">
              <a16:creationId xmlns:a16="http://schemas.microsoft.com/office/drawing/2014/main" id="{4EE61247-8BEC-519E-AF4C-C105D1BA9DA4}"/>
            </a:ext>
          </a:extLst>
        </xdr:cNvPr>
        <xdr:cNvSpPr/>
      </xdr:nvSpPr>
      <xdr:spPr>
        <a:xfrm>
          <a:off x="2311672" y="4031615"/>
          <a:ext cx="5477830" cy="2499360"/>
        </a:xfrm>
        <a:prstGeom prst="roundRect">
          <a:avLst>
            <a:gd name="adj" fmla="val 7521"/>
          </a:avLst>
        </a:prstGeom>
        <a:gradFill>
          <a:gsLst>
            <a:gs pos="0">
              <a:srgbClr val="515092"/>
            </a:gs>
            <a:gs pos="79000">
              <a:srgbClr val="2C3977"/>
            </a:gs>
          </a:gsLst>
          <a:lin ang="5400000" scaled="0"/>
        </a:gradFill>
        <a:ln w="9525">
          <a:gradFill flip="none" rotWithShape="1">
            <a:gsLst>
              <a:gs pos="0">
                <a:srgbClr val="997ABC"/>
              </a:gs>
              <a:gs pos="81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106680</xdr:colOff>
      <xdr:row>5</xdr:row>
      <xdr:rowOff>15240</xdr:rowOff>
    </xdr:from>
    <xdr:to>
      <xdr:col>7</xdr:col>
      <xdr:colOff>289560</xdr:colOff>
      <xdr:row>11</xdr:row>
      <xdr:rowOff>106680</xdr:rowOff>
    </xdr:to>
    <xdr:grpSp>
      <xdr:nvGrpSpPr>
        <xdr:cNvPr id="20" name="Group 19">
          <a:extLst>
            <a:ext uri="{FF2B5EF4-FFF2-40B4-BE49-F238E27FC236}">
              <a16:creationId xmlns:a16="http://schemas.microsoft.com/office/drawing/2014/main" id="{524538F6-5F65-286E-40BA-FEDCA4C186FF}"/>
            </a:ext>
          </a:extLst>
        </xdr:cNvPr>
        <xdr:cNvGrpSpPr/>
      </xdr:nvGrpSpPr>
      <xdr:grpSpPr>
        <a:xfrm>
          <a:off x="2562013" y="967740"/>
          <a:ext cx="2024380" cy="1234440"/>
          <a:chOff x="2234106" y="2775708"/>
          <a:chExt cx="2017854" cy="1200912"/>
        </a:xfrm>
        <a:effectLst>
          <a:outerShdw blurRad="190500" dist="63500" dir="8100000" algn="tr" rotWithShape="0">
            <a:prstClr val="black">
              <a:alpha val="80000"/>
            </a:prstClr>
          </a:outerShdw>
        </a:effectLst>
      </xdr:grpSpPr>
      <xdr:sp macro="" textlink="">
        <xdr:nvSpPr>
          <xdr:cNvPr id="24" name="Rectangle: Rounded Corners 23">
            <a:extLst>
              <a:ext uri="{FF2B5EF4-FFF2-40B4-BE49-F238E27FC236}">
                <a16:creationId xmlns:a16="http://schemas.microsoft.com/office/drawing/2014/main" id="{930E1C05-A177-16CA-B569-DA5BF30B6E2A}"/>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R6">
        <xdr:nvSpPr>
          <xdr:cNvPr id="25" name="Rectangle: Rounded Corners 24">
            <a:extLst>
              <a:ext uri="{FF2B5EF4-FFF2-40B4-BE49-F238E27FC236}">
                <a16:creationId xmlns:a16="http://schemas.microsoft.com/office/drawing/2014/main" id="{8156FE35-69CE-4D63-1B63-0D222AA0601B}"/>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9D5B22AD-2689-4A19-8294-60DCF73D852F}" type="TxLink">
              <a:rPr lang="en-US" sz="4000" b="0" i="0" u="none" strike="noStrike">
                <a:solidFill>
                  <a:schemeClr val="bg1"/>
                </a:solidFill>
                <a:latin typeface="Aptos Narrow"/>
              </a:rPr>
              <a:pPr algn="l"/>
              <a:t> 21 089</a:t>
            </a:fld>
            <a:endParaRPr lang="ru-RU" sz="4000">
              <a:solidFill>
                <a:schemeClr val="bg1"/>
              </a:solidFill>
            </a:endParaRPr>
          </a:p>
        </xdr:txBody>
      </xdr:sp>
    </xdr:grpSp>
    <xdr:clientData/>
  </xdr:twoCellAnchor>
  <xdr:twoCellAnchor>
    <xdr:from>
      <xdr:col>4</xdr:col>
      <xdr:colOff>106680</xdr:colOff>
      <xdr:row>12</xdr:row>
      <xdr:rowOff>125982</xdr:rowOff>
    </xdr:from>
    <xdr:to>
      <xdr:col>7</xdr:col>
      <xdr:colOff>289560</xdr:colOff>
      <xdr:row>19</xdr:row>
      <xdr:rowOff>34542</xdr:rowOff>
    </xdr:to>
    <xdr:grpSp>
      <xdr:nvGrpSpPr>
        <xdr:cNvPr id="21" name="Group 20">
          <a:extLst>
            <a:ext uri="{FF2B5EF4-FFF2-40B4-BE49-F238E27FC236}">
              <a16:creationId xmlns:a16="http://schemas.microsoft.com/office/drawing/2014/main" id="{B2DFEE76-60E9-60F0-9620-C932D644D14A}"/>
            </a:ext>
          </a:extLst>
        </xdr:cNvPr>
        <xdr:cNvGrpSpPr/>
      </xdr:nvGrpSpPr>
      <xdr:grpSpPr>
        <a:xfrm>
          <a:off x="2562013" y="2411982"/>
          <a:ext cx="2024380" cy="1242060"/>
          <a:chOff x="2234106" y="2775708"/>
          <a:chExt cx="2017854" cy="1200912"/>
        </a:xfrm>
        <a:effectLst>
          <a:outerShdw blurRad="190500" dist="63500" dir="8100000" algn="tr" rotWithShape="0">
            <a:prstClr val="black">
              <a:alpha val="80000"/>
            </a:prstClr>
          </a:outerShdw>
        </a:effectLst>
      </xdr:grpSpPr>
      <xdr:sp macro="" textlink="">
        <xdr:nvSpPr>
          <xdr:cNvPr id="22" name="Rectangle: Rounded Corners 21">
            <a:extLst>
              <a:ext uri="{FF2B5EF4-FFF2-40B4-BE49-F238E27FC236}">
                <a16:creationId xmlns:a16="http://schemas.microsoft.com/office/drawing/2014/main" id="{DFA3D786-A594-A852-15CB-8E5845C6EF80}"/>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P8">
        <xdr:nvSpPr>
          <xdr:cNvPr id="23" name="Rectangle: Rounded Corners 22">
            <a:extLst>
              <a:ext uri="{FF2B5EF4-FFF2-40B4-BE49-F238E27FC236}">
                <a16:creationId xmlns:a16="http://schemas.microsoft.com/office/drawing/2014/main" id="{4154213D-358D-B4D0-3D84-267345083DCF}"/>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3E13EB2-11AA-43BE-95B4-02D45B055080}" type="TxLink">
              <a:rPr lang="en-US" sz="4000" b="0" i="0" u="none" strike="noStrike">
                <a:solidFill>
                  <a:schemeClr val="bg1"/>
                </a:solidFill>
                <a:latin typeface="Aptos Narrow"/>
              </a:rPr>
              <a:pPr algn="l"/>
              <a:t> 44 358</a:t>
            </a:fld>
            <a:endParaRPr lang="ru-RU" sz="4000">
              <a:solidFill>
                <a:schemeClr val="bg1"/>
              </a:solidFill>
            </a:endParaRPr>
          </a:p>
        </xdr:txBody>
      </xdr:sp>
    </xdr:grpSp>
    <xdr:clientData/>
  </xdr:twoCellAnchor>
  <xdr:twoCellAnchor>
    <xdr:from>
      <xdr:col>16</xdr:col>
      <xdr:colOff>289559</xdr:colOff>
      <xdr:row>5</xdr:row>
      <xdr:rowOff>73343</xdr:rowOff>
    </xdr:from>
    <xdr:to>
      <xdr:col>19</xdr:col>
      <xdr:colOff>289559</xdr:colOff>
      <xdr:row>15</xdr:row>
      <xdr:rowOff>73343</xdr:rowOff>
    </xdr:to>
    <xdr:sp macro="" textlink="">
      <xdr:nvSpPr>
        <xdr:cNvPr id="32" name="Circle: Hollow 31">
          <a:extLst>
            <a:ext uri="{FF2B5EF4-FFF2-40B4-BE49-F238E27FC236}">
              <a16:creationId xmlns:a16="http://schemas.microsoft.com/office/drawing/2014/main" id="{F19DFEBB-7BB6-42A9-FF0B-A0B879160918}"/>
            </a:ext>
          </a:extLst>
        </xdr:cNvPr>
        <xdr:cNvSpPr/>
      </xdr:nvSpPr>
      <xdr:spPr>
        <a:xfrm>
          <a:off x="10043159" y="987743"/>
          <a:ext cx="1828800" cy="1828800"/>
        </a:xfrm>
        <a:prstGeom prst="donut">
          <a:avLst>
            <a:gd name="adj" fmla="val 20022"/>
          </a:avLst>
        </a:prstGeom>
        <a:solidFill>
          <a:srgbClr val="775A94"/>
        </a:solidFill>
        <a:ln>
          <a:noFill/>
        </a:ln>
        <a:effectLst>
          <a:innerShdw blurRad="254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6" name="Chart 25">
          <a:extLst>
            <a:ext uri="{FF2B5EF4-FFF2-40B4-BE49-F238E27FC236}">
              <a16:creationId xmlns:a16="http://schemas.microsoft.com/office/drawing/2014/main" id="{C701266F-7FFE-4018-B189-E72E923AE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33" name="TextBox 32">
          <a:extLst>
            <a:ext uri="{FF2B5EF4-FFF2-40B4-BE49-F238E27FC236}">
              <a16:creationId xmlns:a16="http://schemas.microsoft.com/office/drawing/2014/main" id="{FA2C8913-9935-B00F-6B2A-CAC578DEF2A1}"/>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34" name="TextBox 33">
          <a:extLst>
            <a:ext uri="{FF2B5EF4-FFF2-40B4-BE49-F238E27FC236}">
              <a16:creationId xmlns:a16="http://schemas.microsoft.com/office/drawing/2014/main" id="{E2EA5A98-6DF8-B329-7A98-BFBDA9143EB3}"/>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35" name="TextBox 34">
          <a:extLst>
            <a:ext uri="{FF2B5EF4-FFF2-40B4-BE49-F238E27FC236}">
              <a16:creationId xmlns:a16="http://schemas.microsoft.com/office/drawing/2014/main" id="{DE368208-14A7-465B-FD32-A45189CFAA7C}"/>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36" name="Oval 35">
          <a:extLst>
            <a:ext uri="{FF2B5EF4-FFF2-40B4-BE49-F238E27FC236}">
              <a16:creationId xmlns:a16="http://schemas.microsoft.com/office/drawing/2014/main" id="{7E01DA8E-A2C9-1210-5C63-096486BF556F}"/>
            </a:ext>
          </a:extLst>
        </xdr:cNvPr>
        <xdr:cNvSpPr/>
      </xdr:nvSpPr>
      <xdr:spPr>
        <a:xfrm>
          <a:off x="8321040" y="1516380"/>
          <a:ext cx="137160" cy="137160"/>
        </a:xfrm>
        <a:prstGeom prst="ellipse">
          <a:avLst/>
        </a:prstGeom>
        <a:gradFill>
          <a:gsLst>
            <a:gs pos="0">
              <a:schemeClr val="accent5">
                <a:lumMod val="60000"/>
                <a:lumOff val="40000"/>
              </a:schemeClr>
            </a:gs>
            <a:gs pos="97000">
              <a:srgbClr val="A62C97"/>
            </a:gs>
          </a:gsLst>
          <a:lin ang="3000000" scaled="0"/>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37" name="Oval 36">
          <a:extLst>
            <a:ext uri="{FF2B5EF4-FFF2-40B4-BE49-F238E27FC236}">
              <a16:creationId xmlns:a16="http://schemas.microsoft.com/office/drawing/2014/main" id="{C734D21B-358D-4FC9-9656-2D926DA0DF6E}"/>
            </a:ext>
          </a:extLst>
        </xdr:cNvPr>
        <xdr:cNvSpPr/>
      </xdr:nvSpPr>
      <xdr:spPr>
        <a:xfrm>
          <a:off x="8321040" y="1765300"/>
          <a:ext cx="137160" cy="137160"/>
        </a:xfrm>
        <a:prstGeom prst="ellipse">
          <a:avLst/>
        </a:prstGeom>
        <a:gradFill>
          <a:gsLst>
            <a:gs pos="100000">
              <a:srgbClr val="61A7F5"/>
            </a:gs>
            <a:gs pos="0">
              <a:srgbClr val="4077E3"/>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38" name="Oval 37">
          <a:extLst>
            <a:ext uri="{FF2B5EF4-FFF2-40B4-BE49-F238E27FC236}">
              <a16:creationId xmlns:a16="http://schemas.microsoft.com/office/drawing/2014/main" id="{590968D2-9E31-A369-139A-19E233A452B5}"/>
            </a:ext>
          </a:extLst>
        </xdr:cNvPr>
        <xdr:cNvSpPr/>
      </xdr:nvSpPr>
      <xdr:spPr>
        <a:xfrm>
          <a:off x="8321040" y="2014220"/>
          <a:ext cx="137160" cy="137160"/>
        </a:xfrm>
        <a:prstGeom prst="ellipse">
          <a:avLst/>
        </a:prstGeom>
        <a:gradFill>
          <a:gsLst>
            <a:gs pos="0">
              <a:srgbClr val="8070E2"/>
            </a:gs>
            <a:gs pos="100000">
              <a:srgbClr val="5A4EBD"/>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39" name="Oval 38">
          <a:extLst>
            <a:ext uri="{FF2B5EF4-FFF2-40B4-BE49-F238E27FC236}">
              <a16:creationId xmlns:a16="http://schemas.microsoft.com/office/drawing/2014/main" id="{F25FAB8B-AE31-7381-233D-BD2D013549E9}"/>
            </a:ext>
          </a:extLst>
        </xdr:cNvPr>
        <xdr:cNvSpPr/>
      </xdr:nvSpPr>
      <xdr:spPr>
        <a:xfrm>
          <a:off x="8321040" y="2263140"/>
          <a:ext cx="137160" cy="137160"/>
        </a:xfrm>
        <a:prstGeom prst="ellipse">
          <a:avLst/>
        </a:prstGeom>
        <a:solidFill>
          <a:srgbClr val="49375B"/>
        </a:soli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41" name="TextBox 40">
          <a:extLst>
            <a:ext uri="{FF2B5EF4-FFF2-40B4-BE49-F238E27FC236}">
              <a16:creationId xmlns:a16="http://schemas.microsoft.com/office/drawing/2014/main" id="{A61732C4-B2A5-B1FC-2A41-87E81703184C}"/>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algn="ctr"/>
            <a:t>Traffic Sources</a:t>
          </a:fld>
          <a:endParaRPr lang="ru-RU" sz="44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48" name="Group 47">
          <a:extLst>
            <a:ext uri="{FF2B5EF4-FFF2-40B4-BE49-F238E27FC236}">
              <a16:creationId xmlns:a16="http://schemas.microsoft.com/office/drawing/2014/main" id="{A5627A4A-F779-4D1C-D150-18BE2EBE083F}"/>
            </a:ext>
          </a:extLst>
        </xdr:cNvPr>
        <xdr:cNvGrpSpPr/>
      </xdr:nvGrpSpPr>
      <xdr:grpSpPr>
        <a:xfrm>
          <a:off x="10446503" y="4353436"/>
          <a:ext cx="1566665" cy="1629008"/>
          <a:chOff x="10374536" y="4039901"/>
          <a:chExt cx="1558199" cy="1554481"/>
        </a:xfrm>
      </xdr:grpSpPr>
      <xdr:cxnSp macro="">
        <xdr:nvCxnSpPr>
          <xdr:cNvPr id="44" name="Straight Connector 43">
            <a:extLst>
              <a:ext uri="{FF2B5EF4-FFF2-40B4-BE49-F238E27FC236}">
                <a16:creationId xmlns:a16="http://schemas.microsoft.com/office/drawing/2014/main" id="{C7D864BE-1A05-E1CC-124A-243F88B8B3AF}"/>
              </a:ext>
            </a:extLst>
          </xdr:cNvPr>
          <xdr:cNvCxnSpPr/>
        </xdr:nvCxnSpPr>
        <xdr:spPr>
          <a:xfrm>
            <a:off x="11155494"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89EE3576-CBCE-D925-147A-F7926AF5BE56}"/>
              </a:ext>
            </a:extLst>
          </xdr:cNvPr>
          <xdr:cNvCxnSpPr/>
        </xdr:nvCxnSpPr>
        <xdr:spPr>
          <a:xfrm rot="16200000">
            <a:off x="11155495"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DDD47828-10B2-5238-C2DE-E33462AE0C93}"/>
              </a:ext>
            </a:extLst>
          </xdr:cNvPr>
          <xdr:cNvCxnSpPr/>
        </xdr:nvCxnSpPr>
        <xdr:spPr>
          <a:xfrm rot="2700000">
            <a:off x="11151776" y="4043620"/>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47" name="Straight Connector 46">
            <a:extLst>
              <a:ext uri="{FF2B5EF4-FFF2-40B4-BE49-F238E27FC236}">
                <a16:creationId xmlns:a16="http://schemas.microsoft.com/office/drawing/2014/main" id="{00AD5FA7-2303-6600-CAE4-49C11012C17E}"/>
              </a:ext>
            </a:extLst>
          </xdr:cNvPr>
          <xdr:cNvCxnSpPr/>
        </xdr:nvCxnSpPr>
        <xdr:spPr>
          <a:xfrm rot="18900000" flipH="1">
            <a:off x="11151774" y="4039902"/>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42" name="Chart 41">
          <a:extLst>
            <a:ext uri="{FF2B5EF4-FFF2-40B4-BE49-F238E27FC236}">
              <a16:creationId xmlns:a16="http://schemas.microsoft.com/office/drawing/2014/main" id="{84EC80B0-502E-46BA-8B2E-186B19EDD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49" name="TextBox 48">
          <a:extLst>
            <a:ext uri="{FF2B5EF4-FFF2-40B4-BE49-F238E27FC236}">
              <a16:creationId xmlns:a16="http://schemas.microsoft.com/office/drawing/2014/main" id="{571243C3-18C9-667F-58B0-BB8A9EC4F4CF}"/>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51" name="Chart 50">
          <a:extLst>
            <a:ext uri="{FF2B5EF4-FFF2-40B4-BE49-F238E27FC236}">
              <a16:creationId xmlns:a16="http://schemas.microsoft.com/office/drawing/2014/main" id="{D482076E-ED3F-475A-B001-D02BC2FD9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24</xdr:row>
      <xdr:rowOff>30480</xdr:rowOff>
    </xdr:from>
    <xdr:to>
      <xdr:col>12</xdr:col>
      <xdr:colOff>274320</xdr:colOff>
      <xdr:row>33</xdr:row>
      <xdr:rowOff>121920</xdr:rowOff>
    </xdr:to>
    <xdr:graphicFrame macro="">
      <xdr:nvGraphicFramePr>
        <xdr:cNvPr id="52" name="Chart 51">
          <a:extLst>
            <a:ext uri="{FF2B5EF4-FFF2-40B4-BE49-F238E27FC236}">
              <a16:creationId xmlns:a16="http://schemas.microsoft.com/office/drawing/2014/main" id="{AE5C25FE-0331-4D17-9CD7-FFE4E9DCB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53" name="TextBox 52">
          <a:extLst>
            <a:ext uri="{FF2B5EF4-FFF2-40B4-BE49-F238E27FC236}">
              <a16:creationId xmlns:a16="http://schemas.microsoft.com/office/drawing/2014/main" id="{90E385DF-2C4F-08E0-6C1A-84028720C147}"/>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22</xdr:row>
      <xdr:rowOff>60960</xdr:rowOff>
    </xdr:from>
    <xdr:to>
      <xdr:col>12</xdr:col>
      <xdr:colOff>386242</xdr:colOff>
      <xdr:row>25</xdr:row>
      <xdr:rowOff>60960</xdr:rowOff>
    </xdr:to>
    <xdr:graphicFrame macro="">
      <xdr:nvGraphicFramePr>
        <xdr:cNvPr id="27" name="Chart 26">
          <a:extLst>
            <a:ext uri="{FF2B5EF4-FFF2-40B4-BE49-F238E27FC236}">
              <a16:creationId xmlns:a16="http://schemas.microsoft.com/office/drawing/2014/main" id="{3FF92500-6D7B-4892-AD5C-A0F31F3A7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22</xdr:row>
          <xdr:rowOff>123825</xdr:rowOff>
        </xdr:from>
        <xdr:to>
          <xdr:col>12</xdr:col>
          <xdr:colOff>304800</xdr:colOff>
          <xdr:row>24</xdr:row>
          <xdr:rowOff>133350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23</xdr:row>
      <xdr:rowOff>53340</xdr:rowOff>
    </xdr:from>
    <xdr:to>
      <xdr:col>11</xdr:col>
      <xdr:colOff>350520</xdr:colOff>
      <xdr:row>24</xdr:row>
      <xdr:rowOff>45720</xdr:rowOff>
    </xdr:to>
    <xdr:sp macro="" textlink="">
      <xdr:nvSpPr>
        <xdr:cNvPr id="28" name="Rectangle 27">
          <a:extLst>
            <a:ext uri="{FF2B5EF4-FFF2-40B4-BE49-F238E27FC236}">
              <a16:creationId xmlns:a16="http://schemas.microsoft.com/office/drawing/2014/main" id="{F34E9037-79A5-6BA1-3ABF-93E15A730941}"/>
            </a:ext>
          </a:extLst>
        </xdr:cNvPr>
        <xdr:cNvSpPr/>
      </xdr:nvSpPr>
      <xdr:spPr>
        <a:xfrm>
          <a:off x="6858000" y="4259580"/>
          <a:ext cx="198120" cy="175260"/>
        </a:xfrm>
        <a:prstGeom prst="rect">
          <a:avLst/>
        </a:prstGeom>
        <a:solidFill>
          <a:srgbClr val="4C4D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205740</xdr:colOff>
      <xdr:row>22</xdr:row>
      <xdr:rowOff>83820</xdr:rowOff>
    </xdr:from>
    <xdr:to>
      <xdr:col>10</xdr:col>
      <xdr:colOff>152400</xdr:colOff>
      <xdr:row>24</xdr:row>
      <xdr:rowOff>147828</xdr:rowOff>
    </xdr:to>
    <mc:AlternateContent xmlns:mc="http://schemas.openxmlformats.org/markup-compatibility/2006" xmlns:a14="http://schemas.microsoft.com/office/drawing/2010/main">
      <mc:Choice Requires="a14">
        <xdr:graphicFrame macro="">
          <xdr:nvGraphicFramePr>
            <xdr:cNvPr id="29" name="Indicators">
              <a:extLst>
                <a:ext uri="{FF2B5EF4-FFF2-40B4-BE49-F238E27FC236}">
                  <a16:creationId xmlns:a16="http://schemas.microsoft.com/office/drawing/2014/main" id="{20470A9C-9C89-4C1A-B060-1E13C0DEC2CB}"/>
                </a:ext>
              </a:extLst>
            </xdr:cNvPr>
            <xdr:cNvGraphicFramePr/>
          </xdr:nvGraphicFramePr>
          <xdr:xfrm>
            <a:off x="0" y="0"/>
            <a:ext cx="0" cy="0"/>
          </xdr:xfrm>
          <a:graphic>
            <a:graphicData uri="http://schemas.microsoft.com/office/drawing/2010/slicer">
              <sle:slicer xmlns:sle="http://schemas.microsoft.com/office/drawing/2010/slicer" name="Indicators"/>
            </a:graphicData>
          </a:graphic>
        </xdr:graphicFrame>
      </mc:Choice>
      <mc:Fallback xmlns="">
        <xdr:sp macro="" textlink="">
          <xdr:nvSpPr>
            <xdr:cNvPr id="0" name=""/>
            <xdr:cNvSpPr>
              <a:spLocks noTextEdit="1"/>
            </xdr:cNvSpPr>
          </xdr:nvSpPr>
          <xdr:spPr>
            <a:xfrm>
              <a:off x="3863340" y="4107180"/>
              <a:ext cx="23850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0F65038D-4236-4C1E-8788-A40E9B1B8C6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31" name="Month">
              <a:extLst>
                <a:ext uri="{FF2B5EF4-FFF2-40B4-BE49-F238E27FC236}">
                  <a16:creationId xmlns:a16="http://schemas.microsoft.com/office/drawing/2014/main" id="{DA21DE24-8EC1-4737-865C-95D8790BCA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3" name="TextBox 42">
          <a:extLst>
            <a:ext uri="{FF2B5EF4-FFF2-40B4-BE49-F238E27FC236}">
              <a16:creationId xmlns:a16="http://schemas.microsoft.com/office/drawing/2014/main" id="{12271257-50F3-B989-9FE6-8E7D257B2978}"/>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281940</xdr:colOff>
      <xdr:row>16</xdr:row>
      <xdr:rowOff>0</xdr:rowOff>
    </xdr:from>
    <xdr:to>
      <xdr:col>7</xdr:col>
      <xdr:colOff>220980</xdr:colOff>
      <xdr:row>18</xdr:row>
      <xdr:rowOff>152400</xdr:rowOff>
    </xdr:to>
    <xdr:sp macro="" textlink="Processing!P7">
      <xdr:nvSpPr>
        <xdr:cNvPr id="50" name="TextBox 49">
          <a:extLst>
            <a:ext uri="{FF2B5EF4-FFF2-40B4-BE49-F238E27FC236}">
              <a16:creationId xmlns:a16="http://schemas.microsoft.com/office/drawing/2014/main" id="{C040DA1A-DBC7-B7D6-15D6-3665CEDC2B07}"/>
            </a:ext>
          </a:extLst>
        </xdr:cNvPr>
        <xdr:cNvSpPr txBox="1"/>
      </xdr:nvSpPr>
      <xdr:spPr>
        <a:xfrm>
          <a:off x="2720340" y="292608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8FA8BA-A5B1-4ACD-A22D-DDE0C525801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Leads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54" name="TextBox 53">
          <a:extLst>
            <a:ext uri="{FF2B5EF4-FFF2-40B4-BE49-F238E27FC236}">
              <a16:creationId xmlns:a16="http://schemas.microsoft.com/office/drawing/2014/main" id="{084E4663-5916-0808-8997-9DC7206E8F2B}"/>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15</xdr:row>
      <xdr:rowOff>56603</xdr:rowOff>
    </xdr:from>
    <xdr:to>
      <xdr:col>12</xdr:col>
      <xdr:colOff>201899</xdr:colOff>
      <xdr:row>19</xdr:row>
      <xdr:rowOff>56603</xdr:rowOff>
    </xdr:to>
    <xdr:graphicFrame macro="">
      <xdr:nvGraphicFramePr>
        <xdr:cNvPr id="55" name="Chart 54">
          <a:extLst>
            <a:ext uri="{FF2B5EF4-FFF2-40B4-BE49-F238E27FC236}">
              <a16:creationId xmlns:a16="http://schemas.microsoft.com/office/drawing/2014/main" id="{122207A3-0996-4E4B-8D0A-FBCA5C02B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57" name="Chart 56">
          <a:extLst>
            <a:ext uri="{FF2B5EF4-FFF2-40B4-BE49-F238E27FC236}">
              <a16:creationId xmlns:a16="http://schemas.microsoft.com/office/drawing/2014/main" id="{9F3AD8CE-18CE-4FD0-9B4D-B4B01E3A3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59" name="TextBox 58">
          <a:extLst>
            <a:ext uri="{FF2B5EF4-FFF2-40B4-BE49-F238E27FC236}">
              <a16:creationId xmlns:a16="http://schemas.microsoft.com/office/drawing/2014/main" id="{AF434FB6-9EBA-DFBA-0464-50F2E72D1439}"/>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16</xdr:row>
      <xdr:rowOff>0</xdr:rowOff>
    </xdr:from>
    <xdr:to>
      <xdr:col>10</xdr:col>
      <xdr:colOff>426720</xdr:colOff>
      <xdr:row>18</xdr:row>
      <xdr:rowOff>152400</xdr:rowOff>
    </xdr:to>
    <xdr:sp macro="" textlink="Processing!Q7">
      <xdr:nvSpPr>
        <xdr:cNvPr id="60" name="TextBox 59">
          <a:extLst>
            <a:ext uri="{FF2B5EF4-FFF2-40B4-BE49-F238E27FC236}">
              <a16:creationId xmlns:a16="http://schemas.microsoft.com/office/drawing/2014/main" id="{BD530E46-D131-B485-10D5-0577826C871E}"/>
            </a:ext>
          </a:extLst>
        </xdr:cNvPr>
        <xdr:cNvSpPr txBox="1"/>
      </xdr:nvSpPr>
      <xdr:spPr>
        <a:xfrm>
          <a:off x="5372100" y="2926080"/>
          <a:ext cx="11506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2F9DA5-25E8-458F-9736-BB7BF3B46237}"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Deals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61" name="TextBox 60">
          <a:extLst>
            <a:ext uri="{FF2B5EF4-FFF2-40B4-BE49-F238E27FC236}">
              <a16:creationId xmlns:a16="http://schemas.microsoft.com/office/drawing/2014/main" id="{BA490235-2B8A-52EF-CB7B-B95D25271585}"/>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121920</xdr:colOff>
      <xdr:row>16</xdr:row>
      <xdr:rowOff>76200</xdr:rowOff>
    </xdr:from>
    <xdr:to>
      <xdr:col>12</xdr:col>
      <xdr:colOff>160020</xdr:colOff>
      <xdr:row>18</xdr:row>
      <xdr:rowOff>38100</xdr:rowOff>
    </xdr:to>
    <xdr:sp macro="" textlink="Processing!P10">
      <xdr:nvSpPr>
        <xdr:cNvPr id="62" name="TextBox 61">
          <a:extLst>
            <a:ext uri="{FF2B5EF4-FFF2-40B4-BE49-F238E27FC236}">
              <a16:creationId xmlns:a16="http://schemas.microsoft.com/office/drawing/2014/main" id="{05CF8B05-0B35-211B-39B6-A9EA248E6B5A}"/>
            </a:ext>
          </a:extLst>
        </xdr:cNvPr>
        <xdr:cNvSpPr txBox="1"/>
      </xdr:nvSpPr>
      <xdr:spPr>
        <a:xfrm>
          <a:off x="6827520" y="300228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FF522C-B621-48A1-A58A-5452AB094385}"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65%</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16</xdr:row>
      <xdr:rowOff>76200</xdr:rowOff>
    </xdr:from>
    <xdr:to>
      <xdr:col>11</xdr:col>
      <xdr:colOff>220980</xdr:colOff>
      <xdr:row>18</xdr:row>
      <xdr:rowOff>38100</xdr:rowOff>
    </xdr:to>
    <xdr:sp macro="" textlink="Processing!P9">
      <xdr:nvSpPr>
        <xdr:cNvPr id="63" name="TextBox 62">
          <a:extLst>
            <a:ext uri="{FF2B5EF4-FFF2-40B4-BE49-F238E27FC236}">
              <a16:creationId xmlns:a16="http://schemas.microsoft.com/office/drawing/2014/main" id="{EE5E06F7-197E-3FBF-BE43-B790FCD0323D}"/>
            </a:ext>
          </a:extLst>
        </xdr:cNvPr>
        <xdr:cNvSpPr txBox="1"/>
      </xdr:nvSpPr>
      <xdr:spPr>
        <a:xfrm>
          <a:off x="6073140" y="3002280"/>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DE86B6-215B-441C-A2E1-7281977D6B1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Conversion</a:t>
          </a:fld>
          <a:endParaRPr lang="ru-RU" sz="1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3</xdr:col>
      <xdr:colOff>487680</xdr:colOff>
      <xdr:row>24</xdr:row>
      <xdr:rowOff>144780</xdr:rowOff>
    </xdr:from>
    <xdr:to>
      <xdr:col>12</xdr:col>
      <xdr:colOff>480060</xdr:colOff>
      <xdr:row>32</xdr:row>
      <xdr:rowOff>114300</xdr:rowOff>
    </xdr:to>
    <xdr:sp macro="" textlink="">
      <xdr:nvSpPr>
        <xdr:cNvPr id="40" name="Rectangle: Rounded Corners 39">
          <a:hlinkClick xmlns:r="http://schemas.openxmlformats.org/officeDocument/2006/relationships" r:id="rId8"/>
          <a:extLst>
            <a:ext uri="{FF2B5EF4-FFF2-40B4-BE49-F238E27FC236}">
              <a16:creationId xmlns:a16="http://schemas.microsoft.com/office/drawing/2014/main" id="{EB97E07A-1994-CC4C-3A43-135C27AC060D}"/>
            </a:ext>
          </a:extLst>
        </xdr:cNvPr>
        <xdr:cNvSpPr/>
      </xdr:nvSpPr>
      <xdr:spPr>
        <a:xfrm>
          <a:off x="2316480" y="4533900"/>
          <a:ext cx="5478780" cy="14325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114300</xdr:colOff>
      <xdr:row>4</xdr:row>
      <xdr:rowOff>0</xdr:rowOff>
    </xdr:from>
    <xdr:to>
      <xdr:col>20</xdr:col>
      <xdr:colOff>0</xdr:colOff>
      <xdr:row>17</xdr:row>
      <xdr:rowOff>83820</xdr:rowOff>
    </xdr:to>
    <xdr:sp macro="" textlink="">
      <xdr:nvSpPr>
        <xdr:cNvPr id="56" name="Rectangle: Rounded Corners 55">
          <a:hlinkClick xmlns:r="http://schemas.openxmlformats.org/officeDocument/2006/relationships" r:id="rId9"/>
          <a:extLst>
            <a:ext uri="{FF2B5EF4-FFF2-40B4-BE49-F238E27FC236}">
              <a16:creationId xmlns:a16="http://schemas.microsoft.com/office/drawing/2014/main" id="{8D4A26E6-10BE-8E8D-F482-E64411F796C5}"/>
            </a:ext>
          </a:extLst>
        </xdr:cNvPr>
        <xdr:cNvSpPr/>
      </xdr:nvSpPr>
      <xdr:spPr>
        <a:xfrm>
          <a:off x="8039100" y="7315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99060</xdr:colOff>
      <xdr:row>18</xdr:row>
      <xdr:rowOff>99060</xdr:rowOff>
    </xdr:from>
    <xdr:to>
      <xdr:col>16</xdr:col>
      <xdr:colOff>121920</xdr:colOff>
      <xdr:row>32</xdr:row>
      <xdr:rowOff>99060</xdr:rowOff>
    </xdr:to>
    <xdr:sp macro="" textlink="">
      <xdr:nvSpPr>
        <xdr:cNvPr id="58" name="Rectangle: Rounded Corners 57">
          <a:hlinkClick xmlns:r="http://schemas.openxmlformats.org/officeDocument/2006/relationships" r:id="rId10"/>
          <a:extLst>
            <a:ext uri="{FF2B5EF4-FFF2-40B4-BE49-F238E27FC236}">
              <a16:creationId xmlns:a16="http://schemas.microsoft.com/office/drawing/2014/main" id="{0B4662BC-86CA-7FBD-6E7A-A880C780B24D}"/>
            </a:ext>
          </a:extLst>
        </xdr:cNvPr>
        <xdr:cNvSpPr/>
      </xdr:nvSpPr>
      <xdr:spPr>
        <a:xfrm>
          <a:off x="8023860" y="33909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335280</xdr:colOff>
      <xdr:row>18</xdr:row>
      <xdr:rowOff>99060</xdr:rowOff>
    </xdr:from>
    <xdr:to>
      <xdr:col>20</xdr:col>
      <xdr:colOff>15240</xdr:colOff>
      <xdr:row>35</xdr:row>
      <xdr:rowOff>129540</xdr:rowOff>
    </xdr:to>
    <xdr:sp macro="" textlink="">
      <xdr:nvSpPr>
        <xdr:cNvPr id="1024" name="Rectangle: Rounded Corners 1023">
          <a:hlinkClick xmlns:r="http://schemas.openxmlformats.org/officeDocument/2006/relationships" r:id="rId11"/>
          <a:extLst>
            <a:ext uri="{FF2B5EF4-FFF2-40B4-BE49-F238E27FC236}">
              <a16:creationId xmlns:a16="http://schemas.microsoft.com/office/drawing/2014/main" id="{F4ADBB9D-95CD-D4E5-3F8F-F613AFA74337}"/>
            </a:ext>
          </a:extLst>
        </xdr:cNvPr>
        <xdr:cNvSpPr/>
      </xdr:nvSpPr>
      <xdr:spPr>
        <a:xfrm>
          <a:off x="10088880" y="33909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304800</xdr:colOff>
      <xdr:row>5</xdr:row>
      <xdr:rowOff>7620</xdr:rowOff>
    </xdr:from>
    <xdr:to>
      <xdr:col>12</xdr:col>
      <xdr:colOff>251460</xdr:colOff>
      <xdr:row>11</xdr:row>
      <xdr:rowOff>99060</xdr:rowOff>
    </xdr:to>
    <xdr:sp macro="" textlink="">
      <xdr:nvSpPr>
        <xdr:cNvPr id="1026" name="Rectangle: Rounded Corners 1025">
          <a:hlinkClick xmlns:r="http://schemas.openxmlformats.org/officeDocument/2006/relationships" r:id="rId8"/>
          <a:extLst>
            <a:ext uri="{FF2B5EF4-FFF2-40B4-BE49-F238E27FC236}">
              <a16:creationId xmlns:a16="http://schemas.microsoft.com/office/drawing/2014/main" id="{C84EB114-E380-ACEE-AB78-329B5E822A32}"/>
            </a:ext>
          </a:extLst>
        </xdr:cNvPr>
        <xdr:cNvSpPr/>
      </xdr:nvSpPr>
      <xdr:spPr>
        <a:xfrm>
          <a:off x="5181600" y="922020"/>
          <a:ext cx="2385060" cy="1188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1135" name="Group 1134">
          <a:hlinkClick xmlns:r="http://schemas.openxmlformats.org/officeDocument/2006/relationships" r:id="rId12"/>
          <a:extLst>
            <a:ext uri="{FF2B5EF4-FFF2-40B4-BE49-F238E27FC236}">
              <a16:creationId xmlns:a16="http://schemas.microsoft.com/office/drawing/2014/main" id="{11FE068B-5127-72ED-ECC2-464781DF0295}"/>
            </a:ext>
          </a:extLst>
        </xdr:cNvPr>
        <xdr:cNvGrpSpPr/>
      </xdr:nvGrpSpPr>
      <xdr:grpSpPr>
        <a:xfrm>
          <a:off x="158639" y="833505"/>
          <a:ext cx="274320" cy="262048"/>
          <a:chOff x="2657199" y="8924774"/>
          <a:chExt cx="796566" cy="720791"/>
        </a:xfrm>
      </xdr:grpSpPr>
      <xdr:sp macro="" textlink="">
        <xdr:nvSpPr>
          <xdr:cNvPr id="1139" name="Freeform: Shape 1138">
            <a:extLst>
              <a:ext uri="{FF2B5EF4-FFF2-40B4-BE49-F238E27FC236}">
                <a16:creationId xmlns:a16="http://schemas.microsoft.com/office/drawing/2014/main" id="{690328BE-73F9-EE22-5D96-AB3CD4B30C99}"/>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1140" name="Freeform: Shape 1139">
            <a:extLst>
              <a:ext uri="{FF2B5EF4-FFF2-40B4-BE49-F238E27FC236}">
                <a16:creationId xmlns:a16="http://schemas.microsoft.com/office/drawing/2014/main" id="{4177989E-D8F6-9405-2EEE-D3DFAABDE093}"/>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1141" name="Freeform: Shape 1140">
            <a:extLst>
              <a:ext uri="{FF2B5EF4-FFF2-40B4-BE49-F238E27FC236}">
                <a16:creationId xmlns:a16="http://schemas.microsoft.com/office/drawing/2014/main" id="{C94252F3-C375-960A-2B8F-5A4602FA96ED}"/>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1142" name="Freeform: Shape 1141">
            <a:extLst>
              <a:ext uri="{FF2B5EF4-FFF2-40B4-BE49-F238E27FC236}">
                <a16:creationId xmlns:a16="http://schemas.microsoft.com/office/drawing/2014/main" id="{567FBD30-DA79-BE00-B15B-59C634722E52}"/>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1143" name="Freeform: Shape 1142">
            <a:extLst>
              <a:ext uri="{FF2B5EF4-FFF2-40B4-BE49-F238E27FC236}">
                <a16:creationId xmlns:a16="http://schemas.microsoft.com/office/drawing/2014/main" id="{D2D7294C-E93B-68E4-3FDA-88D53D27B876}"/>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1144" name="Freeform: Shape 1143">
            <a:extLst>
              <a:ext uri="{FF2B5EF4-FFF2-40B4-BE49-F238E27FC236}">
                <a16:creationId xmlns:a16="http://schemas.microsoft.com/office/drawing/2014/main" id="{12544EA6-2466-2AF7-D0C3-801D6E3DC08B}"/>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1145" name="Freeform: Shape 1144">
            <a:extLst>
              <a:ext uri="{FF2B5EF4-FFF2-40B4-BE49-F238E27FC236}">
                <a16:creationId xmlns:a16="http://schemas.microsoft.com/office/drawing/2014/main" id="{8D7369AD-F6FB-DB7C-40B8-8FA435B3A1CF}"/>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1146" name="Freeform: Shape 1145">
            <a:extLst>
              <a:ext uri="{FF2B5EF4-FFF2-40B4-BE49-F238E27FC236}">
                <a16:creationId xmlns:a16="http://schemas.microsoft.com/office/drawing/2014/main" id="{531B8BDC-2514-C0FE-4356-C85318E2A557}"/>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1136" name="Graphic 1135" descr="Moon and stars with solid fill">
          <a:extLst>
            <a:ext uri="{FF2B5EF4-FFF2-40B4-BE49-F238E27FC236}">
              <a16:creationId xmlns:a16="http://schemas.microsoft.com/office/drawing/2014/main" id="{61C4385B-B513-5B42-34C8-7CCAC18F3B0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1137" name="Graphic 1136" descr="Sun with solid fill">
          <a:hlinkClick xmlns:r="http://schemas.openxmlformats.org/officeDocument/2006/relationships" r:id="rId15"/>
          <a:extLst>
            <a:ext uri="{FF2B5EF4-FFF2-40B4-BE49-F238E27FC236}">
              <a16:creationId xmlns:a16="http://schemas.microsoft.com/office/drawing/2014/main" id="{90EB517C-C478-CFE5-40A2-35AF84EC5D9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14338" name="Group 14337">
          <a:extLst>
            <a:ext uri="{FF2B5EF4-FFF2-40B4-BE49-F238E27FC236}">
              <a16:creationId xmlns:a16="http://schemas.microsoft.com/office/drawing/2014/main" id="{CD0D3B44-165A-D283-C7CC-29CCBC3F08D9}"/>
            </a:ext>
          </a:extLst>
        </xdr:cNvPr>
        <xdr:cNvGrpSpPr/>
      </xdr:nvGrpSpPr>
      <xdr:grpSpPr>
        <a:xfrm>
          <a:off x="0" y="0"/>
          <a:ext cx="14732000" cy="8572500"/>
          <a:chOff x="1538344" y="742278"/>
          <a:chExt cx="8961120" cy="5432611"/>
        </a:xfrm>
      </xdr:grpSpPr>
      <xdr:sp macro="" textlink="">
        <xdr:nvSpPr>
          <xdr:cNvPr id="14339" name="Rectangle 14338">
            <a:extLst>
              <a:ext uri="{FF2B5EF4-FFF2-40B4-BE49-F238E27FC236}">
                <a16:creationId xmlns:a16="http://schemas.microsoft.com/office/drawing/2014/main" id="{7B3FE97C-B554-4DA5-0D3D-E06062075749}"/>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340" name="Rectangle 14339">
            <a:extLst>
              <a:ext uri="{FF2B5EF4-FFF2-40B4-BE49-F238E27FC236}">
                <a16:creationId xmlns:a16="http://schemas.microsoft.com/office/drawing/2014/main" id="{6C415FB7-866E-C064-A633-BBB92B0DFBE4}"/>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6" name="Rectangle: Rounded Corners 5">
          <a:extLst>
            <a:ext uri="{FF2B5EF4-FFF2-40B4-BE49-F238E27FC236}">
              <a16:creationId xmlns:a16="http://schemas.microsoft.com/office/drawing/2014/main" id="{353594A4-ADEF-3C82-C30C-25D4422BFE4F}"/>
            </a:ext>
          </a:extLst>
        </xdr:cNvPr>
        <xdr:cNvSpPr/>
      </xdr:nvSpPr>
      <xdr:spPr>
        <a:xfrm>
          <a:off x="1920240" y="381000"/>
          <a:ext cx="10698480" cy="6492240"/>
        </a:xfrm>
        <a:prstGeom prst="roundRect">
          <a:avLst>
            <a:gd name="adj" fmla="val 5678"/>
          </a:avLst>
        </a:prstGeom>
        <a:gradFill flip="none" rotWithShape="1">
          <a:gsLst>
            <a:gs pos="0">
              <a:srgbClr val="E5D9FE"/>
            </a:gs>
            <a:gs pos="100000">
              <a:srgbClr val="DBE0FF"/>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488462</xdr:colOff>
      <xdr:row>3</xdr:row>
      <xdr:rowOff>167548</xdr:rowOff>
    </xdr:from>
    <xdr:to>
      <xdr:col>7</xdr:col>
      <xdr:colOff>492048</xdr:colOff>
      <xdr:row>20</xdr:row>
      <xdr:rowOff>125879</xdr:rowOff>
    </xdr:to>
    <xdr:sp macro="" textlink="">
      <xdr:nvSpPr>
        <xdr:cNvPr id="8" name="Rectangle: Rounded Corners 7">
          <a:extLst>
            <a:ext uri="{FF2B5EF4-FFF2-40B4-BE49-F238E27FC236}">
              <a16:creationId xmlns:a16="http://schemas.microsoft.com/office/drawing/2014/main" id="{DD57A463-A301-46DA-99F5-9C00EE397BF2}"/>
            </a:ext>
          </a:extLst>
        </xdr:cNvPr>
        <xdr:cNvSpPr/>
      </xdr:nvSpPr>
      <xdr:spPr>
        <a:xfrm>
          <a:off x="2317262" y="716188"/>
          <a:ext cx="2441986" cy="3067291"/>
        </a:xfrm>
        <a:prstGeom prst="roundRect">
          <a:avLst>
            <a:gd name="adj" fmla="val 9318"/>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20</xdr:row>
      <xdr:rowOff>128568</xdr:rowOff>
    </xdr:to>
    <xdr:sp macro="" textlink="">
      <xdr:nvSpPr>
        <xdr:cNvPr id="9" name="Rectangle: Rounded Corners 8">
          <a:extLst>
            <a:ext uri="{FF2B5EF4-FFF2-40B4-BE49-F238E27FC236}">
              <a16:creationId xmlns:a16="http://schemas.microsoft.com/office/drawing/2014/main" id="{138547B6-D387-4AD9-9BF8-62C966061CE7}"/>
            </a:ext>
          </a:extLst>
        </xdr:cNvPr>
        <xdr:cNvSpPr/>
      </xdr:nvSpPr>
      <xdr:spPr>
        <a:xfrm>
          <a:off x="4976853" y="718877"/>
          <a:ext cx="2812649" cy="3067291"/>
        </a:xfrm>
        <a:prstGeom prst="roundRect">
          <a:avLst>
            <a:gd name="adj" fmla="val 8437"/>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a:endParaRPr lang="ru-RU" sz="1100">
            <a:solidFill>
              <a:schemeClr val="tx2">
                <a:lumMod val="10000"/>
                <a:lumOff val="90000"/>
              </a:schemeClr>
            </a:solidFill>
            <a:latin typeface="+mn-lt"/>
            <a:ea typeface="+mn-ea"/>
            <a:cs typeface="+mn-cs"/>
          </a:endParaRPr>
        </a:p>
      </xdr:txBody>
    </xdr:sp>
    <xdr:clientData/>
  </xdr:twoCellAnchor>
  <xdr:twoCellAnchor>
    <xdr:from>
      <xdr:col>8</xdr:col>
      <xdr:colOff>317657</xdr:colOff>
      <xdr:row>12</xdr:row>
      <xdr:rowOff>136199</xdr:rowOff>
    </xdr:from>
    <xdr:to>
      <xdr:col>12</xdr:col>
      <xdr:colOff>256697</xdr:colOff>
      <xdr:row>19</xdr:row>
      <xdr:rowOff>44759</xdr:rowOff>
    </xdr:to>
    <xdr:sp macro="" textlink="Processing!Q8">
      <xdr:nvSpPr>
        <xdr:cNvPr id="12" name="Rectangle: Rounded Corners 11">
          <a:extLst>
            <a:ext uri="{FF2B5EF4-FFF2-40B4-BE49-F238E27FC236}">
              <a16:creationId xmlns:a16="http://schemas.microsoft.com/office/drawing/2014/main" id="{4E2B7359-2EE6-5E16-402E-E45F495DD3AE}"/>
            </a:ext>
          </a:extLst>
        </xdr:cNvPr>
        <xdr:cNvSpPr/>
      </xdr:nvSpPr>
      <xdr:spPr>
        <a:xfrm>
          <a:off x="5194457" y="2287728"/>
          <a:ext cx="2377440" cy="1163619"/>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6CBDB07D-9677-49EA-9D28-FB05AE8A6784}" type="TxLink">
            <a:rPr lang="en-US" sz="4000" kern="1200">
              <a:solidFill>
                <a:schemeClr val="tx1"/>
              </a:solidFill>
              <a:latin typeface="+mn-lt"/>
              <a:ea typeface="+mn-ea"/>
              <a:cs typeface="+mn-cs"/>
            </a:rPr>
            <a:pPr marL="0" indent="0" algn="l" defTabSz="914400" rtl="0" eaLnBrk="1" latinLnBrk="0" hangingPunct="1"/>
            <a:t> 28 942</a:t>
          </a:fld>
          <a:endParaRPr lang="ru-RU" sz="4000" kern="1200">
            <a:solidFill>
              <a:schemeClr val="tx1"/>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15" name="Rectangle: Rounded Corners 14">
          <a:extLst>
            <a:ext uri="{FF2B5EF4-FFF2-40B4-BE49-F238E27FC236}">
              <a16:creationId xmlns:a16="http://schemas.microsoft.com/office/drawing/2014/main" id="{812E9831-1438-A206-F2EB-72805968DD07}"/>
            </a:ext>
          </a:extLst>
        </xdr:cNvPr>
        <xdr:cNvSpPr/>
      </xdr:nvSpPr>
      <xdr:spPr>
        <a:xfrm>
          <a:off x="5228324" y="977957"/>
          <a:ext cx="2394373" cy="123444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en-US" sz="4000" kern="1200">
            <a:solidFill>
              <a:schemeClr val="tx1"/>
            </a:solidFill>
            <a:latin typeface="+mn-lt"/>
            <a:ea typeface="+mn-ea"/>
            <a:cs typeface="+mn-cs"/>
          </a:endParaRP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16" name="Rectangle: Rounded Corners 15">
          <a:extLst>
            <a:ext uri="{FF2B5EF4-FFF2-40B4-BE49-F238E27FC236}">
              <a16:creationId xmlns:a16="http://schemas.microsoft.com/office/drawing/2014/main" id="{CFBEC78C-E6D7-48DA-8DE0-F439B04FA1FB}"/>
            </a:ext>
          </a:extLst>
        </xdr:cNvPr>
        <xdr:cNvSpPr/>
      </xdr:nvSpPr>
      <xdr:spPr>
        <a:xfrm>
          <a:off x="8042692" y="716188"/>
          <a:ext cx="4160520" cy="2479040"/>
        </a:xfrm>
        <a:prstGeom prst="roundRect">
          <a:avLst>
            <a:gd name="adj" fmla="val 8437"/>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7" name="Rectangle: Rounded Corners 16">
          <a:extLst>
            <a:ext uri="{FF2B5EF4-FFF2-40B4-BE49-F238E27FC236}">
              <a16:creationId xmlns:a16="http://schemas.microsoft.com/office/drawing/2014/main" id="{73D36617-4ECD-4F09-8CD8-1DA493341FE0}"/>
            </a:ext>
          </a:extLst>
        </xdr:cNvPr>
        <xdr:cNvSpPr/>
      </xdr:nvSpPr>
      <xdr:spPr>
        <a:xfrm>
          <a:off x="10100092" y="3422015"/>
          <a:ext cx="2103120" cy="3108960"/>
        </a:xfrm>
        <a:prstGeom prst="roundRect">
          <a:avLst>
            <a:gd name="adj" fmla="val 8437"/>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8" name="Rectangle: Rounded Corners 17">
          <a:extLst>
            <a:ext uri="{FF2B5EF4-FFF2-40B4-BE49-F238E27FC236}">
              <a16:creationId xmlns:a16="http://schemas.microsoft.com/office/drawing/2014/main" id="{6EC65603-D438-4DA8-A855-B23D4782368A}"/>
            </a:ext>
          </a:extLst>
        </xdr:cNvPr>
        <xdr:cNvSpPr/>
      </xdr:nvSpPr>
      <xdr:spPr>
        <a:xfrm>
          <a:off x="8042692" y="3422015"/>
          <a:ext cx="1828800" cy="3108960"/>
        </a:xfrm>
        <a:prstGeom prst="roundRect">
          <a:avLst>
            <a:gd name="adj" fmla="val 8437"/>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22</xdr:row>
      <xdr:rowOff>8255</xdr:rowOff>
    </xdr:from>
    <xdr:to>
      <xdr:col>12</xdr:col>
      <xdr:colOff>474302</xdr:colOff>
      <xdr:row>35</xdr:row>
      <xdr:rowOff>130175</xdr:rowOff>
    </xdr:to>
    <xdr:sp macro="" textlink="">
      <xdr:nvSpPr>
        <xdr:cNvPr id="19" name="Rectangle: Rounded Corners 18">
          <a:extLst>
            <a:ext uri="{FF2B5EF4-FFF2-40B4-BE49-F238E27FC236}">
              <a16:creationId xmlns:a16="http://schemas.microsoft.com/office/drawing/2014/main" id="{A5FBD9A8-4CA0-4DA7-ABCE-C9CE759D74F7}"/>
            </a:ext>
          </a:extLst>
        </xdr:cNvPr>
        <xdr:cNvSpPr/>
      </xdr:nvSpPr>
      <xdr:spPr>
        <a:xfrm>
          <a:off x="2311672" y="4031615"/>
          <a:ext cx="5477830" cy="2499360"/>
        </a:xfrm>
        <a:prstGeom prst="roundRect">
          <a:avLst>
            <a:gd name="adj" fmla="val 7521"/>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22" name="Rectangle: Rounded Corners 21">
          <a:extLst>
            <a:ext uri="{FF2B5EF4-FFF2-40B4-BE49-F238E27FC236}">
              <a16:creationId xmlns:a16="http://schemas.microsoft.com/office/drawing/2014/main" id="{8FD4B2F6-4630-904B-A6F7-A41987EA4249}"/>
            </a:ext>
          </a:extLst>
        </xdr:cNvPr>
        <xdr:cNvSpPr/>
      </xdr:nvSpPr>
      <xdr:spPr>
        <a:xfrm>
          <a:off x="2545080" y="911711"/>
          <a:ext cx="2011680" cy="1167204"/>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851CB46-C95F-4EA5-9196-E7EC9D96D975}" type="TxLink">
            <a:rPr lang="en-US" sz="4000" b="0" i="0" u="none" strike="noStrike" kern="1200">
              <a:solidFill>
                <a:srgbClr val="000000"/>
              </a:solidFill>
              <a:latin typeface="Aptos Narrow"/>
              <a:ea typeface="+mn-ea"/>
              <a:cs typeface="+mn-cs"/>
            </a:rPr>
            <a:pPr marL="0" indent="0" algn="l" defTabSz="914400" rtl="0" eaLnBrk="1" latinLnBrk="0" hangingPunct="1"/>
            <a:t> 21 089</a:t>
          </a:fld>
          <a:endParaRPr lang="ru-RU" sz="4000" kern="1200">
            <a:solidFill>
              <a:schemeClr val="tx1"/>
            </a:solidFill>
            <a:latin typeface="+mn-lt"/>
            <a:ea typeface="+mn-ea"/>
            <a:cs typeface="+mn-cs"/>
          </a:endParaRPr>
        </a:p>
      </xdr:txBody>
    </xdr:sp>
    <xdr:clientData/>
  </xdr:twoCellAnchor>
  <xdr:twoCellAnchor>
    <xdr:from>
      <xdr:col>4</xdr:col>
      <xdr:colOff>106680</xdr:colOff>
      <xdr:row>12</xdr:row>
      <xdr:rowOff>125982</xdr:rowOff>
    </xdr:from>
    <xdr:to>
      <xdr:col>7</xdr:col>
      <xdr:colOff>289560</xdr:colOff>
      <xdr:row>19</xdr:row>
      <xdr:rowOff>34542</xdr:rowOff>
    </xdr:to>
    <xdr:sp macro="" textlink="Processing!P8">
      <xdr:nvSpPr>
        <xdr:cNvPr id="25" name="Rectangle: Rounded Corners 24">
          <a:extLst>
            <a:ext uri="{FF2B5EF4-FFF2-40B4-BE49-F238E27FC236}">
              <a16:creationId xmlns:a16="http://schemas.microsoft.com/office/drawing/2014/main" id="{CB7AD5F4-6765-0AB8-6F0F-5817ACBC1701}"/>
            </a:ext>
          </a:extLst>
        </xdr:cNvPr>
        <xdr:cNvSpPr/>
      </xdr:nvSpPr>
      <xdr:spPr>
        <a:xfrm>
          <a:off x="2545080" y="2277511"/>
          <a:ext cx="2011680" cy="1163619"/>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03E13EB2-11AA-43BE-95B4-02D45B055080}" type="TxLink">
            <a:rPr lang="en-US" sz="4000" kern="1200">
              <a:solidFill>
                <a:schemeClr val="tx1"/>
              </a:solidFill>
              <a:latin typeface="+mn-lt"/>
              <a:ea typeface="+mn-ea"/>
              <a:cs typeface="+mn-cs"/>
            </a:rPr>
            <a:pPr marL="0" indent="0" algn="l" defTabSz="914400" rtl="0" eaLnBrk="1" latinLnBrk="0" hangingPunct="1"/>
            <a:t> 44 358</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26" name="Circle: Hollow 25">
          <a:extLst>
            <a:ext uri="{FF2B5EF4-FFF2-40B4-BE49-F238E27FC236}">
              <a16:creationId xmlns:a16="http://schemas.microsoft.com/office/drawing/2014/main" id="{75BF9EE1-A0EF-4956-BD49-63909C4B9A90}"/>
            </a:ext>
          </a:extLst>
        </xdr:cNvPr>
        <xdr:cNvSpPr/>
      </xdr:nvSpPr>
      <xdr:spPr>
        <a:xfrm>
          <a:off x="10043159" y="987743"/>
          <a:ext cx="1828800" cy="1828800"/>
        </a:xfrm>
        <a:prstGeom prst="donut">
          <a:avLst>
            <a:gd name="adj" fmla="val 20022"/>
          </a:avLst>
        </a:prstGeom>
        <a:solidFill>
          <a:srgbClr val="C7C5FF"/>
        </a:solidFill>
        <a:ln>
          <a:noFill/>
        </a:ln>
        <a:effectLst>
          <a:innerShdw blurRad="254000">
            <a:prstClr val="black">
              <a:alpha val="3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7" name="Chart 26">
          <a:extLst>
            <a:ext uri="{FF2B5EF4-FFF2-40B4-BE49-F238E27FC236}">
              <a16:creationId xmlns:a16="http://schemas.microsoft.com/office/drawing/2014/main" id="{EB44482E-9D1A-4CC2-8E84-25B66FF47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8" name="TextBox 27">
          <a:extLst>
            <a:ext uri="{FF2B5EF4-FFF2-40B4-BE49-F238E27FC236}">
              <a16:creationId xmlns:a16="http://schemas.microsoft.com/office/drawing/2014/main" id="{24ADE323-45BB-4F33-8A1F-16FF28B64365}"/>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9" name="TextBox 28">
          <a:extLst>
            <a:ext uri="{FF2B5EF4-FFF2-40B4-BE49-F238E27FC236}">
              <a16:creationId xmlns:a16="http://schemas.microsoft.com/office/drawing/2014/main" id="{8AEEDA15-CAD4-4812-AD7D-E7A7B1EEB287}"/>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30" name="TextBox 29">
          <a:extLst>
            <a:ext uri="{FF2B5EF4-FFF2-40B4-BE49-F238E27FC236}">
              <a16:creationId xmlns:a16="http://schemas.microsoft.com/office/drawing/2014/main" id="{4DA16FF2-FC59-4676-AC8E-154F0209E435}"/>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31" name="Oval 30">
          <a:extLst>
            <a:ext uri="{FF2B5EF4-FFF2-40B4-BE49-F238E27FC236}">
              <a16:creationId xmlns:a16="http://schemas.microsoft.com/office/drawing/2014/main" id="{1B3305C5-94FB-4FF4-A49E-9AB6F006519F}"/>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32" name="Oval 31">
          <a:extLst>
            <a:ext uri="{FF2B5EF4-FFF2-40B4-BE49-F238E27FC236}">
              <a16:creationId xmlns:a16="http://schemas.microsoft.com/office/drawing/2014/main" id="{6D28AD95-355E-4617-8456-A4746A5C2C9A}"/>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33" name="Oval 32">
          <a:extLst>
            <a:ext uri="{FF2B5EF4-FFF2-40B4-BE49-F238E27FC236}">
              <a16:creationId xmlns:a16="http://schemas.microsoft.com/office/drawing/2014/main" id="{F25BC383-C2E0-4E1C-973A-E47E8A89E0BA}"/>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34" name="Oval 33">
          <a:extLst>
            <a:ext uri="{FF2B5EF4-FFF2-40B4-BE49-F238E27FC236}">
              <a16:creationId xmlns:a16="http://schemas.microsoft.com/office/drawing/2014/main" id="{C83087F5-FE96-439A-BF1E-BA72EAD7D593}"/>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35" name="TextBox 34">
          <a:extLst>
            <a:ext uri="{FF2B5EF4-FFF2-40B4-BE49-F238E27FC236}">
              <a16:creationId xmlns:a16="http://schemas.microsoft.com/office/drawing/2014/main" id="{E56A4732-AFBF-4833-8FC2-54201A01C839}"/>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6" name="Group 35">
          <a:extLst>
            <a:ext uri="{FF2B5EF4-FFF2-40B4-BE49-F238E27FC236}">
              <a16:creationId xmlns:a16="http://schemas.microsoft.com/office/drawing/2014/main" id="{D39E1658-A71D-4F71-B910-263A96EE5B17}"/>
            </a:ext>
          </a:extLst>
        </xdr:cNvPr>
        <xdr:cNvGrpSpPr/>
      </xdr:nvGrpSpPr>
      <xdr:grpSpPr>
        <a:xfrm>
          <a:off x="10446503" y="4353436"/>
          <a:ext cx="1566665" cy="1629008"/>
          <a:chOff x="10374536" y="4039901"/>
          <a:chExt cx="1558199" cy="1554481"/>
        </a:xfrm>
      </xdr:grpSpPr>
      <xdr:cxnSp macro="">
        <xdr:nvCxnSpPr>
          <xdr:cNvPr id="37" name="Straight Connector 36">
            <a:extLst>
              <a:ext uri="{FF2B5EF4-FFF2-40B4-BE49-F238E27FC236}">
                <a16:creationId xmlns:a16="http://schemas.microsoft.com/office/drawing/2014/main" id="{58268EC7-4ABE-EF76-2B81-840A193ADD76}"/>
              </a:ext>
            </a:extLst>
          </xdr:cNvPr>
          <xdr:cNvCxnSpPr/>
        </xdr:nvCxnSpPr>
        <xdr:spPr>
          <a:xfrm>
            <a:off x="11155494" y="4039901"/>
            <a:ext cx="0" cy="1554480"/>
          </a:xfrm>
          <a:prstGeom prst="line">
            <a:avLst/>
          </a:prstGeom>
          <a:ln w="9525">
            <a:solidFill>
              <a:srgbClr val="AEABFF"/>
            </a:solidFill>
          </a:ln>
        </xdr:spPr>
        <xdr:style>
          <a:lnRef idx="2">
            <a:schemeClr val="accent1"/>
          </a:lnRef>
          <a:fillRef idx="0">
            <a:schemeClr val="accent1"/>
          </a:fillRef>
          <a:effectRef idx="1">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1265C838-7FFC-2E8E-1F26-CCD0640B2636}"/>
              </a:ext>
            </a:extLst>
          </xdr:cNvPr>
          <xdr:cNvCxnSpPr/>
        </xdr:nvCxnSpPr>
        <xdr:spPr>
          <a:xfrm rot="16200000">
            <a:off x="11155495" y="4039901"/>
            <a:ext cx="0" cy="1554480"/>
          </a:xfrm>
          <a:prstGeom prst="line">
            <a:avLst/>
          </a:prstGeom>
          <a:ln w="9525">
            <a:solidFill>
              <a:srgbClr val="AEABFF"/>
            </a:solidFill>
          </a:ln>
        </xdr:spPr>
        <xdr:style>
          <a:lnRef idx="2">
            <a:schemeClr val="accent1"/>
          </a:lnRef>
          <a:fillRef idx="0">
            <a:schemeClr val="accent1"/>
          </a:fillRef>
          <a:effectRef idx="1">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4F1BF557-68DD-732B-E59A-7B60391DAFBF}"/>
              </a:ext>
            </a:extLst>
          </xdr:cNvPr>
          <xdr:cNvCxnSpPr/>
        </xdr:nvCxnSpPr>
        <xdr:spPr>
          <a:xfrm rot="2700000">
            <a:off x="11151776" y="4043620"/>
            <a:ext cx="0" cy="1554480"/>
          </a:xfrm>
          <a:prstGeom prst="line">
            <a:avLst/>
          </a:prstGeom>
          <a:ln w="9525">
            <a:solidFill>
              <a:srgbClr val="AEABFF"/>
            </a:solidFill>
          </a:ln>
        </xdr:spPr>
        <xdr:style>
          <a:lnRef idx="2">
            <a:schemeClr val="accent1"/>
          </a:lnRef>
          <a:fillRef idx="0">
            <a:schemeClr val="accent1"/>
          </a:fillRef>
          <a:effectRef idx="1">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F6C46D2F-FB7A-FF1D-27E3-81F29265A10F}"/>
              </a:ext>
            </a:extLst>
          </xdr:cNvPr>
          <xdr:cNvCxnSpPr/>
        </xdr:nvCxnSpPr>
        <xdr:spPr>
          <a:xfrm rot="18900000" flipH="1">
            <a:off x="11151774" y="4039902"/>
            <a:ext cx="0" cy="1554480"/>
          </a:xfrm>
          <a:prstGeom prst="line">
            <a:avLst/>
          </a:prstGeom>
          <a:ln w="9525">
            <a:solidFill>
              <a:srgbClr val="AEABFF"/>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41" name="Chart 40">
          <a:extLst>
            <a:ext uri="{FF2B5EF4-FFF2-40B4-BE49-F238E27FC236}">
              <a16:creationId xmlns:a16="http://schemas.microsoft.com/office/drawing/2014/main" id="{84849BB0-A8DA-40AB-A42B-D73AADE4D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42" name="TextBox 41">
          <a:extLst>
            <a:ext uri="{FF2B5EF4-FFF2-40B4-BE49-F238E27FC236}">
              <a16:creationId xmlns:a16="http://schemas.microsoft.com/office/drawing/2014/main" id="{BF77709B-A8FF-4D86-9FEF-DB968CEFDE85}"/>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43" name="Chart 42">
          <a:extLst>
            <a:ext uri="{FF2B5EF4-FFF2-40B4-BE49-F238E27FC236}">
              <a16:creationId xmlns:a16="http://schemas.microsoft.com/office/drawing/2014/main" id="{15036471-F028-4118-90C0-888F8BB1E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24</xdr:row>
      <xdr:rowOff>30480</xdr:rowOff>
    </xdr:from>
    <xdr:to>
      <xdr:col>12</xdr:col>
      <xdr:colOff>274320</xdr:colOff>
      <xdr:row>33</xdr:row>
      <xdr:rowOff>121920</xdr:rowOff>
    </xdr:to>
    <xdr:graphicFrame macro="">
      <xdr:nvGraphicFramePr>
        <xdr:cNvPr id="44" name="Chart 43">
          <a:extLst>
            <a:ext uri="{FF2B5EF4-FFF2-40B4-BE49-F238E27FC236}">
              <a16:creationId xmlns:a16="http://schemas.microsoft.com/office/drawing/2014/main" id="{142755CA-0E3B-40BB-8112-0279E0018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45" name="TextBox 44">
          <a:extLst>
            <a:ext uri="{FF2B5EF4-FFF2-40B4-BE49-F238E27FC236}">
              <a16:creationId xmlns:a16="http://schemas.microsoft.com/office/drawing/2014/main" id="{20901DA8-2F3A-4D10-B505-7AE0AAE2D31E}"/>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22</xdr:row>
      <xdr:rowOff>60960</xdr:rowOff>
    </xdr:from>
    <xdr:to>
      <xdr:col>12</xdr:col>
      <xdr:colOff>386242</xdr:colOff>
      <xdr:row>25</xdr:row>
      <xdr:rowOff>60960</xdr:rowOff>
    </xdr:to>
    <xdr:graphicFrame macro="">
      <xdr:nvGraphicFramePr>
        <xdr:cNvPr id="46" name="Chart 45">
          <a:extLst>
            <a:ext uri="{FF2B5EF4-FFF2-40B4-BE49-F238E27FC236}">
              <a16:creationId xmlns:a16="http://schemas.microsoft.com/office/drawing/2014/main" id="{DEB5E40E-CD79-4AF0-962C-D9067D62F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22</xdr:row>
          <xdr:rowOff>123825</xdr:rowOff>
        </xdr:from>
        <xdr:to>
          <xdr:col>12</xdr:col>
          <xdr:colOff>304800</xdr:colOff>
          <xdr:row>24</xdr:row>
          <xdr:rowOff>133350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1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23</xdr:row>
      <xdr:rowOff>53340</xdr:rowOff>
    </xdr:from>
    <xdr:to>
      <xdr:col>11</xdr:col>
      <xdr:colOff>350520</xdr:colOff>
      <xdr:row>24</xdr:row>
      <xdr:rowOff>45720</xdr:rowOff>
    </xdr:to>
    <xdr:sp macro="" textlink="">
      <xdr:nvSpPr>
        <xdr:cNvPr id="47" name="Rectangle 46">
          <a:extLst>
            <a:ext uri="{FF2B5EF4-FFF2-40B4-BE49-F238E27FC236}">
              <a16:creationId xmlns:a16="http://schemas.microsoft.com/office/drawing/2014/main" id="{A24C7CB6-F921-4B5C-82D4-8E9F07D671D9}"/>
            </a:ext>
          </a:extLst>
        </xdr:cNvPr>
        <xdr:cNvSpPr/>
      </xdr:nvSpPr>
      <xdr:spPr>
        <a:xfrm>
          <a:off x="6858000" y="4259580"/>
          <a:ext cx="198120" cy="175260"/>
        </a:xfrm>
        <a:prstGeom prst="rect">
          <a:avLst/>
        </a:prstGeom>
        <a:solidFill>
          <a:srgbClr val="E2D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205740</xdr:colOff>
      <xdr:row>22</xdr:row>
      <xdr:rowOff>83820</xdr:rowOff>
    </xdr:from>
    <xdr:to>
      <xdr:col>10</xdr:col>
      <xdr:colOff>152400</xdr:colOff>
      <xdr:row>24</xdr:row>
      <xdr:rowOff>147828</xdr:rowOff>
    </xdr:to>
    <mc:AlternateContent xmlns:mc="http://schemas.openxmlformats.org/markup-compatibility/2006" xmlns:a14="http://schemas.microsoft.com/office/drawing/2010/main">
      <mc:Choice Requires="a14">
        <xdr:graphicFrame macro="">
          <xdr:nvGraphicFramePr>
            <xdr:cNvPr id="48" name="Indicators 2">
              <a:extLst>
                <a:ext uri="{FF2B5EF4-FFF2-40B4-BE49-F238E27FC236}">
                  <a16:creationId xmlns:a16="http://schemas.microsoft.com/office/drawing/2014/main" id="{8DC22972-7037-4778-8A45-1560C1B667D3}"/>
                </a:ext>
              </a:extLst>
            </xdr:cNvPr>
            <xdr:cNvGraphicFramePr/>
          </xdr:nvGraphicFramePr>
          <xdr:xfrm>
            <a:off x="0" y="0"/>
            <a:ext cx="0" cy="0"/>
          </xdr:xfrm>
          <a:graphic>
            <a:graphicData uri="http://schemas.microsoft.com/office/drawing/2010/slicer">
              <sle:slicer xmlns:sle="http://schemas.microsoft.com/office/drawing/2010/slicer" name="Indicators 2"/>
            </a:graphicData>
          </a:graphic>
        </xdr:graphicFrame>
      </mc:Choice>
      <mc:Fallback xmlns="">
        <xdr:sp macro="" textlink="">
          <xdr:nvSpPr>
            <xdr:cNvPr id="0" name=""/>
            <xdr:cNvSpPr>
              <a:spLocks noTextEdit="1"/>
            </xdr:cNvSpPr>
          </xdr:nvSpPr>
          <xdr:spPr>
            <a:xfrm>
              <a:off x="3863340" y="4107180"/>
              <a:ext cx="23850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9" name="Year 5">
              <a:extLst>
                <a:ext uri="{FF2B5EF4-FFF2-40B4-BE49-F238E27FC236}">
                  <a16:creationId xmlns:a16="http://schemas.microsoft.com/office/drawing/2014/main" id="{2EADD8DE-4B1F-4FCB-9251-813EB91D0FEF}"/>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50" name="Month 5">
              <a:extLst>
                <a:ext uri="{FF2B5EF4-FFF2-40B4-BE49-F238E27FC236}">
                  <a16:creationId xmlns:a16="http://schemas.microsoft.com/office/drawing/2014/main" id="{EC0B29B6-507D-4AD8-99FF-4D382153D5EA}"/>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51" name="TextBox 50">
          <a:extLst>
            <a:ext uri="{FF2B5EF4-FFF2-40B4-BE49-F238E27FC236}">
              <a16:creationId xmlns:a16="http://schemas.microsoft.com/office/drawing/2014/main" id="{0633167D-2A2A-4F92-8D18-206D28E623A2}"/>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281940</xdr:colOff>
      <xdr:row>16</xdr:row>
      <xdr:rowOff>0</xdr:rowOff>
    </xdr:from>
    <xdr:to>
      <xdr:col>7</xdr:col>
      <xdr:colOff>220980</xdr:colOff>
      <xdr:row>18</xdr:row>
      <xdr:rowOff>152400</xdr:rowOff>
    </xdr:to>
    <xdr:sp macro="" textlink="Processing!P7">
      <xdr:nvSpPr>
        <xdr:cNvPr id="52" name="TextBox 51">
          <a:extLst>
            <a:ext uri="{FF2B5EF4-FFF2-40B4-BE49-F238E27FC236}">
              <a16:creationId xmlns:a16="http://schemas.microsoft.com/office/drawing/2014/main" id="{9B9FF6F9-9C26-4EAA-A350-B611A86CD88A}"/>
            </a:ext>
          </a:extLst>
        </xdr:cNvPr>
        <xdr:cNvSpPr txBox="1"/>
      </xdr:nvSpPr>
      <xdr:spPr>
        <a:xfrm>
          <a:off x="2720340" y="292608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8FA8BA-A5B1-4ACD-A22D-DDE0C525801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Leads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53" name="TextBox 52">
          <a:extLst>
            <a:ext uri="{FF2B5EF4-FFF2-40B4-BE49-F238E27FC236}">
              <a16:creationId xmlns:a16="http://schemas.microsoft.com/office/drawing/2014/main" id="{2EBE60E5-6FDF-4F86-BA81-8E3E916F6768}"/>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15</xdr:row>
      <xdr:rowOff>56603</xdr:rowOff>
    </xdr:from>
    <xdr:to>
      <xdr:col>12</xdr:col>
      <xdr:colOff>201899</xdr:colOff>
      <xdr:row>19</xdr:row>
      <xdr:rowOff>56603</xdr:rowOff>
    </xdr:to>
    <xdr:graphicFrame macro="">
      <xdr:nvGraphicFramePr>
        <xdr:cNvPr id="54" name="Chart 53">
          <a:extLst>
            <a:ext uri="{FF2B5EF4-FFF2-40B4-BE49-F238E27FC236}">
              <a16:creationId xmlns:a16="http://schemas.microsoft.com/office/drawing/2014/main" id="{2AB5B1C1-C2B4-4E9E-B6C9-8A5F96A63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55" name="Chart 54">
          <a:extLst>
            <a:ext uri="{FF2B5EF4-FFF2-40B4-BE49-F238E27FC236}">
              <a16:creationId xmlns:a16="http://schemas.microsoft.com/office/drawing/2014/main" id="{107DA432-1DFB-4030-B9A4-1471780E1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56" name="TextBox 55">
          <a:extLst>
            <a:ext uri="{FF2B5EF4-FFF2-40B4-BE49-F238E27FC236}">
              <a16:creationId xmlns:a16="http://schemas.microsoft.com/office/drawing/2014/main" id="{E1C1890F-30AA-4F92-8399-0FEE4DC46FA8}"/>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16</xdr:row>
      <xdr:rowOff>0</xdr:rowOff>
    </xdr:from>
    <xdr:to>
      <xdr:col>10</xdr:col>
      <xdr:colOff>426720</xdr:colOff>
      <xdr:row>18</xdr:row>
      <xdr:rowOff>152400</xdr:rowOff>
    </xdr:to>
    <xdr:sp macro="" textlink="Processing!Q7">
      <xdr:nvSpPr>
        <xdr:cNvPr id="57" name="TextBox 56">
          <a:extLst>
            <a:ext uri="{FF2B5EF4-FFF2-40B4-BE49-F238E27FC236}">
              <a16:creationId xmlns:a16="http://schemas.microsoft.com/office/drawing/2014/main" id="{DDD198F7-0E1E-4D5C-8769-0C7CEF112CC9}"/>
            </a:ext>
          </a:extLst>
        </xdr:cNvPr>
        <xdr:cNvSpPr txBox="1"/>
      </xdr:nvSpPr>
      <xdr:spPr>
        <a:xfrm>
          <a:off x="5372100" y="2926080"/>
          <a:ext cx="11506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2F9DA5-25E8-458F-9736-BB7BF3B46237}"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Deals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58" name="TextBox 57">
          <a:extLst>
            <a:ext uri="{FF2B5EF4-FFF2-40B4-BE49-F238E27FC236}">
              <a16:creationId xmlns:a16="http://schemas.microsoft.com/office/drawing/2014/main" id="{6B19F2D5-799A-425B-9EB6-65A096088EAF}"/>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121920</xdr:colOff>
      <xdr:row>16</xdr:row>
      <xdr:rowOff>76200</xdr:rowOff>
    </xdr:from>
    <xdr:to>
      <xdr:col>12</xdr:col>
      <xdr:colOff>160020</xdr:colOff>
      <xdr:row>18</xdr:row>
      <xdr:rowOff>38100</xdr:rowOff>
    </xdr:to>
    <xdr:sp macro="" textlink="Processing!P10">
      <xdr:nvSpPr>
        <xdr:cNvPr id="59" name="TextBox 58">
          <a:extLst>
            <a:ext uri="{FF2B5EF4-FFF2-40B4-BE49-F238E27FC236}">
              <a16:creationId xmlns:a16="http://schemas.microsoft.com/office/drawing/2014/main" id="{086E2119-35B6-441A-990C-2AE5A66F30B0}"/>
            </a:ext>
          </a:extLst>
        </xdr:cNvPr>
        <xdr:cNvSpPr txBox="1"/>
      </xdr:nvSpPr>
      <xdr:spPr>
        <a:xfrm>
          <a:off x="6827520" y="300228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FF522C-B621-48A1-A58A-5452AB094385}"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65%</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16</xdr:row>
      <xdr:rowOff>76200</xdr:rowOff>
    </xdr:from>
    <xdr:to>
      <xdr:col>11</xdr:col>
      <xdr:colOff>220980</xdr:colOff>
      <xdr:row>18</xdr:row>
      <xdr:rowOff>38100</xdr:rowOff>
    </xdr:to>
    <xdr:sp macro="" textlink="Processing!P9">
      <xdr:nvSpPr>
        <xdr:cNvPr id="60" name="TextBox 59">
          <a:extLst>
            <a:ext uri="{FF2B5EF4-FFF2-40B4-BE49-F238E27FC236}">
              <a16:creationId xmlns:a16="http://schemas.microsoft.com/office/drawing/2014/main" id="{4A97D7EC-02D6-4F1A-9842-36F36405CABD}"/>
            </a:ext>
          </a:extLst>
        </xdr:cNvPr>
        <xdr:cNvSpPr txBox="1"/>
      </xdr:nvSpPr>
      <xdr:spPr>
        <a:xfrm>
          <a:off x="6073140" y="3002280"/>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DE86B6-215B-441C-A2E1-7281977D6B1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Conversion</a:t>
          </a:fld>
          <a:endParaRPr lang="ru-RU" sz="1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3</xdr:col>
      <xdr:colOff>487680</xdr:colOff>
      <xdr:row>25</xdr:row>
      <xdr:rowOff>38100</xdr:rowOff>
    </xdr:from>
    <xdr:to>
      <xdr:col>12</xdr:col>
      <xdr:colOff>480060</xdr:colOff>
      <xdr:row>32</xdr:row>
      <xdr:rowOff>114300</xdr:rowOff>
    </xdr:to>
    <xdr:sp macro="" textlink="">
      <xdr:nvSpPr>
        <xdr:cNvPr id="61" name="Rectangle: Rounded Corners 60">
          <a:hlinkClick xmlns:r="http://schemas.openxmlformats.org/officeDocument/2006/relationships" r:id="rId8"/>
          <a:extLst>
            <a:ext uri="{FF2B5EF4-FFF2-40B4-BE49-F238E27FC236}">
              <a16:creationId xmlns:a16="http://schemas.microsoft.com/office/drawing/2014/main" id="{113D8590-807D-47B8-86A3-2E96BC4013B9}"/>
            </a:ext>
          </a:extLst>
        </xdr:cNvPr>
        <xdr:cNvSpPr/>
      </xdr:nvSpPr>
      <xdr:spPr>
        <a:xfrm>
          <a:off x="2316480" y="4610100"/>
          <a:ext cx="5478780" cy="13563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114300</xdr:colOff>
      <xdr:row>4</xdr:row>
      <xdr:rowOff>0</xdr:rowOff>
    </xdr:from>
    <xdr:to>
      <xdr:col>20</xdr:col>
      <xdr:colOff>0</xdr:colOff>
      <xdr:row>17</xdr:row>
      <xdr:rowOff>83820</xdr:rowOff>
    </xdr:to>
    <xdr:sp macro="" textlink="">
      <xdr:nvSpPr>
        <xdr:cNvPr id="62" name="Rectangle: Rounded Corners 61">
          <a:hlinkClick xmlns:r="http://schemas.openxmlformats.org/officeDocument/2006/relationships" r:id="rId9"/>
          <a:extLst>
            <a:ext uri="{FF2B5EF4-FFF2-40B4-BE49-F238E27FC236}">
              <a16:creationId xmlns:a16="http://schemas.microsoft.com/office/drawing/2014/main" id="{EEA86468-B08C-4137-AB53-E52E53E6619D}"/>
            </a:ext>
          </a:extLst>
        </xdr:cNvPr>
        <xdr:cNvSpPr/>
      </xdr:nvSpPr>
      <xdr:spPr>
        <a:xfrm>
          <a:off x="8039100" y="7315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99060</xdr:colOff>
      <xdr:row>18</xdr:row>
      <xdr:rowOff>99060</xdr:rowOff>
    </xdr:from>
    <xdr:to>
      <xdr:col>16</xdr:col>
      <xdr:colOff>121920</xdr:colOff>
      <xdr:row>32</xdr:row>
      <xdr:rowOff>99060</xdr:rowOff>
    </xdr:to>
    <xdr:sp macro="" textlink="">
      <xdr:nvSpPr>
        <xdr:cNvPr id="63" name="Rectangle: Rounded Corners 62">
          <a:hlinkClick xmlns:r="http://schemas.openxmlformats.org/officeDocument/2006/relationships" r:id="rId10"/>
          <a:extLst>
            <a:ext uri="{FF2B5EF4-FFF2-40B4-BE49-F238E27FC236}">
              <a16:creationId xmlns:a16="http://schemas.microsoft.com/office/drawing/2014/main" id="{B23265B3-7CCB-43C9-9FAB-FB11ED58D677}"/>
            </a:ext>
          </a:extLst>
        </xdr:cNvPr>
        <xdr:cNvSpPr/>
      </xdr:nvSpPr>
      <xdr:spPr>
        <a:xfrm>
          <a:off x="8023860" y="33909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335280</xdr:colOff>
      <xdr:row>18</xdr:row>
      <xdr:rowOff>99060</xdr:rowOff>
    </xdr:from>
    <xdr:to>
      <xdr:col>20</xdr:col>
      <xdr:colOff>15240</xdr:colOff>
      <xdr:row>35</xdr:row>
      <xdr:rowOff>129540</xdr:rowOff>
    </xdr:to>
    <xdr:sp macro="" textlink="">
      <xdr:nvSpPr>
        <xdr:cNvPr id="14336" name="Rectangle: Rounded Corners 14335">
          <a:hlinkClick xmlns:r="http://schemas.openxmlformats.org/officeDocument/2006/relationships" r:id="rId11"/>
          <a:extLst>
            <a:ext uri="{FF2B5EF4-FFF2-40B4-BE49-F238E27FC236}">
              <a16:creationId xmlns:a16="http://schemas.microsoft.com/office/drawing/2014/main" id="{7ED701B6-9125-4551-90C1-F68E3DC59094}"/>
            </a:ext>
          </a:extLst>
        </xdr:cNvPr>
        <xdr:cNvSpPr/>
      </xdr:nvSpPr>
      <xdr:spPr>
        <a:xfrm>
          <a:off x="10088880" y="33909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320040</xdr:colOff>
      <xdr:row>5</xdr:row>
      <xdr:rowOff>15240</xdr:rowOff>
    </xdr:from>
    <xdr:to>
      <xdr:col>12</xdr:col>
      <xdr:colOff>243840</xdr:colOff>
      <xdr:row>11</xdr:row>
      <xdr:rowOff>91440</xdr:rowOff>
    </xdr:to>
    <xdr:sp macro="" textlink="">
      <xdr:nvSpPr>
        <xdr:cNvPr id="2" name="Rectangle: Rounded Corners 1">
          <a:hlinkClick xmlns:r="http://schemas.openxmlformats.org/officeDocument/2006/relationships" r:id="rId8"/>
          <a:extLst>
            <a:ext uri="{FF2B5EF4-FFF2-40B4-BE49-F238E27FC236}">
              <a16:creationId xmlns:a16="http://schemas.microsoft.com/office/drawing/2014/main" id="{8CE66555-E5D1-0CF5-73AB-106B83374529}"/>
            </a:ext>
          </a:extLst>
        </xdr:cNvPr>
        <xdr:cNvSpPr/>
      </xdr:nvSpPr>
      <xdr:spPr>
        <a:xfrm>
          <a:off x="5230707" y="967740"/>
          <a:ext cx="2379133" cy="12192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4" name="Group 3">
          <a:extLst>
            <a:ext uri="{FF2B5EF4-FFF2-40B4-BE49-F238E27FC236}">
              <a16:creationId xmlns:a16="http://schemas.microsoft.com/office/drawing/2014/main" id="{5D9E4306-0AC7-9791-E9D5-84C004D595C5}"/>
            </a:ext>
          </a:extLst>
        </xdr:cNvPr>
        <xdr:cNvGrpSpPr/>
      </xdr:nvGrpSpPr>
      <xdr:grpSpPr>
        <a:xfrm>
          <a:off x="158639" y="833505"/>
          <a:ext cx="274320" cy="262048"/>
          <a:chOff x="2657199" y="8924774"/>
          <a:chExt cx="796566" cy="720791"/>
        </a:xfrm>
        <a:solidFill>
          <a:schemeClr val="bg1">
            <a:lumMod val="75000"/>
          </a:schemeClr>
        </a:solidFill>
      </xdr:grpSpPr>
      <xdr:sp macro="" textlink="">
        <xdr:nvSpPr>
          <xdr:cNvPr id="11" name="Freeform: Shape 10">
            <a:extLst>
              <a:ext uri="{FF2B5EF4-FFF2-40B4-BE49-F238E27FC236}">
                <a16:creationId xmlns:a16="http://schemas.microsoft.com/office/drawing/2014/main" id="{DB0C65C0-6BF6-9044-C32C-0A5F06AA3324}"/>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grpFill/>
          <a:ln w="9525" cap="flat">
            <a:noFill/>
            <a:prstDash val="solid"/>
            <a:miter/>
          </a:ln>
        </xdr:spPr>
        <xdr:txBody>
          <a:bodyPr rtlCol="0" anchor="ctr"/>
          <a:lstStyle/>
          <a:p>
            <a:endParaRPr lang="ru-RU"/>
          </a:p>
        </xdr:txBody>
      </xdr:sp>
      <xdr:sp macro="" textlink="">
        <xdr:nvSpPr>
          <xdr:cNvPr id="13" name="Freeform: Shape 12">
            <a:extLst>
              <a:ext uri="{FF2B5EF4-FFF2-40B4-BE49-F238E27FC236}">
                <a16:creationId xmlns:a16="http://schemas.microsoft.com/office/drawing/2014/main" id="{FA6695E2-C2EA-FA19-04FE-17C38FC53B82}"/>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grpFill/>
          <a:ln w="9525" cap="flat">
            <a:noFill/>
            <a:prstDash val="solid"/>
            <a:miter/>
          </a:ln>
        </xdr:spPr>
        <xdr:txBody>
          <a:bodyPr rtlCol="0" anchor="ctr"/>
          <a:lstStyle/>
          <a:p>
            <a:endParaRPr lang="ru-RU"/>
          </a:p>
        </xdr:txBody>
      </xdr:sp>
      <xdr:sp macro="" textlink="">
        <xdr:nvSpPr>
          <xdr:cNvPr id="14" name="Freeform: Shape 13">
            <a:extLst>
              <a:ext uri="{FF2B5EF4-FFF2-40B4-BE49-F238E27FC236}">
                <a16:creationId xmlns:a16="http://schemas.microsoft.com/office/drawing/2014/main" id="{AFEBBAA1-AD95-E556-B051-567B69A35A66}"/>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20" name="Freeform: Shape 19">
            <a:extLst>
              <a:ext uri="{FF2B5EF4-FFF2-40B4-BE49-F238E27FC236}">
                <a16:creationId xmlns:a16="http://schemas.microsoft.com/office/drawing/2014/main" id="{227C043D-80B9-B47C-BAF9-F8025CC88384}"/>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21" name="Freeform: Shape 20">
            <a:extLst>
              <a:ext uri="{FF2B5EF4-FFF2-40B4-BE49-F238E27FC236}">
                <a16:creationId xmlns:a16="http://schemas.microsoft.com/office/drawing/2014/main" id="{88615B57-6F31-48C0-88AB-B0157167CF08}"/>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23" name="Freeform: Shape 22">
            <a:extLst>
              <a:ext uri="{FF2B5EF4-FFF2-40B4-BE49-F238E27FC236}">
                <a16:creationId xmlns:a16="http://schemas.microsoft.com/office/drawing/2014/main" id="{A312BABD-17E7-6F30-8F6D-31511032B7D2}"/>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24" name="Freeform: Shape 23">
            <a:extLst>
              <a:ext uri="{FF2B5EF4-FFF2-40B4-BE49-F238E27FC236}">
                <a16:creationId xmlns:a16="http://schemas.microsoft.com/office/drawing/2014/main" id="{2A0CD3E5-EDA5-5CC8-9F6E-43EF284A169C}"/>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grpFill/>
          <a:ln w="9525" cap="flat">
            <a:noFill/>
            <a:prstDash val="solid"/>
            <a:miter/>
          </a:ln>
        </xdr:spPr>
        <xdr:txBody>
          <a:bodyPr rtlCol="0" anchor="ctr"/>
          <a:lstStyle/>
          <a:p>
            <a:endParaRPr lang="ru-RU"/>
          </a:p>
        </xdr:txBody>
      </xdr:sp>
      <xdr:sp macro="" textlink="">
        <xdr:nvSpPr>
          <xdr:cNvPr id="14341" name="Freeform: Shape 14340">
            <a:extLst>
              <a:ext uri="{FF2B5EF4-FFF2-40B4-BE49-F238E27FC236}">
                <a16:creationId xmlns:a16="http://schemas.microsoft.com/office/drawing/2014/main" id="{AF8BCDD5-274A-140D-129F-A960DF2A530D}"/>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grp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5" name="Graphic 4" descr="Moon and stars with solid fill">
          <a:hlinkClick xmlns:r="http://schemas.openxmlformats.org/officeDocument/2006/relationships" r:id="rId12"/>
          <a:extLst>
            <a:ext uri="{FF2B5EF4-FFF2-40B4-BE49-F238E27FC236}">
              <a16:creationId xmlns:a16="http://schemas.microsoft.com/office/drawing/2014/main" id="{5AFE5D97-ED3F-08E0-B17C-8FCC56D5587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7" name="Graphic 6" descr="Sun with solid fill">
          <a:hlinkClick xmlns:r="http://schemas.openxmlformats.org/officeDocument/2006/relationships" r:id="rId15"/>
          <a:extLst>
            <a:ext uri="{FF2B5EF4-FFF2-40B4-BE49-F238E27FC236}">
              <a16:creationId xmlns:a16="http://schemas.microsoft.com/office/drawing/2014/main" id="{B945F751-95F5-EAC5-4B40-39BA2EB43E6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twoCellAnchor>
    <xdr:from>
      <xdr:col>8</xdr:col>
      <xdr:colOff>292480</xdr:colOff>
      <xdr:row>4</xdr:row>
      <xdr:rowOff>132078</xdr:rowOff>
    </xdr:from>
    <xdr:to>
      <xdr:col>12</xdr:col>
      <xdr:colOff>300177</xdr:colOff>
      <xdr:row>9</xdr:row>
      <xdr:rowOff>158749</xdr:rowOff>
    </xdr:to>
    <xdr:sp macro="" textlink="Processing!E15">
      <xdr:nvSpPr>
        <xdr:cNvPr id="3" name="TextBox 2">
          <a:extLst>
            <a:ext uri="{FF2B5EF4-FFF2-40B4-BE49-F238E27FC236}">
              <a16:creationId xmlns:a16="http://schemas.microsoft.com/office/drawing/2014/main" id="{0464921E-37AB-4CA5-9F1D-EDB9BCC8FCD5}"/>
            </a:ext>
          </a:extLst>
        </xdr:cNvPr>
        <xdr:cNvSpPr txBox="1"/>
      </xdr:nvSpPr>
      <xdr:spPr>
        <a:xfrm>
          <a:off x="5203147" y="894078"/>
          <a:ext cx="2463030" cy="979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EA9C81F-ACB4-48B3-86A0-92E96C3DD758}" type="TxLink">
            <a:rPr lang="en-US" sz="3600" b="0" i="0" u="none" strike="noStrike">
              <a:solidFill>
                <a:srgbClr val="000000"/>
              </a:solidFill>
              <a:latin typeface="+mn-lt"/>
              <a:ea typeface="Verdana" panose="020B0604030504040204" pitchFamily="34" charset="0"/>
              <a:cs typeface="Calibri" panose="020F0502020204030204" pitchFamily="34" charset="0"/>
            </a:rPr>
            <a:t> $13,44,765 </a:t>
          </a:fld>
          <a:endParaRPr lang="ru-RU" sz="3600" b="0" i="0" u="none" strike="noStrike">
            <a:solidFill>
              <a:schemeClr val="tx1"/>
            </a:solidFill>
            <a:latin typeface="+mn-lt"/>
            <a:ea typeface="Verdana" panose="020B0604030504040204" pitchFamily="34" charset="0"/>
            <a:cs typeface="Calibri" panose="020F050202020403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2" name="Group 1">
          <a:extLst>
            <a:ext uri="{FF2B5EF4-FFF2-40B4-BE49-F238E27FC236}">
              <a16:creationId xmlns:a16="http://schemas.microsoft.com/office/drawing/2014/main" id="{938C1AD4-0D4F-482F-8372-615320B0E021}"/>
            </a:ext>
          </a:extLst>
        </xdr:cNvPr>
        <xdr:cNvGrpSpPr/>
      </xdr:nvGrpSpPr>
      <xdr:grpSpPr>
        <a:xfrm>
          <a:off x="0" y="0"/>
          <a:ext cx="14732000" cy="8572500"/>
          <a:chOff x="1538344" y="742278"/>
          <a:chExt cx="8961120" cy="5432611"/>
        </a:xfrm>
      </xdr:grpSpPr>
      <xdr:sp macro="" textlink="">
        <xdr:nvSpPr>
          <xdr:cNvPr id="3" name="Rectangle 2">
            <a:extLst>
              <a:ext uri="{FF2B5EF4-FFF2-40B4-BE49-F238E27FC236}">
                <a16:creationId xmlns:a16="http://schemas.microsoft.com/office/drawing/2014/main" id="{99E4C67F-EFF8-3BCE-5333-BE38E5FD16FC}"/>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82D96D3A-1A9D-C556-3DAD-EBCD24B1DB1F}"/>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5" name="Rectangle: Rounded Corners 4">
          <a:extLst>
            <a:ext uri="{FF2B5EF4-FFF2-40B4-BE49-F238E27FC236}">
              <a16:creationId xmlns:a16="http://schemas.microsoft.com/office/drawing/2014/main" id="{AEDADCF5-29F2-4AFD-BE70-5208AE8F50BD}"/>
            </a:ext>
          </a:extLst>
        </xdr:cNvPr>
        <xdr:cNvSpPr/>
      </xdr:nvSpPr>
      <xdr:spPr>
        <a:xfrm>
          <a:off x="1920240" y="381000"/>
          <a:ext cx="10698480" cy="6492240"/>
        </a:xfrm>
        <a:prstGeom prst="roundRect">
          <a:avLst>
            <a:gd name="adj" fmla="val 5678"/>
          </a:avLst>
        </a:prstGeom>
        <a:solidFill>
          <a:schemeClr val="bg1"/>
        </a:soli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488462</xdr:colOff>
      <xdr:row>3</xdr:row>
      <xdr:rowOff>167548</xdr:rowOff>
    </xdr:from>
    <xdr:to>
      <xdr:col>7</xdr:col>
      <xdr:colOff>492048</xdr:colOff>
      <xdr:row>20</xdr:row>
      <xdr:rowOff>125879</xdr:rowOff>
    </xdr:to>
    <xdr:sp macro="" textlink="">
      <xdr:nvSpPr>
        <xdr:cNvPr id="7" name="Rectangle: Rounded Corners 6">
          <a:extLst>
            <a:ext uri="{FF2B5EF4-FFF2-40B4-BE49-F238E27FC236}">
              <a16:creationId xmlns:a16="http://schemas.microsoft.com/office/drawing/2014/main" id="{B2AD3358-95E3-4CDC-ADE5-D4316D7D1041}"/>
            </a:ext>
          </a:extLst>
        </xdr:cNvPr>
        <xdr:cNvSpPr/>
      </xdr:nvSpPr>
      <xdr:spPr>
        <a:xfrm>
          <a:off x="2317262" y="716188"/>
          <a:ext cx="2441986" cy="3067291"/>
        </a:xfrm>
        <a:prstGeom prst="roundRect">
          <a:avLst>
            <a:gd name="adj" fmla="val 931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20</xdr:row>
      <xdr:rowOff>128568</xdr:rowOff>
    </xdr:to>
    <xdr:sp macro="" textlink="">
      <xdr:nvSpPr>
        <xdr:cNvPr id="8" name="Rectangle: Rounded Corners 7">
          <a:extLst>
            <a:ext uri="{FF2B5EF4-FFF2-40B4-BE49-F238E27FC236}">
              <a16:creationId xmlns:a16="http://schemas.microsoft.com/office/drawing/2014/main" id="{262CE086-F78D-49AA-B5A0-840AC5954A4A}"/>
            </a:ext>
          </a:extLst>
        </xdr:cNvPr>
        <xdr:cNvSpPr/>
      </xdr:nvSpPr>
      <xdr:spPr>
        <a:xfrm>
          <a:off x="4976853" y="718877"/>
          <a:ext cx="2812649" cy="3067291"/>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a:endParaRPr lang="ru-RU" sz="1100">
            <a:solidFill>
              <a:schemeClr val="tx2">
                <a:lumMod val="10000"/>
                <a:lumOff val="90000"/>
              </a:schemeClr>
            </a:solidFill>
            <a:latin typeface="+mn-lt"/>
            <a:ea typeface="+mn-ea"/>
            <a:cs typeface="+mn-cs"/>
          </a:endParaRPr>
        </a:p>
      </xdr:txBody>
    </xdr:sp>
    <xdr:clientData/>
  </xdr:twoCellAnchor>
  <xdr:twoCellAnchor>
    <xdr:from>
      <xdr:col>8</xdr:col>
      <xdr:colOff>317657</xdr:colOff>
      <xdr:row>12</xdr:row>
      <xdr:rowOff>136199</xdr:rowOff>
    </xdr:from>
    <xdr:to>
      <xdr:col>12</xdr:col>
      <xdr:colOff>256697</xdr:colOff>
      <xdr:row>19</xdr:row>
      <xdr:rowOff>44759</xdr:rowOff>
    </xdr:to>
    <xdr:sp macro="" textlink="Processing!Q8">
      <xdr:nvSpPr>
        <xdr:cNvPr id="9" name="Rectangle: Rounded Corners 8">
          <a:extLst>
            <a:ext uri="{FF2B5EF4-FFF2-40B4-BE49-F238E27FC236}">
              <a16:creationId xmlns:a16="http://schemas.microsoft.com/office/drawing/2014/main" id="{2C8A3D02-5968-4A5D-92D2-BFFBEFED93AB}"/>
            </a:ext>
          </a:extLst>
        </xdr:cNvPr>
        <xdr:cNvSpPr/>
      </xdr:nvSpPr>
      <xdr:spPr>
        <a:xfrm>
          <a:off x="5194457" y="2330759"/>
          <a:ext cx="237744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6CBDB07D-9677-49EA-9D28-FB05AE8A6784}" type="TxLink">
            <a:rPr lang="en-US" sz="4000" b="0" i="0" u="none" strike="noStrike" kern="1200">
              <a:solidFill>
                <a:schemeClr val="tx1"/>
              </a:solidFill>
              <a:latin typeface="+mn-lt"/>
              <a:ea typeface="+mn-ea"/>
              <a:cs typeface="+mn-cs"/>
            </a:rPr>
            <a:pPr marL="0" indent="0" algn="l" defTabSz="914400" rtl="0" eaLnBrk="1" latinLnBrk="0" hangingPunct="1"/>
            <a:t> 28 942</a:t>
          </a:fld>
          <a:endParaRPr lang="ru-RU" sz="4000" kern="1200">
            <a:solidFill>
              <a:schemeClr val="tx1"/>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10" name="Rectangle: Rounded Corners 9">
          <a:extLst>
            <a:ext uri="{FF2B5EF4-FFF2-40B4-BE49-F238E27FC236}">
              <a16:creationId xmlns:a16="http://schemas.microsoft.com/office/drawing/2014/main" id="{650F537C-F24A-4128-B495-EB9B9052A42B}"/>
            </a:ext>
          </a:extLst>
        </xdr:cNvPr>
        <xdr:cNvSpPr/>
      </xdr:nvSpPr>
      <xdr:spPr>
        <a:xfrm>
          <a:off x="5194457" y="939857"/>
          <a:ext cx="237744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en-US" sz="4000" kern="1200">
            <a:solidFill>
              <a:schemeClr val="tx1"/>
            </a:solidFill>
            <a:latin typeface="+mn-lt"/>
            <a:ea typeface="+mn-ea"/>
            <a:cs typeface="+mn-cs"/>
          </a:endParaRP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11" name="Rectangle: Rounded Corners 10">
          <a:extLst>
            <a:ext uri="{FF2B5EF4-FFF2-40B4-BE49-F238E27FC236}">
              <a16:creationId xmlns:a16="http://schemas.microsoft.com/office/drawing/2014/main" id="{EDF8C47E-2B0E-483C-9793-EB45BA481A1C}"/>
            </a:ext>
          </a:extLst>
        </xdr:cNvPr>
        <xdr:cNvSpPr/>
      </xdr:nvSpPr>
      <xdr:spPr>
        <a:xfrm>
          <a:off x="8042692" y="716188"/>
          <a:ext cx="4160520" cy="247904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2" name="Rectangle: Rounded Corners 11">
          <a:extLst>
            <a:ext uri="{FF2B5EF4-FFF2-40B4-BE49-F238E27FC236}">
              <a16:creationId xmlns:a16="http://schemas.microsoft.com/office/drawing/2014/main" id="{E19F52E7-23D2-4EF1-BB25-B10E45686F97}"/>
            </a:ext>
          </a:extLst>
        </xdr:cNvPr>
        <xdr:cNvSpPr/>
      </xdr:nvSpPr>
      <xdr:spPr>
        <a:xfrm>
          <a:off x="10100092" y="3422015"/>
          <a:ext cx="2103120" cy="310896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3" name="Rectangle: Rounded Corners 12">
          <a:extLst>
            <a:ext uri="{FF2B5EF4-FFF2-40B4-BE49-F238E27FC236}">
              <a16:creationId xmlns:a16="http://schemas.microsoft.com/office/drawing/2014/main" id="{C9108FA7-62B0-44C1-B80D-EE5EF0F4DEFB}"/>
            </a:ext>
          </a:extLst>
        </xdr:cNvPr>
        <xdr:cNvSpPr/>
      </xdr:nvSpPr>
      <xdr:spPr>
        <a:xfrm>
          <a:off x="8042692" y="3422015"/>
          <a:ext cx="1828800" cy="310896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22</xdr:row>
      <xdr:rowOff>8255</xdr:rowOff>
    </xdr:from>
    <xdr:to>
      <xdr:col>12</xdr:col>
      <xdr:colOff>474302</xdr:colOff>
      <xdr:row>35</xdr:row>
      <xdr:rowOff>130175</xdr:rowOff>
    </xdr:to>
    <xdr:sp macro="" textlink="">
      <xdr:nvSpPr>
        <xdr:cNvPr id="14" name="Rectangle: Rounded Corners 13">
          <a:extLst>
            <a:ext uri="{FF2B5EF4-FFF2-40B4-BE49-F238E27FC236}">
              <a16:creationId xmlns:a16="http://schemas.microsoft.com/office/drawing/2014/main" id="{F81131D7-E12A-4629-9E6A-4D82676A8D52}"/>
            </a:ext>
          </a:extLst>
        </xdr:cNvPr>
        <xdr:cNvSpPr/>
      </xdr:nvSpPr>
      <xdr:spPr>
        <a:xfrm>
          <a:off x="2311672" y="4031615"/>
          <a:ext cx="5477830" cy="2499360"/>
        </a:xfrm>
        <a:prstGeom prst="roundRect">
          <a:avLst>
            <a:gd name="adj" fmla="val 7521"/>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15" name="Rectangle: Rounded Corners 14">
          <a:extLst>
            <a:ext uri="{FF2B5EF4-FFF2-40B4-BE49-F238E27FC236}">
              <a16:creationId xmlns:a16="http://schemas.microsoft.com/office/drawing/2014/main" id="{A9F0EC0B-C5B7-4279-BE6E-FFE0CF03C557}"/>
            </a:ext>
          </a:extLst>
        </xdr:cNvPr>
        <xdr:cNvSpPr/>
      </xdr:nvSpPr>
      <xdr:spPr>
        <a:xfrm>
          <a:off x="2545080" y="929640"/>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E32C8DB-6FE0-4D11-AD68-B2C93E73BEA3}" type="TxLink">
            <a:rPr lang="en-US" sz="4000" b="0" i="0" u="none" strike="noStrike" kern="1200">
              <a:solidFill>
                <a:srgbClr val="000000"/>
              </a:solidFill>
              <a:latin typeface="Aptos Narrow"/>
              <a:ea typeface="+mn-ea"/>
              <a:cs typeface="+mn-cs"/>
            </a:rPr>
            <a:pPr marL="0" indent="0" algn="l" defTabSz="914400" rtl="0" eaLnBrk="1" latinLnBrk="0" hangingPunct="1"/>
            <a:t> 21 089</a:t>
          </a:fld>
          <a:endParaRPr lang="ru-RU" sz="4000" kern="1200">
            <a:solidFill>
              <a:srgbClr val="FF0000"/>
            </a:solidFill>
            <a:latin typeface="+mn-lt"/>
            <a:ea typeface="+mn-ea"/>
            <a:cs typeface="+mn-cs"/>
          </a:endParaRPr>
        </a:p>
      </xdr:txBody>
    </xdr:sp>
    <xdr:clientData/>
  </xdr:twoCellAnchor>
  <xdr:twoCellAnchor>
    <xdr:from>
      <xdr:col>4</xdr:col>
      <xdr:colOff>106680</xdr:colOff>
      <xdr:row>12</xdr:row>
      <xdr:rowOff>125982</xdr:rowOff>
    </xdr:from>
    <xdr:to>
      <xdr:col>7</xdr:col>
      <xdr:colOff>289560</xdr:colOff>
      <xdr:row>19</xdr:row>
      <xdr:rowOff>34542</xdr:rowOff>
    </xdr:to>
    <xdr:sp macro="" textlink="Processing!P8">
      <xdr:nvSpPr>
        <xdr:cNvPr id="16" name="Rectangle: Rounded Corners 15">
          <a:extLst>
            <a:ext uri="{FF2B5EF4-FFF2-40B4-BE49-F238E27FC236}">
              <a16:creationId xmlns:a16="http://schemas.microsoft.com/office/drawing/2014/main" id="{6DD7AB4C-2375-482A-BD08-A572826ADE29}"/>
            </a:ext>
          </a:extLst>
        </xdr:cNvPr>
        <xdr:cNvSpPr/>
      </xdr:nvSpPr>
      <xdr:spPr>
        <a:xfrm>
          <a:off x="2545080" y="2320542"/>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03E13EB2-11AA-43BE-95B4-02D45B055080}" type="TxLink">
            <a:rPr lang="en-US" sz="4000" b="0" i="0" u="none" strike="noStrike" kern="1200">
              <a:solidFill>
                <a:schemeClr val="tx1"/>
              </a:solidFill>
              <a:latin typeface="+mn-lt"/>
              <a:ea typeface="+mn-ea"/>
              <a:cs typeface="+mn-cs"/>
            </a:rPr>
            <a:pPr marL="0" indent="0" algn="l" defTabSz="914400" rtl="0" eaLnBrk="1" latinLnBrk="0" hangingPunct="1"/>
            <a:t> 44 358</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17" name="Circle: Hollow 16">
          <a:extLst>
            <a:ext uri="{FF2B5EF4-FFF2-40B4-BE49-F238E27FC236}">
              <a16:creationId xmlns:a16="http://schemas.microsoft.com/office/drawing/2014/main" id="{0EA198BD-3319-4174-9C1F-20A0A2775CA5}"/>
            </a:ext>
          </a:extLst>
        </xdr:cNvPr>
        <xdr:cNvSpPr/>
      </xdr:nvSpPr>
      <xdr:spPr>
        <a:xfrm>
          <a:off x="10043159" y="987743"/>
          <a:ext cx="1828800" cy="1828800"/>
        </a:xfrm>
        <a:prstGeom prst="donut">
          <a:avLst>
            <a:gd name="adj" fmla="val 20022"/>
          </a:avLst>
        </a:prstGeom>
        <a:solidFill>
          <a:schemeClr val="bg1"/>
        </a:solidFill>
        <a:ln>
          <a:noFill/>
        </a:ln>
        <a:effectLst>
          <a:innerShdw blurRad="254000">
            <a:srgbClr val="0D328D">
              <a:alpha val="38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18" name="Chart 17">
          <a:extLst>
            <a:ext uri="{FF2B5EF4-FFF2-40B4-BE49-F238E27FC236}">
              <a16:creationId xmlns:a16="http://schemas.microsoft.com/office/drawing/2014/main" id="{91B16CBA-0E48-42D5-ACAC-5015EE521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19" name="TextBox 18">
          <a:extLst>
            <a:ext uri="{FF2B5EF4-FFF2-40B4-BE49-F238E27FC236}">
              <a16:creationId xmlns:a16="http://schemas.microsoft.com/office/drawing/2014/main" id="{D1CC1C61-BD63-4EA7-B58B-BF2C309FA837}"/>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0" name="TextBox 19">
          <a:extLst>
            <a:ext uri="{FF2B5EF4-FFF2-40B4-BE49-F238E27FC236}">
              <a16:creationId xmlns:a16="http://schemas.microsoft.com/office/drawing/2014/main" id="{CA4FA680-2682-4E72-A097-BC708F966DFC}"/>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1" name="TextBox 20">
          <a:extLst>
            <a:ext uri="{FF2B5EF4-FFF2-40B4-BE49-F238E27FC236}">
              <a16:creationId xmlns:a16="http://schemas.microsoft.com/office/drawing/2014/main" id="{4176D0A3-945F-4699-867D-0A551AD4408A}"/>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2" name="Oval 21">
          <a:extLst>
            <a:ext uri="{FF2B5EF4-FFF2-40B4-BE49-F238E27FC236}">
              <a16:creationId xmlns:a16="http://schemas.microsoft.com/office/drawing/2014/main" id="{A59065CE-3A2D-44D4-97DA-2FB777728FE6}"/>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3" name="Oval 22">
          <a:extLst>
            <a:ext uri="{FF2B5EF4-FFF2-40B4-BE49-F238E27FC236}">
              <a16:creationId xmlns:a16="http://schemas.microsoft.com/office/drawing/2014/main" id="{771EFC36-D168-47CB-9BCA-01BE112400BC}"/>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4" name="Oval 23">
          <a:extLst>
            <a:ext uri="{FF2B5EF4-FFF2-40B4-BE49-F238E27FC236}">
              <a16:creationId xmlns:a16="http://schemas.microsoft.com/office/drawing/2014/main" id="{6B6058C2-33FE-4281-9B7E-271C7C26C1FC}"/>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5" name="Oval 24">
          <a:extLst>
            <a:ext uri="{FF2B5EF4-FFF2-40B4-BE49-F238E27FC236}">
              <a16:creationId xmlns:a16="http://schemas.microsoft.com/office/drawing/2014/main" id="{8D5709D5-6712-43CE-AFDB-2DE3B92D52B2}"/>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6" name="TextBox 25">
          <a:extLst>
            <a:ext uri="{FF2B5EF4-FFF2-40B4-BE49-F238E27FC236}">
              <a16:creationId xmlns:a16="http://schemas.microsoft.com/office/drawing/2014/main" id="{9C620303-C70D-44D1-91A0-0E62396D79D2}"/>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27" name="Group 26">
          <a:extLst>
            <a:ext uri="{FF2B5EF4-FFF2-40B4-BE49-F238E27FC236}">
              <a16:creationId xmlns:a16="http://schemas.microsoft.com/office/drawing/2014/main" id="{5E16C2AC-E5DC-442D-9EDD-BCD6A9B41BE4}"/>
            </a:ext>
          </a:extLst>
        </xdr:cNvPr>
        <xdr:cNvGrpSpPr/>
      </xdr:nvGrpSpPr>
      <xdr:grpSpPr>
        <a:xfrm>
          <a:off x="10446503" y="4353436"/>
          <a:ext cx="1566665" cy="1629008"/>
          <a:chOff x="10374536" y="4039901"/>
          <a:chExt cx="1558199" cy="1554481"/>
        </a:xfrm>
      </xdr:grpSpPr>
      <xdr:cxnSp macro="">
        <xdr:nvCxnSpPr>
          <xdr:cNvPr id="28" name="Straight Connector 27">
            <a:extLst>
              <a:ext uri="{FF2B5EF4-FFF2-40B4-BE49-F238E27FC236}">
                <a16:creationId xmlns:a16="http://schemas.microsoft.com/office/drawing/2014/main" id="{A57B07ED-C1B7-CA73-0EBC-157B797D18AE}"/>
              </a:ext>
            </a:extLst>
          </xdr:cNvPr>
          <xdr:cNvCxnSpPr/>
        </xdr:nvCxnSpPr>
        <xdr:spPr>
          <a:xfrm>
            <a:off x="11155494" y="4039901"/>
            <a:ext cx="0" cy="1554480"/>
          </a:xfrm>
          <a:prstGeom prst="line">
            <a:avLst/>
          </a:prstGeom>
          <a:ln w="9525">
            <a:solidFill>
              <a:srgbClr val="AEABFF"/>
            </a:solidFill>
          </a:ln>
        </xdr:spPr>
        <xdr:style>
          <a:lnRef idx="2">
            <a:schemeClr val="accent1"/>
          </a:lnRef>
          <a:fillRef idx="0">
            <a:schemeClr val="accent1"/>
          </a:fillRef>
          <a:effectRef idx="1">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76934BA8-C339-19C7-0E8E-AD2A692D4301}"/>
              </a:ext>
            </a:extLst>
          </xdr:cNvPr>
          <xdr:cNvCxnSpPr/>
        </xdr:nvCxnSpPr>
        <xdr:spPr>
          <a:xfrm rot="16200000">
            <a:off x="11155495" y="4039901"/>
            <a:ext cx="0" cy="1554480"/>
          </a:xfrm>
          <a:prstGeom prst="line">
            <a:avLst/>
          </a:prstGeom>
          <a:ln w="9525">
            <a:solidFill>
              <a:srgbClr val="AEABFF"/>
            </a:solidFill>
          </a:ln>
        </xdr:spPr>
        <xdr:style>
          <a:lnRef idx="2">
            <a:schemeClr val="accent1"/>
          </a:lnRef>
          <a:fillRef idx="0">
            <a:schemeClr val="accent1"/>
          </a:fillRef>
          <a:effectRef idx="1">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5B932721-C0A2-FFE7-AFEF-B7D34368E95B}"/>
              </a:ext>
            </a:extLst>
          </xdr:cNvPr>
          <xdr:cNvCxnSpPr/>
        </xdr:nvCxnSpPr>
        <xdr:spPr>
          <a:xfrm rot="2700000">
            <a:off x="11151776" y="4043620"/>
            <a:ext cx="0" cy="1554480"/>
          </a:xfrm>
          <a:prstGeom prst="line">
            <a:avLst/>
          </a:prstGeom>
          <a:ln w="9525">
            <a:solidFill>
              <a:srgbClr val="AEABFF"/>
            </a:solidFill>
          </a:ln>
        </xdr:spPr>
        <xdr:style>
          <a:lnRef idx="2">
            <a:schemeClr val="accent1"/>
          </a:lnRef>
          <a:fillRef idx="0">
            <a:schemeClr val="accent1"/>
          </a:fillRef>
          <a:effectRef idx="1">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DC997ABC-749F-6426-18C3-5F670F14468B}"/>
              </a:ext>
            </a:extLst>
          </xdr:cNvPr>
          <xdr:cNvCxnSpPr/>
        </xdr:nvCxnSpPr>
        <xdr:spPr>
          <a:xfrm rot="18900000" flipH="1">
            <a:off x="11151774" y="4039902"/>
            <a:ext cx="0" cy="1554480"/>
          </a:xfrm>
          <a:prstGeom prst="line">
            <a:avLst/>
          </a:prstGeom>
          <a:ln w="9525">
            <a:solidFill>
              <a:srgbClr val="AEABFF"/>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2" name="Chart 31">
          <a:extLst>
            <a:ext uri="{FF2B5EF4-FFF2-40B4-BE49-F238E27FC236}">
              <a16:creationId xmlns:a16="http://schemas.microsoft.com/office/drawing/2014/main" id="{068C5F2F-EFB7-4714-9E00-DB1DBDBE1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3" name="TextBox 32">
          <a:extLst>
            <a:ext uri="{FF2B5EF4-FFF2-40B4-BE49-F238E27FC236}">
              <a16:creationId xmlns:a16="http://schemas.microsoft.com/office/drawing/2014/main" id="{4F898024-7000-4028-A967-56ED879233BB}"/>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4" name="Chart 33">
          <a:extLst>
            <a:ext uri="{FF2B5EF4-FFF2-40B4-BE49-F238E27FC236}">
              <a16:creationId xmlns:a16="http://schemas.microsoft.com/office/drawing/2014/main" id="{A6154D85-85E5-4F7E-9703-5A4BD9B0D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24</xdr:row>
      <xdr:rowOff>30480</xdr:rowOff>
    </xdr:from>
    <xdr:to>
      <xdr:col>12</xdr:col>
      <xdr:colOff>274320</xdr:colOff>
      <xdr:row>33</xdr:row>
      <xdr:rowOff>121920</xdr:rowOff>
    </xdr:to>
    <xdr:graphicFrame macro="">
      <xdr:nvGraphicFramePr>
        <xdr:cNvPr id="35" name="Chart 34">
          <a:extLst>
            <a:ext uri="{FF2B5EF4-FFF2-40B4-BE49-F238E27FC236}">
              <a16:creationId xmlns:a16="http://schemas.microsoft.com/office/drawing/2014/main" id="{16FD7F94-13B9-45C5-B0D6-8E509E944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6" name="TextBox 35">
          <a:extLst>
            <a:ext uri="{FF2B5EF4-FFF2-40B4-BE49-F238E27FC236}">
              <a16:creationId xmlns:a16="http://schemas.microsoft.com/office/drawing/2014/main" id="{506FA616-4372-4D50-BF26-6A88D6A36315}"/>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22</xdr:row>
      <xdr:rowOff>60960</xdr:rowOff>
    </xdr:from>
    <xdr:to>
      <xdr:col>12</xdr:col>
      <xdr:colOff>386242</xdr:colOff>
      <xdr:row>25</xdr:row>
      <xdr:rowOff>60960</xdr:rowOff>
    </xdr:to>
    <xdr:graphicFrame macro="">
      <xdr:nvGraphicFramePr>
        <xdr:cNvPr id="37" name="Chart 36">
          <a:extLst>
            <a:ext uri="{FF2B5EF4-FFF2-40B4-BE49-F238E27FC236}">
              <a16:creationId xmlns:a16="http://schemas.microsoft.com/office/drawing/2014/main" id="{68426525-9988-4F89-8C44-24C1DE35E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22</xdr:row>
          <xdr:rowOff>123825</xdr:rowOff>
        </xdr:from>
        <xdr:to>
          <xdr:col>12</xdr:col>
          <xdr:colOff>304800</xdr:colOff>
          <xdr:row>24</xdr:row>
          <xdr:rowOff>133350</xdr:rowOff>
        </xdr:to>
        <xdr:sp macro="" textlink="">
          <xdr:nvSpPr>
            <xdr:cNvPr id="23553" name="Check Box 1" hidden="1">
              <a:extLst>
                <a:ext uri="{63B3BB69-23CF-44E3-9099-C40C66FF867C}">
                  <a14:compatExt spid="_x0000_s23553"/>
                </a:ext>
                <a:ext uri="{FF2B5EF4-FFF2-40B4-BE49-F238E27FC236}">
                  <a16:creationId xmlns:a16="http://schemas.microsoft.com/office/drawing/2014/main" id="{00000000-0008-0000-0200-0000015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23</xdr:row>
      <xdr:rowOff>53340</xdr:rowOff>
    </xdr:from>
    <xdr:to>
      <xdr:col>11</xdr:col>
      <xdr:colOff>350520</xdr:colOff>
      <xdr:row>24</xdr:row>
      <xdr:rowOff>45720</xdr:rowOff>
    </xdr:to>
    <xdr:sp macro="" textlink="">
      <xdr:nvSpPr>
        <xdr:cNvPr id="38" name="Rectangle 37">
          <a:extLst>
            <a:ext uri="{FF2B5EF4-FFF2-40B4-BE49-F238E27FC236}">
              <a16:creationId xmlns:a16="http://schemas.microsoft.com/office/drawing/2014/main" id="{B18BC741-F42C-416A-B93C-1E202DE1DA7F}"/>
            </a:ext>
          </a:extLst>
        </xdr:cNvPr>
        <xdr:cNvSpPr/>
      </xdr:nvSpPr>
      <xdr:spPr>
        <a:xfrm>
          <a:off x="6858000" y="4259580"/>
          <a:ext cx="198120" cy="1752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205740</xdr:colOff>
      <xdr:row>22</xdr:row>
      <xdr:rowOff>83820</xdr:rowOff>
    </xdr:from>
    <xdr:to>
      <xdr:col>10</xdr:col>
      <xdr:colOff>152400</xdr:colOff>
      <xdr:row>24</xdr:row>
      <xdr:rowOff>147828</xdr:rowOff>
    </xdr:to>
    <mc:AlternateContent xmlns:mc="http://schemas.openxmlformats.org/markup-compatibility/2006" xmlns:a14="http://schemas.microsoft.com/office/drawing/2010/main">
      <mc:Choice Requires="a14">
        <xdr:graphicFrame macro="">
          <xdr:nvGraphicFramePr>
            <xdr:cNvPr id="39" name="Indicators 5">
              <a:extLst>
                <a:ext uri="{FF2B5EF4-FFF2-40B4-BE49-F238E27FC236}">
                  <a16:creationId xmlns:a16="http://schemas.microsoft.com/office/drawing/2014/main" id="{7C0C2405-2221-44C6-8685-980D39152629}"/>
                </a:ext>
              </a:extLst>
            </xdr:cNvPr>
            <xdr:cNvGraphicFramePr/>
          </xdr:nvGraphicFramePr>
          <xdr:xfrm>
            <a:off x="0" y="0"/>
            <a:ext cx="0" cy="0"/>
          </xdr:xfrm>
          <a:graphic>
            <a:graphicData uri="http://schemas.microsoft.com/office/drawing/2010/slicer">
              <sle:slicer xmlns:sle="http://schemas.microsoft.com/office/drawing/2010/slicer" name="Indicators 5"/>
            </a:graphicData>
          </a:graphic>
        </xdr:graphicFrame>
      </mc:Choice>
      <mc:Fallback xmlns="">
        <xdr:sp macro="" textlink="">
          <xdr:nvSpPr>
            <xdr:cNvPr id="0" name=""/>
            <xdr:cNvSpPr>
              <a:spLocks noTextEdit="1"/>
            </xdr:cNvSpPr>
          </xdr:nvSpPr>
          <xdr:spPr>
            <a:xfrm>
              <a:off x="3863340" y="4107180"/>
              <a:ext cx="23850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0" name="Year 14">
              <a:extLst>
                <a:ext uri="{FF2B5EF4-FFF2-40B4-BE49-F238E27FC236}">
                  <a16:creationId xmlns:a16="http://schemas.microsoft.com/office/drawing/2014/main" id="{53BD1FF4-62AB-465C-B397-8A3D265CBA58}"/>
                </a:ext>
              </a:extLst>
            </xdr:cNvPr>
            <xdr:cNvGraphicFramePr/>
          </xdr:nvGraphicFramePr>
          <xdr:xfrm>
            <a:off x="0" y="0"/>
            <a:ext cx="0" cy="0"/>
          </xdr:xfrm>
          <a:graphic>
            <a:graphicData uri="http://schemas.microsoft.com/office/drawing/2010/slicer">
              <sle:slicer xmlns:sle="http://schemas.microsoft.com/office/drawing/2010/slicer" name="Year 14"/>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1" name="Month 14">
              <a:extLst>
                <a:ext uri="{FF2B5EF4-FFF2-40B4-BE49-F238E27FC236}">
                  <a16:creationId xmlns:a16="http://schemas.microsoft.com/office/drawing/2014/main" id="{E97BD079-A701-4CA2-AF02-6A1C7782E48D}"/>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2" name="TextBox 41">
          <a:extLst>
            <a:ext uri="{FF2B5EF4-FFF2-40B4-BE49-F238E27FC236}">
              <a16:creationId xmlns:a16="http://schemas.microsoft.com/office/drawing/2014/main" id="{D105A73A-9FBE-47B4-B457-40242ADF12B4}"/>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281940</xdr:colOff>
      <xdr:row>16</xdr:row>
      <xdr:rowOff>0</xdr:rowOff>
    </xdr:from>
    <xdr:to>
      <xdr:col>7</xdr:col>
      <xdr:colOff>220980</xdr:colOff>
      <xdr:row>18</xdr:row>
      <xdr:rowOff>152400</xdr:rowOff>
    </xdr:to>
    <xdr:sp macro="" textlink="Processing!P7">
      <xdr:nvSpPr>
        <xdr:cNvPr id="43" name="TextBox 42">
          <a:extLst>
            <a:ext uri="{FF2B5EF4-FFF2-40B4-BE49-F238E27FC236}">
              <a16:creationId xmlns:a16="http://schemas.microsoft.com/office/drawing/2014/main" id="{0FFF6053-FB21-4BCE-9FBB-94C647860580}"/>
            </a:ext>
          </a:extLst>
        </xdr:cNvPr>
        <xdr:cNvSpPr txBox="1"/>
      </xdr:nvSpPr>
      <xdr:spPr>
        <a:xfrm>
          <a:off x="2720340" y="292608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78FA8BA-A5B1-4ACD-A22D-DDE0C525801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Leads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4" name="TextBox 43">
          <a:extLst>
            <a:ext uri="{FF2B5EF4-FFF2-40B4-BE49-F238E27FC236}">
              <a16:creationId xmlns:a16="http://schemas.microsoft.com/office/drawing/2014/main" id="{52C47C0C-86E7-49FD-98AB-3B292F658279}"/>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15</xdr:row>
      <xdr:rowOff>56603</xdr:rowOff>
    </xdr:from>
    <xdr:to>
      <xdr:col>12</xdr:col>
      <xdr:colOff>201899</xdr:colOff>
      <xdr:row>19</xdr:row>
      <xdr:rowOff>56603</xdr:rowOff>
    </xdr:to>
    <xdr:graphicFrame macro="">
      <xdr:nvGraphicFramePr>
        <xdr:cNvPr id="45" name="Chart 44">
          <a:extLst>
            <a:ext uri="{FF2B5EF4-FFF2-40B4-BE49-F238E27FC236}">
              <a16:creationId xmlns:a16="http://schemas.microsoft.com/office/drawing/2014/main" id="{82B664AC-2D8A-4EE7-81B3-61490A04A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6" name="Chart 45">
          <a:extLst>
            <a:ext uri="{FF2B5EF4-FFF2-40B4-BE49-F238E27FC236}">
              <a16:creationId xmlns:a16="http://schemas.microsoft.com/office/drawing/2014/main" id="{1DAB3E88-490E-42CF-AC45-ECC975658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7" name="TextBox 46">
          <a:extLst>
            <a:ext uri="{FF2B5EF4-FFF2-40B4-BE49-F238E27FC236}">
              <a16:creationId xmlns:a16="http://schemas.microsoft.com/office/drawing/2014/main" id="{3E4A39A2-8DBE-4136-B797-7C3EA35F8162}"/>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16</xdr:row>
      <xdr:rowOff>0</xdr:rowOff>
    </xdr:from>
    <xdr:to>
      <xdr:col>10</xdr:col>
      <xdr:colOff>426720</xdr:colOff>
      <xdr:row>18</xdr:row>
      <xdr:rowOff>152400</xdr:rowOff>
    </xdr:to>
    <xdr:sp macro="" textlink="Processing!Q7">
      <xdr:nvSpPr>
        <xdr:cNvPr id="48" name="TextBox 47">
          <a:extLst>
            <a:ext uri="{FF2B5EF4-FFF2-40B4-BE49-F238E27FC236}">
              <a16:creationId xmlns:a16="http://schemas.microsoft.com/office/drawing/2014/main" id="{59302D3E-F527-41CC-871D-7FD1A1B33941}"/>
            </a:ext>
          </a:extLst>
        </xdr:cNvPr>
        <xdr:cNvSpPr txBox="1"/>
      </xdr:nvSpPr>
      <xdr:spPr>
        <a:xfrm>
          <a:off x="5372100" y="2926080"/>
          <a:ext cx="115062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2F9DA5-25E8-458F-9736-BB7BF3B46237}"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Deals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9" name="TextBox 48">
          <a:extLst>
            <a:ext uri="{FF2B5EF4-FFF2-40B4-BE49-F238E27FC236}">
              <a16:creationId xmlns:a16="http://schemas.microsoft.com/office/drawing/2014/main" id="{7DA14C27-E390-4D0B-80E2-40D4E48E742E}"/>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121920</xdr:colOff>
      <xdr:row>16</xdr:row>
      <xdr:rowOff>76200</xdr:rowOff>
    </xdr:from>
    <xdr:to>
      <xdr:col>12</xdr:col>
      <xdr:colOff>160020</xdr:colOff>
      <xdr:row>18</xdr:row>
      <xdr:rowOff>38100</xdr:rowOff>
    </xdr:to>
    <xdr:sp macro="" textlink="Processing!P10">
      <xdr:nvSpPr>
        <xdr:cNvPr id="50" name="TextBox 49">
          <a:extLst>
            <a:ext uri="{FF2B5EF4-FFF2-40B4-BE49-F238E27FC236}">
              <a16:creationId xmlns:a16="http://schemas.microsoft.com/office/drawing/2014/main" id="{0C6C5DF2-D92F-4F74-89C8-A16E1138827F}"/>
            </a:ext>
          </a:extLst>
        </xdr:cNvPr>
        <xdr:cNvSpPr txBox="1"/>
      </xdr:nvSpPr>
      <xdr:spPr>
        <a:xfrm>
          <a:off x="6827520" y="300228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FF522C-B621-48A1-A58A-5452AB094385}"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65%</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16</xdr:row>
      <xdr:rowOff>76200</xdr:rowOff>
    </xdr:from>
    <xdr:to>
      <xdr:col>11</xdr:col>
      <xdr:colOff>220980</xdr:colOff>
      <xdr:row>18</xdr:row>
      <xdr:rowOff>38100</xdr:rowOff>
    </xdr:to>
    <xdr:sp macro="" textlink="Processing!P9">
      <xdr:nvSpPr>
        <xdr:cNvPr id="51" name="TextBox 50">
          <a:extLst>
            <a:ext uri="{FF2B5EF4-FFF2-40B4-BE49-F238E27FC236}">
              <a16:creationId xmlns:a16="http://schemas.microsoft.com/office/drawing/2014/main" id="{F8BF11DE-21A4-46E2-88CB-131AB4714A28}"/>
            </a:ext>
          </a:extLst>
        </xdr:cNvPr>
        <xdr:cNvSpPr txBox="1"/>
      </xdr:nvSpPr>
      <xdr:spPr>
        <a:xfrm>
          <a:off x="6073140" y="3002280"/>
          <a:ext cx="853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DE86B6-215B-441C-A2E1-7281977D6B1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Conversion</a:t>
          </a:fld>
          <a:endParaRPr lang="ru-RU" sz="1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3</xdr:col>
      <xdr:colOff>487680</xdr:colOff>
      <xdr:row>24</xdr:row>
      <xdr:rowOff>167640</xdr:rowOff>
    </xdr:from>
    <xdr:to>
      <xdr:col>12</xdr:col>
      <xdr:colOff>480060</xdr:colOff>
      <xdr:row>32</xdr:row>
      <xdr:rowOff>114300</xdr:rowOff>
    </xdr:to>
    <xdr:sp macro="" textlink="">
      <xdr:nvSpPr>
        <xdr:cNvPr id="52" name="Rectangle: Rounded Corners 51">
          <a:hlinkClick xmlns:r="http://schemas.openxmlformats.org/officeDocument/2006/relationships" r:id="rId8"/>
          <a:extLst>
            <a:ext uri="{FF2B5EF4-FFF2-40B4-BE49-F238E27FC236}">
              <a16:creationId xmlns:a16="http://schemas.microsoft.com/office/drawing/2014/main" id="{E1BFE876-A529-4E1A-BE76-3C078FCCFF53}"/>
            </a:ext>
          </a:extLst>
        </xdr:cNvPr>
        <xdr:cNvSpPr/>
      </xdr:nvSpPr>
      <xdr:spPr>
        <a:xfrm>
          <a:off x="2316480" y="4556760"/>
          <a:ext cx="5478780" cy="140970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114300</xdr:colOff>
      <xdr:row>4</xdr:row>
      <xdr:rowOff>0</xdr:rowOff>
    </xdr:from>
    <xdr:to>
      <xdr:col>20</xdr:col>
      <xdr:colOff>0</xdr:colOff>
      <xdr:row>17</xdr:row>
      <xdr:rowOff>83820</xdr:rowOff>
    </xdr:to>
    <xdr:sp macro="" textlink="">
      <xdr:nvSpPr>
        <xdr:cNvPr id="53" name="Rectangle: Rounded Corners 52">
          <a:hlinkClick xmlns:r="http://schemas.openxmlformats.org/officeDocument/2006/relationships" r:id="rId9"/>
          <a:extLst>
            <a:ext uri="{FF2B5EF4-FFF2-40B4-BE49-F238E27FC236}">
              <a16:creationId xmlns:a16="http://schemas.microsoft.com/office/drawing/2014/main" id="{3C0DA9BC-409C-4E1C-A593-857C1A6CCE7F}"/>
            </a:ext>
          </a:extLst>
        </xdr:cNvPr>
        <xdr:cNvSpPr/>
      </xdr:nvSpPr>
      <xdr:spPr>
        <a:xfrm>
          <a:off x="8039100" y="7315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99060</xdr:colOff>
      <xdr:row>18</xdr:row>
      <xdr:rowOff>99060</xdr:rowOff>
    </xdr:from>
    <xdr:to>
      <xdr:col>16</xdr:col>
      <xdr:colOff>121920</xdr:colOff>
      <xdr:row>32</xdr:row>
      <xdr:rowOff>99060</xdr:rowOff>
    </xdr:to>
    <xdr:sp macro="" textlink="">
      <xdr:nvSpPr>
        <xdr:cNvPr id="54" name="Rectangle: Rounded Corners 53">
          <a:hlinkClick xmlns:r="http://schemas.openxmlformats.org/officeDocument/2006/relationships" r:id="rId10"/>
          <a:extLst>
            <a:ext uri="{FF2B5EF4-FFF2-40B4-BE49-F238E27FC236}">
              <a16:creationId xmlns:a16="http://schemas.microsoft.com/office/drawing/2014/main" id="{9DD6D4C1-1013-4246-A4EE-2C2631C58F6A}"/>
            </a:ext>
          </a:extLst>
        </xdr:cNvPr>
        <xdr:cNvSpPr/>
      </xdr:nvSpPr>
      <xdr:spPr>
        <a:xfrm>
          <a:off x="8023860" y="33909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335280</xdr:colOff>
      <xdr:row>18</xdr:row>
      <xdr:rowOff>99060</xdr:rowOff>
    </xdr:from>
    <xdr:to>
      <xdr:col>20</xdr:col>
      <xdr:colOff>15240</xdr:colOff>
      <xdr:row>35</xdr:row>
      <xdr:rowOff>129540</xdr:rowOff>
    </xdr:to>
    <xdr:sp macro="" textlink="">
      <xdr:nvSpPr>
        <xdr:cNvPr id="55" name="Rectangle: Rounded Corners 54">
          <a:hlinkClick xmlns:r="http://schemas.openxmlformats.org/officeDocument/2006/relationships" r:id="rId11"/>
          <a:extLst>
            <a:ext uri="{FF2B5EF4-FFF2-40B4-BE49-F238E27FC236}">
              <a16:creationId xmlns:a16="http://schemas.microsoft.com/office/drawing/2014/main" id="{8C8999EE-25DC-4574-8BAF-2A787147590C}"/>
            </a:ext>
          </a:extLst>
        </xdr:cNvPr>
        <xdr:cNvSpPr/>
      </xdr:nvSpPr>
      <xdr:spPr>
        <a:xfrm>
          <a:off x="10088880" y="33909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335280</xdr:colOff>
      <xdr:row>5</xdr:row>
      <xdr:rowOff>22860</xdr:rowOff>
    </xdr:from>
    <xdr:to>
      <xdr:col>12</xdr:col>
      <xdr:colOff>274320</xdr:colOff>
      <xdr:row>11</xdr:row>
      <xdr:rowOff>137160</xdr:rowOff>
    </xdr:to>
    <xdr:sp macro="" textlink="">
      <xdr:nvSpPr>
        <xdr:cNvPr id="57" name="Rectangle: Rounded Corners 56">
          <a:hlinkClick xmlns:r="http://schemas.openxmlformats.org/officeDocument/2006/relationships" r:id="rId8"/>
          <a:extLst>
            <a:ext uri="{FF2B5EF4-FFF2-40B4-BE49-F238E27FC236}">
              <a16:creationId xmlns:a16="http://schemas.microsoft.com/office/drawing/2014/main" id="{78930510-7EDA-C38C-079A-D267A1BDF20C}"/>
            </a:ext>
          </a:extLst>
        </xdr:cNvPr>
        <xdr:cNvSpPr/>
      </xdr:nvSpPr>
      <xdr:spPr>
        <a:xfrm>
          <a:off x="5212080" y="937260"/>
          <a:ext cx="2377440" cy="12115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56" name="Group 55">
          <a:hlinkClick xmlns:r="http://schemas.openxmlformats.org/officeDocument/2006/relationships" r:id="rId12"/>
          <a:extLst>
            <a:ext uri="{FF2B5EF4-FFF2-40B4-BE49-F238E27FC236}">
              <a16:creationId xmlns:a16="http://schemas.microsoft.com/office/drawing/2014/main" id="{06CD8FFE-94E2-201D-5F13-4FC3524B6223}"/>
            </a:ext>
          </a:extLst>
        </xdr:cNvPr>
        <xdr:cNvGrpSpPr/>
      </xdr:nvGrpSpPr>
      <xdr:grpSpPr>
        <a:xfrm>
          <a:off x="158639" y="833505"/>
          <a:ext cx="274320" cy="262048"/>
          <a:chOff x="2657199" y="8924774"/>
          <a:chExt cx="796566" cy="720791"/>
        </a:xfrm>
      </xdr:grpSpPr>
      <xdr:sp macro="" textlink="">
        <xdr:nvSpPr>
          <xdr:cNvPr id="61" name="Freeform: Shape 60">
            <a:extLst>
              <a:ext uri="{FF2B5EF4-FFF2-40B4-BE49-F238E27FC236}">
                <a16:creationId xmlns:a16="http://schemas.microsoft.com/office/drawing/2014/main" id="{30ACE361-D266-E7C4-0ECF-784AD9BA10D7}"/>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62" name="Freeform: Shape 61">
            <a:extLst>
              <a:ext uri="{FF2B5EF4-FFF2-40B4-BE49-F238E27FC236}">
                <a16:creationId xmlns:a16="http://schemas.microsoft.com/office/drawing/2014/main" id="{9DAC61A1-65C6-7011-801F-DA9A2B258463}"/>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3" name="Freeform: Shape 62">
            <a:extLst>
              <a:ext uri="{FF2B5EF4-FFF2-40B4-BE49-F238E27FC236}">
                <a16:creationId xmlns:a16="http://schemas.microsoft.com/office/drawing/2014/main" id="{706962BD-FB9A-075A-C1FB-67A2181E2EDA}"/>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23552" name="Freeform: Shape 23551">
            <a:extLst>
              <a:ext uri="{FF2B5EF4-FFF2-40B4-BE49-F238E27FC236}">
                <a16:creationId xmlns:a16="http://schemas.microsoft.com/office/drawing/2014/main" id="{83CA4B56-F85D-95B6-535C-CF9D497E6737}"/>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23554" name="Freeform: Shape 23553">
            <a:extLst>
              <a:ext uri="{FF2B5EF4-FFF2-40B4-BE49-F238E27FC236}">
                <a16:creationId xmlns:a16="http://schemas.microsoft.com/office/drawing/2014/main" id="{A2F6D96A-9BDA-29A6-6DE7-5C313F616097}"/>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23555" name="Freeform: Shape 23554">
            <a:extLst>
              <a:ext uri="{FF2B5EF4-FFF2-40B4-BE49-F238E27FC236}">
                <a16:creationId xmlns:a16="http://schemas.microsoft.com/office/drawing/2014/main" id="{13DBB940-F82C-3132-967E-748E835278E6}"/>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23556" name="Freeform: Shape 23555">
            <a:extLst>
              <a:ext uri="{FF2B5EF4-FFF2-40B4-BE49-F238E27FC236}">
                <a16:creationId xmlns:a16="http://schemas.microsoft.com/office/drawing/2014/main" id="{35F2CEDA-4357-C6F7-3502-A24B2225D54E}"/>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23557" name="Freeform: Shape 23556">
            <a:extLst>
              <a:ext uri="{FF2B5EF4-FFF2-40B4-BE49-F238E27FC236}">
                <a16:creationId xmlns:a16="http://schemas.microsoft.com/office/drawing/2014/main" id="{D40068B4-A78B-EF0D-EBF1-5C75781BC882}"/>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58" name="Graphic 57" descr="Moon and stars with solid fill">
          <a:hlinkClick xmlns:r="http://schemas.openxmlformats.org/officeDocument/2006/relationships" r:id="rId13"/>
          <a:extLst>
            <a:ext uri="{FF2B5EF4-FFF2-40B4-BE49-F238E27FC236}">
              <a16:creationId xmlns:a16="http://schemas.microsoft.com/office/drawing/2014/main" id="{40C1EC51-5CA6-5635-4F40-3F0E5160A76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9" name="Graphic 58" descr="Sun with solid fill">
          <a:extLst>
            <a:ext uri="{FF2B5EF4-FFF2-40B4-BE49-F238E27FC236}">
              <a16:creationId xmlns:a16="http://schemas.microsoft.com/office/drawing/2014/main" id="{EB04B5E5-A434-49C2-57EC-F738FDD689E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twoCellAnchor>
    <xdr:from>
      <xdr:col>8</xdr:col>
      <xdr:colOff>297141</xdr:colOff>
      <xdr:row>4</xdr:row>
      <xdr:rowOff>127000</xdr:rowOff>
    </xdr:from>
    <xdr:to>
      <xdr:col>12</xdr:col>
      <xdr:colOff>304838</xdr:colOff>
      <xdr:row>9</xdr:row>
      <xdr:rowOff>153671</xdr:rowOff>
    </xdr:to>
    <xdr:sp macro="" textlink="Processing!E15">
      <xdr:nvSpPr>
        <xdr:cNvPr id="6" name="TextBox 5">
          <a:extLst>
            <a:ext uri="{FF2B5EF4-FFF2-40B4-BE49-F238E27FC236}">
              <a16:creationId xmlns:a16="http://schemas.microsoft.com/office/drawing/2014/main" id="{3D2FAE83-4EDE-4FC0-9109-5527EADCB92E}"/>
            </a:ext>
          </a:extLst>
        </xdr:cNvPr>
        <xdr:cNvSpPr txBox="1"/>
      </xdr:nvSpPr>
      <xdr:spPr>
        <a:xfrm>
          <a:off x="5207808" y="889000"/>
          <a:ext cx="2463030" cy="979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EA9C81F-ACB4-48B3-86A0-92E96C3DD758}" type="TxLink">
            <a:rPr lang="en-US" sz="3600" b="0" i="0" u="none" strike="noStrike">
              <a:solidFill>
                <a:srgbClr val="000000"/>
              </a:solidFill>
              <a:latin typeface="+mn-lt"/>
              <a:ea typeface="Verdana" panose="020B0604030504040204" pitchFamily="34" charset="0"/>
              <a:cs typeface="Calibri" panose="020F0502020204030204" pitchFamily="34" charset="0"/>
            </a:rPr>
            <a:t> $13,44,765 </a:t>
          </a:fld>
          <a:endParaRPr lang="ru-RU" sz="3600" b="0" i="0" u="none" strike="noStrike">
            <a:solidFill>
              <a:schemeClr val="tx1"/>
            </a:solidFill>
            <a:latin typeface="+mn-lt"/>
            <a:ea typeface="Verdana" panose="020B0604030504040204" pitchFamily="34" charset="0"/>
            <a:cs typeface="Calibri" panose="020F050202020403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grpSp>
      <xdr:nvGrpSpPr>
        <xdr:cNvPr id="2" name="Group 1">
          <a:extLst>
            <a:ext uri="{FF2B5EF4-FFF2-40B4-BE49-F238E27FC236}">
              <a16:creationId xmlns:a16="http://schemas.microsoft.com/office/drawing/2014/main" id="{7A3CD895-0E54-4C80-816F-9117452E9397}"/>
            </a:ext>
          </a:extLst>
        </xdr:cNvPr>
        <xdr:cNvGrpSpPr/>
      </xdr:nvGrpSpPr>
      <xdr:grpSpPr>
        <a:xfrm>
          <a:off x="7620" y="0"/>
          <a:ext cx="14732000" cy="8572500"/>
          <a:chOff x="172844" y="6858000"/>
          <a:chExt cx="11850624" cy="7235580"/>
        </a:xfrm>
      </xdr:grpSpPr>
      <xdr:sp macro="" textlink="">
        <xdr:nvSpPr>
          <xdr:cNvPr id="3" name="Rectangle 2">
            <a:extLst>
              <a:ext uri="{FF2B5EF4-FFF2-40B4-BE49-F238E27FC236}">
                <a16:creationId xmlns:a16="http://schemas.microsoft.com/office/drawing/2014/main" id="{560B60B0-1A24-4594-308F-65920547DE4F}"/>
              </a:ext>
            </a:extLst>
          </xdr:cNvPr>
          <xdr:cNvSpPr/>
        </xdr:nvSpPr>
        <xdr:spPr>
          <a:xfrm>
            <a:off x="172844" y="6858000"/>
            <a:ext cx="11846312" cy="7235580"/>
          </a:xfrm>
          <a:prstGeom prst="rect">
            <a:avLst/>
          </a:prstGeom>
          <a:gradFill flip="none" rotWithShape="1">
            <a:gsLst>
              <a:gs pos="28000">
                <a:srgbClr val="353C96"/>
              </a:gs>
              <a:gs pos="97000">
                <a:srgbClr val="2587D1"/>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84D4308E-8B22-3E99-7A23-45809578FDF0}"/>
              </a:ext>
            </a:extLst>
          </xdr:cNvPr>
          <xdr:cNvSpPr/>
        </xdr:nvSpPr>
        <xdr:spPr>
          <a:xfrm>
            <a:off x="172844" y="6858000"/>
            <a:ext cx="11850624" cy="7235580"/>
          </a:xfrm>
          <a:prstGeom prst="rect">
            <a:avLst/>
          </a:prstGeom>
          <a:gradFill flip="none" rotWithShape="1">
            <a:gsLst>
              <a:gs pos="0">
                <a:srgbClr val="A66AB0"/>
              </a:gs>
              <a:gs pos="37000">
                <a:srgbClr val="353C97">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grpSp>
      <xdr:nvGrpSpPr>
        <xdr:cNvPr id="5" name="Group 4">
          <a:extLst>
            <a:ext uri="{FF2B5EF4-FFF2-40B4-BE49-F238E27FC236}">
              <a16:creationId xmlns:a16="http://schemas.microsoft.com/office/drawing/2014/main" id="{2D8E6552-021F-4292-8FCD-705FEC6E5070}"/>
            </a:ext>
          </a:extLst>
        </xdr:cNvPr>
        <xdr:cNvGrpSpPr/>
      </xdr:nvGrpSpPr>
      <xdr:grpSpPr>
        <a:xfrm>
          <a:off x="1932940" y="396240"/>
          <a:ext cx="10770447" cy="6758940"/>
          <a:chOff x="914143" y="7218382"/>
          <a:chExt cx="10698480" cy="6492240"/>
        </a:xfrm>
        <a:effectLst>
          <a:outerShdw blurRad="571500" dist="190500" dir="8100000" algn="tr" rotWithShape="0">
            <a:prstClr val="black">
              <a:alpha val="60000"/>
            </a:prstClr>
          </a:outerShdw>
        </a:effectLst>
      </xdr:grpSpPr>
      <xdr:sp macro="" textlink="">
        <xdr:nvSpPr>
          <xdr:cNvPr id="6" name="Rectangle: Rounded Corners 5">
            <a:extLst>
              <a:ext uri="{FF2B5EF4-FFF2-40B4-BE49-F238E27FC236}">
                <a16:creationId xmlns:a16="http://schemas.microsoft.com/office/drawing/2014/main" id="{2241642B-9570-86E9-731D-FCCCF0381D56}"/>
              </a:ext>
            </a:extLst>
          </xdr:cNvPr>
          <xdr:cNvSpPr/>
        </xdr:nvSpPr>
        <xdr:spPr>
          <a:xfrm>
            <a:off x="914143" y="7218382"/>
            <a:ext cx="10698480" cy="6492240"/>
          </a:xfrm>
          <a:prstGeom prst="roundRect">
            <a:avLst>
              <a:gd name="adj" fmla="val 5678"/>
            </a:avLst>
          </a:prstGeom>
          <a:gradFill flip="none" rotWithShape="1">
            <a:gsLst>
              <a:gs pos="100000">
                <a:srgbClr val="1A598D"/>
              </a:gs>
              <a:gs pos="72000">
                <a:srgbClr val="353874"/>
              </a:gs>
              <a:gs pos="27000">
                <a:srgbClr val="353874"/>
              </a:gs>
              <a:gs pos="0">
                <a:srgbClr val="43348B"/>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39E78D30-AC91-516F-1D95-9939126F24E1}"/>
              </a:ext>
            </a:extLst>
          </xdr:cNvPr>
          <xdr:cNvSpPr/>
        </xdr:nvSpPr>
        <xdr:spPr>
          <a:xfrm>
            <a:off x="914143" y="7218382"/>
            <a:ext cx="10698480" cy="6492240"/>
          </a:xfrm>
          <a:prstGeom prst="roundRect">
            <a:avLst>
              <a:gd name="adj" fmla="val 5678"/>
            </a:avLst>
          </a:prstGeom>
          <a:gradFill flip="none" rotWithShape="1">
            <a:gsLst>
              <a:gs pos="100000">
                <a:srgbClr val="5E376F"/>
              </a:gs>
              <a:gs pos="72000">
                <a:srgbClr val="353874">
                  <a:alpha val="0"/>
                </a:srgbClr>
              </a:gs>
              <a:gs pos="27000">
                <a:srgbClr val="353874">
                  <a:alpha val="0"/>
                </a:srgbClr>
              </a:gs>
              <a:gs pos="0">
                <a:srgbClr val="43348B"/>
              </a:gs>
            </a:gsLst>
            <a:lin ang="18900000" scaled="1"/>
            <a:tileRect/>
          </a:gradFill>
          <a:ln w="9525">
            <a:gradFill flip="none" rotWithShape="1">
              <a:gsLst>
                <a:gs pos="0">
                  <a:srgbClr val="00B0F0"/>
                </a:gs>
                <a:gs pos="100000">
                  <a:srgbClr val="9079D9"/>
                </a:gs>
                <a:gs pos="68000">
                  <a:srgbClr val="6956B1"/>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DA7B3920-B8B2-4DEF-A7A4-ABC86F780E88}"/>
            </a:ext>
          </a:extLst>
        </xdr:cNvPr>
        <xdr:cNvSpPr/>
      </xdr:nvSpPr>
      <xdr:spPr>
        <a:xfrm>
          <a:off x="2317262" y="716188"/>
          <a:ext cx="2441986" cy="1645920"/>
        </a:xfrm>
        <a:prstGeom prst="roundRect">
          <a:avLst>
            <a:gd name="adj" fmla="val 9318"/>
          </a:avLst>
        </a:prstGeom>
        <a:gradFill flip="none" rotWithShape="1">
          <a:gsLst>
            <a:gs pos="3000">
              <a:srgbClr val="574998"/>
            </a:gs>
            <a:gs pos="76000">
              <a:srgbClr val="262D6A"/>
            </a:gs>
          </a:gsLst>
          <a:lin ang="6600000" scaled="0"/>
          <a:tileRect/>
        </a:gradFill>
        <a:ln w="9525">
          <a:gradFill flip="none" rotWithShape="1">
            <a:gsLst>
              <a:gs pos="0">
                <a:srgbClr val="BB75D8"/>
              </a:gs>
              <a:gs pos="51000">
                <a:srgbClr val="3B3E75"/>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DC72D8E9-94F8-4180-B256-7BBEC28F0762}"/>
            </a:ext>
          </a:extLst>
        </xdr:cNvPr>
        <xdr:cNvSpPr/>
      </xdr:nvSpPr>
      <xdr:spPr>
        <a:xfrm>
          <a:off x="4976853" y="718877"/>
          <a:ext cx="2812649" cy="1645920"/>
        </a:xfrm>
        <a:prstGeom prst="roundRect">
          <a:avLst>
            <a:gd name="adj" fmla="val 8437"/>
          </a:avLst>
        </a:prstGeom>
        <a:gradFill flip="none" rotWithShape="1">
          <a:gsLst>
            <a:gs pos="0">
              <a:srgbClr val="7D59A1"/>
            </a:gs>
            <a:gs pos="68000">
              <a:srgbClr val="30306F"/>
            </a:gs>
          </a:gsLst>
          <a:lin ang="6600000" scaled="0"/>
          <a:tileRect/>
        </a:gradFill>
        <a:ln w="9525">
          <a:solidFill>
            <a:srgbClr val="EB97ED"/>
          </a:soli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317657</xdr:colOff>
      <xdr:row>5</xdr:row>
      <xdr:rowOff>25457</xdr:rowOff>
    </xdr:from>
    <xdr:to>
      <xdr:col>12</xdr:col>
      <xdr:colOff>256697</xdr:colOff>
      <xdr:row>11</xdr:row>
      <xdr:rowOff>116897</xdr:rowOff>
    </xdr:to>
    <xdr:grpSp>
      <xdr:nvGrpSpPr>
        <xdr:cNvPr id="13" name="Group 12">
          <a:extLst>
            <a:ext uri="{FF2B5EF4-FFF2-40B4-BE49-F238E27FC236}">
              <a16:creationId xmlns:a16="http://schemas.microsoft.com/office/drawing/2014/main" id="{D8CBA8CB-6415-488D-BA10-D6A1DC2E62E7}"/>
            </a:ext>
          </a:extLst>
        </xdr:cNvPr>
        <xdr:cNvGrpSpPr/>
      </xdr:nvGrpSpPr>
      <xdr:grpSpPr>
        <a:xfrm>
          <a:off x="5228324" y="977957"/>
          <a:ext cx="2394373" cy="1234440"/>
          <a:chOff x="4327066" y="2477006"/>
          <a:chExt cx="2017854" cy="1200912"/>
        </a:xfrm>
        <a:effectLst>
          <a:outerShdw blurRad="190500" dist="63500" dir="8100000" algn="tr" rotWithShape="0">
            <a:prstClr val="black">
              <a:alpha val="80000"/>
            </a:prstClr>
          </a:outerShdw>
        </a:effectLst>
      </xdr:grpSpPr>
      <xdr:sp macro="" textlink="">
        <xdr:nvSpPr>
          <xdr:cNvPr id="14" name="Rectangle: Rounded Corners 13">
            <a:extLst>
              <a:ext uri="{FF2B5EF4-FFF2-40B4-BE49-F238E27FC236}">
                <a16:creationId xmlns:a16="http://schemas.microsoft.com/office/drawing/2014/main" id="{C02EBCD8-4E30-1C00-3F93-F6927EB3788E}"/>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E15">
        <xdr:nvSpPr>
          <xdr:cNvPr id="15" name="Rectangle: Rounded Corners 14">
            <a:extLst>
              <a:ext uri="{FF2B5EF4-FFF2-40B4-BE49-F238E27FC236}">
                <a16:creationId xmlns:a16="http://schemas.microsoft.com/office/drawing/2014/main" id="{1444E2EA-763A-5C1E-144D-4C150D51A871}"/>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7F9CE73C-E2A6-491B-A672-9AFFE5A714CF}" type="TxLink">
              <a:rPr lang="en-US" sz="3400" b="0" i="0" u="none" strike="noStrike">
                <a:solidFill>
                  <a:schemeClr val="bg1"/>
                </a:solidFill>
                <a:latin typeface="Aptos Narrow"/>
              </a:rPr>
              <a:pPr algn="l"/>
              <a:t> $13,44,765 </a:t>
            </a:fld>
            <a:endParaRPr lang="ru-RU" sz="3400">
              <a:solidFill>
                <a:schemeClr val="bg1"/>
              </a:solidFill>
            </a:endParaRPr>
          </a:p>
        </xdr:txBody>
      </xdr:sp>
    </xdr:grpSp>
    <xdr:clientData/>
  </xdr:twoCellAnchor>
  <xdr:twoCellAnchor>
    <xdr:from>
      <xdr:col>13</xdr:col>
      <xdr:colOff>117892</xdr:colOff>
      <xdr:row>3</xdr:row>
      <xdr:rowOff>167548</xdr:rowOff>
    </xdr:from>
    <xdr:to>
      <xdr:col>20</xdr:col>
      <xdr:colOff>11212</xdr:colOff>
      <xdr:row>17</xdr:row>
      <xdr:rowOff>86268</xdr:rowOff>
    </xdr:to>
    <xdr:sp macro="" textlink="">
      <xdr:nvSpPr>
        <xdr:cNvPr id="16" name="Rectangle: Rounded Corners 15">
          <a:extLst>
            <a:ext uri="{FF2B5EF4-FFF2-40B4-BE49-F238E27FC236}">
              <a16:creationId xmlns:a16="http://schemas.microsoft.com/office/drawing/2014/main" id="{999823D4-B5D8-47AA-B550-537AC6325BE1}"/>
            </a:ext>
          </a:extLst>
        </xdr:cNvPr>
        <xdr:cNvSpPr/>
      </xdr:nvSpPr>
      <xdr:spPr>
        <a:xfrm>
          <a:off x="8042692" y="716188"/>
          <a:ext cx="4160520" cy="2479040"/>
        </a:xfrm>
        <a:prstGeom prst="roundRect">
          <a:avLst>
            <a:gd name="adj" fmla="val 8437"/>
          </a:avLst>
        </a:prstGeom>
        <a:gradFill flip="none" rotWithShape="1">
          <a:gsLst>
            <a:gs pos="85000">
              <a:srgbClr val="4F4C91"/>
            </a:gs>
            <a:gs pos="34000">
              <a:srgbClr val="7B5FA2"/>
            </a:gs>
            <a:gs pos="0">
              <a:srgbClr val="9D71AE"/>
            </a:gs>
            <a:gs pos="69000">
              <a:srgbClr val="5A4E94"/>
            </a:gs>
          </a:gsLst>
          <a:lin ang="6000000" scaled="0"/>
          <a:tileRect/>
        </a:gradFill>
        <a:ln w="9525">
          <a:gradFill flip="none" rotWithShape="1">
            <a:gsLst>
              <a:gs pos="0">
                <a:srgbClr val="F2BBF3"/>
              </a:gs>
              <a:gs pos="58000">
                <a:srgbClr val="9079D9"/>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7" name="Rectangle: Rounded Corners 16">
          <a:extLst>
            <a:ext uri="{FF2B5EF4-FFF2-40B4-BE49-F238E27FC236}">
              <a16:creationId xmlns:a16="http://schemas.microsoft.com/office/drawing/2014/main" id="{980A558D-D596-4E5D-A043-EDEC8A6CF005}"/>
            </a:ext>
          </a:extLst>
        </xdr:cNvPr>
        <xdr:cNvSpPr/>
      </xdr:nvSpPr>
      <xdr:spPr>
        <a:xfrm>
          <a:off x="10100092" y="3422015"/>
          <a:ext cx="210312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8" name="Rectangle: Rounded Corners 17">
          <a:extLst>
            <a:ext uri="{FF2B5EF4-FFF2-40B4-BE49-F238E27FC236}">
              <a16:creationId xmlns:a16="http://schemas.microsoft.com/office/drawing/2014/main" id="{EE584B67-01D5-4D88-8E33-23121DAE0A52}"/>
            </a:ext>
          </a:extLst>
        </xdr:cNvPr>
        <xdr:cNvSpPr/>
      </xdr:nvSpPr>
      <xdr:spPr>
        <a:xfrm>
          <a:off x="8042692" y="3422015"/>
          <a:ext cx="182880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9" name="Rectangle: Rounded Corners 18">
          <a:extLst>
            <a:ext uri="{FF2B5EF4-FFF2-40B4-BE49-F238E27FC236}">
              <a16:creationId xmlns:a16="http://schemas.microsoft.com/office/drawing/2014/main" id="{BAB90DB7-B529-4B40-8129-E8855948DEF5}"/>
            </a:ext>
          </a:extLst>
        </xdr:cNvPr>
        <xdr:cNvSpPr/>
      </xdr:nvSpPr>
      <xdr:spPr>
        <a:xfrm>
          <a:off x="2311672" y="2606040"/>
          <a:ext cx="5477830" cy="3924935"/>
        </a:xfrm>
        <a:prstGeom prst="roundRect">
          <a:avLst>
            <a:gd name="adj" fmla="val 3638"/>
          </a:avLst>
        </a:prstGeom>
        <a:gradFill>
          <a:gsLst>
            <a:gs pos="0">
              <a:srgbClr val="515092"/>
            </a:gs>
            <a:gs pos="79000">
              <a:srgbClr val="2C3977"/>
            </a:gs>
          </a:gsLst>
          <a:lin ang="5400000" scaled="0"/>
        </a:gradFill>
        <a:ln w="9525">
          <a:gradFill flip="none" rotWithShape="1">
            <a:gsLst>
              <a:gs pos="0">
                <a:srgbClr val="997ABC"/>
              </a:gs>
              <a:gs pos="81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106680</xdr:colOff>
      <xdr:row>5</xdr:row>
      <xdr:rowOff>15240</xdr:rowOff>
    </xdr:from>
    <xdr:to>
      <xdr:col>7</xdr:col>
      <xdr:colOff>289560</xdr:colOff>
      <xdr:row>11</xdr:row>
      <xdr:rowOff>106680</xdr:rowOff>
    </xdr:to>
    <xdr:grpSp>
      <xdr:nvGrpSpPr>
        <xdr:cNvPr id="20" name="Group 19">
          <a:extLst>
            <a:ext uri="{FF2B5EF4-FFF2-40B4-BE49-F238E27FC236}">
              <a16:creationId xmlns:a16="http://schemas.microsoft.com/office/drawing/2014/main" id="{B76D1524-D62D-4D10-9D53-7624349BD9D4}"/>
            </a:ext>
          </a:extLst>
        </xdr:cNvPr>
        <xdr:cNvGrpSpPr/>
      </xdr:nvGrpSpPr>
      <xdr:grpSpPr>
        <a:xfrm>
          <a:off x="2562013" y="967740"/>
          <a:ext cx="2024380" cy="1234440"/>
          <a:chOff x="2234106" y="2775708"/>
          <a:chExt cx="2017854" cy="1200912"/>
        </a:xfrm>
        <a:effectLst>
          <a:outerShdw blurRad="190500" dist="63500" dir="8100000" algn="tr" rotWithShape="0">
            <a:prstClr val="black">
              <a:alpha val="80000"/>
            </a:prstClr>
          </a:outerShdw>
        </a:effectLst>
      </xdr:grpSpPr>
      <xdr:sp macro="" textlink="">
        <xdr:nvSpPr>
          <xdr:cNvPr id="21" name="Rectangle: Rounded Corners 20">
            <a:extLst>
              <a:ext uri="{FF2B5EF4-FFF2-40B4-BE49-F238E27FC236}">
                <a16:creationId xmlns:a16="http://schemas.microsoft.com/office/drawing/2014/main" id="{138806A4-30C7-AEC7-DE08-ECFBCB728204}"/>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R6">
        <xdr:nvSpPr>
          <xdr:cNvPr id="22" name="Rectangle: Rounded Corners 21">
            <a:extLst>
              <a:ext uri="{FF2B5EF4-FFF2-40B4-BE49-F238E27FC236}">
                <a16:creationId xmlns:a16="http://schemas.microsoft.com/office/drawing/2014/main" id="{751A80A5-2E70-C782-B589-A6567E794FA2}"/>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9D5B22AD-2689-4A19-8294-60DCF73D852F}" type="TxLink">
              <a:rPr lang="en-US" sz="4000" b="0" i="0" u="none" strike="noStrike">
                <a:solidFill>
                  <a:schemeClr val="bg1"/>
                </a:solidFill>
                <a:latin typeface="Aptos Narrow"/>
              </a:rPr>
              <a:pPr algn="l"/>
              <a:t> 21 089</a:t>
            </a:fld>
            <a:endParaRPr lang="ru-RU" sz="4000">
              <a:solidFill>
                <a:schemeClr val="bg1"/>
              </a:solidFill>
            </a:endParaRPr>
          </a:p>
        </xdr:txBody>
      </xdr:sp>
    </xdr:grpSp>
    <xdr:clientData/>
  </xdr:twoCellAnchor>
  <xdr:twoCellAnchor>
    <xdr:from>
      <xdr:col>16</xdr:col>
      <xdr:colOff>289559</xdr:colOff>
      <xdr:row>5</xdr:row>
      <xdr:rowOff>73343</xdr:rowOff>
    </xdr:from>
    <xdr:to>
      <xdr:col>19</xdr:col>
      <xdr:colOff>289559</xdr:colOff>
      <xdr:row>15</xdr:row>
      <xdr:rowOff>73343</xdr:rowOff>
    </xdr:to>
    <xdr:sp macro="" textlink="">
      <xdr:nvSpPr>
        <xdr:cNvPr id="26" name="Circle: Hollow 25">
          <a:extLst>
            <a:ext uri="{FF2B5EF4-FFF2-40B4-BE49-F238E27FC236}">
              <a16:creationId xmlns:a16="http://schemas.microsoft.com/office/drawing/2014/main" id="{B5E599A7-D7BA-4D22-9E3C-490E7E0A2B11}"/>
            </a:ext>
          </a:extLst>
        </xdr:cNvPr>
        <xdr:cNvSpPr/>
      </xdr:nvSpPr>
      <xdr:spPr>
        <a:xfrm>
          <a:off x="10043159" y="987743"/>
          <a:ext cx="1828800" cy="1828800"/>
        </a:xfrm>
        <a:prstGeom prst="donut">
          <a:avLst>
            <a:gd name="adj" fmla="val 20022"/>
          </a:avLst>
        </a:prstGeom>
        <a:solidFill>
          <a:srgbClr val="775A94"/>
        </a:solidFill>
        <a:ln>
          <a:noFill/>
        </a:ln>
        <a:effectLst>
          <a:innerShdw blurRad="254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7" name="Chart 26">
          <a:extLst>
            <a:ext uri="{FF2B5EF4-FFF2-40B4-BE49-F238E27FC236}">
              <a16:creationId xmlns:a16="http://schemas.microsoft.com/office/drawing/2014/main" id="{DEDF663C-C14D-408F-890A-7AEF8E461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8" name="TextBox 27">
          <a:extLst>
            <a:ext uri="{FF2B5EF4-FFF2-40B4-BE49-F238E27FC236}">
              <a16:creationId xmlns:a16="http://schemas.microsoft.com/office/drawing/2014/main" id="{9E9720A6-A89A-401F-897A-A718780C35DD}"/>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9" name="TextBox 28">
          <a:extLst>
            <a:ext uri="{FF2B5EF4-FFF2-40B4-BE49-F238E27FC236}">
              <a16:creationId xmlns:a16="http://schemas.microsoft.com/office/drawing/2014/main" id="{1D96C611-3873-4157-B63B-0BA43FDD2C72}"/>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30" name="TextBox 29">
          <a:extLst>
            <a:ext uri="{FF2B5EF4-FFF2-40B4-BE49-F238E27FC236}">
              <a16:creationId xmlns:a16="http://schemas.microsoft.com/office/drawing/2014/main" id="{845406EF-9528-4243-A05C-FAE6BE929452}"/>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31" name="Oval 30">
          <a:extLst>
            <a:ext uri="{FF2B5EF4-FFF2-40B4-BE49-F238E27FC236}">
              <a16:creationId xmlns:a16="http://schemas.microsoft.com/office/drawing/2014/main" id="{50196038-321F-41E2-9DE1-0D54FFC3135E}"/>
            </a:ext>
          </a:extLst>
        </xdr:cNvPr>
        <xdr:cNvSpPr/>
      </xdr:nvSpPr>
      <xdr:spPr>
        <a:xfrm>
          <a:off x="8321040" y="1516380"/>
          <a:ext cx="137160" cy="137160"/>
        </a:xfrm>
        <a:prstGeom prst="ellipse">
          <a:avLst/>
        </a:prstGeom>
        <a:gradFill>
          <a:gsLst>
            <a:gs pos="0">
              <a:schemeClr val="accent5">
                <a:lumMod val="60000"/>
                <a:lumOff val="40000"/>
              </a:schemeClr>
            </a:gs>
            <a:gs pos="97000">
              <a:srgbClr val="A62C97"/>
            </a:gs>
          </a:gsLst>
          <a:lin ang="3000000" scaled="0"/>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32" name="Oval 31">
          <a:extLst>
            <a:ext uri="{FF2B5EF4-FFF2-40B4-BE49-F238E27FC236}">
              <a16:creationId xmlns:a16="http://schemas.microsoft.com/office/drawing/2014/main" id="{989D5B61-15FC-473A-A409-648BA6B2433D}"/>
            </a:ext>
          </a:extLst>
        </xdr:cNvPr>
        <xdr:cNvSpPr/>
      </xdr:nvSpPr>
      <xdr:spPr>
        <a:xfrm>
          <a:off x="8321040" y="1765300"/>
          <a:ext cx="137160" cy="137160"/>
        </a:xfrm>
        <a:prstGeom prst="ellipse">
          <a:avLst/>
        </a:prstGeom>
        <a:gradFill>
          <a:gsLst>
            <a:gs pos="100000">
              <a:srgbClr val="61A7F5"/>
            </a:gs>
            <a:gs pos="0">
              <a:srgbClr val="4077E3"/>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33" name="Oval 32">
          <a:extLst>
            <a:ext uri="{FF2B5EF4-FFF2-40B4-BE49-F238E27FC236}">
              <a16:creationId xmlns:a16="http://schemas.microsoft.com/office/drawing/2014/main" id="{E21146CD-520A-47AD-A932-769511FDBFB0}"/>
            </a:ext>
          </a:extLst>
        </xdr:cNvPr>
        <xdr:cNvSpPr/>
      </xdr:nvSpPr>
      <xdr:spPr>
        <a:xfrm>
          <a:off x="8321040" y="2014220"/>
          <a:ext cx="137160" cy="137160"/>
        </a:xfrm>
        <a:prstGeom prst="ellipse">
          <a:avLst/>
        </a:prstGeom>
        <a:gradFill>
          <a:gsLst>
            <a:gs pos="0">
              <a:srgbClr val="8070E2"/>
            </a:gs>
            <a:gs pos="100000">
              <a:srgbClr val="5A4EBD"/>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34" name="Oval 33">
          <a:extLst>
            <a:ext uri="{FF2B5EF4-FFF2-40B4-BE49-F238E27FC236}">
              <a16:creationId xmlns:a16="http://schemas.microsoft.com/office/drawing/2014/main" id="{EF0BFAFF-DF3F-4BE5-815D-64FAC1CE7684}"/>
            </a:ext>
          </a:extLst>
        </xdr:cNvPr>
        <xdr:cNvSpPr/>
      </xdr:nvSpPr>
      <xdr:spPr>
        <a:xfrm>
          <a:off x="8321040" y="2263140"/>
          <a:ext cx="137160" cy="137160"/>
        </a:xfrm>
        <a:prstGeom prst="ellipse">
          <a:avLst/>
        </a:prstGeom>
        <a:solidFill>
          <a:srgbClr val="49375B"/>
        </a:soli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35" name="TextBox 34">
          <a:extLst>
            <a:ext uri="{FF2B5EF4-FFF2-40B4-BE49-F238E27FC236}">
              <a16:creationId xmlns:a16="http://schemas.microsoft.com/office/drawing/2014/main" id="{D779B1FA-9A83-4894-89C4-54F979725145}"/>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algn="ctr"/>
            <a:t>Traffic Sources</a:t>
          </a:fld>
          <a:endParaRPr lang="ru-RU" sz="44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6" name="Group 35">
          <a:extLst>
            <a:ext uri="{FF2B5EF4-FFF2-40B4-BE49-F238E27FC236}">
              <a16:creationId xmlns:a16="http://schemas.microsoft.com/office/drawing/2014/main" id="{D0404D43-556E-4CDA-ADBC-227B70DB5C3D}"/>
            </a:ext>
          </a:extLst>
        </xdr:cNvPr>
        <xdr:cNvGrpSpPr/>
      </xdr:nvGrpSpPr>
      <xdr:grpSpPr>
        <a:xfrm>
          <a:off x="10446503" y="4353436"/>
          <a:ext cx="1566665" cy="1629008"/>
          <a:chOff x="10374536" y="4039901"/>
          <a:chExt cx="1558199" cy="1554481"/>
        </a:xfrm>
      </xdr:grpSpPr>
      <xdr:cxnSp macro="">
        <xdr:nvCxnSpPr>
          <xdr:cNvPr id="37" name="Straight Connector 36">
            <a:extLst>
              <a:ext uri="{FF2B5EF4-FFF2-40B4-BE49-F238E27FC236}">
                <a16:creationId xmlns:a16="http://schemas.microsoft.com/office/drawing/2014/main" id="{6A19CCC7-3421-288E-A90C-DCD5C14C880A}"/>
              </a:ext>
            </a:extLst>
          </xdr:cNvPr>
          <xdr:cNvCxnSpPr/>
        </xdr:nvCxnSpPr>
        <xdr:spPr>
          <a:xfrm>
            <a:off x="11155494"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9F8A108B-50AD-6EFB-6ABC-C5F2FBEB5694}"/>
              </a:ext>
            </a:extLst>
          </xdr:cNvPr>
          <xdr:cNvCxnSpPr/>
        </xdr:nvCxnSpPr>
        <xdr:spPr>
          <a:xfrm rot="16200000">
            <a:off x="11155495"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CC00D142-0345-AC38-68D5-F7D99E4E60F3}"/>
              </a:ext>
            </a:extLst>
          </xdr:cNvPr>
          <xdr:cNvCxnSpPr/>
        </xdr:nvCxnSpPr>
        <xdr:spPr>
          <a:xfrm rot="2700000">
            <a:off x="11151776" y="4043620"/>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1E49AD71-0894-325E-8321-DF9A7AF63C0F}"/>
              </a:ext>
            </a:extLst>
          </xdr:cNvPr>
          <xdr:cNvCxnSpPr/>
        </xdr:nvCxnSpPr>
        <xdr:spPr>
          <a:xfrm rot="18900000" flipH="1">
            <a:off x="11151774" y="4039902"/>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41" name="Chart 40">
          <a:extLst>
            <a:ext uri="{FF2B5EF4-FFF2-40B4-BE49-F238E27FC236}">
              <a16:creationId xmlns:a16="http://schemas.microsoft.com/office/drawing/2014/main" id="{359617CD-3CFE-4D62-AD6B-B394D1C73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42" name="TextBox 41">
          <a:extLst>
            <a:ext uri="{FF2B5EF4-FFF2-40B4-BE49-F238E27FC236}">
              <a16:creationId xmlns:a16="http://schemas.microsoft.com/office/drawing/2014/main" id="{F49FF7F5-EAC9-4383-949B-9BE71DC66B42}"/>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43" name="Chart 42">
          <a:extLst>
            <a:ext uri="{FF2B5EF4-FFF2-40B4-BE49-F238E27FC236}">
              <a16:creationId xmlns:a16="http://schemas.microsoft.com/office/drawing/2014/main" id="{A18665A2-D80C-4633-99D8-B32D4F04D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19</xdr:row>
      <xdr:rowOff>121920</xdr:rowOff>
    </xdr:from>
    <xdr:to>
      <xdr:col>12</xdr:col>
      <xdr:colOff>274320</xdr:colOff>
      <xdr:row>33</xdr:row>
      <xdr:rowOff>121920</xdr:rowOff>
    </xdr:to>
    <xdr:graphicFrame macro="">
      <xdr:nvGraphicFramePr>
        <xdr:cNvPr id="44" name="Chart 43">
          <a:extLst>
            <a:ext uri="{FF2B5EF4-FFF2-40B4-BE49-F238E27FC236}">
              <a16:creationId xmlns:a16="http://schemas.microsoft.com/office/drawing/2014/main" id="{7ABF9849-7006-4B08-B8DA-F338487D4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45" name="TextBox 44">
          <a:extLst>
            <a:ext uri="{FF2B5EF4-FFF2-40B4-BE49-F238E27FC236}">
              <a16:creationId xmlns:a16="http://schemas.microsoft.com/office/drawing/2014/main" id="{F6CBDAD2-2DD0-4E95-BD87-CA8FD312097A}"/>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46" name="Chart 45">
          <a:extLst>
            <a:ext uri="{FF2B5EF4-FFF2-40B4-BE49-F238E27FC236}">
              <a16:creationId xmlns:a16="http://schemas.microsoft.com/office/drawing/2014/main" id="{C72CDA7E-A0F0-42A3-AE14-744E463DA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3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47" name="Rectangle 46">
          <a:extLst>
            <a:ext uri="{FF2B5EF4-FFF2-40B4-BE49-F238E27FC236}">
              <a16:creationId xmlns:a16="http://schemas.microsoft.com/office/drawing/2014/main" id="{3F1BEC95-66EF-4979-BEAD-93F78D0EF9B9}"/>
            </a:ext>
          </a:extLst>
        </xdr:cNvPr>
        <xdr:cNvSpPr/>
      </xdr:nvSpPr>
      <xdr:spPr>
        <a:xfrm>
          <a:off x="6858000" y="2849880"/>
          <a:ext cx="198120" cy="175260"/>
        </a:xfrm>
        <a:prstGeom prst="rect">
          <a:avLst/>
        </a:prstGeom>
        <a:solidFill>
          <a:srgbClr val="4C4D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205740</xdr:colOff>
      <xdr:row>14</xdr:row>
      <xdr:rowOff>160020</xdr:rowOff>
    </xdr:from>
    <xdr:to>
      <xdr:col>10</xdr:col>
      <xdr:colOff>152400</xdr:colOff>
      <xdr:row>17</xdr:row>
      <xdr:rowOff>41148</xdr:rowOff>
    </xdr:to>
    <mc:AlternateContent xmlns:mc="http://schemas.openxmlformats.org/markup-compatibility/2006" xmlns:a14="http://schemas.microsoft.com/office/drawing/2010/main">
      <mc:Choice Requires="a14">
        <xdr:graphicFrame macro="">
          <xdr:nvGraphicFramePr>
            <xdr:cNvPr id="48" name="Indicators 1">
              <a:extLst>
                <a:ext uri="{FF2B5EF4-FFF2-40B4-BE49-F238E27FC236}">
                  <a16:creationId xmlns:a16="http://schemas.microsoft.com/office/drawing/2014/main" id="{D32D67F7-4EFC-4CCC-AC72-F456A74DE42C}"/>
                </a:ext>
              </a:extLst>
            </xdr:cNvPr>
            <xdr:cNvGraphicFramePr/>
          </xdr:nvGraphicFramePr>
          <xdr:xfrm>
            <a:off x="0" y="0"/>
            <a:ext cx="0" cy="0"/>
          </xdr:xfrm>
          <a:graphic>
            <a:graphicData uri="http://schemas.microsoft.com/office/drawing/2010/slicer">
              <sle:slicer xmlns:sle="http://schemas.microsoft.com/office/drawing/2010/slicer" name="Indicators 1"/>
            </a:graphicData>
          </a:graphic>
        </xdr:graphicFrame>
      </mc:Choice>
      <mc:Fallback xmlns="">
        <xdr:sp macro="" textlink="">
          <xdr:nvSpPr>
            <xdr:cNvPr id="0" name=""/>
            <xdr:cNvSpPr>
              <a:spLocks noTextEdit="1"/>
            </xdr:cNvSpPr>
          </xdr:nvSpPr>
          <xdr:spPr>
            <a:xfrm>
              <a:off x="3863340" y="2720340"/>
              <a:ext cx="23850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9" name="Year 1">
              <a:extLst>
                <a:ext uri="{FF2B5EF4-FFF2-40B4-BE49-F238E27FC236}">
                  <a16:creationId xmlns:a16="http://schemas.microsoft.com/office/drawing/2014/main" id="{48AFC8DA-E06E-4BD8-81CE-6390557CB37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50" name="Month 1">
              <a:extLst>
                <a:ext uri="{FF2B5EF4-FFF2-40B4-BE49-F238E27FC236}">
                  <a16:creationId xmlns:a16="http://schemas.microsoft.com/office/drawing/2014/main" id="{D094AAF0-BC48-4552-A628-A5B347EFE0C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51" name="TextBox 50">
          <a:extLst>
            <a:ext uri="{FF2B5EF4-FFF2-40B4-BE49-F238E27FC236}">
              <a16:creationId xmlns:a16="http://schemas.microsoft.com/office/drawing/2014/main" id="{9BA0AA7F-0C6A-4766-893D-0E81E9309B9D}"/>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53" name="TextBox 52">
          <a:extLst>
            <a:ext uri="{FF2B5EF4-FFF2-40B4-BE49-F238E27FC236}">
              <a16:creationId xmlns:a16="http://schemas.microsoft.com/office/drawing/2014/main" id="{059660CF-EE1D-48D7-87B2-92C6390471B6}"/>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55" name="Chart 54">
          <a:extLst>
            <a:ext uri="{FF2B5EF4-FFF2-40B4-BE49-F238E27FC236}">
              <a16:creationId xmlns:a16="http://schemas.microsoft.com/office/drawing/2014/main" id="{33158100-8A2A-4FC5-BEA3-83F7EE779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56" name="TextBox 55">
          <a:extLst>
            <a:ext uri="{FF2B5EF4-FFF2-40B4-BE49-F238E27FC236}">
              <a16:creationId xmlns:a16="http://schemas.microsoft.com/office/drawing/2014/main" id="{1E88B663-4A06-468B-A44D-2C7F4F7FA560}"/>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58" name="TextBox 57">
          <a:extLst>
            <a:ext uri="{FF2B5EF4-FFF2-40B4-BE49-F238E27FC236}">
              <a16:creationId xmlns:a16="http://schemas.microsoft.com/office/drawing/2014/main" id="{6A1EF899-B636-4D90-A195-09EF5451CDC9}"/>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22860</xdr:colOff>
      <xdr:row>17</xdr:row>
      <xdr:rowOff>66885</xdr:rowOff>
    </xdr:from>
    <xdr:to>
      <xdr:col>5</xdr:col>
      <xdr:colOff>297180</xdr:colOff>
      <xdr:row>19</xdr:row>
      <xdr:rowOff>55036</xdr:rowOff>
    </xdr:to>
    <xdr:sp macro="" textlink="Processing!C2">
      <xdr:nvSpPr>
        <xdr:cNvPr id="61" name="TextBox 60">
          <a:extLst>
            <a:ext uri="{FF2B5EF4-FFF2-40B4-BE49-F238E27FC236}">
              <a16:creationId xmlns:a16="http://schemas.microsoft.com/office/drawing/2014/main" id="{6C7348D1-C695-7A74-E7DC-448777ACAF98}"/>
            </a:ext>
          </a:extLst>
        </xdr:cNvPr>
        <xdr:cNvSpPr txBox="1"/>
      </xdr:nvSpPr>
      <xdr:spPr>
        <a:xfrm>
          <a:off x="246126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751E0A-AB5F-4D38-B3A9-8B6E0E89AAC3}" type="TxLink">
            <a:rPr lang="en-US" sz="1400" b="0" i="0" u="none" strike="noStrike">
              <a:solidFill>
                <a:srgbClr val="E993EB"/>
              </a:solidFill>
              <a:latin typeface="Aptos Narrow"/>
              <a:ea typeface="Verdana" panose="020B0604030504040204" pitchFamily="34" charset="0"/>
              <a:cs typeface="Calibri" panose="020F0502020204030204" pitchFamily="34" charset="0"/>
            </a:rPr>
            <a:pPr marL="0" indent="0" algn="l"/>
            <a:t>Expenses</a:t>
          </a:fld>
          <a:endParaRPr lang="ru-RU" sz="1400" b="0" i="0" u="none" strike="noStrike">
            <a:solidFill>
              <a:srgbClr val="E993EB"/>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160020</xdr:colOff>
      <xdr:row>17</xdr:row>
      <xdr:rowOff>66885</xdr:rowOff>
    </xdr:from>
    <xdr:to>
      <xdr:col>7</xdr:col>
      <xdr:colOff>129540</xdr:colOff>
      <xdr:row>19</xdr:row>
      <xdr:rowOff>55036</xdr:rowOff>
    </xdr:to>
    <xdr:sp macro="" textlink="Processing!F15">
      <xdr:nvSpPr>
        <xdr:cNvPr id="62" name="TextBox 61">
          <a:extLst>
            <a:ext uri="{FF2B5EF4-FFF2-40B4-BE49-F238E27FC236}">
              <a16:creationId xmlns:a16="http://schemas.microsoft.com/office/drawing/2014/main" id="{3480E63A-7D7F-3441-AA2E-8C70AB12E5D7}"/>
            </a:ext>
          </a:extLst>
        </xdr:cNvPr>
        <xdr:cNvSpPr txBox="1"/>
      </xdr:nvSpPr>
      <xdr:spPr>
        <a:xfrm>
          <a:off x="320802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59DCA7-F501-411A-9FCA-3AF5DDB865D1}"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l"/>
            <a:t> $12,77,190 </a:t>
          </a:fld>
          <a:endParaRPr lang="ru-RU" sz="1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17</xdr:row>
      <xdr:rowOff>66885</xdr:rowOff>
    </xdr:from>
    <xdr:to>
      <xdr:col>11</xdr:col>
      <xdr:colOff>251460</xdr:colOff>
      <xdr:row>19</xdr:row>
      <xdr:rowOff>55036</xdr:rowOff>
    </xdr:to>
    <xdr:sp macro="" textlink="Processing!B2">
      <xdr:nvSpPr>
        <xdr:cNvPr id="63" name="TextBox 62">
          <a:extLst>
            <a:ext uri="{FF2B5EF4-FFF2-40B4-BE49-F238E27FC236}">
              <a16:creationId xmlns:a16="http://schemas.microsoft.com/office/drawing/2014/main" id="{0DDD3CEB-E49A-FE76-7DC2-4A548D617BBB}"/>
            </a:ext>
          </a:extLst>
        </xdr:cNvPr>
        <xdr:cNvSpPr txBox="1"/>
      </xdr:nvSpPr>
      <xdr:spPr>
        <a:xfrm>
          <a:off x="607314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1400" b="0" i="0" u="none" strike="noStrike">
              <a:solidFill>
                <a:srgbClr val="00B0F0"/>
              </a:solidFill>
              <a:latin typeface="Aptos Narrow"/>
              <a:ea typeface="Verdana" panose="020B0604030504040204" pitchFamily="34" charset="0"/>
              <a:cs typeface="Calibri" panose="020F0502020204030204" pitchFamily="34" charset="0"/>
            </a:rPr>
            <a:pPr marL="0" indent="0" algn="l"/>
            <a:t>Revenue</a:t>
          </a:fld>
          <a:endParaRPr lang="ru-RU" sz="1400" b="0" i="0" u="none" strike="noStrike">
            <a:solidFill>
              <a:srgbClr val="00B0F0"/>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68580</xdr:colOff>
      <xdr:row>17</xdr:row>
      <xdr:rowOff>66885</xdr:rowOff>
    </xdr:from>
    <xdr:to>
      <xdr:col>12</xdr:col>
      <xdr:colOff>571500</xdr:colOff>
      <xdr:row>19</xdr:row>
      <xdr:rowOff>55036</xdr:rowOff>
    </xdr:to>
    <xdr:sp macro="" textlink="Processing!E15">
      <xdr:nvSpPr>
        <xdr:cNvPr id="6144" name="TextBox 6143">
          <a:extLst>
            <a:ext uri="{FF2B5EF4-FFF2-40B4-BE49-F238E27FC236}">
              <a16:creationId xmlns:a16="http://schemas.microsoft.com/office/drawing/2014/main" id="{BBD21269-E915-4AB3-633B-B5CFCA80A93C}"/>
            </a:ext>
          </a:extLst>
        </xdr:cNvPr>
        <xdr:cNvSpPr txBox="1"/>
      </xdr:nvSpPr>
      <xdr:spPr>
        <a:xfrm>
          <a:off x="6774180" y="3175845"/>
          <a:ext cx="11125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FF57C3-05C0-470D-A217-ED45FAB05204}"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l"/>
            <a:t> $13,44,765 </a:t>
          </a:fld>
          <a:endParaRPr lang="ru-RU" sz="1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7</xdr:col>
      <xdr:colOff>236220</xdr:colOff>
      <xdr:row>17</xdr:row>
      <xdr:rowOff>66885</xdr:rowOff>
    </xdr:from>
    <xdr:to>
      <xdr:col>8</xdr:col>
      <xdr:colOff>243840</xdr:colOff>
      <xdr:row>19</xdr:row>
      <xdr:rowOff>55036</xdr:rowOff>
    </xdr:to>
    <xdr:sp macro="" textlink="Processing!D2">
      <xdr:nvSpPr>
        <xdr:cNvPr id="6146" name="TextBox 6145">
          <a:extLst>
            <a:ext uri="{FF2B5EF4-FFF2-40B4-BE49-F238E27FC236}">
              <a16:creationId xmlns:a16="http://schemas.microsoft.com/office/drawing/2014/main" id="{6B6DDCF6-8B27-BC23-0D04-9989DA69F38B}"/>
            </a:ext>
          </a:extLst>
        </xdr:cNvPr>
        <xdr:cNvSpPr txBox="1"/>
      </xdr:nvSpPr>
      <xdr:spPr>
        <a:xfrm>
          <a:off x="4503420" y="3175845"/>
          <a:ext cx="6172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1DB0D43-FFC1-4107-AD22-99787BF30AAE}" type="TxLink">
            <a:rPr lang="en-US" sz="1400" b="0" i="0" u="none" strike="noStrike">
              <a:solidFill>
                <a:srgbClr val="01F3FF"/>
              </a:solidFill>
              <a:latin typeface="Aptos Narrow"/>
              <a:ea typeface="Verdana" panose="020B0604030504040204" pitchFamily="34" charset="0"/>
              <a:cs typeface="Calibri" panose="020F0502020204030204" pitchFamily="34" charset="0"/>
            </a:rPr>
            <a:pPr marL="0" indent="0" algn="l"/>
            <a:t>Profit</a:t>
          </a:fld>
          <a:endParaRPr lang="ru-RU" sz="1800" b="0" i="0" u="none" strike="noStrike">
            <a:solidFill>
              <a:srgbClr val="01F3FF"/>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83820</xdr:colOff>
      <xdr:row>17</xdr:row>
      <xdr:rowOff>66885</xdr:rowOff>
    </xdr:from>
    <xdr:to>
      <xdr:col>10</xdr:col>
      <xdr:colOff>22860</xdr:colOff>
      <xdr:row>19</xdr:row>
      <xdr:rowOff>55036</xdr:rowOff>
    </xdr:to>
    <xdr:sp macro="" textlink="Processing!G15">
      <xdr:nvSpPr>
        <xdr:cNvPr id="6147" name="TextBox 6146">
          <a:extLst>
            <a:ext uri="{FF2B5EF4-FFF2-40B4-BE49-F238E27FC236}">
              <a16:creationId xmlns:a16="http://schemas.microsoft.com/office/drawing/2014/main" id="{CDB559E9-633E-125E-D008-5D6D8E58AB17}"/>
            </a:ext>
          </a:extLst>
        </xdr:cNvPr>
        <xdr:cNvSpPr txBox="1"/>
      </xdr:nvSpPr>
      <xdr:spPr>
        <a:xfrm>
          <a:off x="4960620" y="3175845"/>
          <a:ext cx="115824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C575237-9BC6-4014-8D3D-ED5ADD4815D1}"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l"/>
            <a:t> $67,575 </a:t>
          </a:fld>
          <a:endParaRPr lang="ru-RU" sz="1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236220</xdr:colOff>
      <xdr:row>4</xdr:row>
      <xdr:rowOff>137160</xdr:rowOff>
    </xdr:from>
    <xdr:to>
      <xdr:col>12</xdr:col>
      <xdr:colOff>327660</xdr:colOff>
      <xdr:row>11</xdr:row>
      <xdr:rowOff>175260</xdr:rowOff>
    </xdr:to>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79883C2C-F659-4199-82D4-EF7CDFCA1163}"/>
            </a:ext>
          </a:extLst>
        </xdr:cNvPr>
        <xdr:cNvSpPr/>
      </xdr:nvSpPr>
      <xdr:spPr>
        <a:xfrm>
          <a:off x="5113020" y="868680"/>
          <a:ext cx="252984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99060</xdr:colOff>
      <xdr:row>4</xdr:row>
      <xdr:rowOff>0</xdr:rowOff>
    </xdr:from>
    <xdr:to>
      <xdr:col>19</xdr:col>
      <xdr:colOff>594360</xdr:colOff>
      <xdr:row>17</xdr:row>
      <xdr:rowOff>83820</xdr:rowOff>
    </xdr:to>
    <xdr:sp macro="" textlink="">
      <xdr:nvSpPr>
        <xdr:cNvPr id="11" name="Rectangle: Rounded Corners 10">
          <a:hlinkClick xmlns:r="http://schemas.openxmlformats.org/officeDocument/2006/relationships" r:id="rId8"/>
          <a:extLst>
            <a:ext uri="{FF2B5EF4-FFF2-40B4-BE49-F238E27FC236}">
              <a16:creationId xmlns:a16="http://schemas.microsoft.com/office/drawing/2014/main" id="{3840C58F-C55C-4ED8-8596-FCFF9C10C7F0}"/>
            </a:ext>
          </a:extLst>
        </xdr:cNvPr>
        <xdr:cNvSpPr/>
      </xdr:nvSpPr>
      <xdr:spPr>
        <a:xfrm>
          <a:off x="8023860" y="7315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83820</xdr:colOff>
      <xdr:row>18</xdr:row>
      <xdr:rowOff>99060</xdr:rowOff>
    </xdr:from>
    <xdr:to>
      <xdr:col>16</xdr:col>
      <xdr:colOff>106680</xdr:colOff>
      <xdr:row>32</xdr:row>
      <xdr:rowOff>99060</xdr:rowOff>
    </xdr:to>
    <xdr:sp macro="" textlink="">
      <xdr:nvSpPr>
        <xdr:cNvPr id="12" name="Rectangle: Rounded Corners 11">
          <a:hlinkClick xmlns:r="http://schemas.openxmlformats.org/officeDocument/2006/relationships" r:id="rId9"/>
          <a:extLst>
            <a:ext uri="{FF2B5EF4-FFF2-40B4-BE49-F238E27FC236}">
              <a16:creationId xmlns:a16="http://schemas.microsoft.com/office/drawing/2014/main" id="{F5A2C829-C483-4438-A01F-8C150F513734}"/>
            </a:ext>
          </a:extLst>
        </xdr:cNvPr>
        <xdr:cNvSpPr/>
      </xdr:nvSpPr>
      <xdr:spPr>
        <a:xfrm>
          <a:off x="8008620" y="33909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320040</xdr:colOff>
      <xdr:row>18</xdr:row>
      <xdr:rowOff>99060</xdr:rowOff>
    </xdr:from>
    <xdr:to>
      <xdr:col>20</xdr:col>
      <xdr:colOff>0</xdr:colOff>
      <xdr:row>35</xdr:row>
      <xdr:rowOff>129540</xdr:rowOff>
    </xdr:to>
    <xdr:sp macro="" textlink="">
      <xdr:nvSpPr>
        <xdr:cNvPr id="23" name="Rectangle: Rounded Corners 22">
          <a:hlinkClick xmlns:r="http://schemas.openxmlformats.org/officeDocument/2006/relationships" r:id="rId10"/>
          <a:extLst>
            <a:ext uri="{FF2B5EF4-FFF2-40B4-BE49-F238E27FC236}">
              <a16:creationId xmlns:a16="http://schemas.microsoft.com/office/drawing/2014/main" id="{B9501974-7CBD-442D-AA0A-DCD6617DC8F1}"/>
            </a:ext>
          </a:extLst>
        </xdr:cNvPr>
        <xdr:cNvSpPr/>
      </xdr:nvSpPr>
      <xdr:spPr>
        <a:xfrm>
          <a:off x="10073640" y="33909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60960</xdr:colOff>
      <xdr:row>4</xdr:row>
      <xdr:rowOff>137160</xdr:rowOff>
    </xdr:from>
    <xdr:to>
      <xdr:col>7</xdr:col>
      <xdr:colOff>388620</xdr:colOff>
      <xdr:row>11</xdr:row>
      <xdr:rowOff>175260</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E01406FE-72AC-0E6E-6C58-45090BE6171A}"/>
            </a:ext>
          </a:extLst>
        </xdr:cNvPr>
        <xdr:cNvSpPr/>
      </xdr:nvSpPr>
      <xdr:spPr>
        <a:xfrm>
          <a:off x="2499360" y="86868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52" name="Group 51">
          <a:hlinkClick xmlns:r="http://schemas.openxmlformats.org/officeDocument/2006/relationships" r:id="rId11"/>
          <a:extLst>
            <a:ext uri="{FF2B5EF4-FFF2-40B4-BE49-F238E27FC236}">
              <a16:creationId xmlns:a16="http://schemas.microsoft.com/office/drawing/2014/main" id="{7F6901AF-E054-5EED-47C3-F61FF39719EC}"/>
            </a:ext>
          </a:extLst>
        </xdr:cNvPr>
        <xdr:cNvGrpSpPr/>
      </xdr:nvGrpSpPr>
      <xdr:grpSpPr>
        <a:xfrm>
          <a:off x="158639" y="833505"/>
          <a:ext cx="274320" cy="262048"/>
          <a:chOff x="2657199" y="8924774"/>
          <a:chExt cx="796566" cy="720791"/>
        </a:xfrm>
      </xdr:grpSpPr>
      <xdr:sp macro="" textlink="">
        <xdr:nvSpPr>
          <xdr:cNvPr id="60" name="Freeform: Shape 59">
            <a:extLst>
              <a:ext uri="{FF2B5EF4-FFF2-40B4-BE49-F238E27FC236}">
                <a16:creationId xmlns:a16="http://schemas.microsoft.com/office/drawing/2014/main" id="{AC2B9BD2-8472-2AFA-EF00-02D3C1EA6609}"/>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6148" name="Freeform: Shape 6147">
            <a:extLst>
              <a:ext uri="{FF2B5EF4-FFF2-40B4-BE49-F238E27FC236}">
                <a16:creationId xmlns:a16="http://schemas.microsoft.com/office/drawing/2014/main" id="{8F38381B-7F43-2B5D-24C2-AD8AEBB706E0}"/>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149" name="Freeform: Shape 6148">
            <a:extLst>
              <a:ext uri="{FF2B5EF4-FFF2-40B4-BE49-F238E27FC236}">
                <a16:creationId xmlns:a16="http://schemas.microsoft.com/office/drawing/2014/main" id="{B20EBB2C-09BF-43DE-24AF-E2064F6B00CE}"/>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150" name="Freeform: Shape 6149">
            <a:extLst>
              <a:ext uri="{FF2B5EF4-FFF2-40B4-BE49-F238E27FC236}">
                <a16:creationId xmlns:a16="http://schemas.microsoft.com/office/drawing/2014/main" id="{D04E8810-33CE-6C2D-1F6E-A9EE0F19F419}"/>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151" name="Freeform: Shape 6150">
            <a:extLst>
              <a:ext uri="{FF2B5EF4-FFF2-40B4-BE49-F238E27FC236}">
                <a16:creationId xmlns:a16="http://schemas.microsoft.com/office/drawing/2014/main" id="{7F493C14-BB54-E22E-C6D6-C60BCC6BE90A}"/>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152" name="Freeform: Shape 6151">
            <a:extLst>
              <a:ext uri="{FF2B5EF4-FFF2-40B4-BE49-F238E27FC236}">
                <a16:creationId xmlns:a16="http://schemas.microsoft.com/office/drawing/2014/main" id="{ABC90868-2D1F-3D8B-F154-607B4FAF30AA}"/>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153" name="Freeform: Shape 6152">
            <a:extLst>
              <a:ext uri="{FF2B5EF4-FFF2-40B4-BE49-F238E27FC236}">
                <a16:creationId xmlns:a16="http://schemas.microsoft.com/office/drawing/2014/main" id="{05C5B2C3-6B11-8DF0-1085-ECCB70B11776}"/>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6154" name="Freeform: Shape 6153">
            <a:extLst>
              <a:ext uri="{FF2B5EF4-FFF2-40B4-BE49-F238E27FC236}">
                <a16:creationId xmlns:a16="http://schemas.microsoft.com/office/drawing/2014/main" id="{9F299FFF-20D0-C478-C2AB-06EB922C59B6}"/>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54" name="Graphic 53" descr="Moon and stars with solid fill">
          <a:extLst>
            <a:ext uri="{FF2B5EF4-FFF2-40B4-BE49-F238E27FC236}">
              <a16:creationId xmlns:a16="http://schemas.microsoft.com/office/drawing/2014/main" id="{1F467E13-A5AC-B70F-4385-B1C874FA679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7" name="Graphic 56" descr="Sun with solid fill">
          <a:hlinkClick xmlns:r="http://schemas.openxmlformats.org/officeDocument/2006/relationships" r:id="rId14"/>
          <a:extLst>
            <a:ext uri="{FF2B5EF4-FFF2-40B4-BE49-F238E27FC236}">
              <a16:creationId xmlns:a16="http://schemas.microsoft.com/office/drawing/2014/main" id="{E28E001E-BEED-A2DB-88A5-BDECA816C85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3687" y="365760"/>
          <a:ext cx="274320" cy="2743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61" name="Group 60">
          <a:extLst>
            <a:ext uri="{FF2B5EF4-FFF2-40B4-BE49-F238E27FC236}">
              <a16:creationId xmlns:a16="http://schemas.microsoft.com/office/drawing/2014/main" id="{355C533B-B117-45A5-9AE7-1A631949D589}"/>
            </a:ext>
          </a:extLst>
        </xdr:cNvPr>
        <xdr:cNvGrpSpPr/>
      </xdr:nvGrpSpPr>
      <xdr:grpSpPr>
        <a:xfrm>
          <a:off x="0" y="0"/>
          <a:ext cx="14732000" cy="8572500"/>
          <a:chOff x="1538344" y="742278"/>
          <a:chExt cx="8961120" cy="5432611"/>
        </a:xfrm>
      </xdr:grpSpPr>
      <xdr:sp macro="" textlink="">
        <xdr:nvSpPr>
          <xdr:cNvPr id="62" name="Rectangle 61">
            <a:extLst>
              <a:ext uri="{FF2B5EF4-FFF2-40B4-BE49-F238E27FC236}">
                <a16:creationId xmlns:a16="http://schemas.microsoft.com/office/drawing/2014/main" id="{23E266D0-CB9B-16B3-A648-124CB4F4FF79}"/>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3" name="Rectangle 62">
            <a:extLst>
              <a:ext uri="{FF2B5EF4-FFF2-40B4-BE49-F238E27FC236}">
                <a16:creationId xmlns:a16="http://schemas.microsoft.com/office/drawing/2014/main" id="{9F8DDAE4-EED6-2EC4-DCD6-3CD3C3C6FBAB}"/>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6" name="Rectangle: Rounded Corners 5">
          <a:extLst>
            <a:ext uri="{FF2B5EF4-FFF2-40B4-BE49-F238E27FC236}">
              <a16:creationId xmlns:a16="http://schemas.microsoft.com/office/drawing/2014/main" id="{43F9AB55-6222-5E35-CC81-EA4ECEAA50E6}"/>
            </a:ext>
          </a:extLst>
        </xdr:cNvPr>
        <xdr:cNvSpPr/>
      </xdr:nvSpPr>
      <xdr:spPr>
        <a:xfrm>
          <a:off x="1920240" y="381000"/>
          <a:ext cx="10698480" cy="6492240"/>
        </a:xfrm>
        <a:prstGeom prst="roundRect">
          <a:avLst>
            <a:gd name="adj" fmla="val 5678"/>
          </a:avLst>
        </a:prstGeom>
        <a:gradFill flip="none" rotWithShape="1">
          <a:gsLst>
            <a:gs pos="0">
              <a:srgbClr val="E5D9FE"/>
            </a:gs>
            <a:gs pos="100000">
              <a:srgbClr val="DBE0FF"/>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B76966F4-2319-4A96-A105-AE352151D325}"/>
            </a:ext>
          </a:extLst>
        </xdr:cNvPr>
        <xdr:cNvSpPr/>
      </xdr:nvSpPr>
      <xdr:spPr>
        <a:xfrm>
          <a:off x="2317262" y="716188"/>
          <a:ext cx="2441986" cy="1645920"/>
        </a:xfrm>
        <a:prstGeom prst="roundRect">
          <a:avLst>
            <a:gd name="adj" fmla="val 9318"/>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B41A9970-EAFB-45AA-907D-C8228BA9B2AE}"/>
            </a:ext>
          </a:extLst>
        </xdr:cNvPr>
        <xdr:cNvSpPr/>
      </xdr:nvSpPr>
      <xdr:spPr>
        <a:xfrm>
          <a:off x="4976853" y="718877"/>
          <a:ext cx="2812649" cy="1645920"/>
        </a:xfrm>
        <a:prstGeom prst="roundRect">
          <a:avLst>
            <a:gd name="adj" fmla="val 8437"/>
          </a:avLst>
        </a:prstGeom>
        <a:gradFill>
          <a:gsLst>
            <a:gs pos="0">
              <a:srgbClr val="FCF6FF"/>
            </a:gs>
            <a:gs pos="58000">
              <a:srgbClr val="DAE1FE"/>
            </a:gs>
          </a:gsLst>
          <a:lin ang="8100000" scaled="1"/>
        </a:gradFill>
        <a:ln w="9525">
          <a:solidFill>
            <a:srgbClr val="8278FC"/>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12" name="Rectangle: Rounded Corners 11">
          <a:extLst>
            <a:ext uri="{FF2B5EF4-FFF2-40B4-BE49-F238E27FC236}">
              <a16:creationId xmlns:a16="http://schemas.microsoft.com/office/drawing/2014/main" id="{7B19C7CE-F302-29B0-73F3-EE381BC3F48C}"/>
            </a:ext>
          </a:extLst>
        </xdr:cNvPr>
        <xdr:cNvSpPr/>
      </xdr:nvSpPr>
      <xdr:spPr>
        <a:xfrm>
          <a:off x="5194457" y="939857"/>
          <a:ext cx="237744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r>
            <a:rPr lang="en-US" kern="1200">
              <a:ea typeface="+mn-ea"/>
              <a:cs typeface="+mn-cs"/>
            </a:rPr>
            <a:t> $13,44,765 </a:t>
          </a: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13" name="Rectangle: Rounded Corners 12">
          <a:extLst>
            <a:ext uri="{FF2B5EF4-FFF2-40B4-BE49-F238E27FC236}">
              <a16:creationId xmlns:a16="http://schemas.microsoft.com/office/drawing/2014/main" id="{CDB95B61-967F-44AA-9658-2101EDBA57E1}"/>
            </a:ext>
          </a:extLst>
        </xdr:cNvPr>
        <xdr:cNvSpPr/>
      </xdr:nvSpPr>
      <xdr:spPr>
        <a:xfrm>
          <a:off x="8042692" y="716188"/>
          <a:ext cx="4160520" cy="2479040"/>
        </a:xfrm>
        <a:prstGeom prst="roundRect">
          <a:avLst>
            <a:gd name="adj" fmla="val 8437"/>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US" sz="1100">
            <a:solidFill>
              <a:schemeClr val="tx2">
                <a:lumMod val="10000"/>
                <a:lumOff val="90000"/>
              </a:schemeClr>
            </a:solidFill>
            <a:latin typeface="+mn-lt"/>
            <a:ea typeface="+mn-ea"/>
            <a:cs typeface="+mn-cs"/>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4" name="Rectangle: Rounded Corners 13">
          <a:extLst>
            <a:ext uri="{FF2B5EF4-FFF2-40B4-BE49-F238E27FC236}">
              <a16:creationId xmlns:a16="http://schemas.microsoft.com/office/drawing/2014/main" id="{F520C8AD-C321-417F-84F1-EC2DC24D1D9A}"/>
            </a:ext>
          </a:extLst>
        </xdr:cNvPr>
        <xdr:cNvSpPr/>
      </xdr:nvSpPr>
      <xdr:spPr>
        <a:xfrm>
          <a:off x="10100092" y="3422015"/>
          <a:ext cx="2103120" cy="3108960"/>
        </a:xfrm>
        <a:prstGeom prst="roundRect">
          <a:avLst>
            <a:gd name="adj" fmla="val 8437"/>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5" name="Rectangle: Rounded Corners 14">
          <a:extLst>
            <a:ext uri="{FF2B5EF4-FFF2-40B4-BE49-F238E27FC236}">
              <a16:creationId xmlns:a16="http://schemas.microsoft.com/office/drawing/2014/main" id="{6A3631C1-8AAF-46F6-83F9-A6B6BA7D60B3}"/>
            </a:ext>
          </a:extLst>
        </xdr:cNvPr>
        <xdr:cNvSpPr/>
      </xdr:nvSpPr>
      <xdr:spPr>
        <a:xfrm>
          <a:off x="8042692" y="3422015"/>
          <a:ext cx="1828800" cy="3108960"/>
        </a:xfrm>
        <a:prstGeom prst="roundRect">
          <a:avLst>
            <a:gd name="adj" fmla="val 8437"/>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6" name="Rectangle: Rounded Corners 15">
          <a:extLst>
            <a:ext uri="{FF2B5EF4-FFF2-40B4-BE49-F238E27FC236}">
              <a16:creationId xmlns:a16="http://schemas.microsoft.com/office/drawing/2014/main" id="{73DBD5FC-9A9E-46AB-9AB5-1FE9A1F76C8A}"/>
            </a:ext>
          </a:extLst>
        </xdr:cNvPr>
        <xdr:cNvSpPr/>
      </xdr:nvSpPr>
      <xdr:spPr>
        <a:xfrm>
          <a:off x="2311672" y="2606040"/>
          <a:ext cx="5477830" cy="3924935"/>
        </a:xfrm>
        <a:prstGeom prst="roundRect">
          <a:avLst>
            <a:gd name="adj" fmla="val 3638"/>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19" name="Rectangle: Rounded Corners 18">
          <a:extLst>
            <a:ext uri="{FF2B5EF4-FFF2-40B4-BE49-F238E27FC236}">
              <a16:creationId xmlns:a16="http://schemas.microsoft.com/office/drawing/2014/main" id="{0F3A9012-35AD-39D9-4F2F-8D8C3C3ADE17}"/>
            </a:ext>
          </a:extLst>
        </xdr:cNvPr>
        <xdr:cNvSpPr/>
      </xdr:nvSpPr>
      <xdr:spPr>
        <a:xfrm>
          <a:off x="2545080" y="929640"/>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D5B22AD-2689-4A19-8294-60DCF73D852F}" type="TxLink">
            <a:rPr lang="en-US" sz="4000" kern="1200">
              <a:solidFill>
                <a:schemeClr val="tx1"/>
              </a:solidFill>
              <a:latin typeface="+mn-lt"/>
              <a:ea typeface="+mn-ea"/>
              <a:cs typeface="+mn-cs"/>
            </a:rPr>
            <a:pPr marL="0" indent="0" algn="l" defTabSz="914400" rtl="0" eaLnBrk="1" latinLnBrk="0" hangingPunct="1"/>
            <a:t> 21 089</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20" name="Circle: Hollow 19">
          <a:extLst>
            <a:ext uri="{FF2B5EF4-FFF2-40B4-BE49-F238E27FC236}">
              <a16:creationId xmlns:a16="http://schemas.microsoft.com/office/drawing/2014/main" id="{1858203C-D55D-4CBA-ABCB-9C1F07B6B315}"/>
            </a:ext>
          </a:extLst>
        </xdr:cNvPr>
        <xdr:cNvSpPr/>
      </xdr:nvSpPr>
      <xdr:spPr>
        <a:xfrm>
          <a:off x="10043159" y="987743"/>
          <a:ext cx="1828800" cy="1828800"/>
        </a:xfrm>
        <a:prstGeom prst="donut">
          <a:avLst>
            <a:gd name="adj" fmla="val 20022"/>
          </a:avLst>
        </a:prstGeom>
        <a:solidFill>
          <a:srgbClr val="C7C5FF"/>
        </a:solidFill>
        <a:ln>
          <a:noFill/>
        </a:ln>
        <a:effectLst>
          <a:innerShdw blurRad="254000">
            <a:prstClr val="black">
              <a:alpha val="3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tx1"/>
            </a:solidFill>
            <a:latin typeface="+mn-lt"/>
            <a:ea typeface="+mn-ea"/>
            <a:cs typeface="+mn-cs"/>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1" name="Chart 20">
          <a:extLst>
            <a:ext uri="{FF2B5EF4-FFF2-40B4-BE49-F238E27FC236}">
              <a16:creationId xmlns:a16="http://schemas.microsoft.com/office/drawing/2014/main" id="{5058F50A-469F-4B8B-BD00-07EE8E363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2" name="TextBox 21">
          <a:extLst>
            <a:ext uri="{FF2B5EF4-FFF2-40B4-BE49-F238E27FC236}">
              <a16:creationId xmlns:a16="http://schemas.microsoft.com/office/drawing/2014/main" id="{1D20E159-21A0-47DA-804F-CEA938414109}"/>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3" name="TextBox 22">
          <a:extLst>
            <a:ext uri="{FF2B5EF4-FFF2-40B4-BE49-F238E27FC236}">
              <a16:creationId xmlns:a16="http://schemas.microsoft.com/office/drawing/2014/main" id="{770D0E70-07E6-436C-9822-A2437E92AC86}"/>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4" name="TextBox 23">
          <a:extLst>
            <a:ext uri="{FF2B5EF4-FFF2-40B4-BE49-F238E27FC236}">
              <a16:creationId xmlns:a16="http://schemas.microsoft.com/office/drawing/2014/main" id="{6964C4A1-1A0A-4243-8E68-233569D5667D}"/>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5" name="Oval 24">
          <a:extLst>
            <a:ext uri="{FF2B5EF4-FFF2-40B4-BE49-F238E27FC236}">
              <a16:creationId xmlns:a16="http://schemas.microsoft.com/office/drawing/2014/main" id="{F805BFA1-E57D-47A3-8074-EA56781F7D2B}"/>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6" name="Oval 25">
          <a:extLst>
            <a:ext uri="{FF2B5EF4-FFF2-40B4-BE49-F238E27FC236}">
              <a16:creationId xmlns:a16="http://schemas.microsoft.com/office/drawing/2014/main" id="{05811F5D-6092-4A81-AD67-2B6770F628B2}"/>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7" name="Oval 26">
          <a:extLst>
            <a:ext uri="{FF2B5EF4-FFF2-40B4-BE49-F238E27FC236}">
              <a16:creationId xmlns:a16="http://schemas.microsoft.com/office/drawing/2014/main" id="{613BE19F-6312-45AE-8D73-2A19A0990C15}"/>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8" name="Oval 27">
          <a:extLst>
            <a:ext uri="{FF2B5EF4-FFF2-40B4-BE49-F238E27FC236}">
              <a16:creationId xmlns:a16="http://schemas.microsoft.com/office/drawing/2014/main" id="{D42A50AD-2FC1-4161-9059-EDC1ABC569D6}"/>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9" name="TextBox 28">
          <a:extLst>
            <a:ext uri="{FF2B5EF4-FFF2-40B4-BE49-F238E27FC236}">
              <a16:creationId xmlns:a16="http://schemas.microsoft.com/office/drawing/2014/main" id="{A07D6AAE-BC10-484A-9BA5-BDF97E7BF10C}"/>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0" name="Group 29">
          <a:extLst>
            <a:ext uri="{FF2B5EF4-FFF2-40B4-BE49-F238E27FC236}">
              <a16:creationId xmlns:a16="http://schemas.microsoft.com/office/drawing/2014/main" id="{B6F72C1B-5755-4F0C-A0DA-D547A4B1C669}"/>
            </a:ext>
          </a:extLst>
        </xdr:cNvPr>
        <xdr:cNvGrpSpPr/>
      </xdr:nvGrpSpPr>
      <xdr:grpSpPr>
        <a:xfrm>
          <a:off x="10446503" y="4353436"/>
          <a:ext cx="1566665" cy="1629008"/>
          <a:chOff x="10374536" y="4039901"/>
          <a:chExt cx="1558199" cy="1554481"/>
        </a:xfrm>
      </xdr:grpSpPr>
      <xdr:cxnSp macro="">
        <xdr:nvCxnSpPr>
          <xdr:cNvPr id="31" name="Straight Connector 30">
            <a:extLst>
              <a:ext uri="{FF2B5EF4-FFF2-40B4-BE49-F238E27FC236}">
                <a16:creationId xmlns:a16="http://schemas.microsoft.com/office/drawing/2014/main" id="{A1A8F4E1-0C15-50BA-35DC-ACF5E3F5D3C5}"/>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31B6F353-4387-E947-75B7-A6B6E502E969}"/>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643D2DF5-887D-87ED-0A82-CAD61759F939}"/>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3AE888AC-EA33-47BE-861F-F23C34A7937E}"/>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5" name="Chart 34">
          <a:extLst>
            <a:ext uri="{FF2B5EF4-FFF2-40B4-BE49-F238E27FC236}">
              <a16:creationId xmlns:a16="http://schemas.microsoft.com/office/drawing/2014/main" id="{5AF5D267-5D9C-4B07-A3FB-9FC0D1423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6" name="TextBox 35">
          <a:extLst>
            <a:ext uri="{FF2B5EF4-FFF2-40B4-BE49-F238E27FC236}">
              <a16:creationId xmlns:a16="http://schemas.microsoft.com/office/drawing/2014/main" id="{D35FCDE3-4F74-4D09-B066-1F66A7230ADF}"/>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7" name="Chart 36">
          <a:extLst>
            <a:ext uri="{FF2B5EF4-FFF2-40B4-BE49-F238E27FC236}">
              <a16:creationId xmlns:a16="http://schemas.microsoft.com/office/drawing/2014/main" id="{124203B5-F4C1-43EA-82E0-0669850B0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19</xdr:row>
      <xdr:rowOff>121920</xdr:rowOff>
    </xdr:from>
    <xdr:to>
      <xdr:col>12</xdr:col>
      <xdr:colOff>274320</xdr:colOff>
      <xdr:row>33</xdr:row>
      <xdr:rowOff>121920</xdr:rowOff>
    </xdr:to>
    <xdr:graphicFrame macro="">
      <xdr:nvGraphicFramePr>
        <xdr:cNvPr id="38" name="Chart 37">
          <a:extLst>
            <a:ext uri="{FF2B5EF4-FFF2-40B4-BE49-F238E27FC236}">
              <a16:creationId xmlns:a16="http://schemas.microsoft.com/office/drawing/2014/main" id="{1161B514-20EC-4768-9DAE-AFD7A4229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9" name="TextBox 38">
          <a:extLst>
            <a:ext uri="{FF2B5EF4-FFF2-40B4-BE49-F238E27FC236}">
              <a16:creationId xmlns:a16="http://schemas.microsoft.com/office/drawing/2014/main" id="{F9663BB2-A826-400D-9259-EBE9F2A0F1A3}"/>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40" name="Chart 39">
          <a:extLst>
            <a:ext uri="{FF2B5EF4-FFF2-40B4-BE49-F238E27FC236}">
              <a16:creationId xmlns:a16="http://schemas.microsoft.com/office/drawing/2014/main" id="{6DCDB2BB-B2F2-48C6-9244-4BD4DEFA7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15361" name="Check Box 1" hidden="1">
              <a:extLst>
                <a:ext uri="{63B3BB69-23CF-44E3-9099-C40C66FF867C}">
                  <a14:compatExt spid="_x0000_s15361"/>
                </a:ext>
                <a:ext uri="{FF2B5EF4-FFF2-40B4-BE49-F238E27FC236}">
                  <a16:creationId xmlns:a16="http://schemas.microsoft.com/office/drawing/2014/main" id="{00000000-0008-0000-0400-000001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41" name="Rectangle 40">
          <a:extLst>
            <a:ext uri="{FF2B5EF4-FFF2-40B4-BE49-F238E27FC236}">
              <a16:creationId xmlns:a16="http://schemas.microsoft.com/office/drawing/2014/main" id="{10F66707-703A-4618-A25C-F5229A0855BA}"/>
            </a:ext>
          </a:extLst>
        </xdr:cNvPr>
        <xdr:cNvSpPr/>
      </xdr:nvSpPr>
      <xdr:spPr>
        <a:xfrm>
          <a:off x="6858000" y="2849880"/>
          <a:ext cx="198120" cy="175260"/>
        </a:xfrm>
        <a:prstGeom prst="rect">
          <a:avLst/>
        </a:prstGeom>
        <a:solidFill>
          <a:srgbClr val="E2D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6</xdr:col>
      <xdr:colOff>205740</xdr:colOff>
      <xdr:row>14</xdr:row>
      <xdr:rowOff>160020</xdr:rowOff>
    </xdr:from>
    <xdr:to>
      <xdr:col>10</xdr:col>
      <xdr:colOff>152400</xdr:colOff>
      <xdr:row>17</xdr:row>
      <xdr:rowOff>41148</xdr:rowOff>
    </xdr:to>
    <mc:AlternateContent xmlns:mc="http://schemas.openxmlformats.org/markup-compatibility/2006" xmlns:a14="http://schemas.microsoft.com/office/drawing/2010/main">
      <mc:Choice Requires="a14">
        <xdr:graphicFrame macro="">
          <xdr:nvGraphicFramePr>
            <xdr:cNvPr id="42" name="Indicators 3">
              <a:extLst>
                <a:ext uri="{FF2B5EF4-FFF2-40B4-BE49-F238E27FC236}">
                  <a16:creationId xmlns:a16="http://schemas.microsoft.com/office/drawing/2014/main" id="{4A963618-8FFC-47E2-AF49-4CB077F05D67}"/>
                </a:ext>
              </a:extLst>
            </xdr:cNvPr>
            <xdr:cNvGraphicFramePr/>
          </xdr:nvGraphicFramePr>
          <xdr:xfrm>
            <a:off x="0" y="0"/>
            <a:ext cx="0" cy="0"/>
          </xdr:xfrm>
          <a:graphic>
            <a:graphicData uri="http://schemas.microsoft.com/office/drawing/2010/slicer">
              <sle:slicer xmlns:sle="http://schemas.microsoft.com/office/drawing/2010/slicer" name="Indicators 3"/>
            </a:graphicData>
          </a:graphic>
        </xdr:graphicFrame>
      </mc:Choice>
      <mc:Fallback xmlns="">
        <xdr:sp macro="" textlink="">
          <xdr:nvSpPr>
            <xdr:cNvPr id="0" name=""/>
            <xdr:cNvSpPr>
              <a:spLocks noTextEdit="1"/>
            </xdr:cNvSpPr>
          </xdr:nvSpPr>
          <xdr:spPr>
            <a:xfrm>
              <a:off x="3863340" y="2720340"/>
              <a:ext cx="23850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3" name="Year 6">
              <a:extLst>
                <a:ext uri="{FF2B5EF4-FFF2-40B4-BE49-F238E27FC236}">
                  <a16:creationId xmlns:a16="http://schemas.microsoft.com/office/drawing/2014/main" id="{B1B4B1C3-5716-4634-A954-313C3887958A}"/>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4" name="Month 6">
              <a:extLst>
                <a:ext uri="{FF2B5EF4-FFF2-40B4-BE49-F238E27FC236}">
                  <a16:creationId xmlns:a16="http://schemas.microsoft.com/office/drawing/2014/main" id="{5C848646-DF8B-4213-B730-9FB0B08D8FC1}"/>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5" name="TextBox 44">
          <a:extLst>
            <a:ext uri="{FF2B5EF4-FFF2-40B4-BE49-F238E27FC236}">
              <a16:creationId xmlns:a16="http://schemas.microsoft.com/office/drawing/2014/main" id="{F03B205A-5DFB-461B-A53C-8EF23A975B6C}"/>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6" name="TextBox 45">
          <a:extLst>
            <a:ext uri="{FF2B5EF4-FFF2-40B4-BE49-F238E27FC236}">
              <a16:creationId xmlns:a16="http://schemas.microsoft.com/office/drawing/2014/main" id="{0948C717-6A60-4DE2-A350-D941D6308DFF}"/>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7" name="Chart 46">
          <a:extLst>
            <a:ext uri="{FF2B5EF4-FFF2-40B4-BE49-F238E27FC236}">
              <a16:creationId xmlns:a16="http://schemas.microsoft.com/office/drawing/2014/main" id="{A1C9C8C7-3642-4273-AB04-709D6A8BF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8" name="TextBox 47">
          <a:extLst>
            <a:ext uri="{FF2B5EF4-FFF2-40B4-BE49-F238E27FC236}">
              <a16:creationId xmlns:a16="http://schemas.microsoft.com/office/drawing/2014/main" id="{B0D32910-1265-4BB1-AF38-7765652D0DFE}"/>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9" name="TextBox 48">
          <a:extLst>
            <a:ext uri="{FF2B5EF4-FFF2-40B4-BE49-F238E27FC236}">
              <a16:creationId xmlns:a16="http://schemas.microsoft.com/office/drawing/2014/main" id="{A93B747B-847A-4898-8443-DADE36E32239}"/>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22860</xdr:colOff>
      <xdr:row>17</xdr:row>
      <xdr:rowOff>66885</xdr:rowOff>
    </xdr:from>
    <xdr:to>
      <xdr:col>5</xdr:col>
      <xdr:colOff>297180</xdr:colOff>
      <xdr:row>19</xdr:row>
      <xdr:rowOff>55036</xdr:rowOff>
    </xdr:to>
    <xdr:sp macro="" textlink="Processing!C2">
      <xdr:nvSpPr>
        <xdr:cNvPr id="50" name="TextBox 49">
          <a:extLst>
            <a:ext uri="{FF2B5EF4-FFF2-40B4-BE49-F238E27FC236}">
              <a16:creationId xmlns:a16="http://schemas.microsoft.com/office/drawing/2014/main" id="{7E28DF6F-7903-46A6-9B5B-19D6CF0693CF}"/>
            </a:ext>
          </a:extLst>
        </xdr:cNvPr>
        <xdr:cNvSpPr txBox="1"/>
      </xdr:nvSpPr>
      <xdr:spPr>
        <a:xfrm>
          <a:off x="246126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751E0A-AB5F-4D38-B3A9-8B6E0E89AAC3}" type="TxLink">
            <a:rPr lang="en-US" sz="1400" b="0" i="0" u="none" strike="noStrike">
              <a:solidFill>
                <a:srgbClr val="EE0078"/>
              </a:solidFill>
              <a:latin typeface="Aptos Narrow"/>
              <a:ea typeface="Verdana" panose="020B0604030504040204" pitchFamily="34" charset="0"/>
              <a:cs typeface="Calibri" panose="020F0502020204030204" pitchFamily="34" charset="0"/>
            </a:rPr>
            <a:pPr marL="0" indent="0" algn="l"/>
            <a:t>Expenses</a:t>
          </a:fld>
          <a:endParaRPr lang="ru-RU" sz="1400" b="0" i="0" u="none" strike="noStrike">
            <a:solidFill>
              <a:srgbClr val="EE0078"/>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160020</xdr:colOff>
      <xdr:row>17</xdr:row>
      <xdr:rowOff>66885</xdr:rowOff>
    </xdr:from>
    <xdr:to>
      <xdr:col>7</xdr:col>
      <xdr:colOff>129540</xdr:colOff>
      <xdr:row>19</xdr:row>
      <xdr:rowOff>55036</xdr:rowOff>
    </xdr:to>
    <xdr:sp macro="" textlink="Processing!F15">
      <xdr:nvSpPr>
        <xdr:cNvPr id="51" name="TextBox 50">
          <a:extLst>
            <a:ext uri="{FF2B5EF4-FFF2-40B4-BE49-F238E27FC236}">
              <a16:creationId xmlns:a16="http://schemas.microsoft.com/office/drawing/2014/main" id="{CF0AC88C-310D-48A7-8507-0E2D4DD49F11}"/>
            </a:ext>
          </a:extLst>
        </xdr:cNvPr>
        <xdr:cNvSpPr txBox="1"/>
      </xdr:nvSpPr>
      <xdr:spPr>
        <a:xfrm>
          <a:off x="320802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59DCA7-F501-411A-9FCA-3AF5DDB865D1}"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$12,77,190 </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17</xdr:row>
      <xdr:rowOff>66885</xdr:rowOff>
    </xdr:from>
    <xdr:to>
      <xdr:col>11</xdr:col>
      <xdr:colOff>251460</xdr:colOff>
      <xdr:row>19</xdr:row>
      <xdr:rowOff>55036</xdr:rowOff>
    </xdr:to>
    <xdr:sp macro="" textlink="Processing!B2">
      <xdr:nvSpPr>
        <xdr:cNvPr id="52" name="TextBox 51">
          <a:extLst>
            <a:ext uri="{FF2B5EF4-FFF2-40B4-BE49-F238E27FC236}">
              <a16:creationId xmlns:a16="http://schemas.microsoft.com/office/drawing/2014/main" id="{B9510B34-540C-4F16-ACBF-18742B305F87}"/>
            </a:ext>
          </a:extLst>
        </xdr:cNvPr>
        <xdr:cNvSpPr txBox="1"/>
      </xdr:nvSpPr>
      <xdr:spPr>
        <a:xfrm>
          <a:off x="607314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1400" b="0" i="0" u="none" strike="noStrike">
              <a:solidFill>
                <a:schemeClr val="tx2">
                  <a:lumMod val="75000"/>
                  <a:lumOff val="25000"/>
                </a:schemeClr>
              </a:solidFill>
              <a:latin typeface="Aptos Narrow"/>
              <a:ea typeface="Verdana" panose="020B0604030504040204" pitchFamily="34" charset="0"/>
              <a:cs typeface="Calibri" panose="020F0502020204030204" pitchFamily="34" charset="0"/>
            </a:rPr>
            <a:pPr marL="0" indent="0" algn="l"/>
            <a:t>Revenue</a:t>
          </a:fld>
          <a:endParaRPr lang="ru-RU" sz="1400" b="0" i="0" u="none" strike="noStrike">
            <a:solidFill>
              <a:schemeClr val="tx2">
                <a:lumMod val="75000"/>
                <a:lumOff val="25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68580</xdr:colOff>
      <xdr:row>17</xdr:row>
      <xdr:rowOff>66885</xdr:rowOff>
    </xdr:from>
    <xdr:to>
      <xdr:col>12</xdr:col>
      <xdr:colOff>571500</xdr:colOff>
      <xdr:row>19</xdr:row>
      <xdr:rowOff>55036</xdr:rowOff>
    </xdr:to>
    <xdr:sp macro="" textlink="Processing!E15">
      <xdr:nvSpPr>
        <xdr:cNvPr id="53" name="TextBox 52">
          <a:extLst>
            <a:ext uri="{FF2B5EF4-FFF2-40B4-BE49-F238E27FC236}">
              <a16:creationId xmlns:a16="http://schemas.microsoft.com/office/drawing/2014/main" id="{71E29A03-C7AF-478B-9A2A-CEE4B4547363}"/>
            </a:ext>
          </a:extLst>
        </xdr:cNvPr>
        <xdr:cNvSpPr txBox="1"/>
      </xdr:nvSpPr>
      <xdr:spPr>
        <a:xfrm>
          <a:off x="6774180" y="3175845"/>
          <a:ext cx="11125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FF57C3-05C0-470D-A217-ED45FAB05204}"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$13,44,765 </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7</xdr:col>
      <xdr:colOff>236220</xdr:colOff>
      <xdr:row>17</xdr:row>
      <xdr:rowOff>66885</xdr:rowOff>
    </xdr:from>
    <xdr:to>
      <xdr:col>8</xdr:col>
      <xdr:colOff>243840</xdr:colOff>
      <xdr:row>19</xdr:row>
      <xdr:rowOff>55036</xdr:rowOff>
    </xdr:to>
    <xdr:sp macro="" textlink="Processing!D2">
      <xdr:nvSpPr>
        <xdr:cNvPr id="54" name="TextBox 53">
          <a:extLst>
            <a:ext uri="{FF2B5EF4-FFF2-40B4-BE49-F238E27FC236}">
              <a16:creationId xmlns:a16="http://schemas.microsoft.com/office/drawing/2014/main" id="{2ED61E43-D014-4214-A76C-D3172D3FC9C7}"/>
            </a:ext>
          </a:extLst>
        </xdr:cNvPr>
        <xdr:cNvSpPr txBox="1"/>
      </xdr:nvSpPr>
      <xdr:spPr>
        <a:xfrm>
          <a:off x="4503420" y="3175845"/>
          <a:ext cx="6172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1DB0D43-FFC1-4107-AD22-99787BF30AAE}" type="TxLink">
            <a:rPr lang="en-US" sz="1400" b="0" i="0" u="none" strike="noStrike">
              <a:solidFill>
                <a:srgbClr val="00B0F0"/>
              </a:solidFill>
              <a:latin typeface="Aptos Narrow"/>
              <a:ea typeface="Verdana" panose="020B0604030504040204" pitchFamily="34" charset="0"/>
              <a:cs typeface="Calibri" panose="020F0502020204030204" pitchFamily="34" charset="0"/>
            </a:rPr>
            <a:pPr marL="0" indent="0" algn="l"/>
            <a:t>Profit</a:t>
          </a:fld>
          <a:endParaRPr lang="ru-RU" sz="1800" b="0" i="0" u="none" strike="noStrike">
            <a:solidFill>
              <a:srgbClr val="00B0F0"/>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83820</xdr:colOff>
      <xdr:row>17</xdr:row>
      <xdr:rowOff>66885</xdr:rowOff>
    </xdr:from>
    <xdr:to>
      <xdr:col>10</xdr:col>
      <xdr:colOff>22860</xdr:colOff>
      <xdr:row>19</xdr:row>
      <xdr:rowOff>55036</xdr:rowOff>
    </xdr:to>
    <xdr:sp macro="" textlink="Processing!G15">
      <xdr:nvSpPr>
        <xdr:cNvPr id="55" name="TextBox 54">
          <a:extLst>
            <a:ext uri="{FF2B5EF4-FFF2-40B4-BE49-F238E27FC236}">
              <a16:creationId xmlns:a16="http://schemas.microsoft.com/office/drawing/2014/main" id="{C60C1D6A-15B7-4A67-9114-9267B2A7FC4A}"/>
            </a:ext>
          </a:extLst>
        </xdr:cNvPr>
        <xdr:cNvSpPr txBox="1"/>
      </xdr:nvSpPr>
      <xdr:spPr>
        <a:xfrm>
          <a:off x="4960620" y="3175845"/>
          <a:ext cx="115824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C575237-9BC6-4014-8D3D-ED5ADD4815D1}"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$67,575 </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278399</xdr:colOff>
      <xdr:row>5</xdr:row>
      <xdr:rowOff>31326</xdr:rowOff>
    </xdr:from>
    <xdr:to>
      <xdr:col>12</xdr:col>
      <xdr:colOff>359987</xdr:colOff>
      <xdr:row>9</xdr:row>
      <xdr:rowOff>42333</xdr:rowOff>
    </xdr:to>
    <xdr:sp macro="" textlink="Processing!E15">
      <xdr:nvSpPr>
        <xdr:cNvPr id="56" name="Rectangle: Rounded Corners 55">
          <a:hlinkClick xmlns:r="http://schemas.openxmlformats.org/officeDocument/2006/relationships" r:id="rId7"/>
          <a:extLst>
            <a:ext uri="{FF2B5EF4-FFF2-40B4-BE49-F238E27FC236}">
              <a16:creationId xmlns:a16="http://schemas.microsoft.com/office/drawing/2014/main" id="{6BC17F12-02B2-4021-8B34-7CE21A425B4D}"/>
            </a:ext>
          </a:extLst>
        </xdr:cNvPr>
        <xdr:cNvSpPr/>
      </xdr:nvSpPr>
      <xdr:spPr>
        <a:xfrm>
          <a:off x="5189066" y="983826"/>
          <a:ext cx="2536921" cy="773007"/>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1DB33A-B68E-4EA6-B52F-02CCE65927D1}" type="TxLink">
            <a:rPr lang="en-US" sz="3600" b="0" i="0" u="none" strike="noStrike">
              <a:solidFill>
                <a:srgbClr val="000000"/>
              </a:solidFill>
              <a:latin typeface="Aptos Narrow"/>
            </a:rPr>
            <a:t> $13,44,765 </a:t>
          </a:fld>
          <a:endParaRPr lang="ru-RU" sz="3600"/>
        </a:p>
      </xdr:txBody>
    </xdr:sp>
    <xdr:clientData/>
  </xdr:twoCellAnchor>
  <xdr:twoCellAnchor>
    <xdr:from>
      <xdr:col>13</xdr:col>
      <xdr:colOff>99060</xdr:colOff>
      <xdr:row>4</xdr:row>
      <xdr:rowOff>0</xdr:rowOff>
    </xdr:from>
    <xdr:to>
      <xdr:col>19</xdr:col>
      <xdr:colOff>594360</xdr:colOff>
      <xdr:row>17</xdr:row>
      <xdr:rowOff>83820</xdr:rowOff>
    </xdr:to>
    <xdr:sp macro="" textlink="">
      <xdr:nvSpPr>
        <xdr:cNvPr id="57" name="Rectangle: Rounded Corners 56">
          <a:hlinkClick xmlns:r="http://schemas.openxmlformats.org/officeDocument/2006/relationships" r:id="rId8"/>
          <a:extLst>
            <a:ext uri="{FF2B5EF4-FFF2-40B4-BE49-F238E27FC236}">
              <a16:creationId xmlns:a16="http://schemas.microsoft.com/office/drawing/2014/main" id="{3FA64D41-C775-41A9-BE5E-BEC9EE1B5A36}"/>
            </a:ext>
          </a:extLst>
        </xdr:cNvPr>
        <xdr:cNvSpPr/>
      </xdr:nvSpPr>
      <xdr:spPr>
        <a:xfrm>
          <a:off x="8023860" y="7315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83820</xdr:colOff>
      <xdr:row>18</xdr:row>
      <xdr:rowOff>99060</xdr:rowOff>
    </xdr:from>
    <xdr:to>
      <xdr:col>16</xdr:col>
      <xdr:colOff>106680</xdr:colOff>
      <xdr:row>32</xdr:row>
      <xdr:rowOff>99060</xdr:rowOff>
    </xdr:to>
    <xdr:sp macro="" textlink="">
      <xdr:nvSpPr>
        <xdr:cNvPr id="58" name="Rectangle: Rounded Corners 57">
          <a:hlinkClick xmlns:r="http://schemas.openxmlformats.org/officeDocument/2006/relationships" r:id="rId9"/>
          <a:extLst>
            <a:ext uri="{FF2B5EF4-FFF2-40B4-BE49-F238E27FC236}">
              <a16:creationId xmlns:a16="http://schemas.microsoft.com/office/drawing/2014/main" id="{CE5A92ED-76AD-48BB-95A0-FDA5E1232345}"/>
            </a:ext>
          </a:extLst>
        </xdr:cNvPr>
        <xdr:cNvSpPr/>
      </xdr:nvSpPr>
      <xdr:spPr>
        <a:xfrm>
          <a:off x="8008620" y="33909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320040</xdr:colOff>
      <xdr:row>18</xdr:row>
      <xdr:rowOff>99060</xdr:rowOff>
    </xdr:from>
    <xdr:to>
      <xdr:col>20</xdr:col>
      <xdr:colOff>0</xdr:colOff>
      <xdr:row>35</xdr:row>
      <xdr:rowOff>129540</xdr:rowOff>
    </xdr:to>
    <xdr:sp macro="" textlink="">
      <xdr:nvSpPr>
        <xdr:cNvPr id="59" name="Rectangle: Rounded Corners 58">
          <a:hlinkClick xmlns:r="http://schemas.openxmlformats.org/officeDocument/2006/relationships" r:id="rId10"/>
          <a:extLst>
            <a:ext uri="{FF2B5EF4-FFF2-40B4-BE49-F238E27FC236}">
              <a16:creationId xmlns:a16="http://schemas.microsoft.com/office/drawing/2014/main" id="{455513EC-1D8A-4088-9B18-BAA17C9C1924}"/>
            </a:ext>
          </a:extLst>
        </xdr:cNvPr>
        <xdr:cNvSpPr/>
      </xdr:nvSpPr>
      <xdr:spPr>
        <a:xfrm>
          <a:off x="10073640" y="33909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60960</xdr:colOff>
      <xdr:row>4</xdr:row>
      <xdr:rowOff>137160</xdr:rowOff>
    </xdr:from>
    <xdr:to>
      <xdr:col>7</xdr:col>
      <xdr:colOff>388620</xdr:colOff>
      <xdr:row>11</xdr:row>
      <xdr:rowOff>175260</xdr:rowOff>
    </xdr:to>
    <xdr:sp macro="" textlink="">
      <xdr:nvSpPr>
        <xdr:cNvPr id="60" name="Rectangle: Rounded Corners 59">
          <a:hlinkClick xmlns:r="http://schemas.openxmlformats.org/officeDocument/2006/relationships" r:id="rId11"/>
          <a:extLst>
            <a:ext uri="{FF2B5EF4-FFF2-40B4-BE49-F238E27FC236}">
              <a16:creationId xmlns:a16="http://schemas.microsoft.com/office/drawing/2014/main" id="{D491F69F-636B-42C9-A48D-4A29FBFB469A}"/>
            </a:ext>
          </a:extLst>
        </xdr:cNvPr>
        <xdr:cNvSpPr/>
      </xdr:nvSpPr>
      <xdr:spPr>
        <a:xfrm>
          <a:off x="2499360" y="86868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3" name="Group 2">
          <a:extLst>
            <a:ext uri="{FF2B5EF4-FFF2-40B4-BE49-F238E27FC236}">
              <a16:creationId xmlns:a16="http://schemas.microsoft.com/office/drawing/2014/main" id="{6F99934E-955A-2145-9C8C-C2DB9172CCE2}"/>
            </a:ext>
          </a:extLst>
        </xdr:cNvPr>
        <xdr:cNvGrpSpPr/>
      </xdr:nvGrpSpPr>
      <xdr:grpSpPr>
        <a:xfrm>
          <a:off x="158639" y="833505"/>
          <a:ext cx="274320" cy="262048"/>
          <a:chOff x="2657199" y="8924774"/>
          <a:chExt cx="796566" cy="720791"/>
        </a:xfrm>
        <a:solidFill>
          <a:schemeClr val="bg1">
            <a:lumMod val="75000"/>
          </a:schemeClr>
        </a:solidFill>
      </xdr:grpSpPr>
      <xdr:sp macro="" textlink="">
        <xdr:nvSpPr>
          <xdr:cNvPr id="10" name="Freeform: Shape 9">
            <a:extLst>
              <a:ext uri="{FF2B5EF4-FFF2-40B4-BE49-F238E27FC236}">
                <a16:creationId xmlns:a16="http://schemas.microsoft.com/office/drawing/2014/main" id="{BC5D0A7A-33DA-51DC-7AF4-DEA61A63D202}"/>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grpFill/>
          <a:ln w="9525" cap="flat">
            <a:noFill/>
            <a:prstDash val="solid"/>
            <a:miter/>
          </a:ln>
        </xdr:spPr>
        <xdr:txBody>
          <a:bodyPr rtlCol="0" anchor="ctr"/>
          <a:lstStyle/>
          <a:p>
            <a:endParaRPr lang="ru-RU"/>
          </a:p>
        </xdr:txBody>
      </xdr:sp>
      <xdr:sp macro="" textlink="">
        <xdr:nvSpPr>
          <xdr:cNvPr id="11" name="Freeform: Shape 10">
            <a:extLst>
              <a:ext uri="{FF2B5EF4-FFF2-40B4-BE49-F238E27FC236}">
                <a16:creationId xmlns:a16="http://schemas.microsoft.com/office/drawing/2014/main" id="{C1597456-9B01-5B2F-AB03-EA2A52E023C2}"/>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grpFill/>
          <a:ln w="9525" cap="flat">
            <a:noFill/>
            <a:prstDash val="solid"/>
            <a:miter/>
          </a:ln>
        </xdr:spPr>
        <xdr:txBody>
          <a:bodyPr rtlCol="0" anchor="ctr"/>
          <a:lstStyle/>
          <a:p>
            <a:endParaRPr lang="ru-RU"/>
          </a:p>
        </xdr:txBody>
      </xdr:sp>
      <xdr:sp macro="" textlink="">
        <xdr:nvSpPr>
          <xdr:cNvPr id="17" name="Freeform: Shape 16">
            <a:extLst>
              <a:ext uri="{FF2B5EF4-FFF2-40B4-BE49-F238E27FC236}">
                <a16:creationId xmlns:a16="http://schemas.microsoft.com/office/drawing/2014/main" id="{FAC34D50-147E-B86E-661A-1951DF595CB8}"/>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18" name="Freeform: Shape 17">
            <a:extLst>
              <a:ext uri="{FF2B5EF4-FFF2-40B4-BE49-F238E27FC236}">
                <a16:creationId xmlns:a16="http://schemas.microsoft.com/office/drawing/2014/main" id="{34962F42-9FED-0F89-9365-C4A9B9ACE0B2}"/>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15360" name="Freeform: Shape 15359">
            <a:extLst>
              <a:ext uri="{FF2B5EF4-FFF2-40B4-BE49-F238E27FC236}">
                <a16:creationId xmlns:a16="http://schemas.microsoft.com/office/drawing/2014/main" id="{B59EA1A1-5264-1009-D04C-7B25E40191F8}"/>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15362" name="Freeform: Shape 15361">
            <a:extLst>
              <a:ext uri="{FF2B5EF4-FFF2-40B4-BE49-F238E27FC236}">
                <a16:creationId xmlns:a16="http://schemas.microsoft.com/office/drawing/2014/main" id="{E34BEEE9-5D4F-DC54-3C4C-03769CF166B4}"/>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15363" name="Freeform: Shape 15362">
            <a:extLst>
              <a:ext uri="{FF2B5EF4-FFF2-40B4-BE49-F238E27FC236}">
                <a16:creationId xmlns:a16="http://schemas.microsoft.com/office/drawing/2014/main" id="{E99344D0-6F60-59B5-B85E-3DA852A9BB94}"/>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grpFill/>
          <a:ln w="9525" cap="flat">
            <a:noFill/>
            <a:prstDash val="solid"/>
            <a:miter/>
          </a:ln>
        </xdr:spPr>
        <xdr:txBody>
          <a:bodyPr rtlCol="0" anchor="ctr"/>
          <a:lstStyle/>
          <a:p>
            <a:endParaRPr lang="ru-RU"/>
          </a:p>
        </xdr:txBody>
      </xdr:sp>
      <xdr:sp macro="" textlink="">
        <xdr:nvSpPr>
          <xdr:cNvPr id="15364" name="Freeform: Shape 15363">
            <a:extLst>
              <a:ext uri="{FF2B5EF4-FFF2-40B4-BE49-F238E27FC236}">
                <a16:creationId xmlns:a16="http://schemas.microsoft.com/office/drawing/2014/main" id="{9FBD266D-BB24-FF17-7B71-C2E5646F51B6}"/>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grp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4" name="Graphic 3" descr="Moon and stars with solid fill">
          <a:hlinkClick xmlns:r="http://schemas.openxmlformats.org/officeDocument/2006/relationships" r:id="rId12"/>
          <a:extLst>
            <a:ext uri="{FF2B5EF4-FFF2-40B4-BE49-F238E27FC236}">
              <a16:creationId xmlns:a16="http://schemas.microsoft.com/office/drawing/2014/main" id="{3FD4EA15-50C8-E823-0FFE-F7375375BF4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 name="Graphic 4" descr="Sun with solid fill">
          <a:hlinkClick xmlns:r="http://schemas.openxmlformats.org/officeDocument/2006/relationships" r:id="rId15"/>
          <a:extLst>
            <a:ext uri="{FF2B5EF4-FFF2-40B4-BE49-F238E27FC236}">
              <a16:creationId xmlns:a16="http://schemas.microsoft.com/office/drawing/2014/main" id="{2D47CC73-B81B-F7F9-6CDE-63A270B26A9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2" name="Group 1">
          <a:extLst>
            <a:ext uri="{FF2B5EF4-FFF2-40B4-BE49-F238E27FC236}">
              <a16:creationId xmlns:a16="http://schemas.microsoft.com/office/drawing/2014/main" id="{5BDE5140-8593-4CC1-BA24-A7EBC1F28834}"/>
            </a:ext>
          </a:extLst>
        </xdr:cNvPr>
        <xdr:cNvGrpSpPr/>
      </xdr:nvGrpSpPr>
      <xdr:grpSpPr>
        <a:xfrm>
          <a:off x="0" y="0"/>
          <a:ext cx="14732000" cy="8572500"/>
          <a:chOff x="1538344" y="742278"/>
          <a:chExt cx="8961120" cy="5432611"/>
        </a:xfrm>
      </xdr:grpSpPr>
      <xdr:sp macro="" textlink="">
        <xdr:nvSpPr>
          <xdr:cNvPr id="3" name="Rectangle 2">
            <a:extLst>
              <a:ext uri="{FF2B5EF4-FFF2-40B4-BE49-F238E27FC236}">
                <a16:creationId xmlns:a16="http://schemas.microsoft.com/office/drawing/2014/main" id="{AEF4B62A-EC01-84B1-5205-C8453A9832F7}"/>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0DADC1D0-4779-FCE7-F7AD-C6ABC4561F30}"/>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5" name="Rectangle: Rounded Corners 4">
          <a:extLst>
            <a:ext uri="{FF2B5EF4-FFF2-40B4-BE49-F238E27FC236}">
              <a16:creationId xmlns:a16="http://schemas.microsoft.com/office/drawing/2014/main" id="{71991B24-5B39-4997-8B94-A22A7E58E5CA}"/>
            </a:ext>
          </a:extLst>
        </xdr:cNvPr>
        <xdr:cNvSpPr/>
      </xdr:nvSpPr>
      <xdr:spPr>
        <a:xfrm>
          <a:off x="1920240" y="381000"/>
          <a:ext cx="10698480" cy="6492240"/>
        </a:xfrm>
        <a:prstGeom prst="roundRect">
          <a:avLst>
            <a:gd name="adj" fmla="val 5678"/>
          </a:avLst>
        </a:prstGeom>
        <a:solidFill>
          <a:schemeClr val="bg1"/>
        </a:soli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488462</xdr:colOff>
      <xdr:row>3</xdr:row>
      <xdr:rowOff>167548</xdr:rowOff>
    </xdr:from>
    <xdr:to>
      <xdr:col>7</xdr:col>
      <xdr:colOff>492048</xdr:colOff>
      <xdr:row>12</xdr:row>
      <xdr:rowOff>167548</xdr:rowOff>
    </xdr:to>
    <xdr:sp macro="" textlink="">
      <xdr:nvSpPr>
        <xdr:cNvPr id="6" name="Rectangle: Rounded Corners 5">
          <a:extLst>
            <a:ext uri="{FF2B5EF4-FFF2-40B4-BE49-F238E27FC236}">
              <a16:creationId xmlns:a16="http://schemas.microsoft.com/office/drawing/2014/main" id="{11452296-029F-467D-BAC0-C8095F075F16}"/>
            </a:ext>
          </a:extLst>
        </xdr:cNvPr>
        <xdr:cNvSpPr/>
      </xdr:nvSpPr>
      <xdr:spPr>
        <a:xfrm>
          <a:off x="2317262" y="716188"/>
          <a:ext cx="2441986" cy="1645920"/>
        </a:xfrm>
        <a:prstGeom prst="roundRect">
          <a:avLst>
            <a:gd name="adj" fmla="val 931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7" name="Rectangle: Rounded Corners 6">
          <a:extLst>
            <a:ext uri="{FF2B5EF4-FFF2-40B4-BE49-F238E27FC236}">
              <a16:creationId xmlns:a16="http://schemas.microsoft.com/office/drawing/2014/main" id="{5265F520-1AF3-4BEC-986A-0610AD274B08}"/>
            </a:ext>
          </a:extLst>
        </xdr:cNvPr>
        <xdr:cNvSpPr/>
      </xdr:nvSpPr>
      <xdr:spPr>
        <a:xfrm>
          <a:off x="4976853" y="718877"/>
          <a:ext cx="2812649" cy="1645920"/>
        </a:xfrm>
        <a:prstGeom prst="roundRect">
          <a:avLst>
            <a:gd name="adj" fmla="val 8437"/>
          </a:avLst>
        </a:prstGeom>
        <a:solidFill>
          <a:schemeClr val="bg1"/>
        </a:solidFill>
        <a:ln w="9525">
          <a:solidFill>
            <a:srgbClr val="8278FC"/>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8" name="Rectangle: Rounded Corners 7">
          <a:extLst>
            <a:ext uri="{FF2B5EF4-FFF2-40B4-BE49-F238E27FC236}">
              <a16:creationId xmlns:a16="http://schemas.microsoft.com/office/drawing/2014/main" id="{CBDAA1FD-053C-421D-BB14-590D21C53970}"/>
            </a:ext>
          </a:extLst>
        </xdr:cNvPr>
        <xdr:cNvSpPr/>
      </xdr:nvSpPr>
      <xdr:spPr>
        <a:xfrm>
          <a:off x="5194457" y="939857"/>
          <a:ext cx="237744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r>
            <a:rPr lang="en-US" kern="1200">
              <a:ea typeface="+mn-ea"/>
              <a:cs typeface="+mn-cs"/>
            </a:rPr>
            <a:t> $13,44,765 </a:t>
          </a: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9" name="Rectangle: Rounded Corners 8">
          <a:extLst>
            <a:ext uri="{FF2B5EF4-FFF2-40B4-BE49-F238E27FC236}">
              <a16:creationId xmlns:a16="http://schemas.microsoft.com/office/drawing/2014/main" id="{BD41356B-6615-4E28-97AA-B6F1CB8E29F8}"/>
            </a:ext>
          </a:extLst>
        </xdr:cNvPr>
        <xdr:cNvSpPr/>
      </xdr:nvSpPr>
      <xdr:spPr>
        <a:xfrm>
          <a:off x="8042692" y="716188"/>
          <a:ext cx="4160520" cy="247904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US" sz="1100">
            <a:solidFill>
              <a:schemeClr val="tx2">
                <a:lumMod val="10000"/>
                <a:lumOff val="90000"/>
              </a:schemeClr>
            </a:solidFill>
            <a:latin typeface="+mn-lt"/>
            <a:ea typeface="+mn-ea"/>
            <a:cs typeface="+mn-cs"/>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0" name="Rectangle: Rounded Corners 9">
          <a:extLst>
            <a:ext uri="{FF2B5EF4-FFF2-40B4-BE49-F238E27FC236}">
              <a16:creationId xmlns:a16="http://schemas.microsoft.com/office/drawing/2014/main" id="{5402FA48-625A-4733-9D29-6595CAF2DB37}"/>
            </a:ext>
          </a:extLst>
        </xdr:cNvPr>
        <xdr:cNvSpPr/>
      </xdr:nvSpPr>
      <xdr:spPr>
        <a:xfrm>
          <a:off x="10100092" y="3422015"/>
          <a:ext cx="2103120" cy="310896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1" name="Rectangle: Rounded Corners 10">
          <a:extLst>
            <a:ext uri="{FF2B5EF4-FFF2-40B4-BE49-F238E27FC236}">
              <a16:creationId xmlns:a16="http://schemas.microsoft.com/office/drawing/2014/main" id="{1EDCAB79-8AA5-4A51-AE10-2F59CD52FBE4}"/>
            </a:ext>
          </a:extLst>
        </xdr:cNvPr>
        <xdr:cNvSpPr/>
      </xdr:nvSpPr>
      <xdr:spPr>
        <a:xfrm>
          <a:off x="8042692" y="3422015"/>
          <a:ext cx="1828800" cy="310896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2" name="Rectangle: Rounded Corners 11">
          <a:extLst>
            <a:ext uri="{FF2B5EF4-FFF2-40B4-BE49-F238E27FC236}">
              <a16:creationId xmlns:a16="http://schemas.microsoft.com/office/drawing/2014/main" id="{13B5018D-7482-4622-AA62-2BDD331B678E}"/>
            </a:ext>
          </a:extLst>
        </xdr:cNvPr>
        <xdr:cNvSpPr/>
      </xdr:nvSpPr>
      <xdr:spPr>
        <a:xfrm>
          <a:off x="2311672" y="2606040"/>
          <a:ext cx="5477830" cy="3924935"/>
        </a:xfrm>
        <a:prstGeom prst="roundRect">
          <a:avLst>
            <a:gd name="adj" fmla="val 363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13" name="Rectangle: Rounded Corners 12">
          <a:extLst>
            <a:ext uri="{FF2B5EF4-FFF2-40B4-BE49-F238E27FC236}">
              <a16:creationId xmlns:a16="http://schemas.microsoft.com/office/drawing/2014/main" id="{818909B6-7FEF-4A5F-BD37-CAB804EAD809}"/>
            </a:ext>
          </a:extLst>
        </xdr:cNvPr>
        <xdr:cNvSpPr/>
      </xdr:nvSpPr>
      <xdr:spPr>
        <a:xfrm>
          <a:off x="2545080" y="929640"/>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D5B22AD-2689-4A19-8294-60DCF73D852F}" type="TxLink">
            <a:rPr lang="en-US" sz="4000" b="0" i="0" u="none" strike="noStrike" kern="1200">
              <a:solidFill>
                <a:schemeClr val="tx1"/>
              </a:solidFill>
              <a:latin typeface="+mn-lt"/>
              <a:ea typeface="+mn-ea"/>
              <a:cs typeface="+mn-cs"/>
            </a:rPr>
            <a:pPr marL="0" indent="0" algn="l" defTabSz="914400" rtl="0" eaLnBrk="1" latinLnBrk="0" hangingPunct="1"/>
            <a:t> 21 089</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14" name="Circle: Hollow 13">
          <a:extLst>
            <a:ext uri="{FF2B5EF4-FFF2-40B4-BE49-F238E27FC236}">
              <a16:creationId xmlns:a16="http://schemas.microsoft.com/office/drawing/2014/main" id="{B007CCF8-2077-41D2-8242-8FA80C4C7836}"/>
            </a:ext>
          </a:extLst>
        </xdr:cNvPr>
        <xdr:cNvSpPr/>
      </xdr:nvSpPr>
      <xdr:spPr>
        <a:xfrm>
          <a:off x="10043159" y="987743"/>
          <a:ext cx="1828800" cy="1828800"/>
        </a:xfrm>
        <a:prstGeom prst="donut">
          <a:avLst>
            <a:gd name="adj" fmla="val 20022"/>
          </a:avLst>
        </a:prstGeom>
        <a:solidFill>
          <a:schemeClr val="bg1"/>
        </a:solidFill>
        <a:ln>
          <a:noFill/>
        </a:ln>
        <a:effectLst>
          <a:innerShdw blurRad="254000">
            <a:srgbClr val="0D328D">
              <a:alpha val="38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tx1"/>
            </a:solidFill>
            <a:latin typeface="+mn-lt"/>
            <a:ea typeface="+mn-ea"/>
            <a:cs typeface="+mn-cs"/>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15" name="Chart 14">
          <a:extLst>
            <a:ext uri="{FF2B5EF4-FFF2-40B4-BE49-F238E27FC236}">
              <a16:creationId xmlns:a16="http://schemas.microsoft.com/office/drawing/2014/main" id="{6A313B85-27FA-47F0-9DCE-93AB94DCF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16" name="TextBox 15">
          <a:extLst>
            <a:ext uri="{FF2B5EF4-FFF2-40B4-BE49-F238E27FC236}">
              <a16:creationId xmlns:a16="http://schemas.microsoft.com/office/drawing/2014/main" id="{6C56CDA1-1AE6-4859-B81C-9AEA15DE6585}"/>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17" name="TextBox 16">
          <a:extLst>
            <a:ext uri="{FF2B5EF4-FFF2-40B4-BE49-F238E27FC236}">
              <a16:creationId xmlns:a16="http://schemas.microsoft.com/office/drawing/2014/main" id="{12046D39-2D84-48C4-8B14-01F40D2EDB3C}"/>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18" name="TextBox 17">
          <a:extLst>
            <a:ext uri="{FF2B5EF4-FFF2-40B4-BE49-F238E27FC236}">
              <a16:creationId xmlns:a16="http://schemas.microsoft.com/office/drawing/2014/main" id="{651D81CB-84F1-43EF-9FD2-CC9DC383E178}"/>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19" name="Oval 18">
          <a:extLst>
            <a:ext uri="{FF2B5EF4-FFF2-40B4-BE49-F238E27FC236}">
              <a16:creationId xmlns:a16="http://schemas.microsoft.com/office/drawing/2014/main" id="{38B46A0F-E0DE-4E4B-9DD6-B80A1B3551CC}"/>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0" name="Oval 19">
          <a:extLst>
            <a:ext uri="{FF2B5EF4-FFF2-40B4-BE49-F238E27FC236}">
              <a16:creationId xmlns:a16="http://schemas.microsoft.com/office/drawing/2014/main" id="{DBCF750D-9625-42B5-ACCD-D6871B59604F}"/>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1" name="Oval 20">
          <a:extLst>
            <a:ext uri="{FF2B5EF4-FFF2-40B4-BE49-F238E27FC236}">
              <a16:creationId xmlns:a16="http://schemas.microsoft.com/office/drawing/2014/main" id="{E2F6C26E-EC56-4366-87D0-FC189894D04E}"/>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2" name="Oval 21">
          <a:extLst>
            <a:ext uri="{FF2B5EF4-FFF2-40B4-BE49-F238E27FC236}">
              <a16:creationId xmlns:a16="http://schemas.microsoft.com/office/drawing/2014/main" id="{84048AE5-E464-4875-81FD-0A1E79435FD1}"/>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3" name="TextBox 22">
          <a:extLst>
            <a:ext uri="{FF2B5EF4-FFF2-40B4-BE49-F238E27FC236}">
              <a16:creationId xmlns:a16="http://schemas.microsoft.com/office/drawing/2014/main" id="{630CA84C-9BEC-4D83-9FFD-AED802055D0A}"/>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24" name="Group 23">
          <a:extLst>
            <a:ext uri="{FF2B5EF4-FFF2-40B4-BE49-F238E27FC236}">
              <a16:creationId xmlns:a16="http://schemas.microsoft.com/office/drawing/2014/main" id="{941D1E64-55CD-4ACC-B4B6-8029CF0E1DE4}"/>
            </a:ext>
          </a:extLst>
        </xdr:cNvPr>
        <xdr:cNvGrpSpPr/>
      </xdr:nvGrpSpPr>
      <xdr:grpSpPr>
        <a:xfrm>
          <a:off x="10446503" y="4353436"/>
          <a:ext cx="1566665" cy="1629008"/>
          <a:chOff x="10374536" y="4039901"/>
          <a:chExt cx="1558199" cy="1554481"/>
        </a:xfrm>
      </xdr:grpSpPr>
      <xdr:cxnSp macro="">
        <xdr:nvCxnSpPr>
          <xdr:cNvPr id="25" name="Straight Connector 24">
            <a:extLst>
              <a:ext uri="{FF2B5EF4-FFF2-40B4-BE49-F238E27FC236}">
                <a16:creationId xmlns:a16="http://schemas.microsoft.com/office/drawing/2014/main" id="{CFDDAC98-24CC-C478-D4B1-8E6C7E6D6D0F}"/>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5782905B-6757-C39A-41B4-04B81D1D352E}"/>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E54D98A7-C36A-F40E-7BE7-3505ED4651F7}"/>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E33327F9-6AC0-DBF4-8E8F-7CA2B1CC28C9}"/>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29" name="Chart 28">
          <a:extLst>
            <a:ext uri="{FF2B5EF4-FFF2-40B4-BE49-F238E27FC236}">
              <a16:creationId xmlns:a16="http://schemas.microsoft.com/office/drawing/2014/main" id="{052A36CE-F05C-4F19-9EAA-3D136A987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0" name="TextBox 29">
          <a:extLst>
            <a:ext uri="{FF2B5EF4-FFF2-40B4-BE49-F238E27FC236}">
              <a16:creationId xmlns:a16="http://schemas.microsoft.com/office/drawing/2014/main" id="{9A14EE76-EB5C-44E5-888C-711F7B76E655}"/>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1" name="Chart 30">
          <a:extLst>
            <a:ext uri="{FF2B5EF4-FFF2-40B4-BE49-F238E27FC236}">
              <a16:creationId xmlns:a16="http://schemas.microsoft.com/office/drawing/2014/main" id="{C77FBD90-F50F-44E9-9ED0-E12B8C3D1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19</xdr:row>
      <xdr:rowOff>121920</xdr:rowOff>
    </xdr:from>
    <xdr:to>
      <xdr:col>12</xdr:col>
      <xdr:colOff>274320</xdr:colOff>
      <xdr:row>33</xdr:row>
      <xdr:rowOff>121920</xdr:rowOff>
    </xdr:to>
    <xdr:graphicFrame macro="">
      <xdr:nvGraphicFramePr>
        <xdr:cNvPr id="32" name="Chart 31">
          <a:extLst>
            <a:ext uri="{FF2B5EF4-FFF2-40B4-BE49-F238E27FC236}">
              <a16:creationId xmlns:a16="http://schemas.microsoft.com/office/drawing/2014/main" id="{F47384ED-D851-464A-B234-62A348956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3" name="TextBox 32">
          <a:extLst>
            <a:ext uri="{FF2B5EF4-FFF2-40B4-BE49-F238E27FC236}">
              <a16:creationId xmlns:a16="http://schemas.microsoft.com/office/drawing/2014/main" id="{746C501F-D53E-43D1-9C58-8FD91C0714BE}"/>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34" name="Chart 33">
          <a:extLst>
            <a:ext uri="{FF2B5EF4-FFF2-40B4-BE49-F238E27FC236}">
              <a16:creationId xmlns:a16="http://schemas.microsoft.com/office/drawing/2014/main" id="{240C923D-C0A4-43A5-9AB7-81102D426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22529" name="Check Box 1" hidden="1">
              <a:extLst>
                <a:ext uri="{63B3BB69-23CF-44E3-9099-C40C66FF867C}">
                  <a14:compatExt spid="_x0000_s22529"/>
                </a:ext>
                <a:ext uri="{FF2B5EF4-FFF2-40B4-BE49-F238E27FC236}">
                  <a16:creationId xmlns:a16="http://schemas.microsoft.com/office/drawing/2014/main" id="{00000000-0008-0000-0500-0000015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35" name="Rectangle 34">
          <a:extLst>
            <a:ext uri="{FF2B5EF4-FFF2-40B4-BE49-F238E27FC236}">
              <a16:creationId xmlns:a16="http://schemas.microsoft.com/office/drawing/2014/main" id="{7AF8D0B4-6E7E-41E0-8B27-6AC5F39CCA91}"/>
            </a:ext>
          </a:extLst>
        </xdr:cNvPr>
        <xdr:cNvSpPr/>
      </xdr:nvSpPr>
      <xdr:spPr>
        <a:xfrm>
          <a:off x="6858000" y="2849880"/>
          <a:ext cx="198120" cy="1752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6</xdr:col>
      <xdr:colOff>205740</xdr:colOff>
      <xdr:row>14</xdr:row>
      <xdr:rowOff>160020</xdr:rowOff>
    </xdr:from>
    <xdr:to>
      <xdr:col>10</xdr:col>
      <xdr:colOff>152400</xdr:colOff>
      <xdr:row>17</xdr:row>
      <xdr:rowOff>41148</xdr:rowOff>
    </xdr:to>
    <mc:AlternateContent xmlns:mc="http://schemas.openxmlformats.org/markup-compatibility/2006" xmlns:a14="http://schemas.microsoft.com/office/drawing/2010/main">
      <mc:Choice Requires="a14">
        <xdr:graphicFrame macro="">
          <xdr:nvGraphicFramePr>
            <xdr:cNvPr id="36" name="Indicators 4">
              <a:extLst>
                <a:ext uri="{FF2B5EF4-FFF2-40B4-BE49-F238E27FC236}">
                  <a16:creationId xmlns:a16="http://schemas.microsoft.com/office/drawing/2014/main" id="{2780728C-DC79-4B63-808A-2A091602EBB3}"/>
                </a:ext>
              </a:extLst>
            </xdr:cNvPr>
            <xdr:cNvGraphicFramePr/>
          </xdr:nvGraphicFramePr>
          <xdr:xfrm>
            <a:off x="0" y="0"/>
            <a:ext cx="0" cy="0"/>
          </xdr:xfrm>
          <a:graphic>
            <a:graphicData uri="http://schemas.microsoft.com/office/drawing/2010/slicer">
              <sle:slicer xmlns:sle="http://schemas.microsoft.com/office/drawing/2010/slicer" name="Indicators 4"/>
            </a:graphicData>
          </a:graphic>
        </xdr:graphicFrame>
      </mc:Choice>
      <mc:Fallback xmlns="">
        <xdr:sp macro="" textlink="">
          <xdr:nvSpPr>
            <xdr:cNvPr id="0" name=""/>
            <xdr:cNvSpPr>
              <a:spLocks noTextEdit="1"/>
            </xdr:cNvSpPr>
          </xdr:nvSpPr>
          <xdr:spPr>
            <a:xfrm>
              <a:off x="3863340" y="2720340"/>
              <a:ext cx="23850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37" name="Year 13">
              <a:extLst>
                <a:ext uri="{FF2B5EF4-FFF2-40B4-BE49-F238E27FC236}">
                  <a16:creationId xmlns:a16="http://schemas.microsoft.com/office/drawing/2014/main" id="{68EE41BF-EE23-4077-93DA-FE58249079B6}"/>
                </a:ext>
              </a:extLst>
            </xdr:cNvPr>
            <xdr:cNvGraphicFramePr/>
          </xdr:nvGraphicFramePr>
          <xdr:xfrm>
            <a:off x="0" y="0"/>
            <a:ext cx="0" cy="0"/>
          </xdr:xfrm>
          <a:graphic>
            <a:graphicData uri="http://schemas.microsoft.com/office/drawing/2010/slicer">
              <sle:slicer xmlns:sle="http://schemas.microsoft.com/office/drawing/2010/slicer" name="Year 13"/>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38" name="Month 13">
              <a:extLst>
                <a:ext uri="{FF2B5EF4-FFF2-40B4-BE49-F238E27FC236}">
                  <a16:creationId xmlns:a16="http://schemas.microsoft.com/office/drawing/2014/main" id="{E5CFE79A-0BFA-451B-B921-F78E256DBF70}"/>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39" name="TextBox 38">
          <a:extLst>
            <a:ext uri="{FF2B5EF4-FFF2-40B4-BE49-F238E27FC236}">
              <a16:creationId xmlns:a16="http://schemas.microsoft.com/office/drawing/2014/main" id="{AECCF93C-E526-4BE1-A385-2C86B3A50E51}"/>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0" name="TextBox 39">
          <a:extLst>
            <a:ext uri="{FF2B5EF4-FFF2-40B4-BE49-F238E27FC236}">
              <a16:creationId xmlns:a16="http://schemas.microsoft.com/office/drawing/2014/main" id="{DF299459-D29A-484A-97ED-7F992D59D654}"/>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1" name="Chart 40">
          <a:extLst>
            <a:ext uri="{FF2B5EF4-FFF2-40B4-BE49-F238E27FC236}">
              <a16:creationId xmlns:a16="http://schemas.microsoft.com/office/drawing/2014/main" id="{CC38E79A-B7E5-40C1-82AB-BF827A6E5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2" name="TextBox 41">
          <a:extLst>
            <a:ext uri="{FF2B5EF4-FFF2-40B4-BE49-F238E27FC236}">
              <a16:creationId xmlns:a16="http://schemas.microsoft.com/office/drawing/2014/main" id="{758E6E66-DA2F-4742-BAC9-98A1A1692CEE}"/>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3" name="TextBox 42">
          <a:extLst>
            <a:ext uri="{FF2B5EF4-FFF2-40B4-BE49-F238E27FC236}">
              <a16:creationId xmlns:a16="http://schemas.microsoft.com/office/drawing/2014/main" id="{570DD9F9-032B-47B7-B9BB-2A2E66CB5C08}"/>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22860</xdr:colOff>
      <xdr:row>17</xdr:row>
      <xdr:rowOff>66885</xdr:rowOff>
    </xdr:from>
    <xdr:to>
      <xdr:col>5</xdr:col>
      <xdr:colOff>297180</xdr:colOff>
      <xdr:row>19</xdr:row>
      <xdr:rowOff>55036</xdr:rowOff>
    </xdr:to>
    <xdr:sp macro="" textlink="Processing!C2">
      <xdr:nvSpPr>
        <xdr:cNvPr id="44" name="TextBox 43">
          <a:extLst>
            <a:ext uri="{FF2B5EF4-FFF2-40B4-BE49-F238E27FC236}">
              <a16:creationId xmlns:a16="http://schemas.microsoft.com/office/drawing/2014/main" id="{C6868794-0303-4E15-A372-90A3B9BE3A37}"/>
            </a:ext>
          </a:extLst>
        </xdr:cNvPr>
        <xdr:cNvSpPr txBox="1"/>
      </xdr:nvSpPr>
      <xdr:spPr>
        <a:xfrm>
          <a:off x="246126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751E0A-AB5F-4D38-B3A9-8B6E0E89AAC3}" type="TxLink">
            <a:rPr lang="en-US" sz="1400" b="0" i="0" u="none" strike="noStrike">
              <a:solidFill>
                <a:srgbClr val="EE0078"/>
              </a:solidFill>
              <a:latin typeface="Aptos Narrow"/>
              <a:ea typeface="Verdana" panose="020B0604030504040204" pitchFamily="34" charset="0"/>
              <a:cs typeface="Calibri" panose="020F0502020204030204" pitchFamily="34" charset="0"/>
            </a:rPr>
            <a:pPr marL="0" indent="0" algn="l"/>
            <a:t>Expenses</a:t>
          </a:fld>
          <a:endParaRPr lang="ru-RU" sz="1400" b="0" i="0" u="none" strike="noStrike">
            <a:solidFill>
              <a:srgbClr val="EE0078"/>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160020</xdr:colOff>
      <xdr:row>17</xdr:row>
      <xdr:rowOff>66885</xdr:rowOff>
    </xdr:from>
    <xdr:to>
      <xdr:col>7</xdr:col>
      <xdr:colOff>129540</xdr:colOff>
      <xdr:row>19</xdr:row>
      <xdr:rowOff>55036</xdr:rowOff>
    </xdr:to>
    <xdr:sp macro="" textlink="Processing!F15">
      <xdr:nvSpPr>
        <xdr:cNvPr id="45" name="TextBox 44">
          <a:extLst>
            <a:ext uri="{FF2B5EF4-FFF2-40B4-BE49-F238E27FC236}">
              <a16:creationId xmlns:a16="http://schemas.microsoft.com/office/drawing/2014/main" id="{5BD56F14-D0F3-4192-B464-28CF9679E4E2}"/>
            </a:ext>
          </a:extLst>
        </xdr:cNvPr>
        <xdr:cNvSpPr txBox="1"/>
      </xdr:nvSpPr>
      <xdr:spPr>
        <a:xfrm>
          <a:off x="320802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59DCA7-F501-411A-9FCA-3AF5DDB865D1}"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$12,77,190 </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17</xdr:row>
      <xdr:rowOff>66885</xdr:rowOff>
    </xdr:from>
    <xdr:to>
      <xdr:col>11</xdr:col>
      <xdr:colOff>251460</xdr:colOff>
      <xdr:row>19</xdr:row>
      <xdr:rowOff>55036</xdr:rowOff>
    </xdr:to>
    <xdr:sp macro="" textlink="Processing!B2">
      <xdr:nvSpPr>
        <xdr:cNvPr id="46" name="TextBox 45">
          <a:extLst>
            <a:ext uri="{FF2B5EF4-FFF2-40B4-BE49-F238E27FC236}">
              <a16:creationId xmlns:a16="http://schemas.microsoft.com/office/drawing/2014/main" id="{1453954E-8ECB-4334-83D0-3175FBE6197E}"/>
            </a:ext>
          </a:extLst>
        </xdr:cNvPr>
        <xdr:cNvSpPr txBox="1"/>
      </xdr:nvSpPr>
      <xdr:spPr>
        <a:xfrm>
          <a:off x="607314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1400" b="0" i="0" u="none" strike="noStrike">
              <a:solidFill>
                <a:schemeClr val="tx2">
                  <a:lumMod val="75000"/>
                  <a:lumOff val="25000"/>
                </a:schemeClr>
              </a:solidFill>
              <a:latin typeface="Aptos Narrow"/>
              <a:ea typeface="Verdana" panose="020B0604030504040204" pitchFamily="34" charset="0"/>
              <a:cs typeface="Calibri" panose="020F0502020204030204" pitchFamily="34" charset="0"/>
            </a:rPr>
            <a:pPr marL="0" indent="0" algn="l"/>
            <a:t>Revenue</a:t>
          </a:fld>
          <a:endParaRPr lang="ru-RU" sz="1400" b="0" i="0" u="none" strike="noStrike">
            <a:solidFill>
              <a:schemeClr val="tx2">
                <a:lumMod val="75000"/>
                <a:lumOff val="25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68580</xdr:colOff>
      <xdr:row>17</xdr:row>
      <xdr:rowOff>66885</xdr:rowOff>
    </xdr:from>
    <xdr:to>
      <xdr:col>12</xdr:col>
      <xdr:colOff>571500</xdr:colOff>
      <xdr:row>19</xdr:row>
      <xdr:rowOff>55036</xdr:rowOff>
    </xdr:to>
    <xdr:sp macro="" textlink="Processing!E15">
      <xdr:nvSpPr>
        <xdr:cNvPr id="47" name="TextBox 46">
          <a:extLst>
            <a:ext uri="{FF2B5EF4-FFF2-40B4-BE49-F238E27FC236}">
              <a16:creationId xmlns:a16="http://schemas.microsoft.com/office/drawing/2014/main" id="{D6D75A00-2A43-475B-9C08-7F15A91F2522}"/>
            </a:ext>
          </a:extLst>
        </xdr:cNvPr>
        <xdr:cNvSpPr txBox="1"/>
      </xdr:nvSpPr>
      <xdr:spPr>
        <a:xfrm>
          <a:off x="6774180" y="3175845"/>
          <a:ext cx="11125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EFF57C3-05C0-470D-A217-ED45FAB05204}"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$13,44,765 </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7</xdr:col>
      <xdr:colOff>236220</xdr:colOff>
      <xdr:row>17</xdr:row>
      <xdr:rowOff>66885</xdr:rowOff>
    </xdr:from>
    <xdr:to>
      <xdr:col>8</xdr:col>
      <xdr:colOff>243840</xdr:colOff>
      <xdr:row>19</xdr:row>
      <xdr:rowOff>55036</xdr:rowOff>
    </xdr:to>
    <xdr:sp macro="" textlink="Processing!D2">
      <xdr:nvSpPr>
        <xdr:cNvPr id="48" name="TextBox 47">
          <a:extLst>
            <a:ext uri="{FF2B5EF4-FFF2-40B4-BE49-F238E27FC236}">
              <a16:creationId xmlns:a16="http://schemas.microsoft.com/office/drawing/2014/main" id="{D57AB902-5BBF-4F3D-B814-88F815E5CAD3}"/>
            </a:ext>
          </a:extLst>
        </xdr:cNvPr>
        <xdr:cNvSpPr txBox="1"/>
      </xdr:nvSpPr>
      <xdr:spPr>
        <a:xfrm>
          <a:off x="4503420" y="3175845"/>
          <a:ext cx="6172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1DB0D43-FFC1-4107-AD22-99787BF30AAE}" type="TxLink">
            <a:rPr lang="en-US" sz="1400" b="0" i="0" u="none" strike="noStrike">
              <a:solidFill>
                <a:srgbClr val="00B0F0"/>
              </a:solidFill>
              <a:latin typeface="Aptos Narrow"/>
              <a:ea typeface="Verdana" panose="020B0604030504040204" pitchFamily="34" charset="0"/>
              <a:cs typeface="Calibri" panose="020F0502020204030204" pitchFamily="34" charset="0"/>
            </a:rPr>
            <a:pPr marL="0" indent="0" algn="l"/>
            <a:t>Profit</a:t>
          </a:fld>
          <a:endParaRPr lang="ru-RU" sz="1800" b="0" i="0" u="none" strike="noStrike">
            <a:solidFill>
              <a:srgbClr val="00B0F0"/>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83820</xdr:colOff>
      <xdr:row>17</xdr:row>
      <xdr:rowOff>66885</xdr:rowOff>
    </xdr:from>
    <xdr:to>
      <xdr:col>10</xdr:col>
      <xdr:colOff>22860</xdr:colOff>
      <xdr:row>19</xdr:row>
      <xdr:rowOff>55036</xdr:rowOff>
    </xdr:to>
    <xdr:sp macro="" textlink="Processing!G15">
      <xdr:nvSpPr>
        <xdr:cNvPr id="49" name="TextBox 48">
          <a:extLst>
            <a:ext uri="{FF2B5EF4-FFF2-40B4-BE49-F238E27FC236}">
              <a16:creationId xmlns:a16="http://schemas.microsoft.com/office/drawing/2014/main" id="{CB06B1AB-CB1F-4DA7-B220-1CB1F36B7E6D}"/>
            </a:ext>
          </a:extLst>
        </xdr:cNvPr>
        <xdr:cNvSpPr txBox="1"/>
      </xdr:nvSpPr>
      <xdr:spPr>
        <a:xfrm>
          <a:off x="4960620" y="3175845"/>
          <a:ext cx="115824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C575237-9BC6-4014-8D3D-ED5ADD4815D1}"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$67,575 </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260560</xdr:colOff>
      <xdr:row>5</xdr:row>
      <xdr:rowOff>3810</xdr:rowOff>
    </xdr:from>
    <xdr:to>
      <xdr:col>12</xdr:col>
      <xdr:colOff>557741</xdr:colOff>
      <xdr:row>12</xdr:row>
      <xdr:rowOff>41910</xdr:rowOff>
    </xdr:to>
    <xdr:sp macro="" textlink="Processing!E15">
      <xdr:nvSpPr>
        <xdr:cNvPr id="50" name="Rectangle: Rounded Corners 49">
          <a:hlinkClick xmlns:r="http://schemas.openxmlformats.org/officeDocument/2006/relationships" r:id="rId7"/>
          <a:extLst>
            <a:ext uri="{FF2B5EF4-FFF2-40B4-BE49-F238E27FC236}">
              <a16:creationId xmlns:a16="http://schemas.microsoft.com/office/drawing/2014/main" id="{49BAB425-8180-442A-B054-FB68E0939AB4}"/>
            </a:ext>
          </a:extLst>
        </xdr:cNvPr>
        <xdr:cNvSpPr/>
      </xdr:nvSpPr>
      <xdr:spPr>
        <a:xfrm>
          <a:off x="5171227" y="956310"/>
          <a:ext cx="2752514" cy="137160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D042386-49EE-4E51-8056-2C35B1BA5E5B}" type="TxLink">
            <a:rPr lang="en-US" sz="3600" b="0" i="0" u="none" strike="noStrike">
              <a:solidFill>
                <a:srgbClr val="000000"/>
              </a:solidFill>
              <a:latin typeface="Aptos Narrow"/>
            </a:rPr>
            <a:t> $13,44,765 </a:t>
          </a:fld>
          <a:endParaRPr lang="ru-RU" sz="3600"/>
        </a:p>
      </xdr:txBody>
    </xdr:sp>
    <xdr:clientData/>
  </xdr:twoCellAnchor>
  <xdr:twoCellAnchor>
    <xdr:from>
      <xdr:col>13</xdr:col>
      <xdr:colOff>99060</xdr:colOff>
      <xdr:row>4</xdr:row>
      <xdr:rowOff>0</xdr:rowOff>
    </xdr:from>
    <xdr:to>
      <xdr:col>19</xdr:col>
      <xdr:colOff>594360</xdr:colOff>
      <xdr:row>17</xdr:row>
      <xdr:rowOff>83820</xdr:rowOff>
    </xdr:to>
    <xdr:sp macro="" textlink="">
      <xdr:nvSpPr>
        <xdr:cNvPr id="51" name="Rectangle: Rounded Corners 50">
          <a:hlinkClick xmlns:r="http://schemas.openxmlformats.org/officeDocument/2006/relationships" r:id="rId8"/>
          <a:extLst>
            <a:ext uri="{FF2B5EF4-FFF2-40B4-BE49-F238E27FC236}">
              <a16:creationId xmlns:a16="http://schemas.microsoft.com/office/drawing/2014/main" id="{80419E99-E66E-4B0C-89D9-0387A0D402CF}"/>
            </a:ext>
          </a:extLst>
        </xdr:cNvPr>
        <xdr:cNvSpPr/>
      </xdr:nvSpPr>
      <xdr:spPr>
        <a:xfrm>
          <a:off x="8023860" y="7315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83820</xdr:colOff>
      <xdr:row>18</xdr:row>
      <xdr:rowOff>99060</xdr:rowOff>
    </xdr:from>
    <xdr:to>
      <xdr:col>16</xdr:col>
      <xdr:colOff>106680</xdr:colOff>
      <xdr:row>32</xdr:row>
      <xdr:rowOff>99060</xdr:rowOff>
    </xdr:to>
    <xdr:sp macro="" textlink="">
      <xdr:nvSpPr>
        <xdr:cNvPr id="52" name="Rectangle: Rounded Corners 51">
          <a:hlinkClick xmlns:r="http://schemas.openxmlformats.org/officeDocument/2006/relationships" r:id="rId9"/>
          <a:extLst>
            <a:ext uri="{FF2B5EF4-FFF2-40B4-BE49-F238E27FC236}">
              <a16:creationId xmlns:a16="http://schemas.microsoft.com/office/drawing/2014/main" id="{BDBC4D03-A024-4CF4-A72F-E7050B7135B9}"/>
            </a:ext>
          </a:extLst>
        </xdr:cNvPr>
        <xdr:cNvSpPr/>
      </xdr:nvSpPr>
      <xdr:spPr>
        <a:xfrm>
          <a:off x="8008620" y="33909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320040</xdr:colOff>
      <xdr:row>18</xdr:row>
      <xdr:rowOff>99060</xdr:rowOff>
    </xdr:from>
    <xdr:to>
      <xdr:col>20</xdr:col>
      <xdr:colOff>0</xdr:colOff>
      <xdr:row>35</xdr:row>
      <xdr:rowOff>129540</xdr:rowOff>
    </xdr:to>
    <xdr:sp macro="" textlink="">
      <xdr:nvSpPr>
        <xdr:cNvPr id="53" name="Rectangle: Rounded Corners 52">
          <a:hlinkClick xmlns:r="http://schemas.openxmlformats.org/officeDocument/2006/relationships" r:id="rId10"/>
          <a:extLst>
            <a:ext uri="{FF2B5EF4-FFF2-40B4-BE49-F238E27FC236}">
              <a16:creationId xmlns:a16="http://schemas.microsoft.com/office/drawing/2014/main" id="{02EBCA7D-E016-45C9-88A3-30BD6A585B73}"/>
            </a:ext>
          </a:extLst>
        </xdr:cNvPr>
        <xdr:cNvSpPr/>
      </xdr:nvSpPr>
      <xdr:spPr>
        <a:xfrm>
          <a:off x="10073640" y="33909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60960</xdr:colOff>
      <xdr:row>4</xdr:row>
      <xdr:rowOff>137160</xdr:rowOff>
    </xdr:from>
    <xdr:to>
      <xdr:col>7</xdr:col>
      <xdr:colOff>388620</xdr:colOff>
      <xdr:row>11</xdr:row>
      <xdr:rowOff>175260</xdr:rowOff>
    </xdr:to>
    <xdr:sp macro="" textlink="">
      <xdr:nvSpPr>
        <xdr:cNvPr id="54" name="Rectangle: Rounded Corners 53">
          <a:hlinkClick xmlns:r="http://schemas.openxmlformats.org/officeDocument/2006/relationships" r:id="rId11"/>
          <a:extLst>
            <a:ext uri="{FF2B5EF4-FFF2-40B4-BE49-F238E27FC236}">
              <a16:creationId xmlns:a16="http://schemas.microsoft.com/office/drawing/2014/main" id="{3D129AA0-82B2-4D1C-9243-44E3E1C7A18F}"/>
            </a:ext>
          </a:extLst>
        </xdr:cNvPr>
        <xdr:cNvSpPr/>
      </xdr:nvSpPr>
      <xdr:spPr>
        <a:xfrm>
          <a:off x="2499360" y="86868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56" name="Group 55">
          <a:hlinkClick xmlns:r="http://schemas.openxmlformats.org/officeDocument/2006/relationships" r:id="rId12"/>
          <a:extLst>
            <a:ext uri="{FF2B5EF4-FFF2-40B4-BE49-F238E27FC236}">
              <a16:creationId xmlns:a16="http://schemas.microsoft.com/office/drawing/2014/main" id="{DBD8AFCE-1ACB-1F42-C1DA-A6A10D1D9A40}"/>
            </a:ext>
          </a:extLst>
        </xdr:cNvPr>
        <xdr:cNvGrpSpPr/>
      </xdr:nvGrpSpPr>
      <xdr:grpSpPr>
        <a:xfrm>
          <a:off x="158639" y="833505"/>
          <a:ext cx="274320" cy="262048"/>
          <a:chOff x="2657199" y="8924774"/>
          <a:chExt cx="796566" cy="720791"/>
        </a:xfrm>
      </xdr:grpSpPr>
      <xdr:sp macro="" textlink="">
        <xdr:nvSpPr>
          <xdr:cNvPr id="60" name="Freeform: Shape 59">
            <a:extLst>
              <a:ext uri="{FF2B5EF4-FFF2-40B4-BE49-F238E27FC236}">
                <a16:creationId xmlns:a16="http://schemas.microsoft.com/office/drawing/2014/main" id="{162A31C3-A760-8848-A169-EAC5F9D5DDFD}"/>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61" name="Freeform: Shape 60">
            <a:extLst>
              <a:ext uri="{FF2B5EF4-FFF2-40B4-BE49-F238E27FC236}">
                <a16:creationId xmlns:a16="http://schemas.microsoft.com/office/drawing/2014/main" id="{9A2E58A6-2FE4-BA38-39DE-9146349BF980}"/>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2" name="Freeform: Shape 61">
            <a:extLst>
              <a:ext uri="{FF2B5EF4-FFF2-40B4-BE49-F238E27FC236}">
                <a16:creationId xmlns:a16="http://schemas.microsoft.com/office/drawing/2014/main" id="{438CF53E-64C8-B508-DFAB-64DB34F739BC}"/>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3" name="Freeform: Shape 62">
            <a:extLst>
              <a:ext uri="{FF2B5EF4-FFF2-40B4-BE49-F238E27FC236}">
                <a16:creationId xmlns:a16="http://schemas.microsoft.com/office/drawing/2014/main" id="{E2781C62-2B27-C5B4-6C23-862E888EE69A}"/>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22528" name="Freeform: Shape 22527">
            <a:extLst>
              <a:ext uri="{FF2B5EF4-FFF2-40B4-BE49-F238E27FC236}">
                <a16:creationId xmlns:a16="http://schemas.microsoft.com/office/drawing/2014/main" id="{5D5C38CB-E366-8603-DF4D-9AF5AA7FA02F}"/>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22530" name="Freeform: Shape 22529">
            <a:extLst>
              <a:ext uri="{FF2B5EF4-FFF2-40B4-BE49-F238E27FC236}">
                <a16:creationId xmlns:a16="http://schemas.microsoft.com/office/drawing/2014/main" id="{77F73DD8-9EFE-2E89-72B4-1C2506FF9EE1}"/>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22531" name="Freeform: Shape 22530">
            <a:extLst>
              <a:ext uri="{FF2B5EF4-FFF2-40B4-BE49-F238E27FC236}">
                <a16:creationId xmlns:a16="http://schemas.microsoft.com/office/drawing/2014/main" id="{D621381D-5818-3AF9-3017-2553DF018744}"/>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22532" name="Freeform: Shape 22531">
            <a:extLst>
              <a:ext uri="{FF2B5EF4-FFF2-40B4-BE49-F238E27FC236}">
                <a16:creationId xmlns:a16="http://schemas.microsoft.com/office/drawing/2014/main" id="{61535846-9216-D266-1DFC-AC20CA415762}"/>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57" name="Graphic 56" descr="Moon and stars with solid fill">
          <a:hlinkClick xmlns:r="http://schemas.openxmlformats.org/officeDocument/2006/relationships" r:id="rId13"/>
          <a:extLst>
            <a:ext uri="{FF2B5EF4-FFF2-40B4-BE49-F238E27FC236}">
              <a16:creationId xmlns:a16="http://schemas.microsoft.com/office/drawing/2014/main" id="{2EC3F023-07B5-2C6E-1856-C28ED559642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8" name="Graphic 57" descr="Sun with solid fill">
          <a:extLst>
            <a:ext uri="{FF2B5EF4-FFF2-40B4-BE49-F238E27FC236}">
              <a16:creationId xmlns:a16="http://schemas.microsoft.com/office/drawing/2014/main" id="{D6FAA160-E0CF-26DE-DC45-C787C2055B1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grpSp>
      <xdr:nvGrpSpPr>
        <xdr:cNvPr id="2" name="Group 1">
          <a:extLst>
            <a:ext uri="{FF2B5EF4-FFF2-40B4-BE49-F238E27FC236}">
              <a16:creationId xmlns:a16="http://schemas.microsoft.com/office/drawing/2014/main" id="{436B7C8E-8088-4C7A-8415-19D6A7E9A759}"/>
            </a:ext>
          </a:extLst>
        </xdr:cNvPr>
        <xdr:cNvGrpSpPr/>
      </xdr:nvGrpSpPr>
      <xdr:grpSpPr>
        <a:xfrm>
          <a:off x="7620" y="0"/>
          <a:ext cx="14732000" cy="8572500"/>
          <a:chOff x="172844" y="6858000"/>
          <a:chExt cx="11850624" cy="7235580"/>
        </a:xfrm>
      </xdr:grpSpPr>
      <xdr:sp macro="" textlink="">
        <xdr:nvSpPr>
          <xdr:cNvPr id="3" name="Rectangle 2">
            <a:extLst>
              <a:ext uri="{FF2B5EF4-FFF2-40B4-BE49-F238E27FC236}">
                <a16:creationId xmlns:a16="http://schemas.microsoft.com/office/drawing/2014/main" id="{F7E1A3FE-0AD9-37B4-90BB-28C6AB639FF1}"/>
              </a:ext>
            </a:extLst>
          </xdr:cNvPr>
          <xdr:cNvSpPr/>
        </xdr:nvSpPr>
        <xdr:spPr>
          <a:xfrm>
            <a:off x="172844" y="6858000"/>
            <a:ext cx="11846312" cy="7235580"/>
          </a:xfrm>
          <a:prstGeom prst="rect">
            <a:avLst/>
          </a:prstGeom>
          <a:gradFill flip="none" rotWithShape="1">
            <a:gsLst>
              <a:gs pos="28000">
                <a:srgbClr val="353C96"/>
              </a:gs>
              <a:gs pos="97000">
                <a:srgbClr val="2587D1"/>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948E9AB7-7C0A-0562-A1B7-AA5BC8DEC1D0}"/>
              </a:ext>
            </a:extLst>
          </xdr:cNvPr>
          <xdr:cNvSpPr/>
        </xdr:nvSpPr>
        <xdr:spPr>
          <a:xfrm>
            <a:off x="172844" y="6858000"/>
            <a:ext cx="11850624" cy="7235580"/>
          </a:xfrm>
          <a:prstGeom prst="rect">
            <a:avLst/>
          </a:prstGeom>
          <a:gradFill flip="none" rotWithShape="1">
            <a:gsLst>
              <a:gs pos="0">
                <a:srgbClr val="A66AB0"/>
              </a:gs>
              <a:gs pos="37000">
                <a:srgbClr val="353C97">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grpSp>
      <xdr:nvGrpSpPr>
        <xdr:cNvPr id="5" name="Group 4">
          <a:extLst>
            <a:ext uri="{FF2B5EF4-FFF2-40B4-BE49-F238E27FC236}">
              <a16:creationId xmlns:a16="http://schemas.microsoft.com/office/drawing/2014/main" id="{31332BE1-770B-4624-B48F-FCB8F02FAB1A}"/>
            </a:ext>
          </a:extLst>
        </xdr:cNvPr>
        <xdr:cNvGrpSpPr/>
      </xdr:nvGrpSpPr>
      <xdr:grpSpPr>
        <a:xfrm>
          <a:off x="1932940" y="396240"/>
          <a:ext cx="10770447" cy="6758940"/>
          <a:chOff x="914143" y="7218382"/>
          <a:chExt cx="10698480" cy="6492240"/>
        </a:xfrm>
        <a:effectLst>
          <a:outerShdw blurRad="571500" dist="190500" dir="8100000" algn="tr" rotWithShape="0">
            <a:prstClr val="black">
              <a:alpha val="60000"/>
            </a:prstClr>
          </a:outerShdw>
        </a:effectLst>
      </xdr:grpSpPr>
      <xdr:sp macro="" textlink="">
        <xdr:nvSpPr>
          <xdr:cNvPr id="6" name="Rectangle: Rounded Corners 5">
            <a:extLst>
              <a:ext uri="{FF2B5EF4-FFF2-40B4-BE49-F238E27FC236}">
                <a16:creationId xmlns:a16="http://schemas.microsoft.com/office/drawing/2014/main" id="{F775C530-2D23-7764-F3C1-FD8BD99777F0}"/>
              </a:ext>
            </a:extLst>
          </xdr:cNvPr>
          <xdr:cNvSpPr/>
        </xdr:nvSpPr>
        <xdr:spPr>
          <a:xfrm>
            <a:off x="914143" y="7218382"/>
            <a:ext cx="10698480" cy="6492240"/>
          </a:xfrm>
          <a:prstGeom prst="roundRect">
            <a:avLst>
              <a:gd name="adj" fmla="val 5678"/>
            </a:avLst>
          </a:prstGeom>
          <a:gradFill flip="none" rotWithShape="1">
            <a:gsLst>
              <a:gs pos="100000">
                <a:srgbClr val="1A598D"/>
              </a:gs>
              <a:gs pos="72000">
                <a:srgbClr val="353874"/>
              </a:gs>
              <a:gs pos="27000">
                <a:srgbClr val="353874"/>
              </a:gs>
              <a:gs pos="0">
                <a:srgbClr val="43348B"/>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91F70999-9F56-5282-E7CF-CA2BF7B9E728}"/>
              </a:ext>
            </a:extLst>
          </xdr:cNvPr>
          <xdr:cNvSpPr/>
        </xdr:nvSpPr>
        <xdr:spPr>
          <a:xfrm>
            <a:off x="914143" y="7218382"/>
            <a:ext cx="10698480" cy="6492240"/>
          </a:xfrm>
          <a:prstGeom prst="roundRect">
            <a:avLst>
              <a:gd name="adj" fmla="val 5678"/>
            </a:avLst>
          </a:prstGeom>
          <a:gradFill flip="none" rotWithShape="1">
            <a:gsLst>
              <a:gs pos="100000">
                <a:srgbClr val="5E376F"/>
              </a:gs>
              <a:gs pos="72000">
                <a:srgbClr val="353874">
                  <a:alpha val="0"/>
                </a:srgbClr>
              </a:gs>
              <a:gs pos="27000">
                <a:srgbClr val="353874">
                  <a:alpha val="0"/>
                </a:srgbClr>
              </a:gs>
              <a:gs pos="0">
                <a:srgbClr val="43348B"/>
              </a:gs>
            </a:gsLst>
            <a:lin ang="18900000" scaled="1"/>
            <a:tileRect/>
          </a:gradFill>
          <a:ln w="9525">
            <a:gradFill flip="none" rotWithShape="1">
              <a:gsLst>
                <a:gs pos="0">
                  <a:srgbClr val="00B0F0"/>
                </a:gs>
                <a:gs pos="100000">
                  <a:srgbClr val="9079D9"/>
                </a:gs>
                <a:gs pos="68000">
                  <a:srgbClr val="6956B1"/>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07E1C6B5-312A-4328-9336-793F05745C05}"/>
            </a:ext>
          </a:extLst>
        </xdr:cNvPr>
        <xdr:cNvSpPr/>
      </xdr:nvSpPr>
      <xdr:spPr>
        <a:xfrm>
          <a:off x="2317262" y="716188"/>
          <a:ext cx="2441986" cy="1645920"/>
        </a:xfrm>
        <a:prstGeom prst="roundRect">
          <a:avLst>
            <a:gd name="adj" fmla="val 9318"/>
          </a:avLst>
        </a:prstGeom>
        <a:gradFill flip="none" rotWithShape="1">
          <a:gsLst>
            <a:gs pos="3000">
              <a:srgbClr val="574998"/>
            </a:gs>
            <a:gs pos="76000">
              <a:srgbClr val="262D6A"/>
            </a:gs>
          </a:gsLst>
          <a:lin ang="6600000" scaled="0"/>
          <a:tileRect/>
        </a:gradFill>
        <a:ln w="9525">
          <a:gradFill flip="none" rotWithShape="1">
            <a:gsLst>
              <a:gs pos="0">
                <a:srgbClr val="BB75D8"/>
              </a:gs>
              <a:gs pos="51000">
                <a:srgbClr val="3B3E75"/>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DF599446-EA28-4043-A05E-10022888DE05}"/>
            </a:ext>
          </a:extLst>
        </xdr:cNvPr>
        <xdr:cNvSpPr/>
      </xdr:nvSpPr>
      <xdr:spPr>
        <a:xfrm>
          <a:off x="4976853" y="718877"/>
          <a:ext cx="2812649" cy="1645920"/>
        </a:xfrm>
        <a:prstGeom prst="roundRect">
          <a:avLst>
            <a:gd name="adj" fmla="val 8437"/>
          </a:avLst>
        </a:prstGeom>
        <a:gradFill flip="none" rotWithShape="1">
          <a:gsLst>
            <a:gs pos="0">
              <a:srgbClr val="7D59A1"/>
            </a:gs>
            <a:gs pos="68000">
              <a:srgbClr val="30306F"/>
            </a:gs>
          </a:gsLst>
          <a:lin ang="6600000" scaled="0"/>
          <a:tileRect/>
        </a:gradFill>
        <a:ln w="9525">
          <a:gradFill flip="none" rotWithShape="1">
            <a:gsLst>
              <a:gs pos="0">
                <a:srgbClr val="EB97ED"/>
              </a:gs>
              <a:gs pos="49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317657</xdr:colOff>
      <xdr:row>5</xdr:row>
      <xdr:rowOff>25457</xdr:rowOff>
    </xdr:from>
    <xdr:to>
      <xdr:col>12</xdr:col>
      <xdr:colOff>256697</xdr:colOff>
      <xdr:row>11</xdr:row>
      <xdr:rowOff>116897</xdr:rowOff>
    </xdr:to>
    <xdr:grpSp>
      <xdr:nvGrpSpPr>
        <xdr:cNvPr id="10" name="Group 9">
          <a:extLst>
            <a:ext uri="{FF2B5EF4-FFF2-40B4-BE49-F238E27FC236}">
              <a16:creationId xmlns:a16="http://schemas.microsoft.com/office/drawing/2014/main" id="{55B9CCF6-62EA-4306-89B2-C83863F5F579}"/>
            </a:ext>
          </a:extLst>
        </xdr:cNvPr>
        <xdr:cNvGrpSpPr/>
      </xdr:nvGrpSpPr>
      <xdr:grpSpPr>
        <a:xfrm>
          <a:off x="5228324" y="977957"/>
          <a:ext cx="2394373" cy="1234440"/>
          <a:chOff x="4327066" y="2477006"/>
          <a:chExt cx="2017854" cy="1200912"/>
        </a:xfrm>
        <a:effectLst>
          <a:outerShdw blurRad="190500" dist="63500" dir="8100000" algn="tr" rotWithShape="0">
            <a:prstClr val="black">
              <a:alpha val="80000"/>
            </a:prstClr>
          </a:outerShdw>
        </a:effectLst>
      </xdr:grpSpPr>
      <xdr:sp macro="" textlink="">
        <xdr:nvSpPr>
          <xdr:cNvPr id="11" name="Rectangle: Rounded Corners 10">
            <a:extLst>
              <a:ext uri="{FF2B5EF4-FFF2-40B4-BE49-F238E27FC236}">
                <a16:creationId xmlns:a16="http://schemas.microsoft.com/office/drawing/2014/main" id="{9BBBDE22-D1A9-5F59-274A-2374AB885310}"/>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E15">
        <xdr:nvSpPr>
          <xdr:cNvPr id="12" name="Rectangle: Rounded Corners 11">
            <a:extLst>
              <a:ext uri="{FF2B5EF4-FFF2-40B4-BE49-F238E27FC236}">
                <a16:creationId xmlns:a16="http://schemas.microsoft.com/office/drawing/2014/main" id="{B92B0C8A-4F23-8AD2-99BB-EF0DA922C746}"/>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7F9CE73C-E2A6-491B-A672-9AFFE5A714CF}" type="TxLink">
              <a:rPr lang="en-US" sz="3400" b="0" i="0" u="none" strike="noStrike">
                <a:solidFill>
                  <a:schemeClr val="bg1"/>
                </a:solidFill>
                <a:latin typeface="Aptos Narrow"/>
              </a:rPr>
              <a:pPr algn="l"/>
              <a:t> $13,44,765 </a:t>
            </a:fld>
            <a:endParaRPr lang="ru-RU" sz="3400">
              <a:solidFill>
                <a:schemeClr val="bg1"/>
              </a:solidFill>
            </a:endParaRPr>
          </a:p>
        </xdr:txBody>
      </xdr:sp>
    </xdr:grpSp>
    <xdr:clientData/>
  </xdr:twoCellAnchor>
  <xdr:twoCellAnchor>
    <xdr:from>
      <xdr:col>13</xdr:col>
      <xdr:colOff>117892</xdr:colOff>
      <xdr:row>3</xdr:row>
      <xdr:rowOff>167548</xdr:rowOff>
    </xdr:from>
    <xdr:to>
      <xdr:col>20</xdr:col>
      <xdr:colOff>11212</xdr:colOff>
      <xdr:row>17</xdr:row>
      <xdr:rowOff>86268</xdr:rowOff>
    </xdr:to>
    <xdr:sp macro="" textlink="">
      <xdr:nvSpPr>
        <xdr:cNvPr id="13" name="Rectangle: Rounded Corners 12">
          <a:extLst>
            <a:ext uri="{FF2B5EF4-FFF2-40B4-BE49-F238E27FC236}">
              <a16:creationId xmlns:a16="http://schemas.microsoft.com/office/drawing/2014/main" id="{2A49D174-42C8-4973-B696-3B6A06C28821}"/>
            </a:ext>
          </a:extLst>
        </xdr:cNvPr>
        <xdr:cNvSpPr/>
      </xdr:nvSpPr>
      <xdr:spPr>
        <a:xfrm>
          <a:off x="8042692" y="716188"/>
          <a:ext cx="4160520" cy="2479040"/>
        </a:xfrm>
        <a:prstGeom prst="roundRect">
          <a:avLst>
            <a:gd name="adj" fmla="val 8437"/>
          </a:avLst>
        </a:prstGeom>
        <a:gradFill flip="none" rotWithShape="1">
          <a:gsLst>
            <a:gs pos="85000">
              <a:srgbClr val="4F4C91"/>
            </a:gs>
            <a:gs pos="34000">
              <a:srgbClr val="7B5FA2"/>
            </a:gs>
            <a:gs pos="0">
              <a:srgbClr val="9D71AE"/>
            </a:gs>
            <a:gs pos="69000">
              <a:srgbClr val="5A4E94"/>
            </a:gs>
          </a:gsLst>
          <a:lin ang="6000000" scaled="0"/>
          <a:tileRect/>
        </a:gradFill>
        <a:ln w="9525">
          <a:gradFill flip="none" rotWithShape="1">
            <a:gsLst>
              <a:gs pos="0">
                <a:srgbClr val="F2BBF3"/>
              </a:gs>
              <a:gs pos="58000">
                <a:srgbClr val="9079D9"/>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4" name="Rectangle: Rounded Corners 13">
          <a:extLst>
            <a:ext uri="{FF2B5EF4-FFF2-40B4-BE49-F238E27FC236}">
              <a16:creationId xmlns:a16="http://schemas.microsoft.com/office/drawing/2014/main" id="{F3081CD7-8359-4183-856C-FF7331633A3B}"/>
            </a:ext>
          </a:extLst>
        </xdr:cNvPr>
        <xdr:cNvSpPr/>
      </xdr:nvSpPr>
      <xdr:spPr>
        <a:xfrm>
          <a:off x="10100092" y="3422015"/>
          <a:ext cx="210312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5" name="Rectangle: Rounded Corners 14">
          <a:extLst>
            <a:ext uri="{FF2B5EF4-FFF2-40B4-BE49-F238E27FC236}">
              <a16:creationId xmlns:a16="http://schemas.microsoft.com/office/drawing/2014/main" id="{5B3BEBB4-ACDA-4BC5-8203-D7376865668F}"/>
            </a:ext>
          </a:extLst>
        </xdr:cNvPr>
        <xdr:cNvSpPr/>
      </xdr:nvSpPr>
      <xdr:spPr>
        <a:xfrm>
          <a:off x="8042692" y="3422015"/>
          <a:ext cx="182880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solidFill>
            <a:srgbClr val="EB97ED"/>
          </a:soli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6" name="Rectangle: Rounded Corners 15">
          <a:extLst>
            <a:ext uri="{FF2B5EF4-FFF2-40B4-BE49-F238E27FC236}">
              <a16:creationId xmlns:a16="http://schemas.microsoft.com/office/drawing/2014/main" id="{CA4592F9-AD02-4797-91A7-A9584D5E723B}"/>
            </a:ext>
          </a:extLst>
        </xdr:cNvPr>
        <xdr:cNvSpPr/>
      </xdr:nvSpPr>
      <xdr:spPr>
        <a:xfrm>
          <a:off x="2311672" y="2606040"/>
          <a:ext cx="5477830" cy="3924935"/>
        </a:xfrm>
        <a:prstGeom prst="roundRect">
          <a:avLst>
            <a:gd name="adj" fmla="val 3638"/>
          </a:avLst>
        </a:prstGeom>
        <a:gradFill>
          <a:gsLst>
            <a:gs pos="0">
              <a:srgbClr val="515092"/>
            </a:gs>
            <a:gs pos="79000">
              <a:srgbClr val="2C3977"/>
            </a:gs>
          </a:gsLst>
          <a:lin ang="5400000" scaled="0"/>
        </a:gradFill>
        <a:ln w="9525">
          <a:gradFill flip="none" rotWithShape="1">
            <a:gsLst>
              <a:gs pos="0">
                <a:srgbClr val="997ABC"/>
              </a:gs>
              <a:gs pos="81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106680</xdr:colOff>
      <xdr:row>5</xdr:row>
      <xdr:rowOff>15240</xdr:rowOff>
    </xdr:from>
    <xdr:to>
      <xdr:col>7</xdr:col>
      <xdr:colOff>289560</xdr:colOff>
      <xdr:row>11</xdr:row>
      <xdr:rowOff>106680</xdr:rowOff>
    </xdr:to>
    <xdr:grpSp>
      <xdr:nvGrpSpPr>
        <xdr:cNvPr id="17" name="Group 16">
          <a:extLst>
            <a:ext uri="{FF2B5EF4-FFF2-40B4-BE49-F238E27FC236}">
              <a16:creationId xmlns:a16="http://schemas.microsoft.com/office/drawing/2014/main" id="{5C5643C3-38BA-4D2A-849E-383ED420D29B}"/>
            </a:ext>
          </a:extLst>
        </xdr:cNvPr>
        <xdr:cNvGrpSpPr/>
      </xdr:nvGrpSpPr>
      <xdr:grpSpPr>
        <a:xfrm>
          <a:off x="2562013" y="967740"/>
          <a:ext cx="2024380" cy="1234440"/>
          <a:chOff x="2234106" y="2775708"/>
          <a:chExt cx="2017854" cy="1200912"/>
        </a:xfrm>
        <a:effectLst>
          <a:outerShdw blurRad="190500" dist="63500" dir="8100000" algn="tr" rotWithShape="0">
            <a:prstClr val="black">
              <a:alpha val="80000"/>
            </a:prstClr>
          </a:outerShdw>
        </a:effectLst>
      </xdr:grpSpPr>
      <xdr:sp macro="" textlink="">
        <xdr:nvSpPr>
          <xdr:cNvPr id="18" name="Rectangle: Rounded Corners 17">
            <a:extLst>
              <a:ext uri="{FF2B5EF4-FFF2-40B4-BE49-F238E27FC236}">
                <a16:creationId xmlns:a16="http://schemas.microsoft.com/office/drawing/2014/main" id="{7AB97B1A-90D8-C79D-5744-830A4FAFBD79}"/>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R6">
        <xdr:nvSpPr>
          <xdr:cNvPr id="19" name="Rectangle: Rounded Corners 18">
            <a:extLst>
              <a:ext uri="{FF2B5EF4-FFF2-40B4-BE49-F238E27FC236}">
                <a16:creationId xmlns:a16="http://schemas.microsoft.com/office/drawing/2014/main" id="{56744EBF-8483-50E2-51ED-2001387ECADB}"/>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9D5B22AD-2689-4A19-8294-60DCF73D852F}" type="TxLink">
              <a:rPr lang="en-US" sz="4000" b="0" i="0" u="none" strike="noStrike">
                <a:solidFill>
                  <a:schemeClr val="bg1"/>
                </a:solidFill>
                <a:latin typeface="Aptos Narrow"/>
              </a:rPr>
              <a:pPr algn="l"/>
              <a:t> 21 089</a:t>
            </a:fld>
            <a:endParaRPr lang="ru-RU" sz="4000">
              <a:solidFill>
                <a:schemeClr val="bg1"/>
              </a:solidFill>
            </a:endParaRPr>
          </a:p>
        </xdr:txBody>
      </xdr:sp>
    </xdr:grpSp>
    <xdr:clientData/>
  </xdr:twoCellAnchor>
  <xdr:twoCellAnchor>
    <xdr:from>
      <xdr:col>16</xdr:col>
      <xdr:colOff>289559</xdr:colOff>
      <xdr:row>5</xdr:row>
      <xdr:rowOff>73343</xdr:rowOff>
    </xdr:from>
    <xdr:to>
      <xdr:col>19</xdr:col>
      <xdr:colOff>289559</xdr:colOff>
      <xdr:row>15</xdr:row>
      <xdr:rowOff>73343</xdr:rowOff>
    </xdr:to>
    <xdr:sp macro="" textlink="">
      <xdr:nvSpPr>
        <xdr:cNvPr id="20" name="Circle: Hollow 19">
          <a:extLst>
            <a:ext uri="{FF2B5EF4-FFF2-40B4-BE49-F238E27FC236}">
              <a16:creationId xmlns:a16="http://schemas.microsoft.com/office/drawing/2014/main" id="{73A138FC-A304-4C22-AA31-611F689FCABF}"/>
            </a:ext>
          </a:extLst>
        </xdr:cNvPr>
        <xdr:cNvSpPr/>
      </xdr:nvSpPr>
      <xdr:spPr>
        <a:xfrm>
          <a:off x="10043159" y="987743"/>
          <a:ext cx="1828800" cy="1828800"/>
        </a:xfrm>
        <a:prstGeom prst="donut">
          <a:avLst>
            <a:gd name="adj" fmla="val 20022"/>
          </a:avLst>
        </a:prstGeom>
        <a:solidFill>
          <a:srgbClr val="775A94"/>
        </a:solidFill>
        <a:ln>
          <a:noFill/>
        </a:ln>
        <a:effectLst>
          <a:innerShdw blurRad="254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1" name="Chart 20">
          <a:extLst>
            <a:ext uri="{FF2B5EF4-FFF2-40B4-BE49-F238E27FC236}">
              <a16:creationId xmlns:a16="http://schemas.microsoft.com/office/drawing/2014/main" id="{C3421220-D1FD-4B1F-8411-8B10B8F1A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2" name="TextBox 21">
          <a:extLst>
            <a:ext uri="{FF2B5EF4-FFF2-40B4-BE49-F238E27FC236}">
              <a16:creationId xmlns:a16="http://schemas.microsoft.com/office/drawing/2014/main" id="{606222BF-EECE-43E1-8DDA-97AB147D5A89}"/>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3" name="TextBox 22">
          <a:extLst>
            <a:ext uri="{FF2B5EF4-FFF2-40B4-BE49-F238E27FC236}">
              <a16:creationId xmlns:a16="http://schemas.microsoft.com/office/drawing/2014/main" id="{A960BFA6-EF31-4651-9280-DCA188A40ABC}"/>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4" name="TextBox 23">
          <a:extLst>
            <a:ext uri="{FF2B5EF4-FFF2-40B4-BE49-F238E27FC236}">
              <a16:creationId xmlns:a16="http://schemas.microsoft.com/office/drawing/2014/main" id="{D83BE037-697D-4395-AD78-659DD6575381}"/>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5" name="Oval 24">
          <a:extLst>
            <a:ext uri="{FF2B5EF4-FFF2-40B4-BE49-F238E27FC236}">
              <a16:creationId xmlns:a16="http://schemas.microsoft.com/office/drawing/2014/main" id="{44DDBFC4-677B-426A-AE9F-FD9BFA9A2828}"/>
            </a:ext>
          </a:extLst>
        </xdr:cNvPr>
        <xdr:cNvSpPr/>
      </xdr:nvSpPr>
      <xdr:spPr>
        <a:xfrm>
          <a:off x="8321040" y="1516380"/>
          <a:ext cx="137160" cy="137160"/>
        </a:xfrm>
        <a:prstGeom prst="ellipse">
          <a:avLst/>
        </a:prstGeom>
        <a:gradFill>
          <a:gsLst>
            <a:gs pos="0">
              <a:schemeClr val="accent5">
                <a:lumMod val="60000"/>
                <a:lumOff val="40000"/>
              </a:schemeClr>
            </a:gs>
            <a:gs pos="97000">
              <a:srgbClr val="A62C97"/>
            </a:gs>
          </a:gsLst>
          <a:lin ang="3000000" scaled="0"/>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6" name="Oval 25">
          <a:extLst>
            <a:ext uri="{FF2B5EF4-FFF2-40B4-BE49-F238E27FC236}">
              <a16:creationId xmlns:a16="http://schemas.microsoft.com/office/drawing/2014/main" id="{FA139E70-EC61-4043-953E-70A584C2BAA9}"/>
            </a:ext>
          </a:extLst>
        </xdr:cNvPr>
        <xdr:cNvSpPr/>
      </xdr:nvSpPr>
      <xdr:spPr>
        <a:xfrm>
          <a:off x="8321040" y="1765300"/>
          <a:ext cx="137160" cy="137160"/>
        </a:xfrm>
        <a:prstGeom prst="ellipse">
          <a:avLst/>
        </a:prstGeom>
        <a:gradFill>
          <a:gsLst>
            <a:gs pos="100000">
              <a:srgbClr val="61A7F5"/>
            </a:gs>
            <a:gs pos="0">
              <a:srgbClr val="4077E3"/>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7" name="Oval 26">
          <a:extLst>
            <a:ext uri="{FF2B5EF4-FFF2-40B4-BE49-F238E27FC236}">
              <a16:creationId xmlns:a16="http://schemas.microsoft.com/office/drawing/2014/main" id="{AC3BC26C-F7D8-4021-8DE4-C2540E07336A}"/>
            </a:ext>
          </a:extLst>
        </xdr:cNvPr>
        <xdr:cNvSpPr/>
      </xdr:nvSpPr>
      <xdr:spPr>
        <a:xfrm>
          <a:off x="8321040" y="2014220"/>
          <a:ext cx="137160" cy="137160"/>
        </a:xfrm>
        <a:prstGeom prst="ellipse">
          <a:avLst/>
        </a:prstGeom>
        <a:gradFill>
          <a:gsLst>
            <a:gs pos="0">
              <a:srgbClr val="8070E2"/>
            </a:gs>
            <a:gs pos="100000">
              <a:srgbClr val="5A4EBD"/>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8" name="Oval 27">
          <a:extLst>
            <a:ext uri="{FF2B5EF4-FFF2-40B4-BE49-F238E27FC236}">
              <a16:creationId xmlns:a16="http://schemas.microsoft.com/office/drawing/2014/main" id="{5C097C4B-F755-4E44-B56E-FD90ECDBA6C1}"/>
            </a:ext>
          </a:extLst>
        </xdr:cNvPr>
        <xdr:cNvSpPr/>
      </xdr:nvSpPr>
      <xdr:spPr>
        <a:xfrm>
          <a:off x="8321040" y="2263140"/>
          <a:ext cx="137160" cy="137160"/>
        </a:xfrm>
        <a:prstGeom prst="ellipse">
          <a:avLst/>
        </a:prstGeom>
        <a:solidFill>
          <a:srgbClr val="49375B"/>
        </a:soli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9" name="TextBox 28">
          <a:extLst>
            <a:ext uri="{FF2B5EF4-FFF2-40B4-BE49-F238E27FC236}">
              <a16:creationId xmlns:a16="http://schemas.microsoft.com/office/drawing/2014/main" id="{FB2818B9-0F6D-465C-BAF7-2BC8F422946E}"/>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algn="ctr"/>
            <a:t>Traffic Sources</a:t>
          </a:fld>
          <a:endParaRPr lang="ru-RU" sz="44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0" name="Group 29">
          <a:extLst>
            <a:ext uri="{FF2B5EF4-FFF2-40B4-BE49-F238E27FC236}">
              <a16:creationId xmlns:a16="http://schemas.microsoft.com/office/drawing/2014/main" id="{F8E94849-A57F-4A84-89CD-2EE5D83DE5A0}"/>
            </a:ext>
          </a:extLst>
        </xdr:cNvPr>
        <xdr:cNvGrpSpPr/>
      </xdr:nvGrpSpPr>
      <xdr:grpSpPr>
        <a:xfrm>
          <a:off x="10446503" y="4353436"/>
          <a:ext cx="1566665" cy="1629008"/>
          <a:chOff x="10374536" y="4039901"/>
          <a:chExt cx="1558199" cy="1554481"/>
        </a:xfrm>
      </xdr:grpSpPr>
      <xdr:cxnSp macro="">
        <xdr:nvCxnSpPr>
          <xdr:cNvPr id="31" name="Straight Connector 30">
            <a:extLst>
              <a:ext uri="{FF2B5EF4-FFF2-40B4-BE49-F238E27FC236}">
                <a16:creationId xmlns:a16="http://schemas.microsoft.com/office/drawing/2014/main" id="{568B3830-2D34-FAD2-E3EA-0D403383B058}"/>
              </a:ext>
            </a:extLst>
          </xdr:cNvPr>
          <xdr:cNvCxnSpPr/>
        </xdr:nvCxnSpPr>
        <xdr:spPr>
          <a:xfrm>
            <a:off x="11155494"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052BA3A5-0C4C-59DA-232D-90DA4F2BCE6F}"/>
              </a:ext>
            </a:extLst>
          </xdr:cNvPr>
          <xdr:cNvCxnSpPr/>
        </xdr:nvCxnSpPr>
        <xdr:spPr>
          <a:xfrm rot="16200000">
            <a:off x="11155495"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79E08A03-4400-4FB0-9B65-8562A1D1897F}"/>
              </a:ext>
            </a:extLst>
          </xdr:cNvPr>
          <xdr:cNvCxnSpPr/>
        </xdr:nvCxnSpPr>
        <xdr:spPr>
          <a:xfrm rot="2700000">
            <a:off x="11151776" y="4043620"/>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A5819BD6-C350-2E4B-EEAC-5BF6A7ADACB2}"/>
              </a:ext>
            </a:extLst>
          </xdr:cNvPr>
          <xdr:cNvCxnSpPr/>
        </xdr:nvCxnSpPr>
        <xdr:spPr>
          <a:xfrm rot="18900000" flipH="1">
            <a:off x="11151774" y="4039902"/>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5" name="Chart 34">
          <a:extLst>
            <a:ext uri="{FF2B5EF4-FFF2-40B4-BE49-F238E27FC236}">
              <a16:creationId xmlns:a16="http://schemas.microsoft.com/office/drawing/2014/main" id="{69643B30-502A-4E46-A24E-AC3EE44A6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6" name="TextBox 35">
          <a:extLst>
            <a:ext uri="{FF2B5EF4-FFF2-40B4-BE49-F238E27FC236}">
              <a16:creationId xmlns:a16="http://schemas.microsoft.com/office/drawing/2014/main" id="{2EAA8E0E-72A2-4705-92CB-B2039DF4253F}"/>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7" name="Chart 36">
          <a:extLst>
            <a:ext uri="{FF2B5EF4-FFF2-40B4-BE49-F238E27FC236}">
              <a16:creationId xmlns:a16="http://schemas.microsoft.com/office/drawing/2014/main" id="{CA212C03-132C-432E-9CCF-EAAC80D41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9" name="TextBox 38">
          <a:extLst>
            <a:ext uri="{FF2B5EF4-FFF2-40B4-BE49-F238E27FC236}">
              <a16:creationId xmlns:a16="http://schemas.microsoft.com/office/drawing/2014/main" id="{8B5B3DB5-C2EC-4DD3-A061-32D3F6696D91}"/>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40" name="Chart 39">
          <a:extLst>
            <a:ext uri="{FF2B5EF4-FFF2-40B4-BE49-F238E27FC236}">
              <a16:creationId xmlns:a16="http://schemas.microsoft.com/office/drawing/2014/main" id="{7D89BD94-5AA1-4240-9438-E6A3C5A06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41" name="Rectangle 40">
          <a:extLst>
            <a:ext uri="{FF2B5EF4-FFF2-40B4-BE49-F238E27FC236}">
              <a16:creationId xmlns:a16="http://schemas.microsoft.com/office/drawing/2014/main" id="{C99417B8-0E4F-40A2-857D-06E7D9EF173D}"/>
            </a:ext>
          </a:extLst>
        </xdr:cNvPr>
        <xdr:cNvSpPr/>
      </xdr:nvSpPr>
      <xdr:spPr>
        <a:xfrm>
          <a:off x="6858000" y="2849880"/>
          <a:ext cx="198120" cy="175260"/>
        </a:xfrm>
        <a:prstGeom prst="rect">
          <a:avLst/>
        </a:prstGeom>
        <a:solidFill>
          <a:srgbClr val="4C4D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3" name="Year 2">
              <a:extLst>
                <a:ext uri="{FF2B5EF4-FFF2-40B4-BE49-F238E27FC236}">
                  <a16:creationId xmlns:a16="http://schemas.microsoft.com/office/drawing/2014/main" id="{BA9FD885-FCDE-4F64-8C53-2E4C5E012A1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5" name="TextBox 44">
          <a:extLst>
            <a:ext uri="{FF2B5EF4-FFF2-40B4-BE49-F238E27FC236}">
              <a16:creationId xmlns:a16="http://schemas.microsoft.com/office/drawing/2014/main" id="{F5103C42-DD2F-4511-A6B6-7BF6B4005885}"/>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6" name="TextBox 45">
          <a:extLst>
            <a:ext uri="{FF2B5EF4-FFF2-40B4-BE49-F238E27FC236}">
              <a16:creationId xmlns:a16="http://schemas.microsoft.com/office/drawing/2014/main" id="{BF7437C2-BEAB-49A0-82B6-5E5E95DB774C}"/>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7" name="Chart 46">
          <a:extLst>
            <a:ext uri="{FF2B5EF4-FFF2-40B4-BE49-F238E27FC236}">
              <a16:creationId xmlns:a16="http://schemas.microsoft.com/office/drawing/2014/main" id="{6A5D0ADE-C336-479A-A480-AD0846864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8" name="TextBox 47">
          <a:extLst>
            <a:ext uri="{FF2B5EF4-FFF2-40B4-BE49-F238E27FC236}">
              <a16:creationId xmlns:a16="http://schemas.microsoft.com/office/drawing/2014/main" id="{E123FC88-713A-4EB5-BAB0-FDAE5A052F42}"/>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9" name="TextBox 48">
          <a:extLst>
            <a:ext uri="{FF2B5EF4-FFF2-40B4-BE49-F238E27FC236}">
              <a16:creationId xmlns:a16="http://schemas.microsoft.com/office/drawing/2014/main" id="{966CEDD6-4BB3-42F4-B84F-3AB48C1A5A9C}"/>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22860</xdr:colOff>
      <xdr:row>17</xdr:row>
      <xdr:rowOff>66885</xdr:rowOff>
    </xdr:from>
    <xdr:to>
      <xdr:col>5</xdr:col>
      <xdr:colOff>297180</xdr:colOff>
      <xdr:row>19</xdr:row>
      <xdr:rowOff>55036</xdr:rowOff>
    </xdr:to>
    <xdr:sp macro="" textlink="Processing!D17">
      <xdr:nvSpPr>
        <xdr:cNvPr id="50" name="TextBox 49">
          <a:extLst>
            <a:ext uri="{FF2B5EF4-FFF2-40B4-BE49-F238E27FC236}">
              <a16:creationId xmlns:a16="http://schemas.microsoft.com/office/drawing/2014/main" id="{4DE05157-66CB-40FD-81EA-F272F8D24DA2}"/>
            </a:ext>
          </a:extLst>
        </xdr:cNvPr>
        <xdr:cNvSpPr txBox="1"/>
      </xdr:nvSpPr>
      <xdr:spPr>
        <a:xfrm>
          <a:off x="246126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2F124EC-07B6-4B55-AC57-AE96889DA463}" type="TxLink">
            <a:rPr lang="en-US" sz="1400" b="0" i="0" u="none" strike="noStrike">
              <a:solidFill>
                <a:srgbClr val="01F3FF"/>
              </a:solidFill>
              <a:latin typeface="Aptos Narrow"/>
              <a:ea typeface="Verdana" panose="020B0604030504040204" pitchFamily="34" charset="0"/>
              <a:cs typeface="Calibri" panose="020F0502020204030204" pitchFamily="34" charset="0"/>
            </a:rPr>
            <a:pPr marL="0" indent="0" algn="l"/>
            <a:t>Premium</a:t>
          </a:fld>
          <a:endParaRPr lang="ru-RU" sz="1400" b="0" i="0" u="none" strike="noStrike">
            <a:solidFill>
              <a:srgbClr val="01F3FF"/>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160020</xdr:colOff>
      <xdr:row>17</xdr:row>
      <xdr:rowOff>66885</xdr:rowOff>
    </xdr:from>
    <xdr:to>
      <xdr:col>7</xdr:col>
      <xdr:colOff>129540</xdr:colOff>
      <xdr:row>19</xdr:row>
      <xdr:rowOff>55036</xdr:rowOff>
    </xdr:to>
    <xdr:sp macro="" textlink="Processing!G30">
      <xdr:nvSpPr>
        <xdr:cNvPr id="51" name="TextBox 50">
          <a:extLst>
            <a:ext uri="{FF2B5EF4-FFF2-40B4-BE49-F238E27FC236}">
              <a16:creationId xmlns:a16="http://schemas.microsoft.com/office/drawing/2014/main" id="{98F278AE-2CB7-4F0A-AEDD-1D9701CFB094}"/>
            </a:ext>
          </a:extLst>
        </xdr:cNvPr>
        <xdr:cNvSpPr txBox="1"/>
      </xdr:nvSpPr>
      <xdr:spPr>
        <a:xfrm>
          <a:off x="320802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C16709-A798-4D55-859A-E937F6C7D5CE}"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l"/>
            <a:t> 5 431</a:t>
          </a:fld>
          <a:endParaRPr lang="ru-RU" sz="1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17</xdr:row>
      <xdr:rowOff>66885</xdr:rowOff>
    </xdr:from>
    <xdr:to>
      <xdr:col>11</xdr:col>
      <xdr:colOff>251460</xdr:colOff>
      <xdr:row>19</xdr:row>
      <xdr:rowOff>55036</xdr:rowOff>
    </xdr:to>
    <xdr:sp macro="" textlink="Processing!C17">
      <xdr:nvSpPr>
        <xdr:cNvPr id="52" name="TextBox 51">
          <a:extLst>
            <a:ext uri="{FF2B5EF4-FFF2-40B4-BE49-F238E27FC236}">
              <a16:creationId xmlns:a16="http://schemas.microsoft.com/office/drawing/2014/main" id="{F23DF17B-F80A-4A56-BB76-AE5E6FB909AC}"/>
            </a:ext>
          </a:extLst>
        </xdr:cNvPr>
        <xdr:cNvSpPr txBox="1"/>
      </xdr:nvSpPr>
      <xdr:spPr>
        <a:xfrm>
          <a:off x="607314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83A81F-E6A9-49FF-AAEE-ED1D942D4073}" type="TxLink">
            <a:rPr lang="en-US" sz="1400" b="0" i="0" u="none" strike="noStrike">
              <a:gradFill>
                <a:gsLst>
                  <a:gs pos="0">
                    <a:schemeClr val="accent1">
                      <a:lumMod val="5000"/>
                      <a:lumOff val="95000"/>
                    </a:schemeClr>
                  </a:gs>
                  <a:gs pos="68000">
                    <a:schemeClr val="accent1">
                      <a:lumMod val="30000"/>
                      <a:lumOff val="70000"/>
                    </a:schemeClr>
                  </a:gs>
                </a:gsLst>
                <a:lin ang="5400000" scaled="1"/>
              </a:gradFill>
              <a:latin typeface="Aptos Narrow"/>
              <a:ea typeface="Verdana" panose="020B0604030504040204" pitchFamily="34" charset="0"/>
              <a:cs typeface="Calibri" panose="020F0502020204030204" pitchFamily="34" charset="0"/>
            </a:rPr>
            <a:pPr marL="0" indent="0" algn="l"/>
            <a:t>Standart</a:t>
          </a:fld>
          <a:endParaRPr lang="ru-RU" sz="1400" b="0" i="0" u="none" strike="noStrike">
            <a:gradFill>
              <a:gsLst>
                <a:gs pos="0">
                  <a:schemeClr val="accent1">
                    <a:lumMod val="5000"/>
                    <a:lumOff val="95000"/>
                  </a:schemeClr>
                </a:gs>
                <a:gs pos="68000">
                  <a:schemeClr val="accent1">
                    <a:lumMod val="30000"/>
                    <a:lumOff val="70000"/>
                  </a:schemeClr>
                </a:gs>
              </a:gsLst>
              <a:lin ang="5400000" scaled="1"/>
            </a:gra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68580</xdr:colOff>
      <xdr:row>17</xdr:row>
      <xdr:rowOff>66885</xdr:rowOff>
    </xdr:from>
    <xdr:to>
      <xdr:col>12</xdr:col>
      <xdr:colOff>571500</xdr:colOff>
      <xdr:row>19</xdr:row>
      <xdr:rowOff>55036</xdr:rowOff>
    </xdr:to>
    <xdr:sp macro="" textlink="Processing!F30">
      <xdr:nvSpPr>
        <xdr:cNvPr id="53" name="TextBox 52">
          <a:extLst>
            <a:ext uri="{FF2B5EF4-FFF2-40B4-BE49-F238E27FC236}">
              <a16:creationId xmlns:a16="http://schemas.microsoft.com/office/drawing/2014/main" id="{A0F9CFB1-99B6-43C5-A8B4-A61C5BEAA157}"/>
            </a:ext>
          </a:extLst>
        </xdr:cNvPr>
        <xdr:cNvSpPr txBox="1"/>
      </xdr:nvSpPr>
      <xdr:spPr>
        <a:xfrm>
          <a:off x="6774180" y="3175845"/>
          <a:ext cx="11125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72DB5C1-8372-4D51-B2F3-FD2CBFC04B0E}"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l"/>
            <a:t> 15 658</a:t>
          </a:fld>
          <a:endParaRPr lang="ru-RU" sz="1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53340</xdr:colOff>
      <xdr:row>19</xdr:row>
      <xdr:rowOff>0</xdr:rowOff>
    </xdr:from>
    <xdr:to>
      <xdr:col>12</xdr:col>
      <xdr:colOff>297180</xdr:colOff>
      <xdr:row>33</xdr:row>
      <xdr:rowOff>106680</xdr:rowOff>
    </xdr:to>
    <xdr:graphicFrame macro="">
      <xdr:nvGraphicFramePr>
        <xdr:cNvPr id="56" name="Chart 55">
          <a:extLst>
            <a:ext uri="{FF2B5EF4-FFF2-40B4-BE49-F238E27FC236}">
              <a16:creationId xmlns:a16="http://schemas.microsoft.com/office/drawing/2014/main" id="{5A872446-5FDE-4A3A-AFE1-755E6CF28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4" name="Month 2">
              <a:extLst>
                <a:ext uri="{FF2B5EF4-FFF2-40B4-BE49-F238E27FC236}">
                  <a16:creationId xmlns:a16="http://schemas.microsoft.com/office/drawing/2014/main" id="{90FBE645-232D-4F18-8FC6-518BCA1AA0E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524307</xdr:colOff>
      <xdr:row>14</xdr:row>
      <xdr:rowOff>167640</xdr:rowOff>
    </xdr:from>
    <xdr:to>
      <xdr:col>9</xdr:col>
      <xdr:colOff>432867</xdr:colOff>
      <xdr:row>17</xdr:row>
      <xdr:rowOff>48768</xdr:rowOff>
    </xdr:to>
    <mc:AlternateContent xmlns:mc="http://schemas.openxmlformats.org/markup-compatibility/2006" xmlns:a14="http://schemas.microsoft.com/office/drawing/2010/main">
      <mc:Choice Requires="a14">
        <xdr:graphicFrame macro="">
          <xdr:nvGraphicFramePr>
            <xdr:cNvPr id="58" name="Tariffs">
              <a:extLst>
                <a:ext uri="{FF2B5EF4-FFF2-40B4-BE49-F238E27FC236}">
                  <a16:creationId xmlns:a16="http://schemas.microsoft.com/office/drawing/2014/main" id="{2E7B63A6-ECED-491A-A1FD-4DB35C091EE7}"/>
                </a:ext>
              </a:extLst>
            </xdr:cNvPr>
            <xdr:cNvGraphicFramePr/>
          </xdr:nvGraphicFramePr>
          <xdr:xfrm>
            <a:off x="0" y="0"/>
            <a:ext cx="0" cy="0"/>
          </xdr:xfrm>
          <a:graphic>
            <a:graphicData uri="http://schemas.microsoft.com/office/drawing/2010/slicer">
              <sle:slicer xmlns:sle="http://schemas.microsoft.com/office/drawing/2010/slicer" name="Tariffs"/>
            </a:graphicData>
          </a:graphic>
        </xdr:graphicFrame>
      </mc:Choice>
      <mc:Fallback xmlns="">
        <xdr:sp macro="" textlink="">
          <xdr:nvSpPr>
            <xdr:cNvPr id="0" name=""/>
            <xdr:cNvSpPr>
              <a:spLocks noTextEdit="1"/>
            </xdr:cNvSpPr>
          </xdr:nvSpPr>
          <xdr:spPr>
            <a:xfrm>
              <a:off x="4181907" y="2727960"/>
              <a:ext cx="17373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518160</xdr:colOff>
      <xdr:row>17</xdr:row>
      <xdr:rowOff>66885</xdr:rowOff>
    </xdr:from>
    <xdr:to>
      <xdr:col>8</xdr:col>
      <xdr:colOff>396240</xdr:colOff>
      <xdr:row>19</xdr:row>
      <xdr:rowOff>55036</xdr:rowOff>
    </xdr:to>
    <xdr:sp macro="" textlink="Processing!I21">
      <xdr:nvSpPr>
        <xdr:cNvPr id="38" name="TextBox 37">
          <a:extLst>
            <a:ext uri="{FF2B5EF4-FFF2-40B4-BE49-F238E27FC236}">
              <a16:creationId xmlns:a16="http://schemas.microsoft.com/office/drawing/2014/main" id="{7E235024-443B-41BD-D198-AB70C6143F97}"/>
            </a:ext>
          </a:extLst>
        </xdr:cNvPr>
        <xdr:cNvSpPr txBox="1"/>
      </xdr:nvSpPr>
      <xdr:spPr>
        <a:xfrm>
          <a:off x="4175760" y="3175845"/>
          <a:ext cx="109728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559D859-A7E8-4CC9-B8A3-641910C0A478}"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r"/>
            <a:t>Total Target</a:t>
          </a:fld>
          <a:endParaRPr lang="ru-RU" sz="18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304800</xdr:colOff>
      <xdr:row>17</xdr:row>
      <xdr:rowOff>66885</xdr:rowOff>
    </xdr:from>
    <xdr:to>
      <xdr:col>10</xdr:col>
      <xdr:colOff>274320</xdr:colOff>
      <xdr:row>19</xdr:row>
      <xdr:rowOff>55036</xdr:rowOff>
    </xdr:to>
    <xdr:sp macro="" textlink="Processing!I22">
      <xdr:nvSpPr>
        <xdr:cNvPr id="42" name="TextBox 41">
          <a:extLst>
            <a:ext uri="{FF2B5EF4-FFF2-40B4-BE49-F238E27FC236}">
              <a16:creationId xmlns:a16="http://schemas.microsoft.com/office/drawing/2014/main" id="{6DAC3081-747F-23DE-1E49-39618A83BEC6}"/>
            </a:ext>
          </a:extLst>
        </xdr:cNvPr>
        <xdr:cNvSpPr txBox="1"/>
      </xdr:nvSpPr>
      <xdr:spPr>
        <a:xfrm>
          <a:off x="518160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CDBB924-35A7-4D20-B61E-452D819545A5}"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l"/>
            <a:t>1800</a:t>
          </a:fld>
          <a:endParaRPr lang="ru-RU" sz="18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243840</xdr:colOff>
      <xdr:row>4</xdr:row>
      <xdr:rowOff>152400</xdr:rowOff>
    </xdr:from>
    <xdr:to>
      <xdr:col>12</xdr:col>
      <xdr:colOff>335280</xdr:colOff>
      <xdr:row>12</xdr:row>
      <xdr:rowOff>7620</xdr:rowOff>
    </xdr:to>
    <xdr:sp macro="" textlink="">
      <xdr:nvSpPr>
        <xdr:cNvPr id="57" name="Rectangle: Rounded Corners 56">
          <a:hlinkClick xmlns:r="http://schemas.openxmlformats.org/officeDocument/2006/relationships" r:id="rId7"/>
          <a:extLst>
            <a:ext uri="{FF2B5EF4-FFF2-40B4-BE49-F238E27FC236}">
              <a16:creationId xmlns:a16="http://schemas.microsoft.com/office/drawing/2014/main" id="{CAF97CC2-EC80-4885-A3CF-04873E4485D4}"/>
            </a:ext>
          </a:extLst>
        </xdr:cNvPr>
        <xdr:cNvSpPr/>
      </xdr:nvSpPr>
      <xdr:spPr>
        <a:xfrm>
          <a:off x="5120640" y="883920"/>
          <a:ext cx="252984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106680</xdr:colOff>
      <xdr:row>4</xdr:row>
      <xdr:rowOff>15240</xdr:rowOff>
    </xdr:from>
    <xdr:to>
      <xdr:col>19</xdr:col>
      <xdr:colOff>601980</xdr:colOff>
      <xdr:row>17</xdr:row>
      <xdr:rowOff>99060</xdr:rowOff>
    </xdr:to>
    <xdr:sp macro="" textlink="">
      <xdr:nvSpPr>
        <xdr:cNvPr id="59" name="Rectangle: Rounded Corners 58">
          <a:hlinkClick xmlns:r="http://schemas.openxmlformats.org/officeDocument/2006/relationships" r:id="rId8"/>
          <a:extLst>
            <a:ext uri="{FF2B5EF4-FFF2-40B4-BE49-F238E27FC236}">
              <a16:creationId xmlns:a16="http://schemas.microsoft.com/office/drawing/2014/main" id="{5FA1B209-CE3E-4568-A5B2-3891BCAB72F3}"/>
            </a:ext>
          </a:extLst>
        </xdr:cNvPr>
        <xdr:cNvSpPr/>
      </xdr:nvSpPr>
      <xdr:spPr>
        <a:xfrm>
          <a:off x="8031480" y="74676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91440</xdr:colOff>
      <xdr:row>18</xdr:row>
      <xdr:rowOff>114300</xdr:rowOff>
    </xdr:from>
    <xdr:to>
      <xdr:col>16</xdr:col>
      <xdr:colOff>114300</xdr:colOff>
      <xdr:row>32</xdr:row>
      <xdr:rowOff>114300</xdr:rowOff>
    </xdr:to>
    <xdr:sp macro="" textlink="">
      <xdr:nvSpPr>
        <xdr:cNvPr id="60" name="Rectangle: Rounded Corners 59">
          <a:hlinkClick xmlns:r="http://schemas.openxmlformats.org/officeDocument/2006/relationships" r:id="rId9"/>
          <a:extLst>
            <a:ext uri="{FF2B5EF4-FFF2-40B4-BE49-F238E27FC236}">
              <a16:creationId xmlns:a16="http://schemas.microsoft.com/office/drawing/2014/main" id="{FC63B081-8EE2-4CAC-BBAC-3462C64354A3}"/>
            </a:ext>
          </a:extLst>
        </xdr:cNvPr>
        <xdr:cNvSpPr/>
      </xdr:nvSpPr>
      <xdr:spPr>
        <a:xfrm>
          <a:off x="8016240" y="340614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327660</xdr:colOff>
      <xdr:row>18</xdr:row>
      <xdr:rowOff>114300</xdr:rowOff>
    </xdr:from>
    <xdr:to>
      <xdr:col>20</xdr:col>
      <xdr:colOff>7620</xdr:colOff>
      <xdr:row>35</xdr:row>
      <xdr:rowOff>144780</xdr:rowOff>
    </xdr:to>
    <xdr:sp macro="" textlink="">
      <xdr:nvSpPr>
        <xdr:cNvPr id="61" name="Rectangle: Rounded Corners 60">
          <a:hlinkClick xmlns:r="http://schemas.openxmlformats.org/officeDocument/2006/relationships" r:id="rId10"/>
          <a:extLst>
            <a:ext uri="{FF2B5EF4-FFF2-40B4-BE49-F238E27FC236}">
              <a16:creationId xmlns:a16="http://schemas.microsoft.com/office/drawing/2014/main" id="{802D36ED-2228-4F3B-88F5-04FE4DD88B94}"/>
            </a:ext>
          </a:extLst>
        </xdr:cNvPr>
        <xdr:cNvSpPr/>
      </xdr:nvSpPr>
      <xdr:spPr>
        <a:xfrm>
          <a:off x="10081260" y="340614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68580</xdr:colOff>
      <xdr:row>4</xdr:row>
      <xdr:rowOff>152400</xdr:rowOff>
    </xdr:from>
    <xdr:to>
      <xdr:col>7</xdr:col>
      <xdr:colOff>396240</xdr:colOff>
      <xdr:row>12</xdr:row>
      <xdr:rowOff>7620</xdr:rowOff>
    </xdr:to>
    <xdr:sp macro="" textlink="">
      <xdr:nvSpPr>
        <xdr:cNvPr id="62" name="Rectangle: Rounded Corners 61">
          <a:hlinkClick xmlns:r="http://schemas.openxmlformats.org/officeDocument/2006/relationships" r:id="rId11"/>
          <a:extLst>
            <a:ext uri="{FF2B5EF4-FFF2-40B4-BE49-F238E27FC236}">
              <a16:creationId xmlns:a16="http://schemas.microsoft.com/office/drawing/2014/main" id="{1963063E-F151-4E30-ABDF-28C24168E4B7}"/>
            </a:ext>
          </a:extLst>
        </xdr:cNvPr>
        <xdr:cNvSpPr/>
      </xdr:nvSpPr>
      <xdr:spPr>
        <a:xfrm>
          <a:off x="2506980" y="88392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55" name="Group 54">
          <a:hlinkClick xmlns:r="http://schemas.openxmlformats.org/officeDocument/2006/relationships" r:id="rId12"/>
          <a:extLst>
            <a:ext uri="{FF2B5EF4-FFF2-40B4-BE49-F238E27FC236}">
              <a16:creationId xmlns:a16="http://schemas.microsoft.com/office/drawing/2014/main" id="{7E66DE95-1849-B5DA-8636-828184C4CD9E}"/>
            </a:ext>
          </a:extLst>
        </xdr:cNvPr>
        <xdr:cNvGrpSpPr/>
      </xdr:nvGrpSpPr>
      <xdr:grpSpPr>
        <a:xfrm>
          <a:off x="158639" y="833505"/>
          <a:ext cx="274320" cy="262048"/>
          <a:chOff x="2657199" y="8924774"/>
          <a:chExt cx="796566" cy="720791"/>
        </a:xfrm>
      </xdr:grpSpPr>
      <xdr:sp macro="" textlink="">
        <xdr:nvSpPr>
          <xdr:cNvPr id="7171" name="Freeform: Shape 7170">
            <a:extLst>
              <a:ext uri="{FF2B5EF4-FFF2-40B4-BE49-F238E27FC236}">
                <a16:creationId xmlns:a16="http://schemas.microsoft.com/office/drawing/2014/main" id="{C111C581-0A8F-6450-B2BE-697BD59A2929}"/>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7172" name="Freeform: Shape 7171">
            <a:extLst>
              <a:ext uri="{FF2B5EF4-FFF2-40B4-BE49-F238E27FC236}">
                <a16:creationId xmlns:a16="http://schemas.microsoft.com/office/drawing/2014/main" id="{FCA3E03D-CEEA-62BD-E207-AC328CB9512E}"/>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7173" name="Freeform: Shape 7172">
            <a:extLst>
              <a:ext uri="{FF2B5EF4-FFF2-40B4-BE49-F238E27FC236}">
                <a16:creationId xmlns:a16="http://schemas.microsoft.com/office/drawing/2014/main" id="{36AD46BD-139C-48ED-F48D-EC3D9C8CA31D}"/>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7174" name="Freeform: Shape 7173">
            <a:extLst>
              <a:ext uri="{FF2B5EF4-FFF2-40B4-BE49-F238E27FC236}">
                <a16:creationId xmlns:a16="http://schemas.microsoft.com/office/drawing/2014/main" id="{1FD0005B-ABB6-2619-6BE8-CB1002041792}"/>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7175" name="Freeform: Shape 7174">
            <a:extLst>
              <a:ext uri="{FF2B5EF4-FFF2-40B4-BE49-F238E27FC236}">
                <a16:creationId xmlns:a16="http://schemas.microsoft.com/office/drawing/2014/main" id="{8037E262-FA40-AC19-8EEB-EACB7F89CDAC}"/>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7176" name="Freeform: Shape 7175">
            <a:extLst>
              <a:ext uri="{FF2B5EF4-FFF2-40B4-BE49-F238E27FC236}">
                <a16:creationId xmlns:a16="http://schemas.microsoft.com/office/drawing/2014/main" id="{C3981B59-6E91-76F0-FDD7-FC14E99CA712}"/>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7177" name="Freeform: Shape 7176">
            <a:extLst>
              <a:ext uri="{FF2B5EF4-FFF2-40B4-BE49-F238E27FC236}">
                <a16:creationId xmlns:a16="http://schemas.microsoft.com/office/drawing/2014/main" id="{AA0EA026-A01B-074A-E6AC-A5A949C360E7}"/>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7178" name="Freeform: Shape 7177">
            <a:extLst>
              <a:ext uri="{FF2B5EF4-FFF2-40B4-BE49-F238E27FC236}">
                <a16:creationId xmlns:a16="http://schemas.microsoft.com/office/drawing/2014/main" id="{D5EA2E7D-96C8-760C-501C-50B82163B4E0}"/>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63" name="Graphic 62" descr="Moon and stars with solid fill">
          <a:extLst>
            <a:ext uri="{FF2B5EF4-FFF2-40B4-BE49-F238E27FC236}">
              <a16:creationId xmlns:a16="http://schemas.microsoft.com/office/drawing/2014/main" id="{B8E4B06B-6628-0874-7DDA-D5327909C85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7168" name="Graphic 7167" descr="Sun with solid fill">
          <a:hlinkClick xmlns:r="http://schemas.openxmlformats.org/officeDocument/2006/relationships" r:id="rId15"/>
          <a:extLst>
            <a:ext uri="{FF2B5EF4-FFF2-40B4-BE49-F238E27FC236}">
              <a16:creationId xmlns:a16="http://schemas.microsoft.com/office/drawing/2014/main" id="{249A43FE-62EA-9DC9-15B8-5054C1A6120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61" name="Group 60">
          <a:extLst>
            <a:ext uri="{FF2B5EF4-FFF2-40B4-BE49-F238E27FC236}">
              <a16:creationId xmlns:a16="http://schemas.microsoft.com/office/drawing/2014/main" id="{1D5AB43B-8FAB-49ED-ABFF-6AFDC62762D8}"/>
            </a:ext>
          </a:extLst>
        </xdr:cNvPr>
        <xdr:cNvGrpSpPr/>
      </xdr:nvGrpSpPr>
      <xdr:grpSpPr>
        <a:xfrm>
          <a:off x="0" y="0"/>
          <a:ext cx="14732000" cy="8572500"/>
          <a:chOff x="1538344" y="742278"/>
          <a:chExt cx="8961120" cy="5432611"/>
        </a:xfrm>
      </xdr:grpSpPr>
      <xdr:sp macro="" textlink="">
        <xdr:nvSpPr>
          <xdr:cNvPr id="62" name="Rectangle 61">
            <a:extLst>
              <a:ext uri="{FF2B5EF4-FFF2-40B4-BE49-F238E27FC236}">
                <a16:creationId xmlns:a16="http://schemas.microsoft.com/office/drawing/2014/main" id="{063E3748-6920-ED0A-D952-0F0B7A40D7D3}"/>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3" name="Rectangle 62">
            <a:extLst>
              <a:ext uri="{FF2B5EF4-FFF2-40B4-BE49-F238E27FC236}">
                <a16:creationId xmlns:a16="http://schemas.microsoft.com/office/drawing/2014/main" id="{7A3A9C79-3CE4-BC83-D937-795C4BBDB634}"/>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7" name="Rectangle: Rounded Corners 6">
          <a:extLst>
            <a:ext uri="{FF2B5EF4-FFF2-40B4-BE49-F238E27FC236}">
              <a16:creationId xmlns:a16="http://schemas.microsoft.com/office/drawing/2014/main" id="{91AE5AC8-F500-174C-540C-B8CB170D4B1E}"/>
            </a:ext>
          </a:extLst>
        </xdr:cNvPr>
        <xdr:cNvSpPr/>
      </xdr:nvSpPr>
      <xdr:spPr>
        <a:xfrm>
          <a:off x="1920240" y="381000"/>
          <a:ext cx="10698480" cy="6492240"/>
        </a:xfrm>
        <a:prstGeom prst="roundRect">
          <a:avLst>
            <a:gd name="adj" fmla="val 5678"/>
          </a:avLst>
        </a:prstGeom>
        <a:gradFill flip="none" rotWithShape="1">
          <a:gsLst>
            <a:gs pos="0">
              <a:srgbClr val="E5D9FE"/>
            </a:gs>
            <a:gs pos="100000">
              <a:srgbClr val="DBE0FF"/>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3CECAEE3-360E-48C0-912F-E960BF86136F}"/>
            </a:ext>
          </a:extLst>
        </xdr:cNvPr>
        <xdr:cNvSpPr/>
      </xdr:nvSpPr>
      <xdr:spPr>
        <a:xfrm>
          <a:off x="2317262" y="716188"/>
          <a:ext cx="2441986" cy="1645920"/>
        </a:xfrm>
        <a:prstGeom prst="roundRect">
          <a:avLst>
            <a:gd name="adj" fmla="val 9318"/>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FF7330BC-63C8-4987-9556-3EFF90B1DA1A}"/>
            </a:ext>
          </a:extLst>
        </xdr:cNvPr>
        <xdr:cNvSpPr/>
      </xdr:nvSpPr>
      <xdr:spPr>
        <a:xfrm>
          <a:off x="5010720" y="741737"/>
          <a:ext cx="2829582" cy="1714500"/>
        </a:xfrm>
        <a:prstGeom prst="roundRect">
          <a:avLst>
            <a:gd name="adj" fmla="val 8437"/>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12" name="Rectangle: Rounded Corners 11">
          <a:extLst>
            <a:ext uri="{FF2B5EF4-FFF2-40B4-BE49-F238E27FC236}">
              <a16:creationId xmlns:a16="http://schemas.microsoft.com/office/drawing/2014/main" id="{62629408-F790-7910-CD25-805AF5C52EEC}"/>
            </a:ext>
          </a:extLst>
        </xdr:cNvPr>
        <xdr:cNvSpPr/>
      </xdr:nvSpPr>
      <xdr:spPr>
        <a:xfrm>
          <a:off x="5228324" y="977957"/>
          <a:ext cx="2394373" cy="123444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r>
            <a:rPr lang="en-US" sz="3600" kern="1200">
              <a:solidFill>
                <a:schemeClr val="tx1"/>
              </a:solidFill>
              <a:latin typeface="+mn-lt"/>
              <a:ea typeface="+mn-ea"/>
              <a:cs typeface="+mn-cs"/>
            </a:rPr>
            <a:t> </a:t>
          </a: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13" name="Rectangle: Rounded Corners 12">
          <a:extLst>
            <a:ext uri="{FF2B5EF4-FFF2-40B4-BE49-F238E27FC236}">
              <a16:creationId xmlns:a16="http://schemas.microsoft.com/office/drawing/2014/main" id="{DF37BCFF-E116-4DA2-BE8D-31DC116633E9}"/>
            </a:ext>
          </a:extLst>
        </xdr:cNvPr>
        <xdr:cNvSpPr/>
      </xdr:nvSpPr>
      <xdr:spPr>
        <a:xfrm>
          <a:off x="8042692" y="716188"/>
          <a:ext cx="4160520" cy="2479040"/>
        </a:xfrm>
        <a:prstGeom prst="roundRect">
          <a:avLst>
            <a:gd name="adj" fmla="val 8437"/>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US" sz="1100">
            <a:solidFill>
              <a:schemeClr val="tx2">
                <a:lumMod val="10000"/>
                <a:lumOff val="90000"/>
              </a:schemeClr>
            </a:solidFill>
            <a:latin typeface="+mn-lt"/>
            <a:ea typeface="+mn-ea"/>
            <a:cs typeface="+mn-cs"/>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4" name="Rectangle: Rounded Corners 13">
          <a:extLst>
            <a:ext uri="{FF2B5EF4-FFF2-40B4-BE49-F238E27FC236}">
              <a16:creationId xmlns:a16="http://schemas.microsoft.com/office/drawing/2014/main" id="{157EE367-7A02-41C5-B4F2-578FAA2CA41E}"/>
            </a:ext>
          </a:extLst>
        </xdr:cNvPr>
        <xdr:cNvSpPr/>
      </xdr:nvSpPr>
      <xdr:spPr>
        <a:xfrm>
          <a:off x="10100092" y="3422015"/>
          <a:ext cx="2103120" cy="3108960"/>
        </a:xfrm>
        <a:prstGeom prst="roundRect">
          <a:avLst>
            <a:gd name="adj" fmla="val 8437"/>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5" name="Rectangle: Rounded Corners 14">
          <a:extLst>
            <a:ext uri="{FF2B5EF4-FFF2-40B4-BE49-F238E27FC236}">
              <a16:creationId xmlns:a16="http://schemas.microsoft.com/office/drawing/2014/main" id="{071D7A5D-899B-4CBF-AFB3-418D4464BBEF}"/>
            </a:ext>
          </a:extLst>
        </xdr:cNvPr>
        <xdr:cNvSpPr/>
      </xdr:nvSpPr>
      <xdr:spPr>
        <a:xfrm>
          <a:off x="8042692" y="3422015"/>
          <a:ext cx="1828800" cy="3108960"/>
        </a:xfrm>
        <a:prstGeom prst="roundRect">
          <a:avLst>
            <a:gd name="adj" fmla="val 8437"/>
          </a:avLst>
        </a:prstGeom>
        <a:gradFill flip="none" rotWithShape="1">
          <a:gsLst>
            <a:gs pos="100000">
              <a:srgbClr val="E5D9FE"/>
            </a:gs>
            <a:gs pos="0">
              <a:srgbClr val="DBE0FF"/>
            </a:gs>
          </a:gsLst>
          <a:lin ang="8100000" scaled="1"/>
          <a:tileRect/>
        </a:gradFill>
        <a:ln w="9525">
          <a:solidFill>
            <a:srgbClr val="8278FC"/>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6" name="Rectangle: Rounded Corners 15">
          <a:extLst>
            <a:ext uri="{FF2B5EF4-FFF2-40B4-BE49-F238E27FC236}">
              <a16:creationId xmlns:a16="http://schemas.microsoft.com/office/drawing/2014/main" id="{CB2BCD43-D89C-4E3E-94F2-B2B95D6DDC02}"/>
            </a:ext>
          </a:extLst>
        </xdr:cNvPr>
        <xdr:cNvSpPr/>
      </xdr:nvSpPr>
      <xdr:spPr>
        <a:xfrm>
          <a:off x="2311672" y="2606040"/>
          <a:ext cx="5477830" cy="3924935"/>
        </a:xfrm>
        <a:prstGeom prst="roundRect">
          <a:avLst>
            <a:gd name="adj" fmla="val 3638"/>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19" name="Rectangle: Rounded Corners 18">
          <a:extLst>
            <a:ext uri="{FF2B5EF4-FFF2-40B4-BE49-F238E27FC236}">
              <a16:creationId xmlns:a16="http://schemas.microsoft.com/office/drawing/2014/main" id="{A9516FD0-8423-322E-B472-8AD774484073}"/>
            </a:ext>
          </a:extLst>
        </xdr:cNvPr>
        <xdr:cNvSpPr/>
      </xdr:nvSpPr>
      <xdr:spPr>
        <a:xfrm>
          <a:off x="2545080" y="929640"/>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D5B22AD-2689-4A19-8294-60DCF73D852F}" type="TxLink">
            <a:rPr lang="en-US" sz="4000" kern="1200">
              <a:solidFill>
                <a:schemeClr val="tx1"/>
              </a:solidFill>
              <a:latin typeface="+mn-lt"/>
              <a:ea typeface="+mn-ea"/>
              <a:cs typeface="+mn-cs"/>
            </a:rPr>
            <a:pPr marL="0" indent="0" algn="l" defTabSz="914400" rtl="0" eaLnBrk="1" latinLnBrk="0" hangingPunct="1"/>
            <a:t> 21 089</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20" name="Circle: Hollow 19">
          <a:extLst>
            <a:ext uri="{FF2B5EF4-FFF2-40B4-BE49-F238E27FC236}">
              <a16:creationId xmlns:a16="http://schemas.microsoft.com/office/drawing/2014/main" id="{5416FF08-CAA3-4280-A893-5F74BB7E001F}"/>
            </a:ext>
          </a:extLst>
        </xdr:cNvPr>
        <xdr:cNvSpPr/>
      </xdr:nvSpPr>
      <xdr:spPr>
        <a:xfrm>
          <a:off x="10043159" y="987743"/>
          <a:ext cx="1828800" cy="1828800"/>
        </a:xfrm>
        <a:prstGeom prst="donut">
          <a:avLst>
            <a:gd name="adj" fmla="val 20022"/>
          </a:avLst>
        </a:prstGeom>
        <a:solidFill>
          <a:srgbClr val="C7C5FF"/>
        </a:solidFill>
        <a:ln>
          <a:noFill/>
        </a:ln>
        <a:effectLst>
          <a:innerShdw blurRad="254000">
            <a:prstClr val="black">
              <a:alpha val="3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tx1"/>
            </a:solidFill>
            <a:latin typeface="+mn-lt"/>
            <a:ea typeface="+mn-ea"/>
            <a:cs typeface="+mn-cs"/>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1" name="Chart 20">
          <a:extLst>
            <a:ext uri="{FF2B5EF4-FFF2-40B4-BE49-F238E27FC236}">
              <a16:creationId xmlns:a16="http://schemas.microsoft.com/office/drawing/2014/main" id="{768A8CFA-BABE-4DF2-A239-18B74AE0B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2" name="TextBox 21">
          <a:extLst>
            <a:ext uri="{FF2B5EF4-FFF2-40B4-BE49-F238E27FC236}">
              <a16:creationId xmlns:a16="http://schemas.microsoft.com/office/drawing/2014/main" id="{7C2C2D71-39AB-4E0D-BAB1-B753075A7D9A}"/>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3" name="TextBox 22">
          <a:extLst>
            <a:ext uri="{FF2B5EF4-FFF2-40B4-BE49-F238E27FC236}">
              <a16:creationId xmlns:a16="http://schemas.microsoft.com/office/drawing/2014/main" id="{EC4659B2-07CB-4195-BF13-43D8F0CAC12F}"/>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4" name="TextBox 23">
          <a:extLst>
            <a:ext uri="{FF2B5EF4-FFF2-40B4-BE49-F238E27FC236}">
              <a16:creationId xmlns:a16="http://schemas.microsoft.com/office/drawing/2014/main" id="{73CC434C-0037-48C3-9863-090E6B3CD5EC}"/>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5" name="Oval 24">
          <a:extLst>
            <a:ext uri="{FF2B5EF4-FFF2-40B4-BE49-F238E27FC236}">
              <a16:creationId xmlns:a16="http://schemas.microsoft.com/office/drawing/2014/main" id="{6E570C10-3AC7-413B-AF6C-8620054178A5}"/>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6" name="Oval 25">
          <a:extLst>
            <a:ext uri="{FF2B5EF4-FFF2-40B4-BE49-F238E27FC236}">
              <a16:creationId xmlns:a16="http://schemas.microsoft.com/office/drawing/2014/main" id="{3786B0AC-1C28-43E2-A5EF-F8F92FA9D387}"/>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7" name="Oval 26">
          <a:extLst>
            <a:ext uri="{FF2B5EF4-FFF2-40B4-BE49-F238E27FC236}">
              <a16:creationId xmlns:a16="http://schemas.microsoft.com/office/drawing/2014/main" id="{AD094368-967C-45E9-8C13-B94F1631E4CF}"/>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8" name="Oval 27">
          <a:extLst>
            <a:ext uri="{FF2B5EF4-FFF2-40B4-BE49-F238E27FC236}">
              <a16:creationId xmlns:a16="http://schemas.microsoft.com/office/drawing/2014/main" id="{1B3F0C9D-9E31-465E-938E-61F15643C2FF}"/>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9" name="TextBox 28">
          <a:extLst>
            <a:ext uri="{FF2B5EF4-FFF2-40B4-BE49-F238E27FC236}">
              <a16:creationId xmlns:a16="http://schemas.microsoft.com/office/drawing/2014/main" id="{205B31E0-AF99-42A2-872E-06E661D5A8C5}"/>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0" name="Group 29">
          <a:extLst>
            <a:ext uri="{FF2B5EF4-FFF2-40B4-BE49-F238E27FC236}">
              <a16:creationId xmlns:a16="http://schemas.microsoft.com/office/drawing/2014/main" id="{4AF3FADA-240D-490D-8C48-17A5EAD3666E}"/>
            </a:ext>
          </a:extLst>
        </xdr:cNvPr>
        <xdr:cNvGrpSpPr/>
      </xdr:nvGrpSpPr>
      <xdr:grpSpPr>
        <a:xfrm>
          <a:off x="10446503" y="4353436"/>
          <a:ext cx="1566665" cy="1629008"/>
          <a:chOff x="10374536" y="4039901"/>
          <a:chExt cx="1558199" cy="1554481"/>
        </a:xfrm>
      </xdr:grpSpPr>
      <xdr:cxnSp macro="">
        <xdr:nvCxnSpPr>
          <xdr:cNvPr id="31" name="Straight Connector 30">
            <a:extLst>
              <a:ext uri="{FF2B5EF4-FFF2-40B4-BE49-F238E27FC236}">
                <a16:creationId xmlns:a16="http://schemas.microsoft.com/office/drawing/2014/main" id="{C357EC95-3EE3-297B-A557-94633C0976A9}"/>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5726759F-7535-F7EB-E4AD-976C53E49E1C}"/>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7C9F9DD7-2C42-7A91-01DA-574CB72141D3}"/>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D2553DB4-AFB9-B3BE-3D05-5EC3287F613A}"/>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5" name="Chart 34">
          <a:extLst>
            <a:ext uri="{FF2B5EF4-FFF2-40B4-BE49-F238E27FC236}">
              <a16:creationId xmlns:a16="http://schemas.microsoft.com/office/drawing/2014/main" id="{7ADDD1A2-A7C8-489B-A408-6334E0205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6" name="TextBox 35">
          <a:extLst>
            <a:ext uri="{FF2B5EF4-FFF2-40B4-BE49-F238E27FC236}">
              <a16:creationId xmlns:a16="http://schemas.microsoft.com/office/drawing/2014/main" id="{E338A559-A76C-4479-A3AD-D9D73DEC2D4E}"/>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7" name="Chart 36">
          <a:extLst>
            <a:ext uri="{FF2B5EF4-FFF2-40B4-BE49-F238E27FC236}">
              <a16:creationId xmlns:a16="http://schemas.microsoft.com/office/drawing/2014/main" id="{C42E21FC-D781-471C-AF4A-D555B827E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8" name="TextBox 37">
          <a:extLst>
            <a:ext uri="{FF2B5EF4-FFF2-40B4-BE49-F238E27FC236}">
              <a16:creationId xmlns:a16="http://schemas.microsoft.com/office/drawing/2014/main" id="{AA9F3E08-1276-42B1-A248-10F1C92FBB40}"/>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39" name="Chart 38">
          <a:extLst>
            <a:ext uri="{FF2B5EF4-FFF2-40B4-BE49-F238E27FC236}">
              <a16:creationId xmlns:a16="http://schemas.microsoft.com/office/drawing/2014/main" id="{8DC748EC-7BF5-4FEF-B214-9EE5311D5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16385" name="Check Box 1" hidden="1">
              <a:extLst>
                <a:ext uri="{63B3BB69-23CF-44E3-9099-C40C66FF867C}">
                  <a14:compatExt spid="_x0000_s16385"/>
                </a:ext>
                <a:ext uri="{FF2B5EF4-FFF2-40B4-BE49-F238E27FC236}">
                  <a16:creationId xmlns:a16="http://schemas.microsoft.com/office/drawing/2014/main" id="{00000000-0008-0000-0700-00000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40" name="Rectangle 39">
          <a:extLst>
            <a:ext uri="{FF2B5EF4-FFF2-40B4-BE49-F238E27FC236}">
              <a16:creationId xmlns:a16="http://schemas.microsoft.com/office/drawing/2014/main" id="{89FF1367-32E4-4CA6-A864-8D5D975286EA}"/>
            </a:ext>
          </a:extLst>
        </xdr:cNvPr>
        <xdr:cNvSpPr/>
      </xdr:nvSpPr>
      <xdr:spPr>
        <a:xfrm>
          <a:off x="6858000" y="2849880"/>
          <a:ext cx="198120" cy="175260"/>
        </a:xfrm>
        <a:prstGeom prst="rect">
          <a:avLst/>
        </a:prstGeom>
        <a:solidFill>
          <a:srgbClr val="E2D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1" name="Year 7">
              <a:extLst>
                <a:ext uri="{FF2B5EF4-FFF2-40B4-BE49-F238E27FC236}">
                  <a16:creationId xmlns:a16="http://schemas.microsoft.com/office/drawing/2014/main" id="{97EDA77F-5083-463C-8892-9FED7C4B582F}"/>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2" name="TextBox 41">
          <a:extLst>
            <a:ext uri="{FF2B5EF4-FFF2-40B4-BE49-F238E27FC236}">
              <a16:creationId xmlns:a16="http://schemas.microsoft.com/office/drawing/2014/main" id="{1544F6B2-3D0F-4C9C-8621-07043924E649}"/>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3" name="TextBox 42">
          <a:extLst>
            <a:ext uri="{FF2B5EF4-FFF2-40B4-BE49-F238E27FC236}">
              <a16:creationId xmlns:a16="http://schemas.microsoft.com/office/drawing/2014/main" id="{793935E9-361E-4584-9D72-51EA0BBCC645}"/>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4" name="Chart 43">
          <a:extLst>
            <a:ext uri="{FF2B5EF4-FFF2-40B4-BE49-F238E27FC236}">
              <a16:creationId xmlns:a16="http://schemas.microsoft.com/office/drawing/2014/main" id="{D0192522-1BC4-486F-8643-D4B116354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5" name="TextBox 44">
          <a:extLst>
            <a:ext uri="{FF2B5EF4-FFF2-40B4-BE49-F238E27FC236}">
              <a16:creationId xmlns:a16="http://schemas.microsoft.com/office/drawing/2014/main" id="{67A0CAA8-F53E-42D6-A9C7-548D4F779471}"/>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6" name="TextBox 45">
          <a:extLst>
            <a:ext uri="{FF2B5EF4-FFF2-40B4-BE49-F238E27FC236}">
              <a16:creationId xmlns:a16="http://schemas.microsoft.com/office/drawing/2014/main" id="{A159285E-C96B-4221-A79A-85E95910BCAD}"/>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22860</xdr:colOff>
      <xdr:row>17</xdr:row>
      <xdr:rowOff>66885</xdr:rowOff>
    </xdr:from>
    <xdr:to>
      <xdr:col>5</xdr:col>
      <xdr:colOff>297180</xdr:colOff>
      <xdr:row>19</xdr:row>
      <xdr:rowOff>55036</xdr:rowOff>
    </xdr:to>
    <xdr:sp macro="" textlink="Processing!D17">
      <xdr:nvSpPr>
        <xdr:cNvPr id="47" name="TextBox 46">
          <a:extLst>
            <a:ext uri="{FF2B5EF4-FFF2-40B4-BE49-F238E27FC236}">
              <a16:creationId xmlns:a16="http://schemas.microsoft.com/office/drawing/2014/main" id="{515CA8DB-D384-43C1-81B7-B6B8DCDD8914}"/>
            </a:ext>
          </a:extLst>
        </xdr:cNvPr>
        <xdr:cNvSpPr txBox="1"/>
      </xdr:nvSpPr>
      <xdr:spPr>
        <a:xfrm>
          <a:off x="246126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2F124EC-07B6-4B55-AC57-AE96889DA463}" type="TxLink">
            <a:rPr lang="en-US" sz="1400" b="0" i="0" u="none" strike="noStrike">
              <a:solidFill>
                <a:srgbClr val="6185D0"/>
              </a:solidFill>
              <a:latin typeface="Aptos Narrow"/>
              <a:ea typeface="Verdana" panose="020B0604030504040204" pitchFamily="34" charset="0"/>
              <a:cs typeface="Calibri" panose="020F0502020204030204" pitchFamily="34" charset="0"/>
            </a:rPr>
            <a:pPr marL="0" indent="0" algn="l"/>
            <a:t>Premium</a:t>
          </a:fld>
          <a:endParaRPr lang="ru-RU" sz="1400" b="0" i="0" u="none" strike="noStrike">
            <a:solidFill>
              <a:srgbClr val="6185D0"/>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160020</xdr:colOff>
      <xdr:row>17</xdr:row>
      <xdr:rowOff>66885</xdr:rowOff>
    </xdr:from>
    <xdr:to>
      <xdr:col>7</xdr:col>
      <xdr:colOff>129540</xdr:colOff>
      <xdr:row>19</xdr:row>
      <xdr:rowOff>55036</xdr:rowOff>
    </xdr:to>
    <xdr:sp macro="" textlink="Processing!G30">
      <xdr:nvSpPr>
        <xdr:cNvPr id="48" name="TextBox 47">
          <a:extLst>
            <a:ext uri="{FF2B5EF4-FFF2-40B4-BE49-F238E27FC236}">
              <a16:creationId xmlns:a16="http://schemas.microsoft.com/office/drawing/2014/main" id="{9C388CB0-48D0-4F6C-A384-0BD5D36C2336}"/>
            </a:ext>
          </a:extLst>
        </xdr:cNvPr>
        <xdr:cNvSpPr txBox="1"/>
      </xdr:nvSpPr>
      <xdr:spPr>
        <a:xfrm>
          <a:off x="320802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C16709-A798-4D55-859A-E937F6C7D5CE}"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5 431</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17</xdr:row>
      <xdr:rowOff>66885</xdr:rowOff>
    </xdr:from>
    <xdr:to>
      <xdr:col>11</xdr:col>
      <xdr:colOff>251460</xdr:colOff>
      <xdr:row>19</xdr:row>
      <xdr:rowOff>55036</xdr:rowOff>
    </xdr:to>
    <xdr:sp macro="" textlink="Processing!C17">
      <xdr:nvSpPr>
        <xdr:cNvPr id="49" name="TextBox 48">
          <a:extLst>
            <a:ext uri="{FF2B5EF4-FFF2-40B4-BE49-F238E27FC236}">
              <a16:creationId xmlns:a16="http://schemas.microsoft.com/office/drawing/2014/main" id="{F80D76AC-376E-457C-BA0A-730D3B80D6AF}"/>
            </a:ext>
          </a:extLst>
        </xdr:cNvPr>
        <xdr:cNvSpPr txBox="1"/>
      </xdr:nvSpPr>
      <xdr:spPr>
        <a:xfrm>
          <a:off x="607314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83A81F-E6A9-49FF-AAEE-ED1D942D4073}" type="TxLink">
            <a:rPr lang="en-US" sz="1400" b="0" i="0" u="none" strike="noStrike">
              <a:solidFill>
                <a:srgbClr val="6C57EE"/>
              </a:solidFill>
              <a:latin typeface="Aptos Narrow"/>
              <a:ea typeface="Verdana" panose="020B0604030504040204" pitchFamily="34" charset="0"/>
              <a:cs typeface="Calibri" panose="020F0502020204030204" pitchFamily="34" charset="0"/>
            </a:rPr>
            <a:pPr marL="0" indent="0" algn="l"/>
            <a:t>Standart</a:t>
          </a:fld>
          <a:endParaRPr lang="ru-RU" sz="1400" b="0" i="0" u="none" strike="noStrike">
            <a:solidFill>
              <a:srgbClr val="6C57EE"/>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68580</xdr:colOff>
      <xdr:row>17</xdr:row>
      <xdr:rowOff>66885</xdr:rowOff>
    </xdr:from>
    <xdr:to>
      <xdr:col>12</xdr:col>
      <xdr:colOff>571500</xdr:colOff>
      <xdr:row>19</xdr:row>
      <xdr:rowOff>55036</xdr:rowOff>
    </xdr:to>
    <xdr:sp macro="" textlink="Processing!F30">
      <xdr:nvSpPr>
        <xdr:cNvPr id="50" name="TextBox 49">
          <a:extLst>
            <a:ext uri="{FF2B5EF4-FFF2-40B4-BE49-F238E27FC236}">
              <a16:creationId xmlns:a16="http://schemas.microsoft.com/office/drawing/2014/main" id="{DF29EF62-5F5F-44CC-907A-EE87F6495204}"/>
            </a:ext>
          </a:extLst>
        </xdr:cNvPr>
        <xdr:cNvSpPr txBox="1"/>
      </xdr:nvSpPr>
      <xdr:spPr>
        <a:xfrm>
          <a:off x="6774180" y="3175845"/>
          <a:ext cx="11125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72DB5C1-8372-4D51-B2F3-FD2CBFC04B0E}"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15 658</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53340</xdr:colOff>
      <xdr:row>19</xdr:row>
      <xdr:rowOff>0</xdr:rowOff>
    </xdr:from>
    <xdr:to>
      <xdr:col>12</xdr:col>
      <xdr:colOff>297180</xdr:colOff>
      <xdr:row>33</xdr:row>
      <xdr:rowOff>106680</xdr:rowOff>
    </xdr:to>
    <xdr:graphicFrame macro="">
      <xdr:nvGraphicFramePr>
        <xdr:cNvPr id="51" name="Chart 50">
          <a:extLst>
            <a:ext uri="{FF2B5EF4-FFF2-40B4-BE49-F238E27FC236}">
              <a16:creationId xmlns:a16="http://schemas.microsoft.com/office/drawing/2014/main" id="{5178F2E6-7BC0-4FFF-829D-427F3CD4C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52" name="Month 7">
              <a:extLst>
                <a:ext uri="{FF2B5EF4-FFF2-40B4-BE49-F238E27FC236}">
                  <a16:creationId xmlns:a16="http://schemas.microsoft.com/office/drawing/2014/main" id="{52871E35-9DC3-4C03-B9BC-59AEEDE15B20}"/>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524307</xdr:colOff>
      <xdr:row>14</xdr:row>
      <xdr:rowOff>167640</xdr:rowOff>
    </xdr:from>
    <xdr:to>
      <xdr:col>9</xdr:col>
      <xdr:colOff>432867</xdr:colOff>
      <xdr:row>17</xdr:row>
      <xdr:rowOff>48768</xdr:rowOff>
    </xdr:to>
    <mc:AlternateContent xmlns:mc="http://schemas.openxmlformats.org/markup-compatibility/2006" xmlns:a14="http://schemas.microsoft.com/office/drawing/2010/main">
      <mc:Choice Requires="a14">
        <xdr:graphicFrame macro="">
          <xdr:nvGraphicFramePr>
            <xdr:cNvPr id="53" name="Tariffs 1">
              <a:extLst>
                <a:ext uri="{FF2B5EF4-FFF2-40B4-BE49-F238E27FC236}">
                  <a16:creationId xmlns:a16="http://schemas.microsoft.com/office/drawing/2014/main" id="{456ABC48-910E-45FD-BDC7-5AF824FFC2CA}"/>
                </a:ext>
              </a:extLst>
            </xdr:cNvPr>
            <xdr:cNvGraphicFramePr/>
          </xdr:nvGraphicFramePr>
          <xdr:xfrm>
            <a:off x="0" y="0"/>
            <a:ext cx="0" cy="0"/>
          </xdr:xfrm>
          <a:graphic>
            <a:graphicData uri="http://schemas.microsoft.com/office/drawing/2010/slicer">
              <sle:slicer xmlns:sle="http://schemas.microsoft.com/office/drawing/2010/slicer" name="Tariffs 1"/>
            </a:graphicData>
          </a:graphic>
        </xdr:graphicFrame>
      </mc:Choice>
      <mc:Fallback xmlns="">
        <xdr:sp macro="" textlink="">
          <xdr:nvSpPr>
            <xdr:cNvPr id="0" name=""/>
            <xdr:cNvSpPr>
              <a:spLocks noTextEdit="1"/>
            </xdr:cNvSpPr>
          </xdr:nvSpPr>
          <xdr:spPr>
            <a:xfrm>
              <a:off x="4181907" y="2727960"/>
              <a:ext cx="17373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518160</xdr:colOff>
      <xdr:row>17</xdr:row>
      <xdr:rowOff>66885</xdr:rowOff>
    </xdr:from>
    <xdr:to>
      <xdr:col>8</xdr:col>
      <xdr:colOff>396240</xdr:colOff>
      <xdr:row>19</xdr:row>
      <xdr:rowOff>55036</xdr:rowOff>
    </xdr:to>
    <xdr:sp macro="" textlink="Processing!I21">
      <xdr:nvSpPr>
        <xdr:cNvPr id="54" name="TextBox 53">
          <a:extLst>
            <a:ext uri="{FF2B5EF4-FFF2-40B4-BE49-F238E27FC236}">
              <a16:creationId xmlns:a16="http://schemas.microsoft.com/office/drawing/2014/main" id="{5FD25398-FD83-4AA0-B0F5-441C0F75A04D}"/>
            </a:ext>
          </a:extLst>
        </xdr:cNvPr>
        <xdr:cNvSpPr txBox="1"/>
      </xdr:nvSpPr>
      <xdr:spPr>
        <a:xfrm>
          <a:off x="4175760" y="3175845"/>
          <a:ext cx="109728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559D859-A7E8-4CC9-B8A3-641910C0A478}"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r"/>
            <a:t>Total Target</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304800</xdr:colOff>
      <xdr:row>17</xdr:row>
      <xdr:rowOff>66885</xdr:rowOff>
    </xdr:from>
    <xdr:to>
      <xdr:col>10</xdr:col>
      <xdr:colOff>274320</xdr:colOff>
      <xdr:row>19</xdr:row>
      <xdr:rowOff>55036</xdr:rowOff>
    </xdr:to>
    <xdr:sp macro="" textlink="Processing!I22">
      <xdr:nvSpPr>
        <xdr:cNvPr id="55" name="TextBox 54">
          <a:extLst>
            <a:ext uri="{FF2B5EF4-FFF2-40B4-BE49-F238E27FC236}">
              <a16:creationId xmlns:a16="http://schemas.microsoft.com/office/drawing/2014/main" id="{F4C2D208-C652-4DAA-B983-347E699061CF}"/>
            </a:ext>
          </a:extLst>
        </xdr:cNvPr>
        <xdr:cNvSpPr txBox="1"/>
      </xdr:nvSpPr>
      <xdr:spPr>
        <a:xfrm>
          <a:off x="518160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CDBB924-35A7-4D20-B61E-452D819545A5}"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1800</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106680</xdr:colOff>
      <xdr:row>4</xdr:row>
      <xdr:rowOff>15240</xdr:rowOff>
    </xdr:from>
    <xdr:to>
      <xdr:col>19</xdr:col>
      <xdr:colOff>601980</xdr:colOff>
      <xdr:row>17</xdr:row>
      <xdr:rowOff>99060</xdr:rowOff>
    </xdr:to>
    <xdr:sp macro="" textlink="">
      <xdr:nvSpPr>
        <xdr:cNvPr id="57" name="Rectangle: Rounded Corners 56">
          <a:hlinkClick xmlns:r="http://schemas.openxmlformats.org/officeDocument/2006/relationships" r:id="rId7"/>
          <a:extLst>
            <a:ext uri="{FF2B5EF4-FFF2-40B4-BE49-F238E27FC236}">
              <a16:creationId xmlns:a16="http://schemas.microsoft.com/office/drawing/2014/main" id="{C1A316D8-65A5-4A82-BE71-CFD9FDBC870C}"/>
            </a:ext>
          </a:extLst>
        </xdr:cNvPr>
        <xdr:cNvSpPr/>
      </xdr:nvSpPr>
      <xdr:spPr>
        <a:xfrm>
          <a:off x="8031480" y="74676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91440</xdr:colOff>
      <xdr:row>18</xdr:row>
      <xdr:rowOff>114300</xdr:rowOff>
    </xdr:from>
    <xdr:to>
      <xdr:col>16</xdr:col>
      <xdr:colOff>114300</xdr:colOff>
      <xdr:row>32</xdr:row>
      <xdr:rowOff>114300</xdr:rowOff>
    </xdr:to>
    <xdr:sp macro="" textlink="">
      <xdr:nvSpPr>
        <xdr:cNvPr id="58" name="Rectangle: Rounded Corners 57">
          <a:hlinkClick xmlns:r="http://schemas.openxmlformats.org/officeDocument/2006/relationships" r:id="rId8"/>
          <a:extLst>
            <a:ext uri="{FF2B5EF4-FFF2-40B4-BE49-F238E27FC236}">
              <a16:creationId xmlns:a16="http://schemas.microsoft.com/office/drawing/2014/main" id="{EDE55B2E-B793-4F35-AE4B-99CCF428CFBA}"/>
            </a:ext>
          </a:extLst>
        </xdr:cNvPr>
        <xdr:cNvSpPr/>
      </xdr:nvSpPr>
      <xdr:spPr>
        <a:xfrm>
          <a:off x="8016240" y="340614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327660</xdr:colOff>
      <xdr:row>18</xdr:row>
      <xdr:rowOff>114300</xdr:rowOff>
    </xdr:from>
    <xdr:to>
      <xdr:col>20</xdr:col>
      <xdr:colOff>7620</xdr:colOff>
      <xdr:row>35</xdr:row>
      <xdr:rowOff>144780</xdr:rowOff>
    </xdr:to>
    <xdr:sp macro="" textlink="">
      <xdr:nvSpPr>
        <xdr:cNvPr id="59" name="Rectangle: Rounded Corners 58">
          <a:hlinkClick xmlns:r="http://schemas.openxmlformats.org/officeDocument/2006/relationships" r:id="rId9"/>
          <a:extLst>
            <a:ext uri="{FF2B5EF4-FFF2-40B4-BE49-F238E27FC236}">
              <a16:creationId xmlns:a16="http://schemas.microsoft.com/office/drawing/2014/main" id="{1F79A61D-2E0D-42C7-9F05-6DAF8D6CC653}"/>
            </a:ext>
          </a:extLst>
        </xdr:cNvPr>
        <xdr:cNvSpPr/>
      </xdr:nvSpPr>
      <xdr:spPr>
        <a:xfrm>
          <a:off x="10081260" y="340614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68580</xdr:colOff>
      <xdr:row>4</xdr:row>
      <xdr:rowOff>152400</xdr:rowOff>
    </xdr:from>
    <xdr:to>
      <xdr:col>7</xdr:col>
      <xdr:colOff>396240</xdr:colOff>
      <xdr:row>12</xdr:row>
      <xdr:rowOff>7620</xdr:rowOff>
    </xdr:to>
    <xdr:sp macro="" textlink="">
      <xdr:nvSpPr>
        <xdr:cNvPr id="60" name="Rectangle: Rounded Corners 59">
          <a:hlinkClick xmlns:r="http://schemas.openxmlformats.org/officeDocument/2006/relationships" r:id="rId10"/>
          <a:extLst>
            <a:ext uri="{FF2B5EF4-FFF2-40B4-BE49-F238E27FC236}">
              <a16:creationId xmlns:a16="http://schemas.microsoft.com/office/drawing/2014/main" id="{7D3A9D92-28C2-42D8-9AEB-A66690982D7F}"/>
            </a:ext>
          </a:extLst>
        </xdr:cNvPr>
        <xdr:cNvSpPr/>
      </xdr:nvSpPr>
      <xdr:spPr>
        <a:xfrm>
          <a:off x="2506980" y="88392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3" name="Group 2">
          <a:extLst>
            <a:ext uri="{FF2B5EF4-FFF2-40B4-BE49-F238E27FC236}">
              <a16:creationId xmlns:a16="http://schemas.microsoft.com/office/drawing/2014/main" id="{6134526E-E13C-BD53-45FF-0C7404F7FDC3}"/>
            </a:ext>
          </a:extLst>
        </xdr:cNvPr>
        <xdr:cNvGrpSpPr/>
      </xdr:nvGrpSpPr>
      <xdr:grpSpPr>
        <a:xfrm>
          <a:off x="158639" y="833505"/>
          <a:ext cx="274320" cy="262048"/>
          <a:chOff x="2657199" y="8924774"/>
          <a:chExt cx="796566" cy="720791"/>
        </a:xfrm>
        <a:solidFill>
          <a:schemeClr val="bg1">
            <a:lumMod val="75000"/>
          </a:schemeClr>
        </a:solidFill>
      </xdr:grpSpPr>
      <xdr:sp macro="" textlink="">
        <xdr:nvSpPr>
          <xdr:cNvPr id="10" name="Freeform: Shape 9">
            <a:extLst>
              <a:ext uri="{FF2B5EF4-FFF2-40B4-BE49-F238E27FC236}">
                <a16:creationId xmlns:a16="http://schemas.microsoft.com/office/drawing/2014/main" id="{76D705BD-D280-44C8-6DFB-A039735FC230}"/>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grpFill/>
          <a:ln w="9525" cap="flat">
            <a:noFill/>
            <a:prstDash val="solid"/>
            <a:miter/>
          </a:ln>
        </xdr:spPr>
        <xdr:txBody>
          <a:bodyPr rtlCol="0" anchor="ctr"/>
          <a:lstStyle/>
          <a:p>
            <a:endParaRPr lang="ru-RU"/>
          </a:p>
        </xdr:txBody>
      </xdr:sp>
      <xdr:sp macro="" textlink="">
        <xdr:nvSpPr>
          <xdr:cNvPr id="11" name="Freeform: Shape 10">
            <a:extLst>
              <a:ext uri="{FF2B5EF4-FFF2-40B4-BE49-F238E27FC236}">
                <a16:creationId xmlns:a16="http://schemas.microsoft.com/office/drawing/2014/main" id="{E23E75FD-C90B-5463-779A-EB3F0715894A}"/>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grpFill/>
          <a:ln w="9525" cap="flat">
            <a:noFill/>
            <a:prstDash val="solid"/>
            <a:miter/>
          </a:ln>
        </xdr:spPr>
        <xdr:txBody>
          <a:bodyPr rtlCol="0" anchor="ctr"/>
          <a:lstStyle/>
          <a:p>
            <a:endParaRPr lang="ru-RU"/>
          </a:p>
        </xdr:txBody>
      </xdr:sp>
      <xdr:sp macro="" textlink="">
        <xdr:nvSpPr>
          <xdr:cNvPr id="17" name="Freeform: Shape 16">
            <a:extLst>
              <a:ext uri="{FF2B5EF4-FFF2-40B4-BE49-F238E27FC236}">
                <a16:creationId xmlns:a16="http://schemas.microsoft.com/office/drawing/2014/main" id="{5DAC4F55-80A4-24CF-2C5F-2E5B820B6F00}"/>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18" name="Freeform: Shape 17">
            <a:extLst>
              <a:ext uri="{FF2B5EF4-FFF2-40B4-BE49-F238E27FC236}">
                <a16:creationId xmlns:a16="http://schemas.microsoft.com/office/drawing/2014/main" id="{854AC2D2-FF95-DAC7-C5DF-5E7C4F6106C1}"/>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16384" name="Freeform: Shape 16383">
            <a:extLst>
              <a:ext uri="{FF2B5EF4-FFF2-40B4-BE49-F238E27FC236}">
                <a16:creationId xmlns:a16="http://schemas.microsoft.com/office/drawing/2014/main" id="{962E5F47-8681-9DF9-64FF-DBCD33A41CEA}"/>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16386" name="Freeform: Shape 16385">
            <a:extLst>
              <a:ext uri="{FF2B5EF4-FFF2-40B4-BE49-F238E27FC236}">
                <a16:creationId xmlns:a16="http://schemas.microsoft.com/office/drawing/2014/main" id="{EFDBD766-F531-10FE-51A3-04178D84E786}"/>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16387" name="Freeform: Shape 16386">
            <a:extLst>
              <a:ext uri="{FF2B5EF4-FFF2-40B4-BE49-F238E27FC236}">
                <a16:creationId xmlns:a16="http://schemas.microsoft.com/office/drawing/2014/main" id="{0F4C1F9E-A56E-A1B4-54A1-322DF1CBBA5E}"/>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grpFill/>
          <a:ln w="9525" cap="flat">
            <a:noFill/>
            <a:prstDash val="solid"/>
            <a:miter/>
          </a:ln>
        </xdr:spPr>
        <xdr:txBody>
          <a:bodyPr rtlCol="0" anchor="ctr"/>
          <a:lstStyle/>
          <a:p>
            <a:endParaRPr lang="ru-RU"/>
          </a:p>
        </xdr:txBody>
      </xdr:sp>
      <xdr:sp macro="" textlink="">
        <xdr:nvSpPr>
          <xdr:cNvPr id="16388" name="Freeform: Shape 16387">
            <a:extLst>
              <a:ext uri="{FF2B5EF4-FFF2-40B4-BE49-F238E27FC236}">
                <a16:creationId xmlns:a16="http://schemas.microsoft.com/office/drawing/2014/main" id="{3CA4CA0A-2084-8979-1D40-A454A4AFC582}"/>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grp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4" name="Graphic 3" descr="Moon and stars with solid fill">
          <a:hlinkClick xmlns:r="http://schemas.openxmlformats.org/officeDocument/2006/relationships" r:id="rId11"/>
          <a:extLst>
            <a:ext uri="{FF2B5EF4-FFF2-40B4-BE49-F238E27FC236}">
              <a16:creationId xmlns:a16="http://schemas.microsoft.com/office/drawing/2014/main" id="{B179B309-552C-ECC1-032A-E5D5FEE3A02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 name="Graphic 4" descr="Sun with solid fill">
          <a:hlinkClick xmlns:r="http://schemas.openxmlformats.org/officeDocument/2006/relationships" r:id="rId14"/>
          <a:extLst>
            <a:ext uri="{FF2B5EF4-FFF2-40B4-BE49-F238E27FC236}">
              <a16:creationId xmlns:a16="http://schemas.microsoft.com/office/drawing/2014/main" id="{D912F9B2-6ECB-CE13-722E-477ED71205A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3687" y="365760"/>
          <a:ext cx="274320" cy="274320"/>
        </a:xfrm>
        <a:prstGeom prst="rect">
          <a:avLst/>
        </a:prstGeom>
      </xdr:spPr>
    </xdr:pic>
    <xdr:clientData/>
  </xdr:twoCellAnchor>
  <xdr:twoCellAnchor>
    <xdr:from>
      <xdr:col>8</xdr:col>
      <xdr:colOff>285907</xdr:colOff>
      <xdr:row>5</xdr:row>
      <xdr:rowOff>67789</xdr:rowOff>
    </xdr:from>
    <xdr:to>
      <xdr:col>12</xdr:col>
      <xdr:colOff>296330</xdr:colOff>
      <xdr:row>8</xdr:row>
      <xdr:rowOff>179915</xdr:rowOff>
    </xdr:to>
    <xdr:sp macro="" textlink="Processing!E15">
      <xdr:nvSpPr>
        <xdr:cNvPr id="2" name="Rectangle: Rounded Corners 1">
          <a:hlinkClick xmlns:r="http://schemas.openxmlformats.org/officeDocument/2006/relationships" r:id="rId17"/>
          <a:extLst>
            <a:ext uri="{FF2B5EF4-FFF2-40B4-BE49-F238E27FC236}">
              <a16:creationId xmlns:a16="http://schemas.microsoft.com/office/drawing/2014/main" id="{34FFABD2-D16F-4291-B9EA-5C23E0E7BF94}"/>
            </a:ext>
          </a:extLst>
        </xdr:cNvPr>
        <xdr:cNvSpPr/>
      </xdr:nvSpPr>
      <xdr:spPr>
        <a:xfrm>
          <a:off x="5196574" y="1020289"/>
          <a:ext cx="2465756" cy="683626"/>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76BB91-A231-413D-9A47-94EC8253C654}" type="TxLink">
            <a:rPr lang="en-US" sz="3600" b="0" i="0" u="none" strike="noStrike">
              <a:solidFill>
                <a:srgbClr val="000000"/>
              </a:solidFill>
              <a:latin typeface="Aptos Narrow"/>
            </a:rPr>
            <a:t> $13,44,765 </a:t>
          </a:fld>
          <a:endParaRPr lang="ru-RU" sz="36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2" name="Group 1">
          <a:extLst>
            <a:ext uri="{FF2B5EF4-FFF2-40B4-BE49-F238E27FC236}">
              <a16:creationId xmlns:a16="http://schemas.microsoft.com/office/drawing/2014/main" id="{8E9E53D1-86B8-416F-999B-0544D1C5D74E}"/>
            </a:ext>
          </a:extLst>
        </xdr:cNvPr>
        <xdr:cNvGrpSpPr/>
      </xdr:nvGrpSpPr>
      <xdr:grpSpPr>
        <a:xfrm>
          <a:off x="0" y="0"/>
          <a:ext cx="14732000" cy="8572500"/>
          <a:chOff x="1538344" y="742278"/>
          <a:chExt cx="8961120" cy="5432611"/>
        </a:xfrm>
      </xdr:grpSpPr>
      <xdr:sp macro="" textlink="">
        <xdr:nvSpPr>
          <xdr:cNvPr id="3" name="Rectangle 2">
            <a:extLst>
              <a:ext uri="{FF2B5EF4-FFF2-40B4-BE49-F238E27FC236}">
                <a16:creationId xmlns:a16="http://schemas.microsoft.com/office/drawing/2014/main" id="{D5F3A58B-C611-BC3E-E3F0-D60F38912257}"/>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ECD23595-82DB-2C60-BE9D-718137167862}"/>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5" name="Rectangle: Rounded Corners 4">
          <a:extLst>
            <a:ext uri="{FF2B5EF4-FFF2-40B4-BE49-F238E27FC236}">
              <a16:creationId xmlns:a16="http://schemas.microsoft.com/office/drawing/2014/main" id="{308437D0-531B-4C0B-A1A2-D78F548B7FF1}"/>
            </a:ext>
          </a:extLst>
        </xdr:cNvPr>
        <xdr:cNvSpPr/>
      </xdr:nvSpPr>
      <xdr:spPr>
        <a:xfrm>
          <a:off x="1920240" y="381000"/>
          <a:ext cx="10698480" cy="6492240"/>
        </a:xfrm>
        <a:prstGeom prst="roundRect">
          <a:avLst>
            <a:gd name="adj" fmla="val 5678"/>
          </a:avLst>
        </a:prstGeom>
        <a:solidFill>
          <a:schemeClr val="bg1"/>
        </a:soli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488462</xdr:colOff>
      <xdr:row>3</xdr:row>
      <xdr:rowOff>167548</xdr:rowOff>
    </xdr:from>
    <xdr:to>
      <xdr:col>7</xdr:col>
      <xdr:colOff>492048</xdr:colOff>
      <xdr:row>12</xdr:row>
      <xdr:rowOff>167548</xdr:rowOff>
    </xdr:to>
    <xdr:sp macro="" textlink="">
      <xdr:nvSpPr>
        <xdr:cNvPr id="6" name="Rectangle: Rounded Corners 5">
          <a:extLst>
            <a:ext uri="{FF2B5EF4-FFF2-40B4-BE49-F238E27FC236}">
              <a16:creationId xmlns:a16="http://schemas.microsoft.com/office/drawing/2014/main" id="{2DB7E597-F8F5-4697-B0CC-3F99DB601FB9}"/>
            </a:ext>
          </a:extLst>
        </xdr:cNvPr>
        <xdr:cNvSpPr/>
      </xdr:nvSpPr>
      <xdr:spPr>
        <a:xfrm>
          <a:off x="2317262" y="716188"/>
          <a:ext cx="2441986" cy="1645920"/>
        </a:xfrm>
        <a:prstGeom prst="roundRect">
          <a:avLst>
            <a:gd name="adj" fmla="val 931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7" name="Rectangle: Rounded Corners 6">
          <a:extLst>
            <a:ext uri="{FF2B5EF4-FFF2-40B4-BE49-F238E27FC236}">
              <a16:creationId xmlns:a16="http://schemas.microsoft.com/office/drawing/2014/main" id="{2A3A5451-B3B4-4B83-B313-A961FE6BBDD2}"/>
            </a:ext>
          </a:extLst>
        </xdr:cNvPr>
        <xdr:cNvSpPr/>
      </xdr:nvSpPr>
      <xdr:spPr>
        <a:xfrm>
          <a:off x="4976853" y="718877"/>
          <a:ext cx="2812649" cy="164592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8" name="Rectangle: Rounded Corners 7">
          <a:extLst>
            <a:ext uri="{FF2B5EF4-FFF2-40B4-BE49-F238E27FC236}">
              <a16:creationId xmlns:a16="http://schemas.microsoft.com/office/drawing/2014/main" id="{BEE6CD2F-DE55-41C3-AAF3-18A7CE6B0E16}"/>
            </a:ext>
          </a:extLst>
        </xdr:cNvPr>
        <xdr:cNvSpPr/>
      </xdr:nvSpPr>
      <xdr:spPr>
        <a:xfrm>
          <a:off x="5194457" y="939857"/>
          <a:ext cx="237744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en-US" sz="4000" kern="1200">
            <a:solidFill>
              <a:schemeClr val="tx1"/>
            </a:solidFill>
            <a:latin typeface="+mn-lt"/>
            <a:ea typeface="+mn-ea"/>
            <a:cs typeface="+mn-cs"/>
          </a:endParaRP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9" name="Rectangle: Rounded Corners 8">
          <a:extLst>
            <a:ext uri="{FF2B5EF4-FFF2-40B4-BE49-F238E27FC236}">
              <a16:creationId xmlns:a16="http://schemas.microsoft.com/office/drawing/2014/main" id="{295E0164-730D-481A-BEB9-645E53801D50}"/>
            </a:ext>
          </a:extLst>
        </xdr:cNvPr>
        <xdr:cNvSpPr/>
      </xdr:nvSpPr>
      <xdr:spPr>
        <a:xfrm>
          <a:off x="8042692" y="716188"/>
          <a:ext cx="4160520" cy="247904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US" sz="1100">
            <a:solidFill>
              <a:schemeClr val="tx2">
                <a:lumMod val="10000"/>
                <a:lumOff val="90000"/>
              </a:schemeClr>
            </a:solidFill>
            <a:latin typeface="+mn-lt"/>
            <a:ea typeface="+mn-ea"/>
            <a:cs typeface="+mn-cs"/>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0" name="Rectangle: Rounded Corners 9">
          <a:extLst>
            <a:ext uri="{FF2B5EF4-FFF2-40B4-BE49-F238E27FC236}">
              <a16:creationId xmlns:a16="http://schemas.microsoft.com/office/drawing/2014/main" id="{1FECE641-4BCA-4F3C-864E-9300F1928B9A}"/>
            </a:ext>
          </a:extLst>
        </xdr:cNvPr>
        <xdr:cNvSpPr/>
      </xdr:nvSpPr>
      <xdr:spPr>
        <a:xfrm>
          <a:off x="10100092" y="3422015"/>
          <a:ext cx="2103120" cy="310896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1" name="Rectangle: Rounded Corners 10">
          <a:extLst>
            <a:ext uri="{FF2B5EF4-FFF2-40B4-BE49-F238E27FC236}">
              <a16:creationId xmlns:a16="http://schemas.microsoft.com/office/drawing/2014/main" id="{CAB2D7FF-3B72-4EC8-9B33-3C8F9F9FD125}"/>
            </a:ext>
          </a:extLst>
        </xdr:cNvPr>
        <xdr:cNvSpPr/>
      </xdr:nvSpPr>
      <xdr:spPr>
        <a:xfrm>
          <a:off x="8042692" y="3422015"/>
          <a:ext cx="1828800" cy="3108960"/>
        </a:xfrm>
        <a:prstGeom prst="roundRect">
          <a:avLst>
            <a:gd name="adj" fmla="val 8437"/>
          </a:avLst>
        </a:prstGeom>
        <a:solidFill>
          <a:schemeClr val="bg1"/>
        </a:solidFill>
        <a:ln w="9525">
          <a:solidFill>
            <a:srgbClr val="8278FC"/>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2" name="Rectangle: Rounded Corners 11">
          <a:extLst>
            <a:ext uri="{FF2B5EF4-FFF2-40B4-BE49-F238E27FC236}">
              <a16:creationId xmlns:a16="http://schemas.microsoft.com/office/drawing/2014/main" id="{3C28C292-7C85-4668-8986-F06D956EB8EE}"/>
            </a:ext>
          </a:extLst>
        </xdr:cNvPr>
        <xdr:cNvSpPr/>
      </xdr:nvSpPr>
      <xdr:spPr>
        <a:xfrm>
          <a:off x="2311672" y="2606040"/>
          <a:ext cx="5477830" cy="3924935"/>
        </a:xfrm>
        <a:prstGeom prst="roundRect">
          <a:avLst>
            <a:gd name="adj" fmla="val 363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13" name="Rectangle: Rounded Corners 12">
          <a:extLst>
            <a:ext uri="{FF2B5EF4-FFF2-40B4-BE49-F238E27FC236}">
              <a16:creationId xmlns:a16="http://schemas.microsoft.com/office/drawing/2014/main" id="{4832E092-B485-4379-9F9C-CF72BCB5D13F}"/>
            </a:ext>
          </a:extLst>
        </xdr:cNvPr>
        <xdr:cNvSpPr/>
      </xdr:nvSpPr>
      <xdr:spPr>
        <a:xfrm>
          <a:off x="2545080" y="929640"/>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D5B22AD-2689-4A19-8294-60DCF73D852F}" type="TxLink">
            <a:rPr lang="en-US" sz="4000" b="0" i="0" u="none" strike="noStrike" kern="1200">
              <a:solidFill>
                <a:schemeClr val="tx1"/>
              </a:solidFill>
              <a:latin typeface="+mn-lt"/>
              <a:ea typeface="+mn-ea"/>
              <a:cs typeface="+mn-cs"/>
            </a:rPr>
            <a:pPr marL="0" indent="0" algn="l" defTabSz="914400" rtl="0" eaLnBrk="1" latinLnBrk="0" hangingPunct="1"/>
            <a:t> 21 089</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14" name="Circle: Hollow 13">
          <a:extLst>
            <a:ext uri="{FF2B5EF4-FFF2-40B4-BE49-F238E27FC236}">
              <a16:creationId xmlns:a16="http://schemas.microsoft.com/office/drawing/2014/main" id="{FDE4A8C9-2E69-4218-8489-F77E323763D5}"/>
            </a:ext>
          </a:extLst>
        </xdr:cNvPr>
        <xdr:cNvSpPr/>
      </xdr:nvSpPr>
      <xdr:spPr>
        <a:xfrm>
          <a:off x="10043159" y="987743"/>
          <a:ext cx="1828800" cy="1828800"/>
        </a:xfrm>
        <a:prstGeom prst="donut">
          <a:avLst>
            <a:gd name="adj" fmla="val 20022"/>
          </a:avLst>
        </a:prstGeom>
        <a:solidFill>
          <a:schemeClr val="bg1"/>
        </a:solidFill>
        <a:ln>
          <a:noFill/>
        </a:ln>
        <a:effectLst>
          <a:innerShdw blurRad="254000">
            <a:srgbClr val="0D328D">
              <a:alpha val="38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tx1"/>
            </a:solidFill>
            <a:latin typeface="+mn-lt"/>
            <a:ea typeface="+mn-ea"/>
            <a:cs typeface="+mn-cs"/>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15" name="Chart 14">
          <a:extLst>
            <a:ext uri="{FF2B5EF4-FFF2-40B4-BE49-F238E27FC236}">
              <a16:creationId xmlns:a16="http://schemas.microsoft.com/office/drawing/2014/main" id="{973BB39A-5408-40BE-9B14-0D939284C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16" name="TextBox 15">
          <a:extLst>
            <a:ext uri="{FF2B5EF4-FFF2-40B4-BE49-F238E27FC236}">
              <a16:creationId xmlns:a16="http://schemas.microsoft.com/office/drawing/2014/main" id="{CCD41D97-5EFE-46B0-A8A6-02C03F457F20}"/>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17" name="TextBox 16">
          <a:extLst>
            <a:ext uri="{FF2B5EF4-FFF2-40B4-BE49-F238E27FC236}">
              <a16:creationId xmlns:a16="http://schemas.microsoft.com/office/drawing/2014/main" id="{32CAFA2E-1107-484D-9EC8-6C252A12C788}"/>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18" name="TextBox 17">
          <a:extLst>
            <a:ext uri="{FF2B5EF4-FFF2-40B4-BE49-F238E27FC236}">
              <a16:creationId xmlns:a16="http://schemas.microsoft.com/office/drawing/2014/main" id="{B1BF6B1D-2992-45AB-87FA-B2151022C65D}"/>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19" name="Oval 18">
          <a:extLst>
            <a:ext uri="{FF2B5EF4-FFF2-40B4-BE49-F238E27FC236}">
              <a16:creationId xmlns:a16="http://schemas.microsoft.com/office/drawing/2014/main" id="{5952FBEC-380C-4EA5-88EF-F5531E63ED90}"/>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0" name="Oval 19">
          <a:extLst>
            <a:ext uri="{FF2B5EF4-FFF2-40B4-BE49-F238E27FC236}">
              <a16:creationId xmlns:a16="http://schemas.microsoft.com/office/drawing/2014/main" id="{5654FCF5-88A3-4580-AC79-049218CF0332}"/>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1" name="Oval 20">
          <a:extLst>
            <a:ext uri="{FF2B5EF4-FFF2-40B4-BE49-F238E27FC236}">
              <a16:creationId xmlns:a16="http://schemas.microsoft.com/office/drawing/2014/main" id="{A6BDB031-34E6-45D3-AF16-A598632E3683}"/>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2" name="Oval 21">
          <a:extLst>
            <a:ext uri="{FF2B5EF4-FFF2-40B4-BE49-F238E27FC236}">
              <a16:creationId xmlns:a16="http://schemas.microsoft.com/office/drawing/2014/main" id="{B6BF386D-FB87-48BB-AD15-823EDE2AFBDE}"/>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3" name="TextBox 22">
          <a:extLst>
            <a:ext uri="{FF2B5EF4-FFF2-40B4-BE49-F238E27FC236}">
              <a16:creationId xmlns:a16="http://schemas.microsoft.com/office/drawing/2014/main" id="{BBB7AFB8-2877-4178-A319-D1D0412C5F04}"/>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24" name="Group 23">
          <a:extLst>
            <a:ext uri="{FF2B5EF4-FFF2-40B4-BE49-F238E27FC236}">
              <a16:creationId xmlns:a16="http://schemas.microsoft.com/office/drawing/2014/main" id="{351DDF99-4079-499F-85A1-019E89C1DD05}"/>
            </a:ext>
          </a:extLst>
        </xdr:cNvPr>
        <xdr:cNvGrpSpPr/>
      </xdr:nvGrpSpPr>
      <xdr:grpSpPr>
        <a:xfrm>
          <a:off x="10446503" y="4353436"/>
          <a:ext cx="1566665" cy="1629008"/>
          <a:chOff x="10374536" y="4039901"/>
          <a:chExt cx="1558199" cy="1554481"/>
        </a:xfrm>
      </xdr:grpSpPr>
      <xdr:cxnSp macro="">
        <xdr:nvCxnSpPr>
          <xdr:cNvPr id="25" name="Straight Connector 24">
            <a:extLst>
              <a:ext uri="{FF2B5EF4-FFF2-40B4-BE49-F238E27FC236}">
                <a16:creationId xmlns:a16="http://schemas.microsoft.com/office/drawing/2014/main" id="{FAA1F1AC-2050-CF43-0350-E666FF7A7C57}"/>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41271288-5CE3-4532-A464-0D0EA836EA46}"/>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5ED663EE-5851-A31F-2F02-29EE95854340}"/>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63F8C038-4423-719E-4A71-C39A0DF703B1}"/>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29" name="Chart 28">
          <a:extLst>
            <a:ext uri="{FF2B5EF4-FFF2-40B4-BE49-F238E27FC236}">
              <a16:creationId xmlns:a16="http://schemas.microsoft.com/office/drawing/2014/main" id="{18A7F400-EC26-4450-8EFC-E79D8CE88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0" name="TextBox 29">
          <a:extLst>
            <a:ext uri="{FF2B5EF4-FFF2-40B4-BE49-F238E27FC236}">
              <a16:creationId xmlns:a16="http://schemas.microsoft.com/office/drawing/2014/main" id="{93304AD1-32BB-45DA-87CC-8A603270F5B6}"/>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1" name="Chart 30">
          <a:extLst>
            <a:ext uri="{FF2B5EF4-FFF2-40B4-BE49-F238E27FC236}">
              <a16:creationId xmlns:a16="http://schemas.microsoft.com/office/drawing/2014/main" id="{9656D51D-9CAA-4EAE-B5CD-CF79AAEAC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2" name="TextBox 31">
          <a:extLst>
            <a:ext uri="{FF2B5EF4-FFF2-40B4-BE49-F238E27FC236}">
              <a16:creationId xmlns:a16="http://schemas.microsoft.com/office/drawing/2014/main" id="{C14D1873-7568-4A0B-B9C2-6AE573EE6080}"/>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33" name="Chart 32">
          <a:extLst>
            <a:ext uri="{FF2B5EF4-FFF2-40B4-BE49-F238E27FC236}">
              <a16:creationId xmlns:a16="http://schemas.microsoft.com/office/drawing/2014/main" id="{D4FAF7C3-8724-4F95-B675-5B04FBA76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21505" name="Check Box 1" hidden="1">
              <a:extLst>
                <a:ext uri="{63B3BB69-23CF-44E3-9099-C40C66FF867C}">
                  <a14:compatExt spid="_x0000_s21505"/>
                </a:ext>
                <a:ext uri="{FF2B5EF4-FFF2-40B4-BE49-F238E27FC236}">
                  <a16:creationId xmlns:a16="http://schemas.microsoft.com/office/drawing/2014/main" id="{00000000-0008-0000-0800-00000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34" name="Rectangle 33">
          <a:extLst>
            <a:ext uri="{FF2B5EF4-FFF2-40B4-BE49-F238E27FC236}">
              <a16:creationId xmlns:a16="http://schemas.microsoft.com/office/drawing/2014/main" id="{964CD731-974B-416B-A518-1429F93C5722}"/>
            </a:ext>
          </a:extLst>
        </xdr:cNvPr>
        <xdr:cNvSpPr/>
      </xdr:nvSpPr>
      <xdr:spPr>
        <a:xfrm>
          <a:off x="6858000" y="2849880"/>
          <a:ext cx="198120" cy="1752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35" name="Year 12">
              <a:extLst>
                <a:ext uri="{FF2B5EF4-FFF2-40B4-BE49-F238E27FC236}">
                  <a16:creationId xmlns:a16="http://schemas.microsoft.com/office/drawing/2014/main" id="{B3BB05B4-D7F0-4A04-8415-BB50B636BBA3}"/>
                </a:ext>
              </a:extLst>
            </xdr:cNvPr>
            <xdr:cNvGraphicFramePr/>
          </xdr:nvGraphicFramePr>
          <xdr:xfrm>
            <a:off x="0" y="0"/>
            <a:ext cx="0" cy="0"/>
          </xdr:xfrm>
          <a:graphic>
            <a:graphicData uri="http://schemas.microsoft.com/office/drawing/2010/slicer">
              <sle:slicer xmlns:sle="http://schemas.microsoft.com/office/drawing/2010/slicer" name="Year 12"/>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36" name="TextBox 35">
          <a:extLst>
            <a:ext uri="{FF2B5EF4-FFF2-40B4-BE49-F238E27FC236}">
              <a16:creationId xmlns:a16="http://schemas.microsoft.com/office/drawing/2014/main" id="{E93E5C48-D7E4-4401-B1CE-05C4E610054D}"/>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37" name="TextBox 36">
          <a:extLst>
            <a:ext uri="{FF2B5EF4-FFF2-40B4-BE49-F238E27FC236}">
              <a16:creationId xmlns:a16="http://schemas.microsoft.com/office/drawing/2014/main" id="{A1611E63-FF90-41D4-ACA6-F094DE0BBABC}"/>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38" name="Chart 37">
          <a:extLst>
            <a:ext uri="{FF2B5EF4-FFF2-40B4-BE49-F238E27FC236}">
              <a16:creationId xmlns:a16="http://schemas.microsoft.com/office/drawing/2014/main" id="{827CC4FF-4D8E-4B41-8BA4-2CDAFEB6D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39" name="TextBox 38">
          <a:extLst>
            <a:ext uri="{FF2B5EF4-FFF2-40B4-BE49-F238E27FC236}">
              <a16:creationId xmlns:a16="http://schemas.microsoft.com/office/drawing/2014/main" id="{162776B7-49D6-4483-9499-8AD9BDCEF054}"/>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0" name="TextBox 39">
          <a:extLst>
            <a:ext uri="{FF2B5EF4-FFF2-40B4-BE49-F238E27FC236}">
              <a16:creationId xmlns:a16="http://schemas.microsoft.com/office/drawing/2014/main" id="{0A762DB3-61DD-4056-9DFC-383982621DF5}"/>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22860</xdr:colOff>
      <xdr:row>17</xdr:row>
      <xdr:rowOff>66885</xdr:rowOff>
    </xdr:from>
    <xdr:to>
      <xdr:col>5</xdr:col>
      <xdr:colOff>297180</xdr:colOff>
      <xdr:row>19</xdr:row>
      <xdr:rowOff>55036</xdr:rowOff>
    </xdr:to>
    <xdr:sp macro="" textlink="Processing!D17">
      <xdr:nvSpPr>
        <xdr:cNvPr id="41" name="TextBox 40">
          <a:extLst>
            <a:ext uri="{FF2B5EF4-FFF2-40B4-BE49-F238E27FC236}">
              <a16:creationId xmlns:a16="http://schemas.microsoft.com/office/drawing/2014/main" id="{A41A889A-4850-4116-8200-E6295204CFFA}"/>
            </a:ext>
          </a:extLst>
        </xdr:cNvPr>
        <xdr:cNvSpPr txBox="1"/>
      </xdr:nvSpPr>
      <xdr:spPr>
        <a:xfrm>
          <a:off x="246126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2F124EC-07B6-4B55-AC57-AE96889DA463}" type="TxLink">
            <a:rPr lang="en-US" sz="1400" b="0" i="0" u="none" strike="noStrike">
              <a:solidFill>
                <a:srgbClr val="6185D0"/>
              </a:solidFill>
              <a:latin typeface="Aptos Narrow"/>
              <a:ea typeface="Verdana" panose="020B0604030504040204" pitchFamily="34" charset="0"/>
              <a:cs typeface="Calibri" panose="020F0502020204030204" pitchFamily="34" charset="0"/>
            </a:rPr>
            <a:pPr marL="0" indent="0" algn="l"/>
            <a:t>Premium</a:t>
          </a:fld>
          <a:endParaRPr lang="ru-RU" sz="1400" b="0" i="0" u="none" strike="noStrike">
            <a:solidFill>
              <a:srgbClr val="6185D0"/>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160020</xdr:colOff>
      <xdr:row>17</xdr:row>
      <xdr:rowOff>66885</xdr:rowOff>
    </xdr:from>
    <xdr:to>
      <xdr:col>7</xdr:col>
      <xdr:colOff>129540</xdr:colOff>
      <xdr:row>19</xdr:row>
      <xdr:rowOff>55036</xdr:rowOff>
    </xdr:to>
    <xdr:sp macro="" textlink="Processing!G30">
      <xdr:nvSpPr>
        <xdr:cNvPr id="42" name="TextBox 41">
          <a:extLst>
            <a:ext uri="{FF2B5EF4-FFF2-40B4-BE49-F238E27FC236}">
              <a16:creationId xmlns:a16="http://schemas.microsoft.com/office/drawing/2014/main" id="{C3BDBEF0-E2D5-4CE7-A3AC-468726AB1457}"/>
            </a:ext>
          </a:extLst>
        </xdr:cNvPr>
        <xdr:cNvSpPr txBox="1"/>
      </xdr:nvSpPr>
      <xdr:spPr>
        <a:xfrm>
          <a:off x="320802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C16709-A798-4D55-859A-E937F6C7D5CE}"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5 431</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9</xdr:col>
      <xdr:colOff>586740</xdr:colOff>
      <xdr:row>17</xdr:row>
      <xdr:rowOff>66885</xdr:rowOff>
    </xdr:from>
    <xdr:to>
      <xdr:col>11</xdr:col>
      <xdr:colOff>251460</xdr:colOff>
      <xdr:row>19</xdr:row>
      <xdr:rowOff>55036</xdr:rowOff>
    </xdr:to>
    <xdr:sp macro="" textlink="Processing!C17">
      <xdr:nvSpPr>
        <xdr:cNvPr id="43" name="TextBox 42">
          <a:extLst>
            <a:ext uri="{FF2B5EF4-FFF2-40B4-BE49-F238E27FC236}">
              <a16:creationId xmlns:a16="http://schemas.microsoft.com/office/drawing/2014/main" id="{2F0028BD-5DAD-435C-9214-5A613908E02D}"/>
            </a:ext>
          </a:extLst>
        </xdr:cNvPr>
        <xdr:cNvSpPr txBox="1"/>
      </xdr:nvSpPr>
      <xdr:spPr>
        <a:xfrm>
          <a:off x="6073140" y="3175845"/>
          <a:ext cx="8839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83A81F-E6A9-49FF-AAEE-ED1D942D4073}" type="TxLink">
            <a:rPr lang="en-US" sz="1400" b="0" i="0" u="none" strike="noStrike">
              <a:solidFill>
                <a:srgbClr val="6C57EE"/>
              </a:solidFill>
              <a:latin typeface="Aptos Narrow"/>
              <a:ea typeface="Verdana" panose="020B0604030504040204" pitchFamily="34" charset="0"/>
              <a:cs typeface="Calibri" panose="020F0502020204030204" pitchFamily="34" charset="0"/>
            </a:rPr>
            <a:pPr marL="0" indent="0" algn="l"/>
            <a:t>Standart</a:t>
          </a:fld>
          <a:endParaRPr lang="ru-RU" sz="1400" b="0" i="0" u="none" strike="noStrike">
            <a:solidFill>
              <a:srgbClr val="6C57EE"/>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68580</xdr:colOff>
      <xdr:row>17</xdr:row>
      <xdr:rowOff>66885</xdr:rowOff>
    </xdr:from>
    <xdr:to>
      <xdr:col>12</xdr:col>
      <xdr:colOff>571500</xdr:colOff>
      <xdr:row>19</xdr:row>
      <xdr:rowOff>55036</xdr:rowOff>
    </xdr:to>
    <xdr:sp macro="" textlink="Processing!F30">
      <xdr:nvSpPr>
        <xdr:cNvPr id="44" name="TextBox 43">
          <a:extLst>
            <a:ext uri="{FF2B5EF4-FFF2-40B4-BE49-F238E27FC236}">
              <a16:creationId xmlns:a16="http://schemas.microsoft.com/office/drawing/2014/main" id="{992E0AC4-0D80-4507-8713-33D1598E0D2B}"/>
            </a:ext>
          </a:extLst>
        </xdr:cNvPr>
        <xdr:cNvSpPr txBox="1"/>
      </xdr:nvSpPr>
      <xdr:spPr>
        <a:xfrm>
          <a:off x="6774180" y="3175845"/>
          <a:ext cx="11125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72DB5C1-8372-4D51-B2F3-FD2CBFC04B0E}"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 15 658</a:t>
          </a:fld>
          <a:endParaRPr lang="ru-RU" sz="1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53340</xdr:colOff>
      <xdr:row>19</xdr:row>
      <xdr:rowOff>0</xdr:rowOff>
    </xdr:from>
    <xdr:to>
      <xdr:col>12</xdr:col>
      <xdr:colOff>297180</xdr:colOff>
      <xdr:row>33</xdr:row>
      <xdr:rowOff>106680</xdr:rowOff>
    </xdr:to>
    <xdr:graphicFrame macro="">
      <xdr:nvGraphicFramePr>
        <xdr:cNvPr id="45" name="Chart 44">
          <a:extLst>
            <a:ext uri="{FF2B5EF4-FFF2-40B4-BE49-F238E27FC236}">
              <a16:creationId xmlns:a16="http://schemas.microsoft.com/office/drawing/2014/main" id="{509D9C2D-00C7-4F4B-8213-6C09CD44D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6" name="Month 12">
              <a:extLst>
                <a:ext uri="{FF2B5EF4-FFF2-40B4-BE49-F238E27FC236}">
                  <a16:creationId xmlns:a16="http://schemas.microsoft.com/office/drawing/2014/main" id="{41BA2489-8659-4400-8B5C-90FDB607CFBF}"/>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524307</xdr:colOff>
      <xdr:row>14</xdr:row>
      <xdr:rowOff>167640</xdr:rowOff>
    </xdr:from>
    <xdr:to>
      <xdr:col>9</xdr:col>
      <xdr:colOff>432867</xdr:colOff>
      <xdr:row>17</xdr:row>
      <xdr:rowOff>48768</xdr:rowOff>
    </xdr:to>
    <mc:AlternateContent xmlns:mc="http://schemas.openxmlformats.org/markup-compatibility/2006" xmlns:a14="http://schemas.microsoft.com/office/drawing/2010/main">
      <mc:Choice Requires="a14">
        <xdr:graphicFrame macro="">
          <xdr:nvGraphicFramePr>
            <xdr:cNvPr id="47" name="Tariffs 2">
              <a:extLst>
                <a:ext uri="{FF2B5EF4-FFF2-40B4-BE49-F238E27FC236}">
                  <a16:creationId xmlns:a16="http://schemas.microsoft.com/office/drawing/2014/main" id="{DE1B315D-BAA4-46EC-9538-58406DDE6AB4}"/>
                </a:ext>
              </a:extLst>
            </xdr:cNvPr>
            <xdr:cNvGraphicFramePr/>
          </xdr:nvGraphicFramePr>
          <xdr:xfrm>
            <a:off x="0" y="0"/>
            <a:ext cx="0" cy="0"/>
          </xdr:xfrm>
          <a:graphic>
            <a:graphicData uri="http://schemas.microsoft.com/office/drawing/2010/slicer">
              <sle:slicer xmlns:sle="http://schemas.microsoft.com/office/drawing/2010/slicer" name="Tariffs 2"/>
            </a:graphicData>
          </a:graphic>
        </xdr:graphicFrame>
      </mc:Choice>
      <mc:Fallback xmlns="">
        <xdr:sp macro="" textlink="">
          <xdr:nvSpPr>
            <xdr:cNvPr id="0" name=""/>
            <xdr:cNvSpPr>
              <a:spLocks noTextEdit="1"/>
            </xdr:cNvSpPr>
          </xdr:nvSpPr>
          <xdr:spPr>
            <a:xfrm>
              <a:off x="4181907" y="2727960"/>
              <a:ext cx="173736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518160</xdr:colOff>
      <xdr:row>17</xdr:row>
      <xdr:rowOff>66885</xdr:rowOff>
    </xdr:from>
    <xdr:to>
      <xdr:col>8</xdr:col>
      <xdr:colOff>396240</xdr:colOff>
      <xdr:row>19</xdr:row>
      <xdr:rowOff>55036</xdr:rowOff>
    </xdr:to>
    <xdr:sp macro="" textlink="Processing!I21">
      <xdr:nvSpPr>
        <xdr:cNvPr id="48" name="TextBox 47">
          <a:extLst>
            <a:ext uri="{FF2B5EF4-FFF2-40B4-BE49-F238E27FC236}">
              <a16:creationId xmlns:a16="http://schemas.microsoft.com/office/drawing/2014/main" id="{8A827029-193B-49F1-BE00-D7E4C93949F2}"/>
            </a:ext>
          </a:extLst>
        </xdr:cNvPr>
        <xdr:cNvSpPr txBox="1"/>
      </xdr:nvSpPr>
      <xdr:spPr>
        <a:xfrm>
          <a:off x="4175760" y="3175845"/>
          <a:ext cx="109728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559D859-A7E8-4CC9-B8A3-641910C0A478}"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r"/>
            <a:t>Total Target</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304800</xdr:colOff>
      <xdr:row>17</xdr:row>
      <xdr:rowOff>66885</xdr:rowOff>
    </xdr:from>
    <xdr:to>
      <xdr:col>10</xdr:col>
      <xdr:colOff>274320</xdr:colOff>
      <xdr:row>19</xdr:row>
      <xdr:rowOff>55036</xdr:rowOff>
    </xdr:to>
    <xdr:sp macro="" textlink="Processing!I22">
      <xdr:nvSpPr>
        <xdr:cNvPr id="49" name="TextBox 48">
          <a:extLst>
            <a:ext uri="{FF2B5EF4-FFF2-40B4-BE49-F238E27FC236}">
              <a16:creationId xmlns:a16="http://schemas.microsoft.com/office/drawing/2014/main" id="{589B37D8-29C1-42C9-A123-937C3AB1F290}"/>
            </a:ext>
          </a:extLst>
        </xdr:cNvPr>
        <xdr:cNvSpPr txBox="1"/>
      </xdr:nvSpPr>
      <xdr:spPr>
        <a:xfrm>
          <a:off x="5181600" y="3175845"/>
          <a:ext cx="1188720"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CDBB924-35A7-4D20-B61E-452D819545A5}" type="TxLink">
            <a:rPr lang="en-US" sz="1400" b="0" i="0" u="none" strike="noStrike">
              <a:solidFill>
                <a:schemeClr val="tx1"/>
              </a:solidFill>
              <a:latin typeface="Aptos Narrow"/>
              <a:ea typeface="Verdana" panose="020B0604030504040204" pitchFamily="34" charset="0"/>
              <a:cs typeface="Calibri" panose="020F0502020204030204" pitchFamily="34" charset="0"/>
            </a:rPr>
            <a:pPr marL="0" indent="0" algn="l"/>
            <a:t>1800</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110489</xdr:colOff>
      <xdr:row>5</xdr:row>
      <xdr:rowOff>9525</xdr:rowOff>
    </xdr:from>
    <xdr:to>
      <xdr:col>12</xdr:col>
      <xdr:colOff>485774</xdr:colOff>
      <xdr:row>12</xdr:row>
      <xdr:rowOff>55245</xdr:rowOff>
    </xdr:to>
    <xdr:sp macro="" textlink="Processing!E15">
      <xdr:nvSpPr>
        <xdr:cNvPr id="50" name="Rectangle: Rounded Corners 49">
          <a:hlinkClick xmlns:r="http://schemas.openxmlformats.org/officeDocument/2006/relationships" r:id="rId7"/>
          <a:extLst>
            <a:ext uri="{FF2B5EF4-FFF2-40B4-BE49-F238E27FC236}">
              <a16:creationId xmlns:a16="http://schemas.microsoft.com/office/drawing/2014/main" id="{6B2D9D2D-14B8-427D-8A0F-19DE5D4D2690}"/>
            </a:ext>
          </a:extLst>
        </xdr:cNvPr>
        <xdr:cNvSpPr/>
      </xdr:nvSpPr>
      <xdr:spPr>
        <a:xfrm>
          <a:off x="4987289" y="962025"/>
          <a:ext cx="2813685" cy="13792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4000">
            <a:latin typeface="+mn-lt"/>
          </a:endParaRPr>
        </a:p>
      </xdr:txBody>
    </xdr:sp>
    <xdr:clientData/>
  </xdr:twoCellAnchor>
  <xdr:twoCellAnchor>
    <xdr:from>
      <xdr:col>13</xdr:col>
      <xdr:colOff>106680</xdr:colOff>
      <xdr:row>4</xdr:row>
      <xdr:rowOff>15240</xdr:rowOff>
    </xdr:from>
    <xdr:to>
      <xdr:col>19</xdr:col>
      <xdr:colOff>601980</xdr:colOff>
      <xdr:row>17</xdr:row>
      <xdr:rowOff>99060</xdr:rowOff>
    </xdr:to>
    <xdr:sp macro="" textlink="">
      <xdr:nvSpPr>
        <xdr:cNvPr id="51" name="Rectangle: Rounded Corners 50">
          <a:hlinkClick xmlns:r="http://schemas.openxmlformats.org/officeDocument/2006/relationships" r:id="rId8"/>
          <a:extLst>
            <a:ext uri="{FF2B5EF4-FFF2-40B4-BE49-F238E27FC236}">
              <a16:creationId xmlns:a16="http://schemas.microsoft.com/office/drawing/2014/main" id="{E99379BD-54F6-4974-B5AC-E502A47480DE}"/>
            </a:ext>
          </a:extLst>
        </xdr:cNvPr>
        <xdr:cNvSpPr/>
      </xdr:nvSpPr>
      <xdr:spPr>
        <a:xfrm>
          <a:off x="8031480" y="74676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91440</xdr:colOff>
      <xdr:row>18</xdr:row>
      <xdr:rowOff>114300</xdr:rowOff>
    </xdr:from>
    <xdr:to>
      <xdr:col>16</xdr:col>
      <xdr:colOff>114300</xdr:colOff>
      <xdr:row>32</xdr:row>
      <xdr:rowOff>114300</xdr:rowOff>
    </xdr:to>
    <xdr:sp macro="" textlink="">
      <xdr:nvSpPr>
        <xdr:cNvPr id="52" name="Rectangle: Rounded Corners 51">
          <a:hlinkClick xmlns:r="http://schemas.openxmlformats.org/officeDocument/2006/relationships" r:id="rId9"/>
          <a:extLst>
            <a:ext uri="{FF2B5EF4-FFF2-40B4-BE49-F238E27FC236}">
              <a16:creationId xmlns:a16="http://schemas.microsoft.com/office/drawing/2014/main" id="{1A4D3ED0-B4EA-4772-9BCA-F83CF63A1760}"/>
            </a:ext>
          </a:extLst>
        </xdr:cNvPr>
        <xdr:cNvSpPr/>
      </xdr:nvSpPr>
      <xdr:spPr>
        <a:xfrm>
          <a:off x="8016240" y="340614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327660</xdr:colOff>
      <xdr:row>18</xdr:row>
      <xdr:rowOff>114300</xdr:rowOff>
    </xdr:from>
    <xdr:to>
      <xdr:col>20</xdr:col>
      <xdr:colOff>7620</xdr:colOff>
      <xdr:row>35</xdr:row>
      <xdr:rowOff>144780</xdr:rowOff>
    </xdr:to>
    <xdr:sp macro="" textlink="">
      <xdr:nvSpPr>
        <xdr:cNvPr id="53" name="Rectangle: Rounded Corners 52">
          <a:hlinkClick xmlns:r="http://schemas.openxmlformats.org/officeDocument/2006/relationships" r:id="rId10"/>
          <a:extLst>
            <a:ext uri="{FF2B5EF4-FFF2-40B4-BE49-F238E27FC236}">
              <a16:creationId xmlns:a16="http://schemas.microsoft.com/office/drawing/2014/main" id="{CAE9483C-27A6-4892-B2E5-AD8A09879549}"/>
            </a:ext>
          </a:extLst>
        </xdr:cNvPr>
        <xdr:cNvSpPr/>
      </xdr:nvSpPr>
      <xdr:spPr>
        <a:xfrm>
          <a:off x="10081260" y="340614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68580</xdr:colOff>
      <xdr:row>4</xdr:row>
      <xdr:rowOff>152400</xdr:rowOff>
    </xdr:from>
    <xdr:to>
      <xdr:col>7</xdr:col>
      <xdr:colOff>396240</xdr:colOff>
      <xdr:row>12</xdr:row>
      <xdr:rowOff>7620</xdr:rowOff>
    </xdr:to>
    <xdr:sp macro="" textlink="">
      <xdr:nvSpPr>
        <xdr:cNvPr id="54" name="Rectangle: Rounded Corners 53">
          <a:hlinkClick xmlns:r="http://schemas.openxmlformats.org/officeDocument/2006/relationships" r:id="rId11"/>
          <a:extLst>
            <a:ext uri="{FF2B5EF4-FFF2-40B4-BE49-F238E27FC236}">
              <a16:creationId xmlns:a16="http://schemas.microsoft.com/office/drawing/2014/main" id="{2B906908-917F-4ABC-8250-BFCD86160A0E}"/>
            </a:ext>
          </a:extLst>
        </xdr:cNvPr>
        <xdr:cNvSpPr/>
      </xdr:nvSpPr>
      <xdr:spPr>
        <a:xfrm>
          <a:off x="2506980" y="88392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56" name="Group 55">
          <a:hlinkClick xmlns:r="http://schemas.openxmlformats.org/officeDocument/2006/relationships" r:id="rId12"/>
          <a:extLst>
            <a:ext uri="{FF2B5EF4-FFF2-40B4-BE49-F238E27FC236}">
              <a16:creationId xmlns:a16="http://schemas.microsoft.com/office/drawing/2014/main" id="{DEB54862-FF87-4F5C-A105-1F29D6D65F3B}"/>
            </a:ext>
          </a:extLst>
        </xdr:cNvPr>
        <xdr:cNvGrpSpPr/>
      </xdr:nvGrpSpPr>
      <xdr:grpSpPr>
        <a:xfrm>
          <a:off x="158639" y="833505"/>
          <a:ext cx="274320" cy="262048"/>
          <a:chOff x="2657199" y="8924774"/>
          <a:chExt cx="796566" cy="720791"/>
        </a:xfrm>
      </xdr:grpSpPr>
      <xdr:sp macro="" textlink="">
        <xdr:nvSpPr>
          <xdr:cNvPr id="60" name="Freeform: Shape 59">
            <a:extLst>
              <a:ext uri="{FF2B5EF4-FFF2-40B4-BE49-F238E27FC236}">
                <a16:creationId xmlns:a16="http://schemas.microsoft.com/office/drawing/2014/main" id="{7596D8F4-AE9E-FA87-CA18-6E96019F7992}"/>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61" name="Freeform: Shape 60">
            <a:extLst>
              <a:ext uri="{FF2B5EF4-FFF2-40B4-BE49-F238E27FC236}">
                <a16:creationId xmlns:a16="http://schemas.microsoft.com/office/drawing/2014/main" id="{48188C9A-256C-D279-680F-B68CA14CB087}"/>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2" name="Freeform: Shape 61">
            <a:extLst>
              <a:ext uri="{FF2B5EF4-FFF2-40B4-BE49-F238E27FC236}">
                <a16:creationId xmlns:a16="http://schemas.microsoft.com/office/drawing/2014/main" id="{921930F7-91BB-5059-4E68-F56AC632444D}"/>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3" name="Freeform: Shape 62">
            <a:extLst>
              <a:ext uri="{FF2B5EF4-FFF2-40B4-BE49-F238E27FC236}">
                <a16:creationId xmlns:a16="http://schemas.microsoft.com/office/drawing/2014/main" id="{4D7639B8-1A26-1A48-CEB4-BC867AF248AB}"/>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21504" name="Freeform: Shape 21503">
            <a:extLst>
              <a:ext uri="{FF2B5EF4-FFF2-40B4-BE49-F238E27FC236}">
                <a16:creationId xmlns:a16="http://schemas.microsoft.com/office/drawing/2014/main" id="{829D8411-E31A-2B30-C009-39DB720312B4}"/>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21506" name="Freeform: Shape 21505">
            <a:extLst>
              <a:ext uri="{FF2B5EF4-FFF2-40B4-BE49-F238E27FC236}">
                <a16:creationId xmlns:a16="http://schemas.microsoft.com/office/drawing/2014/main" id="{E9A045EE-A8E0-15ED-D136-0588B6EAE140}"/>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21507" name="Freeform: Shape 21506">
            <a:extLst>
              <a:ext uri="{FF2B5EF4-FFF2-40B4-BE49-F238E27FC236}">
                <a16:creationId xmlns:a16="http://schemas.microsoft.com/office/drawing/2014/main" id="{D92B12B2-3037-2E7F-EA5B-542EA12B6487}"/>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21508" name="Freeform: Shape 21507">
            <a:extLst>
              <a:ext uri="{FF2B5EF4-FFF2-40B4-BE49-F238E27FC236}">
                <a16:creationId xmlns:a16="http://schemas.microsoft.com/office/drawing/2014/main" id="{A7C3FCE6-8A6C-DAAF-B019-4F06C3F9F5B6}"/>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57" name="Graphic 56" descr="Moon and stars with solid fill">
          <a:hlinkClick xmlns:r="http://schemas.openxmlformats.org/officeDocument/2006/relationships" r:id="rId13"/>
          <a:extLst>
            <a:ext uri="{FF2B5EF4-FFF2-40B4-BE49-F238E27FC236}">
              <a16:creationId xmlns:a16="http://schemas.microsoft.com/office/drawing/2014/main" id="{7F116048-EAF5-8BCC-87E6-F31BF9789F2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8" name="Graphic 57" descr="Sun with solid fill">
          <a:extLst>
            <a:ext uri="{FF2B5EF4-FFF2-40B4-BE49-F238E27FC236}">
              <a16:creationId xmlns:a16="http://schemas.microsoft.com/office/drawing/2014/main" id="{7CF00072-7839-6B69-E050-3203B4C0FE5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twoCellAnchor>
    <xdr:from>
      <xdr:col>8</xdr:col>
      <xdr:colOff>298870</xdr:colOff>
      <xdr:row>5</xdr:row>
      <xdr:rowOff>115357</xdr:rowOff>
    </xdr:from>
    <xdr:to>
      <xdr:col>12</xdr:col>
      <xdr:colOff>309293</xdr:colOff>
      <xdr:row>9</xdr:row>
      <xdr:rowOff>36983</xdr:rowOff>
    </xdr:to>
    <xdr:sp macro="" textlink="Processing!E15">
      <xdr:nvSpPr>
        <xdr:cNvPr id="55" name="Rectangle: Rounded Corners 54">
          <a:hlinkClick xmlns:r="http://schemas.openxmlformats.org/officeDocument/2006/relationships" r:id="rId18"/>
          <a:extLst>
            <a:ext uri="{FF2B5EF4-FFF2-40B4-BE49-F238E27FC236}">
              <a16:creationId xmlns:a16="http://schemas.microsoft.com/office/drawing/2014/main" id="{D6558969-D674-4675-A4FA-A72C50F72D2F}"/>
            </a:ext>
          </a:extLst>
        </xdr:cNvPr>
        <xdr:cNvSpPr/>
      </xdr:nvSpPr>
      <xdr:spPr>
        <a:xfrm>
          <a:off x="5209537" y="1067857"/>
          <a:ext cx="2465756" cy="683626"/>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76BB91-A231-413D-9A47-94EC8253C654}" type="TxLink">
            <a:rPr lang="en-US" sz="3600" b="0" i="0" u="none" strike="noStrike">
              <a:solidFill>
                <a:srgbClr val="000000"/>
              </a:solidFill>
              <a:latin typeface="Aptos Narrow"/>
            </a:rPr>
            <a:t> $13,44,765 </a:t>
          </a:fld>
          <a:endParaRPr lang="ru-RU" sz="36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grpSp>
      <xdr:nvGrpSpPr>
        <xdr:cNvPr id="2" name="Group 1">
          <a:extLst>
            <a:ext uri="{FF2B5EF4-FFF2-40B4-BE49-F238E27FC236}">
              <a16:creationId xmlns:a16="http://schemas.microsoft.com/office/drawing/2014/main" id="{57C668AF-BF76-44CF-9998-8903EF1EB996}"/>
            </a:ext>
          </a:extLst>
        </xdr:cNvPr>
        <xdr:cNvGrpSpPr/>
      </xdr:nvGrpSpPr>
      <xdr:grpSpPr>
        <a:xfrm>
          <a:off x="7620" y="0"/>
          <a:ext cx="14732000" cy="8572500"/>
          <a:chOff x="172844" y="6858000"/>
          <a:chExt cx="11850624" cy="7235580"/>
        </a:xfrm>
      </xdr:grpSpPr>
      <xdr:sp macro="" textlink="">
        <xdr:nvSpPr>
          <xdr:cNvPr id="3" name="Rectangle 2">
            <a:extLst>
              <a:ext uri="{FF2B5EF4-FFF2-40B4-BE49-F238E27FC236}">
                <a16:creationId xmlns:a16="http://schemas.microsoft.com/office/drawing/2014/main" id="{265B2278-0672-9A4F-E2F0-A096244A433B}"/>
              </a:ext>
            </a:extLst>
          </xdr:cNvPr>
          <xdr:cNvSpPr/>
        </xdr:nvSpPr>
        <xdr:spPr>
          <a:xfrm>
            <a:off x="172844" y="6858000"/>
            <a:ext cx="11846312" cy="7235580"/>
          </a:xfrm>
          <a:prstGeom prst="rect">
            <a:avLst/>
          </a:prstGeom>
          <a:gradFill flip="none" rotWithShape="1">
            <a:gsLst>
              <a:gs pos="28000">
                <a:srgbClr val="353C96"/>
              </a:gs>
              <a:gs pos="97000">
                <a:srgbClr val="2587D1"/>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D3171D0B-F7FD-A417-61B3-CDC14F8CA2A1}"/>
              </a:ext>
            </a:extLst>
          </xdr:cNvPr>
          <xdr:cNvSpPr/>
        </xdr:nvSpPr>
        <xdr:spPr>
          <a:xfrm>
            <a:off x="172844" y="6858000"/>
            <a:ext cx="11850624" cy="7235580"/>
          </a:xfrm>
          <a:prstGeom prst="rect">
            <a:avLst/>
          </a:prstGeom>
          <a:gradFill flip="none" rotWithShape="1">
            <a:gsLst>
              <a:gs pos="0">
                <a:srgbClr val="A66AB0"/>
              </a:gs>
              <a:gs pos="37000">
                <a:srgbClr val="353C97">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grpSp>
      <xdr:nvGrpSpPr>
        <xdr:cNvPr id="5" name="Group 4">
          <a:extLst>
            <a:ext uri="{FF2B5EF4-FFF2-40B4-BE49-F238E27FC236}">
              <a16:creationId xmlns:a16="http://schemas.microsoft.com/office/drawing/2014/main" id="{5308A629-278F-46F4-8C11-67093CDB3615}"/>
            </a:ext>
          </a:extLst>
        </xdr:cNvPr>
        <xdr:cNvGrpSpPr/>
      </xdr:nvGrpSpPr>
      <xdr:grpSpPr>
        <a:xfrm>
          <a:off x="1932940" y="396240"/>
          <a:ext cx="10770447" cy="6758940"/>
          <a:chOff x="914143" y="7218382"/>
          <a:chExt cx="10698480" cy="6492240"/>
        </a:xfrm>
        <a:effectLst>
          <a:outerShdw blurRad="571500" dist="190500" dir="8100000" algn="tr" rotWithShape="0">
            <a:prstClr val="black">
              <a:alpha val="60000"/>
            </a:prstClr>
          </a:outerShdw>
        </a:effectLst>
      </xdr:grpSpPr>
      <xdr:sp macro="" textlink="">
        <xdr:nvSpPr>
          <xdr:cNvPr id="6" name="Rectangle: Rounded Corners 5">
            <a:extLst>
              <a:ext uri="{FF2B5EF4-FFF2-40B4-BE49-F238E27FC236}">
                <a16:creationId xmlns:a16="http://schemas.microsoft.com/office/drawing/2014/main" id="{37981728-CF54-7D70-424F-D13422422F27}"/>
              </a:ext>
            </a:extLst>
          </xdr:cNvPr>
          <xdr:cNvSpPr/>
        </xdr:nvSpPr>
        <xdr:spPr>
          <a:xfrm>
            <a:off x="914143" y="7218382"/>
            <a:ext cx="10698480" cy="6492240"/>
          </a:xfrm>
          <a:prstGeom prst="roundRect">
            <a:avLst>
              <a:gd name="adj" fmla="val 5678"/>
            </a:avLst>
          </a:prstGeom>
          <a:gradFill flip="none" rotWithShape="1">
            <a:gsLst>
              <a:gs pos="100000">
                <a:srgbClr val="1A598D"/>
              </a:gs>
              <a:gs pos="72000">
                <a:srgbClr val="353874"/>
              </a:gs>
              <a:gs pos="27000">
                <a:srgbClr val="353874"/>
              </a:gs>
              <a:gs pos="0">
                <a:srgbClr val="43348B"/>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CA5718A4-5E83-0321-2F8A-C60E0CA3E158}"/>
              </a:ext>
            </a:extLst>
          </xdr:cNvPr>
          <xdr:cNvSpPr/>
        </xdr:nvSpPr>
        <xdr:spPr>
          <a:xfrm>
            <a:off x="914143" y="7218382"/>
            <a:ext cx="10698480" cy="6492240"/>
          </a:xfrm>
          <a:prstGeom prst="roundRect">
            <a:avLst>
              <a:gd name="adj" fmla="val 5678"/>
            </a:avLst>
          </a:prstGeom>
          <a:gradFill flip="none" rotWithShape="1">
            <a:gsLst>
              <a:gs pos="100000">
                <a:srgbClr val="5E376F"/>
              </a:gs>
              <a:gs pos="72000">
                <a:srgbClr val="353874">
                  <a:alpha val="0"/>
                </a:srgbClr>
              </a:gs>
              <a:gs pos="27000">
                <a:srgbClr val="353874">
                  <a:alpha val="0"/>
                </a:srgbClr>
              </a:gs>
              <a:gs pos="0">
                <a:srgbClr val="43348B"/>
              </a:gs>
            </a:gsLst>
            <a:lin ang="18900000" scaled="1"/>
            <a:tileRect/>
          </a:gradFill>
          <a:ln w="9525">
            <a:gradFill flip="none" rotWithShape="1">
              <a:gsLst>
                <a:gs pos="0">
                  <a:srgbClr val="00B0F0"/>
                </a:gs>
                <a:gs pos="100000">
                  <a:srgbClr val="9079D9"/>
                </a:gs>
                <a:gs pos="68000">
                  <a:srgbClr val="6956B1"/>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D47A6982-7512-41DE-B438-F22AE537BA22}"/>
            </a:ext>
          </a:extLst>
        </xdr:cNvPr>
        <xdr:cNvSpPr/>
      </xdr:nvSpPr>
      <xdr:spPr>
        <a:xfrm>
          <a:off x="2317262" y="716188"/>
          <a:ext cx="2441986" cy="1645920"/>
        </a:xfrm>
        <a:prstGeom prst="roundRect">
          <a:avLst>
            <a:gd name="adj" fmla="val 9318"/>
          </a:avLst>
        </a:prstGeom>
        <a:gradFill flip="none" rotWithShape="1">
          <a:gsLst>
            <a:gs pos="3000">
              <a:srgbClr val="574998"/>
            </a:gs>
            <a:gs pos="76000">
              <a:srgbClr val="262D6A"/>
            </a:gs>
          </a:gsLst>
          <a:lin ang="6600000" scaled="0"/>
          <a:tileRect/>
        </a:gradFill>
        <a:ln w="9525">
          <a:gradFill flip="none" rotWithShape="1">
            <a:gsLst>
              <a:gs pos="0">
                <a:srgbClr val="BB75D8"/>
              </a:gs>
              <a:gs pos="51000">
                <a:srgbClr val="3B3E75"/>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71E09A2B-9551-485C-99A2-EB0B249ACA8B}"/>
            </a:ext>
          </a:extLst>
        </xdr:cNvPr>
        <xdr:cNvSpPr/>
      </xdr:nvSpPr>
      <xdr:spPr>
        <a:xfrm>
          <a:off x="4976853" y="718877"/>
          <a:ext cx="2812649" cy="1645920"/>
        </a:xfrm>
        <a:prstGeom prst="roundRect">
          <a:avLst>
            <a:gd name="adj" fmla="val 8437"/>
          </a:avLst>
        </a:prstGeom>
        <a:gradFill flip="none" rotWithShape="1">
          <a:gsLst>
            <a:gs pos="0">
              <a:srgbClr val="7D59A1"/>
            </a:gs>
            <a:gs pos="68000">
              <a:srgbClr val="30306F"/>
            </a:gs>
          </a:gsLst>
          <a:lin ang="6600000" scaled="0"/>
          <a:tileRect/>
        </a:gradFill>
        <a:ln w="9525">
          <a:gradFill flip="none" rotWithShape="1">
            <a:gsLst>
              <a:gs pos="0">
                <a:srgbClr val="EB97ED"/>
              </a:gs>
              <a:gs pos="49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317657</xdr:colOff>
      <xdr:row>5</xdr:row>
      <xdr:rowOff>25457</xdr:rowOff>
    </xdr:from>
    <xdr:to>
      <xdr:col>12</xdr:col>
      <xdr:colOff>256697</xdr:colOff>
      <xdr:row>11</xdr:row>
      <xdr:rowOff>116897</xdr:rowOff>
    </xdr:to>
    <xdr:grpSp>
      <xdr:nvGrpSpPr>
        <xdr:cNvPr id="10" name="Group 9">
          <a:extLst>
            <a:ext uri="{FF2B5EF4-FFF2-40B4-BE49-F238E27FC236}">
              <a16:creationId xmlns:a16="http://schemas.microsoft.com/office/drawing/2014/main" id="{8E5585EA-0479-4063-BD6D-CF6791AFCAC5}"/>
            </a:ext>
          </a:extLst>
        </xdr:cNvPr>
        <xdr:cNvGrpSpPr/>
      </xdr:nvGrpSpPr>
      <xdr:grpSpPr>
        <a:xfrm>
          <a:off x="5228324" y="977957"/>
          <a:ext cx="2394373" cy="1234440"/>
          <a:chOff x="4327066" y="2477006"/>
          <a:chExt cx="2017854" cy="1200912"/>
        </a:xfrm>
        <a:effectLst>
          <a:outerShdw blurRad="190500" dist="63500" dir="8100000" algn="tr" rotWithShape="0">
            <a:prstClr val="black">
              <a:alpha val="80000"/>
            </a:prstClr>
          </a:outerShdw>
        </a:effectLst>
      </xdr:grpSpPr>
      <xdr:sp macro="" textlink="">
        <xdr:nvSpPr>
          <xdr:cNvPr id="11" name="Rectangle: Rounded Corners 10">
            <a:extLst>
              <a:ext uri="{FF2B5EF4-FFF2-40B4-BE49-F238E27FC236}">
                <a16:creationId xmlns:a16="http://schemas.microsoft.com/office/drawing/2014/main" id="{2D4B27FE-C43B-C404-A507-52342DF43CC3}"/>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E15">
        <xdr:nvSpPr>
          <xdr:cNvPr id="12" name="Rectangle: Rounded Corners 11">
            <a:extLst>
              <a:ext uri="{FF2B5EF4-FFF2-40B4-BE49-F238E27FC236}">
                <a16:creationId xmlns:a16="http://schemas.microsoft.com/office/drawing/2014/main" id="{AED63610-7E35-987A-2987-54471CE9FA60}"/>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7F9CE73C-E2A6-491B-A672-9AFFE5A714CF}" type="TxLink">
              <a:rPr lang="en-US" sz="3400" b="0" i="0" u="none" strike="noStrike">
                <a:solidFill>
                  <a:schemeClr val="bg1"/>
                </a:solidFill>
                <a:latin typeface="Aptos Narrow"/>
              </a:rPr>
              <a:pPr algn="l"/>
              <a:t> $13,44,765 </a:t>
            </a:fld>
            <a:endParaRPr lang="ru-RU" sz="3400">
              <a:solidFill>
                <a:schemeClr val="bg1"/>
              </a:solidFill>
            </a:endParaRPr>
          </a:p>
        </xdr:txBody>
      </xdr:sp>
    </xdr:grpSp>
    <xdr:clientData/>
  </xdr:twoCellAnchor>
  <xdr:twoCellAnchor>
    <xdr:from>
      <xdr:col>13</xdr:col>
      <xdr:colOff>117892</xdr:colOff>
      <xdr:row>3</xdr:row>
      <xdr:rowOff>167548</xdr:rowOff>
    </xdr:from>
    <xdr:to>
      <xdr:col>20</xdr:col>
      <xdr:colOff>11212</xdr:colOff>
      <xdr:row>17</xdr:row>
      <xdr:rowOff>86268</xdr:rowOff>
    </xdr:to>
    <xdr:sp macro="" textlink="">
      <xdr:nvSpPr>
        <xdr:cNvPr id="13" name="Rectangle: Rounded Corners 12">
          <a:extLst>
            <a:ext uri="{FF2B5EF4-FFF2-40B4-BE49-F238E27FC236}">
              <a16:creationId xmlns:a16="http://schemas.microsoft.com/office/drawing/2014/main" id="{AC1201EE-01AF-41E3-AF78-56C0F8000A62}"/>
            </a:ext>
          </a:extLst>
        </xdr:cNvPr>
        <xdr:cNvSpPr/>
      </xdr:nvSpPr>
      <xdr:spPr>
        <a:xfrm>
          <a:off x="8042692" y="716188"/>
          <a:ext cx="4160520" cy="2479040"/>
        </a:xfrm>
        <a:prstGeom prst="roundRect">
          <a:avLst>
            <a:gd name="adj" fmla="val 8437"/>
          </a:avLst>
        </a:prstGeom>
        <a:gradFill flip="none" rotWithShape="1">
          <a:gsLst>
            <a:gs pos="85000">
              <a:srgbClr val="4F4C91"/>
            </a:gs>
            <a:gs pos="34000">
              <a:srgbClr val="7B5FA2"/>
            </a:gs>
            <a:gs pos="0">
              <a:srgbClr val="9D71AE"/>
            </a:gs>
            <a:gs pos="69000">
              <a:srgbClr val="5A4E94"/>
            </a:gs>
          </a:gsLst>
          <a:lin ang="6000000" scaled="0"/>
          <a:tileRect/>
        </a:gradFill>
        <a:ln w="9525">
          <a:gradFill flip="none" rotWithShape="1">
            <a:gsLst>
              <a:gs pos="0">
                <a:srgbClr val="F2BBF3"/>
              </a:gs>
              <a:gs pos="58000">
                <a:srgbClr val="9079D9"/>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4" name="Rectangle: Rounded Corners 13">
          <a:extLst>
            <a:ext uri="{FF2B5EF4-FFF2-40B4-BE49-F238E27FC236}">
              <a16:creationId xmlns:a16="http://schemas.microsoft.com/office/drawing/2014/main" id="{5452DDB2-698E-41D1-A830-8E1ED57CFA73}"/>
            </a:ext>
          </a:extLst>
        </xdr:cNvPr>
        <xdr:cNvSpPr/>
      </xdr:nvSpPr>
      <xdr:spPr>
        <a:xfrm>
          <a:off x="10100092" y="3422015"/>
          <a:ext cx="210312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solidFill>
            <a:srgbClr val="EB97ED"/>
          </a:soli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5" name="Rectangle: Rounded Corners 14">
          <a:extLst>
            <a:ext uri="{FF2B5EF4-FFF2-40B4-BE49-F238E27FC236}">
              <a16:creationId xmlns:a16="http://schemas.microsoft.com/office/drawing/2014/main" id="{EC950618-2A7D-4B81-8E24-2B85EB4E0085}"/>
            </a:ext>
          </a:extLst>
        </xdr:cNvPr>
        <xdr:cNvSpPr/>
      </xdr:nvSpPr>
      <xdr:spPr>
        <a:xfrm>
          <a:off x="8042692" y="3422015"/>
          <a:ext cx="182880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6" name="Rectangle: Rounded Corners 15">
          <a:extLst>
            <a:ext uri="{FF2B5EF4-FFF2-40B4-BE49-F238E27FC236}">
              <a16:creationId xmlns:a16="http://schemas.microsoft.com/office/drawing/2014/main" id="{E1288999-8752-4974-A155-3C472AE00E9D}"/>
            </a:ext>
          </a:extLst>
        </xdr:cNvPr>
        <xdr:cNvSpPr/>
      </xdr:nvSpPr>
      <xdr:spPr>
        <a:xfrm>
          <a:off x="2311672" y="2606040"/>
          <a:ext cx="5477830" cy="3924935"/>
        </a:xfrm>
        <a:prstGeom prst="roundRect">
          <a:avLst>
            <a:gd name="adj" fmla="val 3638"/>
          </a:avLst>
        </a:prstGeom>
        <a:gradFill>
          <a:gsLst>
            <a:gs pos="0">
              <a:srgbClr val="515092"/>
            </a:gs>
            <a:gs pos="79000">
              <a:srgbClr val="2C3977"/>
            </a:gs>
          </a:gsLst>
          <a:lin ang="5400000" scaled="0"/>
        </a:gradFill>
        <a:ln w="9525">
          <a:gradFill flip="none" rotWithShape="1">
            <a:gsLst>
              <a:gs pos="0">
                <a:srgbClr val="997ABC"/>
              </a:gs>
              <a:gs pos="81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106680</xdr:colOff>
      <xdr:row>5</xdr:row>
      <xdr:rowOff>15240</xdr:rowOff>
    </xdr:from>
    <xdr:to>
      <xdr:col>7</xdr:col>
      <xdr:colOff>289560</xdr:colOff>
      <xdr:row>11</xdr:row>
      <xdr:rowOff>106680</xdr:rowOff>
    </xdr:to>
    <xdr:grpSp>
      <xdr:nvGrpSpPr>
        <xdr:cNvPr id="17" name="Group 16">
          <a:extLst>
            <a:ext uri="{FF2B5EF4-FFF2-40B4-BE49-F238E27FC236}">
              <a16:creationId xmlns:a16="http://schemas.microsoft.com/office/drawing/2014/main" id="{215ABD23-9047-471C-ACD2-6B5136ED6E59}"/>
            </a:ext>
          </a:extLst>
        </xdr:cNvPr>
        <xdr:cNvGrpSpPr/>
      </xdr:nvGrpSpPr>
      <xdr:grpSpPr>
        <a:xfrm>
          <a:off x="2562013" y="967740"/>
          <a:ext cx="2024380" cy="1234440"/>
          <a:chOff x="2234106" y="2775708"/>
          <a:chExt cx="2017854" cy="1200912"/>
        </a:xfrm>
        <a:effectLst>
          <a:outerShdw blurRad="190500" dist="63500" dir="8100000" algn="tr" rotWithShape="0">
            <a:prstClr val="black">
              <a:alpha val="80000"/>
            </a:prstClr>
          </a:outerShdw>
        </a:effectLst>
      </xdr:grpSpPr>
      <xdr:sp macro="" textlink="">
        <xdr:nvSpPr>
          <xdr:cNvPr id="18" name="Rectangle: Rounded Corners 17">
            <a:extLst>
              <a:ext uri="{FF2B5EF4-FFF2-40B4-BE49-F238E27FC236}">
                <a16:creationId xmlns:a16="http://schemas.microsoft.com/office/drawing/2014/main" id="{C0D12FDB-2A07-010E-46C8-849DA5654ABB}"/>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R6">
        <xdr:nvSpPr>
          <xdr:cNvPr id="19" name="Rectangle: Rounded Corners 18">
            <a:extLst>
              <a:ext uri="{FF2B5EF4-FFF2-40B4-BE49-F238E27FC236}">
                <a16:creationId xmlns:a16="http://schemas.microsoft.com/office/drawing/2014/main" id="{C6147622-3BCC-79A6-9269-C2A127DD3B99}"/>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9D5B22AD-2689-4A19-8294-60DCF73D852F}" type="TxLink">
              <a:rPr lang="en-US" sz="4000" b="0" i="0" u="none" strike="noStrike">
                <a:solidFill>
                  <a:schemeClr val="bg1"/>
                </a:solidFill>
                <a:latin typeface="Aptos Narrow"/>
              </a:rPr>
              <a:pPr algn="l"/>
              <a:t> 21 089</a:t>
            </a:fld>
            <a:endParaRPr lang="ru-RU" sz="4000">
              <a:solidFill>
                <a:schemeClr val="bg1"/>
              </a:solidFill>
            </a:endParaRPr>
          </a:p>
        </xdr:txBody>
      </xdr:sp>
    </xdr:grpSp>
    <xdr:clientData/>
  </xdr:twoCellAnchor>
  <xdr:twoCellAnchor>
    <xdr:from>
      <xdr:col>16</xdr:col>
      <xdr:colOff>289559</xdr:colOff>
      <xdr:row>5</xdr:row>
      <xdr:rowOff>73343</xdr:rowOff>
    </xdr:from>
    <xdr:to>
      <xdr:col>19</xdr:col>
      <xdr:colOff>289559</xdr:colOff>
      <xdr:row>15</xdr:row>
      <xdr:rowOff>73343</xdr:rowOff>
    </xdr:to>
    <xdr:sp macro="" textlink="">
      <xdr:nvSpPr>
        <xdr:cNvPr id="20" name="Circle: Hollow 19">
          <a:extLst>
            <a:ext uri="{FF2B5EF4-FFF2-40B4-BE49-F238E27FC236}">
              <a16:creationId xmlns:a16="http://schemas.microsoft.com/office/drawing/2014/main" id="{79E91458-AABC-49DA-B392-91889F1A482E}"/>
            </a:ext>
          </a:extLst>
        </xdr:cNvPr>
        <xdr:cNvSpPr/>
      </xdr:nvSpPr>
      <xdr:spPr>
        <a:xfrm>
          <a:off x="10043159" y="987743"/>
          <a:ext cx="1828800" cy="1828800"/>
        </a:xfrm>
        <a:prstGeom prst="donut">
          <a:avLst>
            <a:gd name="adj" fmla="val 20022"/>
          </a:avLst>
        </a:prstGeom>
        <a:solidFill>
          <a:srgbClr val="775A94"/>
        </a:solidFill>
        <a:ln>
          <a:noFill/>
        </a:ln>
        <a:effectLst>
          <a:innerShdw blurRad="254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1" name="Chart 20">
          <a:extLst>
            <a:ext uri="{FF2B5EF4-FFF2-40B4-BE49-F238E27FC236}">
              <a16:creationId xmlns:a16="http://schemas.microsoft.com/office/drawing/2014/main" id="{DA1CC9A2-1768-42F2-B0D6-CA25A4AFA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2" name="TextBox 21">
          <a:extLst>
            <a:ext uri="{FF2B5EF4-FFF2-40B4-BE49-F238E27FC236}">
              <a16:creationId xmlns:a16="http://schemas.microsoft.com/office/drawing/2014/main" id="{DAD8A9FA-5E31-4DD8-86CB-8720A3844F95}"/>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3" name="TextBox 22">
          <a:extLst>
            <a:ext uri="{FF2B5EF4-FFF2-40B4-BE49-F238E27FC236}">
              <a16:creationId xmlns:a16="http://schemas.microsoft.com/office/drawing/2014/main" id="{62C4271B-5CCA-447F-9547-31AEEB6EDAD8}"/>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4" name="TextBox 23">
          <a:extLst>
            <a:ext uri="{FF2B5EF4-FFF2-40B4-BE49-F238E27FC236}">
              <a16:creationId xmlns:a16="http://schemas.microsoft.com/office/drawing/2014/main" id="{4076F3BF-06D1-4365-B3C8-1A459297D5DB}"/>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5" name="Oval 24">
          <a:extLst>
            <a:ext uri="{FF2B5EF4-FFF2-40B4-BE49-F238E27FC236}">
              <a16:creationId xmlns:a16="http://schemas.microsoft.com/office/drawing/2014/main" id="{A49D5DDA-F371-48B4-AE8A-827A31AFFB15}"/>
            </a:ext>
          </a:extLst>
        </xdr:cNvPr>
        <xdr:cNvSpPr/>
      </xdr:nvSpPr>
      <xdr:spPr>
        <a:xfrm>
          <a:off x="8321040" y="1516380"/>
          <a:ext cx="137160" cy="137160"/>
        </a:xfrm>
        <a:prstGeom prst="ellipse">
          <a:avLst/>
        </a:prstGeom>
        <a:gradFill>
          <a:gsLst>
            <a:gs pos="0">
              <a:schemeClr val="accent5">
                <a:lumMod val="60000"/>
                <a:lumOff val="40000"/>
              </a:schemeClr>
            </a:gs>
            <a:gs pos="97000">
              <a:srgbClr val="A62C97"/>
            </a:gs>
          </a:gsLst>
          <a:lin ang="3000000" scaled="0"/>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6" name="Oval 25">
          <a:extLst>
            <a:ext uri="{FF2B5EF4-FFF2-40B4-BE49-F238E27FC236}">
              <a16:creationId xmlns:a16="http://schemas.microsoft.com/office/drawing/2014/main" id="{1C5BCCA6-ADD6-455A-AE2A-F580829208A8}"/>
            </a:ext>
          </a:extLst>
        </xdr:cNvPr>
        <xdr:cNvSpPr/>
      </xdr:nvSpPr>
      <xdr:spPr>
        <a:xfrm>
          <a:off x="8321040" y="1765300"/>
          <a:ext cx="137160" cy="137160"/>
        </a:xfrm>
        <a:prstGeom prst="ellipse">
          <a:avLst/>
        </a:prstGeom>
        <a:gradFill>
          <a:gsLst>
            <a:gs pos="100000">
              <a:srgbClr val="61A7F5"/>
            </a:gs>
            <a:gs pos="0">
              <a:srgbClr val="4077E3"/>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7" name="Oval 26">
          <a:extLst>
            <a:ext uri="{FF2B5EF4-FFF2-40B4-BE49-F238E27FC236}">
              <a16:creationId xmlns:a16="http://schemas.microsoft.com/office/drawing/2014/main" id="{B1F4333E-B1E7-4501-95A8-450CB4614F19}"/>
            </a:ext>
          </a:extLst>
        </xdr:cNvPr>
        <xdr:cNvSpPr/>
      </xdr:nvSpPr>
      <xdr:spPr>
        <a:xfrm>
          <a:off x="8321040" y="2014220"/>
          <a:ext cx="137160" cy="137160"/>
        </a:xfrm>
        <a:prstGeom prst="ellipse">
          <a:avLst/>
        </a:prstGeom>
        <a:gradFill>
          <a:gsLst>
            <a:gs pos="0">
              <a:srgbClr val="8070E2"/>
            </a:gs>
            <a:gs pos="100000">
              <a:srgbClr val="5A4EBD"/>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8" name="Oval 27">
          <a:extLst>
            <a:ext uri="{FF2B5EF4-FFF2-40B4-BE49-F238E27FC236}">
              <a16:creationId xmlns:a16="http://schemas.microsoft.com/office/drawing/2014/main" id="{80E74BD9-395E-44C6-BA63-7FC5A5EF4D34}"/>
            </a:ext>
          </a:extLst>
        </xdr:cNvPr>
        <xdr:cNvSpPr/>
      </xdr:nvSpPr>
      <xdr:spPr>
        <a:xfrm>
          <a:off x="8321040" y="2263140"/>
          <a:ext cx="137160" cy="137160"/>
        </a:xfrm>
        <a:prstGeom prst="ellipse">
          <a:avLst/>
        </a:prstGeom>
        <a:solidFill>
          <a:srgbClr val="49375B"/>
        </a:soli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9" name="TextBox 28">
          <a:extLst>
            <a:ext uri="{FF2B5EF4-FFF2-40B4-BE49-F238E27FC236}">
              <a16:creationId xmlns:a16="http://schemas.microsoft.com/office/drawing/2014/main" id="{09915DF4-13EE-4BEF-889A-22CDCFDA31C4}"/>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algn="ctr"/>
            <a:t>Traffic Sources</a:t>
          </a:fld>
          <a:endParaRPr lang="ru-RU" sz="44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0" name="Group 29">
          <a:extLst>
            <a:ext uri="{FF2B5EF4-FFF2-40B4-BE49-F238E27FC236}">
              <a16:creationId xmlns:a16="http://schemas.microsoft.com/office/drawing/2014/main" id="{292FCE65-BD03-47B7-BC42-49B7595E00D6}"/>
            </a:ext>
          </a:extLst>
        </xdr:cNvPr>
        <xdr:cNvGrpSpPr/>
      </xdr:nvGrpSpPr>
      <xdr:grpSpPr>
        <a:xfrm>
          <a:off x="10446503" y="4353436"/>
          <a:ext cx="1566665" cy="1629008"/>
          <a:chOff x="10374536" y="4039901"/>
          <a:chExt cx="1558199" cy="1554481"/>
        </a:xfrm>
      </xdr:grpSpPr>
      <xdr:cxnSp macro="">
        <xdr:nvCxnSpPr>
          <xdr:cNvPr id="31" name="Straight Connector 30">
            <a:extLst>
              <a:ext uri="{FF2B5EF4-FFF2-40B4-BE49-F238E27FC236}">
                <a16:creationId xmlns:a16="http://schemas.microsoft.com/office/drawing/2014/main" id="{E0D585C0-7ECB-1149-034C-BE20BA52F5CA}"/>
              </a:ext>
            </a:extLst>
          </xdr:cNvPr>
          <xdr:cNvCxnSpPr/>
        </xdr:nvCxnSpPr>
        <xdr:spPr>
          <a:xfrm>
            <a:off x="11155494"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8B598671-0DAE-AA40-0959-6F0A50C7A6F7}"/>
              </a:ext>
            </a:extLst>
          </xdr:cNvPr>
          <xdr:cNvCxnSpPr/>
        </xdr:nvCxnSpPr>
        <xdr:spPr>
          <a:xfrm rot="16200000">
            <a:off x="11155495"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943B16BD-72EB-FEC9-F172-4CD9BF8BE59D}"/>
              </a:ext>
            </a:extLst>
          </xdr:cNvPr>
          <xdr:cNvCxnSpPr/>
        </xdr:nvCxnSpPr>
        <xdr:spPr>
          <a:xfrm rot="2700000">
            <a:off x="11151776" y="4043620"/>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250FFDD5-22EE-D37D-3EFD-79B2C76FB216}"/>
              </a:ext>
            </a:extLst>
          </xdr:cNvPr>
          <xdr:cNvCxnSpPr/>
        </xdr:nvCxnSpPr>
        <xdr:spPr>
          <a:xfrm rot="18900000" flipH="1">
            <a:off x="11151774" y="4039902"/>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5" name="Chart 34">
          <a:extLst>
            <a:ext uri="{FF2B5EF4-FFF2-40B4-BE49-F238E27FC236}">
              <a16:creationId xmlns:a16="http://schemas.microsoft.com/office/drawing/2014/main" id="{52715FA8-1985-4F2E-8B45-4EAB46375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6" name="TextBox 35">
          <a:extLst>
            <a:ext uri="{FF2B5EF4-FFF2-40B4-BE49-F238E27FC236}">
              <a16:creationId xmlns:a16="http://schemas.microsoft.com/office/drawing/2014/main" id="{C750ACF2-A15E-451C-A3A6-3E7718833623}"/>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7" name="Chart 36">
          <a:extLst>
            <a:ext uri="{FF2B5EF4-FFF2-40B4-BE49-F238E27FC236}">
              <a16:creationId xmlns:a16="http://schemas.microsoft.com/office/drawing/2014/main" id="{5923668F-6613-478B-938F-2D277E610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8" name="TextBox 37">
          <a:extLst>
            <a:ext uri="{FF2B5EF4-FFF2-40B4-BE49-F238E27FC236}">
              <a16:creationId xmlns:a16="http://schemas.microsoft.com/office/drawing/2014/main" id="{785A0468-712F-4F96-AA81-EA2149C1E642}"/>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39" name="Chart 38">
          <a:extLst>
            <a:ext uri="{FF2B5EF4-FFF2-40B4-BE49-F238E27FC236}">
              <a16:creationId xmlns:a16="http://schemas.microsoft.com/office/drawing/2014/main" id="{A07CCC3C-D998-49B5-A200-C9902542D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9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40" name="Rectangle 39">
          <a:extLst>
            <a:ext uri="{FF2B5EF4-FFF2-40B4-BE49-F238E27FC236}">
              <a16:creationId xmlns:a16="http://schemas.microsoft.com/office/drawing/2014/main" id="{867628BA-D710-45E9-9831-508EF1A8DBC6}"/>
            </a:ext>
          </a:extLst>
        </xdr:cNvPr>
        <xdr:cNvSpPr/>
      </xdr:nvSpPr>
      <xdr:spPr>
        <a:xfrm>
          <a:off x="6858000" y="2849880"/>
          <a:ext cx="198120" cy="175260"/>
        </a:xfrm>
        <a:prstGeom prst="rect">
          <a:avLst/>
        </a:prstGeom>
        <a:solidFill>
          <a:srgbClr val="4C4D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1" name="Year 3">
              <a:extLst>
                <a:ext uri="{FF2B5EF4-FFF2-40B4-BE49-F238E27FC236}">
                  <a16:creationId xmlns:a16="http://schemas.microsoft.com/office/drawing/2014/main" id="{52882B7F-9A6D-457D-A961-CFE1A66B81A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2" name="TextBox 41">
          <a:extLst>
            <a:ext uri="{FF2B5EF4-FFF2-40B4-BE49-F238E27FC236}">
              <a16:creationId xmlns:a16="http://schemas.microsoft.com/office/drawing/2014/main" id="{F8C6BC55-2371-484B-AFEA-F009EDA8789D}"/>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3" name="TextBox 42">
          <a:extLst>
            <a:ext uri="{FF2B5EF4-FFF2-40B4-BE49-F238E27FC236}">
              <a16:creationId xmlns:a16="http://schemas.microsoft.com/office/drawing/2014/main" id="{6DD4358C-BEDE-4B5A-A9A5-C3B1E8E2001A}"/>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4" name="Chart 43">
          <a:extLst>
            <a:ext uri="{FF2B5EF4-FFF2-40B4-BE49-F238E27FC236}">
              <a16:creationId xmlns:a16="http://schemas.microsoft.com/office/drawing/2014/main" id="{C2CC9FF1-510C-440D-B84B-406DA11F4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5" name="TextBox 44">
          <a:extLst>
            <a:ext uri="{FF2B5EF4-FFF2-40B4-BE49-F238E27FC236}">
              <a16:creationId xmlns:a16="http://schemas.microsoft.com/office/drawing/2014/main" id="{CE264B06-5972-4950-B769-99B664009A85}"/>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6" name="TextBox 45">
          <a:extLst>
            <a:ext uri="{FF2B5EF4-FFF2-40B4-BE49-F238E27FC236}">
              <a16:creationId xmlns:a16="http://schemas.microsoft.com/office/drawing/2014/main" id="{5DE1B30D-A110-4072-8E8C-7311FD410427}"/>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54" name="Month 3">
              <a:extLst>
                <a:ext uri="{FF2B5EF4-FFF2-40B4-BE49-F238E27FC236}">
                  <a16:creationId xmlns:a16="http://schemas.microsoft.com/office/drawing/2014/main" id="{478F5845-F1DE-4454-8A16-2FDFEC1A5853}"/>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541501</xdr:colOff>
      <xdr:row>16</xdr:row>
      <xdr:rowOff>88699</xdr:rowOff>
    </xdr:from>
    <xdr:to>
      <xdr:col>11</xdr:col>
      <xdr:colOff>418263</xdr:colOff>
      <xdr:row>32</xdr:row>
      <xdr:rowOff>95452</xdr:rowOff>
    </xdr:to>
    <xdr:graphicFrame macro="">
      <xdr:nvGraphicFramePr>
        <xdr:cNvPr id="56" name="Chart 55">
          <a:extLst>
            <a:ext uri="{FF2B5EF4-FFF2-40B4-BE49-F238E27FC236}">
              <a16:creationId xmlns:a16="http://schemas.microsoft.com/office/drawing/2014/main" id="{311B716A-3AEA-7D68-EE7B-690924D4D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136439</xdr:colOff>
      <xdr:row>17</xdr:row>
      <xdr:rowOff>36405</xdr:rowOff>
    </xdr:from>
    <xdr:to>
      <xdr:col>12</xdr:col>
      <xdr:colOff>351242</xdr:colOff>
      <xdr:row>19</xdr:row>
      <xdr:rowOff>24556</xdr:rowOff>
    </xdr:to>
    <xdr:sp macro="" textlink="Processing!N7">
      <xdr:nvSpPr>
        <xdr:cNvPr id="58" name="TextBox 57">
          <a:extLst>
            <a:ext uri="{FF2B5EF4-FFF2-40B4-BE49-F238E27FC236}">
              <a16:creationId xmlns:a16="http://schemas.microsoft.com/office/drawing/2014/main" id="{E5E3EB60-DAEF-AD44-457E-079AD69F6E46}"/>
            </a:ext>
          </a:extLst>
        </xdr:cNvPr>
        <xdr:cNvSpPr txBox="1"/>
      </xdr:nvSpPr>
      <xdr:spPr>
        <a:xfrm>
          <a:off x="6842039" y="3145365"/>
          <a:ext cx="824403"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ED198B-6099-4A8D-9524-860B321957BA}"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44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136439</xdr:colOff>
      <xdr:row>19</xdr:row>
      <xdr:rowOff>5925</xdr:rowOff>
    </xdr:from>
    <xdr:to>
      <xdr:col>12</xdr:col>
      <xdr:colOff>351242</xdr:colOff>
      <xdr:row>20</xdr:row>
      <xdr:rowOff>176956</xdr:rowOff>
    </xdr:to>
    <xdr:sp macro="" textlink="Processing!N8">
      <xdr:nvSpPr>
        <xdr:cNvPr id="59" name="TextBox 58">
          <a:extLst>
            <a:ext uri="{FF2B5EF4-FFF2-40B4-BE49-F238E27FC236}">
              <a16:creationId xmlns:a16="http://schemas.microsoft.com/office/drawing/2014/main" id="{80BA0B90-88A4-9A7E-D0C5-17B0A43033D1}"/>
            </a:ext>
          </a:extLst>
        </xdr:cNvPr>
        <xdr:cNvSpPr txBox="1"/>
      </xdr:nvSpPr>
      <xdr:spPr>
        <a:xfrm>
          <a:off x="6842039" y="3480645"/>
          <a:ext cx="824403"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9A9ECD2-5034-4CD1-9379-DC8EB68149D3}" type="TxLink">
            <a:rPr lang="en-US" sz="1400" b="0" i="0" u="none" strike="noStrike">
              <a:solidFill>
                <a:schemeClr val="bg1"/>
              </a:solidFill>
              <a:latin typeface="Aptos Narrow"/>
              <a:ea typeface="Verdana" panose="020B0604030504040204" pitchFamily="34" charset="0"/>
              <a:cs typeface="Calibri" panose="020F0502020204030204" pitchFamily="34" charset="0"/>
            </a:rPr>
            <a:pPr marL="0" indent="0" algn="ctr"/>
            <a:t>100%</a:t>
          </a:fld>
          <a:endParaRPr lang="ru-RU" sz="66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99060</xdr:colOff>
      <xdr:row>14</xdr:row>
      <xdr:rowOff>68580</xdr:rowOff>
    </xdr:from>
    <xdr:to>
      <xdr:col>6</xdr:col>
      <xdr:colOff>121920</xdr:colOff>
      <xdr:row>17</xdr:row>
      <xdr:rowOff>38100</xdr:rowOff>
    </xdr:to>
    <xdr:sp macro="" textlink="Processing!L7">
      <xdr:nvSpPr>
        <xdr:cNvPr id="61" name="TextBox 60">
          <a:extLst>
            <a:ext uri="{FF2B5EF4-FFF2-40B4-BE49-F238E27FC236}">
              <a16:creationId xmlns:a16="http://schemas.microsoft.com/office/drawing/2014/main" id="{563E48BE-FB20-5F00-DB68-1126B68C8C96}"/>
            </a:ext>
          </a:extLst>
        </xdr:cNvPr>
        <xdr:cNvSpPr txBox="1"/>
      </xdr:nvSpPr>
      <xdr:spPr>
        <a:xfrm>
          <a:off x="2537460" y="2628900"/>
          <a:ext cx="12420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l"/>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548640</xdr:colOff>
      <xdr:row>14</xdr:row>
      <xdr:rowOff>83820</xdr:rowOff>
    </xdr:from>
    <xdr:to>
      <xdr:col>7</xdr:col>
      <xdr:colOff>571500</xdr:colOff>
      <xdr:row>17</xdr:row>
      <xdr:rowOff>53340</xdr:rowOff>
    </xdr:to>
    <xdr:sp macro="" textlink="Processing!L16">
      <xdr:nvSpPr>
        <xdr:cNvPr id="62" name="TextBox 61">
          <a:extLst>
            <a:ext uri="{FF2B5EF4-FFF2-40B4-BE49-F238E27FC236}">
              <a16:creationId xmlns:a16="http://schemas.microsoft.com/office/drawing/2014/main" id="{CEB864AE-CBB9-60FB-10B5-1EB053FF7894}"/>
            </a:ext>
          </a:extLst>
        </xdr:cNvPr>
        <xdr:cNvSpPr txBox="1"/>
      </xdr:nvSpPr>
      <xdr:spPr>
        <a:xfrm>
          <a:off x="3596640" y="2644140"/>
          <a:ext cx="12420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C89891D-CE1B-4B62-B1EB-E255AEE048EF}"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93%</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274320</xdr:colOff>
      <xdr:row>4</xdr:row>
      <xdr:rowOff>152400</xdr:rowOff>
    </xdr:from>
    <xdr:to>
      <xdr:col>12</xdr:col>
      <xdr:colOff>365760</xdr:colOff>
      <xdr:row>12</xdr:row>
      <xdr:rowOff>7620</xdr:rowOff>
    </xdr:to>
    <xdr:sp macro="" textlink="">
      <xdr:nvSpPr>
        <xdr:cNvPr id="63" name="Rectangle: Rounded Corners 62">
          <a:hlinkClick xmlns:r="http://schemas.openxmlformats.org/officeDocument/2006/relationships" r:id="rId7"/>
          <a:extLst>
            <a:ext uri="{FF2B5EF4-FFF2-40B4-BE49-F238E27FC236}">
              <a16:creationId xmlns:a16="http://schemas.microsoft.com/office/drawing/2014/main" id="{7ECF5E0A-EAD5-41E9-AE10-80FB692F5647}"/>
            </a:ext>
          </a:extLst>
        </xdr:cNvPr>
        <xdr:cNvSpPr/>
      </xdr:nvSpPr>
      <xdr:spPr>
        <a:xfrm>
          <a:off x="5151120" y="914400"/>
          <a:ext cx="2529840" cy="13792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137160</xdr:colOff>
      <xdr:row>4</xdr:row>
      <xdr:rowOff>15240</xdr:rowOff>
    </xdr:from>
    <xdr:to>
      <xdr:col>20</xdr:col>
      <xdr:colOff>22860</xdr:colOff>
      <xdr:row>17</xdr:row>
      <xdr:rowOff>99060</xdr:rowOff>
    </xdr:to>
    <xdr:sp macro="" textlink="">
      <xdr:nvSpPr>
        <xdr:cNvPr id="12288" name="Rectangle: Rounded Corners 12287">
          <a:hlinkClick xmlns:r="http://schemas.openxmlformats.org/officeDocument/2006/relationships" r:id="rId8"/>
          <a:extLst>
            <a:ext uri="{FF2B5EF4-FFF2-40B4-BE49-F238E27FC236}">
              <a16:creationId xmlns:a16="http://schemas.microsoft.com/office/drawing/2014/main" id="{15DEAEE5-3B62-449D-BA49-13A654D22CE4}"/>
            </a:ext>
          </a:extLst>
        </xdr:cNvPr>
        <xdr:cNvSpPr/>
      </xdr:nvSpPr>
      <xdr:spPr>
        <a:xfrm>
          <a:off x="8061960" y="74676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121920</xdr:colOff>
      <xdr:row>18</xdr:row>
      <xdr:rowOff>114300</xdr:rowOff>
    </xdr:from>
    <xdr:to>
      <xdr:col>16</xdr:col>
      <xdr:colOff>144780</xdr:colOff>
      <xdr:row>32</xdr:row>
      <xdr:rowOff>114300</xdr:rowOff>
    </xdr:to>
    <xdr:sp macro="" textlink="">
      <xdr:nvSpPr>
        <xdr:cNvPr id="12290" name="Rectangle: Rounded Corners 12289">
          <a:hlinkClick xmlns:r="http://schemas.openxmlformats.org/officeDocument/2006/relationships" r:id="rId9"/>
          <a:extLst>
            <a:ext uri="{FF2B5EF4-FFF2-40B4-BE49-F238E27FC236}">
              <a16:creationId xmlns:a16="http://schemas.microsoft.com/office/drawing/2014/main" id="{BE05E1E2-D578-4DA0-8BAE-E74EA49F03D6}"/>
            </a:ext>
          </a:extLst>
        </xdr:cNvPr>
        <xdr:cNvSpPr/>
      </xdr:nvSpPr>
      <xdr:spPr>
        <a:xfrm>
          <a:off x="8046720" y="340614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358140</xdr:colOff>
      <xdr:row>18</xdr:row>
      <xdr:rowOff>114300</xdr:rowOff>
    </xdr:from>
    <xdr:to>
      <xdr:col>20</xdr:col>
      <xdr:colOff>38100</xdr:colOff>
      <xdr:row>35</xdr:row>
      <xdr:rowOff>144780</xdr:rowOff>
    </xdr:to>
    <xdr:sp macro="" textlink="">
      <xdr:nvSpPr>
        <xdr:cNvPr id="12291" name="Rectangle: Rounded Corners 12290">
          <a:hlinkClick xmlns:r="http://schemas.openxmlformats.org/officeDocument/2006/relationships" r:id="rId10"/>
          <a:extLst>
            <a:ext uri="{FF2B5EF4-FFF2-40B4-BE49-F238E27FC236}">
              <a16:creationId xmlns:a16="http://schemas.microsoft.com/office/drawing/2014/main" id="{AB654B73-5346-479C-926B-AA960EA43A43}"/>
            </a:ext>
          </a:extLst>
        </xdr:cNvPr>
        <xdr:cNvSpPr/>
      </xdr:nvSpPr>
      <xdr:spPr>
        <a:xfrm>
          <a:off x="10111740" y="340614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99060</xdr:colOff>
      <xdr:row>4</xdr:row>
      <xdr:rowOff>152400</xdr:rowOff>
    </xdr:from>
    <xdr:to>
      <xdr:col>7</xdr:col>
      <xdr:colOff>426720</xdr:colOff>
      <xdr:row>12</xdr:row>
      <xdr:rowOff>7620</xdr:rowOff>
    </xdr:to>
    <xdr:sp macro="" textlink="">
      <xdr:nvSpPr>
        <xdr:cNvPr id="12292" name="Rectangle: Rounded Corners 12291">
          <a:hlinkClick xmlns:r="http://schemas.openxmlformats.org/officeDocument/2006/relationships" r:id="rId11"/>
          <a:extLst>
            <a:ext uri="{FF2B5EF4-FFF2-40B4-BE49-F238E27FC236}">
              <a16:creationId xmlns:a16="http://schemas.microsoft.com/office/drawing/2014/main" id="{FAA7DD6E-C3C0-43B1-9097-6843AA16E5A6}"/>
            </a:ext>
          </a:extLst>
        </xdr:cNvPr>
        <xdr:cNvSpPr/>
      </xdr:nvSpPr>
      <xdr:spPr>
        <a:xfrm>
          <a:off x="2537460" y="88392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48" name="Group 47">
          <a:hlinkClick xmlns:r="http://schemas.openxmlformats.org/officeDocument/2006/relationships" r:id="rId12"/>
          <a:extLst>
            <a:ext uri="{FF2B5EF4-FFF2-40B4-BE49-F238E27FC236}">
              <a16:creationId xmlns:a16="http://schemas.microsoft.com/office/drawing/2014/main" id="{AEA0B187-B3A4-E5AF-F747-B498E2F727A5}"/>
            </a:ext>
          </a:extLst>
        </xdr:cNvPr>
        <xdr:cNvGrpSpPr/>
      </xdr:nvGrpSpPr>
      <xdr:grpSpPr>
        <a:xfrm>
          <a:off x="158639" y="833505"/>
          <a:ext cx="274320" cy="262048"/>
          <a:chOff x="2657199" y="8924774"/>
          <a:chExt cx="796566" cy="720791"/>
        </a:xfrm>
      </xdr:grpSpPr>
      <xdr:sp macro="" textlink="">
        <xdr:nvSpPr>
          <xdr:cNvPr id="52" name="Freeform: Shape 51">
            <a:extLst>
              <a:ext uri="{FF2B5EF4-FFF2-40B4-BE49-F238E27FC236}">
                <a16:creationId xmlns:a16="http://schemas.microsoft.com/office/drawing/2014/main" id="{3894E22C-8BFD-A4A8-B672-238871FCCED4}"/>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53" name="Freeform: Shape 52">
            <a:extLst>
              <a:ext uri="{FF2B5EF4-FFF2-40B4-BE49-F238E27FC236}">
                <a16:creationId xmlns:a16="http://schemas.microsoft.com/office/drawing/2014/main" id="{38E5876C-BE39-1497-9876-2DA3E41FD376}"/>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55" name="Freeform: Shape 54">
            <a:extLst>
              <a:ext uri="{FF2B5EF4-FFF2-40B4-BE49-F238E27FC236}">
                <a16:creationId xmlns:a16="http://schemas.microsoft.com/office/drawing/2014/main" id="{3B6989F7-2FFB-3472-2162-FE975871DF27}"/>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57" name="Freeform: Shape 56">
            <a:extLst>
              <a:ext uri="{FF2B5EF4-FFF2-40B4-BE49-F238E27FC236}">
                <a16:creationId xmlns:a16="http://schemas.microsoft.com/office/drawing/2014/main" id="{BC4A4382-B3C8-CD17-3947-343B530E9188}"/>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0" name="Freeform: Shape 59">
            <a:extLst>
              <a:ext uri="{FF2B5EF4-FFF2-40B4-BE49-F238E27FC236}">
                <a16:creationId xmlns:a16="http://schemas.microsoft.com/office/drawing/2014/main" id="{E62D435F-4AC3-9A3A-FB18-EC278292D52F}"/>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12293" name="Freeform: Shape 12292">
            <a:extLst>
              <a:ext uri="{FF2B5EF4-FFF2-40B4-BE49-F238E27FC236}">
                <a16:creationId xmlns:a16="http://schemas.microsoft.com/office/drawing/2014/main" id="{4BCCA19D-9AFD-099E-7EA4-3D0D0089AAAB}"/>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12294" name="Freeform: Shape 12293">
            <a:extLst>
              <a:ext uri="{FF2B5EF4-FFF2-40B4-BE49-F238E27FC236}">
                <a16:creationId xmlns:a16="http://schemas.microsoft.com/office/drawing/2014/main" id="{8AD7E301-3FB9-0ED1-2E21-1DCBCC8E05D1}"/>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12295" name="Freeform: Shape 12294">
            <a:extLst>
              <a:ext uri="{FF2B5EF4-FFF2-40B4-BE49-F238E27FC236}">
                <a16:creationId xmlns:a16="http://schemas.microsoft.com/office/drawing/2014/main" id="{16844D60-FCF1-61C0-E386-0672A00E6C95}"/>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49" name="Graphic 48" descr="Moon and stars with solid fill">
          <a:extLst>
            <a:ext uri="{FF2B5EF4-FFF2-40B4-BE49-F238E27FC236}">
              <a16:creationId xmlns:a16="http://schemas.microsoft.com/office/drawing/2014/main" id="{D01DE896-9486-3E35-232D-27F12968208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0" name="Graphic 49" descr="Sun with solid fill">
          <a:hlinkClick xmlns:r="http://schemas.openxmlformats.org/officeDocument/2006/relationships" r:id="rId15"/>
          <a:extLst>
            <a:ext uri="{FF2B5EF4-FFF2-40B4-BE49-F238E27FC236}">
              <a16:creationId xmlns:a16="http://schemas.microsoft.com/office/drawing/2014/main" id="{5EC3350A-E492-22F4-4364-87933BB7C12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58" name="Group 57">
          <a:extLst>
            <a:ext uri="{FF2B5EF4-FFF2-40B4-BE49-F238E27FC236}">
              <a16:creationId xmlns:a16="http://schemas.microsoft.com/office/drawing/2014/main" id="{672AEE08-19BD-4F59-9779-E802FE529AE1}"/>
            </a:ext>
          </a:extLst>
        </xdr:cNvPr>
        <xdr:cNvGrpSpPr/>
      </xdr:nvGrpSpPr>
      <xdr:grpSpPr>
        <a:xfrm>
          <a:off x="0" y="0"/>
          <a:ext cx="14732000" cy="8572500"/>
          <a:chOff x="1538344" y="742278"/>
          <a:chExt cx="8961120" cy="5432611"/>
        </a:xfrm>
      </xdr:grpSpPr>
      <xdr:sp macro="" textlink="">
        <xdr:nvSpPr>
          <xdr:cNvPr id="59" name="Rectangle 58">
            <a:extLst>
              <a:ext uri="{FF2B5EF4-FFF2-40B4-BE49-F238E27FC236}">
                <a16:creationId xmlns:a16="http://schemas.microsoft.com/office/drawing/2014/main" id="{E25852D8-A132-8E90-AFCF-48A287C2A18C}"/>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0" name="Rectangle 59">
            <a:extLst>
              <a:ext uri="{FF2B5EF4-FFF2-40B4-BE49-F238E27FC236}">
                <a16:creationId xmlns:a16="http://schemas.microsoft.com/office/drawing/2014/main" id="{FCF85A8F-D09A-43FD-0BDA-534E178A0A75}"/>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7" name="Rectangle: Rounded Corners 6">
          <a:extLst>
            <a:ext uri="{FF2B5EF4-FFF2-40B4-BE49-F238E27FC236}">
              <a16:creationId xmlns:a16="http://schemas.microsoft.com/office/drawing/2014/main" id="{8E23F257-66ED-3FC7-7136-52162607776F}"/>
            </a:ext>
          </a:extLst>
        </xdr:cNvPr>
        <xdr:cNvSpPr/>
      </xdr:nvSpPr>
      <xdr:spPr>
        <a:xfrm>
          <a:off x="1920240" y="381000"/>
          <a:ext cx="10698480" cy="6492240"/>
        </a:xfrm>
        <a:prstGeom prst="roundRect">
          <a:avLst>
            <a:gd name="adj" fmla="val 5678"/>
          </a:avLst>
        </a:prstGeom>
        <a:gradFill flip="none" rotWithShape="1">
          <a:gsLst>
            <a:gs pos="0">
              <a:srgbClr val="E5D9FE"/>
            </a:gs>
            <a:gs pos="100000">
              <a:srgbClr val="DBE0FF"/>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BA905EFC-87F8-4C69-934E-5FE65FF2170C}"/>
            </a:ext>
          </a:extLst>
        </xdr:cNvPr>
        <xdr:cNvSpPr/>
      </xdr:nvSpPr>
      <xdr:spPr>
        <a:xfrm>
          <a:off x="2317262" y="716188"/>
          <a:ext cx="2441986" cy="1645920"/>
        </a:xfrm>
        <a:prstGeom prst="roundRect">
          <a:avLst>
            <a:gd name="adj" fmla="val 9318"/>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DA5E0A30-E1AB-4D14-AE8C-59BCBCF394AC}"/>
            </a:ext>
          </a:extLst>
        </xdr:cNvPr>
        <xdr:cNvSpPr/>
      </xdr:nvSpPr>
      <xdr:spPr>
        <a:xfrm>
          <a:off x="4976853" y="718877"/>
          <a:ext cx="2812649" cy="1645920"/>
        </a:xfrm>
        <a:prstGeom prst="roundRect">
          <a:avLst>
            <a:gd name="adj" fmla="val 8437"/>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12" name="Rectangle: Rounded Corners 11">
          <a:extLst>
            <a:ext uri="{FF2B5EF4-FFF2-40B4-BE49-F238E27FC236}">
              <a16:creationId xmlns:a16="http://schemas.microsoft.com/office/drawing/2014/main" id="{BDEC8935-1C40-EB69-9203-3501539840CC}"/>
            </a:ext>
          </a:extLst>
        </xdr:cNvPr>
        <xdr:cNvSpPr/>
      </xdr:nvSpPr>
      <xdr:spPr>
        <a:xfrm>
          <a:off x="5194457" y="939857"/>
          <a:ext cx="237744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en-US" sz="4000" kern="1200">
            <a:solidFill>
              <a:schemeClr val="tx1"/>
            </a:solidFill>
            <a:latin typeface="+mn-lt"/>
            <a:ea typeface="+mn-ea"/>
            <a:cs typeface="+mn-cs"/>
          </a:endParaRP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13" name="Rectangle: Rounded Corners 12">
          <a:extLst>
            <a:ext uri="{FF2B5EF4-FFF2-40B4-BE49-F238E27FC236}">
              <a16:creationId xmlns:a16="http://schemas.microsoft.com/office/drawing/2014/main" id="{B9A8F75F-D3B3-4BC5-B817-FDBEDAAFB741}"/>
            </a:ext>
          </a:extLst>
        </xdr:cNvPr>
        <xdr:cNvSpPr/>
      </xdr:nvSpPr>
      <xdr:spPr>
        <a:xfrm>
          <a:off x="8042692" y="716188"/>
          <a:ext cx="4160520" cy="2479040"/>
        </a:xfrm>
        <a:prstGeom prst="roundRect">
          <a:avLst>
            <a:gd name="adj" fmla="val 8437"/>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US" sz="1100">
            <a:solidFill>
              <a:schemeClr val="tx2">
                <a:lumMod val="10000"/>
                <a:lumOff val="90000"/>
              </a:schemeClr>
            </a:solidFill>
            <a:latin typeface="+mn-lt"/>
            <a:ea typeface="+mn-ea"/>
            <a:cs typeface="+mn-cs"/>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4" name="Rectangle: Rounded Corners 13">
          <a:extLst>
            <a:ext uri="{FF2B5EF4-FFF2-40B4-BE49-F238E27FC236}">
              <a16:creationId xmlns:a16="http://schemas.microsoft.com/office/drawing/2014/main" id="{4052C65E-B70C-4EE7-B761-708180E03258}"/>
            </a:ext>
          </a:extLst>
        </xdr:cNvPr>
        <xdr:cNvSpPr/>
      </xdr:nvSpPr>
      <xdr:spPr>
        <a:xfrm>
          <a:off x="10100092" y="3422015"/>
          <a:ext cx="2103120" cy="3108960"/>
        </a:xfrm>
        <a:prstGeom prst="roundRect">
          <a:avLst>
            <a:gd name="adj" fmla="val 8437"/>
          </a:avLst>
        </a:prstGeom>
        <a:gradFill flip="none" rotWithShape="1">
          <a:gsLst>
            <a:gs pos="100000">
              <a:srgbClr val="E5D9FE"/>
            </a:gs>
            <a:gs pos="0">
              <a:srgbClr val="DBE0FF"/>
            </a:gs>
          </a:gsLst>
          <a:lin ang="8100000" scaled="1"/>
          <a:tileRect/>
        </a:gradFill>
        <a:ln w="9525">
          <a:solidFill>
            <a:srgbClr val="8278FC"/>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5" name="Rectangle: Rounded Corners 14">
          <a:extLst>
            <a:ext uri="{FF2B5EF4-FFF2-40B4-BE49-F238E27FC236}">
              <a16:creationId xmlns:a16="http://schemas.microsoft.com/office/drawing/2014/main" id="{03F7599B-3315-44BC-A4CA-08AB681BDB2C}"/>
            </a:ext>
          </a:extLst>
        </xdr:cNvPr>
        <xdr:cNvSpPr/>
      </xdr:nvSpPr>
      <xdr:spPr>
        <a:xfrm>
          <a:off x="8042692" y="3422015"/>
          <a:ext cx="1828800" cy="3108960"/>
        </a:xfrm>
        <a:prstGeom prst="roundRect">
          <a:avLst>
            <a:gd name="adj" fmla="val 8437"/>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6" name="Rectangle: Rounded Corners 15">
          <a:extLst>
            <a:ext uri="{FF2B5EF4-FFF2-40B4-BE49-F238E27FC236}">
              <a16:creationId xmlns:a16="http://schemas.microsoft.com/office/drawing/2014/main" id="{4FC8B042-F293-4F71-B106-DFAC47A998EA}"/>
            </a:ext>
          </a:extLst>
        </xdr:cNvPr>
        <xdr:cNvSpPr/>
      </xdr:nvSpPr>
      <xdr:spPr>
        <a:xfrm>
          <a:off x="2311672" y="2606040"/>
          <a:ext cx="5477830" cy="3924935"/>
        </a:xfrm>
        <a:prstGeom prst="roundRect">
          <a:avLst>
            <a:gd name="adj" fmla="val 3638"/>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19" name="Rectangle: Rounded Corners 18">
          <a:extLst>
            <a:ext uri="{FF2B5EF4-FFF2-40B4-BE49-F238E27FC236}">
              <a16:creationId xmlns:a16="http://schemas.microsoft.com/office/drawing/2014/main" id="{908AD7B3-5BB6-8318-C125-0755292D68C7}"/>
            </a:ext>
          </a:extLst>
        </xdr:cNvPr>
        <xdr:cNvSpPr/>
      </xdr:nvSpPr>
      <xdr:spPr>
        <a:xfrm>
          <a:off x="2545080" y="929640"/>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D5B22AD-2689-4A19-8294-60DCF73D852F}" type="TxLink">
            <a:rPr lang="en-US" sz="4000" kern="1200">
              <a:solidFill>
                <a:schemeClr val="tx1"/>
              </a:solidFill>
              <a:latin typeface="+mn-lt"/>
              <a:ea typeface="+mn-ea"/>
              <a:cs typeface="+mn-cs"/>
            </a:rPr>
            <a:pPr marL="0" indent="0" algn="l" defTabSz="914400" rtl="0" eaLnBrk="1" latinLnBrk="0" hangingPunct="1"/>
            <a:t> 21 089</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20" name="Circle: Hollow 19">
          <a:extLst>
            <a:ext uri="{FF2B5EF4-FFF2-40B4-BE49-F238E27FC236}">
              <a16:creationId xmlns:a16="http://schemas.microsoft.com/office/drawing/2014/main" id="{821B05F2-1551-416D-8945-782EFF66271F}"/>
            </a:ext>
          </a:extLst>
        </xdr:cNvPr>
        <xdr:cNvSpPr/>
      </xdr:nvSpPr>
      <xdr:spPr>
        <a:xfrm>
          <a:off x="10043159" y="987743"/>
          <a:ext cx="1828800" cy="1828800"/>
        </a:xfrm>
        <a:prstGeom prst="donut">
          <a:avLst>
            <a:gd name="adj" fmla="val 20022"/>
          </a:avLst>
        </a:prstGeom>
        <a:solidFill>
          <a:srgbClr val="C7C5FF"/>
        </a:solidFill>
        <a:ln>
          <a:noFill/>
        </a:ln>
        <a:effectLst>
          <a:innerShdw blurRad="254000">
            <a:prstClr val="black">
              <a:alpha val="3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tx1"/>
            </a:solidFill>
            <a:latin typeface="+mn-lt"/>
            <a:ea typeface="+mn-ea"/>
            <a:cs typeface="+mn-cs"/>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1" name="Chart 20">
          <a:extLst>
            <a:ext uri="{FF2B5EF4-FFF2-40B4-BE49-F238E27FC236}">
              <a16:creationId xmlns:a16="http://schemas.microsoft.com/office/drawing/2014/main" id="{CE297824-B4D9-465C-973C-79829FFCE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2" name="TextBox 21">
          <a:extLst>
            <a:ext uri="{FF2B5EF4-FFF2-40B4-BE49-F238E27FC236}">
              <a16:creationId xmlns:a16="http://schemas.microsoft.com/office/drawing/2014/main" id="{64E0AF3E-FCC1-4635-A22E-CAC66A17CC81}"/>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3" name="TextBox 22">
          <a:extLst>
            <a:ext uri="{FF2B5EF4-FFF2-40B4-BE49-F238E27FC236}">
              <a16:creationId xmlns:a16="http://schemas.microsoft.com/office/drawing/2014/main" id="{3CC52987-895A-4B8E-92E0-EBE211E5F16B}"/>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4" name="TextBox 23">
          <a:extLst>
            <a:ext uri="{FF2B5EF4-FFF2-40B4-BE49-F238E27FC236}">
              <a16:creationId xmlns:a16="http://schemas.microsoft.com/office/drawing/2014/main" id="{D916ED9C-2F52-44D2-A0C3-D31C42DA76E5}"/>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5" name="Oval 24">
          <a:extLst>
            <a:ext uri="{FF2B5EF4-FFF2-40B4-BE49-F238E27FC236}">
              <a16:creationId xmlns:a16="http://schemas.microsoft.com/office/drawing/2014/main" id="{95E6C5C6-3C41-4AEA-A4B7-186404742A14}"/>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6" name="Oval 25">
          <a:extLst>
            <a:ext uri="{FF2B5EF4-FFF2-40B4-BE49-F238E27FC236}">
              <a16:creationId xmlns:a16="http://schemas.microsoft.com/office/drawing/2014/main" id="{94CDDB6C-F94A-4492-A86E-57428BED792F}"/>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7" name="Oval 26">
          <a:extLst>
            <a:ext uri="{FF2B5EF4-FFF2-40B4-BE49-F238E27FC236}">
              <a16:creationId xmlns:a16="http://schemas.microsoft.com/office/drawing/2014/main" id="{38C4A5BA-7EF8-433B-B3F0-EDD72601761C}"/>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8" name="Oval 27">
          <a:extLst>
            <a:ext uri="{FF2B5EF4-FFF2-40B4-BE49-F238E27FC236}">
              <a16:creationId xmlns:a16="http://schemas.microsoft.com/office/drawing/2014/main" id="{A299F345-07B4-464E-964E-07279557725C}"/>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9" name="TextBox 28">
          <a:extLst>
            <a:ext uri="{FF2B5EF4-FFF2-40B4-BE49-F238E27FC236}">
              <a16:creationId xmlns:a16="http://schemas.microsoft.com/office/drawing/2014/main" id="{E532DDAB-58B7-4EBF-95EB-0D375178EFC7}"/>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0" name="Group 29">
          <a:extLst>
            <a:ext uri="{FF2B5EF4-FFF2-40B4-BE49-F238E27FC236}">
              <a16:creationId xmlns:a16="http://schemas.microsoft.com/office/drawing/2014/main" id="{18C870D3-5912-4399-A0E0-CBDEC07374EF}"/>
            </a:ext>
          </a:extLst>
        </xdr:cNvPr>
        <xdr:cNvGrpSpPr/>
      </xdr:nvGrpSpPr>
      <xdr:grpSpPr>
        <a:xfrm>
          <a:off x="10446503" y="4353436"/>
          <a:ext cx="1566665" cy="1629008"/>
          <a:chOff x="10374536" y="4039901"/>
          <a:chExt cx="1558199" cy="1554481"/>
        </a:xfrm>
      </xdr:grpSpPr>
      <xdr:cxnSp macro="">
        <xdr:nvCxnSpPr>
          <xdr:cNvPr id="31" name="Straight Connector 30">
            <a:extLst>
              <a:ext uri="{FF2B5EF4-FFF2-40B4-BE49-F238E27FC236}">
                <a16:creationId xmlns:a16="http://schemas.microsoft.com/office/drawing/2014/main" id="{AD1465AC-15D0-9DC6-3287-CB8E04338E8E}"/>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8F310976-38AC-BB7E-41A9-33AB5B6C36DE}"/>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EBBABD8A-0455-90FB-F1A5-5BC18CAEE38A}"/>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E386FC73-8C26-1642-86D9-AC1272C8784F}"/>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5" name="Chart 34">
          <a:extLst>
            <a:ext uri="{FF2B5EF4-FFF2-40B4-BE49-F238E27FC236}">
              <a16:creationId xmlns:a16="http://schemas.microsoft.com/office/drawing/2014/main" id="{5DFD81AD-9032-4968-98F2-6349D2035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6" name="TextBox 35">
          <a:extLst>
            <a:ext uri="{FF2B5EF4-FFF2-40B4-BE49-F238E27FC236}">
              <a16:creationId xmlns:a16="http://schemas.microsoft.com/office/drawing/2014/main" id="{6538B765-0AA3-4021-B212-2C95A42D4DF4}"/>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7" name="Chart 36">
          <a:extLst>
            <a:ext uri="{FF2B5EF4-FFF2-40B4-BE49-F238E27FC236}">
              <a16:creationId xmlns:a16="http://schemas.microsoft.com/office/drawing/2014/main" id="{DE6575DE-3D2F-4D98-9401-43A3B1D3D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8" name="TextBox 37">
          <a:extLst>
            <a:ext uri="{FF2B5EF4-FFF2-40B4-BE49-F238E27FC236}">
              <a16:creationId xmlns:a16="http://schemas.microsoft.com/office/drawing/2014/main" id="{D63D71F2-BF7C-4CA1-AED5-29C15C47BEB9}"/>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39" name="Chart 38">
          <a:extLst>
            <a:ext uri="{FF2B5EF4-FFF2-40B4-BE49-F238E27FC236}">
              <a16:creationId xmlns:a16="http://schemas.microsoft.com/office/drawing/2014/main" id="{1DE88947-4CED-48BF-BF11-9F344FF18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A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40" name="Rectangle 39">
          <a:extLst>
            <a:ext uri="{FF2B5EF4-FFF2-40B4-BE49-F238E27FC236}">
              <a16:creationId xmlns:a16="http://schemas.microsoft.com/office/drawing/2014/main" id="{342065CA-EAC4-4E6B-BF8E-2416CF22719C}"/>
            </a:ext>
          </a:extLst>
        </xdr:cNvPr>
        <xdr:cNvSpPr/>
      </xdr:nvSpPr>
      <xdr:spPr>
        <a:xfrm>
          <a:off x="6858000" y="2849880"/>
          <a:ext cx="198120" cy="175260"/>
        </a:xfrm>
        <a:prstGeom prst="rect">
          <a:avLst/>
        </a:prstGeom>
        <a:solidFill>
          <a:srgbClr val="E2D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1" name="Year 8">
              <a:extLst>
                <a:ext uri="{FF2B5EF4-FFF2-40B4-BE49-F238E27FC236}">
                  <a16:creationId xmlns:a16="http://schemas.microsoft.com/office/drawing/2014/main" id="{B4E8017A-CF34-49F2-84D5-E805AFF9547F}"/>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2" name="TextBox 41">
          <a:extLst>
            <a:ext uri="{FF2B5EF4-FFF2-40B4-BE49-F238E27FC236}">
              <a16:creationId xmlns:a16="http://schemas.microsoft.com/office/drawing/2014/main" id="{60C388D3-FE7D-4432-A316-37CB46E82C9F}"/>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3" name="TextBox 42">
          <a:extLst>
            <a:ext uri="{FF2B5EF4-FFF2-40B4-BE49-F238E27FC236}">
              <a16:creationId xmlns:a16="http://schemas.microsoft.com/office/drawing/2014/main" id="{7ABFB146-32DB-4158-AD28-3E3168937584}"/>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4" name="Chart 43">
          <a:extLst>
            <a:ext uri="{FF2B5EF4-FFF2-40B4-BE49-F238E27FC236}">
              <a16:creationId xmlns:a16="http://schemas.microsoft.com/office/drawing/2014/main" id="{A1E15449-E1DB-4806-BAC0-CBBACC576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5" name="TextBox 44">
          <a:extLst>
            <a:ext uri="{FF2B5EF4-FFF2-40B4-BE49-F238E27FC236}">
              <a16:creationId xmlns:a16="http://schemas.microsoft.com/office/drawing/2014/main" id="{608703A9-EB3F-4AA8-92B9-85DB77B93154}"/>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6" name="TextBox 45">
          <a:extLst>
            <a:ext uri="{FF2B5EF4-FFF2-40B4-BE49-F238E27FC236}">
              <a16:creationId xmlns:a16="http://schemas.microsoft.com/office/drawing/2014/main" id="{0B5D1655-1C40-4768-9D6F-CE300FC7D7E8}"/>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7" name="Month 8">
              <a:extLst>
                <a:ext uri="{FF2B5EF4-FFF2-40B4-BE49-F238E27FC236}">
                  <a16:creationId xmlns:a16="http://schemas.microsoft.com/office/drawing/2014/main" id="{DC44C443-2B0B-465D-8016-8B80806B3ED8}"/>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438752</xdr:colOff>
      <xdr:row>17</xdr:row>
      <xdr:rowOff>114766</xdr:rowOff>
    </xdr:from>
    <xdr:to>
      <xdr:col>10</xdr:col>
      <xdr:colOff>509847</xdr:colOff>
      <xdr:row>31</xdr:row>
      <xdr:rowOff>67531</xdr:rowOff>
    </xdr:to>
    <xdr:grpSp>
      <xdr:nvGrpSpPr>
        <xdr:cNvPr id="61" name="Group 60">
          <a:extLst>
            <a:ext uri="{FF2B5EF4-FFF2-40B4-BE49-F238E27FC236}">
              <a16:creationId xmlns:a16="http://schemas.microsoft.com/office/drawing/2014/main" id="{46E6F5D1-794C-4780-92D0-448E1B19BE5A}"/>
            </a:ext>
          </a:extLst>
        </xdr:cNvPr>
        <xdr:cNvGrpSpPr/>
      </xdr:nvGrpSpPr>
      <xdr:grpSpPr>
        <a:xfrm>
          <a:off x="4121752" y="3353266"/>
          <a:ext cx="2526428" cy="2619765"/>
          <a:chOff x="10374536" y="4039901"/>
          <a:chExt cx="1558199" cy="1554481"/>
        </a:xfrm>
      </xdr:grpSpPr>
      <xdr:cxnSp macro="">
        <xdr:nvCxnSpPr>
          <xdr:cNvPr id="62" name="Straight Connector 61">
            <a:extLst>
              <a:ext uri="{FF2B5EF4-FFF2-40B4-BE49-F238E27FC236}">
                <a16:creationId xmlns:a16="http://schemas.microsoft.com/office/drawing/2014/main" id="{08801466-BEC1-D46F-883C-EA73AFE49CAE}"/>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63" name="Straight Connector 62">
            <a:extLst>
              <a:ext uri="{FF2B5EF4-FFF2-40B4-BE49-F238E27FC236}">
                <a16:creationId xmlns:a16="http://schemas.microsoft.com/office/drawing/2014/main" id="{BC733944-A7B7-2915-9E54-C396061DC1CB}"/>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17408" name="Straight Connector 17407">
            <a:extLst>
              <a:ext uri="{FF2B5EF4-FFF2-40B4-BE49-F238E27FC236}">
                <a16:creationId xmlns:a16="http://schemas.microsoft.com/office/drawing/2014/main" id="{8948501E-A213-474E-752A-F72EA631A50F}"/>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17410" name="Straight Connector 17409">
            <a:extLst>
              <a:ext uri="{FF2B5EF4-FFF2-40B4-BE49-F238E27FC236}">
                <a16:creationId xmlns:a16="http://schemas.microsoft.com/office/drawing/2014/main" id="{9FD9FD7A-D4D6-6507-045A-5F96534C2E8E}"/>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5</xdr:col>
      <xdr:colOff>541501</xdr:colOff>
      <xdr:row>16</xdr:row>
      <xdr:rowOff>88699</xdr:rowOff>
    </xdr:from>
    <xdr:to>
      <xdr:col>11</xdr:col>
      <xdr:colOff>418263</xdr:colOff>
      <xdr:row>32</xdr:row>
      <xdr:rowOff>95452</xdr:rowOff>
    </xdr:to>
    <xdr:graphicFrame macro="">
      <xdr:nvGraphicFramePr>
        <xdr:cNvPr id="48" name="Chart 47">
          <a:extLst>
            <a:ext uri="{FF2B5EF4-FFF2-40B4-BE49-F238E27FC236}">
              <a16:creationId xmlns:a16="http://schemas.microsoft.com/office/drawing/2014/main" id="{4FDF675A-EB75-40E8-BB32-20542EF3A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136439</xdr:colOff>
      <xdr:row>17</xdr:row>
      <xdr:rowOff>36405</xdr:rowOff>
    </xdr:from>
    <xdr:to>
      <xdr:col>12</xdr:col>
      <xdr:colOff>351242</xdr:colOff>
      <xdr:row>19</xdr:row>
      <xdr:rowOff>24556</xdr:rowOff>
    </xdr:to>
    <xdr:sp macro="" textlink="Processing!N7">
      <xdr:nvSpPr>
        <xdr:cNvPr id="49" name="TextBox 48">
          <a:extLst>
            <a:ext uri="{FF2B5EF4-FFF2-40B4-BE49-F238E27FC236}">
              <a16:creationId xmlns:a16="http://schemas.microsoft.com/office/drawing/2014/main" id="{846089FC-B835-4A22-9ED3-B0D6937F013F}"/>
            </a:ext>
          </a:extLst>
        </xdr:cNvPr>
        <xdr:cNvSpPr txBox="1"/>
      </xdr:nvSpPr>
      <xdr:spPr>
        <a:xfrm>
          <a:off x="6842039" y="3145365"/>
          <a:ext cx="824403"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76976F-B273-4052-8ADE-6884D9F39A70}" type="TxLink">
            <a:rPr lang="en-US" sz="1400" b="0" i="0" u="none" strike="noStrike">
              <a:solidFill>
                <a:srgbClr val="000000"/>
              </a:solidFill>
              <a:latin typeface="Aptos Narrow"/>
              <a:ea typeface="Verdana" panose="020B0604030504040204" pitchFamily="34" charset="0"/>
              <a:cs typeface="Calibri" panose="020F0502020204030204" pitchFamily="34" charset="0"/>
            </a:rPr>
            <a:pPr marL="0" indent="0" algn="ctr"/>
            <a:t>Target</a:t>
          </a:fld>
          <a:endParaRPr lang="ru-RU" sz="36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136439</xdr:colOff>
      <xdr:row>19</xdr:row>
      <xdr:rowOff>5925</xdr:rowOff>
    </xdr:from>
    <xdr:to>
      <xdr:col>12</xdr:col>
      <xdr:colOff>351242</xdr:colOff>
      <xdr:row>20</xdr:row>
      <xdr:rowOff>176956</xdr:rowOff>
    </xdr:to>
    <xdr:sp macro="" textlink="Processing!N8">
      <xdr:nvSpPr>
        <xdr:cNvPr id="50" name="TextBox 49">
          <a:extLst>
            <a:ext uri="{FF2B5EF4-FFF2-40B4-BE49-F238E27FC236}">
              <a16:creationId xmlns:a16="http://schemas.microsoft.com/office/drawing/2014/main" id="{C6DF658D-29BB-4C3A-8D2D-B07415C61BBB}"/>
            </a:ext>
          </a:extLst>
        </xdr:cNvPr>
        <xdr:cNvSpPr txBox="1"/>
      </xdr:nvSpPr>
      <xdr:spPr>
        <a:xfrm>
          <a:off x="6842039" y="3480645"/>
          <a:ext cx="824403"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D2978B-1006-4A8E-A660-07E564284FEF}" type="TxLink">
            <a:rPr lang="en-US" sz="1400" b="0" i="0" u="none" strike="noStrike">
              <a:solidFill>
                <a:srgbClr val="000000"/>
              </a:solidFill>
              <a:latin typeface="Aptos Narrow"/>
              <a:ea typeface="Verdana" panose="020B0604030504040204" pitchFamily="34" charset="0"/>
              <a:cs typeface="Calibri" panose="020F0502020204030204" pitchFamily="34" charset="0"/>
            </a:rPr>
            <a:pPr marL="0" indent="0" algn="ctr"/>
            <a:t>100%</a:t>
          </a:fld>
          <a:endParaRPr lang="ru-RU" sz="5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99060</xdr:colOff>
      <xdr:row>14</xdr:row>
      <xdr:rowOff>68580</xdr:rowOff>
    </xdr:from>
    <xdr:to>
      <xdr:col>6</xdr:col>
      <xdr:colOff>121920</xdr:colOff>
      <xdr:row>17</xdr:row>
      <xdr:rowOff>38100</xdr:rowOff>
    </xdr:to>
    <xdr:sp macro="" textlink="Processing!L7">
      <xdr:nvSpPr>
        <xdr:cNvPr id="51" name="TextBox 50">
          <a:extLst>
            <a:ext uri="{FF2B5EF4-FFF2-40B4-BE49-F238E27FC236}">
              <a16:creationId xmlns:a16="http://schemas.microsoft.com/office/drawing/2014/main" id="{DC875CA5-D799-408C-82FB-4FFEFAE17DF8}"/>
            </a:ext>
          </a:extLst>
        </xdr:cNvPr>
        <xdr:cNvSpPr txBox="1"/>
      </xdr:nvSpPr>
      <xdr:spPr>
        <a:xfrm>
          <a:off x="2537460" y="2628900"/>
          <a:ext cx="12420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l"/>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548640</xdr:colOff>
      <xdr:row>14</xdr:row>
      <xdr:rowOff>83820</xdr:rowOff>
    </xdr:from>
    <xdr:to>
      <xdr:col>7</xdr:col>
      <xdr:colOff>571500</xdr:colOff>
      <xdr:row>17</xdr:row>
      <xdr:rowOff>53340</xdr:rowOff>
    </xdr:to>
    <xdr:sp macro="" textlink="Processing!L16">
      <xdr:nvSpPr>
        <xdr:cNvPr id="52" name="TextBox 51">
          <a:extLst>
            <a:ext uri="{FF2B5EF4-FFF2-40B4-BE49-F238E27FC236}">
              <a16:creationId xmlns:a16="http://schemas.microsoft.com/office/drawing/2014/main" id="{57F7BF7F-09C9-41C4-B225-F07D8E8184AB}"/>
            </a:ext>
          </a:extLst>
        </xdr:cNvPr>
        <xdr:cNvSpPr txBox="1"/>
      </xdr:nvSpPr>
      <xdr:spPr>
        <a:xfrm>
          <a:off x="3596640" y="2644140"/>
          <a:ext cx="12420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C89891D-CE1B-4B62-B1EB-E255AEE048EF}"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93%</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245744</xdr:colOff>
      <xdr:row>5</xdr:row>
      <xdr:rowOff>66675</xdr:rowOff>
    </xdr:from>
    <xdr:to>
      <xdr:col>12</xdr:col>
      <xdr:colOff>295275</xdr:colOff>
      <xdr:row>9</xdr:row>
      <xdr:rowOff>0</xdr:rowOff>
    </xdr:to>
    <xdr:sp macro="" textlink="Processing!E15">
      <xdr:nvSpPr>
        <xdr:cNvPr id="53" name="Rectangle: Rounded Corners 52">
          <a:hlinkClick xmlns:r="http://schemas.openxmlformats.org/officeDocument/2006/relationships" r:id="rId7"/>
          <a:extLst>
            <a:ext uri="{FF2B5EF4-FFF2-40B4-BE49-F238E27FC236}">
              <a16:creationId xmlns:a16="http://schemas.microsoft.com/office/drawing/2014/main" id="{4BB3C200-164A-420C-A865-520D73B05EBF}"/>
            </a:ext>
          </a:extLst>
        </xdr:cNvPr>
        <xdr:cNvSpPr/>
      </xdr:nvSpPr>
      <xdr:spPr>
        <a:xfrm>
          <a:off x="5122544" y="1019175"/>
          <a:ext cx="2487931" cy="695325"/>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76BB91-A231-413D-9A47-94EC8253C654}" type="TxLink">
            <a:rPr lang="en-US" sz="3600" b="0" i="0" u="none" strike="noStrike">
              <a:solidFill>
                <a:srgbClr val="000000"/>
              </a:solidFill>
              <a:latin typeface="Aptos Narrow"/>
            </a:rPr>
            <a:t> $13,44,765 </a:t>
          </a:fld>
          <a:endParaRPr lang="ru-RU" sz="3600"/>
        </a:p>
      </xdr:txBody>
    </xdr:sp>
    <xdr:clientData/>
  </xdr:twoCellAnchor>
  <xdr:twoCellAnchor>
    <xdr:from>
      <xdr:col>13</xdr:col>
      <xdr:colOff>137160</xdr:colOff>
      <xdr:row>4</xdr:row>
      <xdr:rowOff>15240</xdr:rowOff>
    </xdr:from>
    <xdr:to>
      <xdr:col>20</xdr:col>
      <xdr:colOff>22860</xdr:colOff>
      <xdr:row>17</xdr:row>
      <xdr:rowOff>99060</xdr:rowOff>
    </xdr:to>
    <xdr:sp macro="" textlink="">
      <xdr:nvSpPr>
        <xdr:cNvPr id="54" name="Rectangle: Rounded Corners 53">
          <a:hlinkClick xmlns:r="http://schemas.openxmlformats.org/officeDocument/2006/relationships" r:id="rId8"/>
          <a:extLst>
            <a:ext uri="{FF2B5EF4-FFF2-40B4-BE49-F238E27FC236}">
              <a16:creationId xmlns:a16="http://schemas.microsoft.com/office/drawing/2014/main" id="{D605F8C0-559B-4615-827F-1E7F954C4AE1}"/>
            </a:ext>
          </a:extLst>
        </xdr:cNvPr>
        <xdr:cNvSpPr/>
      </xdr:nvSpPr>
      <xdr:spPr>
        <a:xfrm>
          <a:off x="8061960" y="74676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121920</xdr:colOff>
      <xdr:row>18</xdr:row>
      <xdr:rowOff>114300</xdr:rowOff>
    </xdr:from>
    <xdr:to>
      <xdr:col>16</xdr:col>
      <xdr:colOff>144780</xdr:colOff>
      <xdr:row>32</xdr:row>
      <xdr:rowOff>114300</xdr:rowOff>
    </xdr:to>
    <xdr:sp macro="" textlink="">
      <xdr:nvSpPr>
        <xdr:cNvPr id="55" name="Rectangle: Rounded Corners 54">
          <a:hlinkClick xmlns:r="http://schemas.openxmlformats.org/officeDocument/2006/relationships" r:id="rId9"/>
          <a:extLst>
            <a:ext uri="{FF2B5EF4-FFF2-40B4-BE49-F238E27FC236}">
              <a16:creationId xmlns:a16="http://schemas.microsoft.com/office/drawing/2014/main" id="{15945D15-194C-41BF-979E-C60A7C1697EF}"/>
            </a:ext>
          </a:extLst>
        </xdr:cNvPr>
        <xdr:cNvSpPr/>
      </xdr:nvSpPr>
      <xdr:spPr>
        <a:xfrm>
          <a:off x="8046720" y="340614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358140</xdr:colOff>
      <xdr:row>18</xdr:row>
      <xdr:rowOff>114300</xdr:rowOff>
    </xdr:from>
    <xdr:to>
      <xdr:col>20</xdr:col>
      <xdr:colOff>38100</xdr:colOff>
      <xdr:row>35</xdr:row>
      <xdr:rowOff>144780</xdr:rowOff>
    </xdr:to>
    <xdr:sp macro="" textlink="">
      <xdr:nvSpPr>
        <xdr:cNvPr id="56" name="Rectangle: Rounded Corners 55" hidden="1">
          <a:hlinkClick xmlns:r="http://schemas.openxmlformats.org/officeDocument/2006/relationships" r:id="rId10"/>
          <a:extLst>
            <a:ext uri="{FF2B5EF4-FFF2-40B4-BE49-F238E27FC236}">
              <a16:creationId xmlns:a16="http://schemas.microsoft.com/office/drawing/2014/main" id="{D33A1C96-B5A3-4846-93E1-044A95879696}"/>
            </a:ext>
          </a:extLst>
        </xdr:cNvPr>
        <xdr:cNvSpPr/>
      </xdr:nvSpPr>
      <xdr:spPr>
        <a:xfrm>
          <a:off x="10111740" y="340614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99060</xdr:colOff>
      <xdr:row>4</xdr:row>
      <xdr:rowOff>152400</xdr:rowOff>
    </xdr:from>
    <xdr:to>
      <xdr:col>7</xdr:col>
      <xdr:colOff>426720</xdr:colOff>
      <xdr:row>12</xdr:row>
      <xdr:rowOff>7620</xdr:rowOff>
    </xdr:to>
    <xdr:sp macro="" textlink="">
      <xdr:nvSpPr>
        <xdr:cNvPr id="57" name="Rectangle: Rounded Corners 56">
          <a:hlinkClick xmlns:r="http://schemas.openxmlformats.org/officeDocument/2006/relationships" r:id="rId11"/>
          <a:extLst>
            <a:ext uri="{FF2B5EF4-FFF2-40B4-BE49-F238E27FC236}">
              <a16:creationId xmlns:a16="http://schemas.microsoft.com/office/drawing/2014/main" id="{523C49B1-3FF2-4969-8C37-5AD9EB7AB0BF}"/>
            </a:ext>
          </a:extLst>
        </xdr:cNvPr>
        <xdr:cNvSpPr/>
      </xdr:nvSpPr>
      <xdr:spPr>
        <a:xfrm>
          <a:off x="2537460" y="88392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3" name="Group 2">
          <a:extLst>
            <a:ext uri="{FF2B5EF4-FFF2-40B4-BE49-F238E27FC236}">
              <a16:creationId xmlns:a16="http://schemas.microsoft.com/office/drawing/2014/main" id="{577587FE-53A3-0A8D-10BD-EF000D12E771}"/>
            </a:ext>
          </a:extLst>
        </xdr:cNvPr>
        <xdr:cNvGrpSpPr/>
      </xdr:nvGrpSpPr>
      <xdr:grpSpPr>
        <a:xfrm>
          <a:off x="158639" y="833505"/>
          <a:ext cx="274320" cy="262048"/>
          <a:chOff x="2657199" y="8924774"/>
          <a:chExt cx="796566" cy="720791"/>
        </a:xfrm>
        <a:solidFill>
          <a:schemeClr val="bg1">
            <a:lumMod val="75000"/>
          </a:schemeClr>
        </a:solidFill>
      </xdr:grpSpPr>
      <xdr:sp macro="" textlink="">
        <xdr:nvSpPr>
          <xdr:cNvPr id="10" name="Freeform: Shape 9">
            <a:extLst>
              <a:ext uri="{FF2B5EF4-FFF2-40B4-BE49-F238E27FC236}">
                <a16:creationId xmlns:a16="http://schemas.microsoft.com/office/drawing/2014/main" id="{09165B12-FB2F-9422-B048-131E3BE5B9BC}"/>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grpFill/>
          <a:ln w="9525" cap="flat">
            <a:noFill/>
            <a:prstDash val="solid"/>
            <a:miter/>
          </a:ln>
        </xdr:spPr>
        <xdr:txBody>
          <a:bodyPr rtlCol="0" anchor="ctr"/>
          <a:lstStyle/>
          <a:p>
            <a:endParaRPr lang="ru-RU"/>
          </a:p>
        </xdr:txBody>
      </xdr:sp>
      <xdr:sp macro="" textlink="">
        <xdr:nvSpPr>
          <xdr:cNvPr id="11" name="Freeform: Shape 10">
            <a:extLst>
              <a:ext uri="{FF2B5EF4-FFF2-40B4-BE49-F238E27FC236}">
                <a16:creationId xmlns:a16="http://schemas.microsoft.com/office/drawing/2014/main" id="{5BCD3FE1-41DA-B890-D1C1-60290664F426}"/>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grpFill/>
          <a:ln w="9525" cap="flat">
            <a:noFill/>
            <a:prstDash val="solid"/>
            <a:miter/>
          </a:ln>
        </xdr:spPr>
        <xdr:txBody>
          <a:bodyPr rtlCol="0" anchor="ctr"/>
          <a:lstStyle/>
          <a:p>
            <a:endParaRPr lang="ru-RU"/>
          </a:p>
        </xdr:txBody>
      </xdr:sp>
      <xdr:sp macro="" textlink="">
        <xdr:nvSpPr>
          <xdr:cNvPr id="17" name="Freeform: Shape 16">
            <a:extLst>
              <a:ext uri="{FF2B5EF4-FFF2-40B4-BE49-F238E27FC236}">
                <a16:creationId xmlns:a16="http://schemas.microsoft.com/office/drawing/2014/main" id="{BF87D433-C52F-17F8-CE4C-847FAA3B2037}"/>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18" name="Freeform: Shape 17">
            <a:extLst>
              <a:ext uri="{FF2B5EF4-FFF2-40B4-BE49-F238E27FC236}">
                <a16:creationId xmlns:a16="http://schemas.microsoft.com/office/drawing/2014/main" id="{0D50C9FA-815F-4164-1F4F-AA9ABA79AAA4}"/>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17411" name="Freeform: Shape 17410">
            <a:extLst>
              <a:ext uri="{FF2B5EF4-FFF2-40B4-BE49-F238E27FC236}">
                <a16:creationId xmlns:a16="http://schemas.microsoft.com/office/drawing/2014/main" id="{14258C56-A110-6818-3019-5FEF0FCB1A5C}"/>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17412" name="Freeform: Shape 17411">
            <a:extLst>
              <a:ext uri="{FF2B5EF4-FFF2-40B4-BE49-F238E27FC236}">
                <a16:creationId xmlns:a16="http://schemas.microsoft.com/office/drawing/2014/main" id="{41460A55-4E42-24C8-A414-2AAA7639315B}"/>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17413" name="Freeform: Shape 17412">
            <a:extLst>
              <a:ext uri="{FF2B5EF4-FFF2-40B4-BE49-F238E27FC236}">
                <a16:creationId xmlns:a16="http://schemas.microsoft.com/office/drawing/2014/main" id="{10F92F42-0D07-AE5A-8030-6F09DFC01BCD}"/>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grpFill/>
          <a:ln w="9525" cap="flat">
            <a:noFill/>
            <a:prstDash val="solid"/>
            <a:miter/>
          </a:ln>
        </xdr:spPr>
        <xdr:txBody>
          <a:bodyPr rtlCol="0" anchor="ctr"/>
          <a:lstStyle/>
          <a:p>
            <a:endParaRPr lang="ru-RU"/>
          </a:p>
        </xdr:txBody>
      </xdr:sp>
      <xdr:sp macro="" textlink="">
        <xdr:nvSpPr>
          <xdr:cNvPr id="17414" name="Freeform: Shape 17413">
            <a:extLst>
              <a:ext uri="{FF2B5EF4-FFF2-40B4-BE49-F238E27FC236}">
                <a16:creationId xmlns:a16="http://schemas.microsoft.com/office/drawing/2014/main" id="{838C47DA-2314-3F9A-700C-F4D77CF8974A}"/>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grp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4" name="Graphic 3" descr="Moon and stars with solid fill">
          <a:hlinkClick xmlns:r="http://schemas.openxmlformats.org/officeDocument/2006/relationships" r:id="rId12"/>
          <a:extLst>
            <a:ext uri="{FF2B5EF4-FFF2-40B4-BE49-F238E27FC236}">
              <a16:creationId xmlns:a16="http://schemas.microsoft.com/office/drawing/2014/main" id="{CB48484A-9355-5648-0936-DB3649F1DF1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 name="Graphic 4" descr="Sun with solid fill">
          <a:hlinkClick xmlns:r="http://schemas.openxmlformats.org/officeDocument/2006/relationships" r:id="rId15"/>
          <a:extLst>
            <a:ext uri="{FF2B5EF4-FFF2-40B4-BE49-F238E27FC236}">
              <a16:creationId xmlns:a16="http://schemas.microsoft.com/office/drawing/2014/main" id="{950273E4-15C6-1FEC-3E7C-CAC56C1F617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83687" y="365760"/>
          <a:ext cx="274320" cy="2743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0</xdr:colOff>
      <xdr:row>45</xdr:row>
      <xdr:rowOff>0</xdr:rowOff>
    </xdr:to>
    <xdr:grpSp>
      <xdr:nvGrpSpPr>
        <xdr:cNvPr id="2" name="Group 1">
          <a:extLst>
            <a:ext uri="{FF2B5EF4-FFF2-40B4-BE49-F238E27FC236}">
              <a16:creationId xmlns:a16="http://schemas.microsoft.com/office/drawing/2014/main" id="{A632418A-9693-49A3-BF66-131AA9ABD086}"/>
            </a:ext>
          </a:extLst>
        </xdr:cNvPr>
        <xdr:cNvGrpSpPr/>
      </xdr:nvGrpSpPr>
      <xdr:grpSpPr>
        <a:xfrm>
          <a:off x="0" y="0"/>
          <a:ext cx="14732000" cy="8572500"/>
          <a:chOff x="1538344" y="742278"/>
          <a:chExt cx="8961120" cy="5432611"/>
        </a:xfrm>
      </xdr:grpSpPr>
      <xdr:sp macro="" textlink="">
        <xdr:nvSpPr>
          <xdr:cNvPr id="3" name="Rectangle 2">
            <a:extLst>
              <a:ext uri="{FF2B5EF4-FFF2-40B4-BE49-F238E27FC236}">
                <a16:creationId xmlns:a16="http://schemas.microsoft.com/office/drawing/2014/main" id="{B12EA932-C9F8-DC0D-44E0-91B08D48A84E}"/>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D60003A4-DD5A-25E4-59DF-95E937627132}"/>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5" name="Rectangle: Rounded Corners 4">
          <a:extLst>
            <a:ext uri="{FF2B5EF4-FFF2-40B4-BE49-F238E27FC236}">
              <a16:creationId xmlns:a16="http://schemas.microsoft.com/office/drawing/2014/main" id="{C550D6A4-5D6C-442D-A888-1BC86997EA50}"/>
            </a:ext>
          </a:extLst>
        </xdr:cNvPr>
        <xdr:cNvSpPr/>
      </xdr:nvSpPr>
      <xdr:spPr>
        <a:xfrm>
          <a:off x="1920240" y="381000"/>
          <a:ext cx="10698480" cy="6492240"/>
        </a:xfrm>
        <a:prstGeom prst="roundRect">
          <a:avLst>
            <a:gd name="adj" fmla="val 5678"/>
          </a:avLst>
        </a:prstGeom>
        <a:solidFill>
          <a:schemeClr val="bg1"/>
        </a:soli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488462</xdr:colOff>
      <xdr:row>3</xdr:row>
      <xdr:rowOff>167548</xdr:rowOff>
    </xdr:from>
    <xdr:to>
      <xdr:col>7</xdr:col>
      <xdr:colOff>492048</xdr:colOff>
      <xdr:row>12</xdr:row>
      <xdr:rowOff>167548</xdr:rowOff>
    </xdr:to>
    <xdr:sp macro="" textlink="">
      <xdr:nvSpPr>
        <xdr:cNvPr id="6" name="Rectangle: Rounded Corners 5">
          <a:extLst>
            <a:ext uri="{FF2B5EF4-FFF2-40B4-BE49-F238E27FC236}">
              <a16:creationId xmlns:a16="http://schemas.microsoft.com/office/drawing/2014/main" id="{27FC7891-36E9-47A2-8DDF-CA8FBBA610D9}"/>
            </a:ext>
          </a:extLst>
        </xdr:cNvPr>
        <xdr:cNvSpPr/>
      </xdr:nvSpPr>
      <xdr:spPr>
        <a:xfrm>
          <a:off x="2317262" y="716188"/>
          <a:ext cx="2441986" cy="1645920"/>
        </a:xfrm>
        <a:prstGeom prst="roundRect">
          <a:avLst>
            <a:gd name="adj" fmla="val 931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7" name="Rectangle: Rounded Corners 6">
          <a:extLst>
            <a:ext uri="{FF2B5EF4-FFF2-40B4-BE49-F238E27FC236}">
              <a16:creationId xmlns:a16="http://schemas.microsoft.com/office/drawing/2014/main" id="{96083452-3FF0-4694-80EC-068E19A4D52B}"/>
            </a:ext>
          </a:extLst>
        </xdr:cNvPr>
        <xdr:cNvSpPr/>
      </xdr:nvSpPr>
      <xdr:spPr>
        <a:xfrm>
          <a:off x="4976853" y="718877"/>
          <a:ext cx="2812649" cy="164592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8" name="Rectangle: Rounded Corners 7">
          <a:extLst>
            <a:ext uri="{FF2B5EF4-FFF2-40B4-BE49-F238E27FC236}">
              <a16:creationId xmlns:a16="http://schemas.microsoft.com/office/drawing/2014/main" id="{26C09DC1-A9C9-48AB-8552-F677F7E7AA21}"/>
            </a:ext>
          </a:extLst>
        </xdr:cNvPr>
        <xdr:cNvSpPr/>
      </xdr:nvSpPr>
      <xdr:spPr>
        <a:xfrm>
          <a:off x="5194457" y="939857"/>
          <a:ext cx="237744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en-US" sz="4000" kern="1200">
            <a:solidFill>
              <a:schemeClr val="tx1"/>
            </a:solidFill>
            <a:latin typeface="+mn-lt"/>
            <a:ea typeface="+mn-ea"/>
            <a:cs typeface="+mn-cs"/>
          </a:endParaRP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9" name="Rectangle: Rounded Corners 8">
          <a:extLst>
            <a:ext uri="{FF2B5EF4-FFF2-40B4-BE49-F238E27FC236}">
              <a16:creationId xmlns:a16="http://schemas.microsoft.com/office/drawing/2014/main" id="{C32319D5-4C7D-452B-A1DF-1F54106700F3}"/>
            </a:ext>
          </a:extLst>
        </xdr:cNvPr>
        <xdr:cNvSpPr/>
      </xdr:nvSpPr>
      <xdr:spPr>
        <a:xfrm>
          <a:off x="8042692" y="716188"/>
          <a:ext cx="4160520" cy="247904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US" sz="1100">
            <a:solidFill>
              <a:schemeClr val="tx2">
                <a:lumMod val="10000"/>
                <a:lumOff val="90000"/>
              </a:schemeClr>
            </a:solidFill>
            <a:latin typeface="+mn-lt"/>
            <a:ea typeface="+mn-ea"/>
            <a:cs typeface="+mn-cs"/>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0" name="Rectangle: Rounded Corners 9">
          <a:extLst>
            <a:ext uri="{FF2B5EF4-FFF2-40B4-BE49-F238E27FC236}">
              <a16:creationId xmlns:a16="http://schemas.microsoft.com/office/drawing/2014/main" id="{3FAFC27D-3A73-4FF2-BC03-C5F7C3A14E63}"/>
            </a:ext>
          </a:extLst>
        </xdr:cNvPr>
        <xdr:cNvSpPr/>
      </xdr:nvSpPr>
      <xdr:spPr>
        <a:xfrm>
          <a:off x="10100092" y="3422015"/>
          <a:ext cx="2103120" cy="3108960"/>
        </a:xfrm>
        <a:prstGeom prst="roundRect">
          <a:avLst>
            <a:gd name="adj" fmla="val 8437"/>
          </a:avLst>
        </a:prstGeom>
        <a:solidFill>
          <a:schemeClr val="bg1"/>
        </a:solidFill>
        <a:ln w="9525">
          <a:solidFill>
            <a:srgbClr val="8278FC"/>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1" name="Rectangle: Rounded Corners 10">
          <a:extLst>
            <a:ext uri="{FF2B5EF4-FFF2-40B4-BE49-F238E27FC236}">
              <a16:creationId xmlns:a16="http://schemas.microsoft.com/office/drawing/2014/main" id="{95371DEF-95B1-426D-A0E1-3027B70DC6CC}"/>
            </a:ext>
          </a:extLst>
        </xdr:cNvPr>
        <xdr:cNvSpPr/>
      </xdr:nvSpPr>
      <xdr:spPr>
        <a:xfrm>
          <a:off x="8042692" y="3422015"/>
          <a:ext cx="1828800" cy="310896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2" name="Rectangle: Rounded Corners 11">
          <a:extLst>
            <a:ext uri="{FF2B5EF4-FFF2-40B4-BE49-F238E27FC236}">
              <a16:creationId xmlns:a16="http://schemas.microsoft.com/office/drawing/2014/main" id="{0186623E-47BD-4E45-BB1E-A1416917196A}"/>
            </a:ext>
          </a:extLst>
        </xdr:cNvPr>
        <xdr:cNvSpPr/>
      </xdr:nvSpPr>
      <xdr:spPr>
        <a:xfrm>
          <a:off x="2311672" y="2606040"/>
          <a:ext cx="5477830" cy="3924935"/>
        </a:xfrm>
        <a:prstGeom prst="roundRect">
          <a:avLst>
            <a:gd name="adj" fmla="val 363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13" name="Rectangle: Rounded Corners 12">
          <a:extLst>
            <a:ext uri="{FF2B5EF4-FFF2-40B4-BE49-F238E27FC236}">
              <a16:creationId xmlns:a16="http://schemas.microsoft.com/office/drawing/2014/main" id="{BD98E2EE-ED2A-41B4-94D8-4E13B6C5C429}"/>
            </a:ext>
          </a:extLst>
        </xdr:cNvPr>
        <xdr:cNvSpPr/>
      </xdr:nvSpPr>
      <xdr:spPr>
        <a:xfrm>
          <a:off x="2545080" y="929640"/>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D5B22AD-2689-4A19-8294-60DCF73D852F}" type="TxLink">
            <a:rPr lang="en-US" sz="4000" b="0" i="0" u="none" strike="noStrike" kern="1200">
              <a:solidFill>
                <a:schemeClr val="tx1"/>
              </a:solidFill>
              <a:latin typeface="+mn-lt"/>
              <a:ea typeface="+mn-ea"/>
              <a:cs typeface="+mn-cs"/>
            </a:rPr>
            <a:pPr marL="0" indent="0" algn="l" defTabSz="914400" rtl="0" eaLnBrk="1" latinLnBrk="0" hangingPunct="1"/>
            <a:t> 21 089</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14" name="Circle: Hollow 13">
          <a:extLst>
            <a:ext uri="{FF2B5EF4-FFF2-40B4-BE49-F238E27FC236}">
              <a16:creationId xmlns:a16="http://schemas.microsoft.com/office/drawing/2014/main" id="{4D7DA3F8-C621-4348-86F7-0C97240876E5}"/>
            </a:ext>
          </a:extLst>
        </xdr:cNvPr>
        <xdr:cNvSpPr/>
      </xdr:nvSpPr>
      <xdr:spPr>
        <a:xfrm>
          <a:off x="10043159" y="987743"/>
          <a:ext cx="1828800" cy="1828800"/>
        </a:xfrm>
        <a:prstGeom prst="donut">
          <a:avLst>
            <a:gd name="adj" fmla="val 20022"/>
          </a:avLst>
        </a:prstGeom>
        <a:solidFill>
          <a:schemeClr val="bg1"/>
        </a:solidFill>
        <a:ln>
          <a:noFill/>
        </a:ln>
        <a:effectLst>
          <a:innerShdw blurRad="254000">
            <a:srgbClr val="0D328D">
              <a:alpha val="38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tx1"/>
            </a:solidFill>
            <a:latin typeface="+mn-lt"/>
            <a:ea typeface="+mn-ea"/>
            <a:cs typeface="+mn-cs"/>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15" name="Chart 14">
          <a:extLst>
            <a:ext uri="{FF2B5EF4-FFF2-40B4-BE49-F238E27FC236}">
              <a16:creationId xmlns:a16="http://schemas.microsoft.com/office/drawing/2014/main" id="{FB8D97CE-1DAC-4A75-A950-1D4B69ACA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16" name="TextBox 15">
          <a:extLst>
            <a:ext uri="{FF2B5EF4-FFF2-40B4-BE49-F238E27FC236}">
              <a16:creationId xmlns:a16="http://schemas.microsoft.com/office/drawing/2014/main" id="{48FD81FA-0554-4F23-8F34-8DD28CE949D8}"/>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17" name="TextBox 16">
          <a:extLst>
            <a:ext uri="{FF2B5EF4-FFF2-40B4-BE49-F238E27FC236}">
              <a16:creationId xmlns:a16="http://schemas.microsoft.com/office/drawing/2014/main" id="{2F5DD056-C39E-43F8-9489-3EAB83DDBB26}"/>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18" name="TextBox 17">
          <a:extLst>
            <a:ext uri="{FF2B5EF4-FFF2-40B4-BE49-F238E27FC236}">
              <a16:creationId xmlns:a16="http://schemas.microsoft.com/office/drawing/2014/main" id="{CDFA1628-88E5-4929-B7A0-41B226A7E82A}"/>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19" name="Oval 18">
          <a:extLst>
            <a:ext uri="{FF2B5EF4-FFF2-40B4-BE49-F238E27FC236}">
              <a16:creationId xmlns:a16="http://schemas.microsoft.com/office/drawing/2014/main" id="{BB7A1C22-BCF8-4104-89DC-B26F9F933E40}"/>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0" name="Oval 19">
          <a:extLst>
            <a:ext uri="{FF2B5EF4-FFF2-40B4-BE49-F238E27FC236}">
              <a16:creationId xmlns:a16="http://schemas.microsoft.com/office/drawing/2014/main" id="{9DDE90E2-82D2-4690-A6CE-68743DEA34A7}"/>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1" name="Oval 20">
          <a:extLst>
            <a:ext uri="{FF2B5EF4-FFF2-40B4-BE49-F238E27FC236}">
              <a16:creationId xmlns:a16="http://schemas.microsoft.com/office/drawing/2014/main" id="{EE36EFE5-31FE-4293-AF40-6BA5A919972B}"/>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2" name="Oval 21">
          <a:extLst>
            <a:ext uri="{FF2B5EF4-FFF2-40B4-BE49-F238E27FC236}">
              <a16:creationId xmlns:a16="http://schemas.microsoft.com/office/drawing/2014/main" id="{FCA21394-2687-4A5A-B1F3-AF408E1E3FCD}"/>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3" name="TextBox 22">
          <a:extLst>
            <a:ext uri="{FF2B5EF4-FFF2-40B4-BE49-F238E27FC236}">
              <a16:creationId xmlns:a16="http://schemas.microsoft.com/office/drawing/2014/main" id="{1B4D2B14-E777-4A2D-89EE-A8DC2CF69F55}"/>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24" name="Group 23">
          <a:extLst>
            <a:ext uri="{FF2B5EF4-FFF2-40B4-BE49-F238E27FC236}">
              <a16:creationId xmlns:a16="http://schemas.microsoft.com/office/drawing/2014/main" id="{E5083E97-AB8F-48F7-8B3F-D37C952C269C}"/>
            </a:ext>
          </a:extLst>
        </xdr:cNvPr>
        <xdr:cNvGrpSpPr/>
      </xdr:nvGrpSpPr>
      <xdr:grpSpPr>
        <a:xfrm>
          <a:off x="10446503" y="4353436"/>
          <a:ext cx="1566665" cy="1629008"/>
          <a:chOff x="10374536" y="4039901"/>
          <a:chExt cx="1558199" cy="1554481"/>
        </a:xfrm>
      </xdr:grpSpPr>
      <xdr:cxnSp macro="">
        <xdr:nvCxnSpPr>
          <xdr:cNvPr id="25" name="Straight Connector 24">
            <a:extLst>
              <a:ext uri="{FF2B5EF4-FFF2-40B4-BE49-F238E27FC236}">
                <a16:creationId xmlns:a16="http://schemas.microsoft.com/office/drawing/2014/main" id="{D6512C2C-5393-BC0F-A003-4A5DD4E1612E}"/>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3529D6F9-F4D2-A793-0436-2602F8C871F6}"/>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BB7FF3BC-D77D-BC03-120B-A8846EFDD514}"/>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71BAA385-3358-EB51-C14A-A8BBE8A2E296}"/>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29" name="Chart 28">
          <a:extLst>
            <a:ext uri="{FF2B5EF4-FFF2-40B4-BE49-F238E27FC236}">
              <a16:creationId xmlns:a16="http://schemas.microsoft.com/office/drawing/2014/main" id="{C53713AD-92E5-413D-9737-A9E1A065E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0" name="TextBox 29">
          <a:extLst>
            <a:ext uri="{FF2B5EF4-FFF2-40B4-BE49-F238E27FC236}">
              <a16:creationId xmlns:a16="http://schemas.microsoft.com/office/drawing/2014/main" id="{68165C6E-FAE2-4A05-98C7-FD081844EF82}"/>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1" name="Chart 30">
          <a:extLst>
            <a:ext uri="{FF2B5EF4-FFF2-40B4-BE49-F238E27FC236}">
              <a16:creationId xmlns:a16="http://schemas.microsoft.com/office/drawing/2014/main" id="{5746A829-991E-4868-9531-AF9F36B40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2" name="TextBox 31">
          <a:extLst>
            <a:ext uri="{FF2B5EF4-FFF2-40B4-BE49-F238E27FC236}">
              <a16:creationId xmlns:a16="http://schemas.microsoft.com/office/drawing/2014/main" id="{5D3F2A09-2967-474D-9C74-3428A188C5FB}"/>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264322</xdr:colOff>
      <xdr:row>14</xdr:row>
      <xdr:rowOff>114300</xdr:rowOff>
    </xdr:from>
    <xdr:to>
      <xdr:col>12</xdr:col>
      <xdr:colOff>386242</xdr:colOff>
      <xdr:row>17</xdr:row>
      <xdr:rowOff>114300</xdr:rowOff>
    </xdr:to>
    <xdr:graphicFrame macro="">
      <xdr:nvGraphicFramePr>
        <xdr:cNvPr id="33" name="Chart 32">
          <a:extLst>
            <a:ext uri="{FF2B5EF4-FFF2-40B4-BE49-F238E27FC236}">
              <a16:creationId xmlns:a16="http://schemas.microsoft.com/office/drawing/2014/main" id="{7A4D2981-7F9B-4521-9C36-8DACEB113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161925</xdr:colOff>
          <xdr:row>14</xdr:row>
          <xdr:rowOff>171450</xdr:rowOff>
        </xdr:from>
        <xdr:to>
          <xdr:col>12</xdr:col>
          <xdr:colOff>304800</xdr:colOff>
          <xdr:row>17</xdr:row>
          <xdr:rowOff>9525</xdr:rowOff>
        </xdr:to>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0B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11</xdr:col>
      <xdr:colOff>152400</xdr:colOff>
      <xdr:row>15</xdr:row>
      <xdr:rowOff>106680</xdr:rowOff>
    </xdr:from>
    <xdr:to>
      <xdr:col>11</xdr:col>
      <xdr:colOff>350520</xdr:colOff>
      <xdr:row>16</xdr:row>
      <xdr:rowOff>99060</xdr:rowOff>
    </xdr:to>
    <xdr:sp macro="" textlink="">
      <xdr:nvSpPr>
        <xdr:cNvPr id="34" name="Rectangle 33">
          <a:extLst>
            <a:ext uri="{FF2B5EF4-FFF2-40B4-BE49-F238E27FC236}">
              <a16:creationId xmlns:a16="http://schemas.microsoft.com/office/drawing/2014/main" id="{CEF21797-9D49-494A-87E5-B0BA8E8124A1}"/>
            </a:ext>
          </a:extLst>
        </xdr:cNvPr>
        <xdr:cNvSpPr/>
      </xdr:nvSpPr>
      <xdr:spPr>
        <a:xfrm>
          <a:off x="6858000" y="2849880"/>
          <a:ext cx="198120" cy="1752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35" name="Year 11">
              <a:extLst>
                <a:ext uri="{FF2B5EF4-FFF2-40B4-BE49-F238E27FC236}">
                  <a16:creationId xmlns:a16="http://schemas.microsoft.com/office/drawing/2014/main" id="{412DBCA6-9102-496B-AF22-C9E617F69289}"/>
                </a:ext>
              </a:extLst>
            </xdr:cNvPr>
            <xdr:cNvGraphicFramePr/>
          </xdr:nvGraphicFramePr>
          <xdr:xfrm>
            <a:off x="0" y="0"/>
            <a:ext cx="0" cy="0"/>
          </xdr:xfrm>
          <a:graphic>
            <a:graphicData uri="http://schemas.microsoft.com/office/drawing/2010/slicer">
              <sle:slicer xmlns:sle="http://schemas.microsoft.com/office/drawing/2010/slicer" name="Year 11"/>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36" name="TextBox 35">
          <a:extLst>
            <a:ext uri="{FF2B5EF4-FFF2-40B4-BE49-F238E27FC236}">
              <a16:creationId xmlns:a16="http://schemas.microsoft.com/office/drawing/2014/main" id="{F29F644C-3C8B-4CE2-9787-422485316FAD}"/>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37" name="TextBox 36">
          <a:extLst>
            <a:ext uri="{FF2B5EF4-FFF2-40B4-BE49-F238E27FC236}">
              <a16:creationId xmlns:a16="http://schemas.microsoft.com/office/drawing/2014/main" id="{4A9AA7AC-7830-4226-9509-E85CAA6D7FFF}"/>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38" name="Chart 37">
          <a:extLst>
            <a:ext uri="{FF2B5EF4-FFF2-40B4-BE49-F238E27FC236}">
              <a16:creationId xmlns:a16="http://schemas.microsoft.com/office/drawing/2014/main" id="{692F6E6D-963C-4452-A0A8-ACC9D27FA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39" name="TextBox 38">
          <a:extLst>
            <a:ext uri="{FF2B5EF4-FFF2-40B4-BE49-F238E27FC236}">
              <a16:creationId xmlns:a16="http://schemas.microsoft.com/office/drawing/2014/main" id="{2EFE345F-B3AC-4508-BFCE-1C69EC85A641}"/>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0" name="TextBox 39">
          <a:extLst>
            <a:ext uri="{FF2B5EF4-FFF2-40B4-BE49-F238E27FC236}">
              <a16:creationId xmlns:a16="http://schemas.microsoft.com/office/drawing/2014/main" id="{F0AFFFB4-9105-483D-9DF3-DB5D511F2AE3}"/>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1" name="Month 11">
              <a:extLst>
                <a:ext uri="{FF2B5EF4-FFF2-40B4-BE49-F238E27FC236}">
                  <a16:creationId xmlns:a16="http://schemas.microsoft.com/office/drawing/2014/main" id="{E711F8EC-5E5A-4A1C-984D-7161C0984C86}"/>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438752</xdr:colOff>
      <xdr:row>17</xdr:row>
      <xdr:rowOff>114766</xdr:rowOff>
    </xdr:from>
    <xdr:to>
      <xdr:col>10</xdr:col>
      <xdr:colOff>509847</xdr:colOff>
      <xdr:row>31</xdr:row>
      <xdr:rowOff>67531</xdr:rowOff>
    </xdr:to>
    <xdr:grpSp>
      <xdr:nvGrpSpPr>
        <xdr:cNvPr id="42" name="Group 41">
          <a:extLst>
            <a:ext uri="{FF2B5EF4-FFF2-40B4-BE49-F238E27FC236}">
              <a16:creationId xmlns:a16="http://schemas.microsoft.com/office/drawing/2014/main" id="{513ED2EC-3D0B-4286-A986-4A98DE9BF354}"/>
            </a:ext>
          </a:extLst>
        </xdr:cNvPr>
        <xdr:cNvGrpSpPr/>
      </xdr:nvGrpSpPr>
      <xdr:grpSpPr>
        <a:xfrm>
          <a:off x="4121752" y="3353266"/>
          <a:ext cx="2526428" cy="2619765"/>
          <a:chOff x="10374536" y="4039901"/>
          <a:chExt cx="1558199" cy="1554481"/>
        </a:xfrm>
      </xdr:grpSpPr>
      <xdr:cxnSp macro="">
        <xdr:nvCxnSpPr>
          <xdr:cNvPr id="43" name="Straight Connector 42">
            <a:extLst>
              <a:ext uri="{FF2B5EF4-FFF2-40B4-BE49-F238E27FC236}">
                <a16:creationId xmlns:a16="http://schemas.microsoft.com/office/drawing/2014/main" id="{576E1198-BED5-BDD8-2A56-7E86C6EE0AE5}"/>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44" name="Straight Connector 43">
            <a:extLst>
              <a:ext uri="{FF2B5EF4-FFF2-40B4-BE49-F238E27FC236}">
                <a16:creationId xmlns:a16="http://schemas.microsoft.com/office/drawing/2014/main" id="{FF87E8ED-8C0F-4E73-2745-5BA0E73AB57F}"/>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C5811C22-C493-C051-148C-F88FAEE9AF62}"/>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54427CA8-643E-A456-818E-B56A5573B8AA}"/>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5</xdr:col>
      <xdr:colOff>541501</xdr:colOff>
      <xdr:row>16</xdr:row>
      <xdr:rowOff>88699</xdr:rowOff>
    </xdr:from>
    <xdr:to>
      <xdr:col>11</xdr:col>
      <xdr:colOff>418263</xdr:colOff>
      <xdr:row>32</xdr:row>
      <xdr:rowOff>95452</xdr:rowOff>
    </xdr:to>
    <xdr:graphicFrame macro="">
      <xdr:nvGraphicFramePr>
        <xdr:cNvPr id="47" name="Chart 46">
          <a:extLst>
            <a:ext uri="{FF2B5EF4-FFF2-40B4-BE49-F238E27FC236}">
              <a16:creationId xmlns:a16="http://schemas.microsoft.com/office/drawing/2014/main" id="{D8AFC38A-99BF-4E0A-8B1E-1852F5355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136439</xdr:colOff>
      <xdr:row>17</xdr:row>
      <xdr:rowOff>36405</xdr:rowOff>
    </xdr:from>
    <xdr:to>
      <xdr:col>12</xdr:col>
      <xdr:colOff>351242</xdr:colOff>
      <xdr:row>19</xdr:row>
      <xdr:rowOff>24556</xdr:rowOff>
    </xdr:to>
    <xdr:sp macro="" textlink="Processing!N7">
      <xdr:nvSpPr>
        <xdr:cNvPr id="48" name="TextBox 47">
          <a:extLst>
            <a:ext uri="{FF2B5EF4-FFF2-40B4-BE49-F238E27FC236}">
              <a16:creationId xmlns:a16="http://schemas.microsoft.com/office/drawing/2014/main" id="{945F5360-4515-48FD-B0FC-289B9E828BDC}"/>
            </a:ext>
          </a:extLst>
        </xdr:cNvPr>
        <xdr:cNvSpPr txBox="1"/>
      </xdr:nvSpPr>
      <xdr:spPr>
        <a:xfrm>
          <a:off x="6842039" y="3145365"/>
          <a:ext cx="824403"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76976F-B273-4052-8ADE-6884D9F39A70}" type="TxLink">
            <a:rPr lang="en-US" sz="1400" b="0" i="0" u="none" strike="noStrike">
              <a:solidFill>
                <a:srgbClr val="000000"/>
              </a:solidFill>
              <a:latin typeface="Aptos Narrow"/>
              <a:ea typeface="Verdana" panose="020B0604030504040204" pitchFamily="34" charset="0"/>
              <a:cs typeface="Calibri" panose="020F0502020204030204" pitchFamily="34" charset="0"/>
            </a:rPr>
            <a:pPr marL="0" indent="0" algn="ctr"/>
            <a:t>Target</a:t>
          </a:fld>
          <a:endParaRPr lang="ru-RU" sz="36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136439</xdr:colOff>
      <xdr:row>19</xdr:row>
      <xdr:rowOff>5925</xdr:rowOff>
    </xdr:from>
    <xdr:to>
      <xdr:col>12</xdr:col>
      <xdr:colOff>351242</xdr:colOff>
      <xdr:row>20</xdr:row>
      <xdr:rowOff>176956</xdr:rowOff>
    </xdr:to>
    <xdr:sp macro="" textlink="Processing!N8">
      <xdr:nvSpPr>
        <xdr:cNvPr id="49" name="TextBox 48">
          <a:extLst>
            <a:ext uri="{FF2B5EF4-FFF2-40B4-BE49-F238E27FC236}">
              <a16:creationId xmlns:a16="http://schemas.microsoft.com/office/drawing/2014/main" id="{B879D33A-47EA-4C25-85BE-AE31530DB358}"/>
            </a:ext>
          </a:extLst>
        </xdr:cNvPr>
        <xdr:cNvSpPr txBox="1"/>
      </xdr:nvSpPr>
      <xdr:spPr>
        <a:xfrm>
          <a:off x="6842039" y="3480645"/>
          <a:ext cx="824403" cy="35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D2978B-1006-4A8E-A660-07E564284FEF}" type="TxLink">
            <a:rPr lang="en-US" sz="1400" b="0" i="0" u="none" strike="noStrike">
              <a:solidFill>
                <a:srgbClr val="000000"/>
              </a:solidFill>
              <a:latin typeface="Aptos Narrow"/>
              <a:ea typeface="Verdana" panose="020B0604030504040204" pitchFamily="34" charset="0"/>
              <a:cs typeface="Calibri" panose="020F0502020204030204" pitchFamily="34" charset="0"/>
            </a:rPr>
            <a:pPr marL="0" indent="0" algn="ctr"/>
            <a:t>100%</a:t>
          </a:fld>
          <a:endParaRPr lang="ru-RU" sz="54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4</xdr:col>
      <xdr:colOff>99060</xdr:colOff>
      <xdr:row>14</xdr:row>
      <xdr:rowOff>68580</xdr:rowOff>
    </xdr:from>
    <xdr:to>
      <xdr:col>6</xdr:col>
      <xdr:colOff>121920</xdr:colOff>
      <xdr:row>17</xdr:row>
      <xdr:rowOff>38100</xdr:rowOff>
    </xdr:to>
    <xdr:sp macro="" textlink="Processing!L7">
      <xdr:nvSpPr>
        <xdr:cNvPr id="50" name="TextBox 49">
          <a:extLst>
            <a:ext uri="{FF2B5EF4-FFF2-40B4-BE49-F238E27FC236}">
              <a16:creationId xmlns:a16="http://schemas.microsoft.com/office/drawing/2014/main" id="{EEFCBA95-00FE-4C58-8999-A4CC3F691CD0}"/>
            </a:ext>
          </a:extLst>
        </xdr:cNvPr>
        <xdr:cNvSpPr txBox="1"/>
      </xdr:nvSpPr>
      <xdr:spPr>
        <a:xfrm>
          <a:off x="2537460" y="2628900"/>
          <a:ext cx="12420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l"/>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5</xdr:col>
      <xdr:colOff>548640</xdr:colOff>
      <xdr:row>14</xdr:row>
      <xdr:rowOff>83820</xdr:rowOff>
    </xdr:from>
    <xdr:to>
      <xdr:col>7</xdr:col>
      <xdr:colOff>571500</xdr:colOff>
      <xdr:row>17</xdr:row>
      <xdr:rowOff>53340</xdr:rowOff>
    </xdr:to>
    <xdr:sp macro="" textlink="Processing!L16">
      <xdr:nvSpPr>
        <xdr:cNvPr id="51" name="TextBox 50">
          <a:extLst>
            <a:ext uri="{FF2B5EF4-FFF2-40B4-BE49-F238E27FC236}">
              <a16:creationId xmlns:a16="http://schemas.microsoft.com/office/drawing/2014/main" id="{A3906D57-097A-466A-BCD0-0D90D19C1ED1}"/>
            </a:ext>
          </a:extLst>
        </xdr:cNvPr>
        <xdr:cNvSpPr txBox="1"/>
      </xdr:nvSpPr>
      <xdr:spPr>
        <a:xfrm>
          <a:off x="3596640" y="2644140"/>
          <a:ext cx="12420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C89891D-CE1B-4B62-B1EB-E255AEE048EF}"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93%</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137160</xdr:colOff>
      <xdr:row>4</xdr:row>
      <xdr:rowOff>15240</xdr:rowOff>
    </xdr:from>
    <xdr:to>
      <xdr:col>20</xdr:col>
      <xdr:colOff>22860</xdr:colOff>
      <xdr:row>17</xdr:row>
      <xdr:rowOff>99060</xdr:rowOff>
    </xdr:to>
    <xdr:sp macro="" textlink="">
      <xdr:nvSpPr>
        <xdr:cNvPr id="53" name="Rectangle: Rounded Corners 52">
          <a:hlinkClick xmlns:r="http://schemas.openxmlformats.org/officeDocument/2006/relationships" r:id="rId7"/>
          <a:extLst>
            <a:ext uri="{FF2B5EF4-FFF2-40B4-BE49-F238E27FC236}">
              <a16:creationId xmlns:a16="http://schemas.microsoft.com/office/drawing/2014/main" id="{FC8FC201-AA9D-40D5-8C36-DE135543DB47}"/>
            </a:ext>
          </a:extLst>
        </xdr:cNvPr>
        <xdr:cNvSpPr/>
      </xdr:nvSpPr>
      <xdr:spPr>
        <a:xfrm>
          <a:off x="8061960" y="74676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121920</xdr:colOff>
      <xdr:row>18</xdr:row>
      <xdr:rowOff>114300</xdr:rowOff>
    </xdr:from>
    <xdr:to>
      <xdr:col>16</xdr:col>
      <xdr:colOff>144780</xdr:colOff>
      <xdr:row>32</xdr:row>
      <xdr:rowOff>114300</xdr:rowOff>
    </xdr:to>
    <xdr:sp macro="" textlink="">
      <xdr:nvSpPr>
        <xdr:cNvPr id="54" name="Rectangle: Rounded Corners 53">
          <a:hlinkClick xmlns:r="http://schemas.openxmlformats.org/officeDocument/2006/relationships" r:id="rId8"/>
          <a:extLst>
            <a:ext uri="{FF2B5EF4-FFF2-40B4-BE49-F238E27FC236}">
              <a16:creationId xmlns:a16="http://schemas.microsoft.com/office/drawing/2014/main" id="{EDE35A11-A911-44DD-A6C1-2286013DF8C3}"/>
            </a:ext>
          </a:extLst>
        </xdr:cNvPr>
        <xdr:cNvSpPr/>
      </xdr:nvSpPr>
      <xdr:spPr>
        <a:xfrm>
          <a:off x="8046720" y="340614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358140</xdr:colOff>
      <xdr:row>18</xdr:row>
      <xdr:rowOff>114300</xdr:rowOff>
    </xdr:from>
    <xdr:to>
      <xdr:col>20</xdr:col>
      <xdr:colOff>38100</xdr:colOff>
      <xdr:row>35</xdr:row>
      <xdr:rowOff>144780</xdr:rowOff>
    </xdr:to>
    <xdr:sp macro="" textlink="">
      <xdr:nvSpPr>
        <xdr:cNvPr id="55" name="Rectangle: Rounded Corners 54">
          <a:hlinkClick xmlns:r="http://schemas.openxmlformats.org/officeDocument/2006/relationships" r:id="rId9"/>
          <a:extLst>
            <a:ext uri="{FF2B5EF4-FFF2-40B4-BE49-F238E27FC236}">
              <a16:creationId xmlns:a16="http://schemas.microsoft.com/office/drawing/2014/main" id="{417BE955-54E7-4A64-9F77-D017DE577423}"/>
            </a:ext>
          </a:extLst>
        </xdr:cNvPr>
        <xdr:cNvSpPr/>
      </xdr:nvSpPr>
      <xdr:spPr>
        <a:xfrm>
          <a:off x="10111740" y="340614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99060</xdr:colOff>
      <xdr:row>4</xdr:row>
      <xdr:rowOff>152400</xdr:rowOff>
    </xdr:from>
    <xdr:to>
      <xdr:col>7</xdr:col>
      <xdr:colOff>426720</xdr:colOff>
      <xdr:row>12</xdr:row>
      <xdr:rowOff>7620</xdr:rowOff>
    </xdr:to>
    <xdr:sp macro="" textlink="">
      <xdr:nvSpPr>
        <xdr:cNvPr id="56" name="Rectangle: Rounded Corners 55">
          <a:hlinkClick xmlns:r="http://schemas.openxmlformats.org/officeDocument/2006/relationships" r:id="rId10"/>
          <a:extLst>
            <a:ext uri="{FF2B5EF4-FFF2-40B4-BE49-F238E27FC236}">
              <a16:creationId xmlns:a16="http://schemas.microsoft.com/office/drawing/2014/main" id="{B49A046D-F664-4207-8025-F8BCE2C1EF3D}"/>
            </a:ext>
          </a:extLst>
        </xdr:cNvPr>
        <xdr:cNvSpPr/>
      </xdr:nvSpPr>
      <xdr:spPr>
        <a:xfrm>
          <a:off x="2537460" y="88392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58" name="Group 57">
          <a:hlinkClick xmlns:r="http://schemas.openxmlformats.org/officeDocument/2006/relationships" r:id="rId11"/>
          <a:extLst>
            <a:ext uri="{FF2B5EF4-FFF2-40B4-BE49-F238E27FC236}">
              <a16:creationId xmlns:a16="http://schemas.microsoft.com/office/drawing/2014/main" id="{0016B862-0F2F-6CF4-AA47-EB0DE0195899}"/>
            </a:ext>
          </a:extLst>
        </xdr:cNvPr>
        <xdr:cNvGrpSpPr/>
      </xdr:nvGrpSpPr>
      <xdr:grpSpPr>
        <a:xfrm>
          <a:off x="158639" y="833505"/>
          <a:ext cx="274320" cy="262048"/>
          <a:chOff x="2657199" y="8924774"/>
          <a:chExt cx="796566" cy="720791"/>
        </a:xfrm>
      </xdr:grpSpPr>
      <xdr:sp macro="" textlink="">
        <xdr:nvSpPr>
          <xdr:cNvPr id="62" name="Freeform: Shape 61">
            <a:extLst>
              <a:ext uri="{FF2B5EF4-FFF2-40B4-BE49-F238E27FC236}">
                <a16:creationId xmlns:a16="http://schemas.microsoft.com/office/drawing/2014/main" id="{F7D1E3F0-9901-99FF-097E-D0BC3554A6A9}"/>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63" name="Freeform: Shape 62">
            <a:extLst>
              <a:ext uri="{FF2B5EF4-FFF2-40B4-BE49-F238E27FC236}">
                <a16:creationId xmlns:a16="http://schemas.microsoft.com/office/drawing/2014/main" id="{36E49456-63D0-C2CD-CF6E-FC886D07AE21}"/>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20480" name="Freeform: Shape 20479">
            <a:extLst>
              <a:ext uri="{FF2B5EF4-FFF2-40B4-BE49-F238E27FC236}">
                <a16:creationId xmlns:a16="http://schemas.microsoft.com/office/drawing/2014/main" id="{440574B8-627D-E3BB-9D2A-96124358CD9D}"/>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20482" name="Freeform: Shape 20481">
            <a:extLst>
              <a:ext uri="{FF2B5EF4-FFF2-40B4-BE49-F238E27FC236}">
                <a16:creationId xmlns:a16="http://schemas.microsoft.com/office/drawing/2014/main" id="{BE8631CA-A0BC-1F4F-8613-F88E832FF7BA}"/>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20483" name="Freeform: Shape 20482">
            <a:extLst>
              <a:ext uri="{FF2B5EF4-FFF2-40B4-BE49-F238E27FC236}">
                <a16:creationId xmlns:a16="http://schemas.microsoft.com/office/drawing/2014/main" id="{BB805953-7951-30F7-ACC4-2866E87F275F}"/>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20484" name="Freeform: Shape 20483">
            <a:extLst>
              <a:ext uri="{FF2B5EF4-FFF2-40B4-BE49-F238E27FC236}">
                <a16:creationId xmlns:a16="http://schemas.microsoft.com/office/drawing/2014/main" id="{01B0C6E5-184A-57C8-6D63-77FE7FE8C8C4}"/>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20485" name="Freeform: Shape 20484">
            <a:extLst>
              <a:ext uri="{FF2B5EF4-FFF2-40B4-BE49-F238E27FC236}">
                <a16:creationId xmlns:a16="http://schemas.microsoft.com/office/drawing/2014/main" id="{D3ABD6FC-AFDE-7BE9-7677-95B407587D7B}"/>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20486" name="Freeform: Shape 20485">
            <a:extLst>
              <a:ext uri="{FF2B5EF4-FFF2-40B4-BE49-F238E27FC236}">
                <a16:creationId xmlns:a16="http://schemas.microsoft.com/office/drawing/2014/main" id="{1FF9F735-ED64-4986-17D7-38DD41475D71}"/>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59" name="Graphic 58" descr="Moon and stars with solid fill">
          <a:hlinkClick xmlns:r="http://schemas.openxmlformats.org/officeDocument/2006/relationships" r:id="rId12"/>
          <a:extLst>
            <a:ext uri="{FF2B5EF4-FFF2-40B4-BE49-F238E27FC236}">
              <a16:creationId xmlns:a16="http://schemas.microsoft.com/office/drawing/2014/main" id="{6903BB08-4719-0368-FEAC-4B079293388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60" name="Graphic 59" descr="Sun with solid fill">
          <a:extLst>
            <a:ext uri="{FF2B5EF4-FFF2-40B4-BE49-F238E27FC236}">
              <a16:creationId xmlns:a16="http://schemas.microsoft.com/office/drawing/2014/main" id="{8D63066E-6479-7D95-42E5-B06B870A6FE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3687" y="365760"/>
          <a:ext cx="274320" cy="274320"/>
        </a:xfrm>
        <a:prstGeom prst="rect">
          <a:avLst/>
        </a:prstGeom>
      </xdr:spPr>
    </xdr:pic>
    <xdr:clientData/>
  </xdr:twoCellAnchor>
  <xdr:twoCellAnchor>
    <xdr:from>
      <xdr:col>8</xdr:col>
      <xdr:colOff>260508</xdr:colOff>
      <xdr:row>5</xdr:row>
      <xdr:rowOff>63557</xdr:rowOff>
    </xdr:from>
    <xdr:to>
      <xdr:col>12</xdr:col>
      <xdr:colOff>276226</xdr:colOff>
      <xdr:row>9</xdr:row>
      <xdr:rowOff>0</xdr:rowOff>
    </xdr:to>
    <xdr:sp macro="" textlink="Processing!E15">
      <xdr:nvSpPr>
        <xdr:cNvPr id="57" name="Rectangle: Rounded Corners 56">
          <a:hlinkClick xmlns:r="http://schemas.openxmlformats.org/officeDocument/2006/relationships" r:id="rId17"/>
          <a:extLst>
            <a:ext uri="{FF2B5EF4-FFF2-40B4-BE49-F238E27FC236}">
              <a16:creationId xmlns:a16="http://schemas.microsoft.com/office/drawing/2014/main" id="{5179536F-F142-42EC-AFD6-803929832D78}"/>
            </a:ext>
          </a:extLst>
        </xdr:cNvPr>
        <xdr:cNvSpPr/>
      </xdr:nvSpPr>
      <xdr:spPr>
        <a:xfrm>
          <a:off x="5137308" y="1016057"/>
          <a:ext cx="2454118" cy="698443"/>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76BB91-A231-413D-9A47-94EC8253C654}" type="TxLink">
            <a:rPr lang="en-US" sz="3600" b="0" i="0" u="none" strike="noStrike">
              <a:solidFill>
                <a:srgbClr val="000000"/>
              </a:solidFill>
              <a:latin typeface="Aptos Narrow"/>
            </a:rPr>
            <a:t> $13,44,765 </a:t>
          </a:fld>
          <a:endParaRPr lang="ru-RU" sz="36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grpSp>
      <xdr:nvGrpSpPr>
        <xdr:cNvPr id="2" name="Group 1">
          <a:extLst>
            <a:ext uri="{FF2B5EF4-FFF2-40B4-BE49-F238E27FC236}">
              <a16:creationId xmlns:a16="http://schemas.microsoft.com/office/drawing/2014/main" id="{4EC137F2-B372-47EA-B2E0-04FFE2F72A10}"/>
            </a:ext>
          </a:extLst>
        </xdr:cNvPr>
        <xdr:cNvGrpSpPr/>
      </xdr:nvGrpSpPr>
      <xdr:grpSpPr>
        <a:xfrm>
          <a:off x="7620" y="0"/>
          <a:ext cx="14732000" cy="8572500"/>
          <a:chOff x="172844" y="6858000"/>
          <a:chExt cx="11850624" cy="7235580"/>
        </a:xfrm>
      </xdr:grpSpPr>
      <xdr:sp macro="" textlink="">
        <xdr:nvSpPr>
          <xdr:cNvPr id="3" name="Rectangle 2">
            <a:extLst>
              <a:ext uri="{FF2B5EF4-FFF2-40B4-BE49-F238E27FC236}">
                <a16:creationId xmlns:a16="http://schemas.microsoft.com/office/drawing/2014/main" id="{1474D484-0347-5BCD-7477-99EF7268BD68}"/>
              </a:ext>
            </a:extLst>
          </xdr:cNvPr>
          <xdr:cNvSpPr/>
        </xdr:nvSpPr>
        <xdr:spPr>
          <a:xfrm>
            <a:off x="172844" y="6858000"/>
            <a:ext cx="11846312" cy="7235580"/>
          </a:xfrm>
          <a:prstGeom prst="rect">
            <a:avLst/>
          </a:prstGeom>
          <a:gradFill flip="none" rotWithShape="1">
            <a:gsLst>
              <a:gs pos="28000">
                <a:srgbClr val="353C96"/>
              </a:gs>
              <a:gs pos="97000">
                <a:srgbClr val="2587D1"/>
              </a:gs>
            </a:gsLst>
            <a:lin ang="30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A3F98E4E-4116-F27C-498C-569DF76FE1C3}"/>
              </a:ext>
            </a:extLst>
          </xdr:cNvPr>
          <xdr:cNvSpPr/>
        </xdr:nvSpPr>
        <xdr:spPr>
          <a:xfrm>
            <a:off x="172844" y="6858000"/>
            <a:ext cx="11850624" cy="7235580"/>
          </a:xfrm>
          <a:prstGeom prst="rect">
            <a:avLst/>
          </a:prstGeom>
          <a:gradFill flip="none" rotWithShape="1">
            <a:gsLst>
              <a:gs pos="0">
                <a:srgbClr val="A66AB0"/>
              </a:gs>
              <a:gs pos="37000">
                <a:srgbClr val="353C97">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grpSp>
      <xdr:nvGrpSpPr>
        <xdr:cNvPr id="5" name="Group 4">
          <a:extLst>
            <a:ext uri="{FF2B5EF4-FFF2-40B4-BE49-F238E27FC236}">
              <a16:creationId xmlns:a16="http://schemas.microsoft.com/office/drawing/2014/main" id="{62A2AA26-BF2D-4877-B211-32F43A48D7AE}"/>
            </a:ext>
          </a:extLst>
        </xdr:cNvPr>
        <xdr:cNvGrpSpPr/>
      </xdr:nvGrpSpPr>
      <xdr:grpSpPr>
        <a:xfrm>
          <a:off x="1932940" y="396240"/>
          <a:ext cx="10770447" cy="6758940"/>
          <a:chOff x="914143" y="7218382"/>
          <a:chExt cx="10698480" cy="6492240"/>
        </a:xfrm>
        <a:effectLst>
          <a:outerShdw blurRad="571500" dist="190500" dir="8100000" algn="tr" rotWithShape="0">
            <a:prstClr val="black">
              <a:alpha val="60000"/>
            </a:prstClr>
          </a:outerShdw>
        </a:effectLst>
      </xdr:grpSpPr>
      <xdr:sp macro="" textlink="">
        <xdr:nvSpPr>
          <xdr:cNvPr id="6" name="Rectangle: Rounded Corners 5">
            <a:extLst>
              <a:ext uri="{FF2B5EF4-FFF2-40B4-BE49-F238E27FC236}">
                <a16:creationId xmlns:a16="http://schemas.microsoft.com/office/drawing/2014/main" id="{69FB59C3-C2FE-D304-E845-763FD9BE8828}"/>
              </a:ext>
            </a:extLst>
          </xdr:cNvPr>
          <xdr:cNvSpPr/>
        </xdr:nvSpPr>
        <xdr:spPr>
          <a:xfrm>
            <a:off x="914143" y="7218382"/>
            <a:ext cx="10698480" cy="6492240"/>
          </a:xfrm>
          <a:prstGeom prst="roundRect">
            <a:avLst>
              <a:gd name="adj" fmla="val 5678"/>
            </a:avLst>
          </a:prstGeom>
          <a:gradFill flip="none" rotWithShape="1">
            <a:gsLst>
              <a:gs pos="100000">
                <a:srgbClr val="1A598D"/>
              </a:gs>
              <a:gs pos="72000">
                <a:srgbClr val="353874"/>
              </a:gs>
              <a:gs pos="27000">
                <a:srgbClr val="353874"/>
              </a:gs>
              <a:gs pos="0">
                <a:srgbClr val="43348B"/>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Rectangle: Rounded Corners 6">
            <a:extLst>
              <a:ext uri="{FF2B5EF4-FFF2-40B4-BE49-F238E27FC236}">
                <a16:creationId xmlns:a16="http://schemas.microsoft.com/office/drawing/2014/main" id="{35C4CC8F-78BD-93F9-CF76-52A7978FB80F}"/>
              </a:ext>
            </a:extLst>
          </xdr:cNvPr>
          <xdr:cNvSpPr/>
        </xdr:nvSpPr>
        <xdr:spPr>
          <a:xfrm>
            <a:off x="914143" y="7218382"/>
            <a:ext cx="10698480" cy="6492240"/>
          </a:xfrm>
          <a:prstGeom prst="roundRect">
            <a:avLst>
              <a:gd name="adj" fmla="val 5678"/>
            </a:avLst>
          </a:prstGeom>
          <a:gradFill flip="none" rotWithShape="1">
            <a:gsLst>
              <a:gs pos="100000">
                <a:srgbClr val="5E376F"/>
              </a:gs>
              <a:gs pos="72000">
                <a:srgbClr val="353874">
                  <a:alpha val="0"/>
                </a:srgbClr>
              </a:gs>
              <a:gs pos="27000">
                <a:srgbClr val="353874">
                  <a:alpha val="0"/>
                </a:srgbClr>
              </a:gs>
              <a:gs pos="0">
                <a:srgbClr val="43348B"/>
              </a:gs>
            </a:gsLst>
            <a:lin ang="18900000" scaled="1"/>
            <a:tileRect/>
          </a:gradFill>
          <a:ln w="9525">
            <a:gradFill flip="none" rotWithShape="1">
              <a:gsLst>
                <a:gs pos="0">
                  <a:srgbClr val="00B0F0"/>
                </a:gs>
                <a:gs pos="100000">
                  <a:srgbClr val="9079D9"/>
                </a:gs>
                <a:gs pos="68000">
                  <a:srgbClr val="6956B1"/>
                </a:gs>
                <a:gs pos="34000">
                  <a:srgbClr val="F2BBF3"/>
                </a:gs>
              </a:gsLst>
              <a:lin ang="13500000" scaled="1"/>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6AA5D419-44D1-409F-A8D3-F26D63DFDA70}"/>
            </a:ext>
          </a:extLst>
        </xdr:cNvPr>
        <xdr:cNvSpPr/>
      </xdr:nvSpPr>
      <xdr:spPr>
        <a:xfrm>
          <a:off x="2317262" y="716188"/>
          <a:ext cx="2441986" cy="1645920"/>
        </a:xfrm>
        <a:prstGeom prst="roundRect">
          <a:avLst>
            <a:gd name="adj" fmla="val 9318"/>
          </a:avLst>
        </a:prstGeom>
        <a:gradFill flip="none" rotWithShape="1">
          <a:gsLst>
            <a:gs pos="3000">
              <a:srgbClr val="574998"/>
            </a:gs>
            <a:gs pos="76000">
              <a:srgbClr val="262D6A"/>
            </a:gs>
          </a:gsLst>
          <a:lin ang="6600000" scaled="0"/>
          <a:tileRect/>
        </a:gradFill>
        <a:ln w="9525">
          <a:gradFill flip="none" rotWithShape="1">
            <a:gsLst>
              <a:gs pos="0">
                <a:srgbClr val="BB75D8"/>
              </a:gs>
              <a:gs pos="51000">
                <a:srgbClr val="3B3E75"/>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2DF5DD76-0209-490E-903A-BEB838FFAAA2}"/>
            </a:ext>
          </a:extLst>
        </xdr:cNvPr>
        <xdr:cNvSpPr/>
      </xdr:nvSpPr>
      <xdr:spPr>
        <a:xfrm>
          <a:off x="4976853" y="718877"/>
          <a:ext cx="2812649" cy="1645920"/>
        </a:xfrm>
        <a:prstGeom prst="roundRect">
          <a:avLst>
            <a:gd name="adj" fmla="val 8437"/>
          </a:avLst>
        </a:prstGeom>
        <a:gradFill flip="none" rotWithShape="1">
          <a:gsLst>
            <a:gs pos="0">
              <a:srgbClr val="7D59A1"/>
            </a:gs>
            <a:gs pos="68000">
              <a:srgbClr val="30306F"/>
            </a:gs>
          </a:gsLst>
          <a:lin ang="6600000" scaled="0"/>
          <a:tileRect/>
        </a:gradFill>
        <a:ln w="9525">
          <a:gradFill flip="none" rotWithShape="1">
            <a:gsLst>
              <a:gs pos="0">
                <a:srgbClr val="EB97ED"/>
              </a:gs>
              <a:gs pos="49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317657</xdr:colOff>
      <xdr:row>5</xdr:row>
      <xdr:rowOff>25457</xdr:rowOff>
    </xdr:from>
    <xdr:to>
      <xdr:col>12</xdr:col>
      <xdr:colOff>256697</xdr:colOff>
      <xdr:row>11</xdr:row>
      <xdr:rowOff>116897</xdr:rowOff>
    </xdr:to>
    <xdr:grpSp>
      <xdr:nvGrpSpPr>
        <xdr:cNvPr id="10" name="Group 9">
          <a:extLst>
            <a:ext uri="{FF2B5EF4-FFF2-40B4-BE49-F238E27FC236}">
              <a16:creationId xmlns:a16="http://schemas.microsoft.com/office/drawing/2014/main" id="{8C1BEF42-DF17-4950-8CE5-0FF876140E18}"/>
            </a:ext>
          </a:extLst>
        </xdr:cNvPr>
        <xdr:cNvGrpSpPr/>
      </xdr:nvGrpSpPr>
      <xdr:grpSpPr>
        <a:xfrm>
          <a:off x="5228324" y="977957"/>
          <a:ext cx="2394373" cy="1234440"/>
          <a:chOff x="4327066" y="2477006"/>
          <a:chExt cx="2017854" cy="1200912"/>
        </a:xfrm>
        <a:effectLst>
          <a:outerShdw blurRad="190500" dist="63500" dir="8100000" algn="tr" rotWithShape="0">
            <a:prstClr val="black">
              <a:alpha val="80000"/>
            </a:prstClr>
          </a:outerShdw>
        </a:effectLst>
      </xdr:grpSpPr>
      <xdr:sp macro="" textlink="">
        <xdr:nvSpPr>
          <xdr:cNvPr id="11" name="Rectangle: Rounded Corners 10">
            <a:extLst>
              <a:ext uri="{FF2B5EF4-FFF2-40B4-BE49-F238E27FC236}">
                <a16:creationId xmlns:a16="http://schemas.microsoft.com/office/drawing/2014/main" id="{D8D6B3DC-3B84-CC31-6DDC-251D72608613}"/>
              </a:ext>
            </a:extLst>
          </xdr:cNvPr>
          <xdr:cNvSpPr/>
        </xdr:nvSpPr>
        <xdr:spPr>
          <a:xfrm>
            <a:off x="4327066" y="2477006"/>
            <a:ext cx="2017854" cy="1200912"/>
          </a:xfrm>
          <a:prstGeom prst="roundRect">
            <a:avLst>
              <a:gd name="adj" fmla="val 12606"/>
            </a:avLst>
          </a:prstGeom>
          <a:gradFill flip="none" rotWithShape="1">
            <a:gsLst>
              <a:gs pos="0">
                <a:srgbClr val="614AAB"/>
              </a:gs>
              <a:gs pos="93000">
                <a:srgbClr val="394CA9"/>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E15">
        <xdr:nvSpPr>
          <xdr:cNvPr id="12" name="Rectangle: Rounded Corners 11">
            <a:extLst>
              <a:ext uri="{FF2B5EF4-FFF2-40B4-BE49-F238E27FC236}">
                <a16:creationId xmlns:a16="http://schemas.microsoft.com/office/drawing/2014/main" id="{9F39EF7E-F7B3-CA44-3ADE-0934B3BE23AF}"/>
              </a:ext>
            </a:extLst>
          </xdr:cNvPr>
          <xdr:cNvSpPr/>
        </xdr:nvSpPr>
        <xdr:spPr>
          <a:xfrm>
            <a:off x="4327066" y="2477006"/>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7F9CE73C-E2A6-491B-A672-9AFFE5A714CF}" type="TxLink">
              <a:rPr lang="en-US" sz="3400" b="0" i="0" u="none" strike="noStrike">
                <a:solidFill>
                  <a:schemeClr val="bg1"/>
                </a:solidFill>
                <a:latin typeface="Aptos Narrow"/>
              </a:rPr>
              <a:pPr algn="l"/>
              <a:t> $13,44,765 </a:t>
            </a:fld>
            <a:endParaRPr lang="ru-RU" sz="3400">
              <a:solidFill>
                <a:schemeClr val="bg1"/>
              </a:solidFill>
            </a:endParaRPr>
          </a:p>
        </xdr:txBody>
      </xdr:sp>
    </xdr:grpSp>
    <xdr:clientData/>
  </xdr:twoCellAnchor>
  <xdr:twoCellAnchor>
    <xdr:from>
      <xdr:col>13</xdr:col>
      <xdr:colOff>117892</xdr:colOff>
      <xdr:row>3</xdr:row>
      <xdr:rowOff>167548</xdr:rowOff>
    </xdr:from>
    <xdr:to>
      <xdr:col>20</xdr:col>
      <xdr:colOff>11212</xdr:colOff>
      <xdr:row>17</xdr:row>
      <xdr:rowOff>86268</xdr:rowOff>
    </xdr:to>
    <xdr:sp macro="" textlink="">
      <xdr:nvSpPr>
        <xdr:cNvPr id="13" name="Rectangle: Rounded Corners 12">
          <a:extLst>
            <a:ext uri="{FF2B5EF4-FFF2-40B4-BE49-F238E27FC236}">
              <a16:creationId xmlns:a16="http://schemas.microsoft.com/office/drawing/2014/main" id="{73123867-CB60-40DF-8CAD-328CC05CFD6D}"/>
            </a:ext>
          </a:extLst>
        </xdr:cNvPr>
        <xdr:cNvSpPr/>
      </xdr:nvSpPr>
      <xdr:spPr>
        <a:xfrm>
          <a:off x="8042692" y="716188"/>
          <a:ext cx="4160520" cy="2479040"/>
        </a:xfrm>
        <a:prstGeom prst="roundRect">
          <a:avLst>
            <a:gd name="adj" fmla="val 8437"/>
          </a:avLst>
        </a:prstGeom>
        <a:gradFill flip="none" rotWithShape="1">
          <a:gsLst>
            <a:gs pos="85000">
              <a:srgbClr val="4F4C91"/>
            </a:gs>
            <a:gs pos="34000">
              <a:srgbClr val="7B5FA2"/>
            </a:gs>
            <a:gs pos="0">
              <a:srgbClr val="9D71AE"/>
            </a:gs>
            <a:gs pos="69000">
              <a:srgbClr val="5A4E94"/>
            </a:gs>
          </a:gsLst>
          <a:lin ang="6000000" scaled="0"/>
          <a:tileRect/>
        </a:gradFill>
        <a:ln w="9525">
          <a:solidFill>
            <a:srgbClr val="EB97ED"/>
          </a:soli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tx2">
                <a:lumMod val="10000"/>
                <a:lumOff val="90000"/>
              </a:schemeClr>
            </a:solidFill>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4" name="Rectangle: Rounded Corners 13">
          <a:extLst>
            <a:ext uri="{FF2B5EF4-FFF2-40B4-BE49-F238E27FC236}">
              <a16:creationId xmlns:a16="http://schemas.microsoft.com/office/drawing/2014/main" id="{F3765953-91A9-401A-BB84-6A1F58C6168E}"/>
            </a:ext>
          </a:extLst>
        </xdr:cNvPr>
        <xdr:cNvSpPr/>
      </xdr:nvSpPr>
      <xdr:spPr>
        <a:xfrm>
          <a:off x="10100092" y="3422015"/>
          <a:ext cx="210312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5" name="Rectangle: Rounded Corners 14">
          <a:extLst>
            <a:ext uri="{FF2B5EF4-FFF2-40B4-BE49-F238E27FC236}">
              <a16:creationId xmlns:a16="http://schemas.microsoft.com/office/drawing/2014/main" id="{51D5300C-775B-418A-9EEF-453550C1D11E}"/>
            </a:ext>
          </a:extLst>
        </xdr:cNvPr>
        <xdr:cNvSpPr/>
      </xdr:nvSpPr>
      <xdr:spPr>
        <a:xfrm>
          <a:off x="8042692" y="3422015"/>
          <a:ext cx="1828800" cy="3108960"/>
        </a:xfrm>
        <a:prstGeom prst="roundRect">
          <a:avLst>
            <a:gd name="adj" fmla="val 8437"/>
          </a:avLst>
        </a:prstGeom>
        <a:gradFill flip="none" rotWithShape="1">
          <a:gsLst>
            <a:gs pos="68536">
              <a:srgbClr val="324385"/>
            </a:gs>
            <a:gs pos="100000">
              <a:srgbClr val="2A3E7E"/>
            </a:gs>
            <a:gs pos="28000">
              <a:srgbClr val="3F488D"/>
            </a:gs>
            <a:gs pos="0">
              <a:srgbClr val="56549D"/>
            </a:gs>
          </a:gsLst>
          <a:lin ang="5400000" scaled="0"/>
          <a:tileRect/>
        </a:gradFill>
        <a:ln w="9525">
          <a:gradFill>
            <a:gsLst>
              <a:gs pos="0">
                <a:srgbClr val="997ABC"/>
              </a:gs>
              <a:gs pos="100000">
                <a:srgbClr val="404380"/>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6" name="Rectangle: Rounded Corners 15">
          <a:extLst>
            <a:ext uri="{FF2B5EF4-FFF2-40B4-BE49-F238E27FC236}">
              <a16:creationId xmlns:a16="http://schemas.microsoft.com/office/drawing/2014/main" id="{311B4633-AE27-43DA-BF65-2888D35FBE8D}"/>
            </a:ext>
          </a:extLst>
        </xdr:cNvPr>
        <xdr:cNvSpPr/>
      </xdr:nvSpPr>
      <xdr:spPr>
        <a:xfrm>
          <a:off x="2311672" y="2606040"/>
          <a:ext cx="5477830" cy="3924935"/>
        </a:xfrm>
        <a:prstGeom prst="roundRect">
          <a:avLst>
            <a:gd name="adj" fmla="val 3638"/>
          </a:avLst>
        </a:prstGeom>
        <a:gradFill>
          <a:gsLst>
            <a:gs pos="0">
              <a:srgbClr val="515092"/>
            </a:gs>
            <a:gs pos="79000">
              <a:srgbClr val="2C3977"/>
            </a:gs>
          </a:gsLst>
          <a:lin ang="5400000" scaled="0"/>
        </a:gradFill>
        <a:ln w="9525">
          <a:gradFill flip="none" rotWithShape="1">
            <a:gsLst>
              <a:gs pos="0">
                <a:srgbClr val="997ABC"/>
              </a:gs>
              <a:gs pos="81000">
                <a:srgbClr val="404380"/>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106680</xdr:colOff>
      <xdr:row>5</xdr:row>
      <xdr:rowOff>15240</xdr:rowOff>
    </xdr:from>
    <xdr:to>
      <xdr:col>7</xdr:col>
      <xdr:colOff>289560</xdr:colOff>
      <xdr:row>11</xdr:row>
      <xdr:rowOff>106680</xdr:rowOff>
    </xdr:to>
    <xdr:grpSp>
      <xdr:nvGrpSpPr>
        <xdr:cNvPr id="17" name="Group 16">
          <a:extLst>
            <a:ext uri="{FF2B5EF4-FFF2-40B4-BE49-F238E27FC236}">
              <a16:creationId xmlns:a16="http://schemas.microsoft.com/office/drawing/2014/main" id="{0453525B-EC59-46DE-825E-A6DCD86DC67E}"/>
            </a:ext>
          </a:extLst>
        </xdr:cNvPr>
        <xdr:cNvGrpSpPr/>
      </xdr:nvGrpSpPr>
      <xdr:grpSpPr>
        <a:xfrm>
          <a:off x="2562013" y="967740"/>
          <a:ext cx="2024380" cy="1234440"/>
          <a:chOff x="2234106" y="2775708"/>
          <a:chExt cx="2017854" cy="1200912"/>
        </a:xfrm>
        <a:effectLst>
          <a:outerShdw blurRad="190500" dist="63500" dir="8100000" algn="tr" rotWithShape="0">
            <a:prstClr val="black">
              <a:alpha val="80000"/>
            </a:prstClr>
          </a:outerShdw>
        </a:effectLst>
      </xdr:grpSpPr>
      <xdr:sp macro="" textlink="">
        <xdr:nvSpPr>
          <xdr:cNvPr id="18" name="Rectangle: Rounded Corners 17">
            <a:extLst>
              <a:ext uri="{FF2B5EF4-FFF2-40B4-BE49-F238E27FC236}">
                <a16:creationId xmlns:a16="http://schemas.microsoft.com/office/drawing/2014/main" id="{6BD51677-E567-5380-BA28-D97578E79022}"/>
              </a:ext>
            </a:extLst>
          </xdr:cNvPr>
          <xdr:cNvSpPr/>
        </xdr:nvSpPr>
        <xdr:spPr>
          <a:xfrm>
            <a:off x="2234106" y="2775708"/>
            <a:ext cx="2017854" cy="1200912"/>
          </a:xfrm>
          <a:prstGeom prst="roundRect">
            <a:avLst>
              <a:gd name="adj" fmla="val 12606"/>
            </a:avLst>
          </a:prstGeom>
          <a:gradFill flip="none" rotWithShape="1">
            <a:gsLst>
              <a:gs pos="0">
                <a:srgbClr val="614AAB"/>
              </a:gs>
              <a:gs pos="100000">
                <a:srgbClr val="3636A6"/>
              </a:gs>
            </a:gsLst>
            <a:path path="circle">
              <a:fillToRect r="100000" b="100000"/>
            </a:path>
            <a:tileRect l="-100000" t="-100000"/>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R6">
        <xdr:nvSpPr>
          <xdr:cNvPr id="19" name="Rectangle: Rounded Corners 18">
            <a:extLst>
              <a:ext uri="{FF2B5EF4-FFF2-40B4-BE49-F238E27FC236}">
                <a16:creationId xmlns:a16="http://schemas.microsoft.com/office/drawing/2014/main" id="{A2A5FDA6-4DE4-5D1C-F966-3889D3F3DE02}"/>
              </a:ext>
            </a:extLst>
          </xdr:cNvPr>
          <xdr:cNvSpPr/>
        </xdr:nvSpPr>
        <xdr:spPr>
          <a:xfrm>
            <a:off x="2234106" y="2775708"/>
            <a:ext cx="2017854" cy="1200912"/>
          </a:xfrm>
          <a:prstGeom prst="roundRect">
            <a:avLst>
              <a:gd name="adj" fmla="val 12606"/>
            </a:avLst>
          </a:prstGeom>
          <a:gradFill flip="none" rotWithShape="1">
            <a:gsLst>
              <a:gs pos="6000">
                <a:srgbClr val="E991EB"/>
              </a:gs>
              <a:gs pos="71000">
                <a:srgbClr val="384BA8">
                  <a:alpha val="0"/>
                </a:srgbClr>
              </a:gs>
            </a:gsLst>
            <a:lin ang="2700000" scaled="1"/>
            <a:tileRect/>
          </a:gradFill>
          <a:ln w="9525">
            <a:gradFill flip="none" rotWithShape="1">
              <a:gsLst>
                <a:gs pos="0">
                  <a:srgbClr val="F2BBF3"/>
                </a:gs>
                <a:gs pos="63000">
                  <a:srgbClr val="646ED5">
                    <a:alpha val="99000"/>
                  </a:srgbClr>
                </a:gs>
              </a:gsLst>
              <a:path path="circle">
                <a:fillToRect r="100000" b="100000"/>
              </a:path>
              <a:tileRect l="-100000" t="-10000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9D5B22AD-2689-4A19-8294-60DCF73D852F}" type="TxLink">
              <a:rPr lang="en-US" sz="4000" b="0" i="0" u="none" strike="noStrike">
                <a:solidFill>
                  <a:schemeClr val="bg1"/>
                </a:solidFill>
                <a:latin typeface="Aptos Narrow"/>
              </a:rPr>
              <a:pPr algn="l"/>
              <a:t> 21 089</a:t>
            </a:fld>
            <a:endParaRPr lang="ru-RU" sz="4000">
              <a:solidFill>
                <a:schemeClr val="bg1"/>
              </a:solidFill>
            </a:endParaRPr>
          </a:p>
        </xdr:txBody>
      </xdr:sp>
    </xdr:grpSp>
    <xdr:clientData/>
  </xdr:twoCellAnchor>
  <xdr:twoCellAnchor>
    <xdr:from>
      <xdr:col>16</xdr:col>
      <xdr:colOff>289559</xdr:colOff>
      <xdr:row>5</xdr:row>
      <xdr:rowOff>73343</xdr:rowOff>
    </xdr:from>
    <xdr:to>
      <xdr:col>19</xdr:col>
      <xdr:colOff>289559</xdr:colOff>
      <xdr:row>15</xdr:row>
      <xdr:rowOff>73343</xdr:rowOff>
    </xdr:to>
    <xdr:sp macro="" textlink="">
      <xdr:nvSpPr>
        <xdr:cNvPr id="20" name="Circle: Hollow 19">
          <a:extLst>
            <a:ext uri="{FF2B5EF4-FFF2-40B4-BE49-F238E27FC236}">
              <a16:creationId xmlns:a16="http://schemas.microsoft.com/office/drawing/2014/main" id="{9713A9C3-E8DA-407C-A3E0-57D3AA7BDD1A}"/>
            </a:ext>
          </a:extLst>
        </xdr:cNvPr>
        <xdr:cNvSpPr/>
      </xdr:nvSpPr>
      <xdr:spPr>
        <a:xfrm>
          <a:off x="10043159" y="987743"/>
          <a:ext cx="1828800" cy="1828800"/>
        </a:xfrm>
        <a:prstGeom prst="donut">
          <a:avLst>
            <a:gd name="adj" fmla="val 20022"/>
          </a:avLst>
        </a:prstGeom>
        <a:solidFill>
          <a:srgbClr val="775A94"/>
        </a:solidFill>
        <a:ln>
          <a:noFill/>
        </a:ln>
        <a:effectLst>
          <a:innerShdw blurRad="254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1" name="Chart 20">
          <a:extLst>
            <a:ext uri="{FF2B5EF4-FFF2-40B4-BE49-F238E27FC236}">
              <a16:creationId xmlns:a16="http://schemas.microsoft.com/office/drawing/2014/main" id="{25FC9FC3-174D-4DCC-9B1A-FB6535495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2" name="TextBox 21">
          <a:extLst>
            <a:ext uri="{FF2B5EF4-FFF2-40B4-BE49-F238E27FC236}">
              <a16:creationId xmlns:a16="http://schemas.microsoft.com/office/drawing/2014/main" id="{04C7F5E1-F400-4BE2-83F3-E9A0A7FA4714}"/>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3" name="TextBox 22">
          <a:extLst>
            <a:ext uri="{FF2B5EF4-FFF2-40B4-BE49-F238E27FC236}">
              <a16:creationId xmlns:a16="http://schemas.microsoft.com/office/drawing/2014/main" id="{796FA75D-55B6-42E2-89BC-552A75C99C5F}"/>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4" name="TextBox 23">
          <a:extLst>
            <a:ext uri="{FF2B5EF4-FFF2-40B4-BE49-F238E27FC236}">
              <a16:creationId xmlns:a16="http://schemas.microsoft.com/office/drawing/2014/main" id="{9CD33D1D-A71D-4490-9B12-622BB0145D04}"/>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5" name="Oval 24">
          <a:extLst>
            <a:ext uri="{FF2B5EF4-FFF2-40B4-BE49-F238E27FC236}">
              <a16:creationId xmlns:a16="http://schemas.microsoft.com/office/drawing/2014/main" id="{2EAE07E6-9C20-4AE5-A0B1-3A14FC61B290}"/>
            </a:ext>
          </a:extLst>
        </xdr:cNvPr>
        <xdr:cNvSpPr/>
      </xdr:nvSpPr>
      <xdr:spPr>
        <a:xfrm>
          <a:off x="8321040" y="1516380"/>
          <a:ext cx="137160" cy="137160"/>
        </a:xfrm>
        <a:prstGeom prst="ellipse">
          <a:avLst/>
        </a:prstGeom>
        <a:gradFill>
          <a:gsLst>
            <a:gs pos="0">
              <a:schemeClr val="accent5">
                <a:lumMod val="60000"/>
                <a:lumOff val="40000"/>
              </a:schemeClr>
            </a:gs>
            <a:gs pos="97000">
              <a:srgbClr val="A62C97"/>
            </a:gs>
          </a:gsLst>
          <a:lin ang="3000000" scaled="0"/>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6" name="Oval 25">
          <a:extLst>
            <a:ext uri="{FF2B5EF4-FFF2-40B4-BE49-F238E27FC236}">
              <a16:creationId xmlns:a16="http://schemas.microsoft.com/office/drawing/2014/main" id="{05BF1053-3B0B-44E1-B16D-000BCA538D76}"/>
            </a:ext>
          </a:extLst>
        </xdr:cNvPr>
        <xdr:cNvSpPr/>
      </xdr:nvSpPr>
      <xdr:spPr>
        <a:xfrm>
          <a:off x="8321040" y="1765300"/>
          <a:ext cx="137160" cy="137160"/>
        </a:xfrm>
        <a:prstGeom prst="ellipse">
          <a:avLst/>
        </a:prstGeom>
        <a:gradFill>
          <a:gsLst>
            <a:gs pos="100000">
              <a:srgbClr val="61A7F5"/>
            </a:gs>
            <a:gs pos="0">
              <a:srgbClr val="4077E3"/>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7" name="Oval 26">
          <a:extLst>
            <a:ext uri="{FF2B5EF4-FFF2-40B4-BE49-F238E27FC236}">
              <a16:creationId xmlns:a16="http://schemas.microsoft.com/office/drawing/2014/main" id="{9C19FD36-859A-485B-8D0C-23222F715BAF}"/>
            </a:ext>
          </a:extLst>
        </xdr:cNvPr>
        <xdr:cNvSpPr/>
      </xdr:nvSpPr>
      <xdr:spPr>
        <a:xfrm>
          <a:off x="8321040" y="2014220"/>
          <a:ext cx="137160" cy="137160"/>
        </a:xfrm>
        <a:prstGeom prst="ellipse">
          <a:avLst/>
        </a:prstGeom>
        <a:gradFill>
          <a:gsLst>
            <a:gs pos="0">
              <a:srgbClr val="8070E2"/>
            </a:gs>
            <a:gs pos="100000">
              <a:srgbClr val="5A4EBD"/>
            </a:gs>
          </a:gsLst>
          <a:lin ang="5400000" scaled="1"/>
        </a:gra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8" name="Oval 27">
          <a:extLst>
            <a:ext uri="{FF2B5EF4-FFF2-40B4-BE49-F238E27FC236}">
              <a16:creationId xmlns:a16="http://schemas.microsoft.com/office/drawing/2014/main" id="{F2096248-0240-440D-BEA7-0AAD24653820}"/>
            </a:ext>
          </a:extLst>
        </xdr:cNvPr>
        <xdr:cNvSpPr/>
      </xdr:nvSpPr>
      <xdr:spPr>
        <a:xfrm>
          <a:off x="8321040" y="2263140"/>
          <a:ext cx="137160" cy="137160"/>
        </a:xfrm>
        <a:prstGeom prst="ellipse">
          <a:avLst/>
        </a:prstGeom>
        <a:solidFill>
          <a:srgbClr val="49375B"/>
        </a:solidFill>
        <a:ln w="6350">
          <a:solidFill>
            <a:schemeClr val="accent4">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9" name="TextBox 28">
          <a:extLst>
            <a:ext uri="{FF2B5EF4-FFF2-40B4-BE49-F238E27FC236}">
              <a16:creationId xmlns:a16="http://schemas.microsoft.com/office/drawing/2014/main" id="{849B4AD5-F1D5-4ED4-A609-D52799FC7CA7}"/>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algn="ctr"/>
            <a:t>Traffic Sources</a:t>
          </a:fld>
          <a:endParaRPr lang="ru-RU" sz="4400">
            <a:solidFill>
              <a:schemeClr val="tx2">
                <a:lumMod val="10000"/>
                <a:lumOff val="90000"/>
              </a:schemeClr>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0" name="Group 29">
          <a:extLst>
            <a:ext uri="{FF2B5EF4-FFF2-40B4-BE49-F238E27FC236}">
              <a16:creationId xmlns:a16="http://schemas.microsoft.com/office/drawing/2014/main" id="{56E84ED7-4365-48BE-AB93-CFD6273A70C3}"/>
            </a:ext>
          </a:extLst>
        </xdr:cNvPr>
        <xdr:cNvGrpSpPr/>
      </xdr:nvGrpSpPr>
      <xdr:grpSpPr>
        <a:xfrm>
          <a:off x="10446503" y="4353436"/>
          <a:ext cx="1566665" cy="1629008"/>
          <a:chOff x="10374536" y="4039901"/>
          <a:chExt cx="1558199" cy="1554481"/>
        </a:xfrm>
      </xdr:grpSpPr>
      <xdr:cxnSp macro="">
        <xdr:nvCxnSpPr>
          <xdr:cNvPr id="31" name="Straight Connector 30">
            <a:extLst>
              <a:ext uri="{FF2B5EF4-FFF2-40B4-BE49-F238E27FC236}">
                <a16:creationId xmlns:a16="http://schemas.microsoft.com/office/drawing/2014/main" id="{39F73E02-C69D-A2AD-EA88-A57A14EBAE34}"/>
              </a:ext>
            </a:extLst>
          </xdr:cNvPr>
          <xdr:cNvCxnSpPr/>
        </xdr:nvCxnSpPr>
        <xdr:spPr>
          <a:xfrm>
            <a:off x="11155494"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DCEF258C-8712-BAAE-632D-079204121059}"/>
              </a:ext>
            </a:extLst>
          </xdr:cNvPr>
          <xdr:cNvCxnSpPr/>
        </xdr:nvCxnSpPr>
        <xdr:spPr>
          <a:xfrm rot="16200000">
            <a:off x="11155495" y="4039901"/>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77A6DB22-0DF8-7F18-D60F-0C9832EA09AB}"/>
              </a:ext>
            </a:extLst>
          </xdr:cNvPr>
          <xdr:cNvCxnSpPr/>
        </xdr:nvCxnSpPr>
        <xdr:spPr>
          <a:xfrm rot="2700000">
            <a:off x="11151776" y="4043620"/>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94C601DF-14B0-4423-F052-1C952FF32A21}"/>
              </a:ext>
            </a:extLst>
          </xdr:cNvPr>
          <xdr:cNvCxnSpPr/>
        </xdr:nvCxnSpPr>
        <xdr:spPr>
          <a:xfrm rot="18900000" flipH="1">
            <a:off x="11151774" y="4039902"/>
            <a:ext cx="0" cy="1554480"/>
          </a:xfrm>
          <a:prstGeom prst="line">
            <a:avLst/>
          </a:prstGeom>
          <a:ln w="9525">
            <a:solidFill>
              <a:srgbClr val="626DA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5" name="Chart 34">
          <a:extLst>
            <a:ext uri="{FF2B5EF4-FFF2-40B4-BE49-F238E27FC236}">
              <a16:creationId xmlns:a16="http://schemas.microsoft.com/office/drawing/2014/main" id="{FE8FF851-AF8F-45E4-AF9C-6B963B110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6" name="TextBox 35">
          <a:extLst>
            <a:ext uri="{FF2B5EF4-FFF2-40B4-BE49-F238E27FC236}">
              <a16:creationId xmlns:a16="http://schemas.microsoft.com/office/drawing/2014/main" id="{78F0457F-214C-4DA7-9EC9-86AE7804DD34}"/>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7" name="Chart 36">
          <a:extLst>
            <a:ext uri="{FF2B5EF4-FFF2-40B4-BE49-F238E27FC236}">
              <a16:creationId xmlns:a16="http://schemas.microsoft.com/office/drawing/2014/main" id="{6012FD75-D52E-4B2F-853F-878A3D360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8" name="TextBox 37">
          <a:extLst>
            <a:ext uri="{FF2B5EF4-FFF2-40B4-BE49-F238E27FC236}">
              <a16:creationId xmlns:a16="http://schemas.microsoft.com/office/drawing/2014/main" id="{74BDD059-DC03-48BD-BA7F-AEF7E2B383CA}"/>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2">
                <a:lumMod val="10000"/>
                <a:lumOff val="90000"/>
              </a:schemeClr>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152400</xdr:colOff>
      <xdr:row>15</xdr:row>
      <xdr:rowOff>106680</xdr:rowOff>
    </xdr:from>
    <xdr:to>
      <xdr:col>11</xdr:col>
      <xdr:colOff>350520</xdr:colOff>
      <xdr:row>16</xdr:row>
      <xdr:rowOff>99060</xdr:rowOff>
    </xdr:to>
    <xdr:sp macro="" textlink="">
      <xdr:nvSpPr>
        <xdr:cNvPr id="40" name="Rectangle 39">
          <a:extLst>
            <a:ext uri="{FF2B5EF4-FFF2-40B4-BE49-F238E27FC236}">
              <a16:creationId xmlns:a16="http://schemas.microsoft.com/office/drawing/2014/main" id="{295D095C-9D7D-43B6-A1CC-F240F5AA1CE2}"/>
            </a:ext>
          </a:extLst>
        </xdr:cNvPr>
        <xdr:cNvSpPr/>
      </xdr:nvSpPr>
      <xdr:spPr>
        <a:xfrm>
          <a:off x="6858000" y="2849880"/>
          <a:ext cx="198120" cy="175260"/>
        </a:xfrm>
        <a:prstGeom prst="rect">
          <a:avLst/>
        </a:prstGeom>
        <a:solidFill>
          <a:srgbClr val="4C4D8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1" name="Year 4">
              <a:extLst>
                <a:ext uri="{FF2B5EF4-FFF2-40B4-BE49-F238E27FC236}">
                  <a16:creationId xmlns:a16="http://schemas.microsoft.com/office/drawing/2014/main" id="{753B5EB2-6748-4FB8-9DC9-EAC67AD51B83}"/>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2" name="TextBox 41">
          <a:extLst>
            <a:ext uri="{FF2B5EF4-FFF2-40B4-BE49-F238E27FC236}">
              <a16:creationId xmlns:a16="http://schemas.microsoft.com/office/drawing/2014/main" id="{474B44F2-A0D0-4D97-A43B-22820C5CA9E3}"/>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3" name="TextBox 42">
          <a:extLst>
            <a:ext uri="{FF2B5EF4-FFF2-40B4-BE49-F238E27FC236}">
              <a16:creationId xmlns:a16="http://schemas.microsoft.com/office/drawing/2014/main" id="{BB78EA83-E259-4F3A-B79B-08B9799E976A}"/>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bg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4" name="Chart 43">
          <a:extLst>
            <a:ext uri="{FF2B5EF4-FFF2-40B4-BE49-F238E27FC236}">
              <a16:creationId xmlns:a16="http://schemas.microsoft.com/office/drawing/2014/main" id="{E0A6BACB-42C9-4E9B-AE5B-950F1FE3B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5" name="TextBox 44">
          <a:extLst>
            <a:ext uri="{FF2B5EF4-FFF2-40B4-BE49-F238E27FC236}">
              <a16:creationId xmlns:a16="http://schemas.microsoft.com/office/drawing/2014/main" id="{95E692A2-EA8F-4669-A0AA-74D2F7CA1D20}"/>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6" name="TextBox 45">
          <a:extLst>
            <a:ext uri="{FF2B5EF4-FFF2-40B4-BE49-F238E27FC236}">
              <a16:creationId xmlns:a16="http://schemas.microsoft.com/office/drawing/2014/main" id="{69141EE6-3553-4126-BCAC-4927DF0AB45C}"/>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bg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bg1"/>
            </a:solidFill>
            <a:latin typeface="Aptos Narrow"/>
            <a:ea typeface="Verdana" panose="020B0604030504040204" pitchFamily="34" charset="0"/>
            <a:cs typeface="Calibri" panose="020F0502020204030204" pitchFamily="34" charset="0"/>
          </a:endParaRPr>
        </a:p>
      </xdr:txBody>
    </xdr:sp>
    <xdr:clientData/>
  </xdr:twoCellAnchor>
  <xdr:twoCellAnchor editAs="oneCell">
    <xdr:from>
      <xdr:col>5</xdr:col>
      <xdr:colOff>318567</xdr:colOff>
      <xdr:row>15</xdr:row>
      <xdr:rowOff>60960</xdr:rowOff>
    </xdr:from>
    <xdr:to>
      <xdr:col>11</xdr:col>
      <xdr:colOff>29007</xdr:colOff>
      <xdr:row>17</xdr:row>
      <xdr:rowOff>129540</xdr:rowOff>
    </xdr:to>
    <mc:AlternateContent xmlns:mc="http://schemas.openxmlformats.org/markup-compatibility/2006" xmlns:a14="http://schemas.microsoft.com/office/drawing/2010/main">
      <mc:Choice Requires="a14">
        <xdr:graphicFrame macro="">
          <xdr:nvGraphicFramePr>
            <xdr:cNvPr id="53" name="Traffic">
              <a:extLst>
                <a:ext uri="{FF2B5EF4-FFF2-40B4-BE49-F238E27FC236}">
                  <a16:creationId xmlns:a16="http://schemas.microsoft.com/office/drawing/2014/main" id="{B63E152C-B8C7-445E-9C3F-F1D052AF5ECF}"/>
                </a:ext>
              </a:extLst>
            </xdr:cNvPr>
            <xdr:cNvGraphicFramePr/>
          </xdr:nvGraphicFramePr>
          <xdr:xfrm>
            <a:off x="0" y="0"/>
            <a:ext cx="0" cy="0"/>
          </xdr:xfrm>
          <a:graphic>
            <a:graphicData uri="http://schemas.microsoft.com/office/drawing/2010/slicer">
              <sle:slicer xmlns:sle="http://schemas.microsoft.com/office/drawing/2010/slicer" name="Traffic"/>
            </a:graphicData>
          </a:graphic>
        </xdr:graphicFrame>
      </mc:Choice>
      <mc:Fallback xmlns="">
        <xdr:sp macro="" textlink="">
          <xdr:nvSpPr>
            <xdr:cNvPr id="0" name=""/>
            <xdr:cNvSpPr>
              <a:spLocks noTextEdit="1"/>
            </xdr:cNvSpPr>
          </xdr:nvSpPr>
          <xdr:spPr>
            <a:xfrm>
              <a:off x="3366567" y="2804160"/>
              <a:ext cx="3368040" cy="4343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18</xdr:row>
      <xdr:rowOff>175260</xdr:rowOff>
    </xdr:from>
    <xdr:to>
      <xdr:col>12</xdr:col>
      <xdr:colOff>327660</xdr:colOff>
      <xdr:row>33</xdr:row>
      <xdr:rowOff>175260</xdr:rowOff>
    </xdr:to>
    <xdr:graphicFrame macro="">
      <xdr:nvGraphicFramePr>
        <xdr:cNvPr id="54" name="Chart 53">
          <a:extLst>
            <a:ext uri="{FF2B5EF4-FFF2-40B4-BE49-F238E27FC236}">
              <a16:creationId xmlns:a16="http://schemas.microsoft.com/office/drawing/2014/main" id="{403211B5-FEBA-4409-8DF4-7601275E5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7" name="Month 4">
              <a:extLst>
                <a:ext uri="{FF2B5EF4-FFF2-40B4-BE49-F238E27FC236}">
                  <a16:creationId xmlns:a16="http://schemas.microsoft.com/office/drawing/2014/main" id="{56FFCD87-CF10-4A33-B715-D4BD405037E0}"/>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205740</xdr:colOff>
      <xdr:row>4</xdr:row>
      <xdr:rowOff>175260</xdr:rowOff>
    </xdr:from>
    <xdr:to>
      <xdr:col>12</xdr:col>
      <xdr:colOff>297180</xdr:colOff>
      <xdr:row>12</xdr:row>
      <xdr:rowOff>30480</xdr:rowOff>
    </xdr:to>
    <xdr:sp macro="" textlink="">
      <xdr:nvSpPr>
        <xdr:cNvPr id="55" name="Rectangle: Rounded Corners 54">
          <a:hlinkClick xmlns:r="http://schemas.openxmlformats.org/officeDocument/2006/relationships" r:id="rId6"/>
          <a:extLst>
            <a:ext uri="{FF2B5EF4-FFF2-40B4-BE49-F238E27FC236}">
              <a16:creationId xmlns:a16="http://schemas.microsoft.com/office/drawing/2014/main" id="{5C3F64A6-69DD-4346-82BA-47C2C40D20D7}"/>
            </a:ext>
          </a:extLst>
        </xdr:cNvPr>
        <xdr:cNvSpPr/>
      </xdr:nvSpPr>
      <xdr:spPr>
        <a:xfrm>
          <a:off x="5082540" y="906780"/>
          <a:ext cx="252984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68580</xdr:colOff>
      <xdr:row>4</xdr:row>
      <xdr:rowOff>38100</xdr:rowOff>
    </xdr:from>
    <xdr:to>
      <xdr:col>19</xdr:col>
      <xdr:colOff>563880</xdr:colOff>
      <xdr:row>17</xdr:row>
      <xdr:rowOff>121920</xdr:rowOff>
    </xdr:to>
    <xdr:sp macro="" textlink="">
      <xdr:nvSpPr>
        <xdr:cNvPr id="56" name="Rectangle: Rounded Corners 55">
          <a:hlinkClick xmlns:r="http://schemas.openxmlformats.org/officeDocument/2006/relationships" r:id="rId7"/>
          <a:extLst>
            <a:ext uri="{FF2B5EF4-FFF2-40B4-BE49-F238E27FC236}">
              <a16:creationId xmlns:a16="http://schemas.microsoft.com/office/drawing/2014/main" id="{070B7EC0-CA7E-4386-93B5-FBDCF8C1165E}"/>
            </a:ext>
          </a:extLst>
        </xdr:cNvPr>
        <xdr:cNvSpPr/>
      </xdr:nvSpPr>
      <xdr:spPr>
        <a:xfrm>
          <a:off x="7993380" y="7696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53340</xdr:colOff>
      <xdr:row>18</xdr:row>
      <xdr:rowOff>137160</xdr:rowOff>
    </xdr:from>
    <xdr:to>
      <xdr:col>16</xdr:col>
      <xdr:colOff>76200</xdr:colOff>
      <xdr:row>32</xdr:row>
      <xdr:rowOff>137160</xdr:rowOff>
    </xdr:to>
    <xdr:sp macro="" textlink="">
      <xdr:nvSpPr>
        <xdr:cNvPr id="57" name="Rectangle: Rounded Corners 56">
          <a:hlinkClick xmlns:r="http://schemas.openxmlformats.org/officeDocument/2006/relationships" r:id="rId8"/>
          <a:extLst>
            <a:ext uri="{FF2B5EF4-FFF2-40B4-BE49-F238E27FC236}">
              <a16:creationId xmlns:a16="http://schemas.microsoft.com/office/drawing/2014/main" id="{3D733312-0A0D-4548-ADE9-C22C74BC4EC1}"/>
            </a:ext>
          </a:extLst>
        </xdr:cNvPr>
        <xdr:cNvSpPr/>
      </xdr:nvSpPr>
      <xdr:spPr>
        <a:xfrm>
          <a:off x="7978140" y="34290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289560</xdr:colOff>
      <xdr:row>18</xdr:row>
      <xdr:rowOff>137160</xdr:rowOff>
    </xdr:from>
    <xdr:to>
      <xdr:col>19</xdr:col>
      <xdr:colOff>579120</xdr:colOff>
      <xdr:row>35</xdr:row>
      <xdr:rowOff>167640</xdr:rowOff>
    </xdr:to>
    <xdr:sp macro="" textlink="">
      <xdr:nvSpPr>
        <xdr:cNvPr id="58" name="Rectangle: Rounded Corners 57">
          <a:hlinkClick xmlns:r="http://schemas.openxmlformats.org/officeDocument/2006/relationships" r:id="rId9"/>
          <a:extLst>
            <a:ext uri="{FF2B5EF4-FFF2-40B4-BE49-F238E27FC236}">
              <a16:creationId xmlns:a16="http://schemas.microsoft.com/office/drawing/2014/main" id="{C9C635D6-9C95-4349-BAC4-227041912304}"/>
            </a:ext>
          </a:extLst>
        </xdr:cNvPr>
        <xdr:cNvSpPr/>
      </xdr:nvSpPr>
      <xdr:spPr>
        <a:xfrm>
          <a:off x="10043160" y="34290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30480</xdr:colOff>
      <xdr:row>4</xdr:row>
      <xdr:rowOff>175260</xdr:rowOff>
    </xdr:from>
    <xdr:to>
      <xdr:col>7</xdr:col>
      <xdr:colOff>358140</xdr:colOff>
      <xdr:row>12</xdr:row>
      <xdr:rowOff>30480</xdr:rowOff>
    </xdr:to>
    <xdr:sp macro="" textlink="">
      <xdr:nvSpPr>
        <xdr:cNvPr id="59" name="Rectangle: Rounded Corners 58">
          <a:hlinkClick xmlns:r="http://schemas.openxmlformats.org/officeDocument/2006/relationships" r:id="rId10"/>
          <a:extLst>
            <a:ext uri="{FF2B5EF4-FFF2-40B4-BE49-F238E27FC236}">
              <a16:creationId xmlns:a16="http://schemas.microsoft.com/office/drawing/2014/main" id="{34BA5351-EFF7-4D1C-A336-0CB3E38BD187}"/>
            </a:ext>
          </a:extLst>
        </xdr:cNvPr>
        <xdr:cNvSpPr/>
      </xdr:nvSpPr>
      <xdr:spPr>
        <a:xfrm>
          <a:off x="2468880" y="90678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48" name="Group 47">
          <a:hlinkClick xmlns:r="http://schemas.openxmlformats.org/officeDocument/2006/relationships" r:id="rId11"/>
          <a:extLst>
            <a:ext uri="{FF2B5EF4-FFF2-40B4-BE49-F238E27FC236}">
              <a16:creationId xmlns:a16="http://schemas.microsoft.com/office/drawing/2014/main" id="{460B117E-34A3-9FE4-F728-331C64B9E15A}"/>
            </a:ext>
          </a:extLst>
        </xdr:cNvPr>
        <xdr:cNvGrpSpPr/>
      </xdr:nvGrpSpPr>
      <xdr:grpSpPr>
        <a:xfrm>
          <a:off x="158639" y="833505"/>
          <a:ext cx="274320" cy="262048"/>
          <a:chOff x="2657199" y="8924774"/>
          <a:chExt cx="796566" cy="720791"/>
        </a:xfrm>
      </xdr:grpSpPr>
      <xdr:sp macro="" textlink="">
        <xdr:nvSpPr>
          <xdr:cNvPr id="60" name="Freeform: Shape 59">
            <a:extLst>
              <a:ext uri="{FF2B5EF4-FFF2-40B4-BE49-F238E27FC236}">
                <a16:creationId xmlns:a16="http://schemas.microsoft.com/office/drawing/2014/main" id="{89F49510-1887-66E7-373F-0011E8AD37E9}"/>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61" name="Freeform: Shape 60">
            <a:extLst>
              <a:ext uri="{FF2B5EF4-FFF2-40B4-BE49-F238E27FC236}">
                <a16:creationId xmlns:a16="http://schemas.microsoft.com/office/drawing/2014/main" id="{9BB55F34-8315-E65C-BE22-F5FDCE3052D9}"/>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2" name="Freeform: Shape 61">
            <a:extLst>
              <a:ext uri="{FF2B5EF4-FFF2-40B4-BE49-F238E27FC236}">
                <a16:creationId xmlns:a16="http://schemas.microsoft.com/office/drawing/2014/main" id="{DEFCC550-EEC3-B647-9A74-A621A99ACA3E}"/>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3" name="Freeform: Shape 62">
            <a:extLst>
              <a:ext uri="{FF2B5EF4-FFF2-40B4-BE49-F238E27FC236}">
                <a16:creationId xmlns:a16="http://schemas.microsoft.com/office/drawing/2014/main" id="{4720DE2D-E4DD-E742-5975-57F9682B91CE}"/>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4" name="Freeform: Shape 63">
            <a:extLst>
              <a:ext uri="{FF2B5EF4-FFF2-40B4-BE49-F238E27FC236}">
                <a16:creationId xmlns:a16="http://schemas.microsoft.com/office/drawing/2014/main" id="{207D6CB1-3AD3-BAFF-2CAB-E82C4E7653C2}"/>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65" name="Freeform: Shape 64">
            <a:extLst>
              <a:ext uri="{FF2B5EF4-FFF2-40B4-BE49-F238E27FC236}">
                <a16:creationId xmlns:a16="http://schemas.microsoft.com/office/drawing/2014/main" id="{C73C7A77-9EE5-B3E0-7ED1-1946BE46A687}"/>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66" name="Freeform: Shape 65">
            <a:extLst>
              <a:ext uri="{FF2B5EF4-FFF2-40B4-BE49-F238E27FC236}">
                <a16:creationId xmlns:a16="http://schemas.microsoft.com/office/drawing/2014/main" id="{24510614-2916-A5DA-4233-5556BAFD7942}"/>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67" name="Freeform: Shape 66">
            <a:extLst>
              <a:ext uri="{FF2B5EF4-FFF2-40B4-BE49-F238E27FC236}">
                <a16:creationId xmlns:a16="http://schemas.microsoft.com/office/drawing/2014/main" id="{433740A4-4CF7-1A95-509C-425636A22C42}"/>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50" name="Graphic 49" descr="Moon and stars with solid fill">
          <a:extLst>
            <a:ext uri="{FF2B5EF4-FFF2-40B4-BE49-F238E27FC236}">
              <a16:creationId xmlns:a16="http://schemas.microsoft.com/office/drawing/2014/main" id="{BF6B4656-A467-B8A7-01B3-8668FE71286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1" name="Graphic 50" descr="Sun with solid fill">
          <a:hlinkClick xmlns:r="http://schemas.openxmlformats.org/officeDocument/2006/relationships" r:id="rId14"/>
          <a:extLst>
            <a:ext uri="{FF2B5EF4-FFF2-40B4-BE49-F238E27FC236}">
              <a16:creationId xmlns:a16="http://schemas.microsoft.com/office/drawing/2014/main" id="{B7013B2A-B4B1-AE66-5A77-947D0E10F58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3687" y="365760"/>
          <a:ext cx="274320" cy="27432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7620</xdr:rowOff>
    </xdr:from>
    <xdr:to>
      <xdr:col>24</xdr:col>
      <xdr:colOff>0</xdr:colOff>
      <xdr:row>45</xdr:row>
      <xdr:rowOff>7620</xdr:rowOff>
    </xdr:to>
    <xdr:grpSp>
      <xdr:nvGrpSpPr>
        <xdr:cNvPr id="55" name="Group 54">
          <a:extLst>
            <a:ext uri="{FF2B5EF4-FFF2-40B4-BE49-F238E27FC236}">
              <a16:creationId xmlns:a16="http://schemas.microsoft.com/office/drawing/2014/main" id="{E83F8F3F-66C0-4ABD-BDD1-F5D70653787A}"/>
            </a:ext>
          </a:extLst>
        </xdr:cNvPr>
        <xdr:cNvGrpSpPr/>
      </xdr:nvGrpSpPr>
      <xdr:grpSpPr>
        <a:xfrm>
          <a:off x="0" y="7620"/>
          <a:ext cx="14732000" cy="8572500"/>
          <a:chOff x="1538344" y="742278"/>
          <a:chExt cx="8961120" cy="5432611"/>
        </a:xfrm>
      </xdr:grpSpPr>
      <xdr:sp macro="" textlink="">
        <xdr:nvSpPr>
          <xdr:cNvPr id="56" name="Rectangle 55">
            <a:extLst>
              <a:ext uri="{FF2B5EF4-FFF2-40B4-BE49-F238E27FC236}">
                <a16:creationId xmlns:a16="http://schemas.microsoft.com/office/drawing/2014/main" id="{23CC3BD0-149B-5579-15DB-1D6E9F719F9D}"/>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7" name="Rectangle 56">
            <a:extLst>
              <a:ext uri="{FF2B5EF4-FFF2-40B4-BE49-F238E27FC236}">
                <a16:creationId xmlns:a16="http://schemas.microsoft.com/office/drawing/2014/main" id="{8F0E6741-64D1-D048-BA52-6990857CC88B}"/>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7" name="Rectangle: Rounded Corners 6">
          <a:extLst>
            <a:ext uri="{FF2B5EF4-FFF2-40B4-BE49-F238E27FC236}">
              <a16:creationId xmlns:a16="http://schemas.microsoft.com/office/drawing/2014/main" id="{C42AE285-55C6-36FD-3628-0122B3B6B538}"/>
            </a:ext>
          </a:extLst>
        </xdr:cNvPr>
        <xdr:cNvSpPr/>
      </xdr:nvSpPr>
      <xdr:spPr>
        <a:xfrm>
          <a:off x="1920240" y="381000"/>
          <a:ext cx="10698480" cy="6492240"/>
        </a:xfrm>
        <a:prstGeom prst="roundRect">
          <a:avLst>
            <a:gd name="adj" fmla="val 5678"/>
          </a:avLst>
        </a:prstGeom>
        <a:gradFill flip="none" rotWithShape="1">
          <a:gsLst>
            <a:gs pos="0">
              <a:srgbClr val="E5D9FE"/>
            </a:gs>
            <a:gs pos="100000">
              <a:srgbClr val="DBE0FF"/>
            </a:gs>
          </a:gsLst>
          <a:lin ang="2700000" scaled="1"/>
          <a:tileRect/>
        </a:gra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488462</xdr:colOff>
      <xdr:row>3</xdr:row>
      <xdr:rowOff>167548</xdr:rowOff>
    </xdr:from>
    <xdr:to>
      <xdr:col>7</xdr:col>
      <xdr:colOff>492048</xdr:colOff>
      <xdr:row>12</xdr:row>
      <xdr:rowOff>167548</xdr:rowOff>
    </xdr:to>
    <xdr:sp macro="" textlink="">
      <xdr:nvSpPr>
        <xdr:cNvPr id="8" name="Rectangle: Rounded Corners 7">
          <a:extLst>
            <a:ext uri="{FF2B5EF4-FFF2-40B4-BE49-F238E27FC236}">
              <a16:creationId xmlns:a16="http://schemas.microsoft.com/office/drawing/2014/main" id="{A61E01B4-4171-41D4-BF9E-22F237EC2E33}"/>
            </a:ext>
          </a:extLst>
        </xdr:cNvPr>
        <xdr:cNvSpPr/>
      </xdr:nvSpPr>
      <xdr:spPr>
        <a:xfrm>
          <a:off x="2317262" y="716188"/>
          <a:ext cx="2441986" cy="1645920"/>
        </a:xfrm>
        <a:prstGeom prst="roundRect">
          <a:avLst>
            <a:gd name="adj" fmla="val 9318"/>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9" name="Rectangle: Rounded Corners 8">
          <a:extLst>
            <a:ext uri="{FF2B5EF4-FFF2-40B4-BE49-F238E27FC236}">
              <a16:creationId xmlns:a16="http://schemas.microsoft.com/office/drawing/2014/main" id="{C136AC6A-4E65-4FD3-B912-4A6B09794EB7}"/>
            </a:ext>
          </a:extLst>
        </xdr:cNvPr>
        <xdr:cNvSpPr/>
      </xdr:nvSpPr>
      <xdr:spPr>
        <a:xfrm>
          <a:off x="4976853" y="718877"/>
          <a:ext cx="2812649" cy="1645920"/>
        </a:xfrm>
        <a:prstGeom prst="roundRect">
          <a:avLst>
            <a:gd name="adj" fmla="val 8437"/>
          </a:avLst>
        </a:prstGeom>
        <a:gradFill>
          <a:gsLst>
            <a:gs pos="0">
              <a:srgbClr val="FCF6FF"/>
            </a:gs>
            <a:gs pos="58000">
              <a:srgbClr val="DAE1FE"/>
            </a:gs>
          </a:gsLst>
          <a:lin ang="8100000" scaled="1"/>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12" name="Rectangle: Rounded Corners 11">
          <a:extLst>
            <a:ext uri="{FF2B5EF4-FFF2-40B4-BE49-F238E27FC236}">
              <a16:creationId xmlns:a16="http://schemas.microsoft.com/office/drawing/2014/main" id="{E8A1366C-E6E5-0799-2159-F027199B2CC0}"/>
            </a:ext>
          </a:extLst>
        </xdr:cNvPr>
        <xdr:cNvSpPr/>
      </xdr:nvSpPr>
      <xdr:spPr>
        <a:xfrm>
          <a:off x="5194457" y="939857"/>
          <a:ext cx="237744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en-US" sz="4000" kern="1200">
            <a:solidFill>
              <a:schemeClr val="tx1"/>
            </a:solidFill>
            <a:latin typeface="+mn-lt"/>
            <a:ea typeface="+mn-ea"/>
            <a:cs typeface="+mn-cs"/>
          </a:endParaRP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13" name="Rectangle: Rounded Corners 12">
          <a:extLst>
            <a:ext uri="{FF2B5EF4-FFF2-40B4-BE49-F238E27FC236}">
              <a16:creationId xmlns:a16="http://schemas.microsoft.com/office/drawing/2014/main" id="{E5893BA6-41AE-4075-A32D-BC0062752098}"/>
            </a:ext>
          </a:extLst>
        </xdr:cNvPr>
        <xdr:cNvSpPr/>
      </xdr:nvSpPr>
      <xdr:spPr>
        <a:xfrm>
          <a:off x="8042692" y="716188"/>
          <a:ext cx="4160520" cy="2479040"/>
        </a:xfrm>
        <a:prstGeom prst="roundRect">
          <a:avLst>
            <a:gd name="adj" fmla="val 8437"/>
          </a:avLst>
        </a:prstGeom>
        <a:gradFill>
          <a:gsLst>
            <a:gs pos="0">
              <a:srgbClr val="FCF6FF"/>
            </a:gs>
            <a:gs pos="58000">
              <a:srgbClr val="DAE1FE"/>
            </a:gs>
          </a:gsLst>
          <a:lin ang="8100000" scaled="1"/>
        </a:gradFill>
        <a:ln w="9525">
          <a:solidFill>
            <a:srgbClr val="8278FC"/>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US" sz="1100">
            <a:solidFill>
              <a:schemeClr val="tx2">
                <a:lumMod val="10000"/>
                <a:lumOff val="90000"/>
              </a:schemeClr>
            </a:solidFill>
            <a:latin typeface="+mn-lt"/>
            <a:ea typeface="+mn-ea"/>
            <a:cs typeface="+mn-cs"/>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4" name="Rectangle: Rounded Corners 13">
          <a:extLst>
            <a:ext uri="{FF2B5EF4-FFF2-40B4-BE49-F238E27FC236}">
              <a16:creationId xmlns:a16="http://schemas.microsoft.com/office/drawing/2014/main" id="{7A4A3338-88BD-4311-B4E3-5CAC2C63BE79}"/>
            </a:ext>
          </a:extLst>
        </xdr:cNvPr>
        <xdr:cNvSpPr/>
      </xdr:nvSpPr>
      <xdr:spPr>
        <a:xfrm>
          <a:off x="10100092" y="3422015"/>
          <a:ext cx="2103120" cy="3108960"/>
        </a:xfrm>
        <a:prstGeom prst="roundRect">
          <a:avLst>
            <a:gd name="adj" fmla="val 8437"/>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5" name="Rectangle: Rounded Corners 14">
          <a:extLst>
            <a:ext uri="{FF2B5EF4-FFF2-40B4-BE49-F238E27FC236}">
              <a16:creationId xmlns:a16="http://schemas.microsoft.com/office/drawing/2014/main" id="{6C00B70B-4C53-4B2A-A31D-E671B0C89D83}"/>
            </a:ext>
          </a:extLst>
        </xdr:cNvPr>
        <xdr:cNvSpPr/>
      </xdr:nvSpPr>
      <xdr:spPr>
        <a:xfrm>
          <a:off x="8042692" y="3422015"/>
          <a:ext cx="1828800" cy="3108960"/>
        </a:xfrm>
        <a:prstGeom prst="roundRect">
          <a:avLst>
            <a:gd name="adj" fmla="val 8437"/>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6" name="Rectangle: Rounded Corners 15">
          <a:extLst>
            <a:ext uri="{FF2B5EF4-FFF2-40B4-BE49-F238E27FC236}">
              <a16:creationId xmlns:a16="http://schemas.microsoft.com/office/drawing/2014/main" id="{8593434F-2D38-4838-AB54-F00F41AD08E1}"/>
            </a:ext>
          </a:extLst>
        </xdr:cNvPr>
        <xdr:cNvSpPr/>
      </xdr:nvSpPr>
      <xdr:spPr>
        <a:xfrm>
          <a:off x="2311672" y="2606040"/>
          <a:ext cx="5477830" cy="3924935"/>
        </a:xfrm>
        <a:prstGeom prst="roundRect">
          <a:avLst>
            <a:gd name="adj" fmla="val 3638"/>
          </a:avLst>
        </a:prstGeom>
        <a:gradFill flip="none" rotWithShape="1">
          <a:gsLst>
            <a:gs pos="100000">
              <a:srgbClr val="E5D9FE"/>
            </a:gs>
            <a:gs pos="0">
              <a:srgbClr val="DBE0FF"/>
            </a:gs>
          </a:gsLst>
          <a:lin ang="8100000" scaled="1"/>
          <a:tileRect/>
        </a:gradFill>
        <a:ln w="9525">
          <a:solidFill>
            <a:schemeClr val="bg1"/>
          </a:solid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19" name="Rectangle: Rounded Corners 18">
          <a:extLst>
            <a:ext uri="{FF2B5EF4-FFF2-40B4-BE49-F238E27FC236}">
              <a16:creationId xmlns:a16="http://schemas.microsoft.com/office/drawing/2014/main" id="{B43E173A-DA76-7ADA-A8E5-C714F5E800DB}"/>
            </a:ext>
          </a:extLst>
        </xdr:cNvPr>
        <xdr:cNvSpPr/>
      </xdr:nvSpPr>
      <xdr:spPr>
        <a:xfrm>
          <a:off x="2545080" y="929640"/>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D5B22AD-2689-4A19-8294-60DCF73D852F}" type="TxLink">
            <a:rPr lang="en-US" sz="4000" kern="1200">
              <a:solidFill>
                <a:schemeClr val="tx1"/>
              </a:solidFill>
              <a:latin typeface="+mn-lt"/>
              <a:ea typeface="+mn-ea"/>
              <a:cs typeface="+mn-cs"/>
            </a:rPr>
            <a:pPr marL="0" indent="0" algn="l" defTabSz="914400" rtl="0" eaLnBrk="1" latinLnBrk="0" hangingPunct="1"/>
            <a:t> 21 089</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20" name="Circle: Hollow 19">
          <a:extLst>
            <a:ext uri="{FF2B5EF4-FFF2-40B4-BE49-F238E27FC236}">
              <a16:creationId xmlns:a16="http://schemas.microsoft.com/office/drawing/2014/main" id="{875617B5-D966-4115-91F3-73FBCE926C0A}"/>
            </a:ext>
          </a:extLst>
        </xdr:cNvPr>
        <xdr:cNvSpPr/>
      </xdr:nvSpPr>
      <xdr:spPr>
        <a:xfrm>
          <a:off x="10043159" y="987743"/>
          <a:ext cx="1828800" cy="1828800"/>
        </a:xfrm>
        <a:prstGeom prst="donut">
          <a:avLst>
            <a:gd name="adj" fmla="val 20022"/>
          </a:avLst>
        </a:prstGeom>
        <a:solidFill>
          <a:srgbClr val="C7C5FF"/>
        </a:solidFill>
        <a:ln>
          <a:noFill/>
        </a:ln>
        <a:effectLst>
          <a:innerShdw blurRad="254000">
            <a:prstClr val="black">
              <a:alpha val="38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tx1"/>
            </a:solidFill>
            <a:latin typeface="+mn-lt"/>
            <a:ea typeface="+mn-ea"/>
            <a:cs typeface="+mn-cs"/>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21" name="Chart 20">
          <a:extLst>
            <a:ext uri="{FF2B5EF4-FFF2-40B4-BE49-F238E27FC236}">
              <a16:creationId xmlns:a16="http://schemas.microsoft.com/office/drawing/2014/main" id="{0EFF08D0-214A-466B-96BC-CEDD9FA9E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22" name="TextBox 21">
          <a:extLst>
            <a:ext uri="{FF2B5EF4-FFF2-40B4-BE49-F238E27FC236}">
              <a16:creationId xmlns:a16="http://schemas.microsoft.com/office/drawing/2014/main" id="{B99AB3A8-0F62-4EEF-9F86-BF829B59B1A6}"/>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23" name="TextBox 22">
          <a:extLst>
            <a:ext uri="{FF2B5EF4-FFF2-40B4-BE49-F238E27FC236}">
              <a16:creationId xmlns:a16="http://schemas.microsoft.com/office/drawing/2014/main" id="{E05B3CB3-A29C-4BBB-95B2-D9084917F727}"/>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24" name="TextBox 23">
          <a:extLst>
            <a:ext uri="{FF2B5EF4-FFF2-40B4-BE49-F238E27FC236}">
              <a16:creationId xmlns:a16="http://schemas.microsoft.com/office/drawing/2014/main" id="{4FD72C15-E87E-4CAD-AA93-BC49CC8CF9A0}"/>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25" name="Oval 24">
          <a:extLst>
            <a:ext uri="{FF2B5EF4-FFF2-40B4-BE49-F238E27FC236}">
              <a16:creationId xmlns:a16="http://schemas.microsoft.com/office/drawing/2014/main" id="{3D9AA927-1B69-44FF-9D06-2B65354D6E1C}"/>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6" name="Oval 25">
          <a:extLst>
            <a:ext uri="{FF2B5EF4-FFF2-40B4-BE49-F238E27FC236}">
              <a16:creationId xmlns:a16="http://schemas.microsoft.com/office/drawing/2014/main" id="{0FDE139E-9D8A-4136-81CF-1762E956EB8B}"/>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7" name="Oval 26">
          <a:extLst>
            <a:ext uri="{FF2B5EF4-FFF2-40B4-BE49-F238E27FC236}">
              <a16:creationId xmlns:a16="http://schemas.microsoft.com/office/drawing/2014/main" id="{3002FDC8-57F9-4D2D-BEE5-90CAF1A04122}"/>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8" name="Oval 27">
          <a:extLst>
            <a:ext uri="{FF2B5EF4-FFF2-40B4-BE49-F238E27FC236}">
              <a16:creationId xmlns:a16="http://schemas.microsoft.com/office/drawing/2014/main" id="{732EC948-4FD0-47D2-BBAB-E4760B3CE477}"/>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9" name="TextBox 28">
          <a:extLst>
            <a:ext uri="{FF2B5EF4-FFF2-40B4-BE49-F238E27FC236}">
              <a16:creationId xmlns:a16="http://schemas.microsoft.com/office/drawing/2014/main" id="{EF7692CE-503F-4614-B684-62945888C82D}"/>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30" name="Group 29">
          <a:extLst>
            <a:ext uri="{FF2B5EF4-FFF2-40B4-BE49-F238E27FC236}">
              <a16:creationId xmlns:a16="http://schemas.microsoft.com/office/drawing/2014/main" id="{85D8723B-D99D-42D2-80FE-906612E0AEBB}"/>
            </a:ext>
          </a:extLst>
        </xdr:cNvPr>
        <xdr:cNvGrpSpPr/>
      </xdr:nvGrpSpPr>
      <xdr:grpSpPr>
        <a:xfrm>
          <a:off x="10446503" y="4353436"/>
          <a:ext cx="1566665" cy="1629008"/>
          <a:chOff x="10374536" y="4039901"/>
          <a:chExt cx="1558199" cy="1554481"/>
        </a:xfrm>
      </xdr:grpSpPr>
      <xdr:cxnSp macro="">
        <xdr:nvCxnSpPr>
          <xdr:cNvPr id="31" name="Straight Connector 30">
            <a:extLst>
              <a:ext uri="{FF2B5EF4-FFF2-40B4-BE49-F238E27FC236}">
                <a16:creationId xmlns:a16="http://schemas.microsoft.com/office/drawing/2014/main" id="{0643B6FD-D4E8-3FE6-2D4F-165BB1739FAB}"/>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7189B757-422C-30A1-F841-3535F2960F4E}"/>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3" name="Straight Connector 32">
            <a:extLst>
              <a:ext uri="{FF2B5EF4-FFF2-40B4-BE49-F238E27FC236}">
                <a16:creationId xmlns:a16="http://schemas.microsoft.com/office/drawing/2014/main" id="{E6B9298B-41C1-CF76-D014-8CCE2DA66AC6}"/>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96110A6C-C7B2-C074-1A99-73DB579AB10A}"/>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35" name="Chart 34">
          <a:extLst>
            <a:ext uri="{FF2B5EF4-FFF2-40B4-BE49-F238E27FC236}">
              <a16:creationId xmlns:a16="http://schemas.microsoft.com/office/drawing/2014/main" id="{2498823D-F6A4-451D-9C44-07B6C07D1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6" name="TextBox 35">
          <a:extLst>
            <a:ext uri="{FF2B5EF4-FFF2-40B4-BE49-F238E27FC236}">
              <a16:creationId xmlns:a16="http://schemas.microsoft.com/office/drawing/2014/main" id="{A682928D-4B9A-4C91-8A2D-6A863E06E5FC}"/>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7" name="Chart 36">
          <a:extLst>
            <a:ext uri="{FF2B5EF4-FFF2-40B4-BE49-F238E27FC236}">
              <a16:creationId xmlns:a16="http://schemas.microsoft.com/office/drawing/2014/main" id="{77538C21-762C-4F47-BBD1-0B4C73A1F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8" name="TextBox 37">
          <a:extLst>
            <a:ext uri="{FF2B5EF4-FFF2-40B4-BE49-F238E27FC236}">
              <a16:creationId xmlns:a16="http://schemas.microsoft.com/office/drawing/2014/main" id="{C28D31D0-FE67-44B8-A9DC-23299C6FFF65}"/>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152400</xdr:colOff>
      <xdr:row>15</xdr:row>
      <xdr:rowOff>106680</xdr:rowOff>
    </xdr:from>
    <xdr:to>
      <xdr:col>11</xdr:col>
      <xdr:colOff>350520</xdr:colOff>
      <xdr:row>16</xdr:row>
      <xdr:rowOff>99060</xdr:rowOff>
    </xdr:to>
    <xdr:sp macro="" textlink="">
      <xdr:nvSpPr>
        <xdr:cNvPr id="39" name="Rectangle 38">
          <a:extLst>
            <a:ext uri="{FF2B5EF4-FFF2-40B4-BE49-F238E27FC236}">
              <a16:creationId xmlns:a16="http://schemas.microsoft.com/office/drawing/2014/main" id="{811AD538-40C0-419B-95A0-748F7DCD0AC1}"/>
            </a:ext>
          </a:extLst>
        </xdr:cNvPr>
        <xdr:cNvSpPr/>
      </xdr:nvSpPr>
      <xdr:spPr>
        <a:xfrm>
          <a:off x="6858000" y="2849880"/>
          <a:ext cx="198120" cy="175260"/>
        </a:xfrm>
        <a:prstGeom prst="rect">
          <a:avLst/>
        </a:prstGeom>
        <a:solidFill>
          <a:srgbClr val="E2D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40" name="Year 9">
              <a:extLst>
                <a:ext uri="{FF2B5EF4-FFF2-40B4-BE49-F238E27FC236}">
                  <a16:creationId xmlns:a16="http://schemas.microsoft.com/office/drawing/2014/main" id="{D5F79F6B-E42A-4C42-9626-BDAAC592BD0A}"/>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41" name="TextBox 40">
          <a:extLst>
            <a:ext uri="{FF2B5EF4-FFF2-40B4-BE49-F238E27FC236}">
              <a16:creationId xmlns:a16="http://schemas.microsoft.com/office/drawing/2014/main" id="{5A654438-1856-4134-B34B-2EDE246A1595}"/>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42" name="TextBox 41">
          <a:extLst>
            <a:ext uri="{FF2B5EF4-FFF2-40B4-BE49-F238E27FC236}">
              <a16:creationId xmlns:a16="http://schemas.microsoft.com/office/drawing/2014/main" id="{068EA70F-86E3-4E2F-B1DB-F96C0AC1C997}"/>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43" name="Chart 42">
          <a:extLst>
            <a:ext uri="{FF2B5EF4-FFF2-40B4-BE49-F238E27FC236}">
              <a16:creationId xmlns:a16="http://schemas.microsoft.com/office/drawing/2014/main" id="{AD5A0914-737B-449D-8990-9D71148657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44" name="TextBox 43">
          <a:extLst>
            <a:ext uri="{FF2B5EF4-FFF2-40B4-BE49-F238E27FC236}">
              <a16:creationId xmlns:a16="http://schemas.microsoft.com/office/drawing/2014/main" id="{1EB84822-E4DB-4B5D-9B26-7020B154C239}"/>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45" name="TextBox 44">
          <a:extLst>
            <a:ext uri="{FF2B5EF4-FFF2-40B4-BE49-F238E27FC236}">
              <a16:creationId xmlns:a16="http://schemas.microsoft.com/office/drawing/2014/main" id="{441B7A55-FF67-4D41-88FE-2866809B0ECF}"/>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editAs="oneCell">
    <xdr:from>
      <xdr:col>5</xdr:col>
      <xdr:colOff>318567</xdr:colOff>
      <xdr:row>15</xdr:row>
      <xdr:rowOff>60960</xdr:rowOff>
    </xdr:from>
    <xdr:to>
      <xdr:col>11</xdr:col>
      <xdr:colOff>29007</xdr:colOff>
      <xdr:row>17</xdr:row>
      <xdr:rowOff>129540</xdr:rowOff>
    </xdr:to>
    <mc:AlternateContent xmlns:mc="http://schemas.openxmlformats.org/markup-compatibility/2006" xmlns:a14="http://schemas.microsoft.com/office/drawing/2010/main">
      <mc:Choice Requires="a14">
        <xdr:graphicFrame macro="">
          <xdr:nvGraphicFramePr>
            <xdr:cNvPr id="47" name="Traffic 1">
              <a:extLst>
                <a:ext uri="{FF2B5EF4-FFF2-40B4-BE49-F238E27FC236}">
                  <a16:creationId xmlns:a16="http://schemas.microsoft.com/office/drawing/2014/main" id="{96189ED9-7691-4009-A0BE-0003867D6ED2}"/>
                </a:ext>
              </a:extLst>
            </xdr:cNvPr>
            <xdr:cNvGraphicFramePr/>
          </xdr:nvGraphicFramePr>
          <xdr:xfrm>
            <a:off x="0" y="0"/>
            <a:ext cx="0" cy="0"/>
          </xdr:xfrm>
          <a:graphic>
            <a:graphicData uri="http://schemas.microsoft.com/office/drawing/2010/slicer">
              <sle:slicer xmlns:sle="http://schemas.microsoft.com/office/drawing/2010/slicer" name="Traffic 1"/>
            </a:graphicData>
          </a:graphic>
        </xdr:graphicFrame>
      </mc:Choice>
      <mc:Fallback xmlns="">
        <xdr:sp macro="" textlink="">
          <xdr:nvSpPr>
            <xdr:cNvPr id="0" name=""/>
            <xdr:cNvSpPr>
              <a:spLocks noTextEdit="1"/>
            </xdr:cNvSpPr>
          </xdr:nvSpPr>
          <xdr:spPr>
            <a:xfrm>
              <a:off x="3366567" y="2804160"/>
              <a:ext cx="3368040" cy="4343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18</xdr:row>
      <xdr:rowOff>175260</xdr:rowOff>
    </xdr:from>
    <xdr:to>
      <xdr:col>12</xdr:col>
      <xdr:colOff>327660</xdr:colOff>
      <xdr:row>33</xdr:row>
      <xdr:rowOff>175260</xdr:rowOff>
    </xdr:to>
    <xdr:graphicFrame macro="">
      <xdr:nvGraphicFramePr>
        <xdr:cNvPr id="48" name="Chart 47">
          <a:extLst>
            <a:ext uri="{FF2B5EF4-FFF2-40B4-BE49-F238E27FC236}">
              <a16:creationId xmlns:a16="http://schemas.microsoft.com/office/drawing/2014/main" id="{88AFB648-8AD8-4FE4-84EB-77CB155D3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9" name="Month 9">
              <a:extLst>
                <a:ext uri="{FF2B5EF4-FFF2-40B4-BE49-F238E27FC236}">
                  <a16:creationId xmlns:a16="http://schemas.microsoft.com/office/drawing/2014/main" id="{4DDF522A-7B5D-485E-9D66-D24D04A329A1}"/>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68580</xdr:colOff>
      <xdr:row>4</xdr:row>
      <xdr:rowOff>38100</xdr:rowOff>
    </xdr:from>
    <xdr:to>
      <xdr:col>19</xdr:col>
      <xdr:colOff>563880</xdr:colOff>
      <xdr:row>17</xdr:row>
      <xdr:rowOff>121920</xdr:rowOff>
    </xdr:to>
    <xdr:sp macro="" textlink="">
      <xdr:nvSpPr>
        <xdr:cNvPr id="51" name="Rectangle: Rounded Corners 50">
          <a:hlinkClick xmlns:r="http://schemas.openxmlformats.org/officeDocument/2006/relationships" r:id="rId6"/>
          <a:extLst>
            <a:ext uri="{FF2B5EF4-FFF2-40B4-BE49-F238E27FC236}">
              <a16:creationId xmlns:a16="http://schemas.microsoft.com/office/drawing/2014/main" id="{90D1D790-8729-4791-A654-3F5B314F1292}"/>
            </a:ext>
          </a:extLst>
        </xdr:cNvPr>
        <xdr:cNvSpPr/>
      </xdr:nvSpPr>
      <xdr:spPr>
        <a:xfrm>
          <a:off x="7993380" y="7696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53340</xdr:colOff>
      <xdr:row>18</xdr:row>
      <xdr:rowOff>137160</xdr:rowOff>
    </xdr:from>
    <xdr:to>
      <xdr:col>16</xdr:col>
      <xdr:colOff>76200</xdr:colOff>
      <xdr:row>32</xdr:row>
      <xdr:rowOff>137160</xdr:rowOff>
    </xdr:to>
    <xdr:sp macro="" textlink="">
      <xdr:nvSpPr>
        <xdr:cNvPr id="52" name="Rectangle: Rounded Corners 51">
          <a:hlinkClick xmlns:r="http://schemas.openxmlformats.org/officeDocument/2006/relationships" r:id="rId7"/>
          <a:extLst>
            <a:ext uri="{FF2B5EF4-FFF2-40B4-BE49-F238E27FC236}">
              <a16:creationId xmlns:a16="http://schemas.microsoft.com/office/drawing/2014/main" id="{CE745335-0E9C-404D-8F8A-303879341388}"/>
            </a:ext>
          </a:extLst>
        </xdr:cNvPr>
        <xdr:cNvSpPr/>
      </xdr:nvSpPr>
      <xdr:spPr>
        <a:xfrm>
          <a:off x="7978140" y="34290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289560</xdr:colOff>
      <xdr:row>18</xdr:row>
      <xdr:rowOff>137160</xdr:rowOff>
    </xdr:from>
    <xdr:to>
      <xdr:col>19</xdr:col>
      <xdr:colOff>579120</xdr:colOff>
      <xdr:row>35</xdr:row>
      <xdr:rowOff>167640</xdr:rowOff>
    </xdr:to>
    <xdr:sp macro="" textlink="">
      <xdr:nvSpPr>
        <xdr:cNvPr id="53" name="Rectangle: Rounded Corners 52">
          <a:hlinkClick xmlns:r="http://schemas.openxmlformats.org/officeDocument/2006/relationships" r:id="rId8"/>
          <a:extLst>
            <a:ext uri="{FF2B5EF4-FFF2-40B4-BE49-F238E27FC236}">
              <a16:creationId xmlns:a16="http://schemas.microsoft.com/office/drawing/2014/main" id="{E508A26C-FF27-4A78-B706-6E283A2F522A}"/>
            </a:ext>
          </a:extLst>
        </xdr:cNvPr>
        <xdr:cNvSpPr/>
      </xdr:nvSpPr>
      <xdr:spPr>
        <a:xfrm>
          <a:off x="10043160" y="34290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30480</xdr:colOff>
      <xdr:row>4</xdr:row>
      <xdr:rowOff>175260</xdr:rowOff>
    </xdr:from>
    <xdr:to>
      <xdr:col>7</xdr:col>
      <xdr:colOff>358140</xdr:colOff>
      <xdr:row>12</xdr:row>
      <xdr:rowOff>30480</xdr:rowOff>
    </xdr:to>
    <xdr:sp macro="" textlink="">
      <xdr:nvSpPr>
        <xdr:cNvPr id="54" name="Rectangle: Rounded Corners 53">
          <a:hlinkClick xmlns:r="http://schemas.openxmlformats.org/officeDocument/2006/relationships" r:id="rId9"/>
          <a:extLst>
            <a:ext uri="{FF2B5EF4-FFF2-40B4-BE49-F238E27FC236}">
              <a16:creationId xmlns:a16="http://schemas.microsoft.com/office/drawing/2014/main" id="{17CD4839-6312-45C9-BEB4-A59C28EF09FC}"/>
            </a:ext>
          </a:extLst>
        </xdr:cNvPr>
        <xdr:cNvSpPr/>
      </xdr:nvSpPr>
      <xdr:spPr>
        <a:xfrm>
          <a:off x="2468880" y="90678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3" name="Group 2">
          <a:extLst>
            <a:ext uri="{FF2B5EF4-FFF2-40B4-BE49-F238E27FC236}">
              <a16:creationId xmlns:a16="http://schemas.microsoft.com/office/drawing/2014/main" id="{55837314-BD17-6077-62B3-29DF9DAC03BD}"/>
            </a:ext>
          </a:extLst>
        </xdr:cNvPr>
        <xdr:cNvGrpSpPr/>
      </xdr:nvGrpSpPr>
      <xdr:grpSpPr>
        <a:xfrm>
          <a:off x="158639" y="833505"/>
          <a:ext cx="274320" cy="262048"/>
          <a:chOff x="2657199" y="8924774"/>
          <a:chExt cx="796566" cy="720791"/>
        </a:xfrm>
        <a:solidFill>
          <a:schemeClr val="bg1">
            <a:lumMod val="75000"/>
          </a:schemeClr>
        </a:solidFill>
      </xdr:grpSpPr>
      <xdr:sp macro="" textlink="">
        <xdr:nvSpPr>
          <xdr:cNvPr id="10" name="Freeform: Shape 9">
            <a:extLst>
              <a:ext uri="{FF2B5EF4-FFF2-40B4-BE49-F238E27FC236}">
                <a16:creationId xmlns:a16="http://schemas.microsoft.com/office/drawing/2014/main" id="{5B97AD9F-F5CB-37AD-9FA8-E4C50CDDDAE8}"/>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grpFill/>
          <a:ln w="9525" cap="flat">
            <a:noFill/>
            <a:prstDash val="solid"/>
            <a:miter/>
          </a:ln>
        </xdr:spPr>
        <xdr:txBody>
          <a:bodyPr rtlCol="0" anchor="ctr"/>
          <a:lstStyle/>
          <a:p>
            <a:endParaRPr lang="ru-RU"/>
          </a:p>
        </xdr:txBody>
      </xdr:sp>
      <xdr:sp macro="" textlink="">
        <xdr:nvSpPr>
          <xdr:cNvPr id="11" name="Freeform: Shape 10">
            <a:extLst>
              <a:ext uri="{FF2B5EF4-FFF2-40B4-BE49-F238E27FC236}">
                <a16:creationId xmlns:a16="http://schemas.microsoft.com/office/drawing/2014/main" id="{3C2C0FC1-147F-1469-EB34-9BBBA79EA4EB}"/>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grpFill/>
          <a:ln w="9525" cap="flat">
            <a:noFill/>
            <a:prstDash val="solid"/>
            <a:miter/>
          </a:ln>
        </xdr:spPr>
        <xdr:txBody>
          <a:bodyPr rtlCol="0" anchor="ctr"/>
          <a:lstStyle/>
          <a:p>
            <a:endParaRPr lang="ru-RU"/>
          </a:p>
        </xdr:txBody>
      </xdr:sp>
      <xdr:sp macro="" textlink="">
        <xdr:nvSpPr>
          <xdr:cNvPr id="17" name="Freeform: Shape 16">
            <a:extLst>
              <a:ext uri="{FF2B5EF4-FFF2-40B4-BE49-F238E27FC236}">
                <a16:creationId xmlns:a16="http://schemas.microsoft.com/office/drawing/2014/main" id="{C177664E-6CCC-3E2D-B524-94CBB17C0157}"/>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18" name="Freeform: Shape 17">
            <a:extLst>
              <a:ext uri="{FF2B5EF4-FFF2-40B4-BE49-F238E27FC236}">
                <a16:creationId xmlns:a16="http://schemas.microsoft.com/office/drawing/2014/main" id="{4F609536-257A-AC49-6C26-FFA8CE8F4463}"/>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46" name="Freeform: Shape 45">
            <a:extLst>
              <a:ext uri="{FF2B5EF4-FFF2-40B4-BE49-F238E27FC236}">
                <a16:creationId xmlns:a16="http://schemas.microsoft.com/office/drawing/2014/main" id="{C01630B8-2478-E8CA-7E1F-531BD7320FF1}"/>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grpFill/>
          <a:ln w="9525" cap="flat">
            <a:noFill/>
            <a:prstDash val="solid"/>
            <a:miter/>
          </a:ln>
        </xdr:spPr>
        <xdr:txBody>
          <a:bodyPr rtlCol="0" anchor="ctr"/>
          <a:lstStyle/>
          <a:p>
            <a:endParaRPr lang="ru-RU"/>
          </a:p>
        </xdr:txBody>
      </xdr:sp>
      <xdr:sp macro="" textlink="">
        <xdr:nvSpPr>
          <xdr:cNvPr id="58" name="Freeform: Shape 57">
            <a:extLst>
              <a:ext uri="{FF2B5EF4-FFF2-40B4-BE49-F238E27FC236}">
                <a16:creationId xmlns:a16="http://schemas.microsoft.com/office/drawing/2014/main" id="{F47EC8F3-5B92-D42C-ADB1-A784CC28CEE1}"/>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grpFill/>
          <a:ln w="9525" cap="flat">
            <a:noFill/>
            <a:prstDash val="solid"/>
            <a:miter/>
          </a:ln>
        </xdr:spPr>
        <xdr:txBody>
          <a:bodyPr rtlCol="0" anchor="ctr"/>
          <a:lstStyle/>
          <a:p>
            <a:endParaRPr lang="ru-RU"/>
          </a:p>
        </xdr:txBody>
      </xdr:sp>
      <xdr:sp macro="" textlink="">
        <xdr:nvSpPr>
          <xdr:cNvPr id="59" name="Freeform: Shape 58">
            <a:extLst>
              <a:ext uri="{FF2B5EF4-FFF2-40B4-BE49-F238E27FC236}">
                <a16:creationId xmlns:a16="http://schemas.microsoft.com/office/drawing/2014/main" id="{2DA19FC6-A52E-E166-A430-A7CC05AF961F}"/>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grpFill/>
          <a:ln w="9525" cap="flat">
            <a:noFill/>
            <a:prstDash val="solid"/>
            <a:miter/>
          </a:ln>
        </xdr:spPr>
        <xdr:txBody>
          <a:bodyPr rtlCol="0" anchor="ctr"/>
          <a:lstStyle/>
          <a:p>
            <a:endParaRPr lang="ru-RU"/>
          </a:p>
        </xdr:txBody>
      </xdr:sp>
      <xdr:sp macro="" textlink="">
        <xdr:nvSpPr>
          <xdr:cNvPr id="60" name="Freeform: Shape 59">
            <a:extLst>
              <a:ext uri="{FF2B5EF4-FFF2-40B4-BE49-F238E27FC236}">
                <a16:creationId xmlns:a16="http://schemas.microsoft.com/office/drawing/2014/main" id="{9F5F899F-EA08-C696-D794-A1AA5673B083}"/>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grp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4" name="Graphic 3" descr="Moon and stars with solid fill">
          <a:hlinkClick xmlns:r="http://schemas.openxmlformats.org/officeDocument/2006/relationships" r:id="rId10"/>
          <a:extLst>
            <a:ext uri="{FF2B5EF4-FFF2-40B4-BE49-F238E27FC236}">
              <a16:creationId xmlns:a16="http://schemas.microsoft.com/office/drawing/2014/main" id="{AC4C4E7C-683D-700A-2EE6-585FD689767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 name="Graphic 4" descr="Sun with solid fill">
          <a:hlinkClick xmlns:r="http://schemas.openxmlformats.org/officeDocument/2006/relationships" r:id="rId13"/>
          <a:extLst>
            <a:ext uri="{FF2B5EF4-FFF2-40B4-BE49-F238E27FC236}">
              <a16:creationId xmlns:a16="http://schemas.microsoft.com/office/drawing/2014/main" id="{EAFB29FF-410F-B975-7DD2-1765EEA044C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3687" y="365760"/>
          <a:ext cx="274320" cy="274320"/>
        </a:xfrm>
        <a:prstGeom prst="rect">
          <a:avLst/>
        </a:prstGeom>
      </xdr:spPr>
    </xdr:pic>
    <xdr:clientData/>
  </xdr:twoCellAnchor>
  <xdr:twoCellAnchor>
    <xdr:from>
      <xdr:col>8</xdr:col>
      <xdr:colOff>262624</xdr:colOff>
      <xdr:row>5</xdr:row>
      <xdr:rowOff>61440</xdr:rowOff>
    </xdr:from>
    <xdr:to>
      <xdr:col>12</xdr:col>
      <xdr:colOff>349251</xdr:colOff>
      <xdr:row>8</xdr:row>
      <xdr:rowOff>127001</xdr:rowOff>
    </xdr:to>
    <xdr:sp macro="" textlink="Processing!E15">
      <xdr:nvSpPr>
        <xdr:cNvPr id="2" name="Rectangle: Rounded Corners 1">
          <a:hlinkClick xmlns:r="http://schemas.openxmlformats.org/officeDocument/2006/relationships" r:id="rId16"/>
          <a:extLst>
            <a:ext uri="{FF2B5EF4-FFF2-40B4-BE49-F238E27FC236}">
              <a16:creationId xmlns:a16="http://schemas.microsoft.com/office/drawing/2014/main" id="{25C31371-A533-46A8-9079-BB166D2EFB7C}"/>
            </a:ext>
          </a:extLst>
        </xdr:cNvPr>
        <xdr:cNvSpPr/>
      </xdr:nvSpPr>
      <xdr:spPr>
        <a:xfrm>
          <a:off x="5173291" y="1013940"/>
          <a:ext cx="2541960" cy="637061"/>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76BB91-A231-413D-9A47-94EC8253C654}" type="TxLink">
            <a:rPr lang="en-US" sz="3600" b="0" i="0" u="none" strike="noStrike">
              <a:solidFill>
                <a:srgbClr val="000000"/>
              </a:solidFill>
              <a:latin typeface="Aptos Narrow"/>
            </a:rPr>
            <a:t> $13,44,765 </a:t>
          </a:fld>
          <a:endParaRPr lang="ru-RU" sz="36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7620</xdr:rowOff>
    </xdr:from>
    <xdr:to>
      <xdr:col>24</xdr:col>
      <xdr:colOff>0</xdr:colOff>
      <xdr:row>45</xdr:row>
      <xdr:rowOff>7620</xdr:rowOff>
    </xdr:to>
    <xdr:grpSp>
      <xdr:nvGrpSpPr>
        <xdr:cNvPr id="2" name="Group 1">
          <a:extLst>
            <a:ext uri="{FF2B5EF4-FFF2-40B4-BE49-F238E27FC236}">
              <a16:creationId xmlns:a16="http://schemas.microsoft.com/office/drawing/2014/main" id="{4AA83B48-9AA2-4BF9-BE2B-00E55D6C6B59}"/>
            </a:ext>
          </a:extLst>
        </xdr:cNvPr>
        <xdr:cNvGrpSpPr/>
      </xdr:nvGrpSpPr>
      <xdr:grpSpPr>
        <a:xfrm>
          <a:off x="0" y="7620"/>
          <a:ext cx="14732000" cy="8572500"/>
          <a:chOff x="1538344" y="742278"/>
          <a:chExt cx="8961120" cy="5432611"/>
        </a:xfrm>
      </xdr:grpSpPr>
      <xdr:sp macro="" textlink="">
        <xdr:nvSpPr>
          <xdr:cNvPr id="3" name="Rectangle 2">
            <a:extLst>
              <a:ext uri="{FF2B5EF4-FFF2-40B4-BE49-F238E27FC236}">
                <a16:creationId xmlns:a16="http://schemas.microsoft.com/office/drawing/2014/main" id="{0D6C69FF-BE56-1398-1E06-F09DAFA67229}"/>
              </a:ext>
            </a:extLst>
          </xdr:cNvPr>
          <xdr:cNvSpPr/>
        </xdr:nvSpPr>
        <xdr:spPr>
          <a:xfrm>
            <a:off x="1538344" y="742278"/>
            <a:ext cx="8961120" cy="5432611"/>
          </a:xfrm>
          <a:prstGeom prst="rect">
            <a:avLst/>
          </a:prstGeom>
          <a:gradFill flip="none" rotWithShape="1">
            <a:gsLst>
              <a:gs pos="15000">
                <a:srgbClr val="6992F1"/>
              </a:gs>
              <a:gs pos="50000">
                <a:srgbClr val="7269E6"/>
              </a:gs>
              <a:gs pos="100000">
                <a:srgbClr val="6B7BE5"/>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29589876-7DBD-5F3C-5E04-769D46D592E1}"/>
              </a:ext>
            </a:extLst>
          </xdr:cNvPr>
          <xdr:cNvSpPr/>
        </xdr:nvSpPr>
        <xdr:spPr>
          <a:xfrm>
            <a:off x="1538344" y="742278"/>
            <a:ext cx="8961120" cy="5432611"/>
          </a:xfrm>
          <a:prstGeom prst="rect">
            <a:avLst/>
          </a:prstGeom>
          <a:gradFill flip="none" rotWithShape="1">
            <a:gsLst>
              <a:gs pos="0">
                <a:srgbClr val="DC84EE"/>
              </a:gs>
              <a:gs pos="58000">
                <a:srgbClr val="6B92F2">
                  <a:alpha val="0"/>
                </a:srgbClr>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91440</xdr:colOff>
      <xdr:row>2</xdr:row>
      <xdr:rowOff>15240</xdr:rowOff>
    </xdr:from>
    <xdr:to>
      <xdr:col>20</xdr:col>
      <xdr:colOff>426720</xdr:colOff>
      <xdr:row>37</xdr:row>
      <xdr:rowOff>106680</xdr:rowOff>
    </xdr:to>
    <xdr:sp macro="" textlink="">
      <xdr:nvSpPr>
        <xdr:cNvPr id="5" name="Rectangle: Rounded Corners 4">
          <a:extLst>
            <a:ext uri="{FF2B5EF4-FFF2-40B4-BE49-F238E27FC236}">
              <a16:creationId xmlns:a16="http://schemas.microsoft.com/office/drawing/2014/main" id="{731C6D8E-C2D7-49BF-8C3D-C8B9B501B5D3}"/>
            </a:ext>
          </a:extLst>
        </xdr:cNvPr>
        <xdr:cNvSpPr/>
      </xdr:nvSpPr>
      <xdr:spPr>
        <a:xfrm>
          <a:off x="1920240" y="381000"/>
          <a:ext cx="10698480" cy="6492240"/>
        </a:xfrm>
        <a:prstGeom prst="roundRect">
          <a:avLst>
            <a:gd name="adj" fmla="val 5678"/>
          </a:avLst>
        </a:prstGeom>
        <a:solidFill>
          <a:schemeClr val="bg1"/>
        </a:solidFill>
        <a:ln w="9525">
          <a:gradFill flip="none" rotWithShape="1">
            <a:gsLst>
              <a:gs pos="0">
                <a:srgbClr val="00B0F0"/>
              </a:gs>
              <a:gs pos="100000">
                <a:srgbClr val="7030A0"/>
              </a:gs>
              <a:gs pos="58000">
                <a:srgbClr val="8776B8"/>
              </a:gs>
              <a:gs pos="34000">
                <a:srgbClr val="F2BBF3"/>
              </a:gs>
            </a:gsLst>
            <a:lin ang="13500000" scaled="1"/>
            <a:tileRect/>
          </a:gradFill>
        </a:ln>
        <a:effectLst>
          <a:outerShdw blurRad="508000" dist="254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488462</xdr:colOff>
      <xdr:row>3</xdr:row>
      <xdr:rowOff>167548</xdr:rowOff>
    </xdr:from>
    <xdr:to>
      <xdr:col>7</xdr:col>
      <xdr:colOff>492048</xdr:colOff>
      <xdr:row>12</xdr:row>
      <xdr:rowOff>167548</xdr:rowOff>
    </xdr:to>
    <xdr:sp macro="" textlink="">
      <xdr:nvSpPr>
        <xdr:cNvPr id="6" name="Rectangle: Rounded Corners 5">
          <a:extLst>
            <a:ext uri="{FF2B5EF4-FFF2-40B4-BE49-F238E27FC236}">
              <a16:creationId xmlns:a16="http://schemas.microsoft.com/office/drawing/2014/main" id="{E5E8EB59-41DC-47F7-A173-7F906A1260D3}"/>
            </a:ext>
          </a:extLst>
        </xdr:cNvPr>
        <xdr:cNvSpPr/>
      </xdr:nvSpPr>
      <xdr:spPr>
        <a:xfrm>
          <a:off x="2317262" y="716188"/>
          <a:ext cx="2441986" cy="1645920"/>
        </a:xfrm>
        <a:prstGeom prst="roundRect">
          <a:avLst>
            <a:gd name="adj" fmla="val 931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100053</xdr:colOff>
      <xdr:row>3</xdr:row>
      <xdr:rowOff>170237</xdr:rowOff>
    </xdr:from>
    <xdr:to>
      <xdr:col>12</xdr:col>
      <xdr:colOff>474302</xdr:colOff>
      <xdr:row>12</xdr:row>
      <xdr:rowOff>170237</xdr:rowOff>
    </xdr:to>
    <xdr:sp macro="" textlink="">
      <xdr:nvSpPr>
        <xdr:cNvPr id="7" name="Rectangle: Rounded Corners 6">
          <a:extLst>
            <a:ext uri="{FF2B5EF4-FFF2-40B4-BE49-F238E27FC236}">
              <a16:creationId xmlns:a16="http://schemas.microsoft.com/office/drawing/2014/main" id="{B85FDCDB-303F-430E-A9B2-4822C2084195}"/>
            </a:ext>
          </a:extLst>
        </xdr:cNvPr>
        <xdr:cNvSpPr/>
      </xdr:nvSpPr>
      <xdr:spPr>
        <a:xfrm>
          <a:off x="4976853" y="718877"/>
          <a:ext cx="2812649" cy="164592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tx2">
                <a:lumMod val="10000"/>
                <a:lumOff val="90000"/>
              </a:schemeClr>
            </a:solidFill>
            <a:latin typeface="+mn-lt"/>
            <a:ea typeface="+mn-ea"/>
            <a:cs typeface="+mn-cs"/>
          </a:endParaRPr>
        </a:p>
      </xdr:txBody>
    </xdr:sp>
    <xdr:clientData/>
  </xdr:twoCellAnchor>
  <xdr:twoCellAnchor>
    <xdr:from>
      <xdr:col>8</xdr:col>
      <xdr:colOff>317657</xdr:colOff>
      <xdr:row>5</xdr:row>
      <xdr:rowOff>25457</xdr:rowOff>
    </xdr:from>
    <xdr:to>
      <xdr:col>12</xdr:col>
      <xdr:colOff>256697</xdr:colOff>
      <xdr:row>11</xdr:row>
      <xdr:rowOff>116897</xdr:rowOff>
    </xdr:to>
    <xdr:sp macro="" textlink="">
      <xdr:nvSpPr>
        <xdr:cNvPr id="8" name="Rectangle: Rounded Corners 7">
          <a:extLst>
            <a:ext uri="{FF2B5EF4-FFF2-40B4-BE49-F238E27FC236}">
              <a16:creationId xmlns:a16="http://schemas.microsoft.com/office/drawing/2014/main" id="{D5FAD387-FEC1-4C27-AC2B-44B64F6B8A57}"/>
            </a:ext>
          </a:extLst>
        </xdr:cNvPr>
        <xdr:cNvSpPr/>
      </xdr:nvSpPr>
      <xdr:spPr>
        <a:xfrm>
          <a:off x="5194457" y="939857"/>
          <a:ext cx="237744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defTabSz="914400" rtl="0" eaLnBrk="1" latinLnBrk="0" hangingPunct="1"/>
          <a:endParaRPr lang="en-US" sz="4000" kern="1200">
            <a:solidFill>
              <a:schemeClr val="tx1"/>
            </a:solidFill>
            <a:latin typeface="+mn-lt"/>
            <a:ea typeface="+mn-ea"/>
            <a:cs typeface="+mn-cs"/>
          </a:endParaRPr>
        </a:p>
      </xdr:txBody>
    </xdr:sp>
    <xdr:clientData/>
  </xdr:twoCellAnchor>
  <xdr:twoCellAnchor>
    <xdr:from>
      <xdr:col>13</xdr:col>
      <xdr:colOff>117892</xdr:colOff>
      <xdr:row>3</xdr:row>
      <xdr:rowOff>167548</xdr:rowOff>
    </xdr:from>
    <xdr:to>
      <xdr:col>20</xdr:col>
      <xdr:colOff>11212</xdr:colOff>
      <xdr:row>17</xdr:row>
      <xdr:rowOff>86268</xdr:rowOff>
    </xdr:to>
    <xdr:sp macro="" textlink="">
      <xdr:nvSpPr>
        <xdr:cNvPr id="9" name="Rectangle: Rounded Corners 8">
          <a:extLst>
            <a:ext uri="{FF2B5EF4-FFF2-40B4-BE49-F238E27FC236}">
              <a16:creationId xmlns:a16="http://schemas.microsoft.com/office/drawing/2014/main" id="{DFD17073-00A4-4B8D-8B9A-5A70472F7BD2}"/>
            </a:ext>
          </a:extLst>
        </xdr:cNvPr>
        <xdr:cNvSpPr/>
      </xdr:nvSpPr>
      <xdr:spPr>
        <a:xfrm>
          <a:off x="8042692" y="716188"/>
          <a:ext cx="4160520" cy="2479040"/>
        </a:xfrm>
        <a:prstGeom prst="roundRect">
          <a:avLst>
            <a:gd name="adj" fmla="val 8437"/>
          </a:avLst>
        </a:prstGeom>
        <a:solidFill>
          <a:schemeClr val="bg1"/>
        </a:solidFill>
        <a:ln w="9525">
          <a:solidFill>
            <a:srgbClr val="8278FC"/>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marL="0" indent="0" algn="l"/>
          <a:endParaRPr lang="en-US" sz="1100">
            <a:solidFill>
              <a:schemeClr val="tx2">
                <a:lumMod val="10000"/>
                <a:lumOff val="90000"/>
              </a:schemeClr>
            </a:solidFill>
            <a:latin typeface="+mn-lt"/>
            <a:ea typeface="+mn-ea"/>
            <a:cs typeface="+mn-cs"/>
          </a:endParaRPr>
        </a:p>
      </xdr:txBody>
    </xdr:sp>
    <xdr:clientData/>
  </xdr:twoCellAnchor>
  <xdr:twoCellAnchor>
    <xdr:from>
      <xdr:col>16</xdr:col>
      <xdr:colOff>346492</xdr:colOff>
      <xdr:row>18</xdr:row>
      <xdr:rowOff>130175</xdr:rowOff>
    </xdr:from>
    <xdr:to>
      <xdr:col>20</xdr:col>
      <xdr:colOff>11212</xdr:colOff>
      <xdr:row>35</xdr:row>
      <xdr:rowOff>130175</xdr:rowOff>
    </xdr:to>
    <xdr:sp macro="" textlink="">
      <xdr:nvSpPr>
        <xdr:cNvPr id="10" name="Rectangle: Rounded Corners 9">
          <a:extLst>
            <a:ext uri="{FF2B5EF4-FFF2-40B4-BE49-F238E27FC236}">
              <a16:creationId xmlns:a16="http://schemas.microsoft.com/office/drawing/2014/main" id="{73E2E333-1F94-4F40-A4B4-9FC48E56E693}"/>
            </a:ext>
          </a:extLst>
        </xdr:cNvPr>
        <xdr:cNvSpPr/>
      </xdr:nvSpPr>
      <xdr:spPr>
        <a:xfrm>
          <a:off x="10100092" y="3422015"/>
          <a:ext cx="2103120" cy="310896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117892</xdr:colOff>
      <xdr:row>18</xdr:row>
      <xdr:rowOff>130175</xdr:rowOff>
    </xdr:from>
    <xdr:to>
      <xdr:col>16</xdr:col>
      <xdr:colOff>117892</xdr:colOff>
      <xdr:row>35</xdr:row>
      <xdr:rowOff>130175</xdr:rowOff>
    </xdr:to>
    <xdr:sp macro="" textlink="">
      <xdr:nvSpPr>
        <xdr:cNvPr id="11" name="Rectangle: Rounded Corners 10">
          <a:extLst>
            <a:ext uri="{FF2B5EF4-FFF2-40B4-BE49-F238E27FC236}">
              <a16:creationId xmlns:a16="http://schemas.microsoft.com/office/drawing/2014/main" id="{CBC5E6A1-7A0C-44D4-913A-E0F59BDDE9F7}"/>
            </a:ext>
          </a:extLst>
        </xdr:cNvPr>
        <xdr:cNvSpPr/>
      </xdr:nvSpPr>
      <xdr:spPr>
        <a:xfrm>
          <a:off x="8042692" y="3422015"/>
          <a:ext cx="1828800" cy="3108960"/>
        </a:xfrm>
        <a:prstGeom prst="roundRect">
          <a:avLst>
            <a:gd name="adj" fmla="val 8437"/>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482872</xdr:colOff>
      <xdr:row>14</xdr:row>
      <xdr:rowOff>45720</xdr:rowOff>
    </xdr:from>
    <xdr:to>
      <xdr:col>12</xdr:col>
      <xdr:colOff>474302</xdr:colOff>
      <xdr:row>35</xdr:row>
      <xdr:rowOff>130175</xdr:rowOff>
    </xdr:to>
    <xdr:sp macro="" textlink="">
      <xdr:nvSpPr>
        <xdr:cNvPr id="12" name="Rectangle: Rounded Corners 11">
          <a:extLst>
            <a:ext uri="{FF2B5EF4-FFF2-40B4-BE49-F238E27FC236}">
              <a16:creationId xmlns:a16="http://schemas.microsoft.com/office/drawing/2014/main" id="{F97141B4-31AF-489D-B12A-EDA9A93C068B}"/>
            </a:ext>
          </a:extLst>
        </xdr:cNvPr>
        <xdr:cNvSpPr/>
      </xdr:nvSpPr>
      <xdr:spPr>
        <a:xfrm>
          <a:off x="2311672" y="2606040"/>
          <a:ext cx="5477830" cy="3924935"/>
        </a:xfrm>
        <a:prstGeom prst="roundRect">
          <a:avLst>
            <a:gd name="adj" fmla="val 3638"/>
          </a:avLst>
        </a:prstGeom>
        <a:solidFill>
          <a:schemeClr val="bg1"/>
        </a:solidFill>
        <a:ln w="9525">
          <a:solidFill>
            <a:schemeClr val="bg1"/>
          </a:solid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106680</xdr:colOff>
      <xdr:row>5</xdr:row>
      <xdr:rowOff>15240</xdr:rowOff>
    </xdr:from>
    <xdr:to>
      <xdr:col>7</xdr:col>
      <xdr:colOff>289560</xdr:colOff>
      <xdr:row>11</xdr:row>
      <xdr:rowOff>106680</xdr:rowOff>
    </xdr:to>
    <xdr:sp macro="" textlink="Processing!R6">
      <xdr:nvSpPr>
        <xdr:cNvPr id="13" name="Rectangle: Rounded Corners 12">
          <a:extLst>
            <a:ext uri="{FF2B5EF4-FFF2-40B4-BE49-F238E27FC236}">
              <a16:creationId xmlns:a16="http://schemas.microsoft.com/office/drawing/2014/main" id="{F1AA9BDE-0858-4033-A5BF-845779DEC644}"/>
            </a:ext>
          </a:extLst>
        </xdr:cNvPr>
        <xdr:cNvSpPr/>
      </xdr:nvSpPr>
      <xdr:spPr>
        <a:xfrm>
          <a:off x="2545080" y="929640"/>
          <a:ext cx="2011680" cy="1188720"/>
        </a:xfrm>
        <a:prstGeom prst="roundRect">
          <a:avLst>
            <a:gd name="adj" fmla="val 12606"/>
          </a:avLst>
        </a:prstGeom>
        <a:gradFill>
          <a:gsLst>
            <a:gs pos="0">
              <a:srgbClr val="FBFAF8"/>
            </a:gs>
            <a:gs pos="100000">
              <a:srgbClr val="E2EDFE"/>
            </a:gs>
          </a:gsLst>
          <a:lin ang="8100000" scaled="1"/>
        </a:gradFill>
        <a:ln>
          <a:noFill/>
        </a:ln>
        <a:effectLst>
          <a:outerShdw blurRad="254000" dist="101600" dir="8100000" algn="tr" rotWithShape="0">
            <a:srgbClr val="0D328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D5B22AD-2689-4A19-8294-60DCF73D852F}" type="TxLink">
            <a:rPr lang="en-US" sz="4000" b="0" i="0" u="none" strike="noStrike" kern="1200">
              <a:solidFill>
                <a:schemeClr val="tx1"/>
              </a:solidFill>
              <a:latin typeface="+mn-lt"/>
              <a:ea typeface="+mn-ea"/>
              <a:cs typeface="+mn-cs"/>
            </a:rPr>
            <a:pPr marL="0" indent="0" algn="l" defTabSz="914400" rtl="0" eaLnBrk="1" latinLnBrk="0" hangingPunct="1"/>
            <a:t> 21 089</a:t>
          </a:fld>
          <a:endParaRPr lang="ru-RU" sz="4000" kern="1200">
            <a:solidFill>
              <a:schemeClr val="tx1"/>
            </a:solidFill>
            <a:latin typeface="+mn-lt"/>
            <a:ea typeface="+mn-ea"/>
            <a:cs typeface="+mn-cs"/>
          </a:endParaRPr>
        </a:p>
      </xdr:txBody>
    </xdr:sp>
    <xdr:clientData/>
  </xdr:twoCellAnchor>
  <xdr:twoCellAnchor>
    <xdr:from>
      <xdr:col>16</xdr:col>
      <xdr:colOff>289559</xdr:colOff>
      <xdr:row>5</xdr:row>
      <xdr:rowOff>73343</xdr:rowOff>
    </xdr:from>
    <xdr:to>
      <xdr:col>19</xdr:col>
      <xdr:colOff>289559</xdr:colOff>
      <xdr:row>15</xdr:row>
      <xdr:rowOff>73343</xdr:rowOff>
    </xdr:to>
    <xdr:sp macro="" textlink="">
      <xdr:nvSpPr>
        <xdr:cNvPr id="14" name="Circle: Hollow 13">
          <a:extLst>
            <a:ext uri="{FF2B5EF4-FFF2-40B4-BE49-F238E27FC236}">
              <a16:creationId xmlns:a16="http://schemas.microsoft.com/office/drawing/2014/main" id="{AB22211B-04C4-4C81-9464-478840FF6B9C}"/>
            </a:ext>
          </a:extLst>
        </xdr:cNvPr>
        <xdr:cNvSpPr/>
      </xdr:nvSpPr>
      <xdr:spPr>
        <a:xfrm>
          <a:off x="10043159" y="987743"/>
          <a:ext cx="1828800" cy="1828800"/>
        </a:xfrm>
        <a:prstGeom prst="donut">
          <a:avLst>
            <a:gd name="adj" fmla="val 20022"/>
          </a:avLst>
        </a:prstGeom>
        <a:solidFill>
          <a:schemeClr val="bg1"/>
        </a:solidFill>
        <a:ln>
          <a:noFill/>
        </a:ln>
        <a:effectLst>
          <a:innerShdw blurRad="254000">
            <a:srgbClr val="0D328D">
              <a:alpha val="38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tx1"/>
            </a:solidFill>
            <a:latin typeface="+mn-lt"/>
            <a:ea typeface="+mn-ea"/>
            <a:cs typeface="+mn-cs"/>
          </a:endParaRPr>
        </a:p>
      </xdr:txBody>
    </xdr:sp>
    <xdr:clientData/>
  </xdr:twoCellAnchor>
  <xdr:twoCellAnchor>
    <xdr:from>
      <xdr:col>15</xdr:col>
      <xdr:colOff>218883</xdr:colOff>
      <xdr:row>4</xdr:row>
      <xdr:rowOff>22860</xdr:rowOff>
    </xdr:from>
    <xdr:to>
      <xdr:col>20</xdr:col>
      <xdr:colOff>213549</xdr:colOff>
      <xdr:row>17</xdr:row>
      <xdr:rowOff>22860</xdr:rowOff>
    </xdr:to>
    <xdr:graphicFrame macro="">
      <xdr:nvGraphicFramePr>
        <xdr:cNvPr id="15" name="Chart 14">
          <a:extLst>
            <a:ext uri="{FF2B5EF4-FFF2-40B4-BE49-F238E27FC236}">
              <a16:creationId xmlns:a16="http://schemas.microsoft.com/office/drawing/2014/main" id="{A8FC9AF5-D750-4DA7-8E5F-1CFC4E804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144780</xdr:colOff>
      <xdr:row>8</xdr:row>
      <xdr:rowOff>175260</xdr:rowOff>
    </xdr:from>
    <xdr:to>
      <xdr:col>18</xdr:col>
      <xdr:colOff>464820</xdr:colOff>
      <xdr:row>11</xdr:row>
      <xdr:rowOff>144780</xdr:rowOff>
    </xdr:to>
    <xdr:sp macro="" textlink="Processing!L1">
      <xdr:nvSpPr>
        <xdr:cNvPr id="16" name="TextBox 15">
          <a:extLst>
            <a:ext uri="{FF2B5EF4-FFF2-40B4-BE49-F238E27FC236}">
              <a16:creationId xmlns:a16="http://schemas.microsoft.com/office/drawing/2014/main" id="{8DED4F7B-256E-4175-ABA2-00267C4086F1}"/>
            </a:ext>
          </a:extLst>
        </xdr:cNvPr>
        <xdr:cNvSpPr txBox="1"/>
      </xdr:nvSpPr>
      <xdr:spPr>
        <a:xfrm>
          <a:off x="10507980" y="1638300"/>
          <a:ext cx="9296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13EBC-4154-46D3-8C89-E3581B3DEC57}" type="TxLink">
            <a:rPr lang="en-US" sz="28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ctr"/>
            <a:t>71%</a:t>
          </a:fld>
          <a:endParaRPr lang="ru-RU" sz="28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556260</xdr:colOff>
      <xdr:row>6</xdr:row>
      <xdr:rowOff>111668</xdr:rowOff>
    </xdr:from>
    <xdr:to>
      <xdr:col>15</xdr:col>
      <xdr:colOff>441960</xdr:colOff>
      <xdr:row>14</xdr:row>
      <xdr:rowOff>142148</xdr:rowOff>
    </xdr:to>
    <xdr:sp macro="" textlink="Processing!L3">
      <xdr:nvSpPr>
        <xdr:cNvPr id="17" name="TextBox 16">
          <a:extLst>
            <a:ext uri="{FF2B5EF4-FFF2-40B4-BE49-F238E27FC236}">
              <a16:creationId xmlns:a16="http://schemas.microsoft.com/office/drawing/2014/main" id="{EF7B8F68-9428-4486-A471-402E57B8C6E0}"/>
            </a:ext>
          </a:extLst>
        </xdr:cNvPr>
        <xdr:cNvSpPr txBox="1"/>
      </xdr:nvSpPr>
      <xdr:spPr>
        <a:xfrm>
          <a:off x="8481060" y="1208948"/>
          <a:ext cx="1104900" cy="149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9192E12-50AD-4E0A-B2D0-AEA7EAFE272F}"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algn="l"/>
            <a:t>Referral
Social
Organic
Other</a:t>
          </a:fld>
          <a:endParaRPr lang="ru-RU" sz="40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15</xdr:col>
      <xdr:colOff>176554</xdr:colOff>
      <xdr:row>6</xdr:row>
      <xdr:rowOff>15994</xdr:rowOff>
    </xdr:from>
    <xdr:to>
      <xdr:col>16</xdr:col>
      <xdr:colOff>265406</xdr:colOff>
      <xdr:row>15</xdr:row>
      <xdr:rowOff>54942</xdr:rowOff>
    </xdr:to>
    <xdr:sp macro="" textlink="Processing!L4">
      <xdr:nvSpPr>
        <xdr:cNvPr id="18" name="TextBox 17">
          <a:extLst>
            <a:ext uri="{FF2B5EF4-FFF2-40B4-BE49-F238E27FC236}">
              <a16:creationId xmlns:a16="http://schemas.microsoft.com/office/drawing/2014/main" id="{985996F3-C2CB-415D-8734-32A6B1FD8392}"/>
            </a:ext>
          </a:extLst>
        </xdr:cNvPr>
        <xdr:cNvSpPr txBox="1"/>
      </xdr:nvSpPr>
      <xdr:spPr>
        <a:xfrm>
          <a:off x="9320554" y="1113274"/>
          <a:ext cx="698452" cy="1684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4F74C0-A175-46A3-99F1-6AC9F525AB7E}" type="TxLink">
            <a:rPr lang="en-US"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rPr>
            <a:pPr marL="0" indent="0" algn="l"/>
            <a:t>16%
37%
18%
29%</a:t>
          </a:fld>
          <a:endParaRPr lang="ru-RU" sz="1600" b="0" i="0" u="none" strike="noStrike">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13</xdr:col>
      <xdr:colOff>396240</xdr:colOff>
      <xdr:row>8</xdr:row>
      <xdr:rowOff>53340</xdr:rowOff>
    </xdr:from>
    <xdr:to>
      <xdr:col>13</xdr:col>
      <xdr:colOff>533400</xdr:colOff>
      <xdr:row>9</xdr:row>
      <xdr:rowOff>7620</xdr:rowOff>
    </xdr:to>
    <xdr:sp macro="" textlink="">
      <xdr:nvSpPr>
        <xdr:cNvPr id="19" name="Oval 18">
          <a:extLst>
            <a:ext uri="{FF2B5EF4-FFF2-40B4-BE49-F238E27FC236}">
              <a16:creationId xmlns:a16="http://schemas.microsoft.com/office/drawing/2014/main" id="{7E5E2B3C-4786-40C5-8991-2196F571704B}"/>
            </a:ext>
          </a:extLst>
        </xdr:cNvPr>
        <xdr:cNvSpPr/>
      </xdr:nvSpPr>
      <xdr:spPr>
        <a:xfrm>
          <a:off x="8321040" y="1516380"/>
          <a:ext cx="137160" cy="137160"/>
        </a:xfrm>
        <a:prstGeom prst="ellipse">
          <a:avLst/>
        </a:prstGeom>
        <a:gradFill>
          <a:gsLst>
            <a:gs pos="0">
              <a:srgbClr val="D56EE6"/>
            </a:gs>
            <a:gs pos="100000">
              <a:srgbClr val="C370F5"/>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9</xdr:row>
      <xdr:rowOff>119380</xdr:rowOff>
    </xdr:from>
    <xdr:to>
      <xdr:col>13</xdr:col>
      <xdr:colOff>533400</xdr:colOff>
      <xdr:row>10</xdr:row>
      <xdr:rowOff>73660</xdr:rowOff>
    </xdr:to>
    <xdr:sp macro="" textlink="">
      <xdr:nvSpPr>
        <xdr:cNvPr id="20" name="Oval 19">
          <a:extLst>
            <a:ext uri="{FF2B5EF4-FFF2-40B4-BE49-F238E27FC236}">
              <a16:creationId xmlns:a16="http://schemas.microsoft.com/office/drawing/2014/main" id="{07729811-3105-4FC5-8AC6-09EFFBD4D06A}"/>
            </a:ext>
          </a:extLst>
        </xdr:cNvPr>
        <xdr:cNvSpPr/>
      </xdr:nvSpPr>
      <xdr:spPr>
        <a:xfrm>
          <a:off x="8321040" y="1765300"/>
          <a:ext cx="137160" cy="137160"/>
        </a:xfrm>
        <a:prstGeom prst="ellipse">
          <a:avLst/>
        </a:prstGeom>
        <a:gradFill>
          <a:gsLst>
            <a:gs pos="0">
              <a:srgbClr val="5BD4E3"/>
            </a:gs>
            <a:gs pos="100000">
              <a:srgbClr val="5DB5FE"/>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11</xdr:row>
      <xdr:rowOff>2540</xdr:rowOff>
    </xdr:from>
    <xdr:to>
      <xdr:col>13</xdr:col>
      <xdr:colOff>533400</xdr:colOff>
      <xdr:row>11</xdr:row>
      <xdr:rowOff>139700</xdr:rowOff>
    </xdr:to>
    <xdr:sp macro="" textlink="">
      <xdr:nvSpPr>
        <xdr:cNvPr id="21" name="Oval 20">
          <a:extLst>
            <a:ext uri="{FF2B5EF4-FFF2-40B4-BE49-F238E27FC236}">
              <a16:creationId xmlns:a16="http://schemas.microsoft.com/office/drawing/2014/main" id="{81063658-C1B1-4380-9CA9-C86748BA3CA1}"/>
            </a:ext>
          </a:extLst>
        </xdr:cNvPr>
        <xdr:cNvSpPr/>
      </xdr:nvSpPr>
      <xdr:spPr>
        <a:xfrm>
          <a:off x="8321040" y="2014220"/>
          <a:ext cx="137160" cy="137160"/>
        </a:xfrm>
        <a:prstGeom prst="ellipse">
          <a:avLst/>
        </a:prstGeom>
        <a:gradFill>
          <a:gsLst>
            <a:gs pos="0">
              <a:srgbClr val="7D76F6"/>
            </a:gs>
            <a:gs pos="100000">
              <a:srgbClr val="6C57EF"/>
            </a:gs>
          </a:gsLst>
          <a:lin ang="8100000" scaled="1"/>
        </a:gra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396240</xdr:colOff>
      <xdr:row>12</xdr:row>
      <xdr:rowOff>68580</xdr:rowOff>
    </xdr:from>
    <xdr:to>
      <xdr:col>13</xdr:col>
      <xdr:colOff>533400</xdr:colOff>
      <xdr:row>13</xdr:row>
      <xdr:rowOff>22860</xdr:rowOff>
    </xdr:to>
    <xdr:sp macro="" textlink="">
      <xdr:nvSpPr>
        <xdr:cNvPr id="22" name="Oval 21">
          <a:extLst>
            <a:ext uri="{FF2B5EF4-FFF2-40B4-BE49-F238E27FC236}">
              <a16:creationId xmlns:a16="http://schemas.microsoft.com/office/drawing/2014/main" id="{AE720CA4-3E06-4E21-BCDE-0E13A6B4D45F}"/>
            </a:ext>
          </a:extLst>
        </xdr:cNvPr>
        <xdr:cNvSpPr/>
      </xdr:nvSpPr>
      <xdr:spPr>
        <a:xfrm>
          <a:off x="8321040" y="2263140"/>
          <a:ext cx="137160" cy="137160"/>
        </a:xfrm>
        <a:prstGeom prst="ellipse">
          <a:avLst/>
        </a:prstGeom>
        <a:solidFill>
          <a:srgbClr val="ADABFF"/>
        </a:solidFill>
        <a:ln w="63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297180</xdr:colOff>
      <xdr:row>4</xdr:row>
      <xdr:rowOff>68580</xdr:rowOff>
    </xdr:from>
    <xdr:to>
      <xdr:col>16</xdr:col>
      <xdr:colOff>236220</xdr:colOff>
      <xdr:row>7</xdr:row>
      <xdr:rowOff>38100</xdr:rowOff>
    </xdr:to>
    <xdr:sp macro="" textlink="Processing!J1">
      <xdr:nvSpPr>
        <xdr:cNvPr id="23" name="TextBox 22">
          <a:extLst>
            <a:ext uri="{FF2B5EF4-FFF2-40B4-BE49-F238E27FC236}">
              <a16:creationId xmlns:a16="http://schemas.microsoft.com/office/drawing/2014/main" id="{A0B02EFF-A2C5-475F-A062-271F0901B7EF}"/>
            </a:ext>
          </a:extLst>
        </xdr:cNvPr>
        <xdr:cNvSpPr txBox="1"/>
      </xdr:nvSpPr>
      <xdr:spPr>
        <a:xfrm>
          <a:off x="8221980" y="800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6F317E-6BCC-41D4-9B03-B5200F498A24}" type="TxLink">
            <a:rPr lang="en-US" sz="1800" b="0" i="0" u="none" strike="noStrike">
              <a:solidFill>
                <a:schemeClr val="tx1"/>
              </a:solidFill>
              <a:latin typeface="Aptos Narrow"/>
              <a:ea typeface="Verdana" panose="020B0604030504040204" pitchFamily="34" charset="0"/>
              <a:cs typeface="Calibri" panose="020F0502020204030204" pitchFamily="34" charset="0"/>
            </a:rPr>
            <a:pPr algn="ctr"/>
            <a:t>Traffic Sources</a:t>
          </a:fld>
          <a:endParaRPr lang="ru-RU" sz="4400">
            <a:solidFill>
              <a:schemeClr val="tx1"/>
            </a:solidFill>
            <a:latin typeface="Calibri" panose="020F0502020204030204" pitchFamily="34" charset="0"/>
            <a:ea typeface="Verdana" panose="020B0604030504040204" pitchFamily="34" charset="0"/>
            <a:cs typeface="Calibri" panose="020F0502020204030204" pitchFamily="34" charset="0"/>
          </a:endParaRPr>
        </a:p>
      </xdr:txBody>
    </xdr:sp>
    <xdr:clientData/>
  </xdr:twoCellAnchor>
  <xdr:twoCellAnchor>
    <xdr:from>
      <xdr:col>17</xdr:col>
      <xdr:colOff>11336</xdr:colOff>
      <xdr:row>22</xdr:row>
      <xdr:rowOff>162436</xdr:rowOff>
    </xdr:from>
    <xdr:to>
      <xdr:col>19</xdr:col>
      <xdr:colOff>350335</xdr:colOff>
      <xdr:row>31</xdr:row>
      <xdr:rowOff>76944</xdr:rowOff>
    </xdr:to>
    <xdr:grpSp>
      <xdr:nvGrpSpPr>
        <xdr:cNvPr id="24" name="Group 23">
          <a:extLst>
            <a:ext uri="{FF2B5EF4-FFF2-40B4-BE49-F238E27FC236}">
              <a16:creationId xmlns:a16="http://schemas.microsoft.com/office/drawing/2014/main" id="{B0B2C819-D1A8-4A51-998F-071005C6CB88}"/>
            </a:ext>
          </a:extLst>
        </xdr:cNvPr>
        <xdr:cNvGrpSpPr/>
      </xdr:nvGrpSpPr>
      <xdr:grpSpPr>
        <a:xfrm>
          <a:off x="10446503" y="4353436"/>
          <a:ext cx="1566665" cy="1629008"/>
          <a:chOff x="10374536" y="4039901"/>
          <a:chExt cx="1558199" cy="1554481"/>
        </a:xfrm>
      </xdr:grpSpPr>
      <xdr:cxnSp macro="">
        <xdr:nvCxnSpPr>
          <xdr:cNvPr id="25" name="Straight Connector 24">
            <a:extLst>
              <a:ext uri="{FF2B5EF4-FFF2-40B4-BE49-F238E27FC236}">
                <a16:creationId xmlns:a16="http://schemas.microsoft.com/office/drawing/2014/main" id="{DFD5F869-8858-8DC3-C62F-B7970E4777DC}"/>
              </a:ext>
            </a:extLst>
          </xdr:cNvPr>
          <xdr:cNvCxnSpPr/>
        </xdr:nvCxnSpPr>
        <xdr:spPr>
          <a:xfrm>
            <a:off x="11155494"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A1941AF1-6BCB-C354-25DF-EEEB361C9AC5}"/>
              </a:ext>
            </a:extLst>
          </xdr:cNvPr>
          <xdr:cNvCxnSpPr/>
        </xdr:nvCxnSpPr>
        <xdr:spPr>
          <a:xfrm rot="16200000">
            <a:off x="11155495" y="4039901"/>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4E947E52-3C7E-74BA-0774-C5329361A99B}"/>
              </a:ext>
            </a:extLst>
          </xdr:cNvPr>
          <xdr:cNvCxnSpPr/>
        </xdr:nvCxnSpPr>
        <xdr:spPr>
          <a:xfrm rot="2700000">
            <a:off x="11151776" y="4043620"/>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B5210009-AD0B-0E42-2CC1-909E21C3502F}"/>
              </a:ext>
            </a:extLst>
          </xdr:cNvPr>
          <xdr:cNvCxnSpPr/>
        </xdr:nvCxnSpPr>
        <xdr:spPr>
          <a:xfrm rot="18900000" flipH="1">
            <a:off x="11151774" y="4039902"/>
            <a:ext cx="0" cy="1554480"/>
          </a:xfrm>
          <a:prstGeom prst="line">
            <a:avLst/>
          </a:prstGeom>
          <a:ln w="9525">
            <a:solidFill>
              <a:srgbClr val="AEABFE"/>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304622</xdr:colOff>
      <xdr:row>21</xdr:row>
      <xdr:rowOff>34275</xdr:rowOff>
    </xdr:from>
    <xdr:to>
      <xdr:col>20</xdr:col>
      <xdr:colOff>60782</xdr:colOff>
      <xdr:row>33</xdr:row>
      <xdr:rowOff>43196</xdr:rowOff>
    </xdr:to>
    <xdr:graphicFrame macro="">
      <xdr:nvGraphicFramePr>
        <xdr:cNvPr id="29" name="Chart 28">
          <a:extLst>
            <a:ext uri="{FF2B5EF4-FFF2-40B4-BE49-F238E27FC236}">
              <a16:creationId xmlns:a16="http://schemas.microsoft.com/office/drawing/2014/main" id="{E13AECFD-8028-4F64-BBD8-024167C41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495300</xdr:colOff>
      <xdr:row>18</xdr:row>
      <xdr:rowOff>152400</xdr:rowOff>
    </xdr:from>
    <xdr:to>
      <xdr:col>19</xdr:col>
      <xdr:colOff>434340</xdr:colOff>
      <xdr:row>21</xdr:row>
      <xdr:rowOff>121920</xdr:rowOff>
    </xdr:to>
    <xdr:sp macro="" textlink="Processing!L7">
      <xdr:nvSpPr>
        <xdr:cNvPr id="30" name="TextBox 29">
          <a:extLst>
            <a:ext uri="{FF2B5EF4-FFF2-40B4-BE49-F238E27FC236}">
              <a16:creationId xmlns:a16="http://schemas.microsoft.com/office/drawing/2014/main" id="{7CC52F86-E247-4A2C-B886-717149AC0D49}"/>
            </a:ext>
          </a:extLst>
        </xdr:cNvPr>
        <xdr:cNvSpPr txBox="1"/>
      </xdr:nvSpPr>
      <xdr:spPr>
        <a:xfrm>
          <a:off x="102489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B84F59-3F6B-403C-BD49-0165DBED0218}"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Coverage</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13</xdr:col>
      <xdr:colOff>163612</xdr:colOff>
      <xdr:row>20</xdr:row>
      <xdr:rowOff>114299</xdr:rowOff>
    </xdr:from>
    <xdr:to>
      <xdr:col>16</xdr:col>
      <xdr:colOff>72172</xdr:colOff>
      <xdr:row>33</xdr:row>
      <xdr:rowOff>114299</xdr:rowOff>
    </xdr:to>
    <xdr:graphicFrame macro="">
      <xdr:nvGraphicFramePr>
        <xdr:cNvPr id="31" name="Chart 30">
          <a:extLst>
            <a:ext uri="{FF2B5EF4-FFF2-40B4-BE49-F238E27FC236}">
              <a16:creationId xmlns:a16="http://schemas.microsoft.com/office/drawing/2014/main" id="{BBF73167-5268-417C-B50B-E996F6F35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152400</xdr:colOff>
      <xdr:row>18</xdr:row>
      <xdr:rowOff>152400</xdr:rowOff>
    </xdr:from>
    <xdr:to>
      <xdr:col>16</xdr:col>
      <xdr:colOff>91440</xdr:colOff>
      <xdr:row>21</xdr:row>
      <xdr:rowOff>121920</xdr:rowOff>
    </xdr:to>
    <xdr:sp macro="" textlink="Processing!Q1">
      <xdr:nvSpPr>
        <xdr:cNvPr id="32" name="TextBox 31">
          <a:extLst>
            <a:ext uri="{FF2B5EF4-FFF2-40B4-BE49-F238E27FC236}">
              <a16:creationId xmlns:a16="http://schemas.microsoft.com/office/drawing/2014/main" id="{C023BBBF-0548-4EF2-94A2-B3EBCCB1DF03}"/>
            </a:ext>
          </a:extLst>
        </xdr:cNvPr>
        <xdr:cNvSpPr txBox="1"/>
      </xdr:nvSpPr>
      <xdr:spPr>
        <a:xfrm>
          <a:off x="8077200" y="344424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AABADF-BB5E-4C30-9F21-2092403B10E1}" type="TxLink">
            <a:rPr lang="en-US" sz="1800" b="0" i="0" u="none" strike="noStrike">
              <a:solidFill>
                <a:schemeClr val="tx1"/>
              </a:solidFill>
              <a:latin typeface="Aptos Narrow"/>
              <a:ea typeface="Verdana" panose="020B0604030504040204" pitchFamily="34" charset="0"/>
              <a:cs typeface="Calibri" panose="020F0502020204030204" pitchFamily="34" charset="0"/>
            </a:rPr>
            <a:pPr marL="0" indent="0" algn="ctr"/>
            <a:t>Subscribers</a:t>
          </a:fld>
          <a:endParaRPr lang="ru-RU" sz="18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editAs="oneCell">
    <xdr:from>
      <xdr:col>13</xdr:col>
      <xdr:colOff>186472</xdr:colOff>
      <xdr:row>32</xdr:row>
      <xdr:rowOff>167640</xdr:rowOff>
    </xdr:from>
    <xdr:to>
      <xdr:col>16</xdr:col>
      <xdr:colOff>49312</xdr:colOff>
      <xdr:row>35</xdr:row>
      <xdr:rowOff>48768</xdr:rowOff>
    </xdr:to>
    <mc:AlternateContent xmlns:mc="http://schemas.openxmlformats.org/markup-compatibility/2006" xmlns:a14="http://schemas.microsoft.com/office/drawing/2010/main">
      <mc:Choice Requires="a14">
        <xdr:graphicFrame macro="">
          <xdr:nvGraphicFramePr>
            <xdr:cNvPr id="34" name="Year 10">
              <a:extLst>
                <a:ext uri="{FF2B5EF4-FFF2-40B4-BE49-F238E27FC236}">
                  <a16:creationId xmlns:a16="http://schemas.microsoft.com/office/drawing/2014/main" id="{D6800537-4B99-4977-8029-1E40584E8B20}"/>
                </a:ext>
              </a:extLst>
            </xdr:cNvPr>
            <xdr:cNvGraphicFramePr/>
          </xdr:nvGraphicFramePr>
          <xdr:xfrm>
            <a:off x="0" y="0"/>
            <a:ext cx="0" cy="0"/>
          </xdr:xfrm>
          <a:graphic>
            <a:graphicData uri="http://schemas.microsoft.com/office/drawing/2010/slicer">
              <sle:slicer xmlns:sle="http://schemas.microsoft.com/office/drawing/2010/slicer" name="Year 10"/>
            </a:graphicData>
          </a:graphic>
        </xdr:graphicFrame>
      </mc:Choice>
      <mc:Fallback xmlns="">
        <xdr:sp macro="" textlink="">
          <xdr:nvSpPr>
            <xdr:cNvPr id="0" name=""/>
            <xdr:cNvSpPr>
              <a:spLocks noTextEdit="1"/>
            </xdr:cNvSpPr>
          </xdr:nvSpPr>
          <xdr:spPr>
            <a:xfrm>
              <a:off x="8111272" y="6019800"/>
              <a:ext cx="169164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281940</xdr:colOff>
      <xdr:row>8</xdr:row>
      <xdr:rowOff>99060</xdr:rowOff>
    </xdr:from>
    <xdr:to>
      <xdr:col>7</xdr:col>
      <xdr:colOff>220980</xdr:colOff>
      <xdr:row>11</xdr:row>
      <xdr:rowOff>68580</xdr:rowOff>
    </xdr:to>
    <xdr:sp macro="" textlink="Processing!Q1">
      <xdr:nvSpPr>
        <xdr:cNvPr id="35" name="TextBox 34">
          <a:extLst>
            <a:ext uri="{FF2B5EF4-FFF2-40B4-BE49-F238E27FC236}">
              <a16:creationId xmlns:a16="http://schemas.microsoft.com/office/drawing/2014/main" id="{A6D354CF-6CD8-490E-9DD1-3F357E714E34}"/>
            </a:ext>
          </a:extLst>
        </xdr:cNvPr>
        <xdr:cNvSpPr txBox="1"/>
      </xdr:nvSpPr>
      <xdr:spPr>
        <a:xfrm>
          <a:off x="2720340" y="1562100"/>
          <a:ext cx="176784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ABADF-BB5E-4C30-9F21-2092403B10E1}"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Subscribers</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8</xdr:col>
      <xdr:colOff>495300</xdr:colOff>
      <xdr:row>8</xdr:row>
      <xdr:rowOff>99060</xdr:rowOff>
    </xdr:from>
    <xdr:to>
      <xdr:col>10</xdr:col>
      <xdr:colOff>373380</xdr:colOff>
      <xdr:row>11</xdr:row>
      <xdr:rowOff>68580</xdr:rowOff>
    </xdr:to>
    <xdr:sp macro="" textlink="Processing!B2">
      <xdr:nvSpPr>
        <xdr:cNvPr id="36" name="TextBox 35">
          <a:extLst>
            <a:ext uri="{FF2B5EF4-FFF2-40B4-BE49-F238E27FC236}">
              <a16:creationId xmlns:a16="http://schemas.microsoft.com/office/drawing/2014/main" id="{491CCC0D-4F34-4D07-A776-090F2B8C4DEF}"/>
            </a:ext>
          </a:extLst>
        </xdr:cNvPr>
        <xdr:cNvSpPr txBox="1"/>
      </xdr:nvSpPr>
      <xdr:spPr>
        <a:xfrm>
          <a:off x="5372100" y="1562100"/>
          <a:ext cx="10972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4C4F24E-324B-46CD-9F78-9505F7039942}" type="TxLink">
            <a:rPr lang="en-US" sz="2000" b="0" i="0" u="none" strike="noStrike">
              <a:solidFill>
                <a:schemeClr val="tx1"/>
              </a:solidFill>
              <a:latin typeface="Aptos Narrow"/>
              <a:ea typeface="Verdana" panose="020B0604030504040204" pitchFamily="34" charset="0"/>
              <a:cs typeface="Calibri" panose="020F0502020204030204" pitchFamily="34" charset="0"/>
            </a:rPr>
            <a:pPr marL="0" indent="0" algn="l"/>
            <a:t>Revenue</a:t>
          </a:fld>
          <a:endParaRPr lang="ru-RU" sz="20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11</xdr:col>
      <xdr:colOff>79979</xdr:colOff>
      <xdr:row>7</xdr:row>
      <xdr:rowOff>163799</xdr:rowOff>
    </xdr:from>
    <xdr:to>
      <xdr:col>12</xdr:col>
      <xdr:colOff>201899</xdr:colOff>
      <xdr:row>11</xdr:row>
      <xdr:rowOff>163799</xdr:rowOff>
    </xdr:to>
    <xdr:graphicFrame macro="">
      <xdr:nvGraphicFramePr>
        <xdr:cNvPr id="37" name="Chart 36">
          <a:extLst>
            <a:ext uri="{FF2B5EF4-FFF2-40B4-BE49-F238E27FC236}">
              <a16:creationId xmlns:a16="http://schemas.microsoft.com/office/drawing/2014/main" id="{43A4A6FC-BB95-4204-A05D-FEA2159C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121920</xdr:colOff>
      <xdr:row>9</xdr:row>
      <xdr:rowOff>0</xdr:rowOff>
    </xdr:from>
    <xdr:to>
      <xdr:col>12</xdr:col>
      <xdr:colOff>160020</xdr:colOff>
      <xdr:row>10</xdr:row>
      <xdr:rowOff>144780</xdr:rowOff>
    </xdr:to>
    <xdr:sp macro="" textlink="Processing!Q12">
      <xdr:nvSpPr>
        <xdr:cNvPr id="38" name="TextBox 37">
          <a:extLst>
            <a:ext uri="{FF2B5EF4-FFF2-40B4-BE49-F238E27FC236}">
              <a16:creationId xmlns:a16="http://schemas.microsoft.com/office/drawing/2014/main" id="{EF94B1FA-DCFF-414F-BB72-C54BAEE90A4F}"/>
            </a:ext>
          </a:extLst>
        </xdr:cNvPr>
        <xdr:cNvSpPr txBox="1"/>
      </xdr:nvSpPr>
      <xdr:spPr>
        <a:xfrm>
          <a:off x="682752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DCDAE6F-69B6-4866-BB6D-4252AC533E3A}"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112%</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xdr:from>
      <xdr:col>10</xdr:col>
      <xdr:colOff>228600</xdr:colOff>
      <xdr:row>9</xdr:row>
      <xdr:rowOff>0</xdr:rowOff>
    </xdr:from>
    <xdr:to>
      <xdr:col>11</xdr:col>
      <xdr:colOff>266700</xdr:colOff>
      <xdr:row>10</xdr:row>
      <xdr:rowOff>144780</xdr:rowOff>
    </xdr:to>
    <xdr:sp macro="" textlink="Processing!P12">
      <xdr:nvSpPr>
        <xdr:cNvPr id="39" name="TextBox 38">
          <a:extLst>
            <a:ext uri="{FF2B5EF4-FFF2-40B4-BE49-F238E27FC236}">
              <a16:creationId xmlns:a16="http://schemas.microsoft.com/office/drawing/2014/main" id="{420A44A0-9AD7-41FC-AC36-143F1E16DBE0}"/>
            </a:ext>
          </a:extLst>
        </xdr:cNvPr>
        <xdr:cNvSpPr txBox="1"/>
      </xdr:nvSpPr>
      <xdr:spPr>
        <a:xfrm>
          <a:off x="6324600" y="1645920"/>
          <a:ext cx="6477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543358-55A4-48F1-B6CD-225A712D7FB0}" type="TxLink">
            <a:rPr lang="en-US" sz="1100" b="0" i="0" u="none" strike="noStrike">
              <a:solidFill>
                <a:schemeClr val="tx1"/>
              </a:solidFill>
              <a:latin typeface="Aptos Narrow"/>
              <a:ea typeface="Verdana" panose="020B0604030504040204" pitchFamily="34" charset="0"/>
              <a:cs typeface="Calibri" panose="020F0502020204030204" pitchFamily="34" charset="0"/>
            </a:rPr>
            <a:pPr marL="0" indent="0" algn="ctr"/>
            <a:t>Target</a:t>
          </a:fld>
          <a:endParaRPr lang="ru-RU" sz="1100" b="0" i="0" u="none" strike="noStrike">
            <a:solidFill>
              <a:schemeClr val="tx1"/>
            </a:solidFill>
            <a:latin typeface="Aptos Narrow"/>
            <a:ea typeface="Verdana" panose="020B0604030504040204" pitchFamily="34" charset="0"/>
            <a:cs typeface="Calibri" panose="020F0502020204030204" pitchFamily="34" charset="0"/>
          </a:endParaRPr>
        </a:p>
      </xdr:txBody>
    </xdr:sp>
    <xdr:clientData/>
  </xdr:twoCellAnchor>
  <xdr:twoCellAnchor editAs="oneCell">
    <xdr:from>
      <xdr:col>5</xdr:col>
      <xdr:colOff>318567</xdr:colOff>
      <xdr:row>15</xdr:row>
      <xdr:rowOff>60960</xdr:rowOff>
    </xdr:from>
    <xdr:to>
      <xdr:col>11</xdr:col>
      <xdr:colOff>29007</xdr:colOff>
      <xdr:row>17</xdr:row>
      <xdr:rowOff>129540</xdr:rowOff>
    </xdr:to>
    <mc:AlternateContent xmlns:mc="http://schemas.openxmlformats.org/markup-compatibility/2006" xmlns:a14="http://schemas.microsoft.com/office/drawing/2010/main">
      <mc:Choice Requires="a14">
        <xdr:graphicFrame macro="">
          <xdr:nvGraphicFramePr>
            <xdr:cNvPr id="41" name="Traffic 2">
              <a:extLst>
                <a:ext uri="{FF2B5EF4-FFF2-40B4-BE49-F238E27FC236}">
                  <a16:creationId xmlns:a16="http://schemas.microsoft.com/office/drawing/2014/main" id="{3FD4F8F5-4C03-412A-9275-ACD98EE55AAB}"/>
                </a:ext>
              </a:extLst>
            </xdr:cNvPr>
            <xdr:cNvGraphicFramePr/>
          </xdr:nvGraphicFramePr>
          <xdr:xfrm>
            <a:off x="0" y="0"/>
            <a:ext cx="0" cy="0"/>
          </xdr:xfrm>
          <a:graphic>
            <a:graphicData uri="http://schemas.microsoft.com/office/drawing/2010/slicer">
              <sle:slicer xmlns:sle="http://schemas.microsoft.com/office/drawing/2010/slicer" name="Traffic 2"/>
            </a:graphicData>
          </a:graphic>
        </xdr:graphicFrame>
      </mc:Choice>
      <mc:Fallback xmlns="">
        <xdr:sp macro="" textlink="">
          <xdr:nvSpPr>
            <xdr:cNvPr id="0" name=""/>
            <xdr:cNvSpPr>
              <a:spLocks noTextEdit="1"/>
            </xdr:cNvSpPr>
          </xdr:nvSpPr>
          <xdr:spPr>
            <a:xfrm>
              <a:off x="3366567" y="2804160"/>
              <a:ext cx="3368040" cy="4343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18</xdr:row>
      <xdr:rowOff>175260</xdr:rowOff>
    </xdr:from>
    <xdr:to>
      <xdr:col>12</xdr:col>
      <xdr:colOff>327660</xdr:colOff>
      <xdr:row>33</xdr:row>
      <xdr:rowOff>175260</xdr:rowOff>
    </xdr:to>
    <xdr:graphicFrame macro="">
      <xdr:nvGraphicFramePr>
        <xdr:cNvPr id="42" name="Chart 41">
          <a:extLst>
            <a:ext uri="{FF2B5EF4-FFF2-40B4-BE49-F238E27FC236}">
              <a16:creationId xmlns:a16="http://schemas.microsoft.com/office/drawing/2014/main" id="{DD23E6FC-CE2C-493E-AF2B-1F1A0BB4B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358140</xdr:colOff>
      <xdr:row>32</xdr:row>
      <xdr:rowOff>167640</xdr:rowOff>
    </xdr:from>
    <xdr:to>
      <xdr:col>12</xdr:col>
      <xdr:colOff>236220</xdr:colOff>
      <xdr:row>35</xdr:row>
      <xdr:rowOff>48768</xdr:rowOff>
    </xdr:to>
    <mc:AlternateContent xmlns:mc="http://schemas.openxmlformats.org/markup-compatibility/2006" xmlns:a14="http://schemas.microsoft.com/office/drawing/2010/main">
      <mc:Choice Requires="a14">
        <xdr:graphicFrame macro="">
          <xdr:nvGraphicFramePr>
            <xdr:cNvPr id="43" name="Month 10">
              <a:extLst>
                <a:ext uri="{FF2B5EF4-FFF2-40B4-BE49-F238E27FC236}">
                  <a16:creationId xmlns:a16="http://schemas.microsoft.com/office/drawing/2014/main" id="{BB376DC5-DDB6-4655-8603-BC9ED0902E34}"/>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2796540" y="60198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68580</xdr:colOff>
      <xdr:row>4</xdr:row>
      <xdr:rowOff>38100</xdr:rowOff>
    </xdr:from>
    <xdr:to>
      <xdr:col>19</xdr:col>
      <xdr:colOff>563880</xdr:colOff>
      <xdr:row>17</xdr:row>
      <xdr:rowOff>121920</xdr:rowOff>
    </xdr:to>
    <xdr:sp macro="" textlink="">
      <xdr:nvSpPr>
        <xdr:cNvPr id="45" name="Rectangle: Rounded Corners 44" hidden="1">
          <a:hlinkClick xmlns:r="http://schemas.openxmlformats.org/officeDocument/2006/relationships" r:id="rId6"/>
          <a:extLst>
            <a:ext uri="{FF2B5EF4-FFF2-40B4-BE49-F238E27FC236}">
              <a16:creationId xmlns:a16="http://schemas.microsoft.com/office/drawing/2014/main" id="{8574559A-6F01-4746-8D43-60ECFCD9924F}"/>
            </a:ext>
          </a:extLst>
        </xdr:cNvPr>
        <xdr:cNvSpPr/>
      </xdr:nvSpPr>
      <xdr:spPr>
        <a:xfrm>
          <a:off x="7993380" y="769620"/>
          <a:ext cx="4152900" cy="2461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53340</xdr:colOff>
      <xdr:row>18</xdr:row>
      <xdr:rowOff>137160</xdr:rowOff>
    </xdr:from>
    <xdr:to>
      <xdr:col>16</xdr:col>
      <xdr:colOff>76200</xdr:colOff>
      <xdr:row>32</xdr:row>
      <xdr:rowOff>137160</xdr:rowOff>
    </xdr:to>
    <xdr:sp macro="" textlink="">
      <xdr:nvSpPr>
        <xdr:cNvPr id="46" name="Rectangle: Rounded Corners 45">
          <a:hlinkClick xmlns:r="http://schemas.openxmlformats.org/officeDocument/2006/relationships" r:id="rId7"/>
          <a:extLst>
            <a:ext uri="{FF2B5EF4-FFF2-40B4-BE49-F238E27FC236}">
              <a16:creationId xmlns:a16="http://schemas.microsoft.com/office/drawing/2014/main" id="{6CCE67AC-3B8D-4CB7-BDF5-F4F8F851B8B0}"/>
            </a:ext>
          </a:extLst>
        </xdr:cNvPr>
        <xdr:cNvSpPr/>
      </xdr:nvSpPr>
      <xdr:spPr>
        <a:xfrm>
          <a:off x="7978140" y="3429000"/>
          <a:ext cx="1851660" cy="256032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289560</xdr:colOff>
      <xdr:row>18</xdr:row>
      <xdr:rowOff>137160</xdr:rowOff>
    </xdr:from>
    <xdr:to>
      <xdr:col>19</xdr:col>
      <xdr:colOff>579120</xdr:colOff>
      <xdr:row>35</xdr:row>
      <xdr:rowOff>167640</xdr:rowOff>
    </xdr:to>
    <xdr:sp macro="" textlink="">
      <xdr:nvSpPr>
        <xdr:cNvPr id="47" name="Rectangle: Rounded Corners 46">
          <a:hlinkClick xmlns:r="http://schemas.openxmlformats.org/officeDocument/2006/relationships" r:id="rId8"/>
          <a:extLst>
            <a:ext uri="{FF2B5EF4-FFF2-40B4-BE49-F238E27FC236}">
              <a16:creationId xmlns:a16="http://schemas.microsoft.com/office/drawing/2014/main" id="{E884E682-92CA-42DF-B344-8406686105BB}"/>
            </a:ext>
          </a:extLst>
        </xdr:cNvPr>
        <xdr:cNvSpPr/>
      </xdr:nvSpPr>
      <xdr:spPr>
        <a:xfrm>
          <a:off x="10043160" y="3429000"/>
          <a:ext cx="2118360" cy="313944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30480</xdr:colOff>
      <xdr:row>4</xdr:row>
      <xdr:rowOff>175260</xdr:rowOff>
    </xdr:from>
    <xdr:to>
      <xdr:col>7</xdr:col>
      <xdr:colOff>358140</xdr:colOff>
      <xdr:row>12</xdr:row>
      <xdr:rowOff>30480</xdr:rowOff>
    </xdr:to>
    <xdr:sp macro="" textlink="">
      <xdr:nvSpPr>
        <xdr:cNvPr id="48" name="Rectangle: Rounded Corners 47">
          <a:hlinkClick xmlns:r="http://schemas.openxmlformats.org/officeDocument/2006/relationships" r:id="rId9"/>
          <a:extLst>
            <a:ext uri="{FF2B5EF4-FFF2-40B4-BE49-F238E27FC236}">
              <a16:creationId xmlns:a16="http://schemas.microsoft.com/office/drawing/2014/main" id="{C153894B-788D-4F65-BF22-B80415053F54}"/>
            </a:ext>
          </a:extLst>
        </xdr:cNvPr>
        <xdr:cNvSpPr/>
      </xdr:nvSpPr>
      <xdr:spPr>
        <a:xfrm>
          <a:off x="2468880" y="906780"/>
          <a:ext cx="2156460" cy="1318260"/>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158639</xdr:colOff>
      <xdr:row>4</xdr:row>
      <xdr:rowOff>71505</xdr:rowOff>
    </xdr:from>
    <xdr:to>
      <xdr:col>0</xdr:col>
      <xdr:colOff>432959</xdr:colOff>
      <xdr:row>5</xdr:row>
      <xdr:rowOff>143053</xdr:rowOff>
    </xdr:to>
    <xdr:grpSp>
      <xdr:nvGrpSpPr>
        <xdr:cNvPr id="40" name="Group 39">
          <a:hlinkClick xmlns:r="http://schemas.openxmlformats.org/officeDocument/2006/relationships" r:id="rId10"/>
          <a:extLst>
            <a:ext uri="{FF2B5EF4-FFF2-40B4-BE49-F238E27FC236}">
              <a16:creationId xmlns:a16="http://schemas.microsoft.com/office/drawing/2014/main" id="{876C6E59-13FE-DE54-7F08-A50E3CE9A647}"/>
            </a:ext>
          </a:extLst>
        </xdr:cNvPr>
        <xdr:cNvGrpSpPr/>
      </xdr:nvGrpSpPr>
      <xdr:grpSpPr>
        <a:xfrm>
          <a:off x="158639" y="833505"/>
          <a:ext cx="274320" cy="262048"/>
          <a:chOff x="2657199" y="8924774"/>
          <a:chExt cx="796566" cy="720791"/>
        </a:xfrm>
      </xdr:grpSpPr>
      <xdr:sp macro="" textlink="">
        <xdr:nvSpPr>
          <xdr:cNvPr id="52" name="Freeform: Shape 51">
            <a:extLst>
              <a:ext uri="{FF2B5EF4-FFF2-40B4-BE49-F238E27FC236}">
                <a16:creationId xmlns:a16="http://schemas.microsoft.com/office/drawing/2014/main" id="{753FD8F3-E6FF-30C6-85DE-8AB1309546AC}"/>
              </a:ext>
            </a:extLst>
          </xdr:cNvPr>
          <xdr:cNvSpPr/>
        </xdr:nvSpPr>
        <xdr:spPr>
          <a:xfrm>
            <a:off x="3139440" y="8924774"/>
            <a:ext cx="38100" cy="115904"/>
          </a:xfrm>
          <a:custGeom>
            <a:avLst/>
            <a:gdLst>
              <a:gd name="connsiteX0" fmla="*/ 0 w 38100"/>
              <a:gd name="connsiteY0" fmla="*/ 0 h 114300"/>
              <a:gd name="connsiteX1" fmla="*/ 38100 w 38100"/>
              <a:gd name="connsiteY1" fmla="*/ 0 h 114300"/>
              <a:gd name="connsiteX2" fmla="*/ 38100 w 38100"/>
              <a:gd name="connsiteY2" fmla="*/ 114300 h 114300"/>
              <a:gd name="connsiteX3" fmla="*/ 0 w 38100"/>
              <a:gd name="connsiteY3" fmla="*/ 114300 h 114300"/>
            </a:gdLst>
            <a:ahLst/>
            <a:cxnLst>
              <a:cxn ang="0">
                <a:pos x="connsiteX0" y="connsiteY0"/>
              </a:cxn>
              <a:cxn ang="0">
                <a:pos x="connsiteX1" y="connsiteY1"/>
              </a:cxn>
              <a:cxn ang="0">
                <a:pos x="connsiteX2" y="connsiteY2"/>
              </a:cxn>
              <a:cxn ang="0">
                <a:pos x="connsiteX3" y="connsiteY3"/>
              </a:cxn>
            </a:cxnLst>
            <a:rect l="l" t="t" r="r" b="b"/>
            <a:pathLst>
              <a:path w="38100" h="114300">
                <a:moveTo>
                  <a:pt x="0" y="0"/>
                </a:moveTo>
                <a:lnTo>
                  <a:pt x="38100" y="0"/>
                </a:lnTo>
                <a:lnTo>
                  <a:pt x="38100" y="114300"/>
                </a:lnTo>
                <a:lnTo>
                  <a:pt x="0" y="114300"/>
                </a:lnTo>
                <a:close/>
              </a:path>
            </a:pathLst>
          </a:custGeom>
          <a:solidFill>
            <a:srgbClr val="E993EB"/>
          </a:solidFill>
          <a:ln w="9525" cap="flat">
            <a:noFill/>
            <a:prstDash val="solid"/>
            <a:miter/>
          </a:ln>
        </xdr:spPr>
        <xdr:txBody>
          <a:bodyPr rtlCol="0" anchor="ctr"/>
          <a:lstStyle/>
          <a:p>
            <a:endParaRPr lang="ru-RU"/>
          </a:p>
        </xdr:txBody>
      </xdr:sp>
      <xdr:sp macro="" textlink="">
        <xdr:nvSpPr>
          <xdr:cNvPr id="53" name="Freeform: Shape 52">
            <a:extLst>
              <a:ext uri="{FF2B5EF4-FFF2-40B4-BE49-F238E27FC236}">
                <a16:creationId xmlns:a16="http://schemas.microsoft.com/office/drawing/2014/main" id="{1B1EE4C8-6BE2-53FC-F317-376A07CFD786}"/>
              </a:ext>
            </a:extLst>
          </xdr:cNvPr>
          <xdr:cNvSpPr/>
        </xdr:nvSpPr>
        <xdr:spPr>
          <a:xfrm rot="8100000">
            <a:off x="3270350" y="9032599"/>
            <a:ext cx="114298" cy="39703"/>
          </a:xfrm>
          <a:custGeom>
            <a:avLst/>
            <a:gdLst>
              <a:gd name="connsiteX0" fmla="*/ 0 w 114298"/>
              <a:gd name="connsiteY0" fmla="*/ 0 h 38099"/>
              <a:gd name="connsiteX1" fmla="*/ 114299 w 114298"/>
              <a:gd name="connsiteY1" fmla="*/ 0 h 38099"/>
              <a:gd name="connsiteX2" fmla="*/ 114299 w 114298"/>
              <a:gd name="connsiteY2" fmla="*/ 38100 h 38099"/>
              <a:gd name="connsiteX3" fmla="*/ 0 w 114298"/>
              <a:gd name="connsiteY3" fmla="*/ 38100 h 38099"/>
            </a:gdLst>
            <a:ahLst/>
            <a:cxnLst>
              <a:cxn ang="0">
                <a:pos x="connsiteX0" y="connsiteY0"/>
              </a:cxn>
              <a:cxn ang="0">
                <a:pos x="connsiteX1" y="connsiteY1"/>
              </a:cxn>
              <a:cxn ang="0">
                <a:pos x="connsiteX2" y="connsiteY2"/>
              </a:cxn>
              <a:cxn ang="0">
                <a:pos x="connsiteX3" y="connsiteY3"/>
              </a:cxn>
            </a:cxnLst>
            <a:rect l="l" t="t" r="r" b="b"/>
            <a:pathLst>
              <a:path w="114298" h="38099">
                <a:moveTo>
                  <a:pt x="0" y="0"/>
                </a:moveTo>
                <a:lnTo>
                  <a:pt x="114299" y="0"/>
                </a:lnTo>
                <a:lnTo>
                  <a:pt x="114299"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54" name="Freeform: Shape 53">
            <a:extLst>
              <a:ext uri="{FF2B5EF4-FFF2-40B4-BE49-F238E27FC236}">
                <a16:creationId xmlns:a16="http://schemas.microsoft.com/office/drawing/2014/main" id="{BB59AAF9-2B44-68BF-306E-D6DF8A9D07CE}"/>
              </a:ext>
            </a:extLst>
          </xdr:cNvPr>
          <xdr:cNvSpPr/>
        </xdr:nvSpPr>
        <xdr:spPr>
          <a:xfrm>
            <a:off x="3339465" y="9202603"/>
            <a:ext cx="114300" cy="39705"/>
          </a:xfrm>
          <a:custGeom>
            <a:avLst/>
            <a:gdLst>
              <a:gd name="connsiteX0" fmla="*/ 0 w 114300"/>
              <a:gd name="connsiteY0" fmla="*/ 0 h 38100"/>
              <a:gd name="connsiteX1" fmla="*/ 114300 w 114300"/>
              <a:gd name="connsiteY1" fmla="*/ 0 h 38100"/>
              <a:gd name="connsiteX2" fmla="*/ 114300 w 114300"/>
              <a:gd name="connsiteY2" fmla="*/ 38100 h 38100"/>
              <a:gd name="connsiteX3" fmla="*/ 0 w 114300"/>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300"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55" name="Freeform: Shape 54">
            <a:extLst>
              <a:ext uri="{FF2B5EF4-FFF2-40B4-BE49-F238E27FC236}">
                <a16:creationId xmlns:a16="http://schemas.microsoft.com/office/drawing/2014/main" id="{846C46FD-30C7-54AA-2B60-D46786B115D7}"/>
              </a:ext>
            </a:extLst>
          </xdr:cNvPr>
          <xdr:cNvSpPr/>
        </xdr:nvSpPr>
        <xdr:spPr>
          <a:xfrm rot="8100000">
            <a:off x="3308256" y="9334274"/>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56" name="Freeform: Shape 55">
            <a:extLst>
              <a:ext uri="{FF2B5EF4-FFF2-40B4-BE49-F238E27FC236}">
                <a16:creationId xmlns:a16="http://schemas.microsoft.com/office/drawing/2014/main" id="{6FD33231-B8E0-DAA0-0399-6ADBA1A9B342}"/>
              </a:ext>
            </a:extLst>
          </xdr:cNvPr>
          <xdr:cNvSpPr/>
        </xdr:nvSpPr>
        <xdr:spPr>
          <a:xfrm>
            <a:off x="2863215" y="9202603"/>
            <a:ext cx="114299" cy="39705"/>
          </a:xfrm>
          <a:custGeom>
            <a:avLst/>
            <a:gdLst>
              <a:gd name="connsiteX0" fmla="*/ 0 w 114299"/>
              <a:gd name="connsiteY0" fmla="*/ 0 h 38100"/>
              <a:gd name="connsiteX1" fmla="*/ 114300 w 114299"/>
              <a:gd name="connsiteY1" fmla="*/ 0 h 38100"/>
              <a:gd name="connsiteX2" fmla="*/ 114300 w 114299"/>
              <a:gd name="connsiteY2" fmla="*/ 38100 h 38100"/>
              <a:gd name="connsiteX3" fmla="*/ 0 w 114299"/>
              <a:gd name="connsiteY3" fmla="*/ 38100 h 38100"/>
            </a:gdLst>
            <a:ahLst/>
            <a:cxnLst>
              <a:cxn ang="0">
                <a:pos x="connsiteX0" y="connsiteY0"/>
              </a:cxn>
              <a:cxn ang="0">
                <a:pos x="connsiteX1" y="connsiteY1"/>
              </a:cxn>
              <a:cxn ang="0">
                <a:pos x="connsiteX2" y="connsiteY2"/>
              </a:cxn>
              <a:cxn ang="0">
                <a:pos x="connsiteX3" y="connsiteY3"/>
              </a:cxn>
            </a:cxnLst>
            <a:rect l="l" t="t" r="r" b="b"/>
            <a:pathLst>
              <a:path w="114299" h="38100">
                <a:moveTo>
                  <a:pt x="0" y="0"/>
                </a:moveTo>
                <a:lnTo>
                  <a:pt x="114300" y="0"/>
                </a:lnTo>
                <a:lnTo>
                  <a:pt x="114300" y="38100"/>
                </a:lnTo>
                <a:lnTo>
                  <a:pt x="0" y="38100"/>
                </a:lnTo>
                <a:close/>
              </a:path>
            </a:pathLst>
          </a:custGeom>
          <a:solidFill>
            <a:srgbClr val="E993EB"/>
          </a:solidFill>
          <a:ln w="9525" cap="flat">
            <a:noFill/>
            <a:prstDash val="solid"/>
            <a:miter/>
          </a:ln>
        </xdr:spPr>
        <xdr:txBody>
          <a:bodyPr rtlCol="0" anchor="ctr"/>
          <a:lstStyle/>
          <a:p>
            <a:endParaRPr lang="ru-RU"/>
          </a:p>
        </xdr:txBody>
      </xdr:sp>
      <xdr:sp macro="" textlink="">
        <xdr:nvSpPr>
          <xdr:cNvPr id="57" name="Freeform: Shape 56">
            <a:extLst>
              <a:ext uri="{FF2B5EF4-FFF2-40B4-BE49-F238E27FC236}">
                <a16:creationId xmlns:a16="http://schemas.microsoft.com/office/drawing/2014/main" id="{63EFEBAE-00B5-1A69-F97C-D209A0C335D1}"/>
              </a:ext>
            </a:extLst>
          </xdr:cNvPr>
          <xdr:cNvSpPr/>
        </xdr:nvSpPr>
        <xdr:spPr>
          <a:xfrm rot="8100000">
            <a:off x="2971204" y="8994981"/>
            <a:ext cx="38099" cy="115902"/>
          </a:xfrm>
          <a:custGeom>
            <a:avLst/>
            <a:gdLst>
              <a:gd name="connsiteX0" fmla="*/ 0 w 38099"/>
              <a:gd name="connsiteY0" fmla="*/ 0 h 114298"/>
              <a:gd name="connsiteX1" fmla="*/ 38100 w 38099"/>
              <a:gd name="connsiteY1" fmla="*/ 0 h 114298"/>
              <a:gd name="connsiteX2" fmla="*/ 38100 w 38099"/>
              <a:gd name="connsiteY2" fmla="*/ 114299 h 114298"/>
              <a:gd name="connsiteX3" fmla="*/ 0 w 38099"/>
              <a:gd name="connsiteY3" fmla="*/ 114299 h 114298"/>
            </a:gdLst>
            <a:ahLst/>
            <a:cxnLst>
              <a:cxn ang="0">
                <a:pos x="connsiteX0" y="connsiteY0"/>
              </a:cxn>
              <a:cxn ang="0">
                <a:pos x="connsiteX1" y="connsiteY1"/>
              </a:cxn>
              <a:cxn ang="0">
                <a:pos x="connsiteX2" y="connsiteY2"/>
              </a:cxn>
              <a:cxn ang="0">
                <a:pos x="connsiteX3" y="connsiteY3"/>
              </a:cxn>
            </a:cxnLst>
            <a:rect l="l" t="t" r="r" b="b"/>
            <a:pathLst>
              <a:path w="38099" h="114298">
                <a:moveTo>
                  <a:pt x="0" y="0"/>
                </a:moveTo>
                <a:lnTo>
                  <a:pt x="38100" y="0"/>
                </a:lnTo>
                <a:lnTo>
                  <a:pt x="38100" y="114299"/>
                </a:lnTo>
                <a:lnTo>
                  <a:pt x="0" y="114299"/>
                </a:lnTo>
                <a:close/>
              </a:path>
            </a:pathLst>
          </a:custGeom>
          <a:solidFill>
            <a:srgbClr val="E993EB"/>
          </a:solidFill>
          <a:ln w="9525" cap="flat">
            <a:noFill/>
            <a:prstDash val="solid"/>
            <a:miter/>
          </a:ln>
        </xdr:spPr>
        <xdr:txBody>
          <a:bodyPr rtlCol="0" anchor="ctr"/>
          <a:lstStyle/>
          <a:p>
            <a:endParaRPr lang="ru-RU"/>
          </a:p>
        </xdr:txBody>
      </xdr:sp>
      <xdr:sp macro="" textlink="">
        <xdr:nvSpPr>
          <xdr:cNvPr id="58" name="Freeform: Shape 57">
            <a:extLst>
              <a:ext uri="{FF2B5EF4-FFF2-40B4-BE49-F238E27FC236}">
                <a16:creationId xmlns:a16="http://schemas.microsoft.com/office/drawing/2014/main" id="{1AAD82C7-E505-0B33-1BDC-97F6DE69C96A}"/>
              </a:ext>
            </a:extLst>
          </xdr:cNvPr>
          <xdr:cNvSpPr/>
        </xdr:nvSpPr>
        <xdr:spPr>
          <a:xfrm>
            <a:off x="2657199" y="9280147"/>
            <a:ext cx="651850" cy="365418"/>
          </a:xfrm>
          <a:custGeom>
            <a:avLst/>
            <a:gdLst>
              <a:gd name="connsiteX0" fmla="*/ 558440 w 651850"/>
              <a:gd name="connsiteY0" fmla="*/ 181236 h 362210"/>
              <a:gd name="connsiteX1" fmla="*/ 544153 w 651850"/>
              <a:gd name="connsiteY1" fmla="*/ 182188 h 362210"/>
              <a:gd name="connsiteX2" fmla="*/ 544153 w 651850"/>
              <a:gd name="connsiteY2" fmla="*/ 181236 h 362210"/>
              <a:gd name="connsiteX3" fmla="*/ 496528 w 651850"/>
              <a:gd name="connsiteY3" fmla="*/ 88843 h 362210"/>
              <a:gd name="connsiteX4" fmla="*/ 393658 w 651850"/>
              <a:gd name="connsiteY4" fmla="*/ 72651 h 362210"/>
              <a:gd name="connsiteX5" fmla="*/ 239353 w 651850"/>
              <a:gd name="connsiteY5" fmla="*/ 4071 h 362210"/>
              <a:gd name="connsiteX6" fmla="*/ 133625 w 651850"/>
              <a:gd name="connsiteY6" fmla="*/ 135516 h 362210"/>
              <a:gd name="connsiteX7" fmla="*/ 24088 w 651850"/>
              <a:gd name="connsiteY7" fmla="*/ 176473 h 362210"/>
              <a:gd name="connsiteX8" fmla="*/ 9800 w 651850"/>
              <a:gd name="connsiteY8" fmla="*/ 293631 h 362210"/>
              <a:gd name="connsiteX9" fmla="*/ 106955 w 651850"/>
              <a:gd name="connsiteY9" fmla="*/ 361258 h 362210"/>
              <a:gd name="connsiteX10" fmla="*/ 564155 w 651850"/>
              <a:gd name="connsiteY10" fmla="*/ 362211 h 362210"/>
              <a:gd name="connsiteX11" fmla="*/ 651785 w 651850"/>
              <a:gd name="connsiteY11" fmla="*/ 268866 h 362210"/>
              <a:gd name="connsiteX12" fmla="*/ 558440 w 651850"/>
              <a:gd name="connsiteY12" fmla="*/ 181236 h 3622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51850" h="362210">
                <a:moveTo>
                  <a:pt x="558440" y="181236"/>
                </a:moveTo>
                <a:cubicBezTo>
                  <a:pt x="553678" y="181236"/>
                  <a:pt x="548915" y="181236"/>
                  <a:pt x="544153" y="182188"/>
                </a:cubicBezTo>
                <a:cubicBezTo>
                  <a:pt x="544153" y="182188"/>
                  <a:pt x="544153" y="181236"/>
                  <a:pt x="544153" y="181236"/>
                </a:cubicBezTo>
                <a:cubicBezTo>
                  <a:pt x="544153" y="145041"/>
                  <a:pt x="527008" y="109798"/>
                  <a:pt x="496528" y="88843"/>
                </a:cubicBezTo>
                <a:cubicBezTo>
                  <a:pt x="467000" y="66936"/>
                  <a:pt x="428900" y="61221"/>
                  <a:pt x="393658" y="72651"/>
                </a:cubicBezTo>
                <a:cubicBezTo>
                  <a:pt x="364130" y="17406"/>
                  <a:pt x="300313" y="-11169"/>
                  <a:pt x="239353" y="4071"/>
                </a:cubicBezTo>
                <a:cubicBezTo>
                  <a:pt x="178393" y="18358"/>
                  <a:pt x="135530" y="72651"/>
                  <a:pt x="133625" y="135516"/>
                </a:cubicBezTo>
                <a:cubicBezTo>
                  <a:pt x="93620" y="127896"/>
                  <a:pt x="50758" y="143136"/>
                  <a:pt x="24088" y="176473"/>
                </a:cubicBezTo>
                <a:cubicBezTo>
                  <a:pt x="-1630" y="209811"/>
                  <a:pt x="-7345" y="255531"/>
                  <a:pt x="9800" y="293631"/>
                </a:cubicBezTo>
                <a:cubicBezTo>
                  <a:pt x="26945" y="332683"/>
                  <a:pt x="64093" y="358401"/>
                  <a:pt x="106955" y="361258"/>
                </a:cubicBezTo>
                <a:lnTo>
                  <a:pt x="564155" y="362211"/>
                </a:lnTo>
                <a:cubicBezTo>
                  <a:pt x="613685" y="361258"/>
                  <a:pt x="653690" y="319348"/>
                  <a:pt x="651785" y="268866"/>
                </a:cubicBezTo>
                <a:cubicBezTo>
                  <a:pt x="650833" y="219336"/>
                  <a:pt x="608923" y="180283"/>
                  <a:pt x="558440" y="181236"/>
                </a:cubicBezTo>
                <a:close/>
              </a:path>
            </a:pathLst>
          </a:custGeom>
          <a:solidFill>
            <a:schemeClr val="bg1">
              <a:lumMod val="95000"/>
            </a:schemeClr>
          </a:solidFill>
          <a:ln w="9525" cap="flat">
            <a:noFill/>
            <a:prstDash val="solid"/>
            <a:miter/>
          </a:ln>
        </xdr:spPr>
        <xdr:txBody>
          <a:bodyPr rtlCol="0" anchor="ctr"/>
          <a:lstStyle/>
          <a:p>
            <a:endParaRPr lang="ru-RU"/>
          </a:p>
        </xdr:txBody>
      </xdr:sp>
      <xdr:sp macro="" textlink="">
        <xdr:nvSpPr>
          <xdr:cNvPr id="59" name="Freeform: Shape 58">
            <a:extLst>
              <a:ext uri="{FF2B5EF4-FFF2-40B4-BE49-F238E27FC236}">
                <a16:creationId xmlns:a16="http://schemas.microsoft.com/office/drawing/2014/main" id="{1458271D-B67F-C777-E43C-173E493B0E66}"/>
              </a:ext>
            </a:extLst>
          </xdr:cNvPr>
          <xdr:cNvSpPr/>
        </xdr:nvSpPr>
        <xdr:spPr>
          <a:xfrm>
            <a:off x="3015943" y="9078229"/>
            <a:ext cx="284955" cy="281236"/>
          </a:xfrm>
          <a:custGeom>
            <a:avLst/>
            <a:gdLst>
              <a:gd name="connsiteX0" fmla="*/ 7291 w 284955"/>
              <a:gd name="connsiteY0" fmla="*/ 189144 h 279631"/>
              <a:gd name="connsiteX1" fmla="*/ 53011 w 284955"/>
              <a:gd name="connsiteY1" fmla="*/ 230102 h 279631"/>
              <a:gd name="connsiteX2" fmla="*/ 184456 w 284955"/>
              <a:gd name="connsiteY2" fmla="*/ 279632 h 279631"/>
              <a:gd name="connsiteX3" fmla="*/ 284469 w 284955"/>
              <a:gd name="connsiteY3" fmla="*/ 155807 h 279631"/>
              <a:gd name="connsiteX4" fmla="*/ 207316 w 284955"/>
              <a:gd name="connsiteY4" fmla="*/ 15789 h 279631"/>
              <a:gd name="connsiteX5" fmla="*/ 49201 w 284955"/>
              <a:gd name="connsiteY5" fmla="*/ 34839 h 279631"/>
              <a:gd name="connsiteX6" fmla="*/ 7291 w 284955"/>
              <a:gd name="connsiteY6" fmla="*/ 189144 h 279631"/>
              <a:gd name="connsiteX7" fmla="*/ 7291 w 284955"/>
              <a:gd name="connsiteY7" fmla="*/ 189144 h 2796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284955" h="279631">
                <a:moveTo>
                  <a:pt x="7291" y="189144"/>
                </a:moveTo>
                <a:cubicBezTo>
                  <a:pt x="24436" y="199622"/>
                  <a:pt x="40629" y="213909"/>
                  <a:pt x="53011" y="230102"/>
                </a:cubicBezTo>
                <a:cubicBezTo>
                  <a:pt x="102541" y="224387"/>
                  <a:pt x="151119" y="242484"/>
                  <a:pt x="184456" y="279632"/>
                </a:cubicBezTo>
                <a:cubicBezTo>
                  <a:pt x="239701" y="262487"/>
                  <a:pt x="279706" y="213909"/>
                  <a:pt x="284469" y="155807"/>
                </a:cubicBezTo>
                <a:cubicBezTo>
                  <a:pt x="289231" y="97704"/>
                  <a:pt x="258751" y="42459"/>
                  <a:pt x="207316" y="15789"/>
                </a:cubicBezTo>
                <a:cubicBezTo>
                  <a:pt x="155881" y="-10881"/>
                  <a:pt x="93016" y="-3261"/>
                  <a:pt x="49201" y="34839"/>
                </a:cubicBezTo>
                <a:cubicBezTo>
                  <a:pt x="5386" y="72939"/>
                  <a:pt x="-10806" y="133899"/>
                  <a:pt x="7291" y="189144"/>
                </a:cubicBezTo>
                <a:lnTo>
                  <a:pt x="7291" y="189144"/>
                </a:lnTo>
                <a:close/>
              </a:path>
            </a:pathLst>
          </a:custGeom>
          <a:solidFill>
            <a:srgbClr val="E993EB"/>
          </a:solidFill>
          <a:ln w="9525" cap="flat">
            <a:noFill/>
            <a:prstDash val="solid"/>
            <a:miter/>
          </a:ln>
        </xdr:spPr>
        <xdr:txBody>
          <a:bodyPr rtlCol="0" anchor="ctr"/>
          <a:lstStyle/>
          <a:p>
            <a:endParaRPr lang="ru-RU"/>
          </a:p>
        </xdr:txBody>
      </xdr:sp>
    </xdr:grpSp>
    <xdr:clientData/>
  </xdr:twoCellAnchor>
  <xdr:twoCellAnchor>
    <xdr:from>
      <xdr:col>0</xdr:col>
      <xdr:colOff>152400</xdr:colOff>
      <xdr:row>6</xdr:row>
      <xdr:rowOff>123118</xdr:rowOff>
    </xdr:from>
    <xdr:to>
      <xdr:col>0</xdr:col>
      <xdr:colOff>426720</xdr:colOff>
      <xdr:row>8</xdr:row>
      <xdr:rowOff>30876</xdr:rowOff>
    </xdr:to>
    <xdr:pic>
      <xdr:nvPicPr>
        <xdr:cNvPr id="49" name="Graphic 48" descr="Moon and stars with solid fill">
          <a:hlinkClick xmlns:r="http://schemas.openxmlformats.org/officeDocument/2006/relationships" r:id="rId11"/>
          <a:extLst>
            <a:ext uri="{FF2B5EF4-FFF2-40B4-BE49-F238E27FC236}">
              <a16:creationId xmlns:a16="http://schemas.microsoft.com/office/drawing/2014/main" id="{939BE974-BAB4-7BD4-3578-8BEECEC50D0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400" y="1220398"/>
          <a:ext cx="274320" cy="273518"/>
        </a:xfrm>
        <a:prstGeom prst="rect">
          <a:avLst/>
        </a:prstGeom>
      </xdr:spPr>
    </xdr:pic>
    <xdr:clientData/>
  </xdr:twoCellAnchor>
  <xdr:twoCellAnchor>
    <xdr:from>
      <xdr:col>0</xdr:col>
      <xdr:colOff>183687</xdr:colOff>
      <xdr:row>2</xdr:row>
      <xdr:rowOff>0</xdr:rowOff>
    </xdr:from>
    <xdr:to>
      <xdr:col>0</xdr:col>
      <xdr:colOff>458007</xdr:colOff>
      <xdr:row>3</xdr:row>
      <xdr:rowOff>91440</xdr:rowOff>
    </xdr:to>
    <xdr:pic>
      <xdr:nvPicPr>
        <xdr:cNvPr id="50" name="Graphic 49" descr="Sun with solid fill">
          <a:extLst>
            <a:ext uri="{FF2B5EF4-FFF2-40B4-BE49-F238E27FC236}">
              <a16:creationId xmlns:a16="http://schemas.microsoft.com/office/drawing/2014/main" id="{83EA69C5-8654-5709-A346-638DCF3DC8C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83687" y="365760"/>
          <a:ext cx="274320" cy="274320"/>
        </a:xfrm>
        <a:prstGeom prst="rect">
          <a:avLst/>
        </a:prstGeom>
      </xdr:spPr>
    </xdr:pic>
    <xdr:clientData/>
  </xdr:twoCellAnchor>
  <xdr:twoCellAnchor>
    <xdr:from>
      <xdr:col>8</xdr:col>
      <xdr:colOff>304957</xdr:colOff>
      <xdr:row>5</xdr:row>
      <xdr:rowOff>93189</xdr:rowOff>
    </xdr:from>
    <xdr:to>
      <xdr:col>12</xdr:col>
      <xdr:colOff>338668</xdr:colOff>
      <xdr:row>8</xdr:row>
      <xdr:rowOff>148167</xdr:rowOff>
    </xdr:to>
    <xdr:sp macro="" textlink="Processing!E15">
      <xdr:nvSpPr>
        <xdr:cNvPr id="33" name="Rectangle: Rounded Corners 32">
          <a:hlinkClick xmlns:r="http://schemas.openxmlformats.org/officeDocument/2006/relationships" r:id="rId16"/>
          <a:extLst>
            <a:ext uri="{FF2B5EF4-FFF2-40B4-BE49-F238E27FC236}">
              <a16:creationId xmlns:a16="http://schemas.microsoft.com/office/drawing/2014/main" id="{538C9EBB-BA65-4235-9280-1FAF6A50170B}"/>
            </a:ext>
          </a:extLst>
        </xdr:cNvPr>
        <xdr:cNvSpPr/>
      </xdr:nvSpPr>
      <xdr:spPr>
        <a:xfrm>
          <a:off x="5215624" y="1045689"/>
          <a:ext cx="2489044" cy="626478"/>
        </a:xfrm>
        <a:prstGeom prst="roundRect">
          <a:avLst>
            <a:gd name="adj" fmla="val 1109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976BB91-A231-413D-9A47-94EC8253C654}" type="TxLink">
            <a:rPr lang="en-US" sz="3600" b="0" i="0" u="none" strike="noStrike">
              <a:solidFill>
                <a:srgbClr val="000000"/>
              </a:solidFill>
              <a:latin typeface="Aptos Narrow"/>
            </a:rPr>
            <a:t> $13,44,765 </a:t>
          </a:fld>
          <a:endParaRPr lang="ru-RU" sz="36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0</xdr:colOff>
      <xdr:row>11</xdr:row>
      <xdr:rowOff>0</xdr:rowOff>
    </xdr:from>
    <xdr:to>
      <xdr:col>6</xdr:col>
      <xdr:colOff>304800</xdr:colOff>
      <xdr:row>13</xdr:row>
      <xdr:rowOff>91440</xdr:rowOff>
    </xdr:to>
    <xdr:grpSp>
      <xdr:nvGrpSpPr>
        <xdr:cNvPr id="2" name="Group 1">
          <a:extLst>
            <a:ext uri="{FF2B5EF4-FFF2-40B4-BE49-F238E27FC236}">
              <a16:creationId xmlns:a16="http://schemas.microsoft.com/office/drawing/2014/main" id="{79D7B400-1B59-4224-806C-EB5D7231A850}"/>
            </a:ext>
          </a:extLst>
        </xdr:cNvPr>
        <xdr:cNvGrpSpPr/>
      </xdr:nvGrpSpPr>
      <xdr:grpSpPr>
        <a:xfrm>
          <a:off x="3048000" y="2095500"/>
          <a:ext cx="914400" cy="472440"/>
          <a:chOff x="6195060" y="3608070"/>
          <a:chExt cx="914400" cy="457200"/>
        </a:xfrm>
      </xdr:grpSpPr>
      <xdr:sp macro="" textlink="">
        <xdr:nvSpPr>
          <xdr:cNvPr id="3" name="Rectangle: Rounded Corners 2">
            <a:extLst>
              <a:ext uri="{FF2B5EF4-FFF2-40B4-BE49-F238E27FC236}">
                <a16:creationId xmlns:a16="http://schemas.microsoft.com/office/drawing/2014/main" id="{CE21500E-FE4E-4E2F-0C75-A7FBB72284E0}"/>
              </a:ext>
            </a:extLst>
          </xdr:cNvPr>
          <xdr:cNvSpPr/>
        </xdr:nvSpPr>
        <xdr:spPr>
          <a:xfrm>
            <a:off x="6195060" y="3653790"/>
            <a:ext cx="914400" cy="365760"/>
          </a:xfrm>
          <a:prstGeom prst="roundRect">
            <a:avLst>
              <a:gd name="adj" fmla="val 50000"/>
            </a:avLst>
          </a:prstGeom>
          <a:solidFill>
            <a:srgbClr val="61A7F5"/>
          </a:solidFill>
          <a:ln>
            <a:noFill/>
          </a:ln>
          <a:effectLst>
            <a:innerShdw blurRad="381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Oval 3">
            <a:extLst>
              <a:ext uri="{FF2B5EF4-FFF2-40B4-BE49-F238E27FC236}">
                <a16:creationId xmlns:a16="http://schemas.microsoft.com/office/drawing/2014/main" id="{C3AB5BF4-64F1-1B47-3725-B23CA9FDF186}"/>
              </a:ext>
            </a:extLst>
          </xdr:cNvPr>
          <xdr:cNvSpPr/>
        </xdr:nvSpPr>
        <xdr:spPr>
          <a:xfrm>
            <a:off x="6652260" y="3608070"/>
            <a:ext cx="457200" cy="457200"/>
          </a:xfrm>
          <a:prstGeom prst="ellipse">
            <a:avLst/>
          </a:prstGeom>
          <a:solidFill>
            <a:srgbClr val="61A7F5"/>
          </a:solidFill>
          <a:ln>
            <a:noFill/>
          </a:ln>
          <a:effectLst>
            <a:outerShdw blurRad="50800" dist="38100" dir="8100000" algn="tr"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0</xdr:colOff>
      <xdr:row>14</xdr:row>
      <xdr:rowOff>76200</xdr:rowOff>
    </xdr:from>
    <xdr:to>
      <xdr:col>6</xdr:col>
      <xdr:colOff>304800</xdr:colOff>
      <xdr:row>16</xdr:row>
      <xdr:rowOff>167640</xdr:rowOff>
    </xdr:to>
    <xdr:grpSp>
      <xdr:nvGrpSpPr>
        <xdr:cNvPr id="5" name="Group 4">
          <a:extLst>
            <a:ext uri="{FF2B5EF4-FFF2-40B4-BE49-F238E27FC236}">
              <a16:creationId xmlns:a16="http://schemas.microsoft.com/office/drawing/2014/main" id="{CADC0145-6657-4C5C-ABB1-C2B2C77726E5}"/>
            </a:ext>
          </a:extLst>
        </xdr:cNvPr>
        <xdr:cNvGrpSpPr/>
      </xdr:nvGrpSpPr>
      <xdr:grpSpPr>
        <a:xfrm>
          <a:off x="3048000" y="2743200"/>
          <a:ext cx="914400" cy="472440"/>
          <a:chOff x="6195060" y="4232910"/>
          <a:chExt cx="914400" cy="457200"/>
        </a:xfrm>
      </xdr:grpSpPr>
      <xdr:sp macro="" textlink="">
        <xdr:nvSpPr>
          <xdr:cNvPr id="6" name="Rectangle: Rounded Corners 5">
            <a:extLst>
              <a:ext uri="{FF2B5EF4-FFF2-40B4-BE49-F238E27FC236}">
                <a16:creationId xmlns:a16="http://schemas.microsoft.com/office/drawing/2014/main" id="{0AC8045B-277F-B04F-C5E5-A7D43C01A514}"/>
              </a:ext>
            </a:extLst>
          </xdr:cNvPr>
          <xdr:cNvSpPr/>
        </xdr:nvSpPr>
        <xdr:spPr>
          <a:xfrm>
            <a:off x="6195060" y="4278630"/>
            <a:ext cx="914400" cy="365760"/>
          </a:xfrm>
          <a:prstGeom prst="roundRect">
            <a:avLst>
              <a:gd name="adj" fmla="val 50000"/>
            </a:avLst>
          </a:prstGeom>
          <a:solidFill>
            <a:schemeClr val="tx1">
              <a:lumMod val="75000"/>
              <a:lumOff val="25000"/>
            </a:schemeClr>
          </a:solidFill>
          <a:ln>
            <a:noFill/>
          </a:ln>
          <a:effectLst>
            <a:innerShdw blurRad="2286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 name="Oval 6">
            <a:extLst>
              <a:ext uri="{FF2B5EF4-FFF2-40B4-BE49-F238E27FC236}">
                <a16:creationId xmlns:a16="http://schemas.microsoft.com/office/drawing/2014/main" id="{A1FFCC0C-2B0D-08BF-573E-451ABBA38E19}"/>
              </a:ext>
            </a:extLst>
          </xdr:cNvPr>
          <xdr:cNvSpPr/>
        </xdr:nvSpPr>
        <xdr:spPr>
          <a:xfrm>
            <a:off x="6195060" y="4232910"/>
            <a:ext cx="457200" cy="457200"/>
          </a:xfrm>
          <a:prstGeom prst="ellipse">
            <a:avLst/>
          </a:prstGeom>
          <a:solidFill>
            <a:schemeClr val="tx1">
              <a:lumMod val="75000"/>
              <a:lumOff val="25000"/>
            </a:schemeClr>
          </a:solidFill>
          <a:ln>
            <a:noFill/>
          </a:ln>
          <a:effectLst>
            <a:outerShdw blurRad="50800" dist="38100" dir="8100000" algn="tr"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0</xdr:colOff>
      <xdr:row>9</xdr:row>
      <xdr:rowOff>0</xdr:rowOff>
    </xdr:from>
    <xdr:to>
      <xdr:col>11</xdr:col>
      <xdr:colOff>551778</xdr:colOff>
      <xdr:row>18</xdr:row>
      <xdr:rowOff>150607</xdr:rowOff>
    </xdr:to>
    <xdr:sp macro="" textlink="">
      <xdr:nvSpPr>
        <xdr:cNvPr id="8" name="Rectangle: Rounded Corners 7">
          <a:extLst>
            <a:ext uri="{FF2B5EF4-FFF2-40B4-BE49-F238E27FC236}">
              <a16:creationId xmlns:a16="http://schemas.microsoft.com/office/drawing/2014/main" id="{F08AE721-32F0-4144-8646-B2D264F4CBF4}"/>
            </a:ext>
          </a:extLst>
        </xdr:cNvPr>
        <xdr:cNvSpPr/>
      </xdr:nvSpPr>
      <xdr:spPr>
        <a:xfrm>
          <a:off x="5486400" y="1645920"/>
          <a:ext cx="1770978" cy="1796527"/>
        </a:xfrm>
        <a:prstGeom prst="roundRect">
          <a:avLst>
            <a:gd name="adj" fmla="val 8763"/>
          </a:avLst>
        </a:prstGeom>
        <a:gradFill>
          <a:gsLst>
            <a:gs pos="28000">
              <a:srgbClr val="00B0F0"/>
            </a:gs>
            <a:gs pos="0">
              <a:srgbClr val="5DCBF4"/>
            </a:gs>
            <a:gs pos="89000">
              <a:srgbClr val="CC72EA"/>
            </a:gs>
          </a:gsLst>
          <a:lin ang="8100000" scaled="1"/>
        </a:gradFill>
        <a:ln>
          <a:noFill/>
        </a:ln>
        <a:effectLst>
          <a:outerShdw blurRad="254000" dist="1270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6.477266319445" createdVersion="8" refreshedVersion="8" minRefreshableVersion="3" recordCount="2" xr:uid="{96F32BAD-B1A3-4E9F-89F3-974BEB07E652}">
  <cacheSource type="worksheet">
    <worksheetSource ref="I17:I19" sheet="Processing"/>
  </cacheSource>
  <cacheFields count="1">
    <cacheField name="Tariffs" numFmtId="0">
      <sharedItems count="3">
        <s v="Standart"/>
        <s v="Premium"/>
        <s v="Pro" u="1"/>
      </sharedItems>
    </cacheField>
  </cacheFields>
  <extLst>
    <ext xmlns:x14="http://schemas.microsoft.com/office/spreadsheetml/2009/9/main" uri="{725AE2AE-9491-48be-B2B4-4EB974FC3084}">
      <x14:pivotCacheDefinition pivotCacheId="2402539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6.47726712963" createdVersion="8" refreshedVersion="8" minRefreshableVersion="3" recordCount="48" xr:uid="{7C53E09C-AA06-4319-977C-768424C90D3D}">
  <cacheSource type="worksheet">
    <worksheetSource name="mydata"/>
  </cacheSource>
  <cacheFields count="25">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Revenue" numFmtId="0">
      <sharedItems containsSemiMixedTypes="0" containsString="0" containsNumber="1" containsInteger="1" minValue="31175" maxValue="153629"/>
    </cacheField>
    <cacheField name="Expenses" numFmtId="0">
      <sharedItems containsSemiMixedTypes="0" containsString="0" containsNumber="1" containsInteger="1" minValue="16760" maxValue="128340"/>
    </cacheField>
    <cacheField name="Sales Target" numFmtId="0">
      <sharedItems containsSemiMixedTypes="0" containsString="0" containsNumber="1" containsInteger="1" minValue="45000" maxValue="100000"/>
    </cacheField>
    <cacheField name="Standart" numFmtId="0">
      <sharedItems containsSemiMixedTypes="0" containsString="0" containsNumber="1" containsInteger="1" minValue="59" maxValue="1798"/>
    </cacheField>
    <cacheField name="Premium" numFmtId="0">
      <sharedItems containsSemiMixedTypes="0" containsString="0" containsNumber="1" containsInteger="1" minValue="41" maxValue="913"/>
    </cacheField>
    <cacheField name="Subscribers" numFmtId="0">
      <sharedItems containsSemiMixedTypes="0" containsString="0" containsNumber="1" containsInteger="1" minValue="100" maxValue="2000"/>
    </cacheField>
    <cacheField name="Subscribers Target" numFmtId="0">
      <sharedItems containsSemiMixedTypes="0" containsString="0" containsNumber="1" containsInteger="1" minValue="300" maxValue="1800"/>
    </cacheField>
    <cacheField name="Leads" numFmtId="0">
      <sharedItems containsSemiMixedTypes="0" containsString="0" containsNumber="1" containsInteger="1" minValue="158" maxValue="5415"/>
    </cacheField>
    <cacheField name="Deals" numFmtId="0">
      <sharedItems containsSemiMixedTypes="0" containsString="0" containsNumber="1" containsInteger="1" minValue="138" maxValue="2882"/>
    </cacheField>
    <cacheField name="Referral" numFmtId="9">
      <sharedItems containsSemiMixedTypes="0" containsString="0" containsNumber="1" minValue="0.06" maxValue="0.25"/>
    </cacheField>
    <cacheField name="Social" numFmtId="9">
      <sharedItems containsSemiMixedTypes="0" containsString="0" containsNumber="1" minValue="0.2" maxValue="0.5"/>
    </cacheField>
    <cacheField name="Organic" numFmtId="9">
      <sharedItems containsSemiMixedTypes="0" containsString="0" containsNumber="1" minValue="9.6666666666666679E-2" maxValue="0.22333333333333336"/>
    </cacheField>
    <cacheField name="Other" numFmtId="9">
      <sharedItems containsSemiMixedTypes="0" containsString="0" containsNumber="1" minValue="0.10666666666666658" maxValue="0.61333333333333329"/>
    </cacheField>
    <cacheField name="N" numFmtId="9">
      <sharedItems containsSemiMixedTypes="0" containsString="0" containsNumber="1" minValue="0.2" maxValue="1"/>
    </cacheField>
    <cacheField name="NE" numFmtId="9">
      <sharedItems containsSemiMixedTypes="0" containsString="0" containsNumber="1" minValue="0.2" maxValue="1"/>
    </cacheField>
    <cacheField name="E" numFmtId="9">
      <sharedItems containsSemiMixedTypes="0" containsString="0" containsNumber="1" minValue="0.2" maxValue="1"/>
    </cacheField>
    <cacheField name="SE" numFmtId="9">
      <sharedItems containsSemiMixedTypes="0" containsString="0" containsNumber="1" minValue="0.2" maxValue="1"/>
    </cacheField>
    <cacheField name="S" numFmtId="9">
      <sharedItems containsSemiMixedTypes="0" containsString="0" containsNumber="1" minValue="0.2" maxValue="1"/>
    </cacheField>
    <cacheField name="SW" numFmtId="9">
      <sharedItems containsSemiMixedTypes="0" containsString="0" containsNumber="1" minValue="0.2" maxValue="1"/>
    </cacheField>
    <cacheField name="W" numFmtId="9">
      <sharedItems containsSemiMixedTypes="0" containsString="0" containsNumber="1" minValue="0.2" maxValue="1"/>
    </cacheField>
    <cacheField name="NW" numFmtId="9">
      <sharedItems containsSemiMixedTypes="0" containsString="0" containsNumber="1" minValue="0.1" maxValue="1"/>
    </cacheField>
    <cacheField name="Coverage Target" numFmtId="9">
      <sharedItems containsSemiMixedTypes="0" containsString="0" containsNumber="1" minValue="0.5" maxValue="1"/>
    </cacheField>
    <cacheField name="Profit" numFmtId="0" formula="Revenue-Expenses" databaseField="0"/>
  </cacheFields>
  <extLst>
    <ext xmlns:x14="http://schemas.microsoft.com/office/spreadsheetml/2009/9/main" uri="{725AE2AE-9491-48be-B2B4-4EB974FC3084}">
      <x14:pivotCacheDefinition pivotCacheId="174017478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6.477269675925" createdVersion="8" refreshedVersion="8" minRefreshableVersion="3" recordCount="3" xr:uid="{F9FFE8F3-B365-4BD1-9FC6-D89B69C541B8}">
  <cacheSource type="worksheet">
    <worksheetSource ref="I5:I8" sheet="Processing"/>
  </cacheSource>
  <cacheFields count="1">
    <cacheField name="Indicators" numFmtId="0">
      <sharedItems count="3">
        <s v="Revenue"/>
        <s v="Expenses"/>
        <s v="Profit"/>
      </sharedItems>
    </cacheField>
  </cacheFields>
  <extLst>
    <ext xmlns:x14="http://schemas.microsoft.com/office/spreadsheetml/2009/9/main" uri="{725AE2AE-9491-48be-B2B4-4EB974FC3084}">
      <x14:pivotCacheDefinition pivotCacheId="97031727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6.501441435183" createdVersion="8" refreshedVersion="8" minRefreshableVersion="3" recordCount="4" xr:uid="{49460488-3D1A-4152-977C-FD19B4D754BE}">
  <cacheSource type="worksheet">
    <worksheetSource ref="Q17:Q21" sheet="Processing"/>
  </cacheSource>
  <cacheFields count="1">
    <cacheField name="Traffic" numFmtId="0">
      <sharedItems count="4">
        <s v="Referral"/>
        <s v="Social"/>
        <s v="Organic"/>
        <s v="Other"/>
      </sharedItems>
    </cacheField>
  </cacheFields>
  <extLst>
    <ext xmlns:x14="http://schemas.microsoft.com/office/spreadsheetml/2009/9/main" uri="{725AE2AE-9491-48be-B2B4-4EB974FC3084}">
      <x14:pivotCacheDefinition pivotCacheId="622540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37835"/>
    <n v="26660"/>
    <n v="45000"/>
    <n v="59"/>
    <n v="41"/>
    <n v="100"/>
    <n v="300"/>
    <n v="158"/>
    <n v="138"/>
    <n v="0.17"/>
    <n v="0.48"/>
    <n v="0.21666666666666667"/>
    <n v="0.1333333333333333"/>
    <n v="0.2"/>
    <n v="0.2"/>
    <n v="0.2"/>
    <n v="0.2"/>
    <n v="0.2"/>
    <n v="0.2"/>
    <n v="0.2"/>
    <n v="0.1"/>
    <n v="0.5"/>
  </r>
  <r>
    <x v="0"/>
    <x v="1"/>
    <n v="48805"/>
    <n v="32060"/>
    <n v="45000"/>
    <n v="68"/>
    <n v="67"/>
    <n v="135"/>
    <n v="300"/>
    <n v="193"/>
    <n v="193"/>
    <n v="0.1"/>
    <n v="0.31"/>
    <n v="0.13666666666666669"/>
    <n v="0.45333333333333325"/>
    <n v="0.4"/>
    <n v="0.2"/>
    <n v="0.2"/>
    <n v="0.2"/>
    <n v="0.2"/>
    <n v="0.2"/>
    <n v="0.2"/>
    <n v="0.2"/>
    <n v="0.5"/>
  </r>
  <r>
    <x v="0"/>
    <x v="2"/>
    <n v="52169"/>
    <n v="35760"/>
    <n v="45000"/>
    <n v="165"/>
    <n v="42"/>
    <n v="207"/>
    <n v="300"/>
    <n v="602"/>
    <n v="335"/>
    <n v="0.08"/>
    <n v="0.37"/>
    <n v="0.15"/>
    <n v="0.4"/>
    <n v="0.4"/>
    <n v="0.4"/>
    <n v="0.2"/>
    <n v="0.2"/>
    <n v="0.2"/>
    <n v="0.2"/>
    <n v="0.2"/>
    <n v="0.2"/>
    <n v="0.5"/>
  </r>
  <r>
    <x v="0"/>
    <x v="3"/>
    <n v="47883"/>
    <n v="36560"/>
    <n v="45000"/>
    <n v="151"/>
    <n v="131"/>
    <n v="282"/>
    <n v="300"/>
    <n v="569"/>
    <n v="386"/>
    <n v="0.24"/>
    <n v="0.33"/>
    <n v="0.19000000000000003"/>
    <n v="0.23999999999999988"/>
    <n v="0.4"/>
    <n v="0.4"/>
    <n v="0.4"/>
    <n v="0.2"/>
    <n v="0.2"/>
    <n v="0.2"/>
    <n v="0.2"/>
    <n v="0.2"/>
    <n v="0.5"/>
  </r>
  <r>
    <x v="0"/>
    <x v="4"/>
    <n v="39309"/>
    <n v="34220"/>
    <n v="45000"/>
    <n v="117"/>
    <n v="53"/>
    <n v="170"/>
    <n v="300"/>
    <n v="336"/>
    <n v="210"/>
    <n v="0.08"/>
    <n v="0.4"/>
    <n v="0.16"/>
    <n v="0.36"/>
    <n v="0.4"/>
    <n v="0.4"/>
    <n v="0.4"/>
    <n v="0.4"/>
    <n v="0.2"/>
    <n v="0.2"/>
    <n v="0.2"/>
    <n v="0.2"/>
    <n v="0.5"/>
  </r>
  <r>
    <x v="0"/>
    <x v="5"/>
    <n v="31455"/>
    <n v="29500"/>
    <n v="45000"/>
    <n v="230"/>
    <n v="63"/>
    <n v="293"/>
    <n v="300"/>
    <n v="471"/>
    <n v="345"/>
    <n v="0.14000000000000001"/>
    <n v="0.39"/>
    <n v="0.17666666666666667"/>
    <n v="0.29333333333333333"/>
    <n v="0.4"/>
    <n v="0.4"/>
    <n v="0.4"/>
    <n v="0.4"/>
    <n v="0.4"/>
    <n v="0.2"/>
    <n v="0.2"/>
    <n v="0.2"/>
    <n v="0.5"/>
  </r>
  <r>
    <x v="0"/>
    <x v="6"/>
    <n v="31175"/>
    <n v="23820"/>
    <n v="45000"/>
    <n v="270"/>
    <n v="136"/>
    <n v="406"/>
    <n v="300"/>
    <n v="840"/>
    <n v="604"/>
    <n v="0.19"/>
    <n v="0.28000000000000003"/>
    <n v="0.15666666666666668"/>
    <n v="0.37333333333333329"/>
    <n v="0.4"/>
    <n v="0.4"/>
    <n v="0.4"/>
    <n v="0.4"/>
    <n v="0.4"/>
    <n v="0.4"/>
    <n v="0.2"/>
    <n v="0.2"/>
    <n v="0.5"/>
  </r>
  <r>
    <x v="0"/>
    <x v="7"/>
    <n v="43810"/>
    <n v="19100"/>
    <n v="45000"/>
    <n v="318"/>
    <n v="96"/>
    <n v="414"/>
    <n v="300"/>
    <n v="1010"/>
    <n v="554"/>
    <n v="0.14000000000000001"/>
    <n v="0.39"/>
    <n v="0.17666666666666667"/>
    <n v="0.29333333333333333"/>
    <n v="0.4"/>
    <n v="0.4"/>
    <n v="0.4"/>
    <n v="0.4"/>
    <n v="0.4"/>
    <n v="0.4"/>
    <n v="0.4"/>
    <n v="0.2"/>
    <n v="0.5"/>
  </r>
  <r>
    <x v="0"/>
    <x v="8"/>
    <n v="50097"/>
    <n v="16760"/>
    <n v="45000"/>
    <n v="352"/>
    <n v="53"/>
    <n v="405"/>
    <n v="300"/>
    <n v="599"/>
    <n v="542"/>
    <n v="0.19"/>
    <n v="0.24"/>
    <n v="0.14333333333333334"/>
    <n v="0.42666666666666664"/>
    <n v="0.4"/>
    <n v="0.4"/>
    <n v="0.4"/>
    <n v="0.4"/>
    <n v="0.4"/>
    <n v="0.4"/>
    <n v="0.4"/>
    <n v="0.4"/>
    <n v="0.5"/>
  </r>
  <r>
    <x v="0"/>
    <x v="9"/>
    <n v="50762"/>
    <n v="17560"/>
    <n v="45000"/>
    <n v="323"/>
    <n v="163"/>
    <n v="486"/>
    <n v="300"/>
    <n v="763"/>
    <n v="568"/>
    <n v="0.17"/>
    <n v="0.22"/>
    <n v="0.13"/>
    <n v="0.48"/>
    <n v="0.55000000000000004"/>
    <n v="0.4"/>
    <n v="0.4"/>
    <n v="0.4"/>
    <n v="0.4"/>
    <n v="0.4"/>
    <n v="0.4"/>
    <n v="0.4"/>
    <n v="0.5"/>
  </r>
  <r>
    <x v="0"/>
    <x v="10"/>
    <n v="45773"/>
    <n v="21260"/>
    <n v="45000"/>
    <n v="284"/>
    <n v="165"/>
    <n v="449"/>
    <n v="300"/>
    <n v="1279"/>
    <n v="682"/>
    <n v="0.17"/>
    <n v="0.26"/>
    <n v="0.14333333333333334"/>
    <n v="0.42666666666666664"/>
    <n v="0.55000000000000004"/>
    <n v="0.55000000000000004"/>
    <n v="0.4"/>
    <n v="0.4"/>
    <n v="0.4"/>
    <n v="0.4"/>
    <n v="0.4"/>
    <n v="0.4"/>
    <n v="0.5"/>
  </r>
  <r>
    <x v="0"/>
    <x v="11"/>
    <n v="46402"/>
    <n v="26660"/>
    <n v="45000"/>
    <n v="235"/>
    <n v="291"/>
    <n v="526"/>
    <n v="300"/>
    <n v="878"/>
    <n v="552"/>
    <n v="0.21"/>
    <n v="0.45"/>
    <n v="0.22"/>
    <n v="0.12"/>
    <n v="0.55000000000000004"/>
    <n v="0.55000000000000004"/>
    <n v="0.55000000000000004"/>
    <n v="0.4"/>
    <n v="0.4"/>
    <n v="0.4"/>
    <n v="0.4"/>
    <n v="0.4"/>
    <n v="0.5"/>
  </r>
  <r>
    <x v="1"/>
    <x v="0"/>
    <n v="63206"/>
    <n v="39690"/>
    <n v="65000"/>
    <n v="367"/>
    <n v="228"/>
    <n v="595"/>
    <n v="900"/>
    <n v="1654"/>
    <n v="1029"/>
    <n v="0.24"/>
    <n v="0.31"/>
    <n v="0.18333333333333335"/>
    <n v="0.26666666666666661"/>
    <n v="0.55000000000000004"/>
    <n v="0.55000000000000004"/>
    <n v="0.55000000000000004"/>
    <n v="0.55000000000000004"/>
    <n v="0.4"/>
    <n v="0.4"/>
    <n v="0.4"/>
    <n v="0.4"/>
    <n v="0.7"/>
  </r>
  <r>
    <x v="1"/>
    <x v="1"/>
    <n v="79277"/>
    <n v="49690"/>
    <n v="65000"/>
    <n v="338"/>
    <n v="211"/>
    <n v="549"/>
    <n v="900"/>
    <n v="1603"/>
    <n v="966"/>
    <n v="0.14000000000000001"/>
    <n v="0.41"/>
    <n v="0.18333333333333335"/>
    <n v="0.26666666666666661"/>
    <n v="0.55000000000000004"/>
    <n v="0.55000000000000004"/>
    <n v="0.55000000000000004"/>
    <n v="0.55000000000000004"/>
    <n v="0.55000000000000004"/>
    <n v="0.4"/>
    <n v="0.4"/>
    <n v="0.4"/>
    <n v="0.7"/>
  </r>
  <r>
    <x v="1"/>
    <x v="2"/>
    <n v="82217"/>
    <n v="50270"/>
    <n v="65000"/>
    <n v="397"/>
    <n v="200"/>
    <n v="597"/>
    <n v="900"/>
    <n v="1259"/>
    <n v="1026"/>
    <n v="0.19"/>
    <n v="0.47"/>
    <n v="0.21999999999999997"/>
    <n v="0.12000000000000011"/>
    <n v="0.55000000000000004"/>
    <n v="0.55000000000000004"/>
    <n v="0.55000000000000004"/>
    <n v="0.55000000000000004"/>
    <n v="0.55000000000000004"/>
    <n v="0.55000000000000004"/>
    <n v="0.4"/>
    <n v="0.4"/>
    <n v="0.7"/>
  </r>
  <r>
    <x v="1"/>
    <x v="3"/>
    <n v="74656"/>
    <n v="47270"/>
    <n v="65000"/>
    <n v="582"/>
    <n v="102"/>
    <n v="684"/>
    <n v="900"/>
    <n v="1128"/>
    <n v="875"/>
    <n v="7.0000000000000007E-2"/>
    <n v="0.46"/>
    <n v="0.17666666666666667"/>
    <n v="0.29333333333333333"/>
    <n v="0.55000000000000004"/>
    <n v="0.55000000000000004"/>
    <n v="0.55000000000000004"/>
    <n v="0.55000000000000004"/>
    <n v="0.55000000000000004"/>
    <n v="0.55000000000000004"/>
    <n v="0.55000000000000004"/>
    <n v="0.4"/>
    <n v="0.7"/>
  </r>
  <r>
    <x v="1"/>
    <x v="4"/>
    <n v="57205"/>
    <n v="35250"/>
    <n v="65000"/>
    <n v="588"/>
    <n v="118"/>
    <n v="706"/>
    <n v="900"/>
    <n v="1397"/>
    <n v="995"/>
    <n v="0.1"/>
    <n v="0.28999999999999998"/>
    <n v="0.13"/>
    <n v="0.48"/>
    <n v="0.55000000000000004"/>
    <n v="0.55000000000000004"/>
    <n v="0.55000000000000004"/>
    <n v="0.55000000000000004"/>
    <n v="0.55000000000000004"/>
    <n v="0.55000000000000004"/>
    <n v="0.55000000000000004"/>
    <n v="0.55000000000000004"/>
    <n v="0.7"/>
  </r>
  <r>
    <x v="1"/>
    <x v="5"/>
    <n v="43908"/>
    <n v="35250"/>
    <n v="65000"/>
    <n v="406"/>
    <n v="362"/>
    <n v="768"/>
    <n v="900"/>
    <n v="906"/>
    <n v="829"/>
    <n v="0.23"/>
    <n v="0.38"/>
    <n v="0.20333333333333334"/>
    <n v="0.18666666666666665"/>
    <n v="0.7"/>
    <n v="0.55000000000000004"/>
    <n v="0.55000000000000004"/>
    <n v="0.55000000000000004"/>
    <n v="0.55000000000000004"/>
    <n v="0.55000000000000004"/>
    <n v="0.55000000000000004"/>
    <n v="0.55000000000000004"/>
    <n v="0.7"/>
  </r>
  <r>
    <x v="1"/>
    <x v="6"/>
    <n v="43905"/>
    <n v="44070"/>
    <n v="65000"/>
    <n v="332"/>
    <n v="388"/>
    <n v="720"/>
    <n v="900"/>
    <n v="1929"/>
    <n v="770"/>
    <n v="0.17"/>
    <n v="0.33"/>
    <n v="0.16666666666666666"/>
    <n v="0.33333333333333337"/>
    <n v="0.7"/>
    <n v="0.7"/>
    <n v="0.55000000000000004"/>
    <n v="0.55000000000000004"/>
    <n v="0.55000000000000004"/>
    <n v="0.55000000000000004"/>
    <n v="0.55000000000000004"/>
    <n v="0.55000000000000004"/>
    <n v="0.7"/>
  </r>
  <r>
    <x v="1"/>
    <x v="7"/>
    <n v="57209"/>
    <n v="45370"/>
    <n v="65000"/>
    <n v="719"/>
    <n v="93"/>
    <n v="812"/>
    <n v="900"/>
    <n v="2086"/>
    <n v="1039"/>
    <n v="0.12"/>
    <n v="0.37"/>
    <n v="0.16333333333333333"/>
    <n v="0.34666666666666668"/>
    <n v="0.7"/>
    <n v="0.7"/>
    <n v="0.7"/>
    <n v="0.55000000000000004"/>
    <n v="0.55000000000000004"/>
    <n v="0.55000000000000004"/>
    <n v="0.55000000000000004"/>
    <n v="0.55000000000000004"/>
    <n v="0.7"/>
  </r>
  <r>
    <x v="1"/>
    <x v="8"/>
    <n v="74658"/>
    <n v="56490"/>
    <n v="65000"/>
    <n v="476"/>
    <n v="423"/>
    <n v="899"/>
    <n v="900"/>
    <n v="2085"/>
    <n v="1303"/>
    <n v="0.16"/>
    <n v="0.37"/>
    <n v="0.17666666666666667"/>
    <n v="0.29333333333333333"/>
    <n v="0.7"/>
    <n v="0.7"/>
    <n v="0.7"/>
    <n v="0.7"/>
    <n v="0.55000000000000004"/>
    <n v="0.55000000000000004"/>
    <n v="0.55000000000000004"/>
    <n v="0.55000000000000004"/>
    <n v="0.7"/>
  </r>
  <r>
    <x v="1"/>
    <x v="9"/>
    <n v="83203"/>
    <n v="61490"/>
    <n v="65000"/>
    <n v="528"/>
    <n v="412"/>
    <n v="940"/>
    <n v="900"/>
    <n v="2086"/>
    <n v="1579"/>
    <n v="0.24"/>
    <n v="0.43"/>
    <n v="0.2233333333333333"/>
    <n v="0.1066666666666668"/>
    <n v="0.7"/>
    <n v="0.7"/>
    <n v="0.7"/>
    <n v="0.7"/>
    <n v="0.7"/>
    <n v="0.55000000000000004"/>
    <n v="0.55000000000000004"/>
    <n v="0.55000000000000004"/>
    <n v="0.7"/>
  </r>
  <r>
    <x v="1"/>
    <x v="10"/>
    <n v="79282"/>
    <n v="57770"/>
    <n v="65000"/>
    <n v="524"/>
    <n v="468"/>
    <n v="992"/>
    <n v="900"/>
    <n v="2370"/>
    <n v="1071"/>
    <n v="0.17"/>
    <n v="0.42"/>
    <n v="0.19666666666666666"/>
    <n v="0.21333333333333337"/>
    <n v="0.7"/>
    <n v="0.7"/>
    <n v="0.7"/>
    <n v="0.7"/>
    <n v="0.7"/>
    <n v="0.7"/>
    <n v="0.55000000000000004"/>
    <n v="0.55000000000000004"/>
    <n v="0.7"/>
  </r>
  <r>
    <x v="1"/>
    <x v="11"/>
    <n v="63206"/>
    <n v="47770"/>
    <n v="65000"/>
    <n v="695"/>
    <n v="278"/>
    <n v="973"/>
    <n v="900"/>
    <n v="1780"/>
    <n v="1255"/>
    <n v="0.12"/>
    <n v="0.33"/>
    <n v="0.15"/>
    <n v="0.4"/>
    <n v="0.7"/>
    <n v="0.7"/>
    <n v="0.7"/>
    <n v="0.7"/>
    <n v="0.7"/>
    <n v="0.7"/>
    <n v="0.7"/>
    <n v="0.55000000000000004"/>
    <n v="0.7"/>
  </r>
  <r>
    <x v="2"/>
    <x v="0"/>
    <n v="59019"/>
    <n v="67541"/>
    <n v="75000"/>
    <n v="538"/>
    <n v="510"/>
    <n v="1048"/>
    <n v="1400"/>
    <n v="2001"/>
    <n v="1142"/>
    <n v="0.15"/>
    <n v="0.33"/>
    <n v="0.16"/>
    <n v="0.36"/>
    <n v="0.7"/>
    <n v="0.7"/>
    <n v="0.7"/>
    <n v="0.7"/>
    <n v="0.7"/>
    <n v="0.7"/>
    <n v="0.7"/>
    <n v="0.7"/>
    <n v="0.8"/>
  </r>
  <r>
    <x v="2"/>
    <x v="1"/>
    <n v="81135"/>
    <n v="62626"/>
    <n v="75000"/>
    <n v="797"/>
    <n v="318"/>
    <n v="1115"/>
    <n v="1400"/>
    <n v="2073"/>
    <n v="1661"/>
    <n v="0.22"/>
    <n v="0.45"/>
    <n v="0.22333333333333336"/>
    <n v="0.10666666666666658"/>
    <n v="0.8"/>
    <n v="0.7"/>
    <n v="0.7"/>
    <n v="0.7"/>
    <n v="0.7"/>
    <n v="0.7"/>
    <n v="0.7"/>
    <n v="0.7"/>
    <n v="0.8"/>
  </r>
  <r>
    <x v="2"/>
    <x v="2"/>
    <n v="84342"/>
    <n v="68752"/>
    <n v="75000"/>
    <n v="565"/>
    <n v="540"/>
    <n v="1105"/>
    <n v="1400"/>
    <n v="2884"/>
    <n v="1900"/>
    <n v="0.17"/>
    <n v="0.38"/>
    <n v="0.18333333333333335"/>
    <n v="0.26666666666666661"/>
    <n v="0.8"/>
    <n v="0.8"/>
    <n v="0.7"/>
    <n v="0.7"/>
    <n v="0.7"/>
    <n v="0.7"/>
    <n v="0.7"/>
    <n v="0.7"/>
    <n v="0.8"/>
  </r>
  <r>
    <x v="2"/>
    <x v="3"/>
    <n v="73245"/>
    <n v="78653"/>
    <n v="75000"/>
    <n v="882"/>
    <n v="325"/>
    <n v="1207"/>
    <n v="1400"/>
    <n v="2908"/>
    <n v="1400"/>
    <n v="0.08"/>
    <n v="0.41"/>
    <n v="0.16333333333333333"/>
    <n v="0.34666666666666668"/>
    <n v="0.8"/>
    <n v="0.8"/>
    <n v="0.8"/>
    <n v="0.7"/>
    <n v="0.7"/>
    <n v="0.7"/>
    <n v="0.7"/>
    <n v="0.7"/>
    <n v="0.8"/>
  </r>
  <r>
    <x v="2"/>
    <x v="4"/>
    <n v="57139"/>
    <n v="73540"/>
    <n v="75000"/>
    <n v="597"/>
    <n v="611"/>
    <n v="1208"/>
    <n v="1400"/>
    <n v="3213"/>
    <n v="1618"/>
    <n v="0.06"/>
    <n v="0.23"/>
    <n v="9.6666666666666679E-2"/>
    <n v="0.61333333333333329"/>
    <n v="0.8"/>
    <n v="0.8"/>
    <n v="0.8"/>
    <n v="0.8"/>
    <n v="0.7"/>
    <n v="0.7"/>
    <n v="0.7"/>
    <n v="0.7"/>
    <n v="0.8"/>
  </r>
  <r>
    <x v="2"/>
    <x v="5"/>
    <n v="44835"/>
    <n v="61426"/>
    <n v="75000"/>
    <n v="645"/>
    <n v="616"/>
    <n v="1261"/>
    <n v="1400"/>
    <n v="2282"/>
    <n v="1941"/>
    <n v="0.09"/>
    <n v="0.23"/>
    <n v="0.10666666666666667"/>
    <n v="0.57333333333333325"/>
    <n v="0.8"/>
    <n v="0.8"/>
    <n v="0.8"/>
    <n v="0.8"/>
    <n v="0.8"/>
    <n v="0.7"/>
    <n v="0.7"/>
    <n v="0.7"/>
    <n v="0.8"/>
  </r>
  <r>
    <x v="2"/>
    <x v="6"/>
    <n v="52221"/>
    <n v="58031"/>
    <n v="75000"/>
    <n v="790"/>
    <n v="499"/>
    <n v="1289"/>
    <n v="1400"/>
    <n v="3441"/>
    <n v="1997"/>
    <n v="0.08"/>
    <n v="0.32"/>
    <n v="0.13333333333333333"/>
    <n v="0.46666666666666667"/>
    <n v="0.8"/>
    <n v="0.8"/>
    <n v="0.8"/>
    <n v="0.8"/>
    <n v="0.8"/>
    <n v="0.8"/>
    <n v="0.7"/>
    <n v="0.7"/>
    <n v="0.8"/>
  </r>
  <r>
    <x v="2"/>
    <x v="7"/>
    <n v="96718"/>
    <n v="65713"/>
    <n v="75000"/>
    <n v="996"/>
    <n v="431"/>
    <n v="1427"/>
    <n v="1400"/>
    <n v="4181"/>
    <n v="2226"/>
    <n v="0.09"/>
    <n v="0.24"/>
    <n v="0.10999999999999999"/>
    <n v="0.56000000000000005"/>
    <n v="0.8"/>
    <n v="0.8"/>
    <n v="0.8"/>
    <n v="0.8"/>
    <n v="0.8"/>
    <n v="0.8"/>
    <n v="0.8"/>
    <n v="0.7"/>
    <n v="0.8"/>
  </r>
  <r>
    <x v="2"/>
    <x v="8"/>
    <n v="111028"/>
    <n v="80943"/>
    <n v="75000"/>
    <n v="1183"/>
    <n v="210"/>
    <n v="1393"/>
    <n v="1400"/>
    <n v="1936"/>
    <n v="1532"/>
    <n v="0.19"/>
    <n v="0.4"/>
    <n v="0.19666666666666668"/>
    <n v="0.21333333333333326"/>
    <n v="0.9"/>
    <n v="0.8"/>
    <n v="0.8"/>
    <n v="0.8"/>
    <n v="0.8"/>
    <n v="0.8"/>
    <n v="0.8"/>
    <n v="0.8"/>
    <n v="0.8"/>
  </r>
  <r>
    <x v="2"/>
    <x v="9"/>
    <n v="105644"/>
    <n v="89819"/>
    <n v="75000"/>
    <n v="876"/>
    <n v="516"/>
    <n v="1392"/>
    <n v="1400"/>
    <n v="4148"/>
    <n v="2352"/>
    <n v="0.16"/>
    <n v="0.5"/>
    <n v="0.22"/>
    <n v="0.12"/>
    <n v="0.9"/>
    <n v="0.9"/>
    <n v="0.8"/>
    <n v="0.8"/>
    <n v="0.8"/>
    <n v="0.8"/>
    <n v="0.8"/>
    <n v="0.8"/>
    <n v="0.8"/>
  </r>
  <r>
    <x v="2"/>
    <x v="10"/>
    <n v="77026"/>
    <n v="85029"/>
    <n v="75000"/>
    <n v="1101"/>
    <n v="406"/>
    <n v="1507"/>
    <n v="1400"/>
    <n v="2848"/>
    <n v="2049"/>
    <n v="0.24"/>
    <n v="0.33"/>
    <n v="0.19000000000000003"/>
    <n v="0.23999999999999988"/>
    <n v="0.9"/>
    <n v="0.9"/>
    <n v="0.9"/>
    <n v="0.8"/>
    <n v="0.8"/>
    <n v="0.8"/>
    <n v="0.8"/>
    <n v="0.8"/>
    <n v="0.8"/>
  </r>
  <r>
    <x v="2"/>
    <x v="11"/>
    <n v="90717"/>
    <n v="74016"/>
    <n v="75000"/>
    <n v="1269"/>
    <n v="197"/>
    <n v="1466"/>
    <n v="1400"/>
    <n v="3019"/>
    <n v="1524"/>
    <n v="0.06"/>
    <n v="0.3"/>
    <n v="0.12"/>
    <n v="0.52"/>
    <n v="0.9"/>
    <n v="0.9"/>
    <n v="0.9"/>
    <n v="0.9"/>
    <n v="0.8"/>
    <n v="0.8"/>
    <n v="0.8"/>
    <n v="0.8"/>
    <n v="0.8"/>
  </r>
  <r>
    <x v="3"/>
    <x v="0"/>
    <n v="112023"/>
    <n v="100740"/>
    <n v="100000"/>
    <n v="1090"/>
    <n v="474"/>
    <n v="1564"/>
    <n v="1800"/>
    <n v="3018"/>
    <n v="2658"/>
    <n v="0.13"/>
    <n v="0.31"/>
    <n v="0.14666666666666667"/>
    <n v="0.41333333333333333"/>
    <n v="0.9"/>
    <n v="0.9"/>
    <n v="0.9"/>
    <n v="0.9"/>
    <n v="0.9"/>
    <n v="0.8"/>
    <n v="0.8"/>
    <n v="0.8"/>
    <n v="1"/>
  </r>
  <r>
    <x v="3"/>
    <x v="1"/>
    <n v="89374"/>
    <n v="94530"/>
    <n v="100000"/>
    <n v="956"/>
    <n v="561"/>
    <n v="1517"/>
    <n v="1800"/>
    <n v="3261"/>
    <n v="2336"/>
    <n v="0.21"/>
    <n v="0.44"/>
    <n v="0.21666666666666667"/>
    <n v="0.1333333333333333"/>
    <n v="0.9"/>
    <n v="0.9"/>
    <n v="0.9"/>
    <n v="0.9"/>
    <n v="0.9"/>
    <n v="0.9"/>
    <n v="0.8"/>
    <n v="0.8"/>
    <n v="1"/>
  </r>
  <r>
    <x v="3"/>
    <x v="2"/>
    <n v="73824"/>
    <n v="102810"/>
    <n v="100000"/>
    <n v="969"/>
    <n v="614"/>
    <n v="1583"/>
    <n v="1800"/>
    <n v="3039"/>
    <n v="2437"/>
    <n v="0.18"/>
    <n v="0.27"/>
    <n v="0.15"/>
    <n v="0.4"/>
    <n v="0.9"/>
    <n v="0.9"/>
    <n v="0.9"/>
    <n v="0.9"/>
    <n v="0.9"/>
    <n v="0.9"/>
    <n v="0.9"/>
    <n v="0.8"/>
    <n v="1"/>
  </r>
  <r>
    <x v="3"/>
    <x v="3"/>
    <n v="70497"/>
    <n v="113850"/>
    <n v="100000"/>
    <n v="1430"/>
    <n v="254"/>
    <n v="1684"/>
    <n v="1800"/>
    <n v="2997"/>
    <n v="2576"/>
    <n v="7.0000000000000007E-2"/>
    <n v="0.47"/>
    <n v="0.18000000000000002"/>
    <n v="0.27999999999999992"/>
    <n v="0.9"/>
    <n v="0.9"/>
    <n v="0.9"/>
    <n v="0.9"/>
    <n v="0.9"/>
    <n v="0.9"/>
    <n v="0.9"/>
    <n v="0.9"/>
    <n v="1"/>
  </r>
  <r>
    <x v="3"/>
    <x v="4"/>
    <n v="80257"/>
    <n v="106260"/>
    <n v="100000"/>
    <n v="834"/>
    <n v="913"/>
    <n v="1747"/>
    <n v="1800"/>
    <n v="4332"/>
    <n v="2882"/>
    <n v="0.12"/>
    <n v="0.44"/>
    <n v="0.18666666666666668"/>
    <n v="0.2533333333333333"/>
    <n v="1"/>
    <n v="0.9"/>
    <n v="0.9"/>
    <n v="0.9"/>
    <n v="0.9"/>
    <n v="0.9"/>
    <n v="0.9"/>
    <n v="0.9"/>
    <n v="1"/>
  </r>
  <r>
    <x v="3"/>
    <x v="5"/>
    <n v="100146"/>
    <n v="89700"/>
    <n v="100000"/>
    <n v="961"/>
    <n v="803"/>
    <n v="1764"/>
    <n v="1800"/>
    <n v="3139"/>
    <n v="2504"/>
    <n v="0.25"/>
    <n v="0.38"/>
    <n v="0.21"/>
    <n v="0.16000000000000003"/>
    <n v="1"/>
    <n v="1"/>
    <n v="0.9"/>
    <n v="0.9"/>
    <n v="0.9"/>
    <n v="0.9"/>
    <n v="0.9"/>
    <n v="0.9"/>
    <n v="1"/>
  </r>
  <r>
    <x v="3"/>
    <x v="6"/>
    <n v="123979"/>
    <n v="88320"/>
    <n v="100000"/>
    <n v="1644"/>
    <n v="149"/>
    <n v="1793"/>
    <n v="1800"/>
    <n v="2797"/>
    <n v="1972"/>
    <n v="0.18"/>
    <n v="0.48"/>
    <n v="0.21999999999999997"/>
    <n v="0.12000000000000011"/>
    <n v="1"/>
    <n v="1"/>
    <n v="1"/>
    <n v="0.9"/>
    <n v="0.9"/>
    <n v="0.9"/>
    <n v="0.9"/>
    <n v="0.9"/>
    <n v="1"/>
  </r>
  <r>
    <x v="3"/>
    <x v="7"/>
    <n v="143879"/>
    <n v="99360"/>
    <n v="100000"/>
    <n v="1637"/>
    <n v="149"/>
    <n v="1786"/>
    <n v="1800"/>
    <n v="4036"/>
    <n v="2089"/>
    <n v="0.18"/>
    <n v="0.43"/>
    <n v="0.20333333333333334"/>
    <n v="0.18666666666666665"/>
    <n v="1"/>
    <n v="1"/>
    <n v="1"/>
    <n v="1"/>
    <n v="0.9"/>
    <n v="0.9"/>
    <n v="0.9"/>
    <n v="0.9"/>
    <n v="1"/>
  </r>
  <r>
    <x v="3"/>
    <x v="8"/>
    <n v="153629"/>
    <n v="120060"/>
    <n v="100000"/>
    <n v="1482"/>
    <n v="338"/>
    <n v="1820"/>
    <n v="1800"/>
    <n v="4604"/>
    <n v="2129"/>
    <n v="0.23"/>
    <n v="0.43"/>
    <n v="0.22"/>
    <n v="0.12"/>
    <n v="1"/>
    <n v="1"/>
    <n v="1"/>
    <n v="1"/>
    <n v="1"/>
    <n v="0.9"/>
    <n v="0.9"/>
    <n v="0.9"/>
    <n v="1"/>
  </r>
  <r>
    <x v="3"/>
    <x v="9"/>
    <n v="150252"/>
    <n v="128340"/>
    <n v="100000"/>
    <n v="1701"/>
    <n v="189"/>
    <n v="1890"/>
    <n v="1800"/>
    <n v="3780"/>
    <n v="2740"/>
    <n v="0.18"/>
    <n v="0.2"/>
    <n v="0.12666666666666668"/>
    <n v="0.49333333333333329"/>
    <n v="1"/>
    <n v="1"/>
    <n v="1"/>
    <n v="1"/>
    <n v="1"/>
    <n v="1"/>
    <n v="0.9"/>
    <n v="0.9"/>
    <n v="1"/>
  </r>
  <r>
    <x v="3"/>
    <x v="10"/>
    <n v="134779"/>
    <n v="122820"/>
    <n v="100000"/>
    <n v="1156"/>
    <n v="785"/>
    <n v="1941"/>
    <n v="1800"/>
    <n v="5415"/>
    <n v="1979"/>
    <n v="0.12"/>
    <n v="0.33"/>
    <n v="0.15"/>
    <n v="0.4"/>
    <n v="1"/>
    <n v="1"/>
    <n v="1"/>
    <n v="1"/>
    <n v="1"/>
    <n v="1"/>
    <n v="1"/>
    <n v="0.9"/>
    <n v="1"/>
  </r>
  <r>
    <x v="3"/>
    <x v="11"/>
    <n v="112126"/>
    <n v="110400"/>
    <n v="100000"/>
    <n v="1798"/>
    <n v="202"/>
    <n v="2000"/>
    <n v="1800"/>
    <n v="3940"/>
    <n v="2640"/>
    <n v="0.12"/>
    <n v="0.23"/>
    <n v="0.11666666666666665"/>
    <n v="0.53333333333333344"/>
    <n v="1"/>
    <n v="1"/>
    <n v="1"/>
    <n v="1"/>
    <n v="1"/>
    <n v="1"/>
    <n v="1"/>
    <n v="1"/>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r>
  <r>
    <x v="1"/>
  </r>
  <r>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r>
  <r>
    <x v="1"/>
  </r>
  <r>
    <x v="2"/>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A0B319-21B7-4D4D-8445-0B7DADBD2441}"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7" firstHeaderRow="1" firstDataRow="1" firstDataCol="1"/>
  <pivotFields count="25">
    <pivotField axis="axisRow" showAll="0">
      <items count="5">
        <item h="1" x="0"/>
        <item h="1" x="1"/>
        <item h="1" x="2"/>
        <item x="3"/>
        <item t="default"/>
      </items>
    </pivotField>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ragToRow="0" dragToCol="0" dragToPage="0" showAll="0" defaultSubtotal="0"/>
  </pivotFields>
  <rowFields count="1">
    <field x="0"/>
  </rowFields>
  <rowItems count="2">
    <i>
      <x v="3"/>
    </i>
    <i t="grand">
      <x/>
    </i>
  </rowItems>
  <colItems count="1">
    <i/>
  </colItems>
  <dataFields count="1">
    <dataField name="Sum of Subscriber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484B11-AF98-426A-A263-0F227152BC1F}"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B47" firstHeaderRow="1" firstDataRow="1" firstDataCol="1"/>
  <pivotFields count="25">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ragToRow="0" dragToCol="0" dragToPage="0" showAll="0" defaultSubtotal="0"/>
  </pivotFields>
  <rowFields count="1">
    <field x="0"/>
  </rowFields>
  <rowItems count="5">
    <i>
      <x/>
    </i>
    <i>
      <x v="1"/>
    </i>
    <i>
      <x v="2"/>
    </i>
    <i>
      <x v="3"/>
    </i>
    <i t="grand">
      <x/>
    </i>
  </rowItems>
  <colItems count="1">
    <i/>
  </colItems>
  <dataFields count="1">
    <dataField name="Sum of Subscriber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134C6-4004-4489-BACF-961F44F8BF9D}" name="mydata"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X16" firstHeaderRow="0" firstDataRow="1" firstDataCol="1"/>
  <pivotFields count="25">
    <pivotField showAll="0">
      <items count="5">
        <item h="1" x="0"/>
        <item h="1" x="1"/>
        <item h="1" x="2"/>
        <item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2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colItems>
  <dataFields count="23">
    <dataField name="Sum of Revenue" fld="2" baseField="0" baseItem="0"/>
    <dataField name="Sum of Expenses" fld="3" baseField="0" baseItem="0"/>
    <dataField name="Sum of Profit" fld="24" baseField="0" baseItem="0"/>
    <dataField name="Sum of Subscribers" fld="7" baseField="0" baseItem="0"/>
    <dataField name="Sum of Leads" fld="9" baseField="0" baseItem="0"/>
    <dataField name="Sum of Deals" fld="10" baseField="0" baseItem="0"/>
    <dataField name="Average of Referral" fld="11" subtotal="average" baseField="1" baseItem="0" numFmtId="9"/>
    <dataField name="Average of Social" fld="12" subtotal="average" baseField="1" baseItem="0" numFmtId="9"/>
    <dataField name="Average of Organic" fld="13" subtotal="average" baseField="1" baseItem="0" numFmtId="9"/>
    <dataField name="Average of Other" fld="14" subtotal="average" baseField="1" baseItem="0" numFmtId="9"/>
    <dataField name="Average of N" fld="15" subtotal="average" baseField="1" baseItem="0" numFmtId="9"/>
    <dataField name="Average of NE" fld="16" subtotal="average" baseField="1" baseItem="0" numFmtId="9"/>
    <dataField name="Average of E" fld="17" subtotal="average" baseField="1" baseItem="0" numFmtId="9"/>
    <dataField name="Average of SE" fld="18" subtotal="average" baseField="1" baseItem="0" numFmtId="9"/>
    <dataField name="Average of S" fld="19" subtotal="average" baseField="1" baseItem="0" numFmtId="9"/>
    <dataField name="Average of SW" fld="20" subtotal="average" baseField="1" baseItem="0" numFmtId="9"/>
    <dataField name="Average of W" fld="21" subtotal="average" baseField="1" baseItem="0" numFmtId="9"/>
    <dataField name="Average of NW" fld="22" subtotal="average" baseField="1" baseItem="0" numFmtId="9"/>
    <dataField name="Sum of Sales Target" fld="4" baseField="1" baseItem="0"/>
    <dataField name="Sum of Subscribers Target" fld="8" baseField="0" baseItem="0"/>
    <dataField name="Sum of Standart" fld="5" baseField="0" baseItem="0"/>
    <dataField name="Sum of Premium" fld="6" baseField="0" baseItem="0"/>
    <dataField name="Max of Coverage Target" fld="23" subtotal="max" baseField="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6EA442-FBBE-44A1-A0DF-57D554F174C4}"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A60" firstHeaderRow="1" firstDataRow="1" firstDataCol="1"/>
  <pivotFields count="1">
    <pivotField axis="axisRow" showAll="0">
      <items count="4">
        <item h="1" m="1" x="2"/>
        <item x="0"/>
        <item x="1"/>
        <item t="default"/>
      </items>
    </pivotField>
  </pivotFields>
  <rowFields count="1">
    <field x="0"/>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705FCE-F887-43B2-8964-766DC78D9EB7}"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M33" firstHeaderRow="0" firstDataRow="1" firstDataCol="1"/>
  <pivotFields count="25">
    <pivotField showAll="0">
      <items count="5">
        <item h="1" x="0"/>
        <item h="1" x="1"/>
        <item h="1" x="2"/>
        <item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 dataField="1" showAll="0"/>
    <pivotField showAll="0"/>
    <pivotField showAll="0"/>
    <pivotField dataField="1" numFmtId="9" showAll="0"/>
    <pivotField dataField="1" numFmtId="9" showAll="0"/>
    <pivotField dataField="1" numFmtId="9" showAll="0"/>
    <pivotField dataField="1" numFmtId="9" showAll="0"/>
    <pivotField numFmtId="9" showAll="0"/>
    <pivotField numFmtId="9" showAll="0"/>
    <pivotField numFmtId="9" showAll="0"/>
    <pivotField numFmtId="9" showAll="0"/>
    <pivotField numFmtId="9" showAll="0"/>
    <pivotField numFmtId="9" showAll="0"/>
    <pivotField numFmtId="9" showAll="0"/>
    <pivotField numFmtId="9" showAll="0"/>
    <pivotField numFmtId="9" showAll="0"/>
    <pivotField dataField="1"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12">
    <i>
      <x/>
    </i>
    <i i="1">
      <x v="1"/>
    </i>
    <i i="2">
      <x v="2"/>
    </i>
    <i i="3">
      <x v="3"/>
    </i>
    <i i="4">
      <x v="4"/>
    </i>
    <i i="5">
      <x v="5"/>
    </i>
    <i i="6">
      <x v="6"/>
    </i>
    <i i="7">
      <x v="7"/>
    </i>
    <i i="8">
      <x v="8"/>
    </i>
    <i i="9">
      <x v="9"/>
    </i>
    <i i="10">
      <x v="10"/>
    </i>
    <i i="11">
      <x v="11"/>
    </i>
  </colItems>
  <dataFields count="12">
    <dataField name="Sum of Revenue" fld="2" baseField="0" baseItem="0"/>
    <dataField name="Sum of Expenses" fld="3" baseField="0" baseItem="0"/>
    <dataField name="Sum of Profit" fld="24" baseField="0" baseItem="0"/>
    <dataField name="Sum of Sales Target" fld="4" baseField="0" baseItem="0"/>
    <dataField name="Sum of Standart" fld="5" baseField="0" baseItem="0"/>
    <dataField name="Sum of Premium" fld="6" baseField="0" baseItem="0"/>
    <dataField name="Sum of Subscribers" fld="7" baseField="0" baseItem="0"/>
    <dataField name="Sum of Subscribers Target" fld="8" baseField="0" baseItem="0"/>
    <dataField name="Sum of Referral" fld="11" baseField="0" baseItem="0" numFmtId="9"/>
    <dataField name="Sum of Social" fld="12" baseField="0" baseItem="0" numFmtId="9"/>
    <dataField name="Sum of Organic" fld="13" baseField="0" baseItem="0" numFmtId="9"/>
    <dataField name="Sum of Other" fld="14"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431188-7989-456B-8467-4BFBC9B7792E}"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A67" firstHeaderRow="1" firstDataRow="1" firstDataCol="1"/>
  <pivotFields count="1">
    <pivotField axis="axisRow" showAll="0">
      <items count="5">
        <item x="2"/>
        <item x="3"/>
        <item x="0"/>
        <item x="1"/>
        <item t="default"/>
      </items>
    </pivotField>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6F5B1A-0C07-4086-88E4-D38C5C91C063}"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A52" firstHeaderRow="1" firstDataRow="1" firstDataCol="1"/>
  <pivotFields count="1">
    <pivotField axis="axisRow" showAll="0">
      <items count="4">
        <item h="1" x="1"/>
        <item h="1" x="2"/>
        <item x="0"/>
        <item t="default"/>
      </items>
    </pivotField>
  </pivotFields>
  <rowFields count="1">
    <field x="0"/>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cators" xr10:uid="{444D6CDE-3036-41CB-B09F-2FE23CD47761}" sourceName="Indicators">
  <pivotTables>
    <pivotTable tabId="3" name="PivotTable5"/>
  </pivotTables>
  <data>
    <tabular pivotCacheId="970317273">
      <items count="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8BE1F2-FBD2-4CC9-9083-CB8984E34319}" sourceName="Year">
  <pivotTables>
    <pivotTable tabId="3" name="mydata"/>
    <pivotTable tabId="3" name="PivotTable2"/>
    <pivotTable tabId="3" name="PivotTable3"/>
  </pivotTables>
  <data>
    <tabular pivotCacheId="1740174785">
      <items count="4">
        <i x="0"/>
        <i x="1"/>
        <i x="2"/>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C737F2C-7F3B-484C-B7F1-AB0BD686DC0D}" sourceName="Month">
  <pivotTables>
    <pivotTable tabId="3" name="mydata"/>
    <pivotTable tabId="3" name="PivotTable3"/>
  </pivotTables>
  <data>
    <tabular pivotCacheId="1740174785">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iffs" xr10:uid="{2BE3F71E-F118-4DE3-A22A-688FB6BC8052}" sourceName="Tariffs">
  <pivotTables>
    <pivotTable tabId="3" name="PivotTable6"/>
  </pivotTables>
  <data>
    <tabular pivotCacheId="240253902">
      <items count="3">
        <i x="1" s="1"/>
        <i x="0" s="1"/>
        <i x="2"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 xr10:uid="{E8564E75-B41F-40EA-8FC1-8EEB1AC56ACF}" sourceName="Traffic">
  <pivotTables>
    <pivotTable tabId="3" name="PivotTable1"/>
  </pivotTables>
  <data>
    <tabular pivotCacheId="62254005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s" xr10:uid="{B1C50FCB-3D2D-49CB-B723-2FDA7F47CFA0}" cache="Slicer_Indicators" caption="Indicators" columnCount="3" showCaption="0" style="SlicerStyleLight1 2" rowHeight="247650"/>
  <slicer name="Year" xr10:uid="{FC0104C4-EB63-4605-86B9-A917002BB652}" cache="Slicer_Year" caption="Year" columnCount="4" showCaption="0" style="SlicerStyleLight1 3" rowHeight="247650"/>
  <slicer name="Month" xr10:uid="{714D2FAE-DA1D-4AB4-BDC8-0A7E4A25FE17}" cache="Slicer_Month" caption="Month" columnCount="12" showCaption="0" style="SlicerStyleLight1 3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s 2" xr10:uid="{19F05E9C-94D7-4D46-99B1-84E3D0AE0459}" cache="Slicer_Indicators" caption="Indicators" columnCount="3" showCaption="0" style="SlicerStyleLight1 2 2" rowHeight="247650"/>
  <slicer name="Year 5" xr10:uid="{0A7DAE7F-0029-415E-90B4-C9198B4680DD}" cache="Slicer_Year" caption="Year" columnCount="4" showCaption="0" style="SlicerStyleLight1 3 3" rowHeight="247650"/>
  <slicer name="Month 5" xr10:uid="{2AB711C9-AFEE-4C20-BC56-F6F7D4F53A92}" cache="Slicer_Month" caption="Month" columnCount="12" showCaption="0" style="SlicerStyleLight1 3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s 5" xr10:uid="{3EF3E084-8F31-4C6A-A489-9C9E1EDCFBE0}" cache="Slicer_Indicators" caption="Indicators" columnCount="3" showCaption="0" style="SlicerStyleLight1 2 2 2" rowHeight="247650"/>
  <slicer name="Year 14" xr10:uid="{0B442F3D-8642-4484-AFB8-3924E50CE068}" cache="Slicer_Year" caption="Year" columnCount="4" showCaption="0" style="SlicerStyleLight1 3 3 2" rowHeight="247650"/>
  <slicer name="Month 14" xr10:uid="{1F004510-10A9-4873-9B5B-961255394CB7}" cache="Slicer_Month" caption="Month" columnCount="12" showCaption="0" style="SlicerStyleLight1 3 3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s 1" xr10:uid="{EA09892A-BA6C-4970-ABDB-100E244E4DFF}" cache="Slicer_Indicators" caption="Indicators" columnCount="3" showCaption="0" style="SlicerStyleLight1 2" rowHeight="247650"/>
  <slicer name="Year 1" xr10:uid="{4AF049D6-7E39-4A8A-8B6C-8DEFB253DC17}" cache="Slicer_Year" caption="Year" columnCount="4" showCaption="0" style="SlicerStyleLight1 3" rowHeight="247650"/>
  <slicer name="Month 1" xr10:uid="{14647256-711A-40A8-ABFD-86BEC6D391B4}" cache="Slicer_Month" caption="Month" columnCount="12" showCaption="0" style="SlicerStyleLight1 3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s 3" xr10:uid="{3ECAF48B-3A6C-4282-80EE-8E8D68BACBC6}" cache="Slicer_Indicators" caption="Indicators" columnCount="3" showCaption="0" style="SlicerStyleLight1 2 2" rowHeight="247650"/>
  <slicer name="Year 6" xr10:uid="{772ADB47-A072-4C1B-802C-1A4EA5B43DEA}" cache="Slicer_Year" caption="Year" columnCount="4" showCaption="0" style="SlicerStyleLight1 3 3" rowHeight="247650"/>
  <slicer name="Month 6" xr10:uid="{82660A55-2E64-476F-8BA3-2680CE261D25}" cache="Slicer_Month" caption="Month" columnCount="12" showCaption="0" style="SlicerStyleLight1 3 3"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cators 4" xr10:uid="{BECF93EB-EA1F-4DA6-B2ED-5C5A1A7F23E1}" cache="Slicer_Indicators" caption="Indicators" columnCount="3" showCaption="0" style="SlicerStyleLight1 2 2 2" rowHeight="247650"/>
  <slicer name="Year 13" xr10:uid="{0224155A-8B8D-454F-9004-FD2230A906A7}" cache="Slicer_Year" caption="Year" columnCount="4" showCaption="0" style="SlicerStyleLight1 3 3 2" rowHeight="247650"/>
  <slicer name="Month 13" xr10:uid="{361618E0-1E0A-4033-A7F9-059042D769FD}" cache="Slicer_Month" caption="Month" columnCount="12" showCaption="0" style="SlicerStyleLight1 3 3 2"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3C003F16-0490-4B7B-A567-A3E5A4C72627}" cache="Slicer_Year" caption="Year" columnCount="4" showCaption="0" style="SlicerStyleLight1 3" rowHeight="247650"/>
  <slicer name="Month 2" xr10:uid="{70741D60-F5D1-47A8-ABFA-2CF3C809039C}" cache="Slicer_Month" caption="Month" columnCount="12" showCaption="0" style="SlicerStyleLight1 3 2" rowHeight="247650"/>
  <slicer name="Tariffs" xr10:uid="{95BCC92F-E848-42BA-94D8-D3844ADF30E0}" cache="Slicer_Tariffs" caption="Tariffs" columnCount="2" showCaption="0" style="SlicerStyleLight1 2"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6C5450A3-640A-41EC-8283-D2C7DC931F2E}" cache="Slicer_Year" caption="Year" columnCount="4" showCaption="0" style="SlicerStyleLight1 3 3" rowHeight="247650"/>
  <slicer name="Month 7" xr10:uid="{6F1EB864-6CA3-4114-9054-C7C54BE02DA4}" cache="Slicer_Month" caption="Month" columnCount="12" showCaption="0" style="SlicerStyleLight1 3 3" rowHeight="247650"/>
  <slicer name="Tariffs 1" xr10:uid="{81037480-0692-4898-985A-86F5A325DE22}" cache="Slicer_Tariffs" caption="Tariffs" columnCount="2" showCaption="0" style="SlicerStyleLight1 2 2"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2" xr10:uid="{7688ABF0-DBBF-47F5-B4C3-15ED24F18699}" cache="Slicer_Year" caption="Year" columnCount="4" showCaption="0" style="SlicerStyleLight1 3 3 2" rowHeight="247650"/>
  <slicer name="Month 12" xr10:uid="{574670AD-4299-4313-97BC-B8DEA9010DD4}" cache="Slicer_Month" caption="Month" columnCount="12" showCaption="0" style="SlicerStyleLight1 3 3 2" rowHeight="247650"/>
  <slicer name="Tariffs 2" xr10:uid="{824F3B5E-FFAB-4993-BBED-B9711CCD7C0A}" cache="Slicer_Tariffs" caption="Tariffs" columnCount="2" showCaption="0" style="SlicerStyleLight1 2 2 2" rowHeight="2476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BC142A9A-232F-4274-9395-64332DB78416}" cache="Slicer_Year" caption="Year" columnCount="4" showCaption="0" style="SlicerStyleLight1 3" rowHeight="247650"/>
  <slicer name="Month 3" xr10:uid="{86C75F60-982E-4206-842A-0A6A9B4C18FF}" cache="Slicer_Month" caption="Month" columnCount="12" showCaption="0" style="SlicerStyleLight1 3 2" rowHeight="2476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8" xr10:uid="{E4F695E5-FF36-4D00-BF40-99A179D8D11F}" cache="Slicer_Year" caption="Year" columnCount="4" showCaption="0" style="SlicerStyleLight1 3 3" rowHeight="247650"/>
  <slicer name="Month 8" xr10:uid="{9F3BF9B5-BB51-4A1E-B927-551AA454B1C8}" cache="Slicer_Month" caption="Month" columnCount="12" showCaption="0" style="SlicerStyleLight1 3 3" rowHeight="24765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1" xr10:uid="{A72157CE-3A27-4465-A5C8-12BD6FE07D37}" cache="Slicer_Year" caption="Year" columnCount="4" showCaption="0" style="SlicerStyleLight1 3 3 2" rowHeight="247650"/>
  <slicer name="Month 11" xr10:uid="{B0593501-9BF3-47C6-941A-CBBE71F3E7E7}" cache="Slicer_Month" caption="Month" columnCount="12" showCaption="0" style="SlicerStyleLight1 3 3 2" rowHeight="24765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B7D05854-5332-43F4-84C5-AED8367D4F0C}" cache="Slicer_Year" caption="Year" columnCount="4" showCaption="0" style="SlicerStyleLight1 3" rowHeight="247650"/>
  <slicer name="Month 4" xr10:uid="{54E10D9B-F1C9-4D93-A84E-4AC370CDBEB2}" cache="Slicer_Month" caption="Month" columnCount="12" showCaption="0" style="SlicerStyleLight1 3 2" rowHeight="247650"/>
  <slicer name="Traffic" xr10:uid="{EE8CDAC4-5503-472E-8F7F-E200C9FB30AD}" cache="Slicer_Traffic" caption="Traffic" columnCount="4" showCaption="0" style="SlicerStyleLight1 2" rowHeight="24765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9" xr10:uid="{8B5A1BA6-5B60-426C-BD70-978A61BA5FC0}" cache="Slicer_Year" caption="Year" columnCount="4" showCaption="0" style="SlicerStyleLight1 3 3" rowHeight="247650"/>
  <slicer name="Month 9" xr10:uid="{E206074E-B012-496F-85E5-3C0F324278CE}" cache="Slicer_Month" caption="Month" columnCount="12" showCaption="0" style="SlicerStyleLight1 3 3" rowHeight="247650"/>
  <slicer name="Traffic 1" xr10:uid="{DC5832E4-F9B1-4D43-859E-44E51F6A82E9}" cache="Slicer_Traffic" caption="Traffic" columnCount="4" showCaption="0" style="SlicerStyleLight1 2 2" rowHeight="247650"/>
</slicers>
</file>

<file path=xl/slicers/slicer1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0" xr10:uid="{9CB4E302-43A6-4279-8298-E71F326F462B}" cache="Slicer_Year" caption="Year" columnCount="4" showCaption="0" style="SlicerStyleLight1 3 3 2" rowHeight="247650"/>
  <slicer name="Month 10" xr10:uid="{58C4555D-FFAF-4BE3-8E4D-6402AD3CC48A}" cache="Slicer_Month" caption="Month" columnCount="12" showCaption="0" style="SlicerStyleLight1 3 3 2" rowHeight="247650"/>
  <slicer name="Traffic 2" xr10:uid="{1CA84319-85CE-43EE-BC56-0A7CB0C5798B}" cache="Slicer_Traffic" caption="Traffic" columnCount="4" showCaption="0" style="SlicerStyleLight1 2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FD91B4-47E9-45C4-8736-6062DC70DD5B}" name="mydata" displayName="mydata" ref="A1:X49" totalsRowShown="0" headerRowDxfId="25" dataDxfId="24" dataCellStyle="Percent">
  <autoFilter ref="A1:X49" xr:uid="{C6FD91B4-47E9-45C4-8736-6062DC70DD5B}"/>
  <tableColumns count="24">
    <tableColumn id="1" xr3:uid="{7FBAF8CC-3F5A-430A-8314-9546754C8839}" name="Year" dataDxfId="23"/>
    <tableColumn id="2" xr3:uid="{42A5CD8B-2766-4CAC-8A55-5B6324216F08}" name="Month" dataDxfId="4"/>
    <tableColumn id="3" xr3:uid="{2B676AE3-153F-43F2-A858-AD1BFFD9282B}" name="Revenue" dataDxfId="3" dataCellStyle="Comma"/>
    <tableColumn id="4" xr3:uid="{A8DC33E9-1BBA-4A4C-9314-3EFC34D22F6E}" name="Expenses" dataDxfId="2" dataCellStyle="Comma"/>
    <tableColumn id="5" xr3:uid="{62731363-C6C5-47BF-9C47-A80905F6C543}" name="Sales Target" dataDxfId="0" dataCellStyle="Comma"/>
    <tableColumn id="24" xr3:uid="{EE329273-BBA9-476F-9419-FC39F8A9FCE5}" name="Standart" dataDxfId="1"/>
    <tableColumn id="23" xr3:uid="{8341FA3B-A432-49EB-99B3-BBD10BFEC552}" name="Premium" dataDxfId="22"/>
    <tableColumn id="6" xr3:uid="{DD2CF343-FEAF-451D-A16E-5968D8803E35}" name="Subscribers" dataDxfId="21"/>
    <tableColumn id="7" xr3:uid="{867AE5C9-D2F0-4C0B-AE2F-DFFB94F4710F}" name="Subscribers Target" dataDxfId="20"/>
    <tableColumn id="8" xr3:uid="{D1CC7A1F-944C-497D-9F45-DB9D56150E6E}" name="Leads" dataDxfId="19"/>
    <tableColumn id="9" xr3:uid="{FA937131-4DF2-4872-A334-A3B13D6884F4}" name="Deals" dataDxfId="18"/>
    <tableColumn id="10" xr3:uid="{D650F291-0D8C-4071-A255-586A4A464741}" name="Referral" dataDxfId="17" dataCellStyle="Percent"/>
    <tableColumn id="11" xr3:uid="{73DADA98-382A-4685-9A0A-B4FDBAE55D2B}" name="Social" dataDxfId="16" dataCellStyle="Percent"/>
    <tableColumn id="12" xr3:uid="{DDDCE17C-3534-47F0-997E-A797C9F1E1C0}" name="Organic" dataDxfId="15"/>
    <tableColumn id="13" xr3:uid="{04D356C4-5F61-4A85-B0A1-7741EADF5C4B}" name="Other" dataDxfId="14"/>
    <tableColumn id="14" xr3:uid="{EB870400-034B-4C20-A2EB-75876ED77D8A}" name="N" dataDxfId="13" dataCellStyle="Percent"/>
    <tableColumn id="15" xr3:uid="{2639E8D4-A8B3-4CDE-ABC5-F82C8F9311DE}" name="NE" dataDxfId="12" dataCellStyle="Percent"/>
    <tableColumn id="16" xr3:uid="{9757172D-72DE-4BA9-9FC5-CA9A7E45E21E}" name="E" dataDxfId="11" dataCellStyle="Percent"/>
    <tableColumn id="17" xr3:uid="{FE0DF458-B9D0-49CA-8026-828B00D28935}" name="SE" dataDxfId="10" dataCellStyle="Percent"/>
    <tableColumn id="18" xr3:uid="{CA0031BE-F3AF-421C-A30D-4CBC3A3024ED}" name="S" dataDxfId="9" dataCellStyle="Percent"/>
    <tableColumn id="19" xr3:uid="{EF44E241-CE22-4C5C-903D-15F7A2D2C6CB}" name="SW" dataDxfId="8" dataCellStyle="Percent"/>
    <tableColumn id="20" xr3:uid="{19A6CAD4-3D30-4545-9E7A-51FEED1D72DF}" name="W" dataDxfId="7" dataCellStyle="Percent"/>
    <tableColumn id="21" xr3:uid="{FFA0932C-869D-4195-9196-BE7C89B6D613}" name="NW" dataDxfId="6" dataCellStyle="Percent"/>
    <tableColumn id="22" xr3:uid="{649F81BF-AC9C-486F-8764-267AB019EF25}" name="Coverage Target" dataDxfId="5"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exceltable.com/" TargetMode="External"/><Relationship Id="rId5" Type="http://schemas.microsoft.com/office/2007/relationships/slicer" Target="../slicers/slicer2.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hyperlink" Target="https://exceltable.com/" TargetMode="External"/><Relationship Id="rId5" Type="http://schemas.microsoft.com/office/2007/relationships/slicer" Target="../slicers/slicer3.xml"/><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hyperlink" Target="https://exceltable.com/" TargetMode="External"/><Relationship Id="rId5" Type="http://schemas.microsoft.com/office/2007/relationships/slicer" Target="../slicers/slicer4.xml"/><Relationship Id="rId4" Type="http://schemas.openxmlformats.org/officeDocument/2006/relationships/ctrlProp" Target="../ctrlProps/ctrlProp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hyperlink" Target="https://exceltable.com/" TargetMode="External"/><Relationship Id="rId5" Type="http://schemas.microsoft.com/office/2007/relationships/slicer" Target="../slicers/slicer5.xml"/><Relationship Id="rId4" Type="http://schemas.openxmlformats.org/officeDocument/2006/relationships/ctrlProp" Target="../ctrlProps/ctrlProp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hyperlink" Target="https://exceltable.com/" TargetMode="External"/><Relationship Id="rId5" Type="http://schemas.microsoft.com/office/2007/relationships/slicer" Target="../slicers/slicer6.xml"/><Relationship Id="rId4" Type="http://schemas.openxmlformats.org/officeDocument/2006/relationships/ctrlProp" Target="../ctrlProps/ctrlProp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hyperlink" Target="https://exceltable.com/" TargetMode="External"/><Relationship Id="rId5" Type="http://schemas.microsoft.com/office/2007/relationships/slicer" Target="../slicers/slicer7.xml"/><Relationship Id="rId4" Type="http://schemas.openxmlformats.org/officeDocument/2006/relationships/ctrlProp" Target="../ctrlProps/ctrlProp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hyperlink" Target="https://exceltable.com/" TargetMode="External"/><Relationship Id="rId5" Type="http://schemas.microsoft.com/office/2007/relationships/slicer" Target="../slicers/slicer8.xml"/><Relationship Id="rId4" Type="http://schemas.openxmlformats.org/officeDocument/2006/relationships/ctrlProp" Target="../ctrlProps/ctrlProp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hyperlink" Target="https://exceltable.com/" TargetMode="External"/><Relationship Id="rId5" Type="http://schemas.microsoft.com/office/2007/relationships/slicer" Target="../slicers/slicer9.xml"/><Relationship Id="rId4" Type="http://schemas.openxmlformats.org/officeDocument/2006/relationships/ctrlProp" Target="../ctrlProps/ctrlProp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hyperlink" Target="https://exceltable.com/" TargetMode="External"/><Relationship Id="rId5" Type="http://schemas.microsoft.com/office/2007/relationships/slicer" Target="../slicers/slicer10.xml"/><Relationship Id="rId4" Type="http://schemas.openxmlformats.org/officeDocument/2006/relationships/ctrlProp" Target="../ctrlProps/ctrlProp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hyperlink" Target="https://exceltable.com/" TargetMode="External"/><Relationship Id="rId5" Type="http://schemas.microsoft.com/office/2007/relationships/slicer" Target="../slicers/slicer11.xml"/><Relationship Id="rId4" Type="http://schemas.openxmlformats.org/officeDocument/2006/relationships/ctrlProp" Target="../ctrlProps/ctrlProp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hyperlink" Target="https://exceltable.com/" TargetMode="External"/><Relationship Id="rId5" Type="http://schemas.microsoft.com/office/2007/relationships/slicer" Target="../slicers/slicer12.xml"/><Relationship Id="rId4" Type="http://schemas.openxmlformats.org/officeDocument/2006/relationships/ctrlProp" Target="../ctrlProps/ctrlProp12.xml"/></Relationships>
</file>

<file path=xl/worksheets/_rels/sheet13.xml.rels><?xml version="1.0" encoding="UTF-8" standalone="yes"?>
<Relationships xmlns="http://schemas.openxmlformats.org/package/2006/relationships"><Relationship Id="rId3" Type="http://schemas.microsoft.com/office/2007/relationships/slicer" Target="../slicers/slicer13.xml"/><Relationship Id="rId2" Type="http://schemas.openxmlformats.org/officeDocument/2006/relationships/drawing" Target="../drawings/drawing13.xml"/><Relationship Id="rId1" Type="http://schemas.openxmlformats.org/officeDocument/2006/relationships/hyperlink" Target="https://exceltable.com/" TargetMode="External"/></Relationships>
</file>

<file path=xl/worksheets/_rels/sheet14.xml.rels><?xml version="1.0" encoding="UTF-8" standalone="yes"?>
<Relationships xmlns="http://schemas.openxmlformats.org/package/2006/relationships"><Relationship Id="rId3" Type="http://schemas.microsoft.com/office/2007/relationships/slicer" Target="../slicers/slicer14.xml"/><Relationship Id="rId2" Type="http://schemas.openxmlformats.org/officeDocument/2006/relationships/drawing" Target="../drawings/drawing14.xml"/><Relationship Id="rId1" Type="http://schemas.openxmlformats.org/officeDocument/2006/relationships/hyperlink" Target="https://exceltable.com/" TargetMode="External"/></Relationships>
</file>

<file path=xl/worksheets/_rels/sheet15.xml.rels><?xml version="1.0" encoding="UTF-8" standalone="yes"?>
<Relationships xmlns="http://schemas.openxmlformats.org/package/2006/relationships"><Relationship Id="rId3" Type="http://schemas.microsoft.com/office/2007/relationships/slicer" Target="../slicers/slicer15.xml"/><Relationship Id="rId2" Type="http://schemas.openxmlformats.org/officeDocument/2006/relationships/drawing" Target="../drawings/drawing15.xml"/><Relationship Id="rId1" Type="http://schemas.openxmlformats.org/officeDocument/2006/relationships/hyperlink" Target="https://exceltable.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exceltable.com/" TargetMode="Externa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exceltable.com/"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s://exceltabl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887AD-6035-46F8-B5FD-B1C64907C18E}">
  <sheetPr codeName="Sheet1"/>
  <dimension ref="B47:G48"/>
  <sheetViews>
    <sheetView showRowColHeaders="0" tabSelected="1" zoomScale="90" zoomScaleNormal="90" workbookViewId="0"/>
  </sheetViews>
  <sheetFormatPr defaultRowHeight="15" x14ac:dyDescent="0.25"/>
  <sheetData>
    <row r="47" spans="2:7" ht="15" customHeight="1" x14ac:dyDescent="0.55000000000000004">
      <c r="B47" s="27"/>
      <c r="C47" s="27"/>
      <c r="D47" s="27"/>
      <c r="E47" s="27"/>
      <c r="F47" s="27"/>
      <c r="G47" s="27"/>
    </row>
    <row r="48" spans="2:7" ht="15" customHeight="1" x14ac:dyDescent="0.55000000000000004">
      <c r="B48" s="27"/>
      <c r="C48" s="27"/>
      <c r="D48" s="27"/>
      <c r="E48" s="27"/>
      <c r="F48" s="27"/>
      <c r="G48" s="27"/>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11</xdr:col>
                    <xdr:colOff>161925</xdr:colOff>
                    <xdr:row>22</xdr:row>
                    <xdr:rowOff>123825</xdr:rowOff>
                  </from>
                  <to>
                    <xdr:col>12</xdr:col>
                    <xdr:colOff>304800</xdr:colOff>
                    <xdr:row>24</xdr:row>
                    <xdr:rowOff>133350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E8A9-6645-459E-AEAC-936773030A1B}">
  <sheetPr codeName="Sheet10"/>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747D55F2-AAF3-4B56-8D8A-9CDFBB74E472}"/>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defaultSize="0" autoFill="0" autoLine="0" autoPict="0">
                <anchor moveWithCells="1">
                  <from>
                    <xdr:col>11</xdr:col>
                    <xdr:colOff>161925</xdr:colOff>
                    <xdr:row>22</xdr:row>
                    <xdr:rowOff>123825</xdr:rowOff>
                  </from>
                  <to>
                    <xdr:col>12</xdr:col>
                    <xdr:colOff>304800</xdr:colOff>
                    <xdr:row>24</xdr:row>
                    <xdr:rowOff>133350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8BC3-6E8D-4818-8D16-8F23090B09B1}">
  <sheetPr codeName="Sheet19"/>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F59CB809-C60D-46C8-9ED3-A28114C15472}"/>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23553" r:id="rId4" name="Check Box 1">
              <controlPr defaultSize="0" autoFill="0" autoLine="0" autoPict="0">
                <anchor moveWithCells="1">
                  <from>
                    <xdr:col>11</xdr:col>
                    <xdr:colOff>161925</xdr:colOff>
                    <xdr:row>22</xdr:row>
                    <xdr:rowOff>123825</xdr:rowOff>
                  </from>
                  <to>
                    <xdr:col>12</xdr:col>
                    <xdr:colOff>304800</xdr:colOff>
                    <xdr:row>24</xdr:row>
                    <xdr:rowOff>133350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AD9B7-6B07-4820-96B2-671E53EC0A56}">
  <sheetPr codeName="Sheet2"/>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79AFA4B7-1061-4EA7-BA1D-C140FE862A69}"/>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91698-E1D6-41E9-874F-2CCA1B608A40}">
  <sheetPr codeName="Sheet11"/>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F9296BC2-2E17-4C22-9972-2E0EAB30FD6B}"/>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5361" r:id="rId4"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9AC5-CF57-4136-94C1-2A08263A6DB9}">
  <sheetPr codeName="Sheet18"/>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56578053-3C97-42E9-9899-708F9FA4C6C8}"/>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22529" r:id="rId4"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6EFC-4B78-41A4-A8B8-3A836F254FD3}">
  <sheetPr codeName="Sheet3"/>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E2CDB6AF-036A-4722-AE50-832CD5E83205}"/>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7643-0317-4B43-962D-D4C70F287612}">
  <sheetPr codeName="Sheet12"/>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A54F1149-C4BF-4A58-82DF-0CBD14CD89AE}"/>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6385" r:id="rId4"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5DE87-21F4-41D8-8A30-A9224DE3BC7E}">
  <sheetPr codeName="Sheet17"/>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D97B5B23-71B7-4EAD-A30B-3822A64D6585}"/>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21505" r:id="rId4"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4DAF-8FF8-4DFB-8729-73F647FD6666}">
  <sheetPr codeName="Sheet4"/>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E1387B87-1F59-48E6-8427-47F985250269}"/>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A6D47-D149-4FFD-A18E-F52304E99404}">
  <sheetPr codeName="Sheet13"/>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BF33004B-109A-48F9-8137-47A53DDC8DEB}"/>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BC394-CC44-4C45-8BF5-F06EC3BF62E4}">
  <sheetPr codeName="Sheet16"/>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44880F10-72BA-4120-A97C-5D8505CF467F}"/>
  </hyperlinks>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20481" r:id="rId4" name="Check Box 1">
              <controlPr defaultSize="0" autoFill="0" autoLine="0" autoPict="0">
                <anchor moveWithCells="1">
                  <from>
                    <xdr:col>11</xdr:col>
                    <xdr:colOff>161925</xdr:colOff>
                    <xdr:row>14</xdr:row>
                    <xdr:rowOff>171450</xdr:rowOff>
                  </from>
                  <to>
                    <xdr:col>12</xdr:col>
                    <xdr:colOff>304800</xdr:colOff>
                    <xdr:row>17</xdr:row>
                    <xdr:rowOff>9525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2D66-C983-45C2-AF7E-3FF29E05E5C2}">
  <sheetPr codeName="Sheet5"/>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E441AC4D-8BA4-4731-B11B-A3D85D6FCBD2}"/>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C32CD-C236-49F1-8FB9-35E83A092B65}">
  <sheetPr codeName="Sheet14"/>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CCD48C85-98EC-40A3-A8B9-CCC5C42A662C}"/>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EDCDD-1D95-450B-AD58-4AA0E9CAFE90}">
  <sheetPr codeName="Sheet15"/>
  <dimension ref="B47:G48"/>
  <sheetViews>
    <sheetView showRowColHeaders="0" zoomScale="90" zoomScaleNormal="90" workbookViewId="0"/>
  </sheetViews>
  <sheetFormatPr defaultRowHeight="15" x14ac:dyDescent="0.25"/>
  <sheetData>
    <row r="47" spans="2:7" x14ac:dyDescent="0.25">
      <c r="B47" s="23" t="s">
        <v>98</v>
      </c>
      <c r="C47" s="23"/>
      <c r="D47" s="23"/>
      <c r="E47" s="23"/>
      <c r="F47" s="23"/>
      <c r="G47" s="23"/>
    </row>
    <row r="48" spans="2:7" x14ac:dyDescent="0.25">
      <c r="B48" s="23"/>
      <c r="C48" s="23"/>
      <c r="D48" s="23"/>
      <c r="E48" s="23"/>
      <c r="F48" s="23"/>
      <c r="G48" s="23"/>
    </row>
  </sheetData>
  <mergeCells count="1">
    <mergeCell ref="B47:G48"/>
  </mergeCells>
  <hyperlinks>
    <hyperlink ref="B47" r:id="rId1" xr:uid="{77D40552-10F8-4CB8-BB56-632A8176051F}"/>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A2DB1-CF4D-41EF-80FA-9275DF2E3E1D}">
  <sheetPr codeName="Sheet6"/>
  <dimension ref="A1:X30"/>
  <sheetViews>
    <sheetView workbookViewId="0">
      <selection activeCell="E15" sqref="E15"/>
    </sheetView>
  </sheetViews>
  <sheetFormatPr defaultRowHeight="15" x14ac:dyDescent="0.25"/>
  <cols>
    <col min="1" max="1" width="7.28515625" customWidth="1"/>
    <col min="2" max="2" width="10.5703125" bestFit="1" customWidth="1"/>
    <col min="3" max="3" width="9.7109375" bestFit="1" customWidth="1"/>
    <col min="4" max="4" width="9.7109375" customWidth="1"/>
    <col min="5" max="5" width="11.5703125" bestFit="1" customWidth="1"/>
    <col min="6" max="6" width="11.28515625" bestFit="1" customWidth="1"/>
    <col min="7" max="7" width="9.7109375" customWidth="1"/>
    <col min="8" max="8" width="12.28515625" customWidth="1"/>
    <col min="9" max="9" width="10.28515625" customWidth="1"/>
    <col min="13" max="13" width="14.28515625" bestFit="1" customWidth="1"/>
    <col min="15" max="16" width="8.85546875" style="3"/>
    <col min="17" max="17" width="11" style="3" bestFit="1" customWidth="1"/>
    <col min="18" max="18" width="8.85546875" style="3"/>
  </cols>
  <sheetData>
    <row r="1" spans="1:24" x14ac:dyDescent="0.25">
      <c r="B1" t="b">
        <f>ISNUMBER(MATCH(B2,Control!$A$51:$A$53,0))</f>
        <v>1</v>
      </c>
      <c r="C1" t="b">
        <f>ISNUMBER(MATCH(C2,Control!$A$51:$A$53,0))</f>
        <v>0</v>
      </c>
      <c r="D1" t="b">
        <f>ISNUMBER(MATCH(D2,Control!$A$51:$A$53,0))</f>
        <v>0</v>
      </c>
      <c r="H1" t="b">
        <v>1</v>
      </c>
      <c r="I1" s="5" t="s">
        <v>56</v>
      </c>
      <c r="J1" t="s">
        <v>5</v>
      </c>
      <c r="L1" s="2">
        <f>SUM(K2:K4)</f>
        <v>0.70888888888888901</v>
      </c>
      <c r="O1" s="7" t="s">
        <v>44</v>
      </c>
      <c r="P1" s="5" t="s">
        <v>79</v>
      </c>
      <c r="Q1" s="5" t="s">
        <v>43</v>
      </c>
      <c r="R1" s="5" t="s">
        <v>80</v>
      </c>
      <c r="S1" s="23" t="s">
        <v>98</v>
      </c>
      <c r="T1" s="23"/>
      <c r="U1" s="23"/>
      <c r="V1" s="23"/>
      <c r="W1" s="23"/>
      <c r="X1" s="23"/>
    </row>
    <row r="2" spans="1:24" x14ac:dyDescent="0.25">
      <c r="A2" s="5" t="s">
        <v>24</v>
      </c>
      <c r="B2" s="5" t="s">
        <v>37</v>
      </c>
      <c r="C2" s="5" t="s">
        <v>38</v>
      </c>
      <c r="D2" s="5" t="s">
        <v>39</v>
      </c>
      <c r="E2" s="5" t="s">
        <v>40</v>
      </c>
      <c r="F2" s="5" t="s">
        <v>41</v>
      </c>
      <c r="G2" s="5" t="s">
        <v>42</v>
      </c>
      <c r="H2" s="5" t="s">
        <v>45</v>
      </c>
      <c r="I2" s="3">
        <f>IF($H$1,10,0)</f>
        <v>10</v>
      </c>
      <c r="J2" t="s">
        <v>0</v>
      </c>
      <c r="K2" s="2">
        <f>GETPIVOTDATA(""&amp;J2,Control!$A$3)</f>
        <v>0.16416666666666668</v>
      </c>
      <c r="L2" s="3" t="s">
        <v>4</v>
      </c>
      <c r="O2" s="3">
        <v>2025</v>
      </c>
      <c r="P2" s="3">
        <f>$P$6</f>
        <v>843.56000000000006</v>
      </c>
      <c r="Q2" s="19">
        <f>GETPIVOTDATA(""&amp;Q$1,Control!$A$42,"Year",O2)</f>
        <v>3873</v>
      </c>
      <c r="R2" s="20" t="e">
        <f>IF(ISNUMBER(MATCH(O2,Control!$A$36:$A$39,0)),Q2,NA())</f>
        <v>#N/A</v>
      </c>
      <c r="S2" s="23"/>
      <c r="T2" s="23"/>
      <c r="U2" s="23"/>
      <c r="V2" s="23"/>
      <c r="W2" s="23"/>
      <c r="X2" s="23"/>
    </row>
    <row r="3" spans="1:24" x14ac:dyDescent="0.25">
      <c r="A3" s="3" t="s">
        <v>25</v>
      </c>
      <c r="B3" s="6">
        <f>IF(B$1,GETPIVOTDATA(""&amp;B$2,Control!$A$20,"Month",""&amp;$A3),NA())</f>
        <v>112023</v>
      </c>
      <c r="C3" s="6" t="e">
        <f>IF(C$1,GETPIVOTDATA(""&amp;C$2,Control!$A$20,"Month",""&amp;$A3),NA())</f>
        <v>#N/A</v>
      </c>
      <c r="D3" s="6" t="e">
        <f>IF(D$1,GETPIVOTDATA(""&amp;D$2,Control!$A$20,"Month",""&amp;$A3),NA())</f>
        <v>#N/A</v>
      </c>
      <c r="E3" s="6">
        <f>IF(ISNUMBER(GETPIVOTDATA(""&amp;B$2,Control!$A$3,"Month",""&amp;$A3)),B3,NA())</f>
        <v>112023</v>
      </c>
      <c r="F3" s="6" t="e">
        <f>IF(ISNUMBER(GETPIVOTDATA(""&amp;C$2,Control!$A$3,"Month",""&amp;$A3)),C3,NA())</f>
        <v>#N/A</v>
      </c>
      <c r="G3" s="6" t="e">
        <f>IF(ISNUMBER(GETPIVOTDATA(""&amp;D$2,Control!$A$3,"Month",""&amp;$A3)),D3,NA())</f>
        <v>#N/A</v>
      </c>
      <c r="H3" s="6">
        <f>IF($H$1,GETPIVOTDATA("Sum of Sales Target",Control!$A$20,"Month",""&amp;A3),NA())</f>
        <v>100000</v>
      </c>
      <c r="I3" s="3">
        <f>IF($H$1,0,10)</f>
        <v>0</v>
      </c>
      <c r="J3" t="s">
        <v>1</v>
      </c>
      <c r="K3" s="2">
        <f>GETPIVOTDATA(""&amp;J3,Control!$A$3)</f>
        <v>0.3675000000000001</v>
      </c>
      <c r="L3" t="str">
        <f>J2&amp;CHAR(10)&amp;J3&amp;CHAR(10)&amp;J4&amp;CHAR(10)&amp;J5</f>
        <v>Referral
Social
Organic
Other</v>
      </c>
      <c r="O3" s="3">
        <v>2026</v>
      </c>
      <c r="P3" s="3">
        <f>$P$6</f>
        <v>843.56000000000006</v>
      </c>
      <c r="Q3" s="19">
        <f>GETPIVOTDATA(""&amp;Q$1,Control!$A$42,"Year",O3)</f>
        <v>9235</v>
      </c>
      <c r="R3" s="20" t="e">
        <f>IF(ISNUMBER(MATCH(O3,Control!$A$36:$A$39,0)),Q3,NA())</f>
        <v>#N/A</v>
      </c>
    </row>
    <row r="4" spans="1:24" x14ac:dyDescent="0.25">
      <c r="A4" s="3" t="s">
        <v>26</v>
      </c>
      <c r="B4" s="6">
        <f>IF(B$1,GETPIVOTDATA(""&amp;B$2,Control!$A$20,"Month",""&amp;$A4),NA())</f>
        <v>89374</v>
      </c>
      <c r="C4" s="6" t="e">
        <f>IF(C$1,GETPIVOTDATA(""&amp;C$2,Control!$A$20,"Month",""&amp;$A4),NA())</f>
        <v>#N/A</v>
      </c>
      <c r="D4" s="6" t="e">
        <f>IF(D$1,GETPIVOTDATA(""&amp;D$2,Control!$A$20,"Month",""&amp;$A4),NA())</f>
        <v>#N/A</v>
      </c>
      <c r="E4" s="6">
        <f>IF(ISNUMBER(GETPIVOTDATA(""&amp;B$2,Control!$A$3,"Month",""&amp;$A4)),B4,NA())</f>
        <v>89374</v>
      </c>
      <c r="F4" s="6" t="e">
        <f>IF(ISNUMBER(GETPIVOTDATA(""&amp;C$2,Control!$A$3,"Month",""&amp;$A4)),C4,NA())</f>
        <v>#N/A</v>
      </c>
      <c r="G4" s="6" t="e">
        <f>IF(ISNUMBER(GETPIVOTDATA(""&amp;D$2,Control!$A$3,"Month",""&amp;$A4)),D4,NA())</f>
        <v>#N/A</v>
      </c>
      <c r="H4" s="6">
        <f>IF($H$1,GETPIVOTDATA("Sum of Sales Target",Control!$A$20,"Month",""&amp;A4),NA())</f>
        <v>100000</v>
      </c>
      <c r="J4" t="s">
        <v>2</v>
      </c>
      <c r="K4" s="2">
        <f>GETPIVOTDATA(""&amp;J4,Control!$A$3)</f>
        <v>0.17722222222222225</v>
      </c>
      <c r="L4" t="str">
        <f>TEXT(K2,"0%")&amp;CHAR(10)&amp;TEXT(K3,"0%")&amp;CHAR(10)&amp;TEXT(K4,"0%")&amp;CHAR(10)&amp;TEXT(K5,"0%")</f>
        <v>16%
37%
18%
29%</v>
      </c>
      <c r="O4" s="3">
        <v>2027</v>
      </c>
      <c r="P4" s="3">
        <f>$P$6</f>
        <v>843.56000000000006</v>
      </c>
      <c r="Q4" s="19">
        <f>GETPIVOTDATA(""&amp;Q$1,Control!$A$42,"Year",O4)</f>
        <v>15418</v>
      </c>
      <c r="R4" s="20" t="e">
        <f>IF(ISNUMBER(MATCH(O4,Control!$A$36:$A$39,0)),Q4,NA())</f>
        <v>#N/A</v>
      </c>
    </row>
    <row r="5" spans="1:24" x14ac:dyDescent="0.25">
      <c r="A5" s="3" t="s">
        <v>27</v>
      </c>
      <c r="B5" s="6">
        <f>IF(B$1,GETPIVOTDATA(""&amp;B$2,Control!$A$20,"Month",""&amp;$A5),NA())</f>
        <v>73824</v>
      </c>
      <c r="C5" s="6" t="e">
        <f>IF(C$1,GETPIVOTDATA(""&amp;C$2,Control!$A$20,"Month",""&amp;$A5),NA())</f>
        <v>#N/A</v>
      </c>
      <c r="D5" s="6" t="e">
        <f>IF(D$1,GETPIVOTDATA(""&amp;D$2,Control!$A$20,"Month",""&amp;$A5),NA())</f>
        <v>#N/A</v>
      </c>
      <c r="E5" s="6">
        <f>IF(ISNUMBER(GETPIVOTDATA(""&amp;B$2,Control!$A$3,"Month",""&amp;$A5)),B5,NA())</f>
        <v>73824</v>
      </c>
      <c r="F5" s="6" t="e">
        <f>IF(ISNUMBER(GETPIVOTDATA(""&amp;C$2,Control!$A$3,"Month",""&amp;$A5)),C5,NA())</f>
        <v>#N/A</v>
      </c>
      <c r="G5" s="6" t="e">
        <f>IF(ISNUMBER(GETPIVOTDATA(""&amp;D$2,Control!$A$3,"Month",""&amp;$A5)),D5,NA())</f>
        <v>#N/A</v>
      </c>
      <c r="H5" s="6">
        <f>IF($H$1,GETPIVOTDATA("Sum of Sales Target",Control!$A$20,"Month",""&amp;A5),NA())</f>
        <v>100000</v>
      </c>
      <c r="I5" s="5" t="s">
        <v>57</v>
      </c>
      <c r="J5" t="s">
        <v>3</v>
      </c>
      <c r="K5" s="2">
        <f>GETPIVOTDATA(""&amp;J5,Control!$A$3)</f>
        <v>0.2911111111111111</v>
      </c>
      <c r="O5" s="3">
        <v>2028</v>
      </c>
      <c r="P5" s="3">
        <f>$P$6</f>
        <v>843.56000000000006</v>
      </c>
      <c r="Q5" s="19">
        <f>GETPIVOTDATA(""&amp;Q$1,Control!$A$42,"Year",O5)</f>
        <v>21089</v>
      </c>
      <c r="R5" s="20">
        <f>IF(ISNUMBER(MATCH(O5,Control!$A$36:$A$39,0)),Q5,NA())</f>
        <v>21089</v>
      </c>
    </row>
    <row r="6" spans="1:24" x14ac:dyDescent="0.25">
      <c r="A6" s="3" t="s">
        <v>28</v>
      </c>
      <c r="B6" s="6">
        <f>IF(B$1,GETPIVOTDATA(""&amp;B$2,Control!$A$20,"Month",""&amp;$A6),NA())</f>
        <v>70497</v>
      </c>
      <c r="C6" s="6" t="e">
        <f>IF(C$1,GETPIVOTDATA(""&amp;C$2,Control!$A$20,"Month",""&amp;$A6),NA())</f>
        <v>#N/A</v>
      </c>
      <c r="D6" s="6" t="e">
        <f>IF(D$1,GETPIVOTDATA(""&amp;D$2,Control!$A$20,"Month",""&amp;$A6),NA())</f>
        <v>#N/A</v>
      </c>
      <c r="E6" s="6">
        <f>IF(ISNUMBER(GETPIVOTDATA(""&amp;B$2,Control!$A$3,"Month",""&amp;$A6)),B6,NA())</f>
        <v>70497</v>
      </c>
      <c r="F6" s="6" t="e">
        <f>IF(ISNUMBER(GETPIVOTDATA(""&amp;C$2,Control!$A$3,"Month",""&amp;$A6)),C6,NA())</f>
        <v>#N/A</v>
      </c>
      <c r="G6" s="6" t="e">
        <f>IF(ISNUMBER(GETPIVOTDATA(""&amp;D$2,Control!$A$3,"Month",""&amp;$A6)),D6,NA())</f>
        <v>#N/A</v>
      </c>
      <c r="H6" s="6">
        <f>IF($H$1,GETPIVOTDATA("Sum of Sales Target",Control!$A$20,"Month",""&amp;A6),NA())</f>
        <v>100000</v>
      </c>
      <c r="I6" s="5" t="s">
        <v>37</v>
      </c>
      <c r="P6" s="3">
        <f>MAX(Q2:Q5)*4%</f>
        <v>843.56000000000006</v>
      </c>
      <c r="Q6" s="19"/>
      <c r="R6" s="20">
        <f>GETPIVOTDATA("Sum of Subscribers",Control!$A$3)</f>
        <v>21089</v>
      </c>
    </row>
    <row r="7" spans="1:24" x14ac:dyDescent="0.25">
      <c r="A7" s="3" t="s">
        <v>29</v>
      </c>
      <c r="B7" s="6">
        <f>IF(B$1,GETPIVOTDATA(""&amp;B$2,Control!$A$20,"Month",""&amp;$A7),NA())</f>
        <v>80257</v>
      </c>
      <c r="C7" s="6" t="e">
        <f>IF(C$1,GETPIVOTDATA(""&amp;C$2,Control!$A$20,"Month",""&amp;$A7),NA())</f>
        <v>#N/A</v>
      </c>
      <c r="D7" s="6" t="e">
        <f>IF(D$1,GETPIVOTDATA(""&amp;D$2,Control!$A$20,"Month",""&amp;$A7),NA())</f>
        <v>#N/A</v>
      </c>
      <c r="E7" s="6">
        <f>IF(ISNUMBER(GETPIVOTDATA(""&amp;B$2,Control!$A$3,"Month",""&amp;$A7)),B7,NA())</f>
        <v>80257</v>
      </c>
      <c r="F7" s="6" t="e">
        <f>IF(ISNUMBER(GETPIVOTDATA(""&amp;C$2,Control!$A$3,"Month",""&amp;$A7)),C7,NA())</f>
        <v>#N/A</v>
      </c>
      <c r="G7" s="6" t="e">
        <f>IF(ISNUMBER(GETPIVOTDATA(""&amp;D$2,Control!$A$3,"Month",""&amp;$A7)),D7,NA())</f>
        <v>#N/A</v>
      </c>
      <c r="H7" s="6">
        <f>IF($H$1,GETPIVOTDATA("Sum of Sales Target",Control!$A$20,"Month",""&amp;A7),NA())</f>
        <v>100000</v>
      </c>
      <c r="I7" s="5" t="s">
        <v>38</v>
      </c>
      <c r="K7" t="s">
        <v>22</v>
      </c>
      <c r="L7" t="s">
        <v>23</v>
      </c>
      <c r="M7" s="22" t="s">
        <v>91</v>
      </c>
      <c r="N7" s="3" t="str">
        <f>IF($H$1,H17,"")</f>
        <v>Target</v>
      </c>
      <c r="P7" s="8" t="s">
        <v>47</v>
      </c>
      <c r="Q7" s="8" t="s">
        <v>48</v>
      </c>
    </row>
    <row r="8" spans="1:24" x14ac:dyDescent="0.25">
      <c r="A8" s="3" t="s">
        <v>30</v>
      </c>
      <c r="B8" s="6">
        <f>IF(B$1,GETPIVOTDATA(""&amp;B$2,Control!$A$20,"Month",""&amp;$A8),NA())</f>
        <v>100146</v>
      </c>
      <c r="C8" s="6" t="e">
        <f>IF(C$1,GETPIVOTDATA(""&amp;C$2,Control!$A$20,"Month",""&amp;$A8),NA())</f>
        <v>#N/A</v>
      </c>
      <c r="D8" s="6" t="e">
        <f>IF(D$1,GETPIVOTDATA(""&amp;D$2,Control!$A$20,"Month",""&amp;$A8),NA())</f>
        <v>#N/A</v>
      </c>
      <c r="E8" s="6">
        <f>IF(ISNUMBER(GETPIVOTDATA(""&amp;B$2,Control!$A$3,"Month",""&amp;$A8)),B8,NA())</f>
        <v>100146</v>
      </c>
      <c r="F8" s="6" t="e">
        <f>IF(ISNUMBER(GETPIVOTDATA(""&amp;C$2,Control!$A$3,"Month",""&amp;$A8)),C8,NA())</f>
        <v>#N/A</v>
      </c>
      <c r="G8" s="6" t="e">
        <f>IF(ISNUMBER(GETPIVOTDATA(""&amp;D$2,Control!$A$3,"Month",""&amp;$A8)),D8,NA())</f>
        <v>#N/A</v>
      </c>
      <c r="H8" s="6">
        <f>IF($H$1,GETPIVOTDATA("Sum of Sales Target",Control!$A$20,"Month",""&amp;A8),NA())</f>
        <v>100000</v>
      </c>
      <c r="I8" s="5" t="s">
        <v>39</v>
      </c>
      <c r="J8" t="s">
        <v>6</v>
      </c>
      <c r="K8" s="4" t="s">
        <v>7</v>
      </c>
      <c r="L8" s="2">
        <f>GETPIVOTDATA(""&amp;K8,Control!$A$3)</f>
        <v>0.96666666666666667</v>
      </c>
      <c r="M8" s="9">
        <f>IF($H$1,GETPIVOTDATA("Max of Coverage Target",Control!$A$3),NA())</f>
        <v>1</v>
      </c>
      <c r="N8" s="9">
        <f>IF($H$1,M15,"")</f>
        <v>1</v>
      </c>
      <c r="P8" s="20">
        <f>GETPIVOTDATA("Sum of Leads",Control!$A$3)</f>
        <v>44358</v>
      </c>
      <c r="Q8" s="20">
        <f>GETPIVOTDATA("Sum of Deals",Control!$A$3)</f>
        <v>28942</v>
      </c>
    </row>
    <row r="9" spans="1:24" x14ac:dyDescent="0.25">
      <c r="A9" s="3" t="s">
        <v>31</v>
      </c>
      <c r="B9" s="6">
        <f>IF(B$1,GETPIVOTDATA(""&amp;B$2,Control!$A$20,"Month",""&amp;$A9),NA())</f>
        <v>123979</v>
      </c>
      <c r="C9" s="6" t="e">
        <f>IF(C$1,GETPIVOTDATA(""&amp;C$2,Control!$A$20,"Month",""&amp;$A9),NA())</f>
        <v>#N/A</v>
      </c>
      <c r="D9" s="6" t="e">
        <f>IF(D$1,GETPIVOTDATA(""&amp;D$2,Control!$A$20,"Month",""&amp;$A9),NA())</f>
        <v>#N/A</v>
      </c>
      <c r="E9" s="6">
        <f>IF(ISNUMBER(GETPIVOTDATA(""&amp;B$2,Control!$A$3,"Month",""&amp;$A9)),B9,NA())</f>
        <v>123979</v>
      </c>
      <c r="F9" s="6" t="e">
        <f>IF(ISNUMBER(GETPIVOTDATA(""&amp;C$2,Control!$A$3,"Month",""&amp;$A9)),C9,NA())</f>
        <v>#N/A</v>
      </c>
      <c r="G9" s="6" t="e">
        <f>IF(ISNUMBER(GETPIVOTDATA(""&amp;D$2,Control!$A$3,"Month",""&amp;$A9)),D9,NA())</f>
        <v>#N/A</v>
      </c>
      <c r="H9" s="6">
        <f>IF($H$1,GETPIVOTDATA("Sum of Sales Target",Control!$A$20,"Month",""&amp;A9),NA())</f>
        <v>100000</v>
      </c>
      <c r="J9" t="s">
        <v>8</v>
      </c>
      <c r="K9" s="4" t="s">
        <v>9</v>
      </c>
      <c r="L9" s="2">
        <f>GETPIVOTDATA(""&amp;K9,Control!$A$3)</f>
        <v>0.95833333333333337</v>
      </c>
      <c r="M9" s="9">
        <f>IF($H$1,GETPIVOTDATA("Max of Coverage Target",Control!$A$3),NA())</f>
        <v>1</v>
      </c>
      <c r="P9" t="s">
        <v>81</v>
      </c>
    </row>
    <row r="10" spans="1:24" x14ac:dyDescent="0.25">
      <c r="A10" s="3" t="s">
        <v>32</v>
      </c>
      <c r="B10" s="6">
        <f>IF(B$1,GETPIVOTDATA(""&amp;B$2,Control!$A$20,"Month",""&amp;$A10),NA())</f>
        <v>143879</v>
      </c>
      <c r="C10" s="6" t="e">
        <f>IF(C$1,GETPIVOTDATA(""&amp;C$2,Control!$A$20,"Month",""&amp;$A10),NA())</f>
        <v>#N/A</v>
      </c>
      <c r="D10" s="6" t="e">
        <f>IF(D$1,GETPIVOTDATA(""&amp;D$2,Control!$A$20,"Month",""&amp;$A10),NA())</f>
        <v>#N/A</v>
      </c>
      <c r="E10" s="6">
        <f>IF(ISNUMBER(GETPIVOTDATA(""&amp;B$2,Control!$A$3,"Month",""&amp;$A10)),B10,NA())</f>
        <v>143879</v>
      </c>
      <c r="F10" s="6" t="e">
        <f>IF(ISNUMBER(GETPIVOTDATA(""&amp;C$2,Control!$A$3,"Month",""&amp;$A10)),C10,NA())</f>
        <v>#N/A</v>
      </c>
      <c r="G10" s="6" t="e">
        <f>IF(ISNUMBER(GETPIVOTDATA(""&amp;D$2,Control!$A$3,"Month",""&amp;$A10)),D10,NA())</f>
        <v>#N/A</v>
      </c>
      <c r="H10" s="6">
        <f>IF($H$1,GETPIVOTDATA("Sum of Sales Target",Control!$A$20,"Month",""&amp;A10),NA())</f>
        <v>100000</v>
      </c>
      <c r="J10" t="s">
        <v>11</v>
      </c>
      <c r="K10" s="4" t="s">
        <v>10</v>
      </c>
      <c r="L10" s="2">
        <f>GETPIVOTDATA(""&amp;K10,Control!$A$3)</f>
        <v>0.95000000000000007</v>
      </c>
      <c r="M10" s="9">
        <f>IF($H$1,GETPIVOTDATA("Max of Coverage Target",Control!$A$3),NA())</f>
        <v>1</v>
      </c>
      <c r="P10" s="9">
        <f>Q8/P8</f>
        <v>0.65246404256278456</v>
      </c>
      <c r="Q10" s="9">
        <f>1-P10</f>
        <v>0.34753595743721544</v>
      </c>
    </row>
    <row r="11" spans="1:24" x14ac:dyDescent="0.25">
      <c r="A11" s="3" t="s">
        <v>33</v>
      </c>
      <c r="B11" s="6">
        <f>IF(B$1,GETPIVOTDATA(""&amp;B$2,Control!$A$20,"Month",""&amp;$A11),NA())</f>
        <v>153629</v>
      </c>
      <c r="C11" s="6" t="e">
        <f>IF(C$1,GETPIVOTDATA(""&amp;C$2,Control!$A$20,"Month",""&amp;$A11),NA())</f>
        <v>#N/A</v>
      </c>
      <c r="D11" s="6" t="e">
        <f>IF(D$1,GETPIVOTDATA(""&amp;D$2,Control!$A$20,"Month",""&amp;$A11),NA())</f>
        <v>#N/A</v>
      </c>
      <c r="E11" s="6">
        <f>IF(ISNUMBER(GETPIVOTDATA(""&amp;B$2,Control!$A$3,"Month",""&amp;$A11)),B11,NA())</f>
        <v>153629</v>
      </c>
      <c r="F11" s="6" t="e">
        <f>IF(ISNUMBER(GETPIVOTDATA(""&amp;C$2,Control!$A$3,"Month",""&amp;$A11)),C11,NA())</f>
        <v>#N/A</v>
      </c>
      <c r="G11" s="6" t="e">
        <f>IF(ISNUMBER(GETPIVOTDATA(""&amp;D$2,Control!$A$3,"Month",""&amp;$A11)),D11,NA())</f>
        <v>#N/A</v>
      </c>
      <c r="H11" s="6">
        <f>IF($H$1,GETPIVOTDATA("Sum of Sales Target",Control!$A$20,"Month",""&amp;A11),NA())</f>
        <v>100000</v>
      </c>
      <c r="J11" t="s">
        <v>12</v>
      </c>
      <c r="K11" s="4" t="s">
        <v>13</v>
      </c>
      <c r="L11" s="2">
        <f>GETPIVOTDATA(""&amp;K11,Control!$A$3)</f>
        <v>0.94166666666666676</v>
      </c>
      <c r="M11" s="9">
        <f>IF($H$1,GETPIVOTDATA("Max of Coverage Target",Control!$A$3),NA())</f>
        <v>1</v>
      </c>
      <c r="P11"/>
    </row>
    <row r="12" spans="1:24" x14ac:dyDescent="0.25">
      <c r="A12" s="3" t="s">
        <v>34</v>
      </c>
      <c r="B12" s="6">
        <f>IF(B$1,GETPIVOTDATA(""&amp;B$2,Control!$A$20,"Month",""&amp;$A12),NA())</f>
        <v>150252</v>
      </c>
      <c r="C12" s="6" t="e">
        <f>IF(C$1,GETPIVOTDATA(""&amp;C$2,Control!$A$20,"Month",""&amp;$A12),NA())</f>
        <v>#N/A</v>
      </c>
      <c r="D12" s="6" t="e">
        <f>IF(D$1,GETPIVOTDATA(""&amp;D$2,Control!$A$20,"Month",""&amp;$A12),NA())</f>
        <v>#N/A</v>
      </c>
      <c r="E12" s="6">
        <f>IF(ISNUMBER(GETPIVOTDATA(""&amp;B$2,Control!$A$3,"Month",""&amp;$A12)),B12,NA())</f>
        <v>150252</v>
      </c>
      <c r="F12" s="6" t="e">
        <f>IF(ISNUMBER(GETPIVOTDATA(""&amp;C$2,Control!$A$3,"Month",""&amp;$A12)),C12,NA())</f>
        <v>#N/A</v>
      </c>
      <c r="G12" s="6" t="e">
        <f>IF(ISNUMBER(GETPIVOTDATA(""&amp;D$2,Control!$A$3,"Month",""&amp;$A12)),D12,NA())</f>
        <v>#N/A</v>
      </c>
      <c r="H12" s="6">
        <f>IF($H$1,GETPIVOTDATA("Sum of Sales Target",Control!$A$20,"Month",""&amp;A12),NA())</f>
        <v>100000</v>
      </c>
      <c r="J12" t="s">
        <v>14</v>
      </c>
      <c r="K12" s="4" t="s">
        <v>15</v>
      </c>
      <c r="L12" s="2">
        <f>GETPIVOTDATA(""&amp;K12,Control!$A$3)</f>
        <v>0.93333333333333346</v>
      </c>
      <c r="M12" s="9">
        <f>IF($H$1,GETPIVOTDATA("Max of Coverage Target",Control!$A$3),NA())</f>
        <v>1</v>
      </c>
      <c r="P12" s="3" t="s">
        <v>55</v>
      </c>
      <c r="Q12" s="9">
        <f>E15/H15</f>
        <v>1.1206375</v>
      </c>
    </row>
    <row r="13" spans="1:24" x14ac:dyDescent="0.25">
      <c r="A13" s="3" t="s">
        <v>35</v>
      </c>
      <c r="B13" s="6">
        <f>IF(B$1,GETPIVOTDATA(""&amp;B$2,Control!$A$20,"Month",""&amp;$A13),NA())</f>
        <v>134779</v>
      </c>
      <c r="C13" s="6" t="e">
        <f>IF(C$1,GETPIVOTDATA(""&amp;C$2,Control!$A$20,"Month",""&amp;$A13),NA())</f>
        <v>#N/A</v>
      </c>
      <c r="D13" s="6" t="e">
        <f>IF(D$1,GETPIVOTDATA(""&amp;D$2,Control!$A$20,"Month",""&amp;$A13),NA())</f>
        <v>#N/A</v>
      </c>
      <c r="E13" s="6">
        <f>IF(ISNUMBER(GETPIVOTDATA(""&amp;B$2,Control!$A$3,"Month",""&amp;$A13)),B13,NA())</f>
        <v>134779</v>
      </c>
      <c r="F13" s="6" t="e">
        <f>IF(ISNUMBER(GETPIVOTDATA(""&amp;C$2,Control!$A$3,"Month",""&amp;$A13)),C13,NA())</f>
        <v>#N/A</v>
      </c>
      <c r="G13" s="6" t="e">
        <f>IF(ISNUMBER(GETPIVOTDATA(""&amp;D$2,Control!$A$3,"Month",""&amp;$A13)),D13,NA())</f>
        <v>#N/A</v>
      </c>
      <c r="H13" s="6">
        <f>IF($H$1,GETPIVOTDATA("Sum of Sales Target",Control!$A$20,"Month",""&amp;A13),NA())</f>
        <v>100000</v>
      </c>
      <c r="J13" t="s">
        <v>16</v>
      </c>
      <c r="K13" s="4" t="s">
        <v>17</v>
      </c>
      <c r="L13" s="2">
        <f>GETPIVOTDATA(""&amp;K13,Control!$A$3)</f>
        <v>0.91666666666666685</v>
      </c>
      <c r="M13" s="9">
        <f>IF($H$1,GETPIVOTDATA("Max of Coverage Target",Control!$A$3),NA())</f>
        <v>1</v>
      </c>
      <c r="P13" s="9">
        <f>IF($Q$12&gt;100%,0,$Q$12)</f>
        <v>0</v>
      </c>
    </row>
    <row r="14" spans="1:24" x14ac:dyDescent="0.25">
      <c r="A14" s="3" t="s">
        <v>36</v>
      </c>
      <c r="B14" s="6">
        <f>IF(B$1,GETPIVOTDATA(""&amp;B$2,Control!$A$20,"Month",""&amp;$A14),NA())</f>
        <v>112126</v>
      </c>
      <c r="C14" s="6" t="e">
        <f>IF(C$1,GETPIVOTDATA(""&amp;C$2,Control!$A$20,"Month",""&amp;$A14),NA())</f>
        <v>#N/A</v>
      </c>
      <c r="D14" s="6" t="e">
        <f>IF(D$1,GETPIVOTDATA(""&amp;D$2,Control!$A$20,"Month",""&amp;$A14),NA())</f>
        <v>#N/A</v>
      </c>
      <c r="E14" s="6">
        <f>IF(ISNUMBER(GETPIVOTDATA(""&amp;B$2,Control!$A$3,"Month",""&amp;$A14)),B14,NA())</f>
        <v>112126</v>
      </c>
      <c r="F14" s="6" t="e">
        <f>IF(ISNUMBER(GETPIVOTDATA(""&amp;C$2,Control!$A$3,"Month",""&amp;$A14)),C14,NA())</f>
        <v>#N/A</v>
      </c>
      <c r="G14" s="6" t="e">
        <f>IF(ISNUMBER(GETPIVOTDATA(""&amp;D$2,Control!$A$3,"Month",""&amp;$A14)),D14,NA())</f>
        <v>#N/A</v>
      </c>
      <c r="H14" s="6">
        <f>IF($H$1,GETPIVOTDATA("Sum of Sales Target",Control!$A$20,"Month",""&amp;A14),NA())</f>
        <v>100000</v>
      </c>
      <c r="J14" t="s">
        <v>18</v>
      </c>
      <c r="K14" s="4" t="s">
        <v>19</v>
      </c>
      <c r="L14" s="2">
        <f>GETPIVOTDATA(""&amp;K14,Control!$A$3)</f>
        <v>0.9</v>
      </c>
      <c r="M14" s="9">
        <f>IF($H$1,GETPIVOTDATA("Max of Coverage Target",Control!$A$3),NA())</f>
        <v>1</v>
      </c>
      <c r="P14" s="9">
        <f>IF($Q$12&gt;100%,0,1-P13)</f>
        <v>0</v>
      </c>
    </row>
    <row r="15" spans="1:24" x14ac:dyDescent="0.25">
      <c r="E15" s="6">
        <f>GETPIVOTDATA(""&amp;B2,Control!$A$3)</f>
        <v>1344765</v>
      </c>
      <c r="F15" s="6">
        <f>GETPIVOTDATA(""&amp;C2,Control!$A$3)</f>
        <v>1277190</v>
      </c>
      <c r="G15" s="6">
        <f>GETPIVOTDATA(""&amp;D2,Control!$A$3)</f>
        <v>67575</v>
      </c>
      <c r="H15" s="6">
        <f>GETPIVOTDATA(""&amp;H2,Control!$A$3)</f>
        <v>1200000</v>
      </c>
      <c r="J15" t="s">
        <v>21</v>
      </c>
      <c r="K15" s="4" t="s">
        <v>20</v>
      </c>
      <c r="L15" s="2">
        <f>GETPIVOTDATA(""&amp;K15,Control!$A$3)</f>
        <v>0.88333333333333341</v>
      </c>
      <c r="M15" s="9">
        <f>IF($H$1,GETPIVOTDATA("Max of Coverage Target",Control!$A$3),NA())</f>
        <v>1</v>
      </c>
      <c r="P15" s="9">
        <f>IF($Q$12&gt;100%,Q12-1,0)</f>
        <v>0.12063749999999995</v>
      </c>
    </row>
    <row r="16" spans="1:24" x14ac:dyDescent="0.25">
      <c r="C16" t="b">
        <f>ISNUMBER(MATCH(C17,Control!$A$58:$A$59,0))</f>
        <v>1</v>
      </c>
      <c r="D16" t="b">
        <f>ISNUMBER(MATCH(D17,Control!$A$58:$A$59,0))</f>
        <v>1</v>
      </c>
      <c r="L16" s="2">
        <f>AVERAGE(L8:L15)</f>
        <v>0.93125000000000013</v>
      </c>
      <c r="P16" s="9">
        <f>IF($Q$12&gt;100%,1-P15,0)</f>
        <v>0.87936250000000005</v>
      </c>
    </row>
    <row r="17" spans="1:17" x14ac:dyDescent="0.25">
      <c r="A17" s="5" t="s">
        <v>24</v>
      </c>
      <c r="B17" s="5" t="s">
        <v>79</v>
      </c>
      <c r="C17" s="8" t="s">
        <v>82</v>
      </c>
      <c r="D17" s="8" t="s">
        <v>88</v>
      </c>
      <c r="E17" s="5" t="s">
        <v>85</v>
      </c>
      <c r="F17" s="5" t="s">
        <v>84</v>
      </c>
      <c r="G17" s="5" t="s">
        <v>42</v>
      </c>
      <c r="H17" t="s">
        <v>55</v>
      </c>
      <c r="I17" s="5" t="s">
        <v>87</v>
      </c>
      <c r="K17" s="5" t="s">
        <v>24</v>
      </c>
      <c r="L17" s="5" t="s">
        <v>0</v>
      </c>
      <c r="M17" s="5" t="s">
        <v>1</v>
      </c>
      <c r="N17" s="5" t="s">
        <v>2</v>
      </c>
      <c r="O17" s="5" t="s">
        <v>3</v>
      </c>
      <c r="P17" s="5" t="s">
        <v>80</v>
      </c>
      <c r="Q17" s="3" t="s">
        <v>97</v>
      </c>
    </row>
    <row r="18" spans="1:17" x14ac:dyDescent="0.25">
      <c r="A18" s="3" t="s">
        <v>25</v>
      </c>
      <c r="B18" s="3">
        <f>$B$30</f>
        <v>71.92</v>
      </c>
      <c r="C18" s="3">
        <f>IF(C$16,GETPIVOTDATA(""&amp;C$17,Control!$A$20,"Month",""&amp;$A18),NA())</f>
        <v>1090</v>
      </c>
      <c r="D18" s="3">
        <f>IF(D$16,GETPIVOTDATA(""&amp;D$17,Control!$A$20,"Month",""&amp;$A18),NA())</f>
        <v>474</v>
      </c>
      <c r="E18" s="3">
        <f>B18</f>
        <v>71.92</v>
      </c>
      <c r="F18" s="3">
        <f>IF(ISNUMBER(GETPIVOTDATA("Sum of Revenue",Control!$A$3,"Month",""&amp;$A18)),C18,NA())</f>
        <v>1090</v>
      </c>
      <c r="G18" s="3">
        <f>IF(ISNUMBER(GETPIVOTDATA("Sum of Revenue",Control!$A$3,"Month",""&amp;$A18)),D18,NA())</f>
        <v>474</v>
      </c>
      <c r="H18" s="3">
        <f>IF($H$1,GETPIVOTDATA(""&amp;H$30,Control!$A$20,"Month",""&amp;A3),NA())</f>
        <v>1800</v>
      </c>
      <c r="I18" s="8" t="s">
        <v>82</v>
      </c>
      <c r="K18" s="3" t="s">
        <v>25</v>
      </c>
      <c r="L18" s="9">
        <f>IF(L$30,GETPIVOTDATA(""&amp;L$17,Control!$A$20,"Month",""&amp;$K18),NA())</f>
        <v>0.13</v>
      </c>
      <c r="M18" s="9">
        <f>IF(M$30,GETPIVOTDATA(""&amp;M$17,Control!$A$20,"Month",""&amp;$K18),NA())</f>
        <v>0.31</v>
      </c>
      <c r="N18" s="9">
        <f>IF(N$30,GETPIVOTDATA(""&amp;N$17,Control!$A$20,"Month",""&amp;$K18),NA())</f>
        <v>0.14666666666666667</v>
      </c>
      <c r="O18" s="9">
        <f>IF(O$30,GETPIVOTDATA(""&amp;O$17,Control!$A$20,"Month",""&amp;$K18),NA())</f>
        <v>0.41333333333333333</v>
      </c>
      <c r="P18" s="9" cm="1">
        <f t="array" ref="P18">IF(ISNA(F18),F18,MAX(IFERROR($L$18:$O$29,0)+10%))</f>
        <v>0.63333333333333341</v>
      </c>
      <c r="Q18" s="5" t="s">
        <v>0</v>
      </c>
    </row>
    <row r="19" spans="1:17" x14ac:dyDescent="0.25">
      <c r="A19" s="3" t="s">
        <v>26</v>
      </c>
      <c r="B19" s="3">
        <f t="shared" ref="B19:B29" si="0">$B$30</f>
        <v>71.92</v>
      </c>
      <c r="C19" s="3">
        <f>IF(C$16,GETPIVOTDATA(""&amp;C$17,Control!$A$20,"Month",""&amp;$A19),NA())</f>
        <v>956</v>
      </c>
      <c r="D19" s="3">
        <f>IF(D$16,GETPIVOTDATA(""&amp;D$17,Control!$A$20,"Month",""&amp;$A19),NA())</f>
        <v>561</v>
      </c>
      <c r="E19" s="3">
        <f t="shared" ref="E19:E29" si="1">B19</f>
        <v>71.92</v>
      </c>
      <c r="F19" s="3">
        <f>IF(ISNUMBER(GETPIVOTDATA("Sum of Revenue",Control!$A$3,"Month",""&amp;$A19)),C19,NA())</f>
        <v>956</v>
      </c>
      <c r="G19" s="3">
        <f>IF(ISNUMBER(GETPIVOTDATA("Sum of Revenue",Control!$A$3,"Month",""&amp;$A19)),D19,NA())</f>
        <v>561</v>
      </c>
      <c r="H19" s="3">
        <f>IF($H$1,GETPIVOTDATA(""&amp;H$30,Control!$A$20,"Month",""&amp;A4),NA())</f>
        <v>1800</v>
      </c>
      <c r="I19" s="8" t="s">
        <v>88</v>
      </c>
      <c r="K19" s="3" t="s">
        <v>26</v>
      </c>
      <c r="L19" s="9">
        <f>IF(L$30,GETPIVOTDATA(""&amp;L$17,Control!$A$20,"Month",""&amp;$K19),NA())</f>
        <v>0.21</v>
      </c>
      <c r="M19" s="9">
        <f>IF(M$30,GETPIVOTDATA(""&amp;M$17,Control!$A$20,"Month",""&amp;$K19),NA())</f>
        <v>0.44</v>
      </c>
      <c r="N19" s="9">
        <f>IF(N$30,GETPIVOTDATA(""&amp;N$17,Control!$A$20,"Month",""&amp;$K19),NA())</f>
        <v>0.21666666666666667</v>
      </c>
      <c r="O19" s="9">
        <f>IF(O$30,GETPIVOTDATA(""&amp;O$17,Control!$A$20,"Month",""&amp;$K19),NA())</f>
        <v>0.1333333333333333</v>
      </c>
      <c r="P19" s="9" cm="1">
        <f t="array" ref="P19">IF(ISNA(F19),F19,MAX(IFERROR($L$18:$O$29,0)+10%))</f>
        <v>0.63333333333333341</v>
      </c>
      <c r="Q19" s="5" t="s">
        <v>1</v>
      </c>
    </row>
    <row r="20" spans="1:17" x14ac:dyDescent="0.25">
      <c r="A20" s="3" t="s">
        <v>27</v>
      </c>
      <c r="B20" s="3">
        <f t="shared" si="0"/>
        <v>71.92</v>
      </c>
      <c r="C20" s="3">
        <f>IF(C$16,GETPIVOTDATA(""&amp;C$17,Control!$A$20,"Month",""&amp;$A20),NA())</f>
        <v>969</v>
      </c>
      <c r="D20" s="3">
        <f>IF(D$16,GETPIVOTDATA(""&amp;D$17,Control!$A$20,"Month",""&amp;$A20),NA())</f>
        <v>614</v>
      </c>
      <c r="E20" s="3">
        <f t="shared" si="1"/>
        <v>71.92</v>
      </c>
      <c r="F20" s="3">
        <f>IF(ISNUMBER(GETPIVOTDATA("Sum of Revenue",Control!$A$3,"Month",""&amp;$A20)),C20,NA())</f>
        <v>969</v>
      </c>
      <c r="G20" s="3">
        <f>IF(ISNUMBER(GETPIVOTDATA("Sum of Revenue",Control!$A$3,"Month",""&amp;$A20)),D20,NA())</f>
        <v>614</v>
      </c>
      <c r="H20" s="3">
        <f>IF($H$1,GETPIVOTDATA(""&amp;H$30,Control!$A$20,"Month",""&amp;A5),NA())</f>
        <v>1800</v>
      </c>
      <c r="K20" s="3" t="s">
        <v>27</v>
      </c>
      <c r="L20" s="9">
        <f>IF(L$30,GETPIVOTDATA(""&amp;L$17,Control!$A$20,"Month",""&amp;$K20),NA())</f>
        <v>0.18</v>
      </c>
      <c r="M20" s="9">
        <f>IF(M$30,GETPIVOTDATA(""&amp;M$17,Control!$A$20,"Month",""&amp;$K20),NA())</f>
        <v>0.27</v>
      </c>
      <c r="N20" s="9">
        <f>IF(N$30,GETPIVOTDATA(""&amp;N$17,Control!$A$20,"Month",""&amp;$K20),NA())</f>
        <v>0.15</v>
      </c>
      <c r="O20" s="9">
        <f>IF(O$30,GETPIVOTDATA(""&amp;O$17,Control!$A$20,"Month",""&amp;$K20),NA())</f>
        <v>0.4</v>
      </c>
      <c r="P20" s="9" cm="1">
        <f t="array" ref="P20">IF(ISNA(F20),F20,MAX(IFERROR($L$18:$O$29,0)+10%))</f>
        <v>0.63333333333333341</v>
      </c>
      <c r="Q20" s="5" t="s">
        <v>2</v>
      </c>
    </row>
    <row r="21" spans="1:17" x14ac:dyDescent="0.25">
      <c r="A21" s="3" t="s">
        <v>28</v>
      </c>
      <c r="B21" s="3">
        <f t="shared" si="0"/>
        <v>71.92</v>
      </c>
      <c r="C21" s="3">
        <f>IF(C$16,GETPIVOTDATA(""&amp;C$17,Control!$A$20,"Month",""&amp;$A21),NA())</f>
        <v>1430</v>
      </c>
      <c r="D21" s="3">
        <f>IF(D$16,GETPIVOTDATA(""&amp;D$17,Control!$A$20,"Month",""&amp;$A21),NA())</f>
        <v>254</v>
      </c>
      <c r="E21" s="3">
        <f t="shared" si="1"/>
        <v>71.92</v>
      </c>
      <c r="F21" s="3">
        <f>IF(ISNUMBER(GETPIVOTDATA("Sum of Revenue",Control!$A$3,"Month",""&amp;$A21)),C21,NA())</f>
        <v>1430</v>
      </c>
      <c r="G21" s="3">
        <f>IF(ISNUMBER(GETPIVOTDATA("Sum of Revenue",Control!$A$3,"Month",""&amp;$A21)),D21,NA())</f>
        <v>254</v>
      </c>
      <c r="H21" s="3">
        <f>IF($H$1,GETPIVOTDATA(""&amp;H$30,Control!$A$20,"Month",""&amp;A6),NA())</f>
        <v>1800</v>
      </c>
      <c r="I21" s="3" t="str">
        <f>IF(H1,"Total Target","")</f>
        <v>Total Target</v>
      </c>
      <c r="K21" s="3" t="s">
        <v>28</v>
      </c>
      <c r="L21" s="9">
        <f>IF(L$30,GETPIVOTDATA(""&amp;L$17,Control!$A$20,"Month",""&amp;$K21),NA())</f>
        <v>7.0000000000000007E-2</v>
      </c>
      <c r="M21" s="9">
        <f>IF(M$30,GETPIVOTDATA(""&amp;M$17,Control!$A$20,"Month",""&amp;$K21),NA())</f>
        <v>0.47</v>
      </c>
      <c r="N21" s="9">
        <f>IF(N$30,GETPIVOTDATA(""&amp;N$17,Control!$A$20,"Month",""&amp;$K21),NA())</f>
        <v>0.18000000000000002</v>
      </c>
      <c r="O21" s="9">
        <f>IF(O$30,GETPIVOTDATA(""&amp;O$17,Control!$A$20,"Month",""&amp;$K21),NA())</f>
        <v>0.27999999999999992</v>
      </c>
      <c r="P21" s="9" cm="1">
        <f t="array" ref="P21">IF(ISNA(F21),F21,MAX(IFERROR($L$18:$O$29,0)+10%))</f>
        <v>0.63333333333333341</v>
      </c>
      <c r="Q21" s="5" t="s">
        <v>3</v>
      </c>
    </row>
    <row r="22" spans="1:17" x14ac:dyDescent="0.25">
      <c r="A22" s="3" t="s">
        <v>29</v>
      </c>
      <c r="B22" s="3">
        <f t="shared" si="0"/>
        <v>71.92</v>
      </c>
      <c r="C22" s="3">
        <f>IF(C$16,GETPIVOTDATA(""&amp;C$17,Control!$A$20,"Month",""&amp;$A22),NA())</f>
        <v>834</v>
      </c>
      <c r="D22" s="3">
        <f>IF(D$16,GETPIVOTDATA(""&amp;D$17,Control!$A$20,"Month",""&amp;$A22),NA())</f>
        <v>913</v>
      </c>
      <c r="E22" s="3">
        <f t="shared" si="1"/>
        <v>71.92</v>
      </c>
      <c r="F22" s="3">
        <f>IF(ISNUMBER(GETPIVOTDATA("Sum of Revenue",Control!$A$3,"Month",""&amp;$A22)),C22,NA())</f>
        <v>834</v>
      </c>
      <c r="G22" s="3">
        <f>IF(ISNUMBER(GETPIVOTDATA("Sum of Revenue",Control!$A$3,"Month",""&amp;$A22)),D22,NA())</f>
        <v>913</v>
      </c>
      <c r="H22" s="3">
        <f>IF($H$1,GETPIVOTDATA(""&amp;H$30,Control!$A$20,"Month",""&amp;A7),NA())</f>
        <v>1800</v>
      </c>
      <c r="I22" s="3">
        <f>IF(H1,H18,"")</f>
        <v>1800</v>
      </c>
      <c r="K22" s="3" t="s">
        <v>29</v>
      </c>
      <c r="L22" s="9">
        <f>IF(L$30,GETPIVOTDATA(""&amp;L$17,Control!$A$20,"Month",""&amp;$K22),NA())</f>
        <v>0.12</v>
      </c>
      <c r="M22" s="9">
        <f>IF(M$30,GETPIVOTDATA(""&amp;M$17,Control!$A$20,"Month",""&amp;$K22),NA())</f>
        <v>0.44</v>
      </c>
      <c r="N22" s="9">
        <f>IF(N$30,GETPIVOTDATA(""&amp;N$17,Control!$A$20,"Month",""&amp;$K22),NA())</f>
        <v>0.18666666666666668</v>
      </c>
      <c r="O22" s="9">
        <f>IF(O$30,GETPIVOTDATA(""&amp;O$17,Control!$A$20,"Month",""&amp;$K22),NA())</f>
        <v>0.2533333333333333</v>
      </c>
      <c r="P22" s="9" cm="1">
        <f t="array" ref="P22">IF(ISNA(F22),F22,MAX(IFERROR($L$18:$O$29,0)+10%))</f>
        <v>0.63333333333333341</v>
      </c>
    </row>
    <row r="23" spans="1:17" x14ac:dyDescent="0.25">
      <c r="A23" s="3" t="s">
        <v>30</v>
      </c>
      <c r="B23" s="3">
        <f t="shared" si="0"/>
        <v>71.92</v>
      </c>
      <c r="C23" s="3">
        <f>IF(C$16,GETPIVOTDATA(""&amp;C$17,Control!$A$20,"Month",""&amp;$A23),NA())</f>
        <v>961</v>
      </c>
      <c r="D23" s="3">
        <f>IF(D$16,GETPIVOTDATA(""&amp;D$17,Control!$A$20,"Month",""&amp;$A23),NA())</f>
        <v>803</v>
      </c>
      <c r="E23" s="3">
        <f t="shared" si="1"/>
        <v>71.92</v>
      </c>
      <c r="F23" s="3">
        <f>IF(ISNUMBER(GETPIVOTDATA("Sum of Revenue",Control!$A$3,"Month",""&amp;$A23)),C23,NA())</f>
        <v>961</v>
      </c>
      <c r="G23" s="3">
        <f>IF(ISNUMBER(GETPIVOTDATA("Sum of Revenue",Control!$A$3,"Month",""&amp;$A23)),D23,NA())</f>
        <v>803</v>
      </c>
      <c r="H23" s="3">
        <f>IF($H$1,GETPIVOTDATA(""&amp;H$30,Control!$A$20,"Month",""&amp;A8),NA())</f>
        <v>1800</v>
      </c>
      <c r="K23" s="3" t="s">
        <v>30</v>
      </c>
      <c r="L23" s="9">
        <f>IF(L$30,GETPIVOTDATA(""&amp;L$17,Control!$A$20,"Month",""&amp;$K23),NA())</f>
        <v>0.25</v>
      </c>
      <c r="M23" s="9">
        <f>IF(M$30,GETPIVOTDATA(""&amp;M$17,Control!$A$20,"Month",""&amp;$K23),NA())</f>
        <v>0.38</v>
      </c>
      <c r="N23" s="9">
        <f>IF(N$30,GETPIVOTDATA(""&amp;N$17,Control!$A$20,"Month",""&amp;$K23),NA())</f>
        <v>0.21</v>
      </c>
      <c r="O23" s="9">
        <f>IF(O$30,GETPIVOTDATA(""&amp;O$17,Control!$A$20,"Month",""&amp;$K23),NA())</f>
        <v>0.16000000000000003</v>
      </c>
      <c r="P23" s="9" cm="1">
        <f t="array" ref="P23">IF(ISNA(F23),F23,MAX(IFERROR($L$18:$O$29,0)+10%))</f>
        <v>0.63333333333333341</v>
      </c>
    </row>
    <row r="24" spans="1:17" x14ac:dyDescent="0.25">
      <c r="A24" s="3" t="s">
        <v>31</v>
      </c>
      <c r="B24" s="3">
        <f t="shared" si="0"/>
        <v>71.92</v>
      </c>
      <c r="C24" s="3">
        <f>IF(C$16,GETPIVOTDATA(""&amp;C$17,Control!$A$20,"Month",""&amp;$A24),NA())</f>
        <v>1644</v>
      </c>
      <c r="D24" s="3">
        <f>IF(D$16,GETPIVOTDATA(""&amp;D$17,Control!$A$20,"Month",""&amp;$A24),NA())</f>
        <v>149</v>
      </c>
      <c r="E24" s="3">
        <f t="shared" si="1"/>
        <v>71.92</v>
      </c>
      <c r="F24" s="3">
        <f>IF(ISNUMBER(GETPIVOTDATA("Sum of Revenue",Control!$A$3,"Month",""&amp;$A24)),C24,NA())</f>
        <v>1644</v>
      </c>
      <c r="G24" s="3">
        <f>IF(ISNUMBER(GETPIVOTDATA("Sum of Revenue",Control!$A$3,"Month",""&amp;$A24)),D24,NA())</f>
        <v>149</v>
      </c>
      <c r="H24" s="3">
        <f>IF($H$1,GETPIVOTDATA(""&amp;H$30,Control!$A$20,"Month",""&amp;A9),NA())</f>
        <v>1800</v>
      </c>
      <c r="K24" s="3" t="s">
        <v>31</v>
      </c>
      <c r="L24" s="9">
        <f>IF(L$30,GETPIVOTDATA(""&amp;L$17,Control!$A$20,"Month",""&amp;$K24),NA())</f>
        <v>0.18</v>
      </c>
      <c r="M24" s="9">
        <f>IF(M$30,GETPIVOTDATA(""&amp;M$17,Control!$A$20,"Month",""&amp;$K24),NA())</f>
        <v>0.48</v>
      </c>
      <c r="N24" s="9">
        <f>IF(N$30,GETPIVOTDATA(""&amp;N$17,Control!$A$20,"Month",""&amp;$K24),NA())</f>
        <v>0.21999999999999997</v>
      </c>
      <c r="O24" s="9">
        <f>IF(O$30,GETPIVOTDATA(""&amp;O$17,Control!$A$20,"Month",""&amp;$K24),NA())</f>
        <v>0.12000000000000011</v>
      </c>
      <c r="P24" s="9" cm="1">
        <f t="array" ref="P24">IF(ISNA(F24),F24,MAX(IFERROR($L$18:$O$29,0)+10%))</f>
        <v>0.63333333333333341</v>
      </c>
    </row>
    <row r="25" spans="1:17" x14ac:dyDescent="0.25">
      <c r="A25" s="3" t="s">
        <v>32</v>
      </c>
      <c r="B25" s="3">
        <f t="shared" si="0"/>
        <v>71.92</v>
      </c>
      <c r="C25" s="3">
        <f>IF(C$16,GETPIVOTDATA(""&amp;C$17,Control!$A$20,"Month",""&amp;$A25),NA())</f>
        <v>1637</v>
      </c>
      <c r="D25" s="3">
        <f>IF(D$16,GETPIVOTDATA(""&amp;D$17,Control!$A$20,"Month",""&amp;$A25),NA())</f>
        <v>149</v>
      </c>
      <c r="E25" s="3">
        <f t="shared" si="1"/>
        <v>71.92</v>
      </c>
      <c r="F25" s="3">
        <f>IF(ISNUMBER(GETPIVOTDATA("Sum of Revenue",Control!$A$3,"Month",""&amp;$A25)),C25,NA())</f>
        <v>1637</v>
      </c>
      <c r="G25" s="3">
        <f>IF(ISNUMBER(GETPIVOTDATA("Sum of Revenue",Control!$A$3,"Month",""&amp;$A25)),D25,NA())</f>
        <v>149</v>
      </c>
      <c r="H25" s="3">
        <f>IF($H$1,GETPIVOTDATA(""&amp;H$30,Control!$A$20,"Month",""&amp;A10),NA())</f>
        <v>1800</v>
      </c>
      <c r="K25" s="3" t="s">
        <v>32</v>
      </c>
      <c r="L25" s="9">
        <f>IF(L$30,GETPIVOTDATA(""&amp;L$17,Control!$A$20,"Month",""&amp;$K25),NA())</f>
        <v>0.18</v>
      </c>
      <c r="M25" s="9">
        <f>IF(M$30,GETPIVOTDATA(""&amp;M$17,Control!$A$20,"Month",""&amp;$K25),NA())</f>
        <v>0.43</v>
      </c>
      <c r="N25" s="9">
        <f>IF(N$30,GETPIVOTDATA(""&amp;N$17,Control!$A$20,"Month",""&amp;$K25),NA())</f>
        <v>0.20333333333333334</v>
      </c>
      <c r="O25" s="9">
        <f>IF(O$30,GETPIVOTDATA(""&amp;O$17,Control!$A$20,"Month",""&amp;$K25),NA())</f>
        <v>0.18666666666666665</v>
      </c>
      <c r="P25" s="9" cm="1">
        <f t="array" ref="P25">IF(ISNA(F25),F25,MAX(IFERROR($L$18:$O$29,0)+10%))</f>
        <v>0.63333333333333341</v>
      </c>
    </row>
    <row r="26" spans="1:17" x14ac:dyDescent="0.25">
      <c r="A26" s="3" t="s">
        <v>33</v>
      </c>
      <c r="B26" s="3">
        <f t="shared" si="0"/>
        <v>71.92</v>
      </c>
      <c r="C26" s="3">
        <f>IF(C$16,GETPIVOTDATA(""&amp;C$17,Control!$A$20,"Month",""&amp;$A26),NA())</f>
        <v>1482</v>
      </c>
      <c r="D26" s="3">
        <f>IF(D$16,GETPIVOTDATA(""&amp;D$17,Control!$A$20,"Month",""&amp;$A26),NA())</f>
        <v>338</v>
      </c>
      <c r="E26" s="3">
        <f t="shared" si="1"/>
        <v>71.92</v>
      </c>
      <c r="F26" s="3">
        <f>IF(ISNUMBER(GETPIVOTDATA("Sum of Revenue",Control!$A$3,"Month",""&amp;$A26)),C26,NA())</f>
        <v>1482</v>
      </c>
      <c r="G26" s="3">
        <f>IF(ISNUMBER(GETPIVOTDATA("Sum of Revenue",Control!$A$3,"Month",""&amp;$A26)),D26,NA())</f>
        <v>338</v>
      </c>
      <c r="H26" s="3">
        <f>IF($H$1,GETPIVOTDATA(""&amp;H$30,Control!$A$20,"Month",""&amp;A11),NA())</f>
        <v>1800</v>
      </c>
      <c r="K26" s="3" t="s">
        <v>33</v>
      </c>
      <c r="L26" s="9">
        <f>IF(L$30,GETPIVOTDATA(""&amp;L$17,Control!$A$20,"Month",""&amp;$K26),NA())</f>
        <v>0.23</v>
      </c>
      <c r="M26" s="9">
        <f>IF(M$30,GETPIVOTDATA(""&amp;M$17,Control!$A$20,"Month",""&amp;$K26),NA())</f>
        <v>0.43</v>
      </c>
      <c r="N26" s="9">
        <f>IF(N$30,GETPIVOTDATA(""&amp;N$17,Control!$A$20,"Month",""&amp;$K26),NA())</f>
        <v>0.22</v>
      </c>
      <c r="O26" s="9">
        <f>IF(O$30,GETPIVOTDATA(""&amp;O$17,Control!$A$20,"Month",""&amp;$K26),NA())</f>
        <v>0.12</v>
      </c>
      <c r="P26" s="9" cm="1">
        <f t="array" ref="P26">IF(ISNA(F26),F26,MAX(IFERROR($L$18:$O$29,0)+10%))</f>
        <v>0.63333333333333341</v>
      </c>
    </row>
    <row r="27" spans="1:17" x14ac:dyDescent="0.25">
      <c r="A27" s="3" t="s">
        <v>34</v>
      </c>
      <c r="B27" s="3">
        <f t="shared" si="0"/>
        <v>71.92</v>
      </c>
      <c r="C27" s="3">
        <f>IF(C$16,GETPIVOTDATA(""&amp;C$17,Control!$A$20,"Month",""&amp;$A27),NA())</f>
        <v>1701</v>
      </c>
      <c r="D27" s="3">
        <f>IF(D$16,GETPIVOTDATA(""&amp;D$17,Control!$A$20,"Month",""&amp;$A27),NA())</f>
        <v>189</v>
      </c>
      <c r="E27" s="3">
        <f t="shared" si="1"/>
        <v>71.92</v>
      </c>
      <c r="F27" s="3">
        <f>IF(ISNUMBER(GETPIVOTDATA("Sum of Revenue",Control!$A$3,"Month",""&amp;$A27)),C27,NA())</f>
        <v>1701</v>
      </c>
      <c r="G27" s="3">
        <f>IF(ISNUMBER(GETPIVOTDATA("Sum of Revenue",Control!$A$3,"Month",""&amp;$A27)),D27,NA())</f>
        <v>189</v>
      </c>
      <c r="H27" s="3">
        <f>IF($H$1,GETPIVOTDATA(""&amp;H$30,Control!$A$20,"Month",""&amp;A12),NA())</f>
        <v>1800</v>
      </c>
      <c r="K27" s="3" t="s">
        <v>34</v>
      </c>
      <c r="L27" s="9">
        <f>IF(L$30,GETPIVOTDATA(""&amp;L$17,Control!$A$20,"Month",""&amp;$K27),NA())</f>
        <v>0.18</v>
      </c>
      <c r="M27" s="9">
        <f>IF(M$30,GETPIVOTDATA(""&amp;M$17,Control!$A$20,"Month",""&amp;$K27),NA())</f>
        <v>0.2</v>
      </c>
      <c r="N27" s="9">
        <f>IF(N$30,GETPIVOTDATA(""&amp;N$17,Control!$A$20,"Month",""&amp;$K27),NA())</f>
        <v>0.12666666666666668</v>
      </c>
      <c r="O27" s="9">
        <f>IF(O$30,GETPIVOTDATA(""&amp;O$17,Control!$A$20,"Month",""&amp;$K27),NA())</f>
        <v>0.49333333333333329</v>
      </c>
      <c r="P27" s="9" cm="1">
        <f t="array" ref="P27">IF(ISNA(F27),F27,MAX(IFERROR($L$18:$O$29,0)+10%))</f>
        <v>0.63333333333333341</v>
      </c>
    </row>
    <row r="28" spans="1:17" x14ac:dyDescent="0.25">
      <c r="A28" s="3" t="s">
        <v>35</v>
      </c>
      <c r="B28" s="3">
        <f t="shared" si="0"/>
        <v>71.92</v>
      </c>
      <c r="C28" s="3">
        <f>IF(C$16,GETPIVOTDATA(""&amp;C$17,Control!$A$20,"Month",""&amp;$A28),NA())</f>
        <v>1156</v>
      </c>
      <c r="D28" s="3">
        <f>IF(D$16,GETPIVOTDATA(""&amp;D$17,Control!$A$20,"Month",""&amp;$A28),NA())</f>
        <v>785</v>
      </c>
      <c r="E28" s="3">
        <f t="shared" si="1"/>
        <v>71.92</v>
      </c>
      <c r="F28" s="3">
        <f>IF(ISNUMBER(GETPIVOTDATA("Sum of Revenue",Control!$A$3,"Month",""&amp;$A28)),C28,NA())</f>
        <v>1156</v>
      </c>
      <c r="G28" s="3">
        <f>IF(ISNUMBER(GETPIVOTDATA("Sum of Revenue",Control!$A$3,"Month",""&amp;$A28)),D28,NA())</f>
        <v>785</v>
      </c>
      <c r="H28" s="3">
        <f>IF($H$1,GETPIVOTDATA(""&amp;H$30,Control!$A$20,"Month",""&amp;A13),NA())</f>
        <v>1800</v>
      </c>
      <c r="K28" s="3" t="s">
        <v>35</v>
      </c>
      <c r="L28" s="9">
        <f>IF(L$30,GETPIVOTDATA(""&amp;L$17,Control!$A$20,"Month",""&amp;$K28),NA())</f>
        <v>0.12</v>
      </c>
      <c r="M28" s="9">
        <f>IF(M$30,GETPIVOTDATA(""&amp;M$17,Control!$A$20,"Month",""&amp;$K28),NA())</f>
        <v>0.33</v>
      </c>
      <c r="N28" s="9">
        <f>IF(N$30,GETPIVOTDATA(""&amp;N$17,Control!$A$20,"Month",""&amp;$K28),NA())</f>
        <v>0.15</v>
      </c>
      <c r="O28" s="9">
        <f>IF(O$30,GETPIVOTDATA(""&amp;O$17,Control!$A$20,"Month",""&amp;$K28),NA())</f>
        <v>0.4</v>
      </c>
      <c r="P28" s="9" cm="1">
        <f t="array" ref="P28">IF(ISNA(F28),F28,MAX(IFERROR($L$18:$O$29,0)+10%))</f>
        <v>0.63333333333333341</v>
      </c>
    </row>
    <row r="29" spans="1:17" x14ac:dyDescent="0.25">
      <c r="A29" s="3" t="s">
        <v>36</v>
      </c>
      <c r="B29" s="3">
        <f t="shared" si="0"/>
        <v>71.92</v>
      </c>
      <c r="C29" s="3">
        <f>IF(C$16,GETPIVOTDATA(""&amp;C$17,Control!$A$20,"Month",""&amp;$A29),NA())</f>
        <v>1798</v>
      </c>
      <c r="D29" s="3">
        <f>IF(D$16,GETPIVOTDATA(""&amp;D$17,Control!$A$20,"Month",""&amp;$A29),NA())</f>
        <v>202</v>
      </c>
      <c r="E29" s="3">
        <f t="shared" si="1"/>
        <v>71.92</v>
      </c>
      <c r="F29" s="3">
        <f>IF(ISNUMBER(GETPIVOTDATA("Sum of Revenue",Control!$A$3,"Month",""&amp;$A29)),C29,NA())</f>
        <v>1798</v>
      </c>
      <c r="G29" s="3">
        <f>IF(ISNUMBER(GETPIVOTDATA("Sum of Revenue",Control!$A$3,"Month",""&amp;$A29)),D29,NA())</f>
        <v>202</v>
      </c>
      <c r="H29" s="3">
        <f>IF($H$1,GETPIVOTDATA(""&amp;H$30,Control!$A$20,"Month",""&amp;A14),NA())</f>
        <v>1800</v>
      </c>
      <c r="K29" s="3" t="s">
        <v>36</v>
      </c>
      <c r="L29" s="9">
        <f>IF(L$30,GETPIVOTDATA(""&amp;L$17,Control!$A$20,"Month",""&amp;$K29),NA())</f>
        <v>0.12</v>
      </c>
      <c r="M29" s="9">
        <f>IF(M$30,GETPIVOTDATA(""&amp;M$17,Control!$A$20,"Month",""&amp;$K29),NA())</f>
        <v>0.23</v>
      </c>
      <c r="N29" s="9">
        <f>IF(N$30,GETPIVOTDATA(""&amp;N$17,Control!$A$20,"Month",""&amp;$K29),NA())</f>
        <v>0.11666666666666665</v>
      </c>
      <c r="O29" s="9">
        <f>IF(O$30,GETPIVOTDATA(""&amp;O$17,Control!$A$20,"Month",""&amp;$K29),NA())</f>
        <v>0.53333333333333344</v>
      </c>
      <c r="P29" s="9" cm="1">
        <f t="array" ref="P29">IF(ISNA(F29),F29,MAX(IFERROR($L$18:$O$29,0)+10%))</f>
        <v>0.63333333333333341</v>
      </c>
    </row>
    <row r="30" spans="1:17" x14ac:dyDescent="0.25">
      <c r="B30" s="3" cm="1">
        <f t="array" ref="B30">MAX(IFERROR(C18:D29,0))*4%</f>
        <v>71.92</v>
      </c>
      <c r="F30" s="19">
        <f>GETPIVOTDATA("Sum of Standart",Control!$A$3)</f>
        <v>15658</v>
      </c>
      <c r="G30" s="19">
        <f>GETPIVOTDATA("Sum of Premium",Control!$A$3)</f>
        <v>5431</v>
      </c>
      <c r="H30" t="s">
        <v>46</v>
      </c>
      <c r="L30" t="b">
        <f>ISNUMBER(MATCH(L17,Control!$A$63:$A$66,0))</f>
        <v>1</v>
      </c>
      <c r="M30" t="b">
        <f>ISNUMBER(MATCH(M17,Control!$A$63:$A$66,0))</f>
        <v>1</v>
      </c>
      <c r="N30" t="b">
        <f>ISNUMBER(MATCH(N17,Control!$A$63:$A$66,0))</f>
        <v>1</v>
      </c>
      <c r="O30" t="b">
        <f>ISNUMBER(MATCH(O17,Control!$A$63:$A$66,0))</f>
        <v>1</v>
      </c>
    </row>
  </sheetData>
  <mergeCells count="1">
    <mergeCell ref="S1:X2"/>
  </mergeCells>
  <hyperlinks>
    <hyperlink ref="S1" r:id="rId1" xr:uid="{33ECE2DF-F2C7-4049-8407-4C60B5D97F0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E582-3F63-4DD3-A0C1-6ABC81E40394}">
  <sheetPr codeName="Sheet7"/>
  <dimension ref="A1:X67"/>
  <sheetViews>
    <sheetView workbookViewId="0">
      <selection sqref="A1:F2"/>
    </sheetView>
  </sheetViews>
  <sheetFormatPr defaultRowHeight="15" x14ac:dyDescent="0.25"/>
  <cols>
    <col min="1" max="1" width="13.42578125" bestFit="1" customWidth="1"/>
    <col min="2" max="2" width="18.7109375" bestFit="1" customWidth="1"/>
    <col min="3" max="3" width="16.5703125" bestFit="1" customWidth="1"/>
    <col min="4" max="4" width="12.7109375" bestFit="1" customWidth="1"/>
    <col min="5" max="5" width="18.85546875" bestFit="1" customWidth="1"/>
    <col min="6" max="6" width="15.42578125" bestFit="1" customWidth="1"/>
    <col min="7" max="7" width="16" bestFit="1" customWidth="1"/>
    <col min="8" max="8" width="18.7109375" bestFit="1" customWidth="1"/>
    <col min="9" max="9" width="24.85546875" bestFit="1" customWidth="1"/>
    <col min="10" max="10" width="15.140625" bestFit="1" customWidth="1"/>
    <col min="11" max="11" width="13.28515625" bestFit="1" customWidth="1"/>
    <col min="12" max="12" width="14.7109375" bestFit="1" customWidth="1"/>
    <col min="13" max="13" width="12.85546875" bestFit="1" customWidth="1"/>
    <col min="14" max="14" width="12" bestFit="1" customWidth="1"/>
    <col min="15" max="15" width="13.28515625" bestFit="1" customWidth="1"/>
    <col min="16" max="16" width="12" bestFit="1" customWidth="1"/>
    <col min="17" max="17" width="14" bestFit="1" customWidth="1"/>
    <col min="18" max="18" width="12.7109375" bestFit="1" customWidth="1"/>
    <col min="19" max="19" width="14.28515625" bestFit="1" customWidth="1"/>
    <col min="20" max="20" width="18.85546875" bestFit="1" customWidth="1"/>
    <col min="21" max="21" width="24.85546875" bestFit="1" customWidth="1"/>
    <col min="22" max="22" width="15.42578125" bestFit="1" customWidth="1"/>
    <col min="23" max="23" width="16" bestFit="1" customWidth="1"/>
    <col min="24" max="24" width="22.28515625" bestFit="1" customWidth="1"/>
  </cols>
  <sheetData>
    <row r="1" spans="1:24" ht="15" customHeight="1" x14ac:dyDescent="0.25"/>
    <row r="2" spans="1:24" ht="15" customHeight="1" x14ac:dyDescent="0.25"/>
    <row r="3" spans="1:24" x14ac:dyDescent="0.25">
      <c r="A3" s="10" t="s">
        <v>49</v>
      </c>
      <c r="B3" t="s">
        <v>51</v>
      </c>
      <c r="C3" t="s">
        <v>52</v>
      </c>
      <c r="D3" t="s">
        <v>58</v>
      </c>
      <c r="E3" t="s">
        <v>54</v>
      </c>
      <c r="F3" t="s">
        <v>65</v>
      </c>
      <c r="G3" t="s">
        <v>66</v>
      </c>
      <c r="H3" t="s">
        <v>67</v>
      </c>
      <c r="I3" t="s">
        <v>68</v>
      </c>
      <c r="J3" t="s">
        <v>69</v>
      </c>
      <c r="K3" t="s">
        <v>70</v>
      </c>
      <c r="L3" t="s">
        <v>71</v>
      </c>
      <c r="M3" t="s">
        <v>72</v>
      </c>
      <c r="N3" t="s">
        <v>73</v>
      </c>
      <c r="O3" t="s">
        <v>74</v>
      </c>
      <c r="P3" t="s">
        <v>75</v>
      </c>
      <c r="Q3" t="s">
        <v>76</v>
      </c>
      <c r="R3" t="s">
        <v>77</v>
      </c>
      <c r="S3" t="s">
        <v>78</v>
      </c>
      <c r="T3" t="s">
        <v>53</v>
      </c>
      <c r="U3" t="s">
        <v>90</v>
      </c>
      <c r="V3" t="s">
        <v>83</v>
      </c>
      <c r="W3" t="s">
        <v>89</v>
      </c>
      <c r="X3" t="s">
        <v>92</v>
      </c>
    </row>
    <row r="4" spans="1:24" x14ac:dyDescent="0.25">
      <c r="A4" s="11" t="s">
        <v>25</v>
      </c>
      <c r="B4" s="24">
        <v>112023</v>
      </c>
      <c r="C4" s="24">
        <v>100740</v>
      </c>
      <c r="D4" s="24">
        <v>11283</v>
      </c>
      <c r="E4" s="24">
        <v>1564</v>
      </c>
      <c r="F4" s="24">
        <v>3018</v>
      </c>
      <c r="G4" s="24">
        <v>2658</v>
      </c>
      <c r="H4" s="1">
        <v>0.13</v>
      </c>
      <c r="I4" s="1">
        <v>0.31</v>
      </c>
      <c r="J4" s="1">
        <v>0.14666666666666667</v>
      </c>
      <c r="K4" s="1">
        <v>0.41333333333333333</v>
      </c>
      <c r="L4" s="1">
        <v>0.9</v>
      </c>
      <c r="M4" s="1">
        <v>0.9</v>
      </c>
      <c r="N4" s="1">
        <v>0.9</v>
      </c>
      <c r="O4" s="1">
        <v>0.9</v>
      </c>
      <c r="P4" s="1">
        <v>0.9</v>
      </c>
      <c r="Q4" s="1">
        <v>0.8</v>
      </c>
      <c r="R4" s="1">
        <v>0.8</v>
      </c>
      <c r="S4" s="1">
        <v>0.8</v>
      </c>
      <c r="T4" s="24">
        <v>100000</v>
      </c>
      <c r="U4" s="24">
        <v>1800</v>
      </c>
      <c r="V4" s="24">
        <v>1090</v>
      </c>
      <c r="W4" s="24">
        <v>474</v>
      </c>
      <c r="X4" s="1">
        <v>1</v>
      </c>
    </row>
    <row r="5" spans="1:24" x14ac:dyDescent="0.25">
      <c r="A5" s="11" t="s">
        <v>26</v>
      </c>
      <c r="B5" s="24">
        <v>89374</v>
      </c>
      <c r="C5" s="24">
        <v>94530</v>
      </c>
      <c r="D5" s="24">
        <v>-5156</v>
      </c>
      <c r="E5" s="24">
        <v>1517</v>
      </c>
      <c r="F5" s="24">
        <v>3261</v>
      </c>
      <c r="G5" s="24">
        <v>2336</v>
      </c>
      <c r="H5" s="1">
        <v>0.21</v>
      </c>
      <c r="I5" s="1">
        <v>0.44</v>
      </c>
      <c r="J5" s="1">
        <v>0.21666666666666667</v>
      </c>
      <c r="K5" s="1">
        <v>0.1333333333333333</v>
      </c>
      <c r="L5" s="1">
        <v>0.9</v>
      </c>
      <c r="M5" s="1">
        <v>0.9</v>
      </c>
      <c r="N5" s="1">
        <v>0.9</v>
      </c>
      <c r="O5" s="1">
        <v>0.9</v>
      </c>
      <c r="P5" s="1">
        <v>0.9</v>
      </c>
      <c r="Q5" s="1">
        <v>0.9</v>
      </c>
      <c r="R5" s="1">
        <v>0.8</v>
      </c>
      <c r="S5" s="1">
        <v>0.8</v>
      </c>
      <c r="T5" s="24">
        <v>100000</v>
      </c>
      <c r="U5" s="24">
        <v>1800</v>
      </c>
      <c r="V5" s="24">
        <v>956</v>
      </c>
      <c r="W5" s="24">
        <v>561</v>
      </c>
      <c r="X5" s="1">
        <v>1</v>
      </c>
    </row>
    <row r="6" spans="1:24" x14ac:dyDescent="0.25">
      <c r="A6" s="11" t="s">
        <v>27</v>
      </c>
      <c r="B6" s="24">
        <v>73824</v>
      </c>
      <c r="C6" s="24">
        <v>102810</v>
      </c>
      <c r="D6" s="24">
        <v>-28986</v>
      </c>
      <c r="E6" s="24">
        <v>1583</v>
      </c>
      <c r="F6" s="24">
        <v>3039</v>
      </c>
      <c r="G6" s="24">
        <v>2437</v>
      </c>
      <c r="H6" s="1">
        <v>0.18</v>
      </c>
      <c r="I6" s="1">
        <v>0.27</v>
      </c>
      <c r="J6" s="1">
        <v>0.15</v>
      </c>
      <c r="K6" s="1">
        <v>0.4</v>
      </c>
      <c r="L6" s="1">
        <v>0.9</v>
      </c>
      <c r="M6" s="1">
        <v>0.9</v>
      </c>
      <c r="N6" s="1">
        <v>0.9</v>
      </c>
      <c r="O6" s="1">
        <v>0.9</v>
      </c>
      <c r="P6" s="1">
        <v>0.9</v>
      </c>
      <c r="Q6" s="1">
        <v>0.9</v>
      </c>
      <c r="R6" s="1">
        <v>0.9</v>
      </c>
      <c r="S6" s="1">
        <v>0.8</v>
      </c>
      <c r="T6" s="24">
        <v>100000</v>
      </c>
      <c r="U6" s="24">
        <v>1800</v>
      </c>
      <c r="V6" s="24">
        <v>969</v>
      </c>
      <c r="W6" s="24">
        <v>614</v>
      </c>
      <c r="X6" s="1">
        <v>1</v>
      </c>
    </row>
    <row r="7" spans="1:24" x14ac:dyDescent="0.25">
      <c r="A7" s="11" t="s">
        <v>28</v>
      </c>
      <c r="B7" s="24">
        <v>70497</v>
      </c>
      <c r="C7" s="24">
        <v>113850</v>
      </c>
      <c r="D7" s="24">
        <v>-43353</v>
      </c>
      <c r="E7" s="24">
        <v>1684</v>
      </c>
      <c r="F7" s="24">
        <v>2997</v>
      </c>
      <c r="G7" s="24">
        <v>2576</v>
      </c>
      <c r="H7" s="1">
        <v>7.0000000000000007E-2</v>
      </c>
      <c r="I7" s="1">
        <v>0.47</v>
      </c>
      <c r="J7" s="1">
        <v>0.18000000000000002</v>
      </c>
      <c r="K7" s="1">
        <v>0.27999999999999992</v>
      </c>
      <c r="L7" s="1">
        <v>0.9</v>
      </c>
      <c r="M7" s="1">
        <v>0.9</v>
      </c>
      <c r="N7" s="1">
        <v>0.9</v>
      </c>
      <c r="O7" s="1">
        <v>0.9</v>
      </c>
      <c r="P7" s="1">
        <v>0.9</v>
      </c>
      <c r="Q7" s="1">
        <v>0.9</v>
      </c>
      <c r="R7" s="1">
        <v>0.9</v>
      </c>
      <c r="S7" s="1">
        <v>0.9</v>
      </c>
      <c r="T7" s="24">
        <v>100000</v>
      </c>
      <c r="U7" s="24">
        <v>1800</v>
      </c>
      <c r="V7" s="24">
        <v>1430</v>
      </c>
      <c r="W7" s="24">
        <v>254</v>
      </c>
      <c r="X7" s="1">
        <v>1</v>
      </c>
    </row>
    <row r="8" spans="1:24" x14ac:dyDescent="0.25">
      <c r="A8" s="11" t="s">
        <v>29</v>
      </c>
      <c r="B8" s="24">
        <v>80257</v>
      </c>
      <c r="C8" s="24">
        <v>106260</v>
      </c>
      <c r="D8" s="24">
        <v>-26003</v>
      </c>
      <c r="E8" s="24">
        <v>1747</v>
      </c>
      <c r="F8" s="24">
        <v>4332</v>
      </c>
      <c r="G8" s="24">
        <v>2882</v>
      </c>
      <c r="H8" s="1">
        <v>0.12</v>
      </c>
      <c r="I8" s="1">
        <v>0.44</v>
      </c>
      <c r="J8" s="1">
        <v>0.18666666666666668</v>
      </c>
      <c r="K8" s="1">
        <v>0.2533333333333333</v>
      </c>
      <c r="L8" s="1">
        <v>1</v>
      </c>
      <c r="M8" s="1">
        <v>0.9</v>
      </c>
      <c r="N8" s="1">
        <v>0.9</v>
      </c>
      <c r="O8" s="1">
        <v>0.9</v>
      </c>
      <c r="P8" s="1">
        <v>0.9</v>
      </c>
      <c r="Q8" s="1">
        <v>0.9</v>
      </c>
      <c r="R8" s="1">
        <v>0.9</v>
      </c>
      <c r="S8" s="1">
        <v>0.9</v>
      </c>
      <c r="T8" s="24">
        <v>100000</v>
      </c>
      <c r="U8" s="24">
        <v>1800</v>
      </c>
      <c r="V8" s="24">
        <v>834</v>
      </c>
      <c r="W8" s="24">
        <v>913</v>
      </c>
      <c r="X8" s="1">
        <v>1</v>
      </c>
    </row>
    <row r="9" spans="1:24" x14ac:dyDescent="0.25">
      <c r="A9" s="11" t="s">
        <v>30</v>
      </c>
      <c r="B9" s="24">
        <v>100146</v>
      </c>
      <c r="C9" s="24">
        <v>89700</v>
      </c>
      <c r="D9" s="24">
        <v>10446</v>
      </c>
      <c r="E9" s="24">
        <v>1764</v>
      </c>
      <c r="F9" s="24">
        <v>3139</v>
      </c>
      <c r="G9" s="24">
        <v>2504</v>
      </c>
      <c r="H9" s="1">
        <v>0.25</v>
      </c>
      <c r="I9" s="1">
        <v>0.38</v>
      </c>
      <c r="J9" s="1">
        <v>0.21</v>
      </c>
      <c r="K9" s="1">
        <v>0.16000000000000003</v>
      </c>
      <c r="L9" s="1">
        <v>1</v>
      </c>
      <c r="M9" s="1">
        <v>1</v>
      </c>
      <c r="N9" s="1">
        <v>0.9</v>
      </c>
      <c r="O9" s="1">
        <v>0.9</v>
      </c>
      <c r="P9" s="1">
        <v>0.9</v>
      </c>
      <c r="Q9" s="1">
        <v>0.9</v>
      </c>
      <c r="R9" s="1">
        <v>0.9</v>
      </c>
      <c r="S9" s="1">
        <v>0.9</v>
      </c>
      <c r="T9" s="24">
        <v>100000</v>
      </c>
      <c r="U9" s="24">
        <v>1800</v>
      </c>
      <c r="V9" s="24">
        <v>961</v>
      </c>
      <c r="W9" s="24">
        <v>803</v>
      </c>
      <c r="X9" s="1">
        <v>1</v>
      </c>
    </row>
    <row r="10" spans="1:24" x14ac:dyDescent="0.25">
      <c r="A10" s="11" t="s">
        <v>31</v>
      </c>
      <c r="B10" s="24">
        <v>123979</v>
      </c>
      <c r="C10" s="24">
        <v>88320</v>
      </c>
      <c r="D10" s="24">
        <v>35659</v>
      </c>
      <c r="E10" s="24">
        <v>1793</v>
      </c>
      <c r="F10" s="24">
        <v>2797</v>
      </c>
      <c r="G10" s="24">
        <v>1972</v>
      </c>
      <c r="H10" s="1">
        <v>0.18</v>
      </c>
      <c r="I10" s="1">
        <v>0.48</v>
      </c>
      <c r="J10" s="1">
        <v>0.21999999999999997</v>
      </c>
      <c r="K10" s="1">
        <v>0.12000000000000011</v>
      </c>
      <c r="L10" s="1">
        <v>1</v>
      </c>
      <c r="M10" s="1">
        <v>1</v>
      </c>
      <c r="N10" s="1">
        <v>1</v>
      </c>
      <c r="O10" s="1">
        <v>0.9</v>
      </c>
      <c r="P10" s="1">
        <v>0.9</v>
      </c>
      <c r="Q10" s="1">
        <v>0.9</v>
      </c>
      <c r="R10" s="1">
        <v>0.9</v>
      </c>
      <c r="S10" s="1">
        <v>0.9</v>
      </c>
      <c r="T10" s="24">
        <v>100000</v>
      </c>
      <c r="U10" s="24">
        <v>1800</v>
      </c>
      <c r="V10" s="24">
        <v>1644</v>
      </c>
      <c r="W10" s="24">
        <v>149</v>
      </c>
      <c r="X10" s="1">
        <v>1</v>
      </c>
    </row>
    <row r="11" spans="1:24" x14ac:dyDescent="0.25">
      <c r="A11" s="11" t="s">
        <v>32</v>
      </c>
      <c r="B11" s="24">
        <v>143879</v>
      </c>
      <c r="C11" s="24">
        <v>99360</v>
      </c>
      <c r="D11" s="24">
        <v>44519</v>
      </c>
      <c r="E11" s="24">
        <v>1786</v>
      </c>
      <c r="F11" s="24">
        <v>4036</v>
      </c>
      <c r="G11" s="24">
        <v>2089</v>
      </c>
      <c r="H11" s="1">
        <v>0.18</v>
      </c>
      <c r="I11" s="1">
        <v>0.43</v>
      </c>
      <c r="J11" s="1">
        <v>0.20333333333333334</v>
      </c>
      <c r="K11" s="1">
        <v>0.18666666666666665</v>
      </c>
      <c r="L11" s="1">
        <v>1</v>
      </c>
      <c r="M11" s="1">
        <v>1</v>
      </c>
      <c r="N11" s="1">
        <v>1</v>
      </c>
      <c r="O11" s="1">
        <v>1</v>
      </c>
      <c r="P11" s="1">
        <v>0.9</v>
      </c>
      <c r="Q11" s="1">
        <v>0.9</v>
      </c>
      <c r="R11" s="1">
        <v>0.9</v>
      </c>
      <c r="S11" s="1">
        <v>0.9</v>
      </c>
      <c r="T11" s="24">
        <v>100000</v>
      </c>
      <c r="U11" s="24">
        <v>1800</v>
      </c>
      <c r="V11" s="24">
        <v>1637</v>
      </c>
      <c r="W11" s="24">
        <v>149</v>
      </c>
      <c r="X11" s="1">
        <v>1</v>
      </c>
    </row>
    <row r="12" spans="1:24" x14ac:dyDescent="0.25">
      <c r="A12" s="11" t="s">
        <v>33</v>
      </c>
      <c r="B12" s="24">
        <v>153629</v>
      </c>
      <c r="C12" s="24">
        <v>120060</v>
      </c>
      <c r="D12" s="24">
        <v>33569</v>
      </c>
      <c r="E12" s="24">
        <v>1820</v>
      </c>
      <c r="F12" s="24">
        <v>4604</v>
      </c>
      <c r="G12" s="24">
        <v>2129</v>
      </c>
      <c r="H12" s="1">
        <v>0.23</v>
      </c>
      <c r="I12" s="1">
        <v>0.43</v>
      </c>
      <c r="J12" s="1">
        <v>0.22</v>
      </c>
      <c r="K12" s="1">
        <v>0.12</v>
      </c>
      <c r="L12" s="1">
        <v>1</v>
      </c>
      <c r="M12" s="1">
        <v>1</v>
      </c>
      <c r="N12" s="1">
        <v>1</v>
      </c>
      <c r="O12" s="1">
        <v>1</v>
      </c>
      <c r="P12" s="1">
        <v>1</v>
      </c>
      <c r="Q12" s="1">
        <v>0.9</v>
      </c>
      <c r="R12" s="1">
        <v>0.9</v>
      </c>
      <c r="S12" s="1">
        <v>0.9</v>
      </c>
      <c r="T12" s="24">
        <v>100000</v>
      </c>
      <c r="U12" s="24">
        <v>1800</v>
      </c>
      <c r="V12" s="24">
        <v>1482</v>
      </c>
      <c r="W12" s="24">
        <v>338</v>
      </c>
      <c r="X12" s="1">
        <v>1</v>
      </c>
    </row>
    <row r="13" spans="1:24" x14ac:dyDescent="0.25">
      <c r="A13" s="11" t="s">
        <v>34</v>
      </c>
      <c r="B13" s="24">
        <v>150252</v>
      </c>
      <c r="C13" s="24">
        <v>128340</v>
      </c>
      <c r="D13" s="24">
        <v>21912</v>
      </c>
      <c r="E13" s="24">
        <v>1890</v>
      </c>
      <c r="F13" s="24">
        <v>3780</v>
      </c>
      <c r="G13" s="24">
        <v>2740</v>
      </c>
      <c r="H13" s="1">
        <v>0.18</v>
      </c>
      <c r="I13" s="1">
        <v>0.2</v>
      </c>
      <c r="J13" s="1">
        <v>0.12666666666666668</v>
      </c>
      <c r="K13" s="1">
        <v>0.49333333333333329</v>
      </c>
      <c r="L13" s="1">
        <v>1</v>
      </c>
      <c r="M13" s="1">
        <v>1</v>
      </c>
      <c r="N13" s="1">
        <v>1</v>
      </c>
      <c r="O13" s="1">
        <v>1</v>
      </c>
      <c r="P13" s="1">
        <v>1</v>
      </c>
      <c r="Q13" s="1">
        <v>1</v>
      </c>
      <c r="R13" s="1">
        <v>0.9</v>
      </c>
      <c r="S13" s="1">
        <v>0.9</v>
      </c>
      <c r="T13" s="24">
        <v>100000</v>
      </c>
      <c r="U13" s="24">
        <v>1800</v>
      </c>
      <c r="V13" s="24">
        <v>1701</v>
      </c>
      <c r="W13" s="24">
        <v>189</v>
      </c>
      <c r="X13" s="1">
        <v>1</v>
      </c>
    </row>
    <row r="14" spans="1:24" x14ac:dyDescent="0.25">
      <c r="A14" s="11" t="s">
        <v>35</v>
      </c>
      <c r="B14" s="24">
        <v>134779</v>
      </c>
      <c r="C14" s="24">
        <v>122820</v>
      </c>
      <c r="D14" s="24">
        <v>11959</v>
      </c>
      <c r="E14" s="24">
        <v>1941</v>
      </c>
      <c r="F14" s="24">
        <v>5415</v>
      </c>
      <c r="G14" s="24">
        <v>1979</v>
      </c>
      <c r="H14" s="1">
        <v>0.12</v>
      </c>
      <c r="I14" s="1">
        <v>0.33</v>
      </c>
      <c r="J14" s="1">
        <v>0.15</v>
      </c>
      <c r="K14" s="1">
        <v>0.4</v>
      </c>
      <c r="L14" s="1">
        <v>1</v>
      </c>
      <c r="M14" s="1">
        <v>1</v>
      </c>
      <c r="N14" s="1">
        <v>1</v>
      </c>
      <c r="O14" s="1">
        <v>1</v>
      </c>
      <c r="P14" s="1">
        <v>1</v>
      </c>
      <c r="Q14" s="1">
        <v>1</v>
      </c>
      <c r="R14" s="1">
        <v>1</v>
      </c>
      <c r="S14" s="1">
        <v>0.9</v>
      </c>
      <c r="T14" s="24">
        <v>100000</v>
      </c>
      <c r="U14" s="24">
        <v>1800</v>
      </c>
      <c r="V14" s="24">
        <v>1156</v>
      </c>
      <c r="W14" s="24">
        <v>785</v>
      </c>
      <c r="X14" s="1">
        <v>1</v>
      </c>
    </row>
    <row r="15" spans="1:24" x14ac:dyDescent="0.25">
      <c r="A15" s="11" t="s">
        <v>36</v>
      </c>
      <c r="B15" s="24">
        <v>112126</v>
      </c>
      <c r="C15" s="24">
        <v>110400</v>
      </c>
      <c r="D15" s="24">
        <v>1726</v>
      </c>
      <c r="E15" s="24">
        <v>2000</v>
      </c>
      <c r="F15" s="24">
        <v>3940</v>
      </c>
      <c r="G15" s="24">
        <v>2640</v>
      </c>
      <c r="H15" s="1">
        <v>0.12</v>
      </c>
      <c r="I15" s="1">
        <v>0.23</v>
      </c>
      <c r="J15" s="1">
        <v>0.11666666666666665</v>
      </c>
      <c r="K15" s="1">
        <v>0.53333333333333344</v>
      </c>
      <c r="L15" s="1">
        <v>1</v>
      </c>
      <c r="M15" s="1">
        <v>1</v>
      </c>
      <c r="N15" s="1">
        <v>1</v>
      </c>
      <c r="O15" s="1">
        <v>1</v>
      </c>
      <c r="P15" s="1">
        <v>1</v>
      </c>
      <c r="Q15" s="1">
        <v>1</v>
      </c>
      <c r="R15" s="1">
        <v>1</v>
      </c>
      <c r="S15" s="1">
        <v>1</v>
      </c>
      <c r="T15" s="24">
        <v>100000</v>
      </c>
      <c r="U15" s="24">
        <v>1800</v>
      </c>
      <c r="V15" s="24">
        <v>1798</v>
      </c>
      <c r="W15" s="24">
        <v>202</v>
      </c>
      <c r="X15" s="1">
        <v>1</v>
      </c>
    </row>
    <row r="16" spans="1:24" x14ac:dyDescent="0.25">
      <c r="A16" s="11" t="s">
        <v>50</v>
      </c>
      <c r="B16" s="24">
        <v>1344765</v>
      </c>
      <c r="C16" s="24">
        <v>1277190</v>
      </c>
      <c r="D16" s="24">
        <v>67575</v>
      </c>
      <c r="E16" s="24">
        <v>21089</v>
      </c>
      <c r="F16" s="24">
        <v>44358</v>
      </c>
      <c r="G16" s="24">
        <v>28942</v>
      </c>
      <c r="H16" s="1">
        <v>0.16416666666666668</v>
      </c>
      <c r="I16" s="1">
        <v>0.3675000000000001</v>
      </c>
      <c r="J16" s="1">
        <v>0.17722222222222225</v>
      </c>
      <c r="K16" s="1">
        <v>0.2911111111111111</v>
      </c>
      <c r="L16" s="1">
        <v>0.96666666666666667</v>
      </c>
      <c r="M16" s="1">
        <v>0.95833333333333337</v>
      </c>
      <c r="N16" s="1">
        <v>0.95000000000000007</v>
      </c>
      <c r="O16" s="1">
        <v>0.94166666666666676</v>
      </c>
      <c r="P16" s="1">
        <v>0.93333333333333346</v>
      </c>
      <c r="Q16" s="1">
        <v>0.91666666666666685</v>
      </c>
      <c r="R16" s="1">
        <v>0.9</v>
      </c>
      <c r="S16" s="1">
        <v>0.88333333333333341</v>
      </c>
      <c r="T16" s="24">
        <v>1200000</v>
      </c>
      <c r="U16" s="24">
        <v>21600</v>
      </c>
      <c r="V16" s="24">
        <v>15658</v>
      </c>
      <c r="W16" s="24">
        <v>5431</v>
      </c>
      <c r="X16" s="1">
        <v>1</v>
      </c>
    </row>
    <row r="20" spans="1:13" x14ac:dyDescent="0.25">
      <c r="A20" s="10" t="s">
        <v>49</v>
      </c>
      <c r="B20" t="s">
        <v>51</v>
      </c>
      <c r="C20" t="s">
        <v>52</v>
      </c>
      <c r="D20" t="s">
        <v>58</v>
      </c>
      <c r="E20" t="s">
        <v>53</v>
      </c>
      <c r="F20" t="s">
        <v>83</v>
      </c>
      <c r="G20" t="s">
        <v>89</v>
      </c>
      <c r="H20" t="s">
        <v>54</v>
      </c>
      <c r="I20" t="s">
        <v>90</v>
      </c>
      <c r="J20" t="s">
        <v>93</v>
      </c>
      <c r="K20" t="s">
        <v>94</v>
      </c>
      <c r="L20" t="s">
        <v>95</v>
      </c>
      <c r="M20" t="s">
        <v>96</v>
      </c>
    </row>
    <row r="21" spans="1:13" x14ac:dyDescent="0.25">
      <c r="A21" s="11" t="s">
        <v>25</v>
      </c>
      <c r="B21" s="24">
        <v>112023</v>
      </c>
      <c r="C21" s="24">
        <v>100740</v>
      </c>
      <c r="D21" s="24">
        <v>11283</v>
      </c>
      <c r="E21" s="24">
        <v>100000</v>
      </c>
      <c r="F21" s="24">
        <v>1090</v>
      </c>
      <c r="G21" s="24">
        <v>474</v>
      </c>
      <c r="H21" s="24">
        <v>1564</v>
      </c>
      <c r="I21" s="24">
        <v>1800</v>
      </c>
      <c r="J21" s="1">
        <v>0.13</v>
      </c>
      <c r="K21" s="1">
        <v>0.31</v>
      </c>
      <c r="L21" s="1">
        <v>0.14666666666666667</v>
      </c>
      <c r="M21" s="1">
        <v>0.41333333333333333</v>
      </c>
    </row>
    <row r="22" spans="1:13" x14ac:dyDescent="0.25">
      <c r="A22" s="11" t="s">
        <v>26</v>
      </c>
      <c r="B22" s="24">
        <v>89374</v>
      </c>
      <c r="C22" s="24">
        <v>94530</v>
      </c>
      <c r="D22" s="24">
        <v>-5156</v>
      </c>
      <c r="E22" s="24">
        <v>100000</v>
      </c>
      <c r="F22" s="24">
        <v>956</v>
      </c>
      <c r="G22" s="24">
        <v>561</v>
      </c>
      <c r="H22" s="24">
        <v>1517</v>
      </c>
      <c r="I22" s="24">
        <v>1800</v>
      </c>
      <c r="J22" s="1">
        <v>0.21</v>
      </c>
      <c r="K22" s="1">
        <v>0.44</v>
      </c>
      <c r="L22" s="1">
        <v>0.21666666666666667</v>
      </c>
      <c r="M22" s="1">
        <v>0.1333333333333333</v>
      </c>
    </row>
    <row r="23" spans="1:13" x14ac:dyDescent="0.25">
      <c r="A23" s="11" t="s">
        <v>27</v>
      </c>
      <c r="B23" s="24">
        <v>73824</v>
      </c>
      <c r="C23" s="24">
        <v>102810</v>
      </c>
      <c r="D23" s="24">
        <v>-28986</v>
      </c>
      <c r="E23" s="24">
        <v>100000</v>
      </c>
      <c r="F23" s="24">
        <v>969</v>
      </c>
      <c r="G23" s="24">
        <v>614</v>
      </c>
      <c r="H23" s="24">
        <v>1583</v>
      </c>
      <c r="I23" s="24">
        <v>1800</v>
      </c>
      <c r="J23" s="1">
        <v>0.18</v>
      </c>
      <c r="K23" s="1">
        <v>0.27</v>
      </c>
      <c r="L23" s="1">
        <v>0.15</v>
      </c>
      <c r="M23" s="1">
        <v>0.4</v>
      </c>
    </row>
    <row r="24" spans="1:13" x14ac:dyDescent="0.25">
      <c r="A24" s="11" t="s">
        <v>28</v>
      </c>
      <c r="B24" s="24">
        <v>70497</v>
      </c>
      <c r="C24" s="24">
        <v>113850</v>
      </c>
      <c r="D24" s="24">
        <v>-43353</v>
      </c>
      <c r="E24" s="24">
        <v>100000</v>
      </c>
      <c r="F24" s="24">
        <v>1430</v>
      </c>
      <c r="G24" s="24">
        <v>254</v>
      </c>
      <c r="H24" s="24">
        <v>1684</v>
      </c>
      <c r="I24" s="24">
        <v>1800</v>
      </c>
      <c r="J24" s="1">
        <v>7.0000000000000007E-2</v>
      </c>
      <c r="K24" s="1">
        <v>0.47</v>
      </c>
      <c r="L24" s="1">
        <v>0.18000000000000002</v>
      </c>
      <c r="M24" s="1">
        <v>0.27999999999999992</v>
      </c>
    </row>
    <row r="25" spans="1:13" x14ac:dyDescent="0.25">
      <c r="A25" s="11" t="s">
        <v>29</v>
      </c>
      <c r="B25" s="24">
        <v>80257</v>
      </c>
      <c r="C25" s="24">
        <v>106260</v>
      </c>
      <c r="D25" s="24">
        <v>-26003</v>
      </c>
      <c r="E25" s="24">
        <v>100000</v>
      </c>
      <c r="F25" s="24">
        <v>834</v>
      </c>
      <c r="G25" s="24">
        <v>913</v>
      </c>
      <c r="H25" s="24">
        <v>1747</v>
      </c>
      <c r="I25" s="24">
        <v>1800</v>
      </c>
      <c r="J25" s="1">
        <v>0.12</v>
      </c>
      <c r="K25" s="1">
        <v>0.44</v>
      </c>
      <c r="L25" s="1">
        <v>0.18666666666666668</v>
      </c>
      <c r="M25" s="1">
        <v>0.2533333333333333</v>
      </c>
    </row>
    <row r="26" spans="1:13" x14ac:dyDescent="0.25">
      <c r="A26" s="11" t="s">
        <v>30</v>
      </c>
      <c r="B26" s="24">
        <v>100146</v>
      </c>
      <c r="C26" s="24">
        <v>89700</v>
      </c>
      <c r="D26" s="24">
        <v>10446</v>
      </c>
      <c r="E26" s="24">
        <v>100000</v>
      </c>
      <c r="F26" s="24">
        <v>961</v>
      </c>
      <c r="G26" s="24">
        <v>803</v>
      </c>
      <c r="H26" s="24">
        <v>1764</v>
      </c>
      <c r="I26" s="24">
        <v>1800</v>
      </c>
      <c r="J26" s="1">
        <v>0.25</v>
      </c>
      <c r="K26" s="1">
        <v>0.38</v>
      </c>
      <c r="L26" s="1">
        <v>0.21</v>
      </c>
      <c r="M26" s="1">
        <v>0.16000000000000003</v>
      </c>
    </row>
    <row r="27" spans="1:13" x14ac:dyDescent="0.25">
      <c r="A27" s="11" t="s">
        <v>31</v>
      </c>
      <c r="B27" s="24">
        <v>123979</v>
      </c>
      <c r="C27" s="24">
        <v>88320</v>
      </c>
      <c r="D27" s="24">
        <v>35659</v>
      </c>
      <c r="E27" s="24">
        <v>100000</v>
      </c>
      <c r="F27" s="24">
        <v>1644</v>
      </c>
      <c r="G27" s="24">
        <v>149</v>
      </c>
      <c r="H27" s="24">
        <v>1793</v>
      </c>
      <c r="I27" s="24">
        <v>1800</v>
      </c>
      <c r="J27" s="1">
        <v>0.18</v>
      </c>
      <c r="K27" s="1">
        <v>0.48</v>
      </c>
      <c r="L27" s="1">
        <v>0.21999999999999997</v>
      </c>
      <c r="M27" s="1">
        <v>0.12000000000000011</v>
      </c>
    </row>
    <row r="28" spans="1:13" x14ac:dyDescent="0.25">
      <c r="A28" s="11" t="s">
        <v>32</v>
      </c>
      <c r="B28" s="24">
        <v>143879</v>
      </c>
      <c r="C28" s="24">
        <v>99360</v>
      </c>
      <c r="D28" s="24">
        <v>44519</v>
      </c>
      <c r="E28" s="24">
        <v>100000</v>
      </c>
      <c r="F28" s="24">
        <v>1637</v>
      </c>
      <c r="G28" s="24">
        <v>149</v>
      </c>
      <c r="H28" s="24">
        <v>1786</v>
      </c>
      <c r="I28" s="24">
        <v>1800</v>
      </c>
      <c r="J28" s="1">
        <v>0.18</v>
      </c>
      <c r="K28" s="1">
        <v>0.43</v>
      </c>
      <c r="L28" s="1">
        <v>0.20333333333333334</v>
      </c>
      <c r="M28" s="1">
        <v>0.18666666666666665</v>
      </c>
    </row>
    <row r="29" spans="1:13" x14ac:dyDescent="0.25">
      <c r="A29" s="11" t="s">
        <v>33</v>
      </c>
      <c r="B29" s="24">
        <v>153629</v>
      </c>
      <c r="C29" s="24">
        <v>120060</v>
      </c>
      <c r="D29" s="24">
        <v>33569</v>
      </c>
      <c r="E29" s="24">
        <v>100000</v>
      </c>
      <c r="F29" s="24">
        <v>1482</v>
      </c>
      <c r="G29" s="24">
        <v>338</v>
      </c>
      <c r="H29" s="24">
        <v>1820</v>
      </c>
      <c r="I29" s="24">
        <v>1800</v>
      </c>
      <c r="J29" s="1">
        <v>0.23</v>
      </c>
      <c r="K29" s="1">
        <v>0.43</v>
      </c>
      <c r="L29" s="1">
        <v>0.22</v>
      </c>
      <c r="M29" s="1">
        <v>0.12</v>
      </c>
    </row>
    <row r="30" spans="1:13" x14ac:dyDescent="0.25">
      <c r="A30" s="11" t="s">
        <v>34</v>
      </c>
      <c r="B30" s="24">
        <v>150252</v>
      </c>
      <c r="C30" s="24">
        <v>128340</v>
      </c>
      <c r="D30" s="24">
        <v>21912</v>
      </c>
      <c r="E30" s="24">
        <v>100000</v>
      </c>
      <c r="F30" s="24">
        <v>1701</v>
      </c>
      <c r="G30" s="24">
        <v>189</v>
      </c>
      <c r="H30" s="24">
        <v>1890</v>
      </c>
      <c r="I30" s="24">
        <v>1800</v>
      </c>
      <c r="J30" s="1">
        <v>0.18</v>
      </c>
      <c r="K30" s="1">
        <v>0.2</v>
      </c>
      <c r="L30" s="1">
        <v>0.12666666666666668</v>
      </c>
      <c r="M30" s="1">
        <v>0.49333333333333329</v>
      </c>
    </row>
    <row r="31" spans="1:13" x14ac:dyDescent="0.25">
      <c r="A31" s="11" t="s">
        <v>35</v>
      </c>
      <c r="B31" s="24">
        <v>134779</v>
      </c>
      <c r="C31" s="24">
        <v>122820</v>
      </c>
      <c r="D31" s="24">
        <v>11959</v>
      </c>
      <c r="E31" s="24">
        <v>100000</v>
      </c>
      <c r="F31" s="24">
        <v>1156</v>
      </c>
      <c r="G31" s="24">
        <v>785</v>
      </c>
      <c r="H31" s="24">
        <v>1941</v>
      </c>
      <c r="I31" s="24">
        <v>1800</v>
      </c>
      <c r="J31" s="1">
        <v>0.12</v>
      </c>
      <c r="K31" s="1">
        <v>0.33</v>
      </c>
      <c r="L31" s="1">
        <v>0.15</v>
      </c>
      <c r="M31" s="1">
        <v>0.4</v>
      </c>
    </row>
    <row r="32" spans="1:13" x14ac:dyDescent="0.25">
      <c r="A32" s="11" t="s">
        <v>36</v>
      </c>
      <c r="B32" s="24">
        <v>112126</v>
      </c>
      <c r="C32" s="24">
        <v>110400</v>
      </c>
      <c r="D32" s="24">
        <v>1726</v>
      </c>
      <c r="E32" s="24">
        <v>100000</v>
      </c>
      <c r="F32" s="24">
        <v>1798</v>
      </c>
      <c r="G32" s="24">
        <v>202</v>
      </c>
      <c r="H32" s="24">
        <v>2000</v>
      </c>
      <c r="I32" s="24">
        <v>1800</v>
      </c>
      <c r="J32" s="1">
        <v>0.12</v>
      </c>
      <c r="K32" s="1">
        <v>0.23</v>
      </c>
      <c r="L32" s="1">
        <v>0.11666666666666665</v>
      </c>
      <c r="M32" s="1">
        <v>0.53333333333333344</v>
      </c>
    </row>
    <row r="33" spans="1:13" x14ac:dyDescent="0.25">
      <c r="A33" s="11" t="s">
        <v>50</v>
      </c>
      <c r="B33" s="24">
        <v>1344765</v>
      </c>
      <c r="C33" s="24">
        <v>1277190</v>
      </c>
      <c r="D33" s="24">
        <v>67575</v>
      </c>
      <c r="E33" s="24">
        <v>1200000</v>
      </c>
      <c r="F33" s="24">
        <v>15658</v>
      </c>
      <c r="G33" s="24">
        <v>5431</v>
      </c>
      <c r="H33" s="24">
        <v>21089</v>
      </c>
      <c r="I33" s="24">
        <v>21600</v>
      </c>
      <c r="J33" s="1">
        <v>1.9700000000000002</v>
      </c>
      <c r="K33" s="1">
        <v>4.410000000000001</v>
      </c>
      <c r="L33" s="1">
        <v>2.1266666666666669</v>
      </c>
      <c r="M33" s="1">
        <v>3.4933333333333332</v>
      </c>
    </row>
    <row r="35" spans="1:13" x14ac:dyDescent="0.25">
      <c r="A35" s="10" t="s">
        <v>49</v>
      </c>
      <c r="B35" t="s">
        <v>54</v>
      </c>
    </row>
    <row r="36" spans="1:13" x14ac:dyDescent="0.25">
      <c r="A36" s="11">
        <v>2028</v>
      </c>
      <c r="B36" s="24">
        <v>21089</v>
      </c>
    </row>
    <row r="37" spans="1:13" x14ac:dyDescent="0.25">
      <c r="A37" s="11" t="s">
        <v>50</v>
      </c>
      <c r="B37" s="24">
        <v>21089</v>
      </c>
    </row>
    <row r="42" spans="1:13" x14ac:dyDescent="0.25">
      <c r="A42" s="10" t="s">
        <v>49</v>
      </c>
      <c r="B42" t="s">
        <v>54</v>
      </c>
    </row>
    <row r="43" spans="1:13" x14ac:dyDescent="0.25">
      <c r="A43" s="11">
        <v>2025</v>
      </c>
      <c r="B43">
        <v>3873</v>
      </c>
    </row>
    <row r="44" spans="1:13" x14ac:dyDescent="0.25">
      <c r="A44" s="11">
        <v>2026</v>
      </c>
      <c r="B44">
        <v>9235</v>
      </c>
    </row>
    <row r="45" spans="1:13" x14ac:dyDescent="0.25">
      <c r="A45" s="11">
        <v>2027</v>
      </c>
      <c r="B45">
        <v>15418</v>
      </c>
    </row>
    <row r="46" spans="1:13" x14ac:dyDescent="0.25">
      <c r="A46" s="11">
        <v>2028</v>
      </c>
      <c r="B46">
        <v>21089</v>
      </c>
    </row>
    <row r="47" spans="1:13" x14ac:dyDescent="0.25">
      <c r="A47" s="11" t="s">
        <v>50</v>
      </c>
      <c r="B47">
        <v>49615</v>
      </c>
    </row>
    <row r="50" spans="1:1" x14ac:dyDescent="0.25">
      <c r="A50" s="10" t="s">
        <v>49</v>
      </c>
    </row>
    <row r="51" spans="1:1" x14ac:dyDescent="0.25">
      <c r="A51" s="11" t="s">
        <v>37</v>
      </c>
    </row>
    <row r="52" spans="1:1" x14ac:dyDescent="0.25">
      <c r="A52" s="11" t="s">
        <v>50</v>
      </c>
    </row>
    <row r="57" spans="1:1" x14ac:dyDescent="0.25">
      <c r="A57" s="10" t="s">
        <v>49</v>
      </c>
    </row>
    <row r="58" spans="1:1" x14ac:dyDescent="0.25">
      <c r="A58" s="11" t="s">
        <v>82</v>
      </c>
    </row>
    <row r="59" spans="1:1" x14ac:dyDescent="0.25">
      <c r="A59" s="11" t="s">
        <v>88</v>
      </c>
    </row>
    <row r="60" spans="1:1" x14ac:dyDescent="0.25">
      <c r="A60" s="11" t="s">
        <v>50</v>
      </c>
    </row>
    <row r="62" spans="1:1" x14ac:dyDescent="0.25">
      <c r="A62" s="10" t="s">
        <v>49</v>
      </c>
    </row>
    <row r="63" spans="1:1" x14ac:dyDescent="0.25">
      <c r="A63" s="11" t="s">
        <v>2</v>
      </c>
    </row>
    <row r="64" spans="1:1" x14ac:dyDescent="0.25">
      <c r="A64" s="11" t="s">
        <v>3</v>
      </c>
    </row>
    <row r="65" spans="1:1" x14ac:dyDescent="0.25">
      <c r="A65" s="11" t="s">
        <v>0</v>
      </c>
    </row>
    <row r="66" spans="1:1" x14ac:dyDescent="0.25">
      <c r="A66" s="11" t="s">
        <v>1</v>
      </c>
    </row>
    <row r="67" spans="1:1" x14ac:dyDescent="0.25">
      <c r="A67" s="11" t="s">
        <v>50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9C639-DB6B-41AF-A717-8CB3438015F2}">
  <sheetPr codeName="Sheet8"/>
  <dimension ref="A1:AE49"/>
  <sheetViews>
    <sheetView workbookViewId="0">
      <selection activeCell="D2" sqref="D2:E49"/>
    </sheetView>
  </sheetViews>
  <sheetFormatPr defaultRowHeight="15" x14ac:dyDescent="0.25"/>
  <cols>
    <col min="3" max="3" width="9.85546875" customWidth="1"/>
    <col min="4" max="4" width="10.7109375" customWidth="1"/>
    <col min="5" max="8" width="12.85546875" style="3" customWidth="1"/>
    <col min="9" max="9" width="18.28515625" style="3" customWidth="1"/>
    <col min="10" max="11" width="8.85546875" style="3"/>
    <col min="12" max="12" width="9.42578125" customWidth="1"/>
    <col min="14" max="14" width="9.28515625" style="3" customWidth="1"/>
    <col min="24" max="24" width="17" customWidth="1"/>
  </cols>
  <sheetData>
    <row r="1" spans="1:31" x14ac:dyDescent="0.25">
      <c r="A1" s="7" t="s">
        <v>44</v>
      </c>
      <c r="B1" s="8" t="s">
        <v>24</v>
      </c>
      <c r="C1" s="5" t="s">
        <v>37</v>
      </c>
      <c r="D1" s="5" t="s">
        <v>38</v>
      </c>
      <c r="E1" s="5" t="s">
        <v>45</v>
      </c>
      <c r="F1" s="5" t="s">
        <v>82</v>
      </c>
      <c r="G1" s="5" t="s">
        <v>88</v>
      </c>
      <c r="H1" s="5" t="s">
        <v>43</v>
      </c>
      <c r="I1" s="5" t="s">
        <v>46</v>
      </c>
      <c r="J1" s="5" t="s">
        <v>47</v>
      </c>
      <c r="K1" s="5" t="s">
        <v>48</v>
      </c>
      <c r="L1" s="5" t="s">
        <v>0</v>
      </c>
      <c r="M1" s="5" t="s">
        <v>1</v>
      </c>
      <c r="N1" s="5" t="s">
        <v>2</v>
      </c>
      <c r="O1" s="5" t="s">
        <v>3</v>
      </c>
      <c r="P1" s="5" t="s">
        <v>7</v>
      </c>
      <c r="Q1" s="5" t="s">
        <v>9</v>
      </c>
      <c r="R1" s="5" t="s">
        <v>10</v>
      </c>
      <c r="S1" s="5" t="s">
        <v>13</v>
      </c>
      <c r="T1" s="5" t="s">
        <v>15</v>
      </c>
      <c r="U1" s="5" t="s">
        <v>17</v>
      </c>
      <c r="V1" s="5" t="s">
        <v>19</v>
      </c>
      <c r="W1" s="5" t="s">
        <v>20</v>
      </c>
      <c r="X1" s="5" t="s">
        <v>91</v>
      </c>
      <c r="Z1" s="23" t="s">
        <v>98</v>
      </c>
      <c r="AA1" s="23"/>
      <c r="AB1" s="23"/>
      <c r="AC1" s="23"/>
      <c r="AD1" s="23"/>
      <c r="AE1" s="23"/>
    </row>
    <row r="2" spans="1:31" x14ac:dyDescent="0.25">
      <c r="A2" s="3">
        <v>2025</v>
      </c>
      <c r="B2" s="3" t="s">
        <v>25</v>
      </c>
      <c r="C2" s="25">
        <v>37835</v>
      </c>
      <c r="D2" s="25">
        <v>26660</v>
      </c>
      <c r="E2" s="26">
        <v>45000</v>
      </c>
      <c r="F2" s="3">
        <v>59</v>
      </c>
      <c r="G2" s="3">
        <v>41</v>
      </c>
      <c r="H2" s="3">
        <v>100</v>
      </c>
      <c r="I2" s="3">
        <v>300</v>
      </c>
      <c r="J2" s="3">
        <v>158</v>
      </c>
      <c r="K2" s="3">
        <v>138</v>
      </c>
      <c r="L2" s="9">
        <v>0.17</v>
      </c>
      <c r="M2" s="9">
        <v>0.48</v>
      </c>
      <c r="N2" s="2">
        <v>0.21666666666666667</v>
      </c>
      <c r="O2" s="2">
        <v>0.1333333333333333</v>
      </c>
      <c r="P2" s="9">
        <v>0.2</v>
      </c>
      <c r="Q2" s="9">
        <v>0.2</v>
      </c>
      <c r="R2" s="9">
        <v>0.2</v>
      </c>
      <c r="S2" s="9">
        <v>0.2</v>
      </c>
      <c r="T2" s="9">
        <v>0.2</v>
      </c>
      <c r="U2" s="9">
        <v>0.2</v>
      </c>
      <c r="V2" s="9">
        <v>0.2</v>
      </c>
      <c r="W2" s="9">
        <v>0.1</v>
      </c>
      <c r="X2" s="9">
        <v>0.5</v>
      </c>
      <c r="Z2" s="23"/>
      <c r="AA2" s="23"/>
      <c r="AB2" s="23"/>
      <c r="AC2" s="23"/>
      <c r="AD2" s="23"/>
      <c r="AE2" s="23"/>
    </row>
    <row r="3" spans="1:31" x14ac:dyDescent="0.25">
      <c r="A3" s="3">
        <v>2025</v>
      </c>
      <c r="B3" s="3" t="s">
        <v>26</v>
      </c>
      <c r="C3" s="25">
        <v>48805</v>
      </c>
      <c r="D3" s="25">
        <v>32060</v>
      </c>
      <c r="E3" s="26">
        <v>45000</v>
      </c>
      <c r="F3" s="3">
        <v>68</v>
      </c>
      <c r="G3" s="3">
        <v>67</v>
      </c>
      <c r="H3" s="3">
        <v>135</v>
      </c>
      <c r="I3" s="3">
        <v>300</v>
      </c>
      <c r="J3" s="3">
        <v>193</v>
      </c>
      <c r="K3" s="3">
        <v>193</v>
      </c>
      <c r="L3" s="9">
        <v>0.1</v>
      </c>
      <c r="M3" s="9">
        <v>0.31</v>
      </c>
      <c r="N3" s="2">
        <v>0.13666666666666669</v>
      </c>
      <c r="O3" s="2">
        <v>0.45333333333333325</v>
      </c>
      <c r="P3" s="9">
        <v>0.4</v>
      </c>
      <c r="Q3" s="9">
        <v>0.2</v>
      </c>
      <c r="R3" s="9">
        <v>0.2</v>
      </c>
      <c r="S3" s="9">
        <v>0.2</v>
      </c>
      <c r="T3" s="9">
        <v>0.2</v>
      </c>
      <c r="U3" s="9">
        <v>0.2</v>
      </c>
      <c r="V3" s="9">
        <v>0.2</v>
      </c>
      <c r="W3" s="9">
        <v>0.2</v>
      </c>
      <c r="X3" s="9">
        <v>0.5</v>
      </c>
    </row>
    <row r="4" spans="1:31" x14ac:dyDescent="0.25">
      <c r="A4" s="3">
        <v>2025</v>
      </c>
      <c r="B4" s="3" t="s">
        <v>27</v>
      </c>
      <c r="C4" s="25">
        <v>52169</v>
      </c>
      <c r="D4" s="25">
        <v>35760</v>
      </c>
      <c r="E4" s="26">
        <v>45000</v>
      </c>
      <c r="F4" s="3">
        <v>165</v>
      </c>
      <c r="G4" s="3">
        <v>42</v>
      </c>
      <c r="H4" s="3">
        <v>207</v>
      </c>
      <c r="I4" s="3">
        <v>300</v>
      </c>
      <c r="J4" s="3">
        <v>602</v>
      </c>
      <c r="K4" s="3">
        <v>335</v>
      </c>
      <c r="L4" s="9">
        <v>0.08</v>
      </c>
      <c r="M4" s="9">
        <v>0.37</v>
      </c>
      <c r="N4" s="2">
        <v>0.15</v>
      </c>
      <c r="O4" s="2">
        <v>0.4</v>
      </c>
      <c r="P4" s="9">
        <v>0.4</v>
      </c>
      <c r="Q4" s="9">
        <v>0.4</v>
      </c>
      <c r="R4" s="9">
        <v>0.2</v>
      </c>
      <c r="S4" s="9">
        <v>0.2</v>
      </c>
      <c r="T4" s="9">
        <v>0.2</v>
      </c>
      <c r="U4" s="9">
        <v>0.2</v>
      </c>
      <c r="V4" s="9">
        <v>0.2</v>
      </c>
      <c r="W4" s="9">
        <v>0.2</v>
      </c>
      <c r="X4" s="9">
        <v>0.5</v>
      </c>
    </row>
    <row r="5" spans="1:31" x14ac:dyDescent="0.25">
      <c r="A5" s="3">
        <v>2025</v>
      </c>
      <c r="B5" s="3" t="s">
        <v>28</v>
      </c>
      <c r="C5" s="25">
        <v>47883</v>
      </c>
      <c r="D5" s="25">
        <v>36560</v>
      </c>
      <c r="E5" s="26">
        <v>45000</v>
      </c>
      <c r="F5" s="3">
        <v>151</v>
      </c>
      <c r="G5" s="3">
        <v>131</v>
      </c>
      <c r="H5" s="3">
        <v>282</v>
      </c>
      <c r="I5" s="3">
        <v>300</v>
      </c>
      <c r="J5" s="3">
        <v>569</v>
      </c>
      <c r="K5" s="3">
        <v>386</v>
      </c>
      <c r="L5" s="9">
        <v>0.24</v>
      </c>
      <c r="M5" s="9">
        <v>0.33</v>
      </c>
      <c r="N5" s="2">
        <v>0.19000000000000003</v>
      </c>
      <c r="O5" s="2">
        <v>0.23999999999999988</v>
      </c>
      <c r="P5" s="9">
        <v>0.4</v>
      </c>
      <c r="Q5" s="9">
        <v>0.4</v>
      </c>
      <c r="R5" s="9">
        <v>0.4</v>
      </c>
      <c r="S5" s="9">
        <v>0.2</v>
      </c>
      <c r="T5" s="9">
        <v>0.2</v>
      </c>
      <c r="U5" s="9">
        <v>0.2</v>
      </c>
      <c r="V5" s="9">
        <v>0.2</v>
      </c>
      <c r="W5" s="9">
        <v>0.2</v>
      </c>
      <c r="X5" s="9">
        <v>0.5</v>
      </c>
    </row>
    <row r="6" spans="1:31" x14ac:dyDescent="0.25">
      <c r="A6" s="3">
        <v>2025</v>
      </c>
      <c r="B6" s="3" t="s">
        <v>29</v>
      </c>
      <c r="C6" s="25">
        <v>39309</v>
      </c>
      <c r="D6" s="25">
        <v>34220</v>
      </c>
      <c r="E6" s="26">
        <v>45000</v>
      </c>
      <c r="F6" s="3">
        <v>117</v>
      </c>
      <c r="G6" s="3">
        <v>53</v>
      </c>
      <c r="H6" s="3">
        <v>170</v>
      </c>
      <c r="I6" s="3">
        <v>300</v>
      </c>
      <c r="J6" s="3">
        <v>336</v>
      </c>
      <c r="K6" s="3">
        <v>210</v>
      </c>
      <c r="L6" s="9">
        <v>0.08</v>
      </c>
      <c r="M6" s="9">
        <v>0.4</v>
      </c>
      <c r="N6" s="2">
        <v>0.16</v>
      </c>
      <c r="O6" s="2">
        <v>0.36</v>
      </c>
      <c r="P6" s="9">
        <v>0.4</v>
      </c>
      <c r="Q6" s="9">
        <v>0.4</v>
      </c>
      <c r="R6" s="9">
        <v>0.4</v>
      </c>
      <c r="S6" s="9">
        <v>0.4</v>
      </c>
      <c r="T6" s="9">
        <v>0.2</v>
      </c>
      <c r="U6" s="9">
        <v>0.2</v>
      </c>
      <c r="V6" s="9">
        <v>0.2</v>
      </c>
      <c r="W6" s="9">
        <v>0.2</v>
      </c>
      <c r="X6" s="9">
        <v>0.5</v>
      </c>
    </row>
    <row r="7" spans="1:31" x14ac:dyDescent="0.25">
      <c r="A7" s="3">
        <v>2025</v>
      </c>
      <c r="B7" s="3" t="s">
        <v>30</v>
      </c>
      <c r="C7" s="25">
        <v>31455</v>
      </c>
      <c r="D7" s="25">
        <v>29500</v>
      </c>
      <c r="E7" s="26">
        <v>45000</v>
      </c>
      <c r="F7" s="3">
        <v>230</v>
      </c>
      <c r="G7" s="3">
        <v>63</v>
      </c>
      <c r="H7" s="3">
        <v>293</v>
      </c>
      <c r="I7" s="3">
        <v>300</v>
      </c>
      <c r="J7" s="3">
        <v>471</v>
      </c>
      <c r="K7" s="3">
        <v>345</v>
      </c>
      <c r="L7" s="9">
        <v>0.14000000000000001</v>
      </c>
      <c r="M7" s="9">
        <v>0.39</v>
      </c>
      <c r="N7" s="2">
        <v>0.17666666666666667</v>
      </c>
      <c r="O7" s="2">
        <v>0.29333333333333333</v>
      </c>
      <c r="P7" s="9">
        <v>0.4</v>
      </c>
      <c r="Q7" s="9">
        <v>0.4</v>
      </c>
      <c r="R7" s="9">
        <v>0.4</v>
      </c>
      <c r="S7" s="9">
        <v>0.4</v>
      </c>
      <c r="T7" s="9">
        <v>0.4</v>
      </c>
      <c r="U7" s="9">
        <v>0.2</v>
      </c>
      <c r="V7" s="9">
        <v>0.2</v>
      </c>
      <c r="W7" s="9">
        <v>0.2</v>
      </c>
      <c r="X7" s="9">
        <v>0.5</v>
      </c>
    </row>
    <row r="8" spans="1:31" x14ac:dyDescent="0.25">
      <c r="A8" s="3">
        <v>2025</v>
      </c>
      <c r="B8" s="3" t="s">
        <v>31</v>
      </c>
      <c r="C8" s="25">
        <v>31175</v>
      </c>
      <c r="D8" s="25">
        <v>23820</v>
      </c>
      <c r="E8" s="26">
        <v>45000</v>
      </c>
      <c r="F8" s="3">
        <v>270</v>
      </c>
      <c r="G8" s="3">
        <v>136</v>
      </c>
      <c r="H8" s="3">
        <v>406</v>
      </c>
      <c r="I8" s="3">
        <v>300</v>
      </c>
      <c r="J8" s="3">
        <v>840</v>
      </c>
      <c r="K8" s="3">
        <v>604</v>
      </c>
      <c r="L8" s="9">
        <v>0.19</v>
      </c>
      <c r="M8" s="9">
        <v>0.28000000000000003</v>
      </c>
      <c r="N8" s="2">
        <v>0.15666666666666668</v>
      </c>
      <c r="O8" s="2">
        <v>0.37333333333333329</v>
      </c>
      <c r="P8" s="9">
        <v>0.4</v>
      </c>
      <c r="Q8" s="9">
        <v>0.4</v>
      </c>
      <c r="R8" s="9">
        <v>0.4</v>
      </c>
      <c r="S8" s="9">
        <v>0.4</v>
      </c>
      <c r="T8" s="9">
        <v>0.4</v>
      </c>
      <c r="U8" s="9">
        <v>0.4</v>
      </c>
      <c r="V8" s="9">
        <v>0.2</v>
      </c>
      <c r="W8" s="9">
        <v>0.2</v>
      </c>
      <c r="X8" s="9">
        <v>0.5</v>
      </c>
    </row>
    <row r="9" spans="1:31" x14ac:dyDescent="0.25">
      <c r="A9" s="3">
        <v>2025</v>
      </c>
      <c r="B9" s="3" t="s">
        <v>32</v>
      </c>
      <c r="C9" s="25">
        <v>43810</v>
      </c>
      <c r="D9" s="25">
        <v>19100</v>
      </c>
      <c r="E9" s="26">
        <v>45000</v>
      </c>
      <c r="F9" s="3">
        <v>318</v>
      </c>
      <c r="G9" s="3">
        <v>96</v>
      </c>
      <c r="H9" s="3">
        <v>414</v>
      </c>
      <c r="I9" s="3">
        <v>300</v>
      </c>
      <c r="J9" s="3">
        <v>1010</v>
      </c>
      <c r="K9" s="3">
        <v>554</v>
      </c>
      <c r="L9" s="9">
        <v>0.14000000000000001</v>
      </c>
      <c r="M9" s="9">
        <v>0.39</v>
      </c>
      <c r="N9" s="2">
        <v>0.17666666666666667</v>
      </c>
      <c r="O9" s="2">
        <v>0.29333333333333333</v>
      </c>
      <c r="P9" s="9">
        <v>0.4</v>
      </c>
      <c r="Q9" s="9">
        <v>0.4</v>
      </c>
      <c r="R9" s="9">
        <v>0.4</v>
      </c>
      <c r="S9" s="9">
        <v>0.4</v>
      </c>
      <c r="T9" s="9">
        <v>0.4</v>
      </c>
      <c r="U9" s="9">
        <v>0.4</v>
      </c>
      <c r="V9" s="9">
        <v>0.4</v>
      </c>
      <c r="W9" s="9">
        <v>0.2</v>
      </c>
      <c r="X9" s="9">
        <v>0.5</v>
      </c>
    </row>
    <row r="10" spans="1:31" x14ac:dyDescent="0.25">
      <c r="A10" s="3">
        <v>2025</v>
      </c>
      <c r="B10" s="3" t="s">
        <v>33</v>
      </c>
      <c r="C10" s="25">
        <v>50097</v>
      </c>
      <c r="D10" s="25">
        <v>16760</v>
      </c>
      <c r="E10" s="26">
        <v>45000</v>
      </c>
      <c r="F10" s="3">
        <v>352</v>
      </c>
      <c r="G10" s="3">
        <v>53</v>
      </c>
      <c r="H10" s="3">
        <v>405</v>
      </c>
      <c r="I10" s="3">
        <v>300</v>
      </c>
      <c r="J10" s="3">
        <v>599</v>
      </c>
      <c r="K10" s="3">
        <v>542</v>
      </c>
      <c r="L10" s="9">
        <v>0.19</v>
      </c>
      <c r="M10" s="9">
        <v>0.24</v>
      </c>
      <c r="N10" s="2">
        <v>0.14333333333333334</v>
      </c>
      <c r="O10" s="2">
        <v>0.42666666666666664</v>
      </c>
      <c r="P10" s="9">
        <v>0.4</v>
      </c>
      <c r="Q10" s="9">
        <v>0.4</v>
      </c>
      <c r="R10" s="9">
        <v>0.4</v>
      </c>
      <c r="S10" s="9">
        <v>0.4</v>
      </c>
      <c r="T10" s="9">
        <v>0.4</v>
      </c>
      <c r="U10" s="9">
        <v>0.4</v>
      </c>
      <c r="V10" s="9">
        <v>0.4</v>
      </c>
      <c r="W10" s="9">
        <v>0.4</v>
      </c>
      <c r="X10" s="9">
        <v>0.5</v>
      </c>
    </row>
    <row r="11" spans="1:31" x14ac:dyDescent="0.25">
      <c r="A11" s="3">
        <v>2025</v>
      </c>
      <c r="B11" s="3" t="s">
        <v>34</v>
      </c>
      <c r="C11" s="25">
        <v>50762</v>
      </c>
      <c r="D11" s="25">
        <v>17560</v>
      </c>
      <c r="E11" s="26">
        <v>45000</v>
      </c>
      <c r="F11" s="3">
        <v>323</v>
      </c>
      <c r="G11" s="3">
        <v>163</v>
      </c>
      <c r="H11" s="3">
        <v>486</v>
      </c>
      <c r="I11" s="3">
        <v>300</v>
      </c>
      <c r="J11" s="3">
        <v>763</v>
      </c>
      <c r="K11" s="3">
        <v>568</v>
      </c>
      <c r="L11" s="9">
        <v>0.17</v>
      </c>
      <c r="M11" s="9">
        <v>0.22</v>
      </c>
      <c r="N11" s="2">
        <v>0.13</v>
      </c>
      <c r="O11" s="2">
        <v>0.48</v>
      </c>
      <c r="P11" s="9">
        <v>0.55000000000000004</v>
      </c>
      <c r="Q11" s="9">
        <v>0.4</v>
      </c>
      <c r="R11" s="9">
        <v>0.4</v>
      </c>
      <c r="S11" s="9">
        <v>0.4</v>
      </c>
      <c r="T11" s="9">
        <v>0.4</v>
      </c>
      <c r="U11" s="9">
        <v>0.4</v>
      </c>
      <c r="V11" s="9">
        <v>0.4</v>
      </c>
      <c r="W11" s="9">
        <v>0.4</v>
      </c>
      <c r="X11" s="9">
        <v>0.5</v>
      </c>
    </row>
    <row r="12" spans="1:31" x14ac:dyDescent="0.25">
      <c r="A12" s="3">
        <v>2025</v>
      </c>
      <c r="B12" s="3" t="s">
        <v>35</v>
      </c>
      <c r="C12" s="25">
        <v>45773</v>
      </c>
      <c r="D12" s="25">
        <v>21260</v>
      </c>
      <c r="E12" s="26">
        <v>45000</v>
      </c>
      <c r="F12" s="3">
        <v>284</v>
      </c>
      <c r="G12" s="3">
        <v>165</v>
      </c>
      <c r="H12" s="3">
        <v>449</v>
      </c>
      <c r="I12" s="3">
        <v>300</v>
      </c>
      <c r="J12" s="3">
        <v>1279</v>
      </c>
      <c r="K12" s="3">
        <v>682</v>
      </c>
      <c r="L12" s="9">
        <v>0.17</v>
      </c>
      <c r="M12" s="9">
        <v>0.26</v>
      </c>
      <c r="N12" s="2">
        <v>0.14333333333333334</v>
      </c>
      <c r="O12" s="2">
        <v>0.42666666666666664</v>
      </c>
      <c r="P12" s="9">
        <v>0.55000000000000004</v>
      </c>
      <c r="Q12" s="9">
        <v>0.55000000000000004</v>
      </c>
      <c r="R12" s="9">
        <v>0.4</v>
      </c>
      <c r="S12" s="9">
        <v>0.4</v>
      </c>
      <c r="T12" s="9">
        <v>0.4</v>
      </c>
      <c r="U12" s="9">
        <v>0.4</v>
      </c>
      <c r="V12" s="9">
        <v>0.4</v>
      </c>
      <c r="W12" s="9">
        <v>0.4</v>
      </c>
      <c r="X12" s="9">
        <v>0.5</v>
      </c>
    </row>
    <row r="13" spans="1:31" x14ac:dyDescent="0.25">
      <c r="A13" s="3">
        <v>2025</v>
      </c>
      <c r="B13" s="3" t="s">
        <v>36</v>
      </c>
      <c r="C13" s="25">
        <v>46402</v>
      </c>
      <c r="D13" s="25">
        <v>26660</v>
      </c>
      <c r="E13" s="26">
        <v>45000</v>
      </c>
      <c r="F13" s="3">
        <v>235</v>
      </c>
      <c r="G13" s="3">
        <v>291</v>
      </c>
      <c r="H13" s="3">
        <v>526</v>
      </c>
      <c r="I13" s="3">
        <v>300</v>
      </c>
      <c r="J13" s="3">
        <v>878</v>
      </c>
      <c r="K13" s="3">
        <v>552</v>
      </c>
      <c r="L13" s="9">
        <v>0.21</v>
      </c>
      <c r="M13" s="9">
        <v>0.45</v>
      </c>
      <c r="N13" s="2">
        <v>0.22</v>
      </c>
      <c r="O13" s="2">
        <v>0.12</v>
      </c>
      <c r="P13" s="9">
        <v>0.55000000000000004</v>
      </c>
      <c r="Q13" s="9">
        <v>0.55000000000000004</v>
      </c>
      <c r="R13" s="9">
        <v>0.55000000000000004</v>
      </c>
      <c r="S13" s="9">
        <v>0.4</v>
      </c>
      <c r="T13" s="9">
        <v>0.4</v>
      </c>
      <c r="U13" s="9">
        <v>0.4</v>
      </c>
      <c r="V13" s="9">
        <v>0.4</v>
      </c>
      <c r="W13" s="9">
        <v>0.4</v>
      </c>
      <c r="X13" s="9">
        <v>0.5</v>
      </c>
    </row>
    <row r="14" spans="1:31" x14ac:dyDescent="0.25">
      <c r="A14" s="3">
        <v>2026</v>
      </c>
      <c r="B14" s="3" t="s">
        <v>25</v>
      </c>
      <c r="C14" s="25">
        <v>63206</v>
      </c>
      <c r="D14" s="25">
        <v>39690</v>
      </c>
      <c r="E14" s="26">
        <v>65000</v>
      </c>
      <c r="F14" s="3">
        <v>367</v>
      </c>
      <c r="G14" s="3">
        <v>228</v>
      </c>
      <c r="H14" s="3">
        <v>595</v>
      </c>
      <c r="I14" s="3">
        <v>900</v>
      </c>
      <c r="J14" s="3">
        <v>1654</v>
      </c>
      <c r="K14" s="3">
        <v>1029</v>
      </c>
      <c r="L14" s="9">
        <v>0.24</v>
      </c>
      <c r="M14" s="9">
        <v>0.31</v>
      </c>
      <c r="N14" s="2">
        <v>0.18333333333333335</v>
      </c>
      <c r="O14" s="2">
        <v>0.26666666666666661</v>
      </c>
      <c r="P14" s="9">
        <v>0.55000000000000004</v>
      </c>
      <c r="Q14" s="9">
        <v>0.55000000000000004</v>
      </c>
      <c r="R14" s="9">
        <v>0.55000000000000004</v>
      </c>
      <c r="S14" s="9">
        <v>0.55000000000000004</v>
      </c>
      <c r="T14" s="9">
        <v>0.4</v>
      </c>
      <c r="U14" s="9">
        <v>0.4</v>
      </c>
      <c r="V14" s="9">
        <v>0.4</v>
      </c>
      <c r="W14" s="9">
        <v>0.4</v>
      </c>
      <c r="X14" s="9">
        <v>0.7</v>
      </c>
    </row>
    <row r="15" spans="1:31" x14ac:dyDescent="0.25">
      <c r="A15" s="3">
        <v>2026</v>
      </c>
      <c r="B15" s="3" t="s">
        <v>26</v>
      </c>
      <c r="C15" s="25">
        <v>79277</v>
      </c>
      <c r="D15" s="25">
        <v>49690</v>
      </c>
      <c r="E15" s="26">
        <v>65000</v>
      </c>
      <c r="F15" s="3">
        <v>338</v>
      </c>
      <c r="G15" s="3">
        <v>211</v>
      </c>
      <c r="H15" s="3">
        <v>549</v>
      </c>
      <c r="I15" s="3">
        <v>900</v>
      </c>
      <c r="J15" s="3">
        <v>1603</v>
      </c>
      <c r="K15" s="3">
        <v>966</v>
      </c>
      <c r="L15" s="9">
        <v>0.14000000000000001</v>
      </c>
      <c r="M15" s="9">
        <v>0.41</v>
      </c>
      <c r="N15" s="2">
        <v>0.18333333333333335</v>
      </c>
      <c r="O15" s="2">
        <v>0.26666666666666661</v>
      </c>
      <c r="P15" s="9">
        <v>0.55000000000000004</v>
      </c>
      <c r="Q15" s="9">
        <v>0.55000000000000004</v>
      </c>
      <c r="R15" s="9">
        <v>0.55000000000000004</v>
      </c>
      <c r="S15" s="9">
        <v>0.55000000000000004</v>
      </c>
      <c r="T15" s="9">
        <v>0.55000000000000004</v>
      </c>
      <c r="U15" s="9">
        <v>0.4</v>
      </c>
      <c r="V15" s="9">
        <v>0.4</v>
      </c>
      <c r="W15" s="9">
        <v>0.4</v>
      </c>
      <c r="X15" s="9">
        <v>0.7</v>
      </c>
    </row>
    <row r="16" spans="1:31" x14ac:dyDescent="0.25">
      <c r="A16" s="3">
        <v>2026</v>
      </c>
      <c r="B16" s="3" t="s">
        <v>27</v>
      </c>
      <c r="C16" s="25">
        <v>82217</v>
      </c>
      <c r="D16" s="25">
        <v>50270</v>
      </c>
      <c r="E16" s="26">
        <v>65000</v>
      </c>
      <c r="F16" s="3">
        <v>397</v>
      </c>
      <c r="G16" s="3">
        <v>200</v>
      </c>
      <c r="H16" s="3">
        <v>597</v>
      </c>
      <c r="I16" s="3">
        <v>900</v>
      </c>
      <c r="J16" s="3">
        <v>1259</v>
      </c>
      <c r="K16" s="3">
        <v>1026</v>
      </c>
      <c r="L16" s="9">
        <v>0.19</v>
      </c>
      <c r="M16" s="9">
        <v>0.47</v>
      </c>
      <c r="N16" s="2">
        <v>0.21999999999999997</v>
      </c>
      <c r="O16" s="2">
        <v>0.12000000000000011</v>
      </c>
      <c r="P16" s="9">
        <v>0.55000000000000004</v>
      </c>
      <c r="Q16" s="9">
        <v>0.55000000000000004</v>
      </c>
      <c r="R16" s="9">
        <v>0.55000000000000004</v>
      </c>
      <c r="S16" s="9">
        <v>0.55000000000000004</v>
      </c>
      <c r="T16" s="9">
        <v>0.55000000000000004</v>
      </c>
      <c r="U16" s="9">
        <v>0.55000000000000004</v>
      </c>
      <c r="V16" s="9">
        <v>0.4</v>
      </c>
      <c r="W16" s="9">
        <v>0.4</v>
      </c>
      <c r="X16" s="9">
        <v>0.7</v>
      </c>
    </row>
    <row r="17" spans="1:24" x14ac:dyDescent="0.25">
      <c r="A17" s="3">
        <v>2026</v>
      </c>
      <c r="B17" s="3" t="s">
        <v>28</v>
      </c>
      <c r="C17" s="25">
        <v>74656</v>
      </c>
      <c r="D17" s="25">
        <v>47270</v>
      </c>
      <c r="E17" s="26">
        <v>65000</v>
      </c>
      <c r="F17" s="3">
        <v>582</v>
      </c>
      <c r="G17" s="3">
        <v>102</v>
      </c>
      <c r="H17" s="3">
        <v>684</v>
      </c>
      <c r="I17" s="3">
        <v>900</v>
      </c>
      <c r="J17" s="3">
        <v>1128</v>
      </c>
      <c r="K17" s="3">
        <v>875</v>
      </c>
      <c r="L17" s="9">
        <v>7.0000000000000007E-2</v>
      </c>
      <c r="M17" s="9">
        <v>0.46</v>
      </c>
      <c r="N17" s="2">
        <v>0.17666666666666667</v>
      </c>
      <c r="O17" s="2">
        <v>0.29333333333333333</v>
      </c>
      <c r="P17" s="9">
        <v>0.55000000000000004</v>
      </c>
      <c r="Q17" s="9">
        <v>0.55000000000000004</v>
      </c>
      <c r="R17" s="9">
        <v>0.55000000000000004</v>
      </c>
      <c r="S17" s="9">
        <v>0.55000000000000004</v>
      </c>
      <c r="T17" s="9">
        <v>0.55000000000000004</v>
      </c>
      <c r="U17" s="9">
        <v>0.55000000000000004</v>
      </c>
      <c r="V17" s="9">
        <v>0.55000000000000004</v>
      </c>
      <c r="W17" s="9">
        <v>0.4</v>
      </c>
      <c r="X17" s="9">
        <v>0.7</v>
      </c>
    </row>
    <row r="18" spans="1:24" x14ac:dyDescent="0.25">
      <c r="A18" s="3">
        <v>2026</v>
      </c>
      <c r="B18" s="3" t="s">
        <v>29</v>
      </c>
      <c r="C18" s="25">
        <v>57205</v>
      </c>
      <c r="D18" s="25">
        <v>35250</v>
      </c>
      <c r="E18" s="26">
        <v>65000</v>
      </c>
      <c r="F18" s="3">
        <v>588</v>
      </c>
      <c r="G18" s="3">
        <v>118</v>
      </c>
      <c r="H18" s="3">
        <v>706</v>
      </c>
      <c r="I18" s="3">
        <v>900</v>
      </c>
      <c r="J18" s="3">
        <v>1397</v>
      </c>
      <c r="K18" s="3">
        <v>995</v>
      </c>
      <c r="L18" s="9">
        <v>0.1</v>
      </c>
      <c r="M18" s="9">
        <v>0.28999999999999998</v>
      </c>
      <c r="N18" s="2">
        <v>0.13</v>
      </c>
      <c r="O18" s="2">
        <v>0.48</v>
      </c>
      <c r="P18" s="9">
        <v>0.55000000000000004</v>
      </c>
      <c r="Q18" s="9">
        <v>0.55000000000000004</v>
      </c>
      <c r="R18" s="9">
        <v>0.55000000000000004</v>
      </c>
      <c r="S18" s="9">
        <v>0.55000000000000004</v>
      </c>
      <c r="T18" s="9">
        <v>0.55000000000000004</v>
      </c>
      <c r="U18" s="9">
        <v>0.55000000000000004</v>
      </c>
      <c r="V18" s="9">
        <v>0.55000000000000004</v>
      </c>
      <c r="W18" s="9">
        <v>0.55000000000000004</v>
      </c>
      <c r="X18" s="9">
        <v>0.7</v>
      </c>
    </row>
    <row r="19" spans="1:24" x14ac:dyDescent="0.25">
      <c r="A19" s="3">
        <v>2026</v>
      </c>
      <c r="B19" s="3" t="s">
        <v>30</v>
      </c>
      <c r="C19" s="25">
        <v>43908</v>
      </c>
      <c r="D19" s="25">
        <v>35250</v>
      </c>
      <c r="E19" s="26">
        <v>65000</v>
      </c>
      <c r="F19" s="3">
        <v>406</v>
      </c>
      <c r="G19" s="3">
        <v>362</v>
      </c>
      <c r="H19" s="3">
        <v>768</v>
      </c>
      <c r="I19" s="3">
        <v>900</v>
      </c>
      <c r="J19" s="3">
        <v>906</v>
      </c>
      <c r="K19" s="3">
        <v>829</v>
      </c>
      <c r="L19" s="9">
        <v>0.23</v>
      </c>
      <c r="M19" s="9">
        <v>0.38</v>
      </c>
      <c r="N19" s="2">
        <v>0.20333333333333334</v>
      </c>
      <c r="O19" s="2">
        <v>0.18666666666666665</v>
      </c>
      <c r="P19" s="9">
        <v>0.7</v>
      </c>
      <c r="Q19" s="9">
        <v>0.55000000000000004</v>
      </c>
      <c r="R19" s="9">
        <v>0.55000000000000004</v>
      </c>
      <c r="S19" s="9">
        <v>0.55000000000000004</v>
      </c>
      <c r="T19" s="9">
        <v>0.55000000000000004</v>
      </c>
      <c r="U19" s="9">
        <v>0.55000000000000004</v>
      </c>
      <c r="V19" s="9">
        <v>0.55000000000000004</v>
      </c>
      <c r="W19" s="9">
        <v>0.55000000000000004</v>
      </c>
      <c r="X19" s="9">
        <v>0.7</v>
      </c>
    </row>
    <row r="20" spans="1:24" x14ac:dyDescent="0.25">
      <c r="A20" s="3">
        <v>2026</v>
      </c>
      <c r="B20" s="3" t="s">
        <v>31</v>
      </c>
      <c r="C20" s="25">
        <v>43905</v>
      </c>
      <c r="D20" s="25">
        <v>44070</v>
      </c>
      <c r="E20" s="26">
        <v>65000</v>
      </c>
      <c r="F20" s="3">
        <v>332</v>
      </c>
      <c r="G20" s="3">
        <v>388</v>
      </c>
      <c r="H20" s="3">
        <v>720</v>
      </c>
      <c r="I20" s="3">
        <v>900</v>
      </c>
      <c r="J20" s="3">
        <v>1929</v>
      </c>
      <c r="K20" s="3">
        <v>770</v>
      </c>
      <c r="L20" s="9">
        <v>0.17</v>
      </c>
      <c r="M20" s="9">
        <v>0.33</v>
      </c>
      <c r="N20" s="2">
        <v>0.16666666666666666</v>
      </c>
      <c r="O20" s="2">
        <v>0.33333333333333337</v>
      </c>
      <c r="P20" s="9">
        <v>0.7</v>
      </c>
      <c r="Q20" s="9">
        <v>0.7</v>
      </c>
      <c r="R20" s="9">
        <v>0.55000000000000004</v>
      </c>
      <c r="S20" s="9">
        <v>0.55000000000000004</v>
      </c>
      <c r="T20" s="9">
        <v>0.55000000000000004</v>
      </c>
      <c r="U20" s="9">
        <v>0.55000000000000004</v>
      </c>
      <c r="V20" s="9">
        <v>0.55000000000000004</v>
      </c>
      <c r="W20" s="9">
        <v>0.55000000000000004</v>
      </c>
      <c r="X20" s="9">
        <v>0.7</v>
      </c>
    </row>
    <row r="21" spans="1:24" x14ac:dyDescent="0.25">
      <c r="A21" s="3">
        <v>2026</v>
      </c>
      <c r="B21" s="3" t="s">
        <v>32</v>
      </c>
      <c r="C21" s="25">
        <v>57209</v>
      </c>
      <c r="D21" s="25">
        <v>45370</v>
      </c>
      <c r="E21" s="26">
        <v>65000</v>
      </c>
      <c r="F21" s="3">
        <v>719</v>
      </c>
      <c r="G21" s="3">
        <v>93</v>
      </c>
      <c r="H21" s="3">
        <v>812</v>
      </c>
      <c r="I21" s="3">
        <v>900</v>
      </c>
      <c r="J21" s="3">
        <v>2086</v>
      </c>
      <c r="K21" s="3">
        <v>1039</v>
      </c>
      <c r="L21" s="9">
        <v>0.12</v>
      </c>
      <c r="M21" s="9">
        <v>0.37</v>
      </c>
      <c r="N21" s="2">
        <v>0.16333333333333333</v>
      </c>
      <c r="O21" s="2">
        <v>0.34666666666666668</v>
      </c>
      <c r="P21" s="9">
        <v>0.7</v>
      </c>
      <c r="Q21" s="9">
        <v>0.7</v>
      </c>
      <c r="R21" s="9">
        <v>0.7</v>
      </c>
      <c r="S21" s="9">
        <v>0.55000000000000004</v>
      </c>
      <c r="T21" s="9">
        <v>0.55000000000000004</v>
      </c>
      <c r="U21" s="9">
        <v>0.55000000000000004</v>
      </c>
      <c r="V21" s="9">
        <v>0.55000000000000004</v>
      </c>
      <c r="W21" s="9">
        <v>0.55000000000000004</v>
      </c>
      <c r="X21" s="9">
        <v>0.7</v>
      </c>
    </row>
    <row r="22" spans="1:24" x14ac:dyDescent="0.25">
      <c r="A22" s="3">
        <v>2026</v>
      </c>
      <c r="B22" s="3" t="s">
        <v>33</v>
      </c>
      <c r="C22" s="25">
        <v>74658</v>
      </c>
      <c r="D22" s="25">
        <v>56490</v>
      </c>
      <c r="E22" s="26">
        <v>65000</v>
      </c>
      <c r="F22" s="3">
        <v>476</v>
      </c>
      <c r="G22" s="3">
        <v>423</v>
      </c>
      <c r="H22" s="3">
        <v>899</v>
      </c>
      <c r="I22" s="3">
        <v>900</v>
      </c>
      <c r="J22" s="3">
        <v>2085</v>
      </c>
      <c r="K22" s="3">
        <v>1303</v>
      </c>
      <c r="L22" s="9">
        <v>0.16</v>
      </c>
      <c r="M22" s="9">
        <v>0.37</v>
      </c>
      <c r="N22" s="2">
        <v>0.17666666666666667</v>
      </c>
      <c r="O22" s="2">
        <v>0.29333333333333333</v>
      </c>
      <c r="P22" s="9">
        <v>0.7</v>
      </c>
      <c r="Q22" s="9">
        <v>0.7</v>
      </c>
      <c r="R22" s="9">
        <v>0.7</v>
      </c>
      <c r="S22" s="9">
        <v>0.7</v>
      </c>
      <c r="T22" s="9">
        <v>0.55000000000000004</v>
      </c>
      <c r="U22" s="9">
        <v>0.55000000000000004</v>
      </c>
      <c r="V22" s="9">
        <v>0.55000000000000004</v>
      </c>
      <c r="W22" s="9">
        <v>0.55000000000000004</v>
      </c>
      <c r="X22" s="9">
        <v>0.7</v>
      </c>
    </row>
    <row r="23" spans="1:24" x14ac:dyDescent="0.25">
      <c r="A23" s="3">
        <v>2026</v>
      </c>
      <c r="B23" s="3" t="s">
        <v>34</v>
      </c>
      <c r="C23" s="25">
        <v>83203</v>
      </c>
      <c r="D23" s="25">
        <v>61490</v>
      </c>
      <c r="E23" s="26">
        <v>65000</v>
      </c>
      <c r="F23" s="3">
        <v>528</v>
      </c>
      <c r="G23" s="3">
        <v>412</v>
      </c>
      <c r="H23" s="3">
        <v>940</v>
      </c>
      <c r="I23" s="3">
        <v>900</v>
      </c>
      <c r="J23" s="3">
        <v>2086</v>
      </c>
      <c r="K23" s="3">
        <v>1579</v>
      </c>
      <c r="L23" s="9">
        <v>0.24</v>
      </c>
      <c r="M23" s="9">
        <v>0.43</v>
      </c>
      <c r="N23" s="2">
        <v>0.2233333333333333</v>
      </c>
      <c r="O23" s="2">
        <v>0.1066666666666668</v>
      </c>
      <c r="P23" s="9">
        <v>0.7</v>
      </c>
      <c r="Q23" s="9">
        <v>0.7</v>
      </c>
      <c r="R23" s="9">
        <v>0.7</v>
      </c>
      <c r="S23" s="9">
        <v>0.7</v>
      </c>
      <c r="T23" s="9">
        <v>0.7</v>
      </c>
      <c r="U23" s="9">
        <v>0.55000000000000004</v>
      </c>
      <c r="V23" s="9">
        <v>0.55000000000000004</v>
      </c>
      <c r="W23" s="9">
        <v>0.55000000000000004</v>
      </c>
      <c r="X23" s="9">
        <v>0.7</v>
      </c>
    </row>
    <row r="24" spans="1:24" x14ac:dyDescent="0.25">
      <c r="A24" s="3">
        <v>2026</v>
      </c>
      <c r="B24" s="3" t="s">
        <v>35</v>
      </c>
      <c r="C24" s="25">
        <v>79282</v>
      </c>
      <c r="D24" s="25">
        <v>57770</v>
      </c>
      <c r="E24" s="26">
        <v>65000</v>
      </c>
      <c r="F24" s="3">
        <v>524</v>
      </c>
      <c r="G24" s="3">
        <v>468</v>
      </c>
      <c r="H24" s="3">
        <v>992</v>
      </c>
      <c r="I24" s="3">
        <v>900</v>
      </c>
      <c r="J24" s="3">
        <v>2370</v>
      </c>
      <c r="K24" s="3">
        <v>1071</v>
      </c>
      <c r="L24" s="9">
        <v>0.17</v>
      </c>
      <c r="M24" s="9">
        <v>0.42</v>
      </c>
      <c r="N24" s="2">
        <v>0.19666666666666666</v>
      </c>
      <c r="O24" s="2">
        <v>0.21333333333333337</v>
      </c>
      <c r="P24" s="9">
        <v>0.7</v>
      </c>
      <c r="Q24" s="9">
        <v>0.7</v>
      </c>
      <c r="R24" s="9">
        <v>0.7</v>
      </c>
      <c r="S24" s="9">
        <v>0.7</v>
      </c>
      <c r="T24" s="9">
        <v>0.7</v>
      </c>
      <c r="U24" s="9">
        <v>0.7</v>
      </c>
      <c r="V24" s="9">
        <v>0.55000000000000004</v>
      </c>
      <c r="W24" s="9">
        <v>0.55000000000000004</v>
      </c>
      <c r="X24" s="9">
        <v>0.7</v>
      </c>
    </row>
    <row r="25" spans="1:24" x14ac:dyDescent="0.25">
      <c r="A25" s="3">
        <v>2026</v>
      </c>
      <c r="B25" s="3" t="s">
        <v>36</v>
      </c>
      <c r="C25" s="25">
        <v>63206</v>
      </c>
      <c r="D25" s="25">
        <v>47770</v>
      </c>
      <c r="E25" s="26">
        <v>65000</v>
      </c>
      <c r="F25" s="3">
        <v>695</v>
      </c>
      <c r="G25" s="3">
        <v>278</v>
      </c>
      <c r="H25" s="3">
        <v>973</v>
      </c>
      <c r="I25" s="3">
        <v>900</v>
      </c>
      <c r="J25" s="3">
        <v>1780</v>
      </c>
      <c r="K25" s="3">
        <v>1255</v>
      </c>
      <c r="L25" s="9">
        <v>0.12</v>
      </c>
      <c r="M25" s="9">
        <v>0.33</v>
      </c>
      <c r="N25" s="2">
        <v>0.15</v>
      </c>
      <c r="O25" s="2">
        <v>0.4</v>
      </c>
      <c r="P25" s="9">
        <v>0.7</v>
      </c>
      <c r="Q25" s="9">
        <v>0.7</v>
      </c>
      <c r="R25" s="9">
        <v>0.7</v>
      </c>
      <c r="S25" s="9">
        <v>0.7</v>
      </c>
      <c r="T25" s="9">
        <v>0.7</v>
      </c>
      <c r="U25" s="9">
        <v>0.7</v>
      </c>
      <c r="V25" s="9">
        <v>0.7</v>
      </c>
      <c r="W25" s="9">
        <v>0.55000000000000004</v>
      </c>
      <c r="X25" s="9">
        <v>0.7</v>
      </c>
    </row>
    <row r="26" spans="1:24" x14ac:dyDescent="0.25">
      <c r="A26" s="3">
        <v>2027</v>
      </c>
      <c r="B26" s="3" t="s">
        <v>25</v>
      </c>
      <c r="C26" s="25">
        <v>59019</v>
      </c>
      <c r="D26" s="25">
        <v>67541</v>
      </c>
      <c r="E26" s="26">
        <v>75000</v>
      </c>
      <c r="F26" s="3">
        <v>538</v>
      </c>
      <c r="G26" s="3">
        <v>510</v>
      </c>
      <c r="H26" s="3">
        <v>1048</v>
      </c>
      <c r="I26" s="3">
        <v>1400</v>
      </c>
      <c r="J26" s="3">
        <v>2001</v>
      </c>
      <c r="K26" s="3">
        <v>1142</v>
      </c>
      <c r="L26" s="9">
        <v>0.15</v>
      </c>
      <c r="M26" s="9">
        <v>0.33</v>
      </c>
      <c r="N26" s="2">
        <v>0.16</v>
      </c>
      <c r="O26" s="2">
        <v>0.36</v>
      </c>
      <c r="P26" s="9">
        <v>0.7</v>
      </c>
      <c r="Q26" s="9">
        <v>0.7</v>
      </c>
      <c r="R26" s="9">
        <v>0.7</v>
      </c>
      <c r="S26" s="9">
        <v>0.7</v>
      </c>
      <c r="T26" s="9">
        <v>0.7</v>
      </c>
      <c r="U26" s="9">
        <v>0.7</v>
      </c>
      <c r="V26" s="9">
        <v>0.7</v>
      </c>
      <c r="W26" s="9">
        <v>0.7</v>
      </c>
      <c r="X26" s="9">
        <v>0.8</v>
      </c>
    </row>
    <row r="27" spans="1:24" x14ac:dyDescent="0.25">
      <c r="A27" s="3">
        <v>2027</v>
      </c>
      <c r="B27" s="3" t="s">
        <v>26</v>
      </c>
      <c r="C27" s="25">
        <v>81135</v>
      </c>
      <c r="D27" s="25">
        <v>62626</v>
      </c>
      <c r="E27" s="26">
        <v>75000</v>
      </c>
      <c r="F27" s="3">
        <v>797</v>
      </c>
      <c r="G27" s="3">
        <v>318</v>
      </c>
      <c r="H27" s="3">
        <v>1115</v>
      </c>
      <c r="I27" s="3">
        <v>1400</v>
      </c>
      <c r="J27" s="3">
        <v>2073</v>
      </c>
      <c r="K27" s="3">
        <v>1661</v>
      </c>
      <c r="L27" s="9">
        <v>0.22</v>
      </c>
      <c r="M27" s="9">
        <v>0.45</v>
      </c>
      <c r="N27" s="2">
        <v>0.22333333333333336</v>
      </c>
      <c r="O27" s="2">
        <v>0.10666666666666658</v>
      </c>
      <c r="P27" s="9">
        <v>0.8</v>
      </c>
      <c r="Q27" s="9">
        <v>0.7</v>
      </c>
      <c r="R27" s="9">
        <v>0.7</v>
      </c>
      <c r="S27" s="9">
        <v>0.7</v>
      </c>
      <c r="T27" s="9">
        <v>0.7</v>
      </c>
      <c r="U27" s="9">
        <v>0.7</v>
      </c>
      <c r="V27" s="9">
        <v>0.7</v>
      </c>
      <c r="W27" s="9">
        <v>0.7</v>
      </c>
      <c r="X27" s="9">
        <v>0.8</v>
      </c>
    </row>
    <row r="28" spans="1:24" x14ac:dyDescent="0.25">
      <c r="A28" s="3">
        <v>2027</v>
      </c>
      <c r="B28" s="3" t="s">
        <v>27</v>
      </c>
      <c r="C28" s="25">
        <v>84342</v>
      </c>
      <c r="D28" s="25">
        <v>68752</v>
      </c>
      <c r="E28" s="26">
        <v>75000</v>
      </c>
      <c r="F28" s="3">
        <v>565</v>
      </c>
      <c r="G28" s="3">
        <v>540</v>
      </c>
      <c r="H28" s="3">
        <v>1105</v>
      </c>
      <c r="I28" s="3">
        <v>1400</v>
      </c>
      <c r="J28" s="3">
        <v>2884</v>
      </c>
      <c r="K28" s="3">
        <v>1900</v>
      </c>
      <c r="L28" s="9">
        <v>0.17</v>
      </c>
      <c r="M28" s="9">
        <v>0.38</v>
      </c>
      <c r="N28" s="2">
        <v>0.18333333333333335</v>
      </c>
      <c r="O28" s="2">
        <v>0.26666666666666661</v>
      </c>
      <c r="P28" s="9">
        <v>0.8</v>
      </c>
      <c r="Q28" s="9">
        <v>0.8</v>
      </c>
      <c r="R28" s="9">
        <v>0.7</v>
      </c>
      <c r="S28" s="9">
        <v>0.7</v>
      </c>
      <c r="T28" s="9">
        <v>0.7</v>
      </c>
      <c r="U28" s="9">
        <v>0.7</v>
      </c>
      <c r="V28" s="9">
        <v>0.7</v>
      </c>
      <c r="W28" s="9">
        <v>0.7</v>
      </c>
      <c r="X28" s="9">
        <v>0.8</v>
      </c>
    </row>
    <row r="29" spans="1:24" x14ac:dyDescent="0.25">
      <c r="A29" s="3">
        <v>2027</v>
      </c>
      <c r="B29" s="3" t="s">
        <v>28</v>
      </c>
      <c r="C29" s="25">
        <v>73245</v>
      </c>
      <c r="D29" s="25">
        <v>78653</v>
      </c>
      <c r="E29" s="26">
        <v>75000</v>
      </c>
      <c r="F29" s="3">
        <v>882</v>
      </c>
      <c r="G29" s="3">
        <v>325</v>
      </c>
      <c r="H29" s="3">
        <v>1207</v>
      </c>
      <c r="I29" s="3">
        <v>1400</v>
      </c>
      <c r="J29" s="3">
        <v>2908</v>
      </c>
      <c r="K29" s="3">
        <v>1400</v>
      </c>
      <c r="L29" s="9">
        <v>0.08</v>
      </c>
      <c r="M29" s="9">
        <v>0.41</v>
      </c>
      <c r="N29" s="2">
        <v>0.16333333333333333</v>
      </c>
      <c r="O29" s="2">
        <v>0.34666666666666668</v>
      </c>
      <c r="P29" s="9">
        <v>0.8</v>
      </c>
      <c r="Q29" s="9">
        <v>0.8</v>
      </c>
      <c r="R29" s="9">
        <v>0.8</v>
      </c>
      <c r="S29" s="9">
        <v>0.7</v>
      </c>
      <c r="T29" s="9">
        <v>0.7</v>
      </c>
      <c r="U29" s="9">
        <v>0.7</v>
      </c>
      <c r="V29" s="9">
        <v>0.7</v>
      </c>
      <c r="W29" s="9">
        <v>0.7</v>
      </c>
      <c r="X29" s="9">
        <v>0.8</v>
      </c>
    </row>
    <row r="30" spans="1:24" x14ac:dyDescent="0.25">
      <c r="A30" s="3">
        <v>2027</v>
      </c>
      <c r="B30" s="3" t="s">
        <v>29</v>
      </c>
      <c r="C30" s="25">
        <v>57139</v>
      </c>
      <c r="D30" s="25">
        <v>73540</v>
      </c>
      <c r="E30" s="26">
        <v>75000</v>
      </c>
      <c r="F30" s="3">
        <v>597</v>
      </c>
      <c r="G30" s="3">
        <v>611</v>
      </c>
      <c r="H30" s="3">
        <v>1208</v>
      </c>
      <c r="I30" s="3">
        <v>1400</v>
      </c>
      <c r="J30" s="3">
        <v>3213</v>
      </c>
      <c r="K30" s="3">
        <v>1618</v>
      </c>
      <c r="L30" s="9">
        <v>0.06</v>
      </c>
      <c r="M30" s="9">
        <v>0.23</v>
      </c>
      <c r="N30" s="2">
        <v>9.6666666666666679E-2</v>
      </c>
      <c r="O30" s="2">
        <v>0.61333333333333329</v>
      </c>
      <c r="P30" s="9">
        <v>0.8</v>
      </c>
      <c r="Q30" s="9">
        <v>0.8</v>
      </c>
      <c r="R30" s="9">
        <v>0.8</v>
      </c>
      <c r="S30" s="9">
        <v>0.8</v>
      </c>
      <c r="T30" s="9">
        <v>0.7</v>
      </c>
      <c r="U30" s="9">
        <v>0.7</v>
      </c>
      <c r="V30" s="9">
        <v>0.7</v>
      </c>
      <c r="W30" s="9">
        <v>0.7</v>
      </c>
      <c r="X30" s="9">
        <v>0.8</v>
      </c>
    </row>
    <row r="31" spans="1:24" x14ac:dyDescent="0.25">
      <c r="A31" s="3">
        <v>2027</v>
      </c>
      <c r="B31" s="3" t="s">
        <v>30</v>
      </c>
      <c r="C31" s="25">
        <v>44835</v>
      </c>
      <c r="D31" s="25">
        <v>61426</v>
      </c>
      <c r="E31" s="26">
        <v>75000</v>
      </c>
      <c r="F31" s="3">
        <v>645</v>
      </c>
      <c r="G31" s="3">
        <v>616</v>
      </c>
      <c r="H31" s="3">
        <v>1261</v>
      </c>
      <c r="I31" s="3">
        <v>1400</v>
      </c>
      <c r="J31" s="3">
        <v>2282</v>
      </c>
      <c r="K31" s="3">
        <v>1941</v>
      </c>
      <c r="L31" s="9">
        <v>0.09</v>
      </c>
      <c r="M31" s="9">
        <v>0.23</v>
      </c>
      <c r="N31" s="2">
        <v>0.10666666666666667</v>
      </c>
      <c r="O31" s="2">
        <v>0.57333333333333325</v>
      </c>
      <c r="P31" s="9">
        <v>0.8</v>
      </c>
      <c r="Q31" s="9">
        <v>0.8</v>
      </c>
      <c r="R31" s="9">
        <v>0.8</v>
      </c>
      <c r="S31" s="9">
        <v>0.8</v>
      </c>
      <c r="T31" s="9">
        <v>0.8</v>
      </c>
      <c r="U31" s="9">
        <v>0.7</v>
      </c>
      <c r="V31" s="9">
        <v>0.7</v>
      </c>
      <c r="W31" s="9">
        <v>0.7</v>
      </c>
      <c r="X31" s="9">
        <v>0.8</v>
      </c>
    </row>
    <row r="32" spans="1:24" x14ac:dyDescent="0.25">
      <c r="A32" s="3">
        <v>2027</v>
      </c>
      <c r="B32" s="3" t="s">
        <v>31</v>
      </c>
      <c r="C32" s="25">
        <v>52221</v>
      </c>
      <c r="D32" s="25">
        <v>58031</v>
      </c>
      <c r="E32" s="26">
        <v>75000</v>
      </c>
      <c r="F32" s="3">
        <v>790</v>
      </c>
      <c r="G32" s="3">
        <v>499</v>
      </c>
      <c r="H32" s="3">
        <v>1289</v>
      </c>
      <c r="I32" s="3">
        <v>1400</v>
      </c>
      <c r="J32" s="3">
        <v>3441</v>
      </c>
      <c r="K32" s="3">
        <v>1997</v>
      </c>
      <c r="L32" s="9">
        <v>0.08</v>
      </c>
      <c r="M32" s="9">
        <v>0.32</v>
      </c>
      <c r="N32" s="2">
        <v>0.13333333333333333</v>
      </c>
      <c r="O32" s="2">
        <v>0.46666666666666667</v>
      </c>
      <c r="P32" s="9">
        <v>0.8</v>
      </c>
      <c r="Q32" s="9">
        <v>0.8</v>
      </c>
      <c r="R32" s="9">
        <v>0.8</v>
      </c>
      <c r="S32" s="9">
        <v>0.8</v>
      </c>
      <c r="T32" s="9">
        <v>0.8</v>
      </c>
      <c r="U32" s="9">
        <v>0.8</v>
      </c>
      <c r="V32" s="9">
        <v>0.7</v>
      </c>
      <c r="W32" s="9">
        <v>0.7</v>
      </c>
      <c r="X32" s="9">
        <v>0.8</v>
      </c>
    </row>
    <row r="33" spans="1:24" x14ac:dyDescent="0.25">
      <c r="A33" s="3">
        <v>2027</v>
      </c>
      <c r="B33" s="3" t="s">
        <v>32</v>
      </c>
      <c r="C33" s="25">
        <v>96718</v>
      </c>
      <c r="D33" s="25">
        <v>65713</v>
      </c>
      <c r="E33" s="26">
        <v>75000</v>
      </c>
      <c r="F33" s="3">
        <v>996</v>
      </c>
      <c r="G33" s="3">
        <v>431</v>
      </c>
      <c r="H33" s="3">
        <v>1427</v>
      </c>
      <c r="I33" s="3">
        <v>1400</v>
      </c>
      <c r="J33" s="3">
        <v>4181</v>
      </c>
      <c r="K33" s="3">
        <v>2226</v>
      </c>
      <c r="L33" s="9">
        <v>0.09</v>
      </c>
      <c r="M33" s="9">
        <v>0.24</v>
      </c>
      <c r="N33" s="2">
        <v>0.10999999999999999</v>
      </c>
      <c r="O33" s="2">
        <v>0.56000000000000005</v>
      </c>
      <c r="P33" s="9">
        <v>0.8</v>
      </c>
      <c r="Q33" s="9">
        <v>0.8</v>
      </c>
      <c r="R33" s="9">
        <v>0.8</v>
      </c>
      <c r="S33" s="9">
        <v>0.8</v>
      </c>
      <c r="T33" s="9">
        <v>0.8</v>
      </c>
      <c r="U33" s="9">
        <v>0.8</v>
      </c>
      <c r="V33" s="9">
        <v>0.8</v>
      </c>
      <c r="W33" s="9">
        <v>0.7</v>
      </c>
      <c r="X33" s="9">
        <v>0.8</v>
      </c>
    </row>
    <row r="34" spans="1:24" x14ac:dyDescent="0.25">
      <c r="A34" s="3">
        <v>2027</v>
      </c>
      <c r="B34" s="3" t="s">
        <v>33</v>
      </c>
      <c r="C34" s="25">
        <v>111028</v>
      </c>
      <c r="D34" s="25">
        <v>80943</v>
      </c>
      <c r="E34" s="26">
        <v>75000</v>
      </c>
      <c r="F34" s="3">
        <v>1183</v>
      </c>
      <c r="G34" s="3">
        <v>210</v>
      </c>
      <c r="H34" s="3">
        <v>1393</v>
      </c>
      <c r="I34" s="3">
        <v>1400</v>
      </c>
      <c r="J34" s="3">
        <v>1936</v>
      </c>
      <c r="K34" s="3">
        <v>1532</v>
      </c>
      <c r="L34" s="9">
        <v>0.19</v>
      </c>
      <c r="M34" s="9">
        <v>0.4</v>
      </c>
      <c r="N34" s="2">
        <v>0.19666666666666668</v>
      </c>
      <c r="O34" s="2">
        <v>0.21333333333333326</v>
      </c>
      <c r="P34" s="9">
        <v>0.9</v>
      </c>
      <c r="Q34" s="9">
        <v>0.8</v>
      </c>
      <c r="R34" s="9">
        <v>0.8</v>
      </c>
      <c r="S34" s="9">
        <v>0.8</v>
      </c>
      <c r="T34" s="9">
        <v>0.8</v>
      </c>
      <c r="U34" s="9">
        <v>0.8</v>
      </c>
      <c r="V34" s="9">
        <v>0.8</v>
      </c>
      <c r="W34" s="9">
        <v>0.8</v>
      </c>
      <c r="X34" s="9">
        <v>0.8</v>
      </c>
    </row>
    <row r="35" spans="1:24" x14ac:dyDescent="0.25">
      <c r="A35" s="3">
        <v>2027</v>
      </c>
      <c r="B35" s="3" t="s">
        <v>34</v>
      </c>
      <c r="C35" s="25">
        <v>105644</v>
      </c>
      <c r="D35" s="25">
        <v>89819</v>
      </c>
      <c r="E35" s="26">
        <v>75000</v>
      </c>
      <c r="F35" s="3">
        <v>876</v>
      </c>
      <c r="G35" s="3">
        <v>516</v>
      </c>
      <c r="H35" s="3">
        <v>1392</v>
      </c>
      <c r="I35" s="3">
        <v>1400</v>
      </c>
      <c r="J35" s="3">
        <v>4148</v>
      </c>
      <c r="K35" s="3">
        <v>2352</v>
      </c>
      <c r="L35" s="9">
        <v>0.16</v>
      </c>
      <c r="M35" s="9">
        <v>0.5</v>
      </c>
      <c r="N35" s="2">
        <v>0.22</v>
      </c>
      <c r="O35" s="2">
        <v>0.12</v>
      </c>
      <c r="P35" s="9">
        <v>0.9</v>
      </c>
      <c r="Q35" s="9">
        <v>0.9</v>
      </c>
      <c r="R35" s="9">
        <v>0.8</v>
      </c>
      <c r="S35" s="9">
        <v>0.8</v>
      </c>
      <c r="T35" s="9">
        <v>0.8</v>
      </c>
      <c r="U35" s="9">
        <v>0.8</v>
      </c>
      <c r="V35" s="9">
        <v>0.8</v>
      </c>
      <c r="W35" s="9">
        <v>0.8</v>
      </c>
      <c r="X35" s="9">
        <v>0.8</v>
      </c>
    </row>
    <row r="36" spans="1:24" x14ac:dyDescent="0.25">
      <c r="A36" s="3">
        <v>2027</v>
      </c>
      <c r="B36" s="3" t="s">
        <v>35</v>
      </c>
      <c r="C36" s="25">
        <v>77026</v>
      </c>
      <c r="D36" s="25">
        <v>85029</v>
      </c>
      <c r="E36" s="26">
        <v>75000</v>
      </c>
      <c r="F36" s="3">
        <v>1101</v>
      </c>
      <c r="G36" s="3">
        <v>406</v>
      </c>
      <c r="H36" s="3">
        <v>1507</v>
      </c>
      <c r="I36" s="3">
        <v>1400</v>
      </c>
      <c r="J36" s="3">
        <v>2848</v>
      </c>
      <c r="K36" s="3">
        <v>2049</v>
      </c>
      <c r="L36" s="9">
        <v>0.24</v>
      </c>
      <c r="M36" s="9">
        <v>0.33</v>
      </c>
      <c r="N36" s="2">
        <v>0.19000000000000003</v>
      </c>
      <c r="O36" s="2">
        <v>0.23999999999999988</v>
      </c>
      <c r="P36" s="9">
        <v>0.9</v>
      </c>
      <c r="Q36" s="9">
        <v>0.9</v>
      </c>
      <c r="R36" s="9">
        <v>0.9</v>
      </c>
      <c r="S36" s="9">
        <v>0.8</v>
      </c>
      <c r="T36" s="9">
        <v>0.8</v>
      </c>
      <c r="U36" s="9">
        <v>0.8</v>
      </c>
      <c r="V36" s="9">
        <v>0.8</v>
      </c>
      <c r="W36" s="9">
        <v>0.8</v>
      </c>
      <c r="X36" s="9">
        <v>0.8</v>
      </c>
    </row>
    <row r="37" spans="1:24" x14ac:dyDescent="0.25">
      <c r="A37" s="3">
        <v>2027</v>
      </c>
      <c r="B37" s="3" t="s">
        <v>36</v>
      </c>
      <c r="C37" s="25">
        <v>90717</v>
      </c>
      <c r="D37" s="25">
        <v>74016</v>
      </c>
      <c r="E37" s="26">
        <v>75000</v>
      </c>
      <c r="F37" s="3">
        <v>1269</v>
      </c>
      <c r="G37" s="3">
        <v>197</v>
      </c>
      <c r="H37" s="3">
        <v>1466</v>
      </c>
      <c r="I37" s="3">
        <v>1400</v>
      </c>
      <c r="J37" s="3">
        <v>3019</v>
      </c>
      <c r="K37" s="3">
        <v>1524</v>
      </c>
      <c r="L37" s="9">
        <v>0.06</v>
      </c>
      <c r="M37" s="9">
        <v>0.3</v>
      </c>
      <c r="N37" s="2">
        <v>0.12</v>
      </c>
      <c r="O37" s="2">
        <v>0.52</v>
      </c>
      <c r="P37" s="9">
        <v>0.9</v>
      </c>
      <c r="Q37" s="9">
        <v>0.9</v>
      </c>
      <c r="R37" s="9">
        <v>0.9</v>
      </c>
      <c r="S37" s="9">
        <v>0.9</v>
      </c>
      <c r="T37" s="9">
        <v>0.8</v>
      </c>
      <c r="U37" s="9">
        <v>0.8</v>
      </c>
      <c r="V37" s="9">
        <v>0.8</v>
      </c>
      <c r="W37" s="9">
        <v>0.8</v>
      </c>
      <c r="X37" s="9">
        <v>0.8</v>
      </c>
    </row>
    <row r="38" spans="1:24" x14ac:dyDescent="0.25">
      <c r="A38" s="3">
        <v>2028</v>
      </c>
      <c r="B38" s="3" t="s">
        <v>25</v>
      </c>
      <c r="C38" s="25">
        <v>112023</v>
      </c>
      <c r="D38" s="25">
        <v>100740</v>
      </c>
      <c r="E38" s="26">
        <v>100000</v>
      </c>
      <c r="F38" s="3">
        <v>1090</v>
      </c>
      <c r="G38" s="3">
        <v>474</v>
      </c>
      <c r="H38" s="3">
        <v>1564</v>
      </c>
      <c r="I38" s="3">
        <v>1800</v>
      </c>
      <c r="J38" s="3">
        <v>3018</v>
      </c>
      <c r="K38" s="3">
        <v>2658</v>
      </c>
      <c r="L38" s="9">
        <v>0.13</v>
      </c>
      <c r="M38" s="9">
        <v>0.31</v>
      </c>
      <c r="N38" s="2">
        <v>0.14666666666666667</v>
      </c>
      <c r="O38" s="2">
        <v>0.41333333333333333</v>
      </c>
      <c r="P38" s="9">
        <v>0.9</v>
      </c>
      <c r="Q38" s="9">
        <v>0.9</v>
      </c>
      <c r="R38" s="9">
        <v>0.9</v>
      </c>
      <c r="S38" s="9">
        <v>0.9</v>
      </c>
      <c r="T38" s="9">
        <v>0.9</v>
      </c>
      <c r="U38" s="9">
        <v>0.8</v>
      </c>
      <c r="V38" s="9">
        <v>0.8</v>
      </c>
      <c r="W38" s="9">
        <v>0.8</v>
      </c>
      <c r="X38" s="9">
        <v>1</v>
      </c>
    </row>
    <row r="39" spans="1:24" x14ac:dyDescent="0.25">
      <c r="A39" s="3">
        <v>2028</v>
      </c>
      <c r="B39" s="3" t="s">
        <v>26</v>
      </c>
      <c r="C39" s="25">
        <v>89374</v>
      </c>
      <c r="D39" s="25">
        <v>94530</v>
      </c>
      <c r="E39" s="26">
        <v>100000</v>
      </c>
      <c r="F39" s="3">
        <v>956</v>
      </c>
      <c r="G39" s="3">
        <v>561</v>
      </c>
      <c r="H39" s="3">
        <v>1517</v>
      </c>
      <c r="I39" s="3">
        <v>1800</v>
      </c>
      <c r="J39" s="3">
        <v>3261</v>
      </c>
      <c r="K39" s="3">
        <v>2336</v>
      </c>
      <c r="L39" s="9">
        <v>0.21</v>
      </c>
      <c r="M39" s="9">
        <v>0.44</v>
      </c>
      <c r="N39" s="2">
        <v>0.21666666666666667</v>
      </c>
      <c r="O39" s="2">
        <v>0.1333333333333333</v>
      </c>
      <c r="P39" s="9">
        <v>0.9</v>
      </c>
      <c r="Q39" s="9">
        <v>0.9</v>
      </c>
      <c r="R39" s="9">
        <v>0.9</v>
      </c>
      <c r="S39" s="9">
        <v>0.9</v>
      </c>
      <c r="T39" s="9">
        <v>0.9</v>
      </c>
      <c r="U39" s="9">
        <v>0.9</v>
      </c>
      <c r="V39" s="9">
        <v>0.8</v>
      </c>
      <c r="W39" s="9">
        <v>0.8</v>
      </c>
      <c r="X39" s="9">
        <v>1</v>
      </c>
    </row>
    <row r="40" spans="1:24" x14ac:dyDescent="0.25">
      <c r="A40" s="3">
        <v>2028</v>
      </c>
      <c r="B40" s="3" t="s">
        <v>27</v>
      </c>
      <c r="C40" s="25">
        <v>73824</v>
      </c>
      <c r="D40" s="25">
        <v>102810</v>
      </c>
      <c r="E40" s="26">
        <v>100000</v>
      </c>
      <c r="F40" s="3">
        <v>969</v>
      </c>
      <c r="G40" s="3">
        <v>614</v>
      </c>
      <c r="H40" s="3">
        <v>1583</v>
      </c>
      <c r="I40" s="3">
        <v>1800</v>
      </c>
      <c r="J40" s="3">
        <v>3039</v>
      </c>
      <c r="K40" s="3">
        <v>2437</v>
      </c>
      <c r="L40" s="9">
        <v>0.18</v>
      </c>
      <c r="M40" s="9">
        <v>0.27</v>
      </c>
      <c r="N40" s="2">
        <v>0.15</v>
      </c>
      <c r="O40" s="2">
        <v>0.4</v>
      </c>
      <c r="P40" s="9">
        <v>0.9</v>
      </c>
      <c r="Q40" s="9">
        <v>0.9</v>
      </c>
      <c r="R40" s="9">
        <v>0.9</v>
      </c>
      <c r="S40" s="9">
        <v>0.9</v>
      </c>
      <c r="T40" s="9">
        <v>0.9</v>
      </c>
      <c r="U40" s="9">
        <v>0.9</v>
      </c>
      <c r="V40" s="9">
        <v>0.9</v>
      </c>
      <c r="W40" s="9">
        <v>0.8</v>
      </c>
      <c r="X40" s="9">
        <v>1</v>
      </c>
    </row>
    <row r="41" spans="1:24" x14ac:dyDescent="0.25">
      <c r="A41" s="3">
        <v>2028</v>
      </c>
      <c r="B41" s="3" t="s">
        <v>28</v>
      </c>
      <c r="C41" s="25">
        <v>70497</v>
      </c>
      <c r="D41" s="25">
        <v>113850</v>
      </c>
      <c r="E41" s="26">
        <v>100000</v>
      </c>
      <c r="F41" s="3">
        <v>1430</v>
      </c>
      <c r="G41" s="3">
        <v>254</v>
      </c>
      <c r="H41" s="3">
        <v>1684</v>
      </c>
      <c r="I41" s="3">
        <v>1800</v>
      </c>
      <c r="J41" s="3">
        <v>2997</v>
      </c>
      <c r="K41" s="3">
        <v>2576</v>
      </c>
      <c r="L41" s="9">
        <v>7.0000000000000007E-2</v>
      </c>
      <c r="M41" s="9">
        <v>0.47</v>
      </c>
      <c r="N41" s="2">
        <v>0.18000000000000002</v>
      </c>
      <c r="O41" s="2">
        <v>0.27999999999999992</v>
      </c>
      <c r="P41" s="9">
        <v>0.9</v>
      </c>
      <c r="Q41" s="9">
        <v>0.9</v>
      </c>
      <c r="R41" s="9">
        <v>0.9</v>
      </c>
      <c r="S41" s="9">
        <v>0.9</v>
      </c>
      <c r="T41" s="9">
        <v>0.9</v>
      </c>
      <c r="U41" s="9">
        <v>0.9</v>
      </c>
      <c r="V41" s="9">
        <v>0.9</v>
      </c>
      <c r="W41" s="9">
        <v>0.9</v>
      </c>
      <c r="X41" s="9">
        <v>1</v>
      </c>
    </row>
    <row r="42" spans="1:24" x14ac:dyDescent="0.25">
      <c r="A42" s="3">
        <v>2028</v>
      </c>
      <c r="B42" s="3" t="s">
        <v>29</v>
      </c>
      <c r="C42" s="25">
        <v>80257</v>
      </c>
      <c r="D42" s="25">
        <v>106260</v>
      </c>
      <c r="E42" s="26">
        <v>100000</v>
      </c>
      <c r="F42" s="3">
        <v>834</v>
      </c>
      <c r="G42" s="3">
        <v>913</v>
      </c>
      <c r="H42" s="3">
        <v>1747</v>
      </c>
      <c r="I42" s="3">
        <v>1800</v>
      </c>
      <c r="J42" s="3">
        <v>4332</v>
      </c>
      <c r="K42" s="3">
        <v>2882</v>
      </c>
      <c r="L42" s="9">
        <v>0.12</v>
      </c>
      <c r="M42" s="9">
        <v>0.44</v>
      </c>
      <c r="N42" s="2">
        <v>0.18666666666666668</v>
      </c>
      <c r="O42" s="2">
        <v>0.2533333333333333</v>
      </c>
      <c r="P42" s="9">
        <v>1</v>
      </c>
      <c r="Q42" s="9">
        <v>0.9</v>
      </c>
      <c r="R42" s="9">
        <v>0.9</v>
      </c>
      <c r="S42" s="9">
        <v>0.9</v>
      </c>
      <c r="T42" s="9">
        <v>0.9</v>
      </c>
      <c r="U42" s="9">
        <v>0.9</v>
      </c>
      <c r="V42" s="9">
        <v>0.9</v>
      </c>
      <c r="W42" s="9">
        <v>0.9</v>
      </c>
      <c r="X42" s="9">
        <v>1</v>
      </c>
    </row>
    <row r="43" spans="1:24" x14ac:dyDescent="0.25">
      <c r="A43" s="3">
        <v>2028</v>
      </c>
      <c r="B43" s="3" t="s">
        <v>30</v>
      </c>
      <c r="C43" s="25">
        <v>100146</v>
      </c>
      <c r="D43" s="25">
        <v>89700</v>
      </c>
      <c r="E43" s="26">
        <v>100000</v>
      </c>
      <c r="F43" s="3">
        <v>961</v>
      </c>
      <c r="G43" s="3">
        <v>803</v>
      </c>
      <c r="H43" s="3">
        <v>1764</v>
      </c>
      <c r="I43" s="3">
        <v>1800</v>
      </c>
      <c r="J43" s="3">
        <v>3139</v>
      </c>
      <c r="K43" s="3">
        <v>2504</v>
      </c>
      <c r="L43" s="9">
        <v>0.25</v>
      </c>
      <c r="M43" s="9">
        <v>0.38</v>
      </c>
      <c r="N43" s="2">
        <v>0.21</v>
      </c>
      <c r="O43" s="2">
        <v>0.16000000000000003</v>
      </c>
      <c r="P43" s="9">
        <v>1</v>
      </c>
      <c r="Q43" s="9">
        <v>1</v>
      </c>
      <c r="R43" s="9">
        <v>0.9</v>
      </c>
      <c r="S43" s="9">
        <v>0.9</v>
      </c>
      <c r="T43" s="9">
        <v>0.9</v>
      </c>
      <c r="U43" s="9">
        <v>0.9</v>
      </c>
      <c r="V43" s="9">
        <v>0.9</v>
      </c>
      <c r="W43" s="9">
        <v>0.9</v>
      </c>
      <c r="X43" s="9">
        <v>1</v>
      </c>
    </row>
    <row r="44" spans="1:24" x14ac:dyDescent="0.25">
      <c r="A44" s="3">
        <v>2028</v>
      </c>
      <c r="B44" s="3" t="s">
        <v>31</v>
      </c>
      <c r="C44" s="25">
        <v>123979</v>
      </c>
      <c r="D44" s="25">
        <v>88320</v>
      </c>
      <c r="E44" s="26">
        <v>100000</v>
      </c>
      <c r="F44" s="3">
        <v>1644</v>
      </c>
      <c r="G44" s="3">
        <v>149</v>
      </c>
      <c r="H44" s="3">
        <v>1793</v>
      </c>
      <c r="I44" s="3">
        <v>1800</v>
      </c>
      <c r="J44" s="3">
        <v>2797</v>
      </c>
      <c r="K44" s="3">
        <v>1972</v>
      </c>
      <c r="L44" s="9">
        <v>0.18</v>
      </c>
      <c r="M44" s="9">
        <v>0.48</v>
      </c>
      <c r="N44" s="2">
        <v>0.21999999999999997</v>
      </c>
      <c r="O44" s="2">
        <v>0.12000000000000011</v>
      </c>
      <c r="P44" s="9">
        <v>1</v>
      </c>
      <c r="Q44" s="9">
        <v>1</v>
      </c>
      <c r="R44" s="9">
        <v>1</v>
      </c>
      <c r="S44" s="9">
        <v>0.9</v>
      </c>
      <c r="T44" s="9">
        <v>0.9</v>
      </c>
      <c r="U44" s="9">
        <v>0.9</v>
      </c>
      <c r="V44" s="9">
        <v>0.9</v>
      </c>
      <c r="W44" s="9">
        <v>0.9</v>
      </c>
      <c r="X44" s="9">
        <v>1</v>
      </c>
    </row>
    <row r="45" spans="1:24" x14ac:dyDescent="0.25">
      <c r="A45" s="3">
        <v>2028</v>
      </c>
      <c r="B45" s="3" t="s">
        <v>32</v>
      </c>
      <c r="C45" s="25">
        <v>143879</v>
      </c>
      <c r="D45" s="25">
        <v>99360</v>
      </c>
      <c r="E45" s="26">
        <v>100000</v>
      </c>
      <c r="F45" s="3">
        <v>1637</v>
      </c>
      <c r="G45" s="3">
        <v>149</v>
      </c>
      <c r="H45" s="3">
        <v>1786</v>
      </c>
      <c r="I45" s="3">
        <v>1800</v>
      </c>
      <c r="J45" s="3">
        <v>4036</v>
      </c>
      <c r="K45" s="3">
        <v>2089</v>
      </c>
      <c r="L45" s="9">
        <v>0.18</v>
      </c>
      <c r="M45" s="9">
        <v>0.43</v>
      </c>
      <c r="N45" s="2">
        <v>0.20333333333333334</v>
      </c>
      <c r="O45" s="2">
        <v>0.18666666666666665</v>
      </c>
      <c r="P45" s="9">
        <v>1</v>
      </c>
      <c r="Q45" s="9">
        <v>1</v>
      </c>
      <c r="R45" s="9">
        <v>1</v>
      </c>
      <c r="S45" s="9">
        <v>1</v>
      </c>
      <c r="T45" s="9">
        <v>0.9</v>
      </c>
      <c r="U45" s="9">
        <v>0.9</v>
      </c>
      <c r="V45" s="9">
        <v>0.9</v>
      </c>
      <c r="W45" s="9">
        <v>0.9</v>
      </c>
      <c r="X45" s="9">
        <v>1</v>
      </c>
    </row>
    <row r="46" spans="1:24" x14ac:dyDescent="0.25">
      <c r="A46" s="3">
        <v>2028</v>
      </c>
      <c r="B46" s="3" t="s">
        <v>33</v>
      </c>
      <c r="C46" s="25">
        <v>153629</v>
      </c>
      <c r="D46" s="25">
        <v>120060</v>
      </c>
      <c r="E46" s="26">
        <v>100000</v>
      </c>
      <c r="F46" s="3">
        <v>1482</v>
      </c>
      <c r="G46" s="3">
        <v>338</v>
      </c>
      <c r="H46" s="3">
        <v>1820</v>
      </c>
      <c r="I46" s="3">
        <v>1800</v>
      </c>
      <c r="J46" s="3">
        <v>4604</v>
      </c>
      <c r="K46" s="3">
        <v>2129</v>
      </c>
      <c r="L46" s="9">
        <v>0.23</v>
      </c>
      <c r="M46" s="9">
        <v>0.43</v>
      </c>
      <c r="N46" s="2">
        <v>0.22</v>
      </c>
      <c r="O46" s="2">
        <v>0.12</v>
      </c>
      <c r="P46" s="9">
        <v>1</v>
      </c>
      <c r="Q46" s="9">
        <v>1</v>
      </c>
      <c r="R46" s="9">
        <v>1</v>
      </c>
      <c r="S46" s="9">
        <v>1</v>
      </c>
      <c r="T46" s="9">
        <v>1</v>
      </c>
      <c r="U46" s="9">
        <v>0.9</v>
      </c>
      <c r="V46" s="9">
        <v>0.9</v>
      </c>
      <c r="W46" s="9">
        <v>0.9</v>
      </c>
      <c r="X46" s="9">
        <v>1</v>
      </c>
    </row>
    <row r="47" spans="1:24" x14ac:dyDescent="0.25">
      <c r="A47" s="3">
        <v>2028</v>
      </c>
      <c r="B47" s="3" t="s">
        <v>34</v>
      </c>
      <c r="C47" s="25">
        <v>150252</v>
      </c>
      <c r="D47" s="25">
        <v>128340</v>
      </c>
      <c r="E47" s="26">
        <v>100000</v>
      </c>
      <c r="F47" s="3">
        <v>1701</v>
      </c>
      <c r="G47" s="3">
        <v>189</v>
      </c>
      <c r="H47" s="3">
        <v>1890</v>
      </c>
      <c r="I47" s="3">
        <v>1800</v>
      </c>
      <c r="J47" s="3">
        <v>3780</v>
      </c>
      <c r="K47" s="3">
        <v>2740</v>
      </c>
      <c r="L47" s="9">
        <v>0.18</v>
      </c>
      <c r="M47" s="9">
        <v>0.2</v>
      </c>
      <c r="N47" s="2">
        <v>0.12666666666666668</v>
      </c>
      <c r="O47" s="2">
        <v>0.49333333333333329</v>
      </c>
      <c r="P47" s="9">
        <v>1</v>
      </c>
      <c r="Q47" s="9">
        <v>1</v>
      </c>
      <c r="R47" s="9">
        <v>1</v>
      </c>
      <c r="S47" s="9">
        <v>1</v>
      </c>
      <c r="T47" s="9">
        <v>1</v>
      </c>
      <c r="U47" s="9">
        <v>1</v>
      </c>
      <c r="V47" s="9">
        <v>0.9</v>
      </c>
      <c r="W47" s="9">
        <v>0.9</v>
      </c>
      <c r="X47" s="9">
        <v>1</v>
      </c>
    </row>
    <row r="48" spans="1:24" x14ac:dyDescent="0.25">
      <c r="A48" s="3">
        <v>2028</v>
      </c>
      <c r="B48" s="3" t="s">
        <v>35</v>
      </c>
      <c r="C48" s="25">
        <v>134779</v>
      </c>
      <c r="D48" s="25">
        <v>122820</v>
      </c>
      <c r="E48" s="26">
        <v>100000</v>
      </c>
      <c r="F48" s="3">
        <v>1156</v>
      </c>
      <c r="G48" s="3">
        <v>785</v>
      </c>
      <c r="H48" s="3">
        <v>1941</v>
      </c>
      <c r="I48" s="3">
        <v>1800</v>
      </c>
      <c r="J48" s="3">
        <v>5415</v>
      </c>
      <c r="K48" s="3">
        <v>1979</v>
      </c>
      <c r="L48" s="9">
        <v>0.12</v>
      </c>
      <c r="M48" s="9">
        <v>0.33</v>
      </c>
      <c r="N48" s="2">
        <v>0.15</v>
      </c>
      <c r="O48" s="2">
        <v>0.4</v>
      </c>
      <c r="P48" s="9">
        <v>1</v>
      </c>
      <c r="Q48" s="9">
        <v>1</v>
      </c>
      <c r="R48" s="9">
        <v>1</v>
      </c>
      <c r="S48" s="9">
        <v>1</v>
      </c>
      <c r="T48" s="9">
        <v>1</v>
      </c>
      <c r="U48" s="9">
        <v>1</v>
      </c>
      <c r="V48" s="9">
        <v>1</v>
      </c>
      <c r="W48" s="9">
        <v>0.9</v>
      </c>
      <c r="X48" s="9">
        <v>1</v>
      </c>
    </row>
    <row r="49" spans="1:24" x14ac:dyDescent="0.25">
      <c r="A49" s="3">
        <v>2028</v>
      </c>
      <c r="B49" s="3" t="s">
        <v>36</v>
      </c>
      <c r="C49" s="25">
        <v>112126</v>
      </c>
      <c r="D49" s="25">
        <v>110400</v>
      </c>
      <c r="E49" s="26">
        <v>100000</v>
      </c>
      <c r="F49" s="3">
        <v>1798</v>
      </c>
      <c r="G49" s="3">
        <v>202</v>
      </c>
      <c r="H49" s="3">
        <v>2000</v>
      </c>
      <c r="I49" s="3">
        <v>1800</v>
      </c>
      <c r="J49" s="3">
        <v>3940</v>
      </c>
      <c r="K49" s="3">
        <v>2640</v>
      </c>
      <c r="L49" s="9">
        <v>0.12</v>
      </c>
      <c r="M49" s="9">
        <v>0.23</v>
      </c>
      <c r="N49" s="2">
        <v>0.11666666666666665</v>
      </c>
      <c r="O49" s="2">
        <v>0.53333333333333344</v>
      </c>
      <c r="P49" s="9">
        <v>1</v>
      </c>
      <c r="Q49" s="9">
        <v>1</v>
      </c>
      <c r="R49" s="9">
        <v>1</v>
      </c>
      <c r="S49" s="9">
        <v>1</v>
      </c>
      <c r="T49" s="9">
        <v>1</v>
      </c>
      <c r="U49" s="9">
        <v>1</v>
      </c>
      <c r="V49" s="9">
        <v>1</v>
      </c>
      <c r="W49" s="9">
        <v>1</v>
      </c>
      <c r="X49" s="9">
        <v>1</v>
      </c>
    </row>
  </sheetData>
  <mergeCells count="1">
    <mergeCell ref="Z1:AE2"/>
  </mergeCells>
  <hyperlinks>
    <hyperlink ref="Z1" r:id="rId1" xr:uid="{3B39B433-4B96-44BE-9063-C93DA980AE9E}"/>
  </hyperlinks>
  <pageMargins left="0.7" right="0.7" top="0.75" bottom="0.75" header="0.3" footer="0.3"/>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354E-81ED-4184-B4C3-66BFBE9960CC}">
  <sheetPr codeName="Sheet9"/>
  <dimension ref="B1:I12"/>
  <sheetViews>
    <sheetView workbookViewId="0">
      <selection activeCell="D1" sqref="D1:I2"/>
    </sheetView>
  </sheetViews>
  <sheetFormatPr defaultRowHeight="15" x14ac:dyDescent="0.25"/>
  <sheetData>
    <row r="1" spans="2:9" x14ac:dyDescent="0.25">
      <c r="D1" s="23" t="s">
        <v>98</v>
      </c>
      <c r="E1" s="23"/>
      <c r="F1" s="23"/>
      <c r="G1" s="23"/>
      <c r="H1" s="23"/>
      <c r="I1" s="23"/>
    </row>
    <row r="2" spans="2:9" x14ac:dyDescent="0.25">
      <c r="B2" s="12"/>
      <c r="D2" s="23"/>
      <c r="E2" s="23"/>
      <c r="F2" s="23"/>
      <c r="G2" s="23"/>
      <c r="H2" s="23"/>
      <c r="I2" s="23"/>
    </row>
    <row r="3" spans="2:9" x14ac:dyDescent="0.25">
      <c r="B3" s="14" t="s">
        <v>59</v>
      </c>
    </row>
    <row r="4" spans="2:9" x14ac:dyDescent="0.25">
      <c r="B4" s="13" t="s">
        <v>60</v>
      </c>
    </row>
    <row r="6" spans="2:9" x14ac:dyDescent="0.25">
      <c r="B6" s="15" t="s">
        <v>61</v>
      </c>
    </row>
    <row r="7" spans="2:9" x14ac:dyDescent="0.25">
      <c r="B7" s="16" t="s">
        <v>62</v>
      </c>
    </row>
    <row r="9" spans="2:9" x14ac:dyDescent="0.25">
      <c r="B9" s="17" t="s">
        <v>63</v>
      </c>
    </row>
    <row r="10" spans="2:9" x14ac:dyDescent="0.25">
      <c r="B10" s="18" t="s">
        <v>64</v>
      </c>
    </row>
    <row r="12" spans="2:9" x14ac:dyDescent="0.25">
      <c r="B12" s="21" t="s">
        <v>86</v>
      </c>
    </row>
  </sheetData>
  <mergeCells count="1">
    <mergeCell ref="D1:I2"/>
  </mergeCells>
  <hyperlinks>
    <hyperlink ref="D1" r:id="rId1" xr:uid="{D5B08247-04CB-465F-8886-511C554143D5}"/>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DASHBOARD Light</vt:lpstr>
      <vt:lpstr>DASHBOARD Bright</vt:lpstr>
      <vt:lpstr>Sales</vt:lpstr>
      <vt:lpstr>Sales Light</vt:lpstr>
      <vt:lpstr>Sales Bright</vt:lpstr>
      <vt:lpstr>Tariffs</vt:lpstr>
      <vt:lpstr>Tariffs Light</vt:lpstr>
      <vt:lpstr>Tariffs Bright</vt:lpstr>
      <vt:lpstr>Coverage</vt:lpstr>
      <vt:lpstr>Coverage Light</vt:lpstr>
      <vt:lpstr>Coverage Bright</vt:lpstr>
      <vt:lpstr>Traffic</vt:lpstr>
      <vt:lpstr>Traffic Light</vt:lpstr>
      <vt:lpstr>Traffic Bright</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2025-08-15T08:28:28Z</dcterms:created>
  <dcterms:modified xsi:type="dcterms:W3CDTF">2026-09-18T07:29:19Z</dcterms:modified>
</cp:coreProperties>
</file>