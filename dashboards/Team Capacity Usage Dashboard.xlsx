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charts/chart13.xml" ContentType="application/vnd.openxmlformats-officedocument.drawingml.chart+xml"/>
  <Override PartName="/xl/drawings/drawing2.xml" ContentType="application/vnd.openxmlformats-officedocument.drawing+xml"/>
  <Override PartName="/xl/ctrlProps/ctrlProp5.xml" ContentType="application/vnd.ms-excel.controlproperties+xml"/>
  <Override PartName="/xl/pivotTables/pivotTable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33/"/>
    </mc:Choice>
  </mc:AlternateContent>
  <xr:revisionPtr revIDLastSave="1" documentId="13_ncr:1_{492DEB54-0604-4C36-A8F5-8BB2B571C56A}" xr6:coauthVersionLast="47" xr6:coauthVersionMax="47" xr10:uidLastSave="{07A80B6C-8C5E-4227-84C6-B08F942ED9E3}"/>
  <bookViews>
    <workbookView xWindow="-120" yWindow="-120" windowWidth="20730" windowHeight="11310" xr2:uid="{DECD55C9-3436-490A-9E52-8D13C61A75A8}"/>
  </bookViews>
  <sheets>
    <sheet name="DASHBOARD" sheetId="1" r:id="rId1"/>
    <sheet name="Processing" sheetId="2" r:id="rId2"/>
    <sheet name="Control" sheetId="3" r:id="rId3"/>
    <sheet name="Data" sheetId="4" r:id="rId4"/>
    <sheet name="Resources" sheetId="5" r:id="rId5"/>
  </sheets>
  <definedNames>
    <definedName name="Slicer_Density">#N/A</definedName>
  </definedNames>
  <calcPr calcId="191029"/>
  <pivotCaches>
    <pivotCache cacheId="5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8" i="2" l="1"/>
  <c r="A88" i="2"/>
  <c r="P52" i="2" a="1"/>
  <c r="P53" i="2" a="1"/>
  <c r="P54" i="2" a="1"/>
  <c r="P55" i="2" a="1"/>
  <c r="P56" i="2" a="1"/>
  <c r="P57" i="2" a="1"/>
  <c r="P58" i="2" a="1"/>
  <c r="P59" i="2" a="1"/>
  <c r="P60" i="2" a="1"/>
  <c r="P61" i="2" a="1"/>
  <c r="P62" i="2" a="1"/>
  <c r="P51" i="2" a="1"/>
  <c r="S20" i="2"/>
  <c r="N72" i="2"/>
  <c r="B2" i="2"/>
  <c r="S142" i="2" l="1" a="1"/>
  <c r="S381" i="2" a="1"/>
  <c r="S352" i="2" a="1"/>
  <c r="S323" i="2" a="1"/>
  <c r="S203" i="2" a="1"/>
  <c r="S141" i="2" a="1"/>
  <c r="S113" i="2" a="1"/>
  <c r="S351" i="2" a="1"/>
  <c r="S322" i="2" a="1"/>
  <c r="S202" i="2" a="1"/>
  <c r="S112" i="2" a="1"/>
  <c r="S353" i="2" a="1"/>
  <c r="S231" i="2" a="1"/>
  <c r="S321" i="2" a="1"/>
  <c r="S293" i="2" a="1"/>
  <c r="S201" i="2" a="1"/>
  <c r="S111" i="2" a="1"/>
  <c r="S292" i="2" a="1"/>
  <c r="S263" i="2" a="1"/>
  <c r="S173" i="2" a="1"/>
  <c r="S83" i="2" a="1"/>
  <c r="S382" i="2" a="1"/>
  <c r="S291" i="2" a="1"/>
  <c r="S172" i="2" a="1"/>
  <c r="S262" i="2" a="1"/>
  <c r="S233" i="2" a="1"/>
  <c r="S171" i="2" a="1"/>
  <c r="S143" i="2" a="1"/>
  <c r="S82" i="2" a="1"/>
  <c r="S383" i="2" a="1"/>
  <c r="S261" i="2" a="1"/>
  <c r="S232" i="2" a="1"/>
  <c r="S81" i="2" a="1"/>
  <c r="G3" i="2" l="1"/>
  <c r="R42" i="2" l="1" a="1"/>
  <c r="R43" i="2" s="1"/>
  <c r="M71" i="2" a="1"/>
  <c r="M70" i="2" a="1"/>
  <c r="M69" i="2" a="1"/>
  <c r="M68" i="2" a="1"/>
  <c r="M67" i="2" a="1"/>
  <c r="Q19" i="2" a="1"/>
  <c r="R19" i="2" a="1"/>
  <c r="S29" i="2" a="1"/>
  <c r="P4" i="2" a="1"/>
  <c r="P18" i="2" a="1"/>
  <c r="P8" i="2" a="1"/>
  <c r="P29" i="2" a="1"/>
  <c r="P33" i="2" a="1"/>
  <c r="P28" i="2" a="1"/>
  <c r="P23" i="2" a="1"/>
  <c r="P17" i="2" a="1"/>
  <c r="P12" i="2" a="1"/>
  <c r="P13" i="2" a="1"/>
  <c r="P22" i="2" a="1"/>
  <c r="P7" i="2" a="1"/>
  <c r="P32" i="2" a="1"/>
  <c r="P27" i="2" a="1"/>
  <c r="P21" i="2" a="1"/>
  <c r="P16" i="2" a="1"/>
  <c r="P11" i="2" a="1"/>
  <c r="P6" i="2" a="1"/>
  <c r="P19" i="2" a="1"/>
  <c r="P26" i="2" a="1"/>
  <c r="P10" i="2" a="1"/>
  <c r="P24" i="2" a="1"/>
  <c r="P31" i="2" a="1"/>
  <c r="P25" i="2" a="1"/>
  <c r="P20" i="2" a="1"/>
  <c r="P15" i="2" a="1"/>
  <c r="P5" i="2" a="1"/>
  <c r="P30" i="2" a="1"/>
  <c r="P14" i="2" a="1"/>
  <c r="P9" i="2" a="1"/>
  <c r="Q7" i="2"/>
  <c r="Q38" i="2" a="1"/>
  <c r="R38" i="2" s="1"/>
  <c r="Q39" i="2" a="1"/>
  <c r="R39" i="2" s="1"/>
  <c r="Q42" i="2" a="1"/>
  <c r="Q43" i="2" s="1"/>
  <c r="N67" i="2" l="1"/>
  <c r="L67" i="2"/>
  <c r="L68" i="2"/>
  <c r="N68" i="2"/>
  <c r="L69" i="2"/>
  <c r="N69" i="2"/>
  <c r="L70" i="2"/>
  <c r="N70" i="2"/>
  <c r="N71" i="2"/>
  <c r="L71" i="2"/>
  <c r="S30" i="2"/>
  <c r="Q33" i="2"/>
  <c r="Q32" i="2"/>
  <c r="Q31" i="2"/>
  <c r="Q30" i="2"/>
  <c r="Q29" i="2"/>
  <c r="R385" i="2" l="1"/>
  <c r="S385" i="2" s="1" a="1"/>
  <c r="R386" i="2"/>
  <c r="S386" i="2" s="1" a="1"/>
  <c r="R387" i="2"/>
  <c r="S387" i="2" s="1" a="1"/>
  <c r="R388" i="2"/>
  <c r="S388" i="2" s="1" a="1"/>
  <c r="R389" i="2"/>
  <c r="S389" i="2" s="1" a="1"/>
  <c r="R390" i="2"/>
  <c r="S390" i="2" s="1" a="1"/>
  <c r="R391" i="2"/>
  <c r="S391" i="2" s="1" a="1"/>
  <c r="R392" i="2"/>
  <c r="S392" i="2" s="1" a="1"/>
  <c r="R393" i="2"/>
  <c r="S393" i="2" s="1" a="1"/>
  <c r="R394" i="2"/>
  <c r="S394" i="2" s="1" a="1"/>
  <c r="R395" i="2"/>
  <c r="S395" i="2" s="1" a="1"/>
  <c r="R396" i="2"/>
  <c r="S396" i="2" s="1" a="1"/>
  <c r="R397" i="2"/>
  <c r="S397" i="2" s="1" a="1"/>
  <c r="R398" i="2"/>
  <c r="S398" i="2" s="1" a="1"/>
  <c r="R399" i="2"/>
  <c r="S399" i="2" s="1" a="1"/>
  <c r="R400" i="2"/>
  <c r="S400" i="2" s="1" a="1"/>
  <c r="R401" i="2"/>
  <c r="S401" i="2" s="1" a="1"/>
  <c r="R402" i="2"/>
  <c r="S402" i="2" s="1" a="1"/>
  <c r="R403" i="2"/>
  <c r="S403" i="2" s="1" a="1"/>
  <c r="R404" i="2"/>
  <c r="S404" i="2" s="1" a="1"/>
  <c r="R405" i="2"/>
  <c r="S405" i="2" s="1" a="1"/>
  <c r="R406" i="2"/>
  <c r="S406" i="2" s="1" a="1"/>
  <c r="R407" i="2"/>
  <c r="S407" i="2" s="1" a="1"/>
  <c r="R408" i="2"/>
  <c r="S408" i="2" s="1" a="1"/>
  <c r="R409" i="2"/>
  <c r="S409" i="2" s="1" a="1"/>
  <c r="R410" i="2"/>
  <c r="S410" i="2" s="1" a="1"/>
  <c r="R384" i="2"/>
  <c r="S384" i="2" s="1" a="1"/>
  <c r="R355" i="2"/>
  <c r="S355" i="2" s="1" a="1"/>
  <c r="R356" i="2"/>
  <c r="S356" i="2" s="1" a="1"/>
  <c r="R357" i="2"/>
  <c r="S357" i="2" s="1" a="1"/>
  <c r="R358" i="2"/>
  <c r="S358" i="2" s="1" a="1"/>
  <c r="R359" i="2"/>
  <c r="S359" i="2" s="1" a="1"/>
  <c r="R360" i="2"/>
  <c r="S360" i="2" s="1" a="1"/>
  <c r="R361" i="2"/>
  <c r="S361" i="2" s="1" a="1"/>
  <c r="R362" i="2"/>
  <c r="S362" i="2" s="1" a="1"/>
  <c r="R363" i="2"/>
  <c r="S363" i="2" s="1" a="1"/>
  <c r="R364" i="2"/>
  <c r="S364" i="2" s="1" a="1"/>
  <c r="R365" i="2"/>
  <c r="S365" i="2" s="1" a="1"/>
  <c r="R366" i="2"/>
  <c r="S366" i="2" s="1" a="1"/>
  <c r="R367" i="2"/>
  <c r="S367" i="2" s="1" a="1"/>
  <c r="R368" i="2"/>
  <c r="S368" i="2" s="1" a="1"/>
  <c r="R369" i="2"/>
  <c r="S369" i="2" s="1" a="1"/>
  <c r="R370" i="2"/>
  <c r="S370" i="2" s="1" a="1"/>
  <c r="R371" i="2"/>
  <c r="S371" i="2" s="1" a="1"/>
  <c r="R372" i="2"/>
  <c r="S372" i="2" s="1" a="1"/>
  <c r="R373" i="2"/>
  <c r="S373" i="2" s="1" a="1"/>
  <c r="R374" i="2"/>
  <c r="S374" i="2" s="1" a="1"/>
  <c r="R375" i="2"/>
  <c r="S375" i="2" s="1" a="1"/>
  <c r="R376" i="2"/>
  <c r="S376" i="2" s="1" a="1"/>
  <c r="R377" i="2"/>
  <c r="S377" i="2" s="1" a="1"/>
  <c r="R378" i="2"/>
  <c r="S378" i="2" s="1" a="1"/>
  <c r="R379" i="2"/>
  <c r="S379" i="2" s="1" a="1"/>
  <c r="R380" i="2"/>
  <c r="S380" i="2" s="1" a="1"/>
  <c r="R354" i="2"/>
  <c r="S354" i="2" s="1" a="1"/>
  <c r="R325" i="2"/>
  <c r="S325" i="2" s="1" a="1"/>
  <c r="R326" i="2"/>
  <c r="S326" i="2" s="1" a="1"/>
  <c r="R327" i="2"/>
  <c r="S327" i="2" s="1" a="1"/>
  <c r="R328" i="2"/>
  <c r="S328" i="2" s="1" a="1"/>
  <c r="R329" i="2"/>
  <c r="S329" i="2" s="1" a="1"/>
  <c r="R330" i="2"/>
  <c r="S330" i="2" s="1" a="1"/>
  <c r="R331" i="2"/>
  <c r="S331" i="2" s="1" a="1"/>
  <c r="R332" i="2"/>
  <c r="S332" i="2" s="1" a="1"/>
  <c r="R333" i="2"/>
  <c r="S333" i="2" s="1" a="1"/>
  <c r="R334" i="2"/>
  <c r="S334" i="2" s="1" a="1"/>
  <c r="R335" i="2"/>
  <c r="S335" i="2" s="1" a="1"/>
  <c r="R336" i="2"/>
  <c r="S336" i="2" s="1" a="1"/>
  <c r="R337" i="2"/>
  <c r="S337" i="2" s="1" a="1"/>
  <c r="R338" i="2"/>
  <c r="S338" i="2" s="1" a="1"/>
  <c r="R339" i="2"/>
  <c r="S339" i="2" s="1" a="1"/>
  <c r="R340" i="2"/>
  <c r="S340" i="2" s="1" a="1"/>
  <c r="R341" i="2"/>
  <c r="S341" i="2" s="1" a="1"/>
  <c r="R342" i="2"/>
  <c r="S342" i="2" s="1" a="1"/>
  <c r="R343" i="2"/>
  <c r="S343" i="2" s="1" a="1"/>
  <c r="R344" i="2"/>
  <c r="S344" i="2" s="1" a="1"/>
  <c r="R345" i="2"/>
  <c r="S345" i="2" s="1" a="1"/>
  <c r="R346" i="2"/>
  <c r="S346" i="2" s="1" a="1"/>
  <c r="R347" i="2"/>
  <c r="S347" i="2" s="1" a="1"/>
  <c r="R348" i="2"/>
  <c r="S348" i="2" s="1" a="1"/>
  <c r="R349" i="2"/>
  <c r="S349" i="2" s="1" a="1"/>
  <c r="R350" i="2"/>
  <c r="S350" i="2" s="1" a="1"/>
  <c r="R324" i="2"/>
  <c r="S324" i="2" s="1" a="1"/>
  <c r="R295" i="2"/>
  <c r="S295" i="2" s="1" a="1"/>
  <c r="R296" i="2"/>
  <c r="S296" i="2" s="1" a="1"/>
  <c r="R297" i="2"/>
  <c r="S297" i="2" s="1" a="1"/>
  <c r="R298" i="2"/>
  <c r="S298" i="2" s="1" a="1"/>
  <c r="R299" i="2"/>
  <c r="S299" i="2" s="1" a="1"/>
  <c r="R300" i="2"/>
  <c r="S300" i="2" s="1" a="1"/>
  <c r="R301" i="2"/>
  <c r="S301" i="2" s="1" a="1"/>
  <c r="R302" i="2"/>
  <c r="S302" i="2" s="1" a="1"/>
  <c r="R303" i="2"/>
  <c r="S303" i="2" s="1" a="1"/>
  <c r="R304" i="2"/>
  <c r="S304" i="2" s="1" a="1"/>
  <c r="R305" i="2"/>
  <c r="S305" i="2" s="1" a="1"/>
  <c r="R306" i="2"/>
  <c r="S306" i="2" s="1" a="1"/>
  <c r="R307" i="2"/>
  <c r="S307" i="2" s="1" a="1"/>
  <c r="R308" i="2"/>
  <c r="S308" i="2" s="1" a="1"/>
  <c r="R309" i="2"/>
  <c r="S309" i="2" s="1" a="1"/>
  <c r="R310" i="2"/>
  <c r="S310" i="2" s="1" a="1"/>
  <c r="R311" i="2"/>
  <c r="S311" i="2" s="1" a="1"/>
  <c r="R312" i="2"/>
  <c r="S312" i="2" s="1" a="1"/>
  <c r="R313" i="2"/>
  <c r="S313" i="2" s="1" a="1"/>
  <c r="R314" i="2"/>
  <c r="S314" i="2" s="1" a="1"/>
  <c r="R315" i="2"/>
  <c r="S315" i="2" s="1" a="1"/>
  <c r="R316" i="2"/>
  <c r="S316" i="2" s="1" a="1"/>
  <c r="R317" i="2"/>
  <c r="S317" i="2" s="1" a="1"/>
  <c r="R318" i="2"/>
  <c r="S318" i="2" s="1" a="1"/>
  <c r="R319" i="2"/>
  <c r="S319" i="2" s="1" a="1"/>
  <c r="R320" i="2"/>
  <c r="S320" i="2" s="1" a="1"/>
  <c r="R294" i="2"/>
  <c r="S294" i="2" s="1" a="1"/>
  <c r="R265" i="2"/>
  <c r="S265" i="2" s="1" a="1"/>
  <c r="R266" i="2"/>
  <c r="S266" i="2" s="1" a="1"/>
  <c r="R267" i="2"/>
  <c r="S267" i="2" s="1" a="1"/>
  <c r="R268" i="2"/>
  <c r="S268" i="2" s="1" a="1"/>
  <c r="R269" i="2"/>
  <c r="S269" i="2" s="1" a="1"/>
  <c r="R270" i="2"/>
  <c r="S270" i="2" s="1" a="1"/>
  <c r="R271" i="2"/>
  <c r="S271" i="2" s="1" a="1"/>
  <c r="R272" i="2"/>
  <c r="S272" i="2" s="1" a="1"/>
  <c r="R273" i="2"/>
  <c r="S273" i="2" s="1" a="1"/>
  <c r="R274" i="2"/>
  <c r="S274" i="2" s="1" a="1"/>
  <c r="R275" i="2"/>
  <c r="S275" i="2" s="1" a="1"/>
  <c r="R276" i="2"/>
  <c r="S276" i="2" s="1" a="1"/>
  <c r="R277" i="2"/>
  <c r="S277" i="2" s="1" a="1"/>
  <c r="R278" i="2"/>
  <c r="S278" i="2" s="1" a="1"/>
  <c r="R279" i="2"/>
  <c r="S279" i="2" s="1" a="1"/>
  <c r="R280" i="2"/>
  <c r="S280" i="2" s="1" a="1"/>
  <c r="R281" i="2"/>
  <c r="S281" i="2" s="1" a="1"/>
  <c r="R282" i="2"/>
  <c r="S282" i="2" s="1" a="1"/>
  <c r="R283" i="2"/>
  <c r="S283" i="2" s="1" a="1"/>
  <c r="R284" i="2"/>
  <c r="S284" i="2" s="1" a="1"/>
  <c r="R285" i="2"/>
  <c r="S285" i="2" s="1" a="1"/>
  <c r="R286" i="2"/>
  <c r="S286" i="2" s="1" a="1"/>
  <c r="R287" i="2"/>
  <c r="S287" i="2" s="1" a="1"/>
  <c r="R288" i="2"/>
  <c r="S288" i="2" s="1" a="1"/>
  <c r="R289" i="2"/>
  <c r="S289" i="2" s="1" a="1"/>
  <c r="R290" i="2"/>
  <c r="S290" i="2" s="1" a="1"/>
  <c r="R264" i="2"/>
  <c r="S264" i="2" s="1" a="1"/>
  <c r="R235" i="2"/>
  <c r="S235" i="2" s="1" a="1"/>
  <c r="R236" i="2"/>
  <c r="S236" i="2" s="1" a="1"/>
  <c r="R237" i="2"/>
  <c r="S237" i="2" s="1" a="1"/>
  <c r="R238" i="2"/>
  <c r="S238" i="2" s="1" a="1"/>
  <c r="R239" i="2"/>
  <c r="S239" i="2" s="1" a="1"/>
  <c r="R240" i="2"/>
  <c r="S240" i="2" s="1" a="1"/>
  <c r="R241" i="2"/>
  <c r="S241" i="2" s="1" a="1"/>
  <c r="R242" i="2"/>
  <c r="S242" i="2" s="1" a="1"/>
  <c r="R243" i="2"/>
  <c r="S243" i="2" s="1" a="1"/>
  <c r="R244" i="2"/>
  <c r="S244" i="2" s="1" a="1"/>
  <c r="R245" i="2"/>
  <c r="S245" i="2" s="1" a="1"/>
  <c r="R246" i="2"/>
  <c r="S246" i="2" s="1" a="1"/>
  <c r="R247" i="2"/>
  <c r="S247" i="2" s="1" a="1"/>
  <c r="R248" i="2"/>
  <c r="S248" i="2" s="1" a="1"/>
  <c r="R249" i="2"/>
  <c r="S249" i="2" s="1" a="1"/>
  <c r="R250" i="2"/>
  <c r="S250" i="2" s="1" a="1"/>
  <c r="R251" i="2"/>
  <c r="S251" i="2" s="1" a="1"/>
  <c r="R252" i="2"/>
  <c r="S252" i="2" s="1" a="1"/>
  <c r="R253" i="2"/>
  <c r="S253" i="2" s="1" a="1"/>
  <c r="R254" i="2"/>
  <c r="S254" i="2" s="1" a="1"/>
  <c r="R255" i="2"/>
  <c r="S255" i="2" s="1" a="1"/>
  <c r="R256" i="2"/>
  <c r="S256" i="2" s="1" a="1"/>
  <c r="R257" i="2"/>
  <c r="S257" i="2" s="1" a="1"/>
  <c r="R258" i="2"/>
  <c r="S258" i="2" s="1" a="1"/>
  <c r="R259" i="2"/>
  <c r="S259" i="2" s="1" a="1"/>
  <c r="R260" i="2"/>
  <c r="S260" i="2" s="1" a="1"/>
  <c r="R234" i="2"/>
  <c r="S234" i="2" s="1" a="1"/>
  <c r="R204" i="2"/>
  <c r="S204" i="2" s="1" a="1"/>
  <c r="R205" i="2"/>
  <c r="S205" i="2" s="1" a="1"/>
  <c r="R206" i="2"/>
  <c r="S206" i="2" s="1" a="1"/>
  <c r="R207" i="2"/>
  <c r="S207" i="2" s="1" a="1"/>
  <c r="R208" i="2"/>
  <c r="S208" i="2" s="1" a="1"/>
  <c r="R209" i="2"/>
  <c r="S209" i="2" s="1" a="1"/>
  <c r="R210" i="2"/>
  <c r="S210" i="2" s="1" a="1"/>
  <c r="R211" i="2"/>
  <c r="S211" i="2" s="1" a="1"/>
  <c r="R212" i="2"/>
  <c r="S212" i="2" s="1" a="1"/>
  <c r="R213" i="2"/>
  <c r="S213" i="2" s="1" a="1"/>
  <c r="R214" i="2"/>
  <c r="S214" i="2" s="1" a="1"/>
  <c r="R215" i="2"/>
  <c r="S215" i="2" s="1" a="1"/>
  <c r="R216" i="2"/>
  <c r="S216" i="2" s="1" a="1"/>
  <c r="R217" i="2"/>
  <c r="S217" i="2" s="1" a="1"/>
  <c r="R218" i="2"/>
  <c r="S218" i="2" s="1" a="1"/>
  <c r="R219" i="2"/>
  <c r="S219" i="2" s="1" a="1"/>
  <c r="R220" i="2"/>
  <c r="S220" i="2" s="1" a="1"/>
  <c r="R221" i="2"/>
  <c r="S221" i="2" s="1" a="1"/>
  <c r="R222" i="2"/>
  <c r="S222" i="2" s="1" a="1"/>
  <c r="R223" i="2"/>
  <c r="S223" i="2" s="1" a="1"/>
  <c r="R224" i="2"/>
  <c r="S224" i="2" s="1" a="1"/>
  <c r="R225" i="2"/>
  <c r="S225" i="2" s="1" a="1"/>
  <c r="R226" i="2"/>
  <c r="S226" i="2" s="1" a="1"/>
  <c r="R227" i="2"/>
  <c r="S227" i="2" s="1" a="1"/>
  <c r="R228" i="2"/>
  <c r="S228" i="2" s="1" a="1"/>
  <c r="R229" i="2"/>
  <c r="S229" i="2" s="1" a="1"/>
  <c r="R230" i="2"/>
  <c r="S230" i="2" s="1" a="1"/>
  <c r="R175" i="2"/>
  <c r="S175" i="2" s="1" a="1"/>
  <c r="R176" i="2"/>
  <c r="S176" i="2" s="1" a="1"/>
  <c r="R177" i="2"/>
  <c r="S177" i="2" s="1" a="1"/>
  <c r="R178" i="2"/>
  <c r="S178" i="2" s="1" a="1"/>
  <c r="R179" i="2"/>
  <c r="S179" i="2" s="1" a="1"/>
  <c r="R180" i="2"/>
  <c r="S180" i="2" s="1" a="1"/>
  <c r="R181" i="2"/>
  <c r="S181" i="2" s="1" a="1"/>
  <c r="R182" i="2"/>
  <c r="S182" i="2" s="1" a="1"/>
  <c r="R183" i="2"/>
  <c r="S183" i="2" s="1" a="1"/>
  <c r="R184" i="2"/>
  <c r="S184" i="2" s="1" a="1"/>
  <c r="R185" i="2"/>
  <c r="S185" i="2" s="1" a="1"/>
  <c r="R186" i="2"/>
  <c r="S186" i="2" s="1" a="1"/>
  <c r="R187" i="2"/>
  <c r="S187" i="2" s="1" a="1"/>
  <c r="R188" i="2"/>
  <c r="S188" i="2" s="1" a="1"/>
  <c r="R189" i="2"/>
  <c r="S189" i="2" s="1" a="1"/>
  <c r="R190" i="2"/>
  <c r="S190" i="2" s="1" a="1"/>
  <c r="R191" i="2"/>
  <c r="S191" i="2" s="1" a="1"/>
  <c r="R192" i="2"/>
  <c r="S192" i="2" s="1" a="1"/>
  <c r="R193" i="2"/>
  <c r="S193" i="2" s="1" a="1"/>
  <c r="R194" i="2"/>
  <c r="S194" i="2" s="1" a="1"/>
  <c r="R195" i="2"/>
  <c r="S195" i="2" s="1" a="1"/>
  <c r="R196" i="2"/>
  <c r="S196" i="2" s="1" a="1"/>
  <c r="R197" i="2"/>
  <c r="S197" i="2" s="1" a="1"/>
  <c r="R198" i="2"/>
  <c r="S198" i="2" s="1" a="1"/>
  <c r="R199" i="2"/>
  <c r="S199" i="2" s="1" a="1"/>
  <c r="R200" i="2"/>
  <c r="S200" i="2" s="1" a="1"/>
  <c r="R174" i="2"/>
  <c r="S174" i="2" s="1" a="1"/>
  <c r="R145" i="2"/>
  <c r="S145" i="2" s="1" a="1"/>
  <c r="R146" i="2"/>
  <c r="S146" i="2" s="1" a="1"/>
  <c r="R147" i="2"/>
  <c r="S147" i="2" s="1" a="1"/>
  <c r="R148" i="2"/>
  <c r="S148" i="2" s="1" a="1"/>
  <c r="R149" i="2"/>
  <c r="S149" i="2" s="1" a="1"/>
  <c r="R150" i="2"/>
  <c r="S150" i="2" s="1" a="1"/>
  <c r="R151" i="2"/>
  <c r="S151" i="2" s="1" a="1"/>
  <c r="R152" i="2"/>
  <c r="S152" i="2" s="1" a="1"/>
  <c r="R153" i="2"/>
  <c r="S153" i="2" s="1" a="1"/>
  <c r="R154" i="2"/>
  <c r="S154" i="2" s="1" a="1"/>
  <c r="R155" i="2"/>
  <c r="S155" i="2" s="1" a="1"/>
  <c r="R156" i="2"/>
  <c r="S156" i="2" s="1" a="1"/>
  <c r="R157" i="2"/>
  <c r="S157" i="2" s="1" a="1"/>
  <c r="R158" i="2"/>
  <c r="S158" i="2" s="1" a="1"/>
  <c r="R159" i="2"/>
  <c r="S159" i="2" s="1" a="1"/>
  <c r="R160" i="2"/>
  <c r="S160" i="2" s="1" a="1"/>
  <c r="R161" i="2"/>
  <c r="S161" i="2" s="1" a="1"/>
  <c r="R162" i="2"/>
  <c r="S162" i="2" s="1" a="1"/>
  <c r="R163" i="2"/>
  <c r="S163" i="2" s="1" a="1"/>
  <c r="R164" i="2"/>
  <c r="S164" i="2" s="1" a="1"/>
  <c r="R165" i="2"/>
  <c r="S165" i="2" s="1" a="1"/>
  <c r="R166" i="2"/>
  <c r="S166" i="2" s="1" a="1"/>
  <c r="R167" i="2"/>
  <c r="S167" i="2" s="1" a="1"/>
  <c r="R168" i="2"/>
  <c r="S168" i="2" s="1" a="1"/>
  <c r="R169" i="2"/>
  <c r="S169" i="2" s="1" a="1"/>
  <c r="R170" i="2"/>
  <c r="S170" i="2" s="1" a="1"/>
  <c r="R144" i="2"/>
  <c r="S144" i="2" s="1" a="1"/>
  <c r="R115" i="2"/>
  <c r="S115" i="2" s="1" a="1"/>
  <c r="R116" i="2"/>
  <c r="S116" i="2" s="1" a="1"/>
  <c r="R117" i="2"/>
  <c r="S117" i="2" s="1" a="1"/>
  <c r="R118" i="2"/>
  <c r="S118" i="2" s="1" a="1"/>
  <c r="R119" i="2"/>
  <c r="S119" i="2" s="1" a="1"/>
  <c r="R120" i="2"/>
  <c r="S120" i="2" s="1" a="1"/>
  <c r="R121" i="2"/>
  <c r="S121" i="2" s="1" a="1"/>
  <c r="R122" i="2"/>
  <c r="S122" i="2" s="1" a="1"/>
  <c r="R123" i="2"/>
  <c r="S123" i="2" s="1" a="1"/>
  <c r="R124" i="2"/>
  <c r="S124" i="2" s="1" a="1"/>
  <c r="R125" i="2"/>
  <c r="S125" i="2" s="1" a="1"/>
  <c r="R126" i="2"/>
  <c r="S126" i="2" s="1" a="1"/>
  <c r="R127" i="2"/>
  <c r="S127" i="2" s="1" a="1"/>
  <c r="R128" i="2"/>
  <c r="S128" i="2" s="1" a="1"/>
  <c r="R129" i="2"/>
  <c r="S129" i="2" s="1" a="1"/>
  <c r="R130" i="2"/>
  <c r="S130" i="2" s="1" a="1"/>
  <c r="R131" i="2"/>
  <c r="S131" i="2" s="1" a="1"/>
  <c r="R132" i="2"/>
  <c r="S132" i="2" s="1" a="1"/>
  <c r="R133" i="2"/>
  <c r="S133" i="2" s="1" a="1"/>
  <c r="R134" i="2"/>
  <c r="S134" i="2" s="1" a="1"/>
  <c r="R135" i="2"/>
  <c r="S135" i="2" s="1" a="1"/>
  <c r="R136" i="2"/>
  <c r="S136" i="2" s="1" a="1"/>
  <c r="R137" i="2"/>
  <c r="S137" i="2" s="1" a="1"/>
  <c r="R138" i="2"/>
  <c r="S138" i="2" s="1" a="1"/>
  <c r="R139" i="2"/>
  <c r="S139" i="2" s="1" a="1"/>
  <c r="R140" i="2"/>
  <c r="S140" i="2" s="1" a="1"/>
  <c r="R114" i="2"/>
  <c r="S114" i="2" s="1" a="1"/>
  <c r="R85" i="2"/>
  <c r="S85" i="2" s="1" a="1"/>
  <c r="R86" i="2"/>
  <c r="S86" i="2" s="1" a="1"/>
  <c r="R87" i="2"/>
  <c r="S87" i="2" s="1" a="1"/>
  <c r="R88" i="2"/>
  <c r="S88" i="2" s="1" a="1"/>
  <c r="R89" i="2"/>
  <c r="S89" i="2" s="1" a="1"/>
  <c r="R90" i="2"/>
  <c r="S90" i="2" s="1" a="1"/>
  <c r="R91" i="2"/>
  <c r="S91" i="2" s="1" a="1"/>
  <c r="R92" i="2"/>
  <c r="S92" i="2" s="1" a="1"/>
  <c r="R93" i="2"/>
  <c r="S93" i="2" s="1" a="1"/>
  <c r="R94" i="2"/>
  <c r="S94" i="2" s="1" a="1"/>
  <c r="R95" i="2"/>
  <c r="S95" i="2" s="1" a="1"/>
  <c r="R96" i="2"/>
  <c r="S96" i="2" s="1" a="1"/>
  <c r="R97" i="2"/>
  <c r="S97" i="2" s="1" a="1"/>
  <c r="R98" i="2"/>
  <c r="S98" i="2" s="1" a="1"/>
  <c r="R99" i="2"/>
  <c r="S99" i="2" s="1" a="1"/>
  <c r="R100" i="2"/>
  <c r="S100" i="2" s="1" a="1"/>
  <c r="R101" i="2"/>
  <c r="S101" i="2" s="1" a="1"/>
  <c r="R102" i="2"/>
  <c r="S102" i="2" s="1" a="1"/>
  <c r="R103" i="2"/>
  <c r="S103" i="2" s="1" a="1"/>
  <c r="R104" i="2"/>
  <c r="S104" i="2" s="1" a="1"/>
  <c r="R105" i="2"/>
  <c r="S105" i="2" s="1" a="1"/>
  <c r="R106" i="2"/>
  <c r="S106" i="2" s="1" a="1"/>
  <c r="R107" i="2"/>
  <c r="S107" i="2" s="1" a="1"/>
  <c r="R108" i="2"/>
  <c r="S108" i="2" s="1" a="1"/>
  <c r="R109" i="2"/>
  <c r="S109" i="2" s="1" a="1"/>
  <c r="R110" i="2"/>
  <c r="S110" i="2" s="1" a="1"/>
  <c r="R84" i="2"/>
  <c r="S84" i="2" s="1" a="1"/>
  <c r="R55" i="2"/>
  <c r="S55" i="2" s="1" a="1"/>
  <c r="R56" i="2"/>
  <c r="S56" i="2" s="1" a="1"/>
  <c r="R57" i="2"/>
  <c r="S57" i="2" s="1" a="1"/>
  <c r="R58" i="2"/>
  <c r="S58" i="2" s="1" a="1"/>
  <c r="R59" i="2"/>
  <c r="S59" i="2" s="1" a="1"/>
  <c r="R60" i="2"/>
  <c r="S60" i="2" s="1" a="1"/>
  <c r="R61" i="2"/>
  <c r="S61" i="2" s="1" a="1"/>
  <c r="R62" i="2"/>
  <c r="S62" i="2" s="1" a="1"/>
  <c r="R63" i="2"/>
  <c r="S63" i="2" s="1" a="1"/>
  <c r="R64" i="2"/>
  <c r="S64" i="2" s="1" a="1"/>
  <c r="R65" i="2"/>
  <c r="S65" i="2" s="1" a="1"/>
  <c r="R66" i="2"/>
  <c r="S66" i="2" s="1" a="1"/>
  <c r="R67" i="2"/>
  <c r="S67" i="2" s="1" a="1"/>
  <c r="R68" i="2"/>
  <c r="S68" i="2" s="1" a="1"/>
  <c r="R69" i="2"/>
  <c r="S69" i="2" s="1" a="1"/>
  <c r="R70" i="2"/>
  <c r="S70" i="2" s="1" a="1"/>
  <c r="R71" i="2"/>
  <c r="S71" i="2" s="1" a="1"/>
  <c r="R72" i="2"/>
  <c r="S72" i="2" s="1" a="1"/>
  <c r="R73" i="2"/>
  <c r="S73" i="2" s="1" a="1"/>
  <c r="R74" i="2"/>
  <c r="S74" i="2" s="1" a="1"/>
  <c r="R75" i="2"/>
  <c r="S75" i="2" s="1" a="1"/>
  <c r="R76" i="2"/>
  <c r="S76" i="2" s="1" a="1"/>
  <c r="R77" i="2"/>
  <c r="S77" i="2" s="1" a="1"/>
  <c r="R78" i="2"/>
  <c r="S78" i="2" s="1" a="1"/>
  <c r="R79" i="2"/>
  <c r="S79" i="2" s="1" a="1"/>
  <c r="R80" i="2"/>
  <c r="S80" i="2" s="1" a="1"/>
  <c r="R54" i="2"/>
  <c r="S54" i="2" s="1" a="1"/>
  <c r="N62" i="2"/>
  <c r="N61" i="2"/>
  <c r="N60" i="2"/>
  <c r="N59" i="2"/>
  <c r="N58" i="2"/>
  <c r="N57" i="2"/>
  <c r="N56" i="2"/>
  <c r="N55" i="2"/>
  <c r="N54" i="2"/>
  <c r="N53" i="2"/>
  <c r="N52" i="2"/>
  <c r="N51" i="2"/>
  <c r="F3" i="2"/>
  <c r="S49" i="2" l="1" a="1"/>
  <c r="J5" i="2"/>
  <c r="J4" i="2"/>
  <c r="J3" i="2"/>
  <c r="K2" i="2"/>
  <c r="J71" i="2" s="1"/>
  <c r="J2" i="2"/>
  <c r="J1" i="2"/>
  <c r="C4" i="2"/>
  <c r="J41" i="2" s="1"/>
  <c r="C3" i="2"/>
  <c r="M2" i="2"/>
  <c r="M4" i="2" s="1"/>
  <c r="L2" i="2"/>
  <c r="L5" i="2" s="1"/>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5" i="2"/>
  <c r="O4" i="2"/>
  <c r="G2" i="2"/>
  <c r="F11" i="2"/>
  <c r="D2" i="2"/>
  <c r="E12" i="2" s="1"/>
  <c r="C2" i="2"/>
  <c r="Q2" i="2" s="1"/>
  <c r="Q4" i="2" s="1" a="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12" i="2"/>
  <c r="D11" i="2" l="1"/>
  <c r="I52" i="2"/>
  <c r="I55" i="2"/>
  <c r="I54" i="2"/>
  <c r="I53" i="2"/>
  <c r="I51" i="2"/>
  <c r="I50" i="2"/>
  <c r="I49" i="2"/>
  <c r="J34" i="2"/>
  <c r="J40" i="2"/>
  <c r="J39" i="2"/>
  <c r="J38" i="2"/>
  <c r="J37" i="2"/>
  <c r="J36" i="2"/>
  <c r="J35" i="2"/>
  <c r="J91" i="2"/>
  <c r="J89" i="2"/>
  <c r="J79" i="2"/>
  <c r="J85" i="2"/>
  <c r="J83" i="2"/>
  <c r="J80" i="2"/>
  <c r="J86" i="2"/>
  <c r="J92" i="2"/>
  <c r="J84" i="2"/>
  <c r="J90" i="2"/>
  <c r="J82" i="2"/>
  <c r="J88" i="2"/>
  <c r="J81" i="2"/>
  <c r="J87" i="2"/>
  <c r="J32" i="2"/>
  <c r="J62" i="2"/>
  <c r="J46" i="2"/>
  <c r="J26" i="2"/>
  <c r="J47" i="2"/>
  <c r="J31" i="2"/>
  <c r="J45" i="2"/>
  <c r="J30" i="2"/>
  <c r="J44" i="2"/>
  <c r="J29" i="2"/>
  <c r="J43" i="2"/>
  <c r="J28" i="2"/>
  <c r="J42" i="2"/>
  <c r="J27" i="2"/>
  <c r="I62" i="2"/>
  <c r="I45" i="2"/>
  <c r="I41" i="2"/>
  <c r="I42" i="2"/>
  <c r="I56" i="2"/>
  <c r="I59" i="2"/>
  <c r="I47" i="2"/>
  <c r="I61" i="2"/>
  <c r="I46" i="2"/>
  <c r="I60" i="2"/>
  <c r="I44" i="2"/>
  <c r="I58" i="2"/>
  <c r="I43" i="2"/>
  <c r="I57" i="2"/>
  <c r="I32" i="2"/>
  <c r="I26" i="2"/>
  <c r="I31" i="2"/>
  <c r="I30" i="2"/>
  <c r="I29" i="2"/>
  <c r="I28" i="2"/>
  <c r="I27" i="2"/>
  <c r="J22" i="2"/>
  <c r="J21" i="2"/>
  <c r="I20" i="2"/>
  <c r="I79" i="2"/>
  <c r="I35" i="2"/>
  <c r="J20" i="2"/>
  <c r="I34" i="2"/>
  <c r="I85" i="2"/>
  <c r="I19" i="2"/>
  <c r="I40" i="2"/>
  <c r="I84" i="2"/>
  <c r="I21" i="2"/>
  <c r="J19" i="2"/>
  <c r="I25" i="2"/>
  <c r="I39" i="2"/>
  <c r="I83" i="2"/>
  <c r="J25" i="2"/>
  <c r="I24" i="2"/>
  <c r="I38" i="2"/>
  <c r="I82" i="2"/>
  <c r="J24" i="2"/>
  <c r="I23" i="2"/>
  <c r="I37" i="2"/>
  <c r="I81" i="2"/>
  <c r="J23" i="2"/>
  <c r="I22" i="2"/>
  <c r="I36" i="2"/>
  <c r="I80" i="2"/>
  <c r="J64" i="2"/>
  <c r="J12" i="2"/>
  <c r="I71" i="2"/>
  <c r="J65" i="2"/>
  <c r="J75" i="2"/>
  <c r="I66" i="2"/>
  <c r="I74" i="2"/>
  <c r="J68" i="2"/>
  <c r="I67" i="2"/>
  <c r="I75" i="2"/>
  <c r="J69" i="2"/>
  <c r="I68" i="2"/>
  <c r="J72" i="2"/>
  <c r="I77" i="2"/>
  <c r="J74" i="2"/>
  <c r="I64" i="2"/>
  <c r="I72" i="2"/>
  <c r="J66" i="2"/>
  <c r="J76" i="2"/>
  <c r="I76" i="2"/>
  <c r="I69" i="2"/>
  <c r="J73" i="2"/>
  <c r="I70" i="2"/>
  <c r="I65" i="2"/>
  <c r="I73" i="2"/>
  <c r="J67" i="2"/>
  <c r="J77" i="2"/>
  <c r="J70" i="2"/>
  <c r="J9" i="2"/>
  <c r="J14" i="2" s="1"/>
  <c r="I12" i="2"/>
  <c r="I14" i="2" s="1"/>
  <c r="C12" i="2"/>
  <c r="C20" i="2"/>
  <c r="C28" i="2"/>
  <c r="C36" i="2"/>
  <c r="C40" i="2"/>
  <c r="C11" i="2"/>
  <c r="C35" i="2"/>
  <c r="C13" i="2"/>
  <c r="C21" i="2"/>
  <c r="C29" i="2"/>
  <c r="C37" i="2"/>
  <c r="C24" i="2"/>
  <c r="C26" i="2"/>
  <c r="C34" i="2"/>
  <c r="C14" i="2"/>
  <c r="C22" i="2"/>
  <c r="C30" i="2"/>
  <c r="C38" i="2"/>
  <c r="C32" i="2"/>
  <c r="C33" i="2"/>
  <c r="C19" i="2"/>
  <c r="C15" i="2"/>
  <c r="C23" i="2"/>
  <c r="C31" i="2"/>
  <c r="C39" i="2"/>
  <c r="C25" i="2"/>
  <c r="C27" i="2"/>
  <c r="C16" i="2"/>
  <c r="C17" i="2"/>
  <c r="C18" i="2"/>
  <c r="I13" i="2"/>
  <c r="I15" i="2" s="1"/>
  <c r="M35" i="2"/>
  <c r="M43" i="2"/>
  <c r="M27" i="2"/>
  <c r="M19" i="2"/>
  <c r="M11" i="2"/>
  <c r="M42" i="2"/>
  <c r="M34" i="2"/>
  <c r="M26" i="2"/>
  <c r="M18" i="2"/>
  <c r="M10" i="2"/>
  <c r="M41" i="2"/>
  <c r="M33" i="2"/>
  <c r="M25" i="2"/>
  <c r="M17" i="2"/>
  <c r="M9" i="2"/>
  <c r="M40" i="2"/>
  <c r="M32" i="2"/>
  <c r="M24" i="2"/>
  <c r="M16" i="2"/>
  <c r="M8" i="2"/>
  <c r="M47" i="2"/>
  <c r="M39" i="2"/>
  <c r="M31" i="2"/>
  <c r="M23" i="2"/>
  <c r="M15" i="2"/>
  <c r="M7" i="2"/>
  <c r="M46" i="2"/>
  <c r="M38" i="2"/>
  <c r="M30" i="2"/>
  <c r="M22" i="2"/>
  <c r="M14" i="2"/>
  <c r="M6" i="2"/>
  <c r="M45" i="2"/>
  <c r="M37" i="2"/>
  <c r="M29" i="2"/>
  <c r="M21" i="2"/>
  <c r="M13" i="2"/>
  <c r="M5" i="2"/>
  <c r="M44" i="2"/>
  <c r="M36" i="2"/>
  <c r="M28" i="2"/>
  <c r="M20" i="2"/>
  <c r="M12" i="2"/>
  <c r="L36" i="2"/>
  <c r="L12" i="2"/>
  <c r="L44" i="2"/>
  <c r="L28" i="2"/>
  <c r="L20" i="2"/>
  <c r="L43" i="2"/>
  <c r="L35" i="2"/>
  <c r="L27" i="2"/>
  <c r="L19" i="2"/>
  <c r="L11" i="2"/>
  <c r="L42" i="2"/>
  <c r="L34" i="2"/>
  <c r="L26" i="2"/>
  <c r="L18" i="2"/>
  <c r="L10" i="2"/>
  <c r="L41" i="2"/>
  <c r="L33" i="2"/>
  <c r="L25" i="2"/>
  <c r="L17" i="2"/>
  <c r="L9" i="2"/>
  <c r="L4" i="2"/>
  <c r="L40" i="2"/>
  <c r="L32" i="2"/>
  <c r="L24" i="2"/>
  <c r="L16" i="2"/>
  <c r="L8" i="2"/>
  <c r="L47" i="2"/>
  <c r="L39" i="2"/>
  <c r="L31" i="2"/>
  <c r="L23" i="2"/>
  <c r="L15" i="2"/>
  <c r="L7" i="2"/>
  <c r="L46" i="2"/>
  <c r="L38" i="2"/>
  <c r="L30" i="2"/>
  <c r="L22" i="2"/>
  <c r="L14" i="2"/>
  <c r="L6" i="2"/>
  <c r="L45" i="2"/>
  <c r="L37" i="2"/>
  <c r="L29" i="2"/>
  <c r="L21" i="2"/>
  <c r="L13" i="2"/>
  <c r="N36" i="2"/>
  <c r="N34" i="2"/>
  <c r="N28" i="2"/>
  <c r="N26" i="2"/>
  <c r="N20" i="2"/>
  <c r="N18" i="2"/>
  <c r="N44" i="2"/>
  <c r="N12" i="2"/>
  <c r="N42" i="2"/>
  <c r="N10" i="2"/>
  <c r="N43" i="2"/>
  <c r="N35" i="2"/>
  <c r="N27" i="2"/>
  <c r="N19" i="2"/>
  <c r="N11" i="2"/>
  <c r="N41" i="2"/>
  <c r="N33" i="2"/>
  <c r="N25" i="2"/>
  <c r="N17" i="2"/>
  <c r="N9" i="2"/>
  <c r="N4" i="2"/>
  <c r="N40" i="2"/>
  <c r="N32" i="2"/>
  <c r="N24" i="2"/>
  <c r="N16" i="2"/>
  <c r="N8" i="2"/>
  <c r="N47" i="2"/>
  <c r="N39" i="2"/>
  <c r="N31" i="2"/>
  <c r="N23" i="2"/>
  <c r="N15" i="2"/>
  <c r="N7" i="2"/>
  <c r="N46" i="2"/>
  <c r="N38" i="2"/>
  <c r="N30" i="2"/>
  <c r="N22" i="2"/>
  <c r="N14" i="2"/>
  <c r="N6" i="2"/>
  <c r="N45" i="2"/>
  <c r="N37" i="2"/>
  <c r="N29" i="2"/>
  <c r="N21" i="2"/>
  <c r="N13" i="2"/>
  <c r="N5" i="2"/>
  <c r="D37" i="2"/>
  <c r="D35" i="2"/>
  <c r="D27" i="2"/>
  <c r="D19" i="2"/>
  <c r="D34" i="2"/>
  <c r="D26" i="2"/>
  <c r="D18" i="2"/>
  <c r="D17" i="2"/>
  <c r="D33" i="2"/>
  <c r="D40" i="2"/>
  <c r="D32" i="2"/>
  <c r="D24" i="2"/>
  <c r="D16" i="2"/>
  <c r="D39" i="2"/>
  <c r="D31" i="2"/>
  <c r="D23" i="2"/>
  <c r="D15" i="2"/>
  <c r="D25" i="2"/>
  <c r="D38" i="2"/>
  <c r="D30" i="2"/>
  <c r="D22" i="2"/>
  <c r="D14" i="2"/>
  <c r="D13" i="2"/>
  <c r="D29" i="2"/>
  <c r="D21" i="2"/>
  <c r="D36" i="2"/>
  <c r="D28" i="2"/>
  <c r="D20" i="2"/>
  <c r="D12" i="2"/>
  <c r="E11" i="2"/>
  <c r="E18" i="2"/>
  <c r="E37" i="2"/>
  <c r="E29" i="2"/>
  <c r="E35" i="2"/>
  <c r="E27" i="2"/>
  <c r="E19" i="2"/>
  <c r="E33" i="2"/>
  <c r="E17" i="2"/>
  <c r="E40" i="2"/>
  <c r="E32" i="2"/>
  <c r="E24" i="2"/>
  <c r="E16" i="2"/>
  <c r="E25" i="2"/>
  <c r="E39" i="2"/>
  <c r="E31" i="2"/>
  <c r="E23" i="2"/>
  <c r="E15" i="2"/>
  <c r="E34" i="2"/>
  <c r="E26" i="2"/>
  <c r="E38" i="2"/>
  <c r="E30" i="2"/>
  <c r="E22" i="2"/>
  <c r="E14" i="2"/>
  <c r="E13" i="2"/>
  <c r="E21" i="2"/>
  <c r="E36" i="2"/>
  <c r="E28" i="2"/>
  <c r="E20" i="2"/>
  <c r="B5" i="2" l="1" a="1"/>
  <c r="B4" i="2" a="1"/>
  <c r="J15" i="2"/>
  <c r="J16" i="2" s="1"/>
  <c r="B10" i="2" a="1"/>
  <c r="B42" i="2" a="1"/>
  <c r="I11" i="2"/>
  <c r="B41" i="2" a="1"/>
  <c r="B9" i="2" a="1"/>
  <c r="B12" i="2" a="1"/>
  <c r="B46" i="2" a="1"/>
  <c r="B6" i="2" a="1"/>
  <c r="B44" i="2" a="1"/>
  <c r="B45" i="2" a="1"/>
  <c r="B7" i="2" a="1"/>
  <c r="B43" i="2" a="1"/>
  <c r="B8" i="2" a="1"/>
  <c r="B47" i="2" a="1"/>
  <c r="H10" i="2" s="1"/>
  <c r="H81" i="2" s="1" a="1"/>
  <c r="B27" i="2" a="1"/>
  <c r="B31" i="2" a="1"/>
  <c r="B37" i="2" a="1"/>
  <c r="B20" i="2" a="1"/>
  <c r="B35" i="2" a="1"/>
  <c r="B26" i="2" a="1"/>
  <c r="B24" i="2" a="1"/>
  <c r="B14" i="2" a="1"/>
  <c r="B16" i="2" a="1"/>
  <c r="B18" i="2" a="1"/>
  <c r="B40" i="2" a="1"/>
  <c r="B29" i="2" a="1"/>
  <c r="B33" i="2" a="1"/>
  <c r="B32" i="2" a="1"/>
  <c r="B15" i="2" a="1"/>
  <c r="B23" i="2" a="1"/>
  <c r="B30" i="2" a="1"/>
  <c r="B13" i="2" a="1"/>
  <c r="B17" i="2" a="1"/>
  <c r="B39" i="2" a="1"/>
  <c r="B34" i="2" a="1"/>
  <c r="B28" i="2" a="1"/>
  <c r="B11" i="2" a="1"/>
  <c r="B22" i="2" a="1"/>
  <c r="B36" i="2" a="1"/>
  <c r="B38" i="2" a="1"/>
  <c r="B19" i="2" a="1"/>
  <c r="B21" i="2" a="1"/>
  <c r="B25" i="2" a="1"/>
  <c r="F2" i="2"/>
  <c r="E2" i="2"/>
  <c r="B59" i="2" l="1" a="1"/>
  <c r="D59" i="2" s="1"/>
  <c r="B67" i="2" a="1"/>
  <c r="D67" i="2" s="1"/>
  <c r="B75" i="2" a="1"/>
  <c r="D75" i="2" s="1"/>
  <c r="B83" i="2" a="1"/>
  <c r="D83" i="2" s="1"/>
  <c r="B60" i="2" a="1"/>
  <c r="D60" i="2" s="1"/>
  <c r="B68" i="2" a="1"/>
  <c r="D68" i="2" s="1"/>
  <c r="B76" i="2" a="1"/>
  <c r="D76" i="2" s="1"/>
  <c r="B84" i="2" a="1"/>
  <c r="D84" i="2" s="1"/>
  <c r="B61" i="2" a="1"/>
  <c r="D61" i="2" s="1"/>
  <c r="B69" i="2" a="1"/>
  <c r="D69" i="2" s="1"/>
  <c r="B77" i="2" a="1"/>
  <c r="D77" i="2" s="1"/>
  <c r="B85" i="2" a="1"/>
  <c r="D85" i="2" s="1"/>
  <c r="B62" i="2" a="1"/>
  <c r="D62" i="2" s="1"/>
  <c r="B70" i="2" a="1"/>
  <c r="D70" i="2" s="1"/>
  <c r="B78" i="2" a="1"/>
  <c r="D78" i="2" s="1"/>
  <c r="B86" i="2" a="1"/>
  <c r="D86" i="2" s="1"/>
  <c r="B63" i="2" a="1"/>
  <c r="D63" i="2" s="1"/>
  <c r="B71" i="2" a="1"/>
  <c r="D71" i="2" s="1"/>
  <c r="B79" i="2" a="1"/>
  <c r="D79" i="2" s="1"/>
  <c r="B87" i="2" a="1"/>
  <c r="D87" i="2" s="1"/>
  <c r="B82" i="2" a="1"/>
  <c r="D82" i="2" s="1"/>
  <c r="B64" i="2" a="1"/>
  <c r="D64" i="2" s="1"/>
  <c r="B72" i="2" a="1"/>
  <c r="D72" i="2" s="1"/>
  <c r="B80" i="2" a="1"/>
  <c r="D80" i="2" s="1"/>
  <c r="B58" i="2" a="1"/>
  <c r="D58" i="2" s="1"/>
  <c r="B74" i="2" a="1"/>
  <c r="D74" i="2" s="1"/>
  <c r="B65" i="2" a="1"/>
  <c r="D65" i="2" s="1"/>
  <c r="B73" i="2" a="1"/>
  <c r="D73" i="2" s="1"/>
  <c r="B81" i="2" a="1"/>
  <c r="D81" i="2" s="1"/>
  <c r="B66" i="2" a="1"/>
  <c r="D66" i="2" s="1"/>
  <c r="H73" i="2" a="1"/>
  <c r="H75" i="2" a="1"/>
  <c r="H59" i="2" a="1"/>
  <c r="H76" i="2" a="1"/>
  <c r="H22" i="2" a="1"/>
  <c r="H92" i="2" a="1"/>
  <c r="H30" i="2" a="1"/>
  <c r="H71" i="2" a="1"/>
  <c r="H72" i="2" a="1"/>
  <c r="H74" i="2" a="1"/>
  <c r="A60" i="2" a="1"/>
  <c r="C60" i="2" s="1"/>
  <c r="A68" i="2" a="1"/>
  <c r="C68" i="2" s="1"/>
  <c r="A82" i="2" a="1"/>
  <c r="C82" i="2" s="1"/>
  <c r="A61" i="2" a="1"/>
  <c r="C61" i="2" s="1"/>
  <c r="A69" i="2" a="1"/>
  <c r="C69" i="2" s="1"/>
  <c r="A75" i="2" a="1"/>
  <c r="C75" i="2" s="1"/>
  <c r="A83" i="2" a="1"/>
  <c r="C83" i="2" s="1"/>
  <c r="A62" i="2" a="1"/>
  <c r="C62" i="2" s="1"/>
  <c r="A76" i="2" a="1"/>
  <c r="C76" i="2" s="1"/>
  <c r="A84" i="2" a="1"/>
  <c r="C84" i="2" s="1"/>
  <c r="A63" i="2" a="1"/>
  <c r="C63" i="2" s="1"/>
  <c r="A70" i="2" a="1"/>
  <c r="C70" i="2" s="1"/>
  <c r="A77" i="2" a="1"/>
  <c r="C77" i="2" s="1"/>
  <c r="A85" i="2" a="1"/>
  <c r="C85" i="2" s="1"/>
  <c r="A59" i="2" a="1"/>
  <c r="C59" i="2" s="1"/>
  <c r="A81" i="2" a="1"/>
  <c r="C81" i="2" s="1"/>
  <c r="A64" i="2" a="1"/>
  <c r="C64" i="2" s="1"/>
  <c r="A71" i="2" a="1"/>
  <c r="C71" i="2" s="1"/>
  <c r="A78" i="2" a="1"/>
  <c r="C78" i="2" s="1"/>
  <c r="A65" i="2" a="1"/>
  <c r="C65" i="2" s="1"/>
  <c r="A72" i="2" a="1"/>
  <c r="C72" i="2" s="1"/>
  <c r="A79" i="2" a="1"/>
  <c r="C79" i="2" s="1"/>
  <c r="A86" i="2" a="1"/>
  <c r="C86" i="2" s="1"/>
  <c r="A67" i="2" a="1"/>
  <c r="C67" i="2" s="1"/>
  <c r="A66" i="2" a="1"/>
  <c r="C66" i="2" s="1"/>
  <c r="A73" i="2" a="1"/>
  <c r="C73" i="2" s="1"/>
  <c r="A80" i="2" a="1"/>
  <c r="C80" i="2" s="1"/>
  <c r="A87" i="2" a="1"/>
  <c r="C87" i="2" s="1"/>
  <c r="A74" i="2" a="1"/>
  <c r="C74" i="2" s="1"/>
  <c r="A58" i="2" a="1"/>
  <c r="C58" i="2" s="1"/>
  <c r="T21" i="2" a="1"/>
  <c r="T22" i="2" s="1"/>
  <c r="T13" i="2" a="1"/>
  <c r="T14" i="2" s="1"/>
  <c r="T15" i="2" a="1"/>
  <c r="T16" i="2" s="1"/>
  <c r="T23" i="2" a="1"/>
  <c r="T24" i="2" s="1"/>
  <c r="T31" i="2" a="1"/>
  <c r="T32" i="2" s="1"/>
  <c r="T29" i="2" a="1"/>
  <c r="T30" i="2" s="1"/>
  <c r="T5" i="2"/>
  <c r="T6" i="2" s="1"/>
  <c r="T9" i="2" a="1"/>
  <c r="T10" i="2" s="1"/>
  <c r="T19" i="2" a="1"/>
  <c r="T20" i="2" s="1"/>
  <c r="T17" i="2" a="1"/>
  <c r="T18" i="2" s="1"/>
  <c r="T27" i="2" a="1"/>
  <c r="T28" i="2" s="1"/>
  <c r="T25" i="2" a="1"/>
  <c r="T26" i="2" s="1"/>
  <c r="T33" i="2" a="1"/>
  <c r="T34" i="2" s="1"/>
  <c r="T7" i="2" a="1"/>
  <c r="T8" i="2" s="1"/>
  <c r="T11" i="2" a="1"/>
  <c r="T12" i="2" s="1"/>
  <c r="T4" i="2"/>
  <c r="H54" i="2" a="1"/>
  <c r="H49" i="2" a="1"/>
  <c r="H41" i="2" a="1"/>
  <c r="H26" i="2" a="1"/>
  <c r="H32" i="2" a="1"/>
  <c r="H39" i="2" a="1"/>
  <c r="H46" i="2" a="1"/>
  <c r="H52" i="2" a="1"/>
  <c r="H65" i="2" a="1"/>
  <c r="H78" i="2" a="1"/>
  <c r="H84" i="2" a="1"/>
  <c r="H91" i="2" a="1"/>
  <c r="H63" i="2" a="1"/>
  <c r="H82" i="2" a="1"/>
  <c r="H24" i="2" a="1"/>
  <c r="H57" i="2" a="1"/>
  <c r="H89" i="2" a="1"/>
  <c r="H58" i="2" a="1"/>
  <c r="H90" i="2" a="1"/>
  <c r="H20" i="2" a="1"/>
  <c r="H27" i="2" a="1"/>
  <c r="H33" i="2" a="1"/>
  <c r="H47" i="2" a="1"/>
  <c r="H53" i="2" a="1"/>
  <c r="H66" i="2" a="1"/>
  <c r="H79" i="2" a="1"/>
  <c r="H85" i="2" a="1"/>
  <c r="H56" i="2" a="1"/>
  <c r="H88" i="2" a="1"/>
  <c r="H31" i="2" a="1"/>
  <c r="H83" i="2" a="1"/>
  <c r="H38" i="2" a="1"/>
  <c r="H21" i="2" a="1"/>
  <c r="H34" i="2" a="1"/>
  <c r="H40" i="2" a="1"/>
  <c r="H60" i="2" a="1"/>
  <c r="H67" i="2" a="1"/>
  <c r="H86" i="2" a="1"/>
  <c r="H50" i="2" a="1"/>
  <c r="H69" i="2" a="1"/>
  <c r="H37" i="2" a="1"/>
  <c r="H25" i="2" a="1"/>
  <c r="H64" i="2" a="1"/>
  <c r="H28" i="2" a="1"/>
  <c r="H35" i="2" a="1"/>
  <c r="H42" i="2" a="1"/>
  <c r="H48" i="2" a="1"/>
  <c r="H55" i="2" a="1"/>
  <c r="H61" i="2" a="1"/>
  <c r="H80" i="2" a="1"/>
  <c r="H87" i="2" a="1"/>
  <c r="H19" i="2" a="1"/>
  <c r="H51" i="2" a="1"/>
  <c r="H45" i="2" a="1"/>
  <c r="H77" i="2" a="1"/>
  <c r="H23" i="2" a="1"/>
  <c r="H29" i="2" a="1"/>
  <c r="H43" i="2" a="1"/>
  <c r="H62" i="2" a="1"/>
  <c r="H68" i="2" a="1"/>
  <c r="H36" i="2" a="1"/>
  <c r="H44" i="2" a="1"/>
  <c r="H70" i="2" a="1"/>
  <c r="H12" i="2" a="1"/>
  <c r="T35" i="2" l="1"/>
  <c r="T36" i="2" s="1" a="1"/>
  <c r="H14" i="2" a="1"/>
  <c r="H16" i="2" a="1"/>
  <c r="H15" i="2" a="1"/>
  <c r="H11" i="2" a="1"/>
  <c r="H13"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<sst xmlns="http://schemas.openxmlformats.org/spreadsheetml/2006/main" count="127" uniqueCount="97">
  <si>
    <t>Colors</t>
  </si>
  <si>
    <t>Position</t>
  </si>
  <si>
    <t>Angle</t>
  </si>
  <si>
    <t>Transparency</t>
  </si>
  <si>
    <t>Shadow</t>
  </si>
  <si>
    <t>[&gt;=1000]0,"k";[&lt;=-1000]-0,"k";0</t>
  </si>
  <si>
    <t>$#,##0;-$#,##0;0</t>
  </si>
  <si>
    <t>counter</t>
  </si>
  <si>
    <t>Animation 1</t>
  </si>
  <si>
    <t>mode1</t>
  </si>
  <si>
    <t>mode2</t>
  </si>
  <si>
    <t>mode3</t>
  </si>
  <si>
    <t>mode</t>
  </si>
  <si>
    <t>⬛</t>
  </si>
  <si>
    <t>recycling1</t>
  </si>
  <si>
    <t>recycling2</t>
  </si>
  <si>
    <t>mode4</t>
  </si>
  <si>
    <t>recycling3</t>
  </si>
  <si>
    <t>recycling4</t>
  </si>
  <si>
    <t>recycling5</t>
  </si>
  <si>
    <t>recyclingA</t>
  </si>
  <si>
    <t>recyclingB</t>
  </si>
  <si>
    <t>In/Out</t>
  </si>
  <si>
    <t>dia</t>
  </si>
  <si>
    <t>CHOOSE</t>
  </si>
  <si>
    <t>Enter/Exit</t>
  </si>
  <si>
    <t>Cursor</t>
  </si>
  <si>
    <t>back</t>
  </si>
  <si>
    <t>back Top</t>
  </si>
  <si>
    <t>folow</t>
  </si>
  <si>
    <t>back follow</t>
  </si>
  <si>
    <t>█</t>
  </si>
  <si>
    <t>Alt+219</t>
  </si>
  <si>
    <t>Alt+254</t>
  </si>
  <si>
    <t>dia1</t>
  </si>
  <si>
    <t>Current</t>
  </si>
  <si>
    <t>Month</t>
  </si>
  <si>
    <t>January</t>
  </si>
  <si>
    <t>February</t>
  </si>
  <si>
    <t>March</t>
  </si>
  <si>
    <t>April</t>
  </si>
  <si>
    <t>May</t>
  </si>
  <si>
    <t>June</t>
  </si>
  <si>
    <t>July</t>
  </si>
  <si>
    <t>August</t>
  </si>
  <si>
    <t>September</t>
  </si>
  <si>
    <t>October</t>
  </si>
  <si>
    <t>November</t>
  </si>
  <si>
    <t>December</t>
  </si>
  <si>
    <t>Expenditure</t>
  </si>
  <si>
    <t>indent</t>
  </si>
  <si>
    <t>dia0</t>
  </si>
  <si>
    <t>Marker</t>
  </si>
  <si>
    <t>Mine Source</t>
  </si>
  <si>
    <t>previous</t>
  </si>
  <si>
    <t>Team Capacity Usage</t>
  </si>
  <si>
    <t>Actual</t>
  </si>
  <si>
    <t>Risk of Overload</t>
  </si>
  <si>
    <t>Task Balance</t>
  </si>
  <si>
    <t>Engagement</t>
  </si>
  <si>
    <t>Workload</t>
  </si>
  <si>
    <t>Sprint Load Dynamics</t>
  </si>
  <si>
    <t>Global Сycle</t>
  </si>
  <si>
    <t>Energy Power</t>
  </si>
  <si>
    <t>Warehouse Storage</t>
  </si>
  <si>
    <t>Manufacturing Chain</t>
  </si>
  <si>
    <t>Features</t>
  </si>
  <si>
    <t>Bugs</t>
  </si>
  <si>
    <t>Backlog</t>
  </si>
  <si>
    <t>Ideas</t>
  </si>
  <si>
    <t>AI Analysis</t>
  </si>
  <si>
    <t>All Ready</t>
  </si>
  <si>
    <t>Process</t>
  </si>
  <si>
    <t>Done</t>
  </si>
  <si>
    <t>Initiation</t>
  </si>
  <si>
    <t>Engineering</t>
  </si>
  <si>
    <t>Design</t>
  </si>
  <si>
    <t>Prototyping</t>
  </si>
  <si>
    <t>Testing</t>
  </si>
  <si>
    <t>Max</t>
  </si>
  <si>
    <t xml:space="preserve">   Agile Sprints</t>
  </si>
  <si>
    <t>Acceleration</t>
  </si>
  <si>
    <t>AGILE PROJECT MANAGEMENT SPRINTS</t>
  </si>
  <si>
    <t>Resource Accumulation</t>
  </si>
  <si>
    <t xml:space="preserve">   Costs Level</t>
  </si>
  <si>
    <t>Burndown / Burnup Chart</t>
  </si>
  <si>
    <t>Plan</t>
  </si>
  <si>
    <t>Density</t>
  </si>
  <si>
    <t>Mode</t>
  </si>
  <si>
    <t>Capacity 1</t>
  </si>
  <si>
    <t>Capacity 2</t>
  </si>
  <si>
    <t>Capacity 3</t>
  </si>
  <si>
    <t>Capacity 4</t>
  </si>
  <si>
    <t>Row Labels</t>
  </si>
  <si>
    <t>Grand Total</t>
  </si>
  <si>
    <t>Max of Mode</t>
  </si>
  <si>
    <t>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</si>
</sst>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sz val="11"/>
      <name val="Aptos Narrow"/>
      <family val="2"/>
      <scheme val="minor"/>
    </font>
    <font>
      <b/>
      <sz val="11"/>
      <color theme="1"/>
      <name val="Aptos Narrow"/>
      <family val="2"/>
      <scheme val="minor"/>
    </font>
    <font>
      <b/>
      <sz val="11"/>
      <color theme="1"/>
      <name val="Aptos Narrow"/>
      <family val="2"/>
      <charset val="204"/>
      <scheme val="minor"/>
    </font>
    <font>
      <sz val="8"/>
      <name val="Aptos Narrow"/>
      <family val="2"/>
      <scheme val="minor"/>
    </font>
    <font>
      <sz val="9"/>
      <color theme="1"/>
      <name val="Aptos Narrow"/>
      <family val="2"/>
      <scheme val="minor"/>
    </font>
    <font>
      <sz val="11"/>
      <color theme="1"/>
      <name val="Aptos Narrow"/>
      <family val="2"/>
      <scheme val="minor"/>
    </font>
    <font>
      <u/>
      <sz val="11"/>
      <color theme="10"/>
      <name val="Aptos Narrow"/>
      <family val="2"/>
      <scheme val="minor"/>
    </font>
    <font>
      <sz val="11"/>
      <color rgb="FF000000"/>
      <name val="Aptos Narrow"/>
      <family val="2"/>
      <charset val="1"/>
      <scheme val="minor"/>
    </font>
    <font>
      <sz val="24"/>
      <color theme="0"/>
      <name val="Aptos Narrow"/>
      <family val="2"/>
      <scheme val="minor"/>
    </font>
    <font>
      <u/>
      <sz val="24"/>
      <color theme="0"/>
      <name val="Aptos Narrow"/>
      <family val="2"/>
      <scheme val="minor"/>
    </font>
  </fonts>
  <fills count="5">
    <fill>
      <patternFill patternType="none"/>
    </fill>
    <fill>
      <patternFill patternType="gray125"/>
    </fill>
    <fill>
      <patternFill patternType="solid">
        <fgColor rgb="FF12143D"/>
        <bgColor indexed="64"/>
      </patternFill>
    </fill>
    <fill>
      <patternFill patternType="solid">
        <fgColor theme="0" tint="-0.14999847407452621"/>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s>
  <cellStyleXfs count="3">
    <xf numFmtId="0" fontId="0" fillId="0" borderId="0"/>
    <xf numFmtId="9" fontId="6" fillId="0" borderId="0" applyFont="0" applyFill="0" applyBorder="0" applyAlignment="0" applyProtection="0"/>
    <xf numFmtId="0" fontId="7" fillId="0" borderId="0" applyNumberFormat="0" applyFill="0" applyBorder="0" applyAlignment="0" applyProtection="0"/>
  </cellStyleXfs>
  <cellXfs count="28">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0" fontId="3" fillId="0" borderId="0" xfId="0" applyFont="1" applyAlignment="1">
      <alignment horizontal="center"/>
    </xf>
    <xf numFmtId="0" fontId="0" fillId="0" borderId="1" xfId="0" applyBorder="1" applyAlignment="1">
      <alignment horizontal="center"/>
    </xf>
    <xf numFmtId="0" fontId="2" fillId="0" borderId="0" xfId="0" applyFont="1" applyAlignment="1">
      <alignment horizontal="center"/>
    </xf>
    <xf numFmtId="0" fontId="2" fillId="0" borderId="0" xfId="0" applyFont="1"/>
    <xf numFmtId="0" fontId="0" fillId="0" borderId="2" xfId="0" applyBorder="1" applyAlignment="1">
      <alignment horizontal="center"/>
    </xf>
    <xf numFmtId="0" fontId="5" fillId="0" borderId="0" xfId="0" applyFont="1" applyAlignment="1">
      <alignment horizontal="center"/>
    </xf>
    <xf numFmtId="0" fontId="2" fillId="0" borderId="1" xfId="0" applyFont="1" applyBorder="1" applyAlignment="1">
      <alignment horizontal="center"/>
    </xf>
    <xf numFmtId="0" fontId="3" fillId="0" borderId="0" xfId="0" applyFont="1" applyAlignment="1">
      <alignment horizontal="left"/>
    </xf>
    <xf numFmtId="0" fontId="0" fillId="3" borderId="0" xfId="0" applyFill="1"/>
    <xf numFmtId="0" fontId="0" fillId="4" borderId="0" xfId="0" applyFill="1"/>
    <xf numFmtId="0" fontId="3" fillId="0" borderId="0" xfId="0" applyFont="1"/>
    <xf numFmtId="9" fontId="0" fillId="0" borderId="0" xfId="1" applyFont="1"/>
    <xf numFmtId="9" fontId="0" fillId="0" borderId="0" xfId="1" applyFont="1" applyAlignment="1">
      <alignment horizontal="center"/>
    </xf>
    <xf numFmtId="10" fontId="0" fillId="0" borderId="0" xfId="1" applyNumberFormat="1" applyFont="1"/>
    <xf numFmtId="0" fontId="8" fillId="0" borderId="0" xfId="0" applyFont="1"/>
    <xf numFmtId="0" fontId="0" fillId="0" borderId="0" xfId="0" pivotButton="1"/>
    <xf numFmtId="0" fontId="10" fillId="2" borderId="0" xfId="2" applyFont="1" applyFill="1" applyAlignment="1">
      <alignment horizontal="center"/>
    </xf>
    <xf numFmtId="0" fontId="9" fillId="2" borderId="0" xfId="0" applyFont="1" applyFill="1"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xf>
    <xf numFmtId="0" fontId="0" fillId="0" borderId="0" xfId="0" applyNumberFormat="1"/>
  </cellXfs>
  <cellStyles count="3">
    <cellStyle name="Hyperlink" xfId="2" builtinId="8"/>
    <cellStyle name="Normal" xfId="0" builtinId="0"/>
    <cellStyle name="Percent" xfId="1" builtinId="5"/>
  </cellStyles>
  <dxfs count="2">
    <dxf>
      <font>
        <b/>
        <color theme="1"/>
      </font>
      <border>
        <bottom style="thin">
          <color theme="4"/>
        </bottom>
        <vertical/>
        <horizontal/>
      </border>
    </dxf>
    <dxf>
      <font>
        <color theme="1"/>
      </font>
      <fill>
        <patternFill>
          <bgColor rgb="FF15001B"/>
        </patternFill>
      </fill>
      <border diagonalUp="0" diagonalDown="0">
        <left/>
        <right/>
        <top/>
        <bottom/>
        <vertical/>
        <horizontal/>
      </border>
    </dxf>
  </dxfs>
  <tableStyles count="1" defaultTableStyle="TableStyleMedium2" defaultPivotStyle="PivotStyleLight16">
    <tableStyle name="SlicerStyleLight1 2 3" pivot="0" table="0" count="10" xr9:uid="{FDD11FEE-6424-4C8E-B713-348D0436643C}">
      <tableStyleElement type="wholeTable" dxfId="1"/>
      <tableStyleElement type="headerRow" dxfId="0"/>
    </tableStyle>
  </tableStyles>
  <colors>
    <mruColors>
      <color rgb="FF5399FF"/>
      <color rgb="FF262968"/>
      <color rgb="FF323687"/>
      <color rgb="FF2A0036"/>
      <color rgb="FF15001B"/>
      <color rgb="FF212461"/>
      <color rgb="FF26296C"/>
      <color rgb="FF1D1E57"/>
      <color rgb="FF24266E"/>
      <color rgb="FF1C1E5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399FF"/>
          </font>
          <fill>
            <gradientFill degree="90">
              <stop position="0">
                <color rgb="FF323687"/>
              </stop>
              <stop position="1">
                <color rgb="FF262968"/>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5001B"/>
            </a:solidFill>
            <a:ln>
              <a:solidFill>
                <a:schemeClr val="lt1"/>
              </a:solidFill>
            </a:ln>
            <a:effectLst/>
          </c:spPr>
          <c:invertIfNegative val="0"/>
          <c:dPt>
            <c:idx val="7"/>
            <c:invertIfNegative val="0"/>
            <c:bubble3D val="0"/>
            <c:extLst>
              <c:ext xmlns:c16="http://schemas.microsoft.com/office/drawing/2014/chart" uri="{C3380CC4-5D6E-409C-BE32-E72D297353CC}">
                <c16:uniqueId val="{00000003-F591-4884-A2F1-6DAF8C4B60B4}"/>
              </c:ext>
            </c:extLst>
          </c:dPt>
          <c:dPt>
            <c:idx val="8"/>
            <c:invertIfNegative val="0"/>
            <c:bubble3D val="0"/>
            <c:extLst>
              <c:ext xmlns:c16="http://schemas.microsoft.com/office/drawing/2014/chart" uri="{C3380CC4-5D6E-409C-BE32-E72D297353CC}">
                <c16:uniqueId val="{00000005-F591-4884-A2F1-6DAF8C4B60B4}"/>
              </c:ext>
            </c:extLst>
          </c:dPt>
          <c:dPt>
            <c:idx val="9"/>
            <c:invertIfNegative val="0"/>
            <c:bubble3D val="0"/>
            <c:extLst>
              <c:ext xmlns:c16="http://schemas.microsoft.com/office/drawing/2014/chart" uri="{C3380CC4-5D6E-409C-BE32-E72D297353CC}">
                <c16:uniqueId val="{00000007-F591-4884-A2F1-6DAF8C4B60B4}"/>
              </c:ext>
            </c:extLst>
          </c:dPt>
          <c:dPt>
            <c:idx val="10"/>
            <c:invertIfNegative val="0"/>
            <c:bubble3D val="0"/>
            <c:extLst>
              <c:ext xmlns:c16="http://schemas.microsoft.com/office/drawing/2014/chart" uri="{C3380CC4-5D6E-409C-BE32-E72D297353CC}">
                <c16:uniqueId val="{00000009-F591-4884-A2F1-6DAF8C4B60B4}"/>
              </c:ext>
            </c:extLst>
          </c:dPt>
          <c:dPt>
            <c:idx val="11"/>
            <c:invertIfNegative val="0"/>
            <c:bubble3D val="0"/>
            <c:extLst>
              <c:ext xmlns:c16="http://schemas.microsoft.com/office/drawing/2014/chart" uri="{C3380CC4-5D6E-409C-BE32-E72D297353CC}">
                <c16:uniqueId val="{0000000B-F591-4884-A2F1-6DAF8C4B60B4}"/>
              </c:ext>
            </c:extLst>
          </c:dPt>
          <c:val>
            <c:numRef>
              <c:f>Processing!$H$64:$H$77</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C-F591-4884-A2F1-6DAF8C4B60B4}"/>
            </c:ext>
          </c:extLst>
        </c:ser>
        <c:ser>
          <c:idx val="1"/>
          <c:order val="1"/>
          <c:tx>
            <c:strRef>
              <c:f>Processing!$H$78</c:f>
              <c:strCache>
                <c:ptCount val="1"/>
                <c:pt idx="0">
                  <c:v>back follow</c:v>
                </c:pt>
              </c:strCache>
            </c:strRef>
          </c:tx>
          <c:spPr>
            <a:solidFill>
              <a:srgbClr val="102C50"/>
            </a:solidFill>
            <a:ln>
              <a:solidFill>
                <a:schemeClr val="bg1"/>
              </a:solidFill>
            </a:ln>
          </c:spPr>
          <c:invertIfNegative val="0"/>
          <c:dPt>
            <c:idx val="0"/>
            <c:invertIfNegative val="0"/>
            <c:bubble3D val="0"/>
            <c:spPr>
              <a:solidFill>
                <a:srgbClr val="0A5885"/>
              </a:solidFill>
              <a:ln>
                <a:solidFill>
                  <a:schemeClr val="bg1"/>
                </a:solidFill>
              </a:ln>
            </c:spPr>
            <c:extLst>
              <c:ext xmlns:c16="http://schemas.microsoft.com/office/drawing/2014/chart" uri="{C3380CC4-5D6E-409C-BE32-E72D297353CC}">
                <c16:uniqueId val="{00000013-6A8F-47EE-AFCB-9657CBBC5C37}"/>
              </c:ext>
            </c:extLst>
          </c:dPt>
          <c:dPt>
            <c:idx val="1"/>
            <c:invertIfNegative val="0"/>
            <c:bubble3D val="0"/>
            <c:spPr>
              <a:solidFill>
                <a:srgbClr val="0A5885"/>
              </a:solidFill>
              <a:ln>
                <a:solidFill>
                  <a:schemeClr val="bg1"/>
                </a:solidFill>
              </a:ln>
            </c:spPr>
            <c:extLst>
              <c:ext xmlns:c16="http://schemas.microsoft.com/office/drawing/2014/chart" uri="{C3380CC4-5D6E-409C-BE32-E72D297353CC}">
                <c16:uniqueId val="{00000014-6A8F-47EE-AFCB-9657CBBC5C37}"/>
              </c:ext>
            </c:extLst>
          </c:dPt>
          <c:dPt>
            <c:idx val="2"/>
            <c:invertIfNegative val="0"/>
            <c:bubble3D val="0"/>
            <c:spPr>
              <a:solidFill>
                <a:srgbClr val="0A5885"/>
              </a:solidFill>
              <a:ln>
                <a:solidFill>
                  <a:schemeClr val="bg1"/>
                </a:solidFill>
              </a:ln>
            </c:spPr>
            <c:extLst>
              <c:ext xmlns:c16="http://schemas.microsoft.com/office/drawing/2014/chart" uri="{C3380CC4-5D6E-409C-BE32-E72D297353CC}">
                <c16:uniqueId val="{00000015-6A8F-47EE-AFCB-9657CBBC5C37}"/>
              </c:ext>
            </c:extLst>
          </c:dPt>
          <c:dPt>
            <c:idx val="3"/>
            <c:invertIfNegative val="0"/>
            <c:bubble3D val="0"/>
            <c:spPr>
              <a:solidFill>
                <a:srgbClr val="0A5885"/>
              </a:solidFill>
              <a:ln>
                <a:solidFill>
                  <a:schemeClr val="bg1"/>
                </a:solidFill>
              </a:ln>
            </c:spPr>
            <c:extLst>
              <c:ext xmlns:c16="http://schemas.microsoft.com/office/drawing/2014/chart" uri="{C3380CC4-5D6E-409C-BE32-E72D297353CC}">
                <c16:uniqueId val="{00000016-6A8F-47EE-AFCB-9657CBBC5C37}"/>
              </c:ext>
            </c:extLst>
          </c:dPt>
          <c:dPt>
            <c:idx val="4"/>
            <c:invertIfNegative val="0"/>
            <c:bubble3D val="0"/>
            <c:spPr>
              <a:solidFill>
                <a:srgbClr val="0A5885"/>
              </a:solidFill>
              <a:ln>
                <a:solidFill>
                  <a:schemeClr val="bg1"/>
                </a:solidFill>
              </a:ln>
            </c:spPr>
            <c:extLst>
              <c:ext xmlns:c16="http://schemas.microsoft.com/office/drawing/2014/chart" uri="{C3380CC4-5D6E-409C-BE32-E72D297353CC}">
                <c16:uniqueId val="{00000017-6A8F-47EE-AFCB-9657CBBC5C37}"/>
              </c:ext>
            </c:extLst>
          </c:dPt>
          <c:dPt>
            <c:idx val="5"/>
            <c:invertIfNegative val="0"/>
            <c:bubble3D val="0"/>
            <c:spPr>
              <a:solidFill>
                <a:srgbClr val="0A5885"/>
              </a:solidFill>
              <a:ln>
                <a:solidFill>
                  <a:schemeClr val="bg1"/>
                </a:solidFill>
              </a:ln>
            </c:spPr>
            <c:extLst>
              <c:ext xmlns:c16="http://schemas.microsoft.com/office/drawing/2014/chart" uri="{C3380CC4-5D6E-409C-BE32-E72D297353CC}">
                <c16:uniqueId val="{00000018-6A8F-47EE-AFCB-9657CBBC5C37}"/>
              </c:ext>
            </c:extLst>
          </c:dPt>
          <c:dPt>
            <c:idx val="6"/>
            <c:invertIfNegative val="0"/>
            <c:bubble3D val="0"/>
            <c:spPr>
              <a:solidFill>
                <a:srgbClr val="0A5885"/>
              </a:solidFill>
              <a:ln>
                <a:solidFill>
                  <a:schemeClr val="bg1"/>
                </a:solidFill>
              </a:ln>
            </c:spPr>
            <c:extLst>
              <c:ext xmlns:c16="http://schemas.microsoft.com/office/drawing/2014/chart" uri="{C3380CC4-5D6E-409C-BE32-E72D297353CC}">
                <c16:uniqueId val="{00000019-6A8F-47EE-AFCB-9657CBBC5C37}"/>
              </c:ext>
            </c:extLst>
          </c:dPt>
          <c:dPt>
            <c:idx val="7"/>
            <c:invertIfNegative val="0"/>
            <c:bubble3D val="0"/>
            <c:spPr>
              <a:solidFill>
                <a:srgbClr val="700181"/>
              </a:solidFill>
              <a:ln>
                <a:solidFill>
                  <a:schemeClr val="bg1"/>
                </a:solidFill>
              </a:ln>
            </c:spPr>
            <c:extLst>
              <c:ext xmlns:c16="http://schemas.microsoft.com/office/drawing/2014/chart" uri="{C3380CC4-5D6E-409C-BE32-E72D297353CC}">
                <c16:uniqueId val="{00000024-F591-4884-A2F1-6DAF8C4B60B4}"/>
              </c:ext>
            </c:extLst>
          </c:dPt>
          <c:dPt>
            <c:idx val="8"/>
            <c:invertIfNegative val="0"/>
            <c:bubble3D val="0"/>
            <c:spPr>
              <a:solidFill>
                <a:srgbClr val="700181"/>
              </a:solidFill>
              <a:ln>
                <a:solidFill>
                  <a:schemeClr val="bg1"/>
                </a:solidFill>
              </a:ln>
            </c:spPr>
            <c:extLst>
              <c:ext xmlns:c16="http://schemas.microsoft.com/office/drawing/2014/chart" uri="{C3380CC4-5D6E-409C-BE32-E72D297353CC}">
                <c16:uniqueId val="{00000023-F591-4884-A2F1-6DAF8C4B60B4}"/>
              </c:ext>
            </c:extLst>
          </c:dPt>
          <c:dPt>
            <c:idx val="9"/>
            <c:invertIfNegative val="0"/>
            <c:bubble3D val="0"/>
            <c:spPr>
              <a:solidFill>
                <a:srgbClr val="700181"/>
              </a:solidFill>
              <a:ln>
                <a:solidFill>
                  <a:schemeClr val="bg1"/>
                </a:solidFill>
              </a:ln>
            </c:spPr>
            <c:extLst>
              <c:ext xmlns:c16="http://schemas.microsoft.com/office/drawing/2014/chart" uri="{C3380CC4-5D6E-409C-BE32-E72D297353CC}">
                <c16:uniqueId val="{00000022-F591-4884-A2F1-6DAF8C4B60B4}"/>
              </c:ext>
            </c:extLst>
          </c:dPt>
          <c:dPt>
            <c:idx val="10"/>
            <c:invertIfNegative val="0"/>
            <c:bubble3D val="0"/>
            <c:spPr>
              <a:solidFill>
                <a:srgbClr val="700181"/>
              </a:solidFill>
              <a:ln>
                <a:solidFill>
                  <a:schemeClr val="bg1"/>
                </a:solidFill>
              </a:ln>
            </c:spPr>
            <c:extLst>
              <c:ext xmlns:c16="http://schemas.microsoft.com/office/drawing/2014/chart" uri="{C3380CC4-5D6E-409C-BE32-E72D297353CC}">
                <c16:uniqueId val="{00000020-F591-4884-A2F1-6DAF8C4B60B4}"/>
              </c:ext>
            </c:extLst>
          </c:dPt>
          <c:dPt>
            <c:idx val="11"/>
            <c:invertIfNegative val="0"/>
            <c:bubble3D val="0"/>
            <c:spPr>
              <a:solidFill>
                <a:srgbClr val="700181"/>
              </a:solidFill>
              <a:ln>
                <a:solidFill>
                  <a:schemeClr val="bg1"/>
                </a:solidFill>
              </a:ln>
            </c:spPr>
            <c:extLst>
              <c:ext xmlns:c16="http://schemas.microsoft.com/office/drawing/2014/chart" uri="{C3380CC4-5D6E-409C-BE32-E72D297353CC}">
                <c16:uniqueId val="{00000021-F591-4884-A2F1-6DAF8C4B60B4}"/>
              </c:ext>
            </c:extLst>
          </c:dPt>
          <c:dPt>
            <c:idx val="12"/>
            <c:invertIfNegative val="0"/>
            <c:bubble3D val="0"/>
            <c:spPr>
              <a:solidFill>
                <a:srgbClr val="700181"/>
              </a:solidFill>
              <a:ln>
                <a:solidFill>
                  <a:schemeClr val="bg1"/>
                </a:solidFill>
              </a:ln>
            </c:spPr>
            <c:extLst>
              <c:ext xmlns:c16="http://schemas.microsoft.com/office/drawing/2014/chart" uri="{C3380CC4-5D6E-409C-BE32-E72D297353CC}">
                <c16:uniqueId val="{0000001F-F591-4884-A2F1-6DAF8C4B60B4}"/>
              </c:ext>
            </c:extLst>
          </c:dPt>
          <c:dPt>
            <c:idx val="13"/>
            <c:invertIfNegative val="0"/>
            <c:bubble3D val="0"/>
            <c:spPr>
              <a:solidFill>
                <a:srgbClr val="700181"/>
              </a:solidFill>
              <a:ln>
                <a:solidFill>
                  <a:schemeClr val="bg1"/>
                </a:solidFill>
              </a:ln>
            </c:spPr>
            <c:extLst>
              <c:ext xmlns:c16="http://schemas.microsoft.com/office/drawing/2014/chart" uri="{C3380CC4-5D6E-409C-BE32-E72D297353CC}">
                <c16:uniqueId val="{0000001E-F591-4884-A2F1-6DAF8C4B60B4}"/>
              </c:ext>
            </c:extLst>
          </c:dPt>
          <c:val>
            <c:numRef>
              <c:f>Processing!$H$79:$H$92</c:f>
              <c:numCache>
                <c:formatCode>General</c:formatCode>
                <c:ptCount val="14"/>
                <c:pt idx="0">
                  <c:v>1</c:v>
                </c:pt>
                <c:pt idx="1">
                  <c:v>1</c:v>
                </c:pt>
                <c:pt idx="2">
                  <c:v>1</c:v>
                </c:pt>
                <c:pt idx="3">
                  <c:v>1</c:v>
                </c:pt>
                <c:pt idx="4">
                  <c:v>1</c:v>
                </c:pt>
                <c:pt idx="5">
                  <c:v>1</c:v>
                </c:pt>
                <c:pt idx="6">
                  <c:v>1</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B-F591-4884-A2F1-6DAF8C4B60B4}"/>
            </c:ext>
          </c:extLst>
        </c:ser>
        <c:dLbls>
          <c:showLegendKey val="0"/>
          <c:showVal val="0"/>
          <c:showCatName val="0"/>
          <c:showSerName val="0"/>
          <c:showPercent val="0"/>
          <c:showBubbleSize val="0"/>
        </c:dLbls>
        <c:gapWidth val="0"/>
        <c:overlap val="100"/>
        <c:axId val="1213171856"/>
        <c:axId val="1213191536"/>
      </c:barChart>
      <c:catAx>
        <c:axId val="1213171856"/>
        <c:scaling>
          <c:orientation val="minMax"/>
        </c:scaling>
        <c:delete val="1"/>
        <c:axPos val="b"/>
        <c:majorTickMark val="none"/>
        <c:minorTickMark val="none"/>
        <c:tickLblPos val="nextTo"/>
        <c:crossAx val="1213191536"/>
        <c:crosses val="autoZero"/>
        <c:auto val="1"/>
        <c:lblAlgn val="ctr"/>
        <c:lblOffset val="100"/>
        <c:noMultiLvlLbl val="0"/>
      </c:catAx>
      <c:valAx>
        <c:axId val="1213191536"/>
        <c:scaling>
          <c:orientation val="minMax"/>
          <c:max val="1"/>
        </c:scaling>
        <c:delete val="1"/>
        <c:axPos val="l"/>
        <c:numFmt formatCode="General" sourceLinked="1"/>
        <c:majorTickMark val="none"/>
        <c:minorTickMark val="none"/>
        <c:tickLblPos val="nextTo"/>
        <c:crossAx val="121317185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15001B"/>
            </a:solidFill>
            <a:ln w="9525"/>
          </c:spPr>
          <c:dPt>
            <c:idx val="0"/>
            <c:bubble3D val="0"/>
            <c:spPr>
              <a:solidFill>
                <a:srgbClr val="15001B"/>
              </a:solidFill>
              <a:ln w="9525">
                <a:solidFill>
                  <a:schemeClr val="lt1"/>
                </a:solidFill>
              </a:ln>
              <a:effectLst/>
            </c:spPr>
            <c:extLst>
              <c:ext xmlns:c16="http://schemas.microsoft.com/office/drawing/2014/chart" uri="{C3380CC4-5D6E-409C-BE32-E72D297353CC}">
                <c16:uniqueId val="{00000001-93E4-414E-A151-B5C3A6C43C1B}"/>
              </c:ext>
            </c:extLst>
          </c:dPt>
          <c:dPt>
            <c:idx val="1"/>
            <c:bubble3D val="0"/>
            <c:spPr>
              <a:solidFill>
                <a:srgbClr val="15001B"/>
              </a:solidFill>
              <a:ln w="9525">
                <a:solidFill>
                  <a:schemeClr val="lt1"/>
                </a:solidFill>
              </a:ln>
              <a:effectLst/>
            </c:spPr>
            <c:extLst>
              <c:ext xmlns:c16="http://schemas.microsoft.com/office/drawing/2014/chart" uri="{C3380CC4-5D6E-409C-BE32-E72D297353CC}">
                <c16:uniqueId val="{00000003-93E4-414E-A151-B5C3A6C43C1B}"/>
              </c:ext>
            </c:extLst>
          </c:dPt>
          <c:dPt>
            <c:idx val="2"/>
            <c:bubble3D val="0"/>
            <c:spPr>
              <a:solidFill>
                <a:srgbClr val="15001B"/>
              </a:solidFill>
              <a:ln w="9525">
                <a:solidFill>
                  <a:schemeClr val="lt1"/>
                </a:solidFill>
              </a:ln>
              <a:effectLst/>
            </c:spPr>
            <c:extLst>
              <c:ext xmlns:c16="http://schemas.microsoft.com/office/drawing/2014/chart" uri="{C3380CC4-5D6E-409C-BE32-E72D297353CC}">
                <c16:uniqueId val="{00000005-93E4-414E-A151-B5C3A6C43C1B}"/>
              </c:ext>
            </c:extLst>
          </c:dPt>
          <c:dPt>
            <c:idx val="3"/>
            <c:bubble3D val="0"/>
            <c:spPr>
              <a:solidFill>
                <a:srgbClr val="15001B"/>
              </a:solidFill>
              <a:ln w="9525">
                <a:solidFill>
                  <a:schemeClr val="lt1"/>
                </a:solidFill>
              </a:ln>
              <a:effectLst/>
            </c:spPr>
            <c:extLst>
              <c:ext xmlns:c16="http://schemas.microsoft.com/office/drawing/2014/chart" uri="{C3380CC4-5D6E-409C-BE32-E72D297353CC}">
                <c16:uniqueId val="{00000007-93E4-414E-A151-B5C3A6C43C1B}"/>
              </c:ext>
            </c:extLst>
          </c:dPt>
          <c:dPt>
            <c:idx val="4"/>
            <c:bubble3D val="0"/>
            <c:spPr>
              <a:solidFill>
                <a:srgbClr val="15001B"/>
              </a:solidFill>
              <a:ln w="9525">
                <a:solidFill>
                  <a:schemeClr val="lt1"/>
                </a:solidFill>
              </a:ln>
              <a:effectLst/>
            </c:spPr>
            <c:extLst>
              <c:ext xmlns:c16="http://schemas.microsoft.com/office/drawing/2014/chart" uri="{C3380CC4-5D6E-409C-BE32-E72D297353CC}">
                <c16:uniqueId val="{00000009-93E4-414E-A151-B5C3A6C43C1B}"/>
              </c:ext>
            </c:extLst>
          </c:dPt>
          <c:dPt>
            <c:idx val="5"/>
            <c:bubble3D val="0"/>
            <c:spPr>
              <a:solidFill>
                <a:srgbClr val="15001B"/>
              </a:solidFill>
              <a:ln w="9525">
                <a:solidFill>
                  <a:schemeClr val="lt1"/>
                </a:solidFill>
              </a:ln>
              <a:effectLst/>
            </c:spPr>
            <c:extLst>
              <c:ext xmlns:c16="http://schemas.microsoft.com/office/drawing/2014/chart" uri="{C3380CC4-5D6E-409C-BE32-E72D297353CC}">
                <c16:uniqueId val="{0000000B-93E4-414E-A151-B5C3A6C43C1B}"/>
              </c:ext>
            </c:extLst>
          </c:dPt>
          <c:dPt>
            <c:idx val="6"/>
            <c:bubble3D val="0"/>
            <c:spPr>
              <a:solidFill>
                <a:srgbClr val="15001B"/>
              </a:solidFill>
              <a:ln w="9525">
                <a:solidFill>
                  <a:schemeClr val="lt1"/>
                </a:solidFill>
              </a:ln>
              <a:effectLst/>
            </c:spPr>
            <c:extLst>
              <c:ext xmlns:c16="http://schemas.microsoft.com/office/drawing/2014/chart" uri="{C3380CC4-5D6E-409C-BE32-E72D297353CC}">
                <c16:uniqueId val="{0000000D-93E4-414E-A151-B5C3A6C43C1B}"/>
              </c:ext>
            </c:extLst>
          </c:dPt>
          <c:dPt>
            <c:idx val="7"/>
            <c:bubble3D val="0"/>
            <c:spPr>
              <a:solidFill>
                <a:srgbClr val="15001B"/>
              </a:solidFill>
              <a:ln w="9525">
                <a:solidFill>
                  <a:schemeClr val="lt1"/>
                </a:solidFill>
              </a:ln>
              <a:effectLst/>
            </c:spPr>
            <c:extLst>
              <c:ext xmlns:c16="http://schemas.microsoft.com/office/drawing/2014/chart" uri="{C3380CC4-5D6E-409C-BE32-E72D297353CC}">
                <c16:uniqueId val="{0000000F-93E4-414E-A151-B5C3A6C43C1B}"/>
              </c:ext>
            </c:extLst>
          </c:dPt>
          <c:dPt>
            <c:idx val="8"/>
            <c:bubble3D val="0"/>
            <c:spPr>
              <a:solidFill>
                <a:srgbClr val="15001B"/>
              </a:solidFill>
              <a:ln w="9525">
                <a:solidFill>
                  <a:schemeClr val="lt1"/>
                </a:solidFill>
              </a:ln>
              <a:effectLst/>
            </c:spPr>
            <c:extLst>
              <c:ext xmlns:c16="http://schemas.microsoft.com/office/drawing/2014/chart" uri="{C3380CC4-5D6E-409C-BE32-E72D297353CC}">
                <c16:uniqueId val="{00000011-93E4-414E-A151-B5C3A6C43C1B}"/>
              </c:ext>
            </c:extLst>
          </c:dPt>
          <c:dPt>
            <c:idx val="9"/>
            <c:bubble3D val="0"/>
            <c:spPr>
              <a:solidFill>
                <a:srgbClr val="15001B"/>
              </a:solidFill>
              <a:ln w="9525">
                <a:solidFill>
                  <a:schemeClr val="lt1"/>
                </a:solidFill>
              </a:ln>
              <a:effectLst/>
            </c:spPr>
            <c:extLst>
              <c:ext xmlns:c16="http://schemas.microsoft.com/office/drawing/2014/chart" uri="{C3380CC4-5D6E-409C-BE32-E72D297353CC}">
                <c16:uniqueId val="{00000013-93E4-414E-A151-B5C3A6C43C1B}"/>
              </c:ext>
            </c:extLst>
          </c:dPt>
          <c:dPt>
            <c:idx val="10"/>
            <c:bubble3D val="0"/>
            <c:spPr>
              <a:solidFill>
                <a:srgbClr val="15001B"/>
              </a:solidFill>
              <a:ln w="9525">
                <a:solidFill>
                  <a:schemeClr val="lt1"/>
                </a:solidFill>
              </a:ln>
              <a:effectLst/>
            </c:spPr>
            <c:extLst>
              <c:ext xmlns:c16="http://schemas.microsoft.com/office/drawing/2014/chart" uri="{C3380CC4-5D6E-409C-BE32-E72D297353CC}">
                <c16:uniqueId val="{00000015-93E4-414E-A151-B5C3A6C43C1B}"/>
              </c:ext>
            </c:extLst>
          </c:dPt>
          <c:dPt>
            <c:idx val="11"/>
            <c:bubble3D val="0"/>
            <c:spPr>
              <a:solidFill>
                <a:srgbClr val="15001B"/>
              </a:solidFill>
              <a:ln w="9525">
                <a:solidFill>
                  <a:schemeClr val="lt1"/>
                </a:solidFill>
              </a:ln>
              <a:effectLst/>
            </c:spPr>
            <c:extLst>
              <c:ext xmlns:c16="http://schemas.microsoft.com/office/drawing/2014/chart" uri="{C3380CC4-5D6E-409C-BE32-E72D297353CC}">
                <c16:uniqueId val="{00000017-93E4-414E-A151-B5C3A6C43C1B}"/>
              </c:ext>
            </c:extLst>
          </c:dPt>
          <c:dPt>
            <c:idx val="12"/>
            <c:bubble3D val="0"/>
            <c:spPr>
              <a:solidFill>
                <a:srgbClr val="15001B"/>
              </a:solidFill>
              <a:ln w="9525">
                <a:solidFill>
                  <a:schemeClr val="lt1"/>
                </a:solidFill>
              </a:ln>
              <a:effectLst/>
            </c:spPr>
            <c:extLst>
              <c:ext xmlns:c16="http://schemas.microsoft.com/office/drawing/2014/chart" uri="{C3380CC4-5D6E-409C-BE32-E72D297353CC}">
                <c16:uniqueId val="{00000019-93E4-414E-A151-B5C3A6C43C1B}"/>
              </c:ext>
            </c:extLst>
          </c:dPt>
          <c:dPt>
            <c:idx val="13"/>
            <c:bubble3D val="0"/>
            <c:spPr>
              <a:solidFill>
                <a:srgbClr val="15001B"/>
              </a:solidFill>
              <a:ln w="9525">
                <a:solidFill>
                  <a:schemeClr val="lt1"/>
                </a:solidFill>
              </a:ln>
              <a:effectLst/>
            </c:spPr>
            <c:extLst>
              <c:ext xmlns:c16="http://schemas.microsoft.com/office/drawing/2014/chart" uri="{C3380CC4-5D6E-409C-BE32-E72D297353CC}">
                <c16:uniqueId val="{0000001B-93E4-414E-A151-B5C3A6C43C1B}"/>
              </c:ext>
            </c:extLst>
          </c:dPt>
          <c:dPt>
            <c:idx val="14"/>
            <c:bubble3D val="0"/>
            <c:spPr>
              <a:solidFill>
                <a:srgbClr val="15001B"/>
              </a:solidFill>
              <a:ln w="9525">
                <a:solidFill>
                  <a:schemeClr val="lt1"/>
                </a:solidFill>
              </a:ln>
              <a:effectLst/>
            </c:spPr>
            <c:extLst>
              <c:ext xmlns:c16="http://schemas.microsoft.com/office/drawing/2014/chart" uri="{C3380CC4-5D6E-409C-BE32-E72D297353CC}">
                <c16:uniqueId val="{0000001D-93E4-414E-A151-B5C3A6C43C1B}"/>
              </c:ext>
            </c:extLst>
          </c:dPt>
          <c:dPt>
            <c:idx val="15"/>
            <c:bubble3D val="0"/>
            <c:spPr>
              <a:solidFill>
                <a:srgbClr val="15001B"/>
              </a:solidFill>
              <a:ln w="9525">
                <a:solidFill>
                  <a:schemeClr val="lt1"/>
                </a:solidFill>
              </a:ln>
              <a:effectLst/>
            </c:spPr>
            <c:extLst>
              <c:ext xmlns:c16="http://schemas.microsoft.com/office/drawing/2014/chart" uri="{C3380CC4-5D6E-409C-BE32-E72D297353CC}">
                <c16:uniqueId val="{0000001F-93E4-414E-A151-B5C3A6C43C1B}"/>
              </c:ext>
            </c:extLst>
          </c:dPt>
          <c:dPt>
            <c:idx val="16"/>
            <c:bubble3D val="0"/>
            <c:spPr>
              <a:solidFill>
                <a:srgbClr val="15001B"/>
              </a:solidFill>
              <a:ln w="9525">
                <a:solidFill>
                  <a:schemeClr val="lt1"/>
                </a:solidFill>
              </a:ln>
              <a:effectLst/>
            </c:spPr>
            <c:extLst>
              <c:ext xmlns:c16="http://schemas.microsoft.com/office/drawing/2014/chart" uri="{C3380CC4-5D6E-409C-BE32-E72D297353CC}">
                <c16:uniqueId val="{00000021-93E4-414E-A151-B5C3A6C43C1B}"/>
              </c:ext>
            </c:extLst>
          </c:dPt>
          <c:dPt>
            <c:idx val="17"/>
            <c:bubble3D val="0"/>
            <c:spPr>
              <a:solidFill>
                <a:srgbClr val="15001B"/>
              </a:solidFill>
              <a:ln w="9525">
                <a:solidFill>
                  <a:schemeClr val="lt1"/>
                </a:solidFill>
              </a:ln>
              <a:effectLst/>
            </c:spPr>
            <c:extLst>
              <c:ext xmlns:c16="http://schemas.microsoft.com/office/drawing/2014/chart" uri="{C3380CC4-5D6E-409C-BE32-E72D297353CC}">
                <c16:uniqueId val="{00000023-93E4-414E-A151-B5C3A6C43C1B}"/>
              </c:ext>
            </c:extLst>
          </c:dPt>
          <c:dPt>
            <c:idx val="18"/>
            <c:bubble3D val="0"/>
            <c:spPr>
              <a:solidFill>
                <a:srgbClr val="15001B"/>
              </a:solidFill>
              <a:ln w="9525">
                <a:solidFill>
                  <a:schemeClr val="lt1"/>
                </a:solidFill>
              </a:ln>
              <a:effectLst/>
            </c:spPr>
            <c:extLst>
              <c:ext xmlns:c16="http://schemas.microsoft.com/office/drawing/2014/chart" uri="{C3380CC4-5D6E-409C-BE32-E72D297353CC}">
                <c16:uniqueId val="{00000025-93E4-414E-A151-B5C3A6C43C1B}"/>
              </c:ext>
            </c:extLst>
          </c:dPt>
          <c:dPt>
            <c:idx val="19"/>
            <c:bubble3D val="0"/>
            <c:spPr>
              <a:solidFill>
                <a:srgbClr val="15001B"/>
              </a:solidFill>
              <a:ln w="9525">
                <a:solidFill>
                  <a:schemeClr val="lt1"/>
                </a:solidFill>
              </a:ln>
              <a:effectLst/>
            </c:spPr>
            <c:extLst>
              <c:ext xmlns:c16="http://schemas.microsoft.com/office/drawing/2014/chart" uri="{C3380CC4-5D6E-409C-BE32-E72D297353CC}">
                <c16:uniqueId val="{00000027-93E4-414E-A151-B5C3A6C43C1B}"/>
              </c:ext>
            </c:extLst>
          </c:dPt>
          <c:dPt>
            <c:idx val="20"/>
            <c:bubble3D val="0"/>
            <c:spPr>
              <a:solidFill>
                <a:srgbClr val="15001B"/>
              </a:solidFill>
              <a:ln w="9525">
                <a:solidFill>
                  <a:schemeClr val="lt1"/>
                </a:solidFill>
              </a:ln>
              <a:effectLst/>
            </c:spPr>
            <c:extLst>
              <c:ext xmlns:c16="http://schemas.microsoft.com/office/drawing/2014/chart" uri="{C3380CC4-5D6E-409C-BE32-E72D297353CC}">
                <c16:uniqueId val="{00000029-93E4-414E-A151-B5C3A6C43C1B}"/>
              </c:ext>
            </c:extLst>
          </c:dPt>
          <c:dPt>
            <c:idx val="21"/>
            <c:bubble3D val="0"/>
            <c:spPr>
              <a:solidFill>
                <a:srgbClr val="15001B"/>
              </a:solidFill>
              <a:ln w="9525">
                <a:solidFill>
                  <a:schemeClr val="lt1"/>
                </a:solidFill>
              </a:ln>
              <a:effectLst/>
            </c:spPr>
            <c:extLst>
              <c:ext xmlns:c16="http://schemas.microsoft.com/office/drawing/2014/chart" uri="{C3380CC4-5D6E-409C-BE32-E72D297353CC}">
                <c16:uniqueId val="{0000002B-93E4-414E-A151-B5C3A6C43C1B}"/>
              </c:ext>
            </c:extLst>
          </c:dPt>
          <c:dPt>
            <c:idx val="22"/>
            <c:bubble3D val="0"/>
            <c:spPr>
              <a:solidFill>
                <a:srgbClr val="15001B"/>
              </a:solidFill>
              <a:ln w="9525">
                <a:solidFill>
                  <a:schemeClr val="lt1"/>
                </a:solidFill>
              </a:ln>
              <a:effectLst/>
            </c:spPr>
            <c:extLst>
              <c:ext xmlns:c16="http://schemas.microsoft.com/office/drawing/2014/chart" uri="{C3380CC4-5D6E-409C-BE32-E72D297353CC}">
                <c16:uniqueId val="{0000002D-93E4-414E-A151-B5C3A6C43C1B}"/>
              </c:ext>
            </c:extLst>
          </c:dPt>
          <c:dPt>
            <c:idx val="23"/>
            <c:bubble3D val="0"/>
            <c:spPr>
              <a:solidFill>
                <a:srgbClr val="15001B"/>
              </a:solidFill>
              <a:ln w="9525">
                <a:solidFill>
                  <a:schemeClr val="lt1"/>
                </a:solidFill>
              </a:ln>
              <a:effectLst/>
            </c:spPr>
            <c:extLst>
              <c:ext xmlns:c16="http://schemas.microsoft.com/office/drawing/2014/chart" uri="{C3380CC4-5D6E-409C-BE32-E72D297353CC}">
                <c16:uniqueId val="{0000002F-93E4-414E-A151-B5C3A6C43C1B}"/>
              </c:ext>
            </c:extLst>
          </c:dPt>
          <c:dPt>
            <c:idx val="24"/>
            <c:bubble3D val="0"/>
            <c:spPr>
              <a:solidFill>
                <a:srgbClr val="15001B"/>
              </a:solidFill>
              <a:ln w="9525">
                <a:solidFill>
                  <a:schemeClr val="lt1"/>
                </a:solidFill>
              </a:ln>
              <a:effectLst/>
            </c:spPr>
            <c:extLst>
              <c:ext xmlns:c16="http://schemas.microsoft.com/office/drawing/2014/chart" uri="{C3380CC4-5D6E-409C-BE32-E72D297353CC}">
                <c16:uniqueId val="{00000031-93E4-414E-A151-B5C3A6C43C1B}"/>
              </c:ext>
            </c:extLst>
          </c:dPt>
          <c:dPt>
            <c:idx val="25"/>
            <c:bubble3D val="0"/>
            <c:spPr>
              <a:solidFill>
                <a:srgbClr val="15001B"/>
              </a:solidFill>
              <a:ln w="9525">
                <a:solidFill>
                  <a:schemeClr val="lt1"/>
                </a:solidFill>
              </a:ln>
              <a:effectLst/>
            </c:spPr>
            <c:extLst>
              <c:ext xmlns:c16="http://schemas.microsoft.com/office/drawing/2014/chart" uri="{C3380CC4-5D6E-409C-BE32-E72D297353CC}">
                <c16:uniqueId val="{00000033-93E4-414E-A151-B5C3A6C43C1B}"/>
              </c:ext>
            </c:extLst>
          </c:dPt>
          <c:dPt>
            <c:idx val="26"/>
            <c:bubble3D val="0"/>
            <c:spPr>
              <a:solidFill>
                <a:srgbClr val="15001B"/>
              </a:solidFill>
              <a:ln w="9525">
                <a:solidFill>
                  <a:schemeClr val="lt1"/>
                </a:solidFill>
              </a:ln>
              <a:effectLst/>
            </c:spPr>
            <c:extLst>
              <c:ext xmlns:c16="http://schemas.microsoft.com/office/drawing/2014/chart" uri="{C3380CC4-5D6E-409C-BE32-E72D297353CC}">
                <c16:uniqueId val="{00000035-93E4-414E-A151-B5C3A6C43C1B}"/>
              </c:ext>
            </c:extLst>
          </c:dPt>
          <c:dPt>
            <c:idx val="27"/>
            <c:bubble3D val="0"/>
            <c:spPr>
              <a:solidFill>
                <a:srgbClr val="15001B"/>
              </a:solidFill>
              <a:ln w="9525">
                <a:solidFill>
                  <a:schemeClr val="lt1"/>
                </a:solidFill>
              </a:ln>
              <a:effectLst/>
            </c:spPr>
            <c:extLst>
              <c:ext xmlns:c16="http://schemas.microsoft.com/office/drawing/2014/chart" uri="{C3380CC4-5D6E-409C-BE32-E72D297353CC}">
                <c16:uniqueId val="{00000037-93E4-414E-A151-B5C3A6C43C1B}"/>
              </c:ext>
            </c:extLst>
          </c:dPt>
          <c:dPt>
            <c:idx val="28"/>
            <c:bubble3D val="0"/>
            <c:spPr>
              <a:solidFill>
                <a:srgbClr val="15001B"/>
              </a:solidFill>
              <a:ln w="9525">
                <a:solidFill>
                  <a:schemeClr val="lt1"/>
                </a:solidFill>
              </a:ln>
              <a:effectLst/>
            </c:spPr>
            <c:extLst>
              <c:ext xmlns:c16="http://schemas.microsoft.com/office/drawing/2014/chart" uri="{C3380CC4-5D6E-409C-BE32-E72D297353CC}">
                <c16:uniqueId val="{00000039-93E4-414E-A151-B5C3A6C43C1B}"/>
              </c:ext>
            </c:extLst>
          </c:dPt>
          <c:dPt>
            <c:idx val="29"/>
            <c:bubble3D val="0"/>
            <c:spPr>
              <a:solidFill>
                <a:srgbClr val="15001B"/>
              </a:solidFill>
              <a:ln w="9525">
                <a:solidFill>
                  <a:schemeClr val="lt1"/>
                </a:solidFill>
              </a:ln>
              <a:effectLst/>
            </c:spPr>
            <c:extLst>
              <c:ext xmlns:c16="http://schemas.microsoft.com/office/drawing/2014/chart" uri="{C3380CC4-5D6E-409C-BE32-E72D297353CC}">
                <c16:uniqueId val="{0000003B-93E4-414E-A151-B5C3A6C43C1B}"/>
              </c:ext>
            </c:extLst>
          </c:dPt>
          <c:val>
            <c:numRef>
              <c:f>Processing!$G$11:$G$40</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3C-93E4-414E-A151-B5C3A6C43C1B}"/>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ln w="9525"/>
          </c:spPr>
          <c:dPt>
            <c:idx val="0"/>
            <c:bubble3D val="0"/>
            <c:spPr>
              <a:noFill/>
              <a:ln w="9525">
                <a:solidFill>
                  <a:schemeClr val="lt1"/>
                </a:solidFill>
              </a:ln>
              <a:effectLst/>
            </c:spPr>
            <c:extLst>
              <c:ext xmlns:c16="http://schemas.microsoft.com/office/drawing/2014/chart" uri="{C3380CC4-5D6E-409C-BE32-E72D297353CC}">
                <c16:uniqueId val="{0000003E-93E4-414E-A151-B5C3A6C43C1B}"/>
              </c:ext>
            </c:extLst>
          </c:dPt>
          <c:dPt>
            <c:idx val="1"/>
            <c:bubble3D val="0"/>
            <c:spPr>
              <a:solidFill>
                <a:srgbClr val="FF00FF"/>
              </a:solidFill>
              <a:ln w="9525">
                <a:solidFill>
                  <a:schemeClr val="lt1"/>
                </a:solidFill>
              </a:ln>
              <a:effectLst/>
            </c:spPr>
            <c:extLst>
              <c:ext xmlns:c16="http://schemas.microsoft.com/office/drawing/2014/chart" uri="{C3380CC4-5D6E-409C-BE32-E72D297353CC}">
                <c16:uniqueId val="{00000040-93E4-414E-A151-B5C3A6C43C1B}"/>
              </c:ext>
            </c:extLst>
          </c:dPt>
          <c:dPt>
            <c:idx val="2"/>
            <c:bubble3D val="0"/>
            <c:spPr>
              <a:solidFill>
                <a:srgbClr val="00B0F0"/>
              </a:solidFill>
              <a:ln w="9525">
                <a:solidFill>
                  <a:schemeClr val="lt1"/>
                </a:solidFill>
              </a:ln>
              <a:effectLst/>
            </c:spPr>
            <c:extLst>
              <c:ext xmlns:c16="http://schemas.microsoft.com/office/drawing/2014/chart" uri="{C3380CC4-5D6E-409C-BE32-E72D297353CC}">
                <c16:uniqueId val="{00000042-93E4-414E-A151-B5C3A6C43C1B}"/>
              </c:ext>
            </c:extLst>
          </c:dPt>
          <c:dPt>
            <c:idx val="3"/>
            <c:bubble3D val="0"/>
            <c:spPr>
              <a:solidFill>
                <a:srgbClr val="E002FE">
                  <a:alpha val="44706"/>
                </a:srgbClr>
              </a:solidFill>
              <a:ln w="9525">
                <a:solidFill>
                  <a:schemeClr val="lt1"/>
                </a:solidFill>
              </a:ln>
              <a:effectLst/>
            </c:spPr>
            <c:extLst>
              <c:ext xmlns:c16="http://schemas.microsoft.com/office/drawing/2014/chart" uri="{C3380CC4-5D6E-409C-BE32-E72D297353CC}">
                <c16:uniqueId val="{00000044-93E4-414E-A151-B5C3A6C43C1B}"/>
              </c:ext>
            </c:extLst>
          </c:dPt>
          <c:dPt>
            <c:idx val="4"/>
            <c:bubble3D val="0"/>
            <c:spPr>
              <a:solidFill>
                <a:srgbClr val="00B0F0">
                  <a:alpha val="50000"/>
                </a:srgbClr>
              </a:solidFill>
              <a:ln w="9525">
                <a:solidFill>
                  <a:schemeClr val="lt1"/>
                </a:solidFill>
              </a:ln>
              <a:effectLst/>
            </c:spPr>
            <c:extLst>
              <c:ext xmlns:c16="http://schemas.microsoft.com/office/drawing/2014/chart" uri="{C3380CC4-5D6E-409C-BE32-E72D297353CC}">
                <c16:uniqueId val="{00000045-62DE-4D4E-94D0-F1C8BDCCACB0}"/>
              </c:ext>
            </c:extLst>
          </c:dPt>
          <c:dPt>
            <c:idx val="5"/>
            <c:bubble3D val="0"/>
            <c:spPr>
              <a:noFill/>
              <a:ln w="9525">
                <a:solidFill>
                  <a:schemeClr val="lt1"/>
                </a:solidFill>
              </a:ln>
              <a:effectLst/>
            </c:spPr>
            <c:extLst>
              <c:ext xmlns:c16="http://schemas.microsoft.com/office/drawing/2014/chart" uri="{C3380CC4-5D6E-409C-BE32-E72D297353CC}">
                <c16:uniqueId val="{00000047-7F38-4D28-ACB3-8CC1841AAB01}"/>
              </c:ext>
            </c:extLst>
          </c:dPt>
          <c:val>
            <c:numRef>
              <c:f>Processing!$H$11:$H$16</c:f>
              <c:numCache>
                <c:formatCode>General</c:formatCode>
                <c:ptCount val="6"/>
                <c:pt idx="0">
                  <c:v>7</c:v>
                </c:pt>
                <c:pt idx="1">
                  <c:v>1</c:v>
                </c:pt>
                <c:pt idx="2">
                  <c:v>0</c:v>
                </c:pt>
                <c:pt idx="3">
                  <c:v>8</c:v>
                </c:pt>
                <c:pt idx="4">
                  <c:v>14</c:v>
                </c:pt>
                <c:pt idx="5">
                  <c:v>0</c:v>
                </c:pt>
              </c:numCache>
            </c:numRef>
          </c:val>
          <c:extLst>
            <c:ext xmlns:c16="http://schemas.microsoft.com/office/drawing/2014/chart" uri="{C3380CC4-5D6E-409C-BE32-E72D297353CC}">
              <c16:uniqueId val="{00000043-93E4-414E-A151-B5C3A6C43C1B}"/>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Processing!$H$18</c:f>
              <c:strCache>
                <c:ptCount val="1"/>
                <c:pt idx="0">
                  <c:v>back Top</c:v>
                </c:pt>
              </c:strCache>
            </c:strRef>
          </c:tx>
          <c:spPr>
            <a:solidFill>
              <a:srgbClr val="15001B"/>
            </a:solidFill>
            <a:ln>
              <a:solidFill>
                <a:schemeClr val="bg1"/>
              </a:solidFill>
            </a:ln>
            <a:effectLst/>
          </c:spPr>
          <c:invertIfNegative val="0"/>
          <c:val>
            <c:numRef>
              <c:f>Processing!$H$19:$H$32</c:f>
              <c:numCache>
                <c:formatCode>General</c:formatCode>
                <c:ptCount val="14"/>
                <c:pt idx="0">
                  <c:v>1</c:v>
                </c:pt>
                <c:pt idx="1">
                  <c:v>1</c:v>
                </c:pt>
                <c:pt idx="2">
                  <c:v>1</c:v>
                </c:pt>
                <c:pt idx="3">
                  <c:v>1</c:v>
                </c:pt>
                <c:pt idx="4">
                  <c:v>1</c:v>
                </c:pt>
                <c:pt idx="5">
                  <c:v>1</c:v>
                </c:pt>
                <c:pt idx="6">
                  <c:v>1</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D-47DA-44AE-A30D-238D31ED00C3}"/>
            </c:ext>
          </c:extLst>
        </c:ser>
        <c:ser>
          <c:idx val="0"/>
          <c:order val="1"/>
          <c:spPr>
            <a:solidFill>
              <a:srgbClr val="0C3A68"/>
            </a:solidFill>
            <a:ln>
              <a:solidFill>
                <a:schemeClr val="lt1"/>
              </a:solidFill>
            </a:ln>
            <a:effectLst/>
          </c:spPr>
          <c:invertIfNegative val="0"/>
          <c:dPt>
            <c:idx val="0"/>
            <c:invertIfNegative val="0"/>
            <c:bubble3D val="0"/>
            <c:spPr>
              <a:solidFill>
                <a:srgbClr val="0A5885"/>
              </a:solidFill>
              <a:ln>
                <a:solidFill>
                  <a:schemeClr val="lt1"/>
                </a:solidFill>
              </a:ln>
              <a:effectLst/>
            </c:spPr>
            <c:extLst>
              <c:ext xmlns:c16="http://schemas.microsoft.com/office/drawing/2014/chart" uri="{C3380CC4-5D6E-409C-BE32-E72D297353CC}">
                <c16:uniqueId val="{0000001C-47DA-44AE-A30D-238D31ED00C3}"/>
              </c:ext>
            </c:extLst>
          </c:dPt>
          <c:dPt>
            <c:idx val="1"/>
            <c:invertIfNegative val="0"/>
            <c:bubble3D val="0"/>
            <c:spPr>
              <a:solidFill>
                <a:srgbClr val="0A5885"/>
              </a:solidFill>
              <a:ln>
                <a:solidFill>
                  <a:schemeClr val="lt1"/>
                </a:solidFill>
              </a:ln>
              <a:effectLst/>
            </c:spPr>
            <c:extLst>
              <c:ext xmlns:c16="http://schemas.microsoft.com/office/drawing/2014/chart" uri="{C3380CC4-5D6E-409C-BE32-E72D297353CC}">
                <c16:uniqueId val="{0000001B-47DA-44AE-A30D-238D31ED00C3}"/>
              </c:ext>
            </c:extLst>
          </c:dPt>
          <c:dPt>
            <c:idx val="2"/>
            <c:invertIfNegative val="0"/>
            <c:bubble3D val="0"/>
            <c:spPr>
              <a:solidFill>
                <a:srgbClr val="0A5885"/>
              </a:solidFill>
              <a:ln>
                <a:solidFill>
                  <a:schemeClr val="lt1"/>
                </a:solidFill>
              </a:ln>
              <a:effectLst/>
            </c:spPr>
            <c:extLst>
              <c:ext xmlns:c16="http://schemas.microsoft.com/office/drawing/2014/chart" uri="{C3380CC4-5D6E-409C-BE32-E72D297353CC}">
                <c16:uniqueId val="{0000001A-47DA-44AE-A30D-238D31ED00C3}"/>
              </c:ext>
            </c:extLst>
          </c:dPt>
          <c:dPt>
            <c:idx val="3"/>
            <c:invertIfNegative val="0"/>
            <c:bubble3D val="0"/>
            <c:spPr>
              <a:solidFill>
                <a:srgbClr val="0A5885"/>
              </a:solidFill>
              <a:ln>
                <a:solidFill>
                  <a:schemeClr val="lt1"/>
                </a:solidFill>
              </a:ln>
              <a:effectLst/>
            </c:spPr>
            <c:extLst>
              <c:ext xmlns:c16="http://schemas.microsoft.com/office/drawing/2014/chart" uri="{C3380CC4-5D6E-409C-BE32-E72D297353CC}">
                <c16:uniqueId val="{00000019-47DA-44AE-A30D-238D31ED00C3}"/>
              </c:ext>
            </c:extLst>
          </c:dPt>
          <c:dPt>
            <c:idx val="4"/>
            <c:invertIfNegative val="0"/>
            <c:bubble3D val="0"/>
            <c:spPr>
              <a:solidFill>
                <a:srgbClr val="0A5885"/>
              </a:solidFill>
              <a:ln>
                <a:solidFill>
                  <a:schemeClr val="lt1"/>
                </a:solidFill>
              </a:ln>
              <a:effectLst/>
            </c:spPr>
            <c:extLst>
              <c:ext xmlns:c16="http://schemas.microsoft.com/office/drawing/2014/chart" uri="{C3380CC4-5D6E-409C-BE32-E72D297353CC}">
                <c16:uniqueId val="{00000018-47DA-44AE-A30D-238D31ED00C3}"/>
              </c:ext>
            </c:extLst>
          </c:dPt>
          <c:dPt>
            <c:idx val="5"/>
            <c:invertIfNegative val="0"/>
            <c:bubble3D val="0"/>
            <c:spPr>
              <a:solidFill>
                <a:srgbClr val="0A5885"/>
              </a:solidFill>
              <a:ln>
                <a:solidFill>
                  <a:schemeClr val="lt1"/>
                </a:solidFill>
              </a:ln>
              <a:effectLst/>
            </c:spPr>
            <c:extLst>
              <c:ext xmlns:c16="http://schemas.microsoft.com/office/drawing/2014/chart" uri="{C3380CC4-5D6E-409C-BE32-E72D297353CC}">
                <c16:uniqueId val="{00000017-47DA-44AE-A30D-238D31ED00C3}"/>
              </c:ext>
            </c:extLst>
          </c:dPt>
          <c:dPt>
            <c:idx val="6"/>
            <c:invertIfNegative val="0"/>
            <c:bubble3D val="0"/>
            <c:spPr>
              <a:solidFill>
                <a:srgbClr val="0A5885"/>
              </a:solidFill>
              <a:ln>
                <a:solidFill>
                  <a:schemeClr val="lt1"/>
                </a:solidFill>
              </a:ln>
              <a:effectLst/>
            </c:spPr>
            <c:extLst>
              <c:ext xmlns:c16="http://schemas.microsoft.com/office/drawing/2014/chart" uri="{C3380CC4-5D6E-409C-BE32-E72D297353CC}">
                <c16:uniqueId val="{00000016-47DA-44AE-A30D-238D31ED00C3}"/>
              </c:ext>
            </c:extLst>
          </c:dPt>
          <c:dPt>
            <c:idx val="7"/>
            <c:invertIfNegative val="0"/>
            <c:bubble3D val="0"/>
            <c:spPr>
              <a:solidFill>
                <a:srgbClr val="700181"/>
              </a:solidFill>
              <a:ln>
                <a:solidFill>
                  <a:schemeClr val="lt1"/>
                </a:solidFill>
              </a:ln>
              <a:effectLst/>
            </c:spPr>
            <c:extLst>
              <c:ext xmlns:c16="http://schemas.microsoft.com/office/drawing/2014/chart" uri="{C3380CC4-5D6E-409C-BE32-E72D297353CC}">
                <c16:uniqueId val="{0000000D-E3EE-4C8B-8B59-12A0567E4AD0}"/>
              </c:ext>
            </c:extLst>
          </c:dPt>
          <c:dPt>
            <c:idx val="8"/>
            <c:invertIfNegative val="0"/>
            <c:bubble3D val="0"/>
            <c:spPr>
              <a:solidFill>
                <a:srgbClr val="700181"/>
              </a:solidFill>
              <a:ln>
                <a:solidFill>
                  <a:schemeClr val="lt1"/>
                </a:solidFill>
              </a:ln>
              <a:effectLst/>
            </c:spPr>
            <c:extLst>
              <c:ext xmlns:c16="http://schemas.microsoft.com/office/drawing/2014/chart" uri="{C3380CC4-5D6E-409C-BE32-E72D297353CC}">
                <c16:uniqueId val="{0000000C-E3EE-4C8B-8B59-12A0567E4AD0}"/>
              </c:ext>
            </c:extLst>
          </c:dPt>
          <c:dPt>
            <c:idx val="9"/>
            <c:invertIfNegative val="0"/>
            <c:bubble3D val="0"/>
            <c:spPr>
              <a:solidFill>
                <a:srgbClr val="700181"/>
              </a:solidFill>
              <a:ln>
                <a:solidFill>
                  <a:schemeClr val="lt1"/>
                </a:solidFill>
              </a:ln>
              <a:effectLst/>
            </c:spPr>
            <c:extLst>
              <c:ext xmlns:c16="http://schemas.microsoft.com/office/drawing/2014/chart" uri="{C3380CC4-5D6E-409C-BE32-E72D297353CC}">
                <c16:uniqueId val="{0000000B-E3EE-4C8B-8B59-12A0567E4AD0}"/>
              </c:ext>
            </c:extLst>
          </c:dPt>
          <c:dPt>
            <c:idx val="10"/>
            <c:invertIfNegative val="0"/>
            <c:bubble3D val="0"/>
            <c:spPr>
              <a:solidFill>
                <a:srgbClr val="700181"/>
              </a:solidFill>
              <a:ln>
                <a:solidFill>
                  <a:schemeClr val="lt1"/>
                </a:solidFill>
              </a:ln>
              <a:effectLst/>
            </c:spPr>
            <c:extLst>
              <c:ext xmlns:c16="http://schemas.microsoft.com/office/drawing/2014/chart" uri="{C3380CC4-5D6E-409C-BE32-E72D297353CC}">
                <c16:uniqueId val="{0000000A-E3EE-4C8B-8B59-12A0567E4AD0}"/>
              </c:ext>
            </c:extLst>
          </c:dPt>
          <c:dPt>
            <c:idx val="11"/>
            <c:invertIfNegative val="0"/>
            <c:bubble3D val="0"/>
            <c:spPr>
              <a:solidFill>
                <a:srgbClr val="700181"/>
              </a:solidFill>
              <a:ln>
                <a:solidFill>
                  <a:schemeClr val="lt1"/>
                </a:solidFill>
              </a:ln>
              <a:effectLst/>
            </c:spPr>
            <c:extLst>
              <c:ext xmlns:c16="http://schemas.microsoft.com/office/drawing/2014/chart" uri="{C3380CC4-5D6E-409C-BE32-E72D297353CC}">
                <c16:uniqueId val="{00000009-E3EE-4C8B-8B59-12A0567E4AD0}"/>
              </c:ext>
            </c:extLst>
          </c:dPt>
          <c:dPt>
            <c:idx val="12"/>
            <c:invertIfNegative val="0"/>
            <c:bubble3D val="0"/>
            <c:spPr>
              <a:solidFill>
                <a:srgbClr val="700181"/>
              </a:solidFill>
              <a:ln>
                <a:solidFill>
                  <a:schemeClr val="lt1"/>
                </a:solidFill>
              </a:ln>
              <a:effectLst/>
            </c:spPr>
            <c:extLst>
              <c:ext xmlns:c16="http://schemas.microsoft.com/office/drawing/2014/chart" uri="{C3380CC4-5D6E-409C-BE32-E72D297353CC}">
                <c16:uniqueId val="{0000001F-47DA-44AE-A30D-238D31ED00C3}"/>
              </c:ext>
            </c:extLst>
          </c:dPt>
          <c:val>
            <c:numRef>
              <c:f>Processing!$H$34:$H$47</c:f>
              <c:numCache>
                <c:formatCode>General</c:formatCode>
                <c:ptCount val="14"/>
                <c:pt idx="0">
                  <c:v>1</c:v>
                </c:pt>
                <c:pt idx="1">
                  <c:v>1</c:v>
                </c:pt>
                <c:pt idx="2">
                  <c:v>1</c:v>
                </c:pt>
                <c:pt idx="3">
                  <c:v>1</c:v>
                </c:pt>
                <c:pt idx="4">
                  <c:v>1</c:v>
                </c:pt>
                <c:pt idx="5">
                  <c:v>1</c:v>
                </c:pt>
                <c:pt idx="6">
                  <c:v>1</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E3EE-4C8B-8B59-12A0567E4AD0}"/>
            </c:ext>
          </c:extLst>
        </c:ser>
        <c:ser>
          <c:idx val="1"/>
          <c:order val="2"/>
          <c:spPr>
            <a:solidFill>
              <a:srgbClr val="00B0F0"/>
            </a:solidFill>
            <a:ln>
              <a:solidFill>
                <a:schemeClr val="bg1"/>
              </a:solidFill>
            </a:ln>
            <a:effectLst/>
          </c:spPr>
          <c:invertIfNegative val="0"/>
          <c:dPt>
            <c:idx val="7"/>
            <c:invertIfNegative val="0"/>
            <c:bubble3D val="0"/>
            <c:spPr>
              <a:solidFill>
                <a:srgbClr val="FF00FF"/>
              </a:solidFill>
              <a:ln>
                <a:solidFill>
                  <a:schemeClr val="bg1"/>
                </a:solidFill>
              </a:ln>
              <a:effectLst/>
            </c:spPr>
            <c:extLst>
              <c:ext xmlns:c16="http://schemas.microsoft.com/office/drawing/2014/chart" uri="{C3380CC4-5D6E-409C-BE32-E72D297353CC}">
                <c16:uniqueId val="{00000003-E3EE-4C8B-8B59-12A0567E4AD0}"/>
              </c:ext>
            </c:extLst>
          </c:dPt>
          <c:dPt>
            <c:idx val="8"/>
            <c:invertIfNegative val="0"/>
            <c:bubble3D val="0"/>
            <c:spPr>
              <a:solidFill>
                <a:srgbClr val="FF00FF"/>
              </a:solidFill>
              <a:ln>
                <a:solidFill>
                  <a:schemeClr val="bg1"/>
                </a:solidFill>
              </a:ln>
              <a:effectLst/>
            </c:spPr>
            <c:extLst>
              <c:ext xmlns:c16="http://schemas.microsoft.com/office/drawing/2014/chart" uri="{C3380CC4-5D6E-409C-BE32-E72D297353CC}">
                <c16:uniqueId val="{00000004-E3EE-4C8B-8B59-12A0567E4AD0}"/>
              </c:ext>
            </c:extLst>
          </c:dPt>
          <c:dPt>
            <c:idx val="9"/>
            <c:invertIfNegative val="0"/>
            <c:bubble3D val="0"/>
            <c:spPr>
              <a:solidFill>
                <a:srgbClr val="FF00FF"/>
              </a:solidFill>
              <a:ln>
                <a:solidFill>
                  <a:schemeClr val="bg1"/>
                </a:solidFill>
              </a:ln>
              <a:effectLst/>
            </c:spPr>
            <c:extLst>
              <c:ext xmlns:c16="http://schemas.microsoft.com/office/drawing/2014/chart" uri="{C3380CC4-5D6E-409C-BE32-E72D297353CC}">
                <c16:uniqueId val="{00000005-E3EE-4C8B-8B59-12A0567E4AD0}"/>
              </c:ext>
            </c:extLst>
          </c:dPt>
          <c:dPt>
            <c:idx val="10"/>
            <c:invertIfNegative val="0"/>
            <c:bubble3D val="0"/>
            <c:spPr>
              <a:solidFill>
                <a:srgbClr val="FF00FF"/>
              </a:solidFill>
              <a:ln>
                <a:solidFill>
                  <a:schemeClr val="bg1"/>
                </a:solidFill>
              </a:ln>
              <a:effectLst/>
            </c:spPr>
            <c:extLst>
              <c:ext xmlns:c16="http://schemas.microsoft.com/office/drawing/2014/chart" uri="{C3380CC4-5D6E-409C-BE32-E72D297353CC}">
                <c16:uniqueId val="{00000006-E3EE-4C8B-8B59-12A0567E4AD0}"/>
              </c:ext>
            </c:extLst>
          </c:dPt>
          <c:dPt>
            <c:idx val="11"/>
            <c:invertIfNegative val="0"/>
            <c:bubble3D val="0"/>
            <c:spPr>
              <a:solidFill>
                <a:srgbClr val="FF00FF"/>
              </a:solidFill>
              <a:ln>
                <a:solidFill>
                  <a:schemeClr val="bg1"/>
                </a:solidFill>
              </a:ln>
              <a:effectLst/>
            </c:spPr>
            <c:extLst>
              <c:ext xmlns:c16="http://schemas.microsoft.com/office/drawing/2014/chart" uri="{C3380CC4-5D6E-409C-BE32-E72D297353CC}">
                <c16:uniqueId val="{00000007-E3EE-4C8B-8B59-12A0567E4AD0}"/>
              </c:ext>
            </c:extLst>
          </c:dPt>
          <c:dPt>
            <c:idx val="12"/>
            <c:invertIfNegative val="0"/>
            <c:bubble3D val="0"/>
            <c:spPr>
              <a:solidFill>
                <a:srgbClr val="FF00FF"/>
              </a:solidFill>
              <a:ln>
                <a:solidFill>
                  <a:schemeClr val="bg1"/>
                </a:solidFill>
              </a:ln>
              <a:effectLst/>
            </c:spPr>
            <c:extLst>
              <c:ext xmlns:c16="http://schemas.microsoft.com/office/drawing/2014/chart" uri="{C3380CC4-5D6E-409C-BE32-E72D297353CC}">
                <c16:uniqueId val="{00000008-E3EE-4C8B-8B59-12A0567E4AD0}"/>
              </c:ext>
            </c:extLst>
          </c:dPt>
          <c:dPt>
            <c:idx val="13"/>
            <c:invertIfNegative val="0"/>
            <c:bubble3D val="0"/>
            <c:spPr>
              <a:solidFill>
                <a:srgbClr val="FF00FF"/>
              </a:solidFill>
              <a:ln>
                <a:solidFill>
                  <a:schemeClr val="bg1"/>
                </a:solidFill>
              </a:ln>
              <a:effectLst/>
            </c:spPr>
            <c:extLst>
              <c:ext xmlns:c16="http://schemas.microsoft.com/office/drawing/2014/chart" uri="{C3380CC4-5D6E-409C-BE32-E72D297353CC}">
                <c16:uniqueId val="{0000001E-47DA-44AE-A30D-238D31ED00C3}"/>
              </c:ext>
            </c:extLst>
          </c:dPt>
          <c:val>
            <c:numRef>
              <c:f>Processing!$H$49:$H$62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E3EE-4C8B-8B59-12A0567E4AD0}"/>
            </c:ext>
          </c:extLst>
        </c:ser>
        <c:dLbls>
          <c:showLegendKey val="0"/>
          <c:showVal val="0"/>
          <c:showCatName val="0"/>
          <c:showSerName val="0"/>
          <c:showPercent val="0"/>
          <c:showBubbleSize val="0"/>
        </c:dLbls>
        <c:gapWidth val="0"/>
        <c:overlap val="100"/>
        <c:axId val="1213171856"/>
        <c:axId val="1213191536"/>
      </c:barChart>
      <c:catAx>
        <c:axId val="1213171856"/>
        <c:scaling>
          <c:orientation val="minMax"/>
        </c:scaling>
        <c:delete val="1"/>
        <c:axPos val="b"/>
        <c:majorTickMark val="none"/>
        <c:minorTickMark val="none"/>
        <c:tickLblPos val="nextTo"/>
        <c:crossAx val="1213191536"/>
        <c:crosses val="autoZero"/>
        <c:auto val="1"/>
        <c:lblAlgn val="ctr"/>
        <c:lblOffset val="100"/>
        <c:noMultiLvlLbl val="0"/>
      </c:catAx>
      <c:valAx>
        <c:axId val="1213191536"/>
        <c:scaling>
          <c:orientation val="minMax"/>
          <c:max val="1"/>
        </c:scaling>
        <c:delete val="1"/>
        <c:axPos val="l"/>
        <c:numFmt formatCode="General" sourceLinked="1"/>
        <c:majorTickMark val="none"/>
        <c:minorTickMark val="none"/>
        <c:tickLblPos val="nextTo"/>
        <c:crossAx val="121317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Processing!$S$3</c:f>
              <c:strCache>
                <c:ptCount val="1"/>
                <c:pt idx="0">
                  <c:v>dia1</c:v>
                </c:pt>
              </c:strCache>
            </c:strRef>
          </c:tx>
          <c:spPr>
            <a:noFill/>
            <a:ln>
              <a:solidFill>
                <a:srgbClr val="15001B"/>
              </a:solidFill>
            </a:ln>
          </c:spPr>
          <c:dPt>
            <c:idx val="0"/>
            <c:bubble3D val="0"/>
            <c:spPr>
              <a:solidFill>
                <a:srgbClr val="15001B"/>
              </a:solidFill>
              <a:ln w="19050">
                <a:solidFill>
                  <a:srgbClr val="15001B"/>
                </a:solidFill>
              </a:ln>
              <a:effectLst/>
            </c:spPr>
            <c:extLst>
              <c:ext xmlns:c16="http://schemas.microsoft.com/office/drawing/2014/chart" uri="{C3380CC4-5D6E-409C-BE32-E72D297353CC}">
                <c16:uniqueId val="{00000001-A223-45DF-9014-C35860163CAD}"/>
              </c:ext>
            </c:extLst>
          </c:dPt>
          <c:dPt>
            <c:idx val="1"/>
            <c:bubble3D val="0"/>
            <c:spPr>
              <a:noFill/>
              <a:ln w="19050">
                <a:solidFill>
                  <a:srgbClr val="15001B"/>
                </a:solidFill>
              </a:ln>
              <a:effectLst/>
            </c:spPr>
            <c:extLst>
              <c:ext xmlns:c16="http://schemas.microsoft.com/office/drawing/2014/chart" uri="{C3380CC4-5D6E-409C-BE32-E72D297353CC}">
                <c16:uniqueId val="{00000003-A223-45DF-9014-C35860163CAD}"/>
              </c:ext>
            </c:extLst>
          </c:dPt>
          <c:dPt>
            <c:idx val="2"/>
            <c:bubble3D val="0"/>
            <c:spPr>
              <a:noFill/>
              <a:ln w="19050">
                <a:solidFill>
                  <a:srgbClr val="15001B"/>
                </a:solidFill>
              </a:ln>
              <a:effectLst/>
            </c:spPr>
            <c:extLst>
              <c:ext xmlns:c16="http://schemas.microsoft.com/office/drawing/2014/chart" uri="{C3380CC4-5D6E-409C-BE32-E72D297353CC}">
                <c16:uniqueId val="{00000005-A223-45DF-9014-C35860163CAD}"/>
              </c:ext>
            </c:extLst>
          </c:dPt>
          <c:dPt>
            <c:idx val="3"/>
            <c:bubble3D val="0"/>
            <c:spPr>
              <a:noFill/>
              <a:ln w="19050">
                <a:solidFill>
                  <a:srgbClr val="15001B"/>
                </a:solidFill>
              </a:ln>
              <a:effectLst/>
            </c:spPr>
            <c:extLst>
              <c:ext xmlns:c16="http://schemas.microsoft.com/office/drawing/2014/chart" uri="{C3380CC4-5D6E-409C-BE32-E72D297353CC}">
                <c16:uniqueId val="{00000007-A223-45DF-9014-C35860163CAD}"/>
              </c:ext>
            </c:extLst>
          </c:dPt>
          <c:dPt>
            <c:idx val="4"/>
            <c:bubble3D val="0"/>
            <c:spPr>
              <a:noFill/>
              <a:ln w="19050">
                <a:solidFill>
                  <a:srgbClr val="15001B"/>
                </a:solidFill>
              </a:ln>
              <a:effectLst/>
            </c:spPr>
            <c:extLst>
              <c:ext xmlns:c16="http://schemas.microsoft.com/office/drawing/2014/chart" uri="{C3380CC4-5D6E-409C-BE32-E72D297353CC}">
                <c16:uniqueId val="{00000009-A223-45DF-9014-C35860163CAD}"/>
              </c:ext>
            </c:extLst>
          </c:dPt>
          <c:dPt>
            <c:idx val="5"/>
            <c:bubble3D val="0"/>
            <c:spPr>
              <a:noFill/>
              <a:ln w="19050">
                <a:solidFill>
                  <a:srgbClr val="15001B"/>
                </a:solidFill>
              </a:ln>
              <a:effectLst/>
            </c:spPr>
            <c:extLst>
              <c:ext xmlns:c16="http://schemas.microsoft.com/office/drawing/2014/chart" uri="{C3380CC4-5D6E-409C-BE32-E72D297353CC}">
                <c16:uniqueId val="{0000000B-A223-45DF-9014-C35860163CAD}"/>
              </c:ext>
            </c:extLst>
          </c:dPt>
          <c:dPt>
            <c:idx val="6"/>
            <c:bubble3D val="0"/>
            <c:spPr>
              <a:noFill/>
              <a:ln w="19050">
                <a:solidFill>
                  <a:srgbClr val="15001B"/>
                </a:solidFill>
              </a:ln>
              <a:effectLst/>
            </c:spPr>
            <c:extLst>
              <c:ext xmlns:c16="http://schemas.microsoft.com/office/drawing/2014/chart" uri="{C3380CC4-5D6E-409C-BE32-E72D297353CC}">
                <c16:uniqueId val="{0000000D-A223-45DF-9014-C35860163CAD}"/>
              </c:ext>
            </c:extLst>
          </c:dPt>
          <c:dPt>
            <c:idx val="7"/>
            <c:bubble3D val="0"/>
            <c:spPr>
              <a:noFill/>
              <a:ln w="19050">
                <a:solidFill>
                  <a:srgbClr val="15001B"/>
                </a:solidFill>
              </a:ln>
              <a:effectLst/>
            </c:spPr>
            <c:extLst>
              <c:ext xmlns:c16="http://schemas.microsoft.com/office/drawing/2014/chart" uri="{C3380CC4-5D6E-409C-BE32-E72D297353CC}">
                <c16:uniqueId val="{0000000F-A223-45DF-9014-C35860163CAD}"/>
              </c:ext>
            </c:extLst>
          </c:dPt>
          <c:dPt>
            <c:idx val="8"/>
            <c:bubble3D val="0"/>
            <c:spPr>
              <a:noFill/>
              <a:ln w="19050">
                <a:solidFill>
                  <a:srgbClr val="15001B"/>
                </a:solidFill>
              </a:ln>
              <a:effectLst/>
            </c:spPr>
            <c:extLst>
              <c:ext xmlns:c16="http://schemas.microsoft.com/office/drawing/2014/chart" uri="{C3380CC4-5D6E-409C-BE32-E72D297353CC}">
                <c16:uniqueId val="{00000011-A223-45DF-9014-C35860163CAD}"/>
              </c:ext>
            </c:extLst>
          </c:dPt>
          <c:dPt>
            <c:idx val="9"/>
            <c:bubble3D val="0"/>
            <c:spPr>
              <a:noFill/>
              <a:ln w="19050">
                <a:solidFill>
                  <a:srgbClr val="15001B"/>
                </a:solidFill>
              </a:ln>
              <a:effectLst/>
            </c:spPr>
            <c:extLst>
              <c:ext xmlns:c16="http://schemas.microsoft.com/office/drawing/2014/chart" uri="{C3380CC4-5D6E-409C-BE32-E72D297353CC}">
                <c16:uniqueId val="{00000013-A223-45DF-9014-C35860163CAD}"/>
              </c:ext>
            </c:extLst>
          </c:dPt>
          <c:dPt>
            <c:idx val="10"/>
            <c:bubble3D val="0"/>
            <c:spPr>
              <a:noFill/>
              <a:ln w="19050">
                <a:solidFill>
                  <a:srgbClr val="15001B"/>
                </a:solidFill>
              </a:ln>
              <a:effectLst/>
            </c:spPr>
            <c:extLst>
              <c:ext xmlns:c16="http://schemas.microsoft.com/office/drawing/2014/chart" uri="{C3380CC4-5D6E-409C-BE32-E72D297353CC}">
                <c16:uniqueId val="{00000015-A223-45DF-9014-C35860163CAD}"/>
              </c:ext>
            </c:extLst>
          </c:dPt>
          <c:dPt>
            <c:idx val="11"/>
            <c:bubble3D val="0"/>
            <c:spPr>
              <a:noFill/>
              <a:ln w="19050">
                <a:solidFill>
                  <a:srgbClr val="15001B"/>
                </a:solidFill>
              </a:ln>
              <a:effectLst/>
            </c:spPr>
            <c:extLst>
              <c:ext xmlns:c16="http://schemas.microsoft.com/office/drawing/2014/chart" uri="{C3380CC4-5D6E-409C-BE32-E72D297353CC}">
                <c16:uniqueId val="{00000017-A223-45DF-9014-C35860163CAD}"/>
              </c:ext>
            </c:extLst>
          </c:dPt>
          <c:dPt>
            <c:idx val="12"/>
            <c:bubble3D val="0"/>
            <c:spPr>
              <a:noFill/>
              <a:ln w="19050">
                <a:solidFill>
                  <a:srgbClr val="15001B"/>
                </a:solidFill>
              </a:ln>
              <a:effectLst/>
            </c:spPr>
            <c:extLst>
              <c:ext xmlns:c16="http://schemas.microsoft.com/office/drawing/2014/chart" uri="{C3380CC4-5D6E-409C-BE32-E72D297353CC}">
                <c16:uniqueId val="{00000019-A223-45DF-9014-C35860163CAD}"/>
              </c:ext>
            </c:extLst>
          </c:dPt>
          <c:dPt>
            <c:idx val="13"/>
            <c:bubble3D val="0"/>
            <c:spPr>
              <a:noFill/>
              <a:ln w="19050">
                <a:solidFill>
                  <a:srgbClr val="15001B"/>
                </a:solidFill>
              </a:ln>
              <a:effectLst/>
            </c:spPr>
            <c:extLst>
              <c:ext xmlns:c16="http://schemas.microsoft.com/office/drawing/2014/chart" uri="{C3380CC4-5D6E-409C-BE32-E72D297353CC}">
                <c16:uniqueId val="{0000001B-A223-45DF-9014-C35860163CAD}"/>
              </c:ext>
            </c:extLst>
          </c:dPt>
          <c:dPt>
            <c:idx val="14"/>
            <c:bubble3D val="0"/>
            <c:spPr>
              <a:noFill/>
              <a:ln w="19050">
                <a:solidFill>
                  <a:srgbClr val="15001B"/>
                </a:solidFill>
              </a:ln>
              <a:effectLst/>
            </c:spPr>
            <c:extLst>
              <c:ext xmlns:c16="http://schemas.microsoft.com/office/drawing/2014/chart" uri="{C3380CC4-5D6E-409C-BE32-E72D297353CC}">
                <c16:uniqueId val="{0000001D-A223-45DF-9014-C35860163CAD}"/>
              </c:ext>
            </c:extLst>
          </c:dPt>
          <c:dPt>
            <c:idx val="15"/>
            <c:bubble3D val="0"/>
            <c:spPr>
              <a:noFill/>
              <a:ln w="19050">
                <a:solidFill>
                  <a:srgbClr val="15001B"/>
                </a:solidFill>
              </a:ln>
              <a:effectLst/>
            </c:spPr>
            <c:extLst>
              <c:ext xmlns:c16="http://schemas.microsoft.com/office/drawing/2014/chart" uri="{C3380CC4-5D6E-409C-BE32-E72D297353CC}">
                <c16:uniqueId val="{0000001F-A223-45DF-9014-C35860163CAD}"/>
              </c:ext>
            </c:extLst>
          </c:dPt>
          <c:val>
            <c:numRef>
              <c:f>Processing!$S$4:$S$19</c:f>
              <c:numCache>
                <c:formatCode>General</c:formatCode>
                <c:ptCount val="16"/>
                <c:pt idx="0">
                  <c:v>300</c:v>
                </c:pt>
                <c:pt idx="1">
                  <c:v>40</c:v>
                </c:pt>
                <c:pt idx="2">
                  <c:v>45</c:v>
                </c:pt>
                <c:pt idx="3">
                  <c:v>50</c:v>
                </c:pt>
                <c:pt idx="4">
                  <c:v>55</c:v>
                </c:pt>
                <c:pt idx="5">
                  <c:v>60</c:v>
                </c:pt>
                <c:pt idx="6">
                  <c:v>65</c:v>
                </c:pt>
                <c:pt idx="7">
                  <c:v>70</c:v>
                </c:pt>
                <c:pt idx="8">
                  <c:v>75</c:v>
                </c:pt>
                <c:pt idx="9">
                  <c:v>80</c:v>
                </c:pt>
                <c:pt idx="10">
                  <c:v>85</c:v>
                </c:pt>
                <c:pt idx="11">
                  <c:v>90</c:v>
                </c:pt>
                <c:pt idx="12">
                  <c:v>95</c:v>
                </c:pt>
                <c:pt idx="13">
                  <c:v>110</c:v>
                </c:pt>
                <c:pt idx="14">
                  <c:v>200</c:v>
                </c:pt>
                <c:pt idx="15">
                  <c:v>250</c:v>
                </c:pt>
              </c:numCache>
            </c:numRef>
          </c:val>
          <c:extLst>
            <c:ext xmlns:c16="http://schemas.microsoft.com/office/drawing/2014/chart" uri="{C3380CC4-5D6E-409C-BE32-E72D297353CC}">
              <c16:uniqueId val="{00000020-A223-45DF-9014-C35860163CAD}"/>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Processing!$T$3</c:f>
              <c:strCache>
                <c:ptCount val="1"/>
                <c:pt idx="0">
                  <c:v>Resource Accumulation</c:v>
                </c:pt>
              </c:strCache>
            </c:strRef>
          </c:tx>
          <c:spPr>
            <a:solidFill>
              <a:srgbClr val="0CFDF4"/>
            </a:solidFill>
            <a:ln>
              <a:solidFill>
                <a:srgbClr val="050F2A"/>
              </a:solidFill>
            </a:ln>
          </c:spPr>
          <c:dPt>
            <c:idx val="0"/>
            <c:bubble3D val="0"/>
            <c:spPr>
              <a:noFill/>
              <a:ln w="19050">
                <a:solidFill>
                  <a:srgbClr val="050F2A"/>
                </a:solidFill>
              </a:ln>
              <a:effectLst/>
            </c:spPr>
            <c:extLst>
              <c:ext xmlns:c16="http://schemas.microsoft.com/office/drawing/2014/chart" uri="{C3380CC4-5D6E-409C-BE32-E72D297353CC}">
                <c16:uniqueId val="{00000022-A223-45DF-9014-C35860163CAD}"/>
              </c:ext>
            </c:extLst>
          </c:dPt>
          <c:dPt>
            <c:idx val="1"/>
            <c:bubble3D val="0"/>
            <c:spPr>
              <a:solidFill>
                <a:srgbClr val="0CFDF4"/>
              </a:solidFill>
              <a:ln w="19050">
                <a:solidFill>
                  <a:srgbClr val="050F2A"/>
                </a:solidFill>
              </a:ln>
              <a:effectLst/>
            </c:spPr>
            <c:extLst>
              <c:ext xmlns:c16="http://schemas.microsoft.com/office/drawing/2014/chart" uri="{C3380CC4-5D6E-409C-BE32-E72D297353CC}">
                <c16:uniqueId val="{00000024-A223-45DF-9014-C35860163CAD}"/>
              </c:ext>
            </c:extLst>
          </c:dPt>
          <c:dPt>
            <c:idx val="2"/>
            <c:bubble3D val="0"/>
            <c:spPr>
              <a:noFill/>
              <a:ln w="19050">
                <a:solidFill>
                  <a:srgbClr val="050F2A"/>
                </a:solidFill>
              </a:ln>
              <a:effectLst/>
            </c:spPr>
            <c:extLst>
              <c:ext xmlns:c16="http://schemas.microsoft.com/office/drawing/2014/chart" uri="{C3380CC4-5D6E-409C-BE32-E72D297353CC}">
                <c16:uniqueId val="{00000026-A223-45DF-9014-C35860163CAD}"/>
              </c:ext>
            </c:extLst>
          </c:dPt>
          <c:dPt>
            <c:idx val="3"/>
            <c:bubble3D val="0"/>
            <c:spPr>
              <a:solidFill>
                <a:srgbClr val="0CFDF4"/>
              </a:solidFill>
              <a:ln w="19050">
                <a:solidFill>
                  <a:srgbClr val="050F2A"/>
                </a:solidFill>
              </a:ln>
              <a:effectLst/>
            </c:spPr>
            <c:extLst>
              <c:ext xmlns:c16="http://schemas.microsoft.com/office/drawing/2014/chart" uri="{C3380CC4-5D6E-409C-BE32-E72D297353CC}">
                <c16:uniqueId val="{00000028-A223-45DF-9014-C35860163CAD}"/>
              </c:ext>
            </c:extLst>
          </c:dPt>
          <c:dPt>
            <c:idx val="4"/>
            <c:bubble3D val="0"/>
            <c:spPr>
              <a:noFill/>
              <a:ln w="19050">
                <a:solidFill>
                  <a:srgbClr val="050F2A"/>
                </a:solidFill>
              </a:ln>
              <a:effectLst/>
            </c:spPr>
            <c:extLst>
              <c:ext xmlns:c16="http://schemas.microsoft.com/office/drawing/2014/chart" uri="{C3380CC4-5D6E-409C-BE32-E72D297353CC}">
                <c16:uniqueId val="{0000002A-A223-45DF-9014-C35860163CAD}"/>
              </c:ext>
            </c:extLst>
          </c:dPt>
          <c:dPt>
            <c:idx val="5"/>
            <c:bubble3D val="0"/>
            <c:spPr>
              <a:solidFill>
                <a:srgbClr val="0CFDF4"/>
              </a:solidFill>
              <a:ln w="19050">
                <a:solidFill>
                  <a:srgbClr val="050F2A"/>
                </a:solidFill>
              </a:ln>
              <a:effectLst/>
            </c:spPr>
            <c:extLst>
              <c:ext xmlns:c16="http://schemas.microsoft.com/office/drawing/2014/chart" uri="{C3380CC4-5D6E-409C-BE32-E72D297353CC}">
                <c16:uniqueId val="{0000002C-A223-45DF-9014-C35860163CAD}"/>
              </c:ext>
            </c:extLst>
          </c:dPt>
          <c:dPt>
            <c:idx val="6"/>
            <c:bubble3D val="0"/>
            <c:spPr>
              <a:noFill/>
              <a:ln w="19050">
                <a:solidFill>
                  <a:srgbClr val="050F2A"/>
                </a:solidFill>
              </a:ln>
              <a:effectLst/>
            </c:spPr>
            <c:extLst>
              <c:ext xmlns:c16="http://schemas.microsoft.com/office/drawing/2014/chart" uri="{C3380CC4-5D6E-409C-BE32-E72D297353CC}">
                <c16:uniqueId val="{0000002E-A223-45DF-9014-C35860163CAD}"/>
              </c:ext>
            </c:extLst>
          </c:dPt>
          <c:dPt>
            <c:idx val="7"/>
            <c:bubble3D val="0"/>
            <c:spPr>
              <a:solidFill>
                <a:srgbClr val="0CFDF4"/>
              </a:solidFill>
              <a:ln w="19050">
                <a:solidFill>
                  <a:srgbClr val="050F2A"/>
                </a:solidFill>
              </a:ln>
              <a:effectLst/>
            </c:spPr>
            <c:extLst>
              <c:ext xmlns:c16="http://schemas.microsoft.com/office/drawing/2014/chart" uri="{C3380CC4-5D6E-409C-BE32-E72D297353CC}">
                <c16:uniqueId val="{00000030-A223-45DF-9014-C35860163CAD}"/>
              </c:ext>
            </c:extLst>
          </c:dPt>
          <c:dPt>
            <c:idx val="8"/>
            <c:bubble3D val="0"/>
            <c:spPr>
              <a:noFill/>
              <a:ln w="19050">
                <a:solidFill>
                  <a:srgbClr val="050F2A"/>
                </a:solidFill>
              </a:ln>
              <a:effectLst/>
            </c:spPr>
            <c:extLst>
              <c:ext xmlns:c16="http://schemas.microsoft.com/office/drawing/2014/chart" uri="{C3380CC4-5D6E-409C-BE32-E72D297353CC}">
                <c16:uniqueId val="{00000032-A223-45DF-9014-C35860163CAD}"/>
              </c:ext>
            </c:extLst>
          </c:dPt>
          <c:dPt>
            <c:idx val="9"/>
            <c:bubble3D val="0"/>
            <c:spPr>
              <a:solidFill>
                <a:srgbClr val="0CFDF4"/>
              </a:solidFill>
              <a:ln w="19050">
                <a:solidFill>
                  <a:srgbClr val="050F2A"/>
                </a:solidFill>
              </a:ln>
              <a:effectLst/>
            </c:spPr>
            <c:extLst>
              <c:ext xmlns:c16="http://schemas.microsoft.com/office/drawing/2014/chart" uri="{C3380CC4-5D6E-409C-BE32-E72D297353CC}">
                <c16:uniqueId val="{00000034-A223-45DF-9014-C35860163CAD}"/>
              </c:ext>
            </c:extLst>
          </c:dPt>
          <c:dPt>
            <c:idx val="10"/>
            <c:bubble3D val="0"/>
            <c:spPr>
              <a:noFill/>
              <a:ln w="19050">
                <a:solidFill>
                  <a:srgbClr val="050F2A"/>
                </a:solidFill>
              </a:ln>
              <a:effectLst/>
            </c:spPr>
            <c:extLst>
              <c:ext xmlns:c16="http://schemas.microsoft.com/office/drawing/2014/chart" uri="{C3380CC4-5D6E-409C-BE32-E72D297353CC}">
                <c16:uniqueId val="{00000036-A223-45DF-9014-C35860163CAD}"/>
              </c:ext>
            </c:extLst>
          </c:dPt>
          <c:dPt>
            <c:idx val="11"/>
            <c:bubble3D val="0"/>
            <c:spPr>
              <a:solidFill>
                <a:srgbClr val="0CFDF4"/>
              </a:solidFill>
              <a:ln w="19050">
                <a:solidFill>
                  <a:srgbClr val="050F2A"/>
                </a:solidFill>
              </a:ln>
              <a:effectLst/>
            </c:spPr>
            <c:extLst>
              <c:ext xmlns:c16="http://schemas.microsoft.com/office/drawing/2014/chart" uri="{C3380CC4-5D6E-409C-BE32-E72D297353CC}">
                <c16:uniqueId val="{00000038-A223-45DF-9014-C35860163CAD}"/>
              </c:ext>
            </c:extLst>
          </c:dPt>
          <c:dPt>
            <c:idx val="12"/>
            <c:bubble3D val="0"/>
            <c:spPr>
              <a:noFill/>
              <a:ln w="19050">
                <a:solidFill>
                  <a:srgbClr val="050F2A"/>
                </a:solidFill>
              </a:ln>
              <a:effectLst/>
            </c:spPr>
            <c:extLst>
              <c:ext xmlns:c16="http://schemas.microsoft.com/office/drawing/2014/chart" uri="{C3380CC4-5D6E-409C-BE32-E72D297353CC}">
                <c16:uniqueId val="{0000003A-A223-45DF-9014-C35860163CAD}"/>
              </c:ext>
            </c:extLst>
          </c:dPt>
          <c:dPt>
            <c:idx val="13"/>
            <c:bubble3D val="0"/>
            <c:spPr>
              <a:solidFill>
                <a:srgbClr val="0CFDF4"/>
              </a:solidFill>
              <a:ln w="19050">
                <a:solidFill>
                  <a:srgbClr val="050F2A"/>
                </a:solidFill>
              </a:ln>
              <a:effectLst/>
            </c:spPr>
            <c:extLst>
              <c:ext xmlns:c16="http://schemas.microsoft.com/office/drawing/2014/chart" uri="{C3380CC4-5D6E-409C-BE32-E72D297353CC}">
                <c16:uniqueId val="{0000003C-A223-45DF-9014-C35860163CAD}"/>
              </c:ext>
            </c:extLst>
          </c:dPt>
          <c:dPt>
            <c:idx val="14"/>
            <c:bubble3D val="0"/>
            <c:spPr>
              <a:noFill/>
              <a:ln w="19050">
                <a:solidFill>
                  <a:srgbClr val="050F2A"/>
                </a:solidFill>
              </a:ln>
              <a:effectLst/>
            </c:spPr>
            <c:extLst>
              <c:ext xmlns:c16="http://schemas.microsoft.com/office/drawing/2014/chart" uri="{C3380CC4-5D6E-409C-BE32-E72D297353CC}">
                <c16:uniqueId val="{0000003E-A223-45DF-9014-C35860163CAD}"/>
              </c:ext>
            </c:extLst>
          </c:dPt>
          <c:dPt>
            <c:idx val="15"/>
            <c:bubble3D val="0"/>
            <c:spPr>
              <a:solidFill>
                <a:srgbClr val="0CFDF4"/>
              </a:solidFill>
              <a:ln w="19050">
                <a:solidFill>
                  <a:srgbClr val="050F2A"/>
                </a:solidFill>
              </a:ln>
              <a:effectLst/>
            </c:spPr>
            <c:extLst>
              <c:ext xmlns:c16="http://schemas.microsoft.com/office/drawing/2014/chart" uri="{C3380CC4-5D6E-409C-BE32-E72D297353CC}">
                <c16:uniqueId val="{00000040-A223-45DF-9014-C35860163CAD}"/>
              </c:ext>
            </c:extLst>
          </c:dPt>
          <c:dPt>
            <c:idx val="16"/>
            <c:bubble3D val="0"/>
            <c:spPr>
              <a:noFill/>
              <a:ln w="19050">
                <a:solidFill>
                  <a:srgbClr val="050F2A"/>
                </a:solidFill>
              </a:ln>
              <a:effectLst/>
            </c:spPr>
            <c:extLst>
              <c:ext xmlns:c16="http://schemas.microsoft.com/office/drawing/2014/chart" uri="{C3380CC4-5D6E-409C-BE32-E72D297353CC}">
                <c16:uniqueId val="{00000042-A223-45DF-9014-C35860163CAD}"/>
              </c:ext>
            </c:extLst>
          </c:dPt>
          <c:dPt>
            <c:idx val="17"/>
            <c:bubble3D val="0"/>
            <c:spPr>
              <a:solidFill>
                <a:srgbClr val="0CFDF4"/>
              </a:solidFill>
              <a:ln w="19050">
                <a:solidFill>
                  <a:srgbClr val="050F2A"/>
                </a:solidFill>
              </a:ln>
              <a:effectLst/>
            </c:spPr>
            <c:extLst>
              <c:ext xmlns:c16="http://schemas.microsoft.com/office/drawing/2014/chart" uri="{C3380CC4-5D6E-409C-BE32-E72D297353CC}">
                <c16:uniqueId val="{00000044-A223-45DF-9014-C35860163CAD}"/>
              </c:ext>
            </c:extLst>
          </c:dPt>
          <c:dPt>
            <c:idx val="18"/>
            <c:bubble3D val="0"/>
            <c:spPr>
              <a:noFill/>
              <a:ln w="19050">
                <a:solidFill>
                  <a:srgbClr val="050F2A"/>
                </a:solidFill>
              </a:ln>
              <a:effectLst/>
            </c:spPr>
            <c:extLst>
              <c:ext xmlns:c16="http://schemas.microsoft.com/office/drawing/2014/chart" uri="{C3380CC4-5D6E-409C-BE32-E72D297353CC}">
                <c16:uniqueId val="{00000046-A223-45DF-9014-C35860163CAD}"/>
              </c:ext>
            </c:extLst>
          </c:dPt>
          <c:dPt>
            <c:idx val="19"/>
            <c:bubble3D val="0"/>
            <c:spPr>
              <a:solidFill>
                <a:srgbClr val="0CFDF4"/>
              </a:solidFill>
              <a:ln w="19050">
                <a:solidFill>
                  <a:srgbClr val="050F2A"/>
                </a:solidFill>
              </a:ln>
              <a:effectLst/>
            </c:spPr>
            <c:extLst>
              <c:ext xmlns:c16="http://schemas.microsoft.com/office/drawing/2014/chart" uri="{C3380CC4-5D6E-409C-BE32-E72D297353CC}">
                <c16:uniqueId val="{00000048-A223-45DF-9014-C35860163CAD}"/>
              </c:ext>
            </c:extLst>
          </c:dPt>
          <c:dPt>
            <c:idx val="20"/>
            <c:bubble3D val="0"/>
            <c:spPr>
              <a:noFill/>
              <a:ln w="19050">
                <a:solidFill>
                  <a:srgbClr val="050F2A"/>
                </a:solidFill>
              </a:ln>
              <a:effectLst/>
            </c:spPr>
            <c:extLst>
              <c:ext xmlns:c16="http://schemas.microsoft.com/office/drawing/2014/chart" uri="{C3380CC4-5D6E-409C-BE32-E72D297353CC}">
                <c16:uniqueId val="{0000004A-A223-45DF-9014-C35860163CAD}"/>
              </c:ext>
            </c:extLst>
          </c:dPt>
          <c:dPt>
            <c:idx val="21"/>
            <c:bubble3D val="0"/>
            <c:spPr>
              <a:solidFill>
                <a:srgbClr val="0CFDF4"/>
              </a:solidFill>
              <a:ln w="19050">
                <a:solidFill>
                  <a:srgbClr val="050F2A"/>
                </a:solidFill>
              </a:ln>
              <a:effectLst/>
            </c:spPr>
            <c:extLst>
              <c:ext xmlns:c16="http://schemas.microsoft.com/office/drawing/2014/chart" uri="{C3380CC4-5D6E-409C-BE32-E72D297353CC}">
                <c16:uniqueId val="{0000004C-A223-45DF-9014-C35860163CAD}"/>
              </c:ext>
            </c:extLst>
          </c:dPt>
          <c:dPt>
            <c:idx val="22"/>
            <c:bubble3D val="0"/>
            <c:spPr>
              <a:noFill/>
              <a:ln w="19050">
                <a:solidFill>
                  <a:srgbClr val="050F2A"/>
                </a:solidFill>
              </a:ln>
              <a:effectLst/>
            </c:spPr>
            <c:extLst>
              <c:ext xmlns:c16="http://schemas.microsoft.com/office/drawing/2014/chart" uri="{C3380CC4-5D6E-409C-BE32-E72D297353CC}">
                <c16:uniqueId val="{0000004E-A223-45DF-9014-C35860163CAD}"/>
              </c:ext>
            </c:extLst>
          </c:dPt>
          <c:dPt>
            <c:idx val="23"/>
            <c:bubble3D val="0"/>
            <c:spPr>
              <a:solidFill>
                <a:srgbClr val="0CFDF4"/>
              </a:solidFill>
              <a:ln w="19050">
                <a:solidFill>
                  <a:srgbClr val="050F2A"/>
                </a:solidFill>
              </a:ln>
              <a:effectLst/>
            </c:spPr>
            <c:extLst>
              <c:ext xmlns:c16="http://schemas.microsoft.com/office/drawing/2014/chart" uri="{C3380CC4-5D6E-409C-BE32-E72D297353CC}">
                <c16:uniqueId val="{00000050-A223-45DF-9014-C35860163CAD}"/>
              </c:ext>
            </c:extLst>
          </c:dPt>
          <c:dPt>
            <c:idx val="24"/>
            <c:bubble3D val="0"/>
            <c:spPr>
              <a:noFill/>
              <a:ln w="19050">
                <a:solidFill>
                  <a:srgbClr val="050F2A"/>
                </a:solidFill>
              </a:ln>
              <a:effectLst/>
            </c:spPr>
            <c:extLst>
              <c:ext xmlns:c16="http://schemas.microsoft.com/office/drawing/2014/chart" uri="{C3380CC4-5D6E-409C-BE32-E72D297353CC}">
                <c16:uniqueId val="{00000052-A223-45DF-9014-C35860163CAD}"/>
              </c:ext>
            </c:extLst>
          </c:dPt>
          <c:dPt>
            <c:idx val="25"/>
            <c:bubble3D val="0"/>
            <c:spPr>
              <a:solidFill>
                <a:srgbClr val="0CFDF4"/>
              </a:solidFill>
              <a:ln w="19050">
                <a:solidFill>
                  <a:srgbClr val="050F2A"/>
                </a:solidFill>
              </a:ln>
              <a:effectLst/>
            </c:spPr>
            <c:extLst>
              <c:ext xmlns:c16="http://schemas.microsoft.com/office/drawing/2014/chart" uri="{C3380CC4-5D6E-409C-BE32-E72D297353CC}">
                <c16:uniqueId val="{00000054-A223-45DF-9014-C35860163CAD}"/>
              </c:ext>
            </c:extLst>
          </c:dPt>
          <c:dPt>
            <c:idx val="26"/>
            <c:bubble3D val="0"/>
            <c:spPr>
              <a:noFill/>
              <a:ln w="19050">
                <a:solidFill>
                  <a:srgbClr val="15001B"/>
                </a:solidFill>
              </a:ln>
              <a:effectLst/>
            </c:spPr>
            <c:extLst>
              <c:ext xmlns:c16="http://schemas.microsoft.com/office/drawing/2014/chart" uri="{C3380CC4-5D6E-409C-BE32-E72D297353CC}">
                <c16:uniqueId val="{00000056-A223-45DF-9014-C35860163CAD}"/>
              </c:ext>
            </c:extLst>
          </c:dPt>
          <c:dPt>
            <c:idx val="27"/>
            <c:bubble3D val="0"/>
            <c:spPr>
              <a:solidFill>
                <a:srgbClr val="0CFDF4"/>
              </a:solidFill>
              <a:ln w="19050">
                <a:solidFill>
                  <a:srgbClr val="050F2A"/>
                </a:solidFill>
              </a:ln>
              <a:effectLst/>
            </c:spPr>
            <c:extLst>
              <c:ext xmlns:c16="http://schemas.microsoft.com/office/drawing/2014/chart" uri="{C3380CC4-5D6E-409C-BE32-E72D297353CC}">
                <c16:uniqueId val="{00000058-A223-45DF-9014-C35860163CAD}"/>
              </c:ext>
            </c:extLst>
          </c:dPt>
          <c:dPt>
            <c:idx val="28"/>
            <c:bubble3D val="0"/>
            <c:spPr>
              <a:noFill/>
              <a:ln w="19050">
                <a:solidFill>
                  <a:srgbClr val="050F2A"/>
                </a:solidFill>
              </a:ln>
              <a:effectLst/>
            </c:spPr>
            <c:extLst>
              <c:ext xmlns:c16="http://schemas.microsoft.com/office/drawing/2014/chart" uri="{C3380CC4-5D6E-409C-BE32-E72D297353CC}">
                <c16:uniqueId val="{0000005A-A223-45DF-9014-C35860163CAD}"/>
              </c:ext>
            </c:extLst>
          </c:dPt>
          <c:dPt>
            <c:idx val="29"/>
            <c:bubble3D val="0"/>
            <c:spPr>
              <a:solidFill>
                <a:srgbClr val="0CFDF4"/>
              </a:solidFill>
              <a:ln w="19050">
                <a:solidFill>
                  <a:srgbClr val="050F2A"/>
                </a:solidFill>
              </a:ln>
              <a:effectLst/>
            </c:spPr>
            <c:extLst>
              <c:ext xmlns:c16="http://schemas.microsoft.com/office/drawing/2014/chart" uri="{C3380CC4-5D6E-409C-BE32-E72D297353CC}">
                <c16:uniqueId val="{0000005C-A223-45DF-9014-C35860163CAD}"/>
              </c:ext>
            </c:extLst>
          </c:dPt>
          <c:dPt>
            <c:idx val="30"/>
            <c:bubble3D val="0"/>
            <c:spPr>
              <a:noFill/>
              <a:ln w="19050">
                <a:solidFill>
                  <a:srgbClr val="050F2A"/>
                </a:solidFill>
              </a:ln>
              <a:effectLst/>
            </c:spPr>
            <c:extLst>
              <c:ext xmlns:c16="http://schemas.microsoft.com/office/drawing/2014/chart" uri="{C3380CC4-5D6E-409C-BE32-E72D297353CC}">
                <c16:uniqueId val="{0000005E-A223-45DF-9014-C35860163CAD}"/>
              </c:ext>
            </c:extLst>
          </c:dPt>
          <c:val>
            <c:numRef>
              <c:f>Processing!$T$4:$T$34</c:f>
              <c:numCache>
                <c:formatCode>General</c:formatCode>
                <c:ptCount val="31"/>
                <c:pt idx="0">
                  <c:v>0</c:v>
                </c:pt>
                <c:pt idx="1">
                  <c:v>0</c:v>
                </c:pt>
                <c:pt idx="2">
                  <c:v>0</c:v>
                </c:pt>
                <c:pt idx="3">
                  <c:v>0</c:v>
                </c:pt>
                <c:pt idx="4">
                  <c:v>0</c:v>
                </c:pt>
                <c:pt idx="5">
                  <c:v>0</c:v>
                </c:pt>
                <c:pt idx="6">
                  <c:v>0</c:v>
                </c:pt>
                <c:pt idx="7">
                  <c:v>0</c:v>
                </c:pt>
                <c:pt idx="8">
                  <c:v>300</c:v>
                </c:pt>
                <c:pt idx="9">
                  <c:v>40</c:v>
                </c:pt>
                <c:pt idx="10">
                  <c:v>210</c:v>
                </c:pt>
                <c:pt idx="11">
                  <c:v>65</c:v>
                </c:pt>
                <c:pt idx="12">
                  <c:v>0</c:v>
                </c:pt>
                <c:pt idx="13">
                  <c:v>70</c:v>
                </c:pt>
                <c:pt idx="14">
                  <c:v>0</c:v>
                </c:pt>
                <c:pt idx="15">
                  <c:v>75</c:v>
                </c:pt>
                <c:pt idx="16">
                  <c:v>0</c:v>
                </c:pt>
                <c:pt idx="17">
                  <c:v>80</c:v>
                </c:pt>
                <c:pt idx="18">
                  <c:v>0</c:v>
                </c:pt>
                <c:pt idx="19">
                  <c:v>85</c:v>
                </c:pt>
                <c:pt idx="20">
                  <c:v>0</c:v>
                </c:pt>
                <c:pt idx="21">
                  <c:v>90</c:v>
                </c:pt>
                <c:pt idx="22">
                  <c:v>0</c:v>
                </c:pt>
                <c:pt idx="23">
                  <c:v>95</c:v>
                </c:pt>
                <c:pt idx="24">
                  <c:v>0</c:v>
                </c:pt>
                <c:pt idx="25">
                  <c:v>110</c:v>
                </c:pt>
                <c:pt idx="26">
                  <c:v>0</c:v>
                </c:pt>
                <c:pt idx="27">
                  <c:v>200</c:v>
                </c:pt>
                <c:pt idx="28">
                  <c:v>0</c:v>
                </c:pt>
                <c:pt idx="29">
                  <c:v>250</c:v>
                </c:pt>
                <c:pt idx="30">
                  <c:v>0</c:v>
                </c:pt>
              </c:numCache>
            </c:numRef>
          </c:val>
          <c:extLst>
            <c:ext xmlns:c16="http://schemas.microsoft.com/office/drawing/2014/chart" uri="{C3380CC4-5D6E-409C-BE32-E72D297353CC}">
              <c16:uniqueId val="{0000005F-A223-45DF-9014-C35860163CAD}"/>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Processing!$R$49:$R$50</c:f>
              <c:strCache>
                <c:ptCount val="2"/>
                <c:pt idx="0">
                  <c:v>   Costs Level</c:v>
                </c:pt>
                <c:pt idx="1">
                  <c:v>Month</c:v>
                </c:pt>
              </c:strCache>
            </c:strRef>
          </c:tx>
          <c:spPr>
            <a:gradFill flip="none" rotWithShape="1">
              <a:gsLst>
                <a:gs pos="33000">
                  <a:srgbClr val="003A74"/>
                </a:gs>
                <a:gs pos="100000">
                  <a:srgbClr val="016EDC"/>
                </a:gs>
              </a:gsLst>
              <a:path path="circle">
                <a:fillToRect l="50000" t="50000" r="50000" b="50000"/>
              </a:path>
              <a:tileRect/>
            </a:gradFill>
            <a:ln>
              <a:noFill/>
            </a:ln>
            <a:effectLst/>
          </c:spPr>
          <c:val>
            <c:numRef>
              <c:f>Processing!$R$51:$R$410</c:f>
              <c:numCache>
                <c:formatCode>General</c:formatCode>
                <c:ptCount val="360"/>
                <c:pt idx="0">
                  <c:v>0</c:v>
                </c:pt>
                <c:pt idx="1">
                  <c:v>0</c:v>
                </c:pt>
                <c:pt idx="2">
                  <c:v>0</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pt idx="30">
                  <c:v>0</c:v>
                </c:pt>
                <c:pt idx="31">
                  <c:v>0</c:v>
                </c:pt>
                <c:pt idx="32">
                  <c:v>0</c:v>
                </c:pt>
                <c:pt idx="33">
                  <c:v>98</c:v>
                </c:pt>
                <c:pt idx="34">
                  <c:v>98</c:v>
                </c:pt>
                <c:pt idx="35">
                  <c:v>98</c:v>
                </c:pt>
                <c:pt idx="36">
                  <c:v>98</c:v>
                </c:pt>
                <c:pt idx="37">
                  <c:v>98</c:v>
                </c:pt>
                <c:pt idx="38">
                  <c:v>98</c:v>
                </c:pt>
                <c:pt idx="39">
                  <c:v>98</c:v>
                </c:pt>
                <c:pt idx="40">
                  <c:v>98</c:v>
                </c:pt>
                <c:pt idx="41">
                  <c:v>98</c:v>
                </c:pt>
                <c:pt idx="42">
                  <c:v>98</c:v>
                </c:pt>
                <c:pt idx="43">
                  <c:v>98</c:v>
                </c:pt>
                <c:pt idx="44">
                  <c:v>98</c:v>
                </c:pt>
                <c:pt idx="45">
                  <c:v>98</c:v>
                </c:pt>
                <c:pt idx="46">
                  <c:v>98</c:v>
                </c:pt>
                <c:pt idx="47">
                  <c:v>98</c:v>
                </c:pt>
                <c:pt idx="48">
                  <c:v>98</c:v>
                </c:pt>
                <c:pt idx="49">
                  <c:v>98</c:v>
                </c:pt>
                <c:pt idx="50">
                  <c:v>98</c:v>
                </c:pt>
                <c:pt idx="51">
                  <c:v>98</c:v>
                </c:pt>
                <c:pt idx="52">
                  <c:v>98</c:v>
                </c:pt>
                <c:pt idx="53">
                  <c:v>98</c:v>
                </c:pt>
                <c:pt idx="54">
                  <c:v>98</c:v>
                </c:pt>
                <c:pt idx="55">
                  <c:v>98</c:v>
                </c:pt>
                <c:pt idx="56">
                  <c:v>98</c:v>
                </c:pt>
                <c:pt idx="57">
                  <c:v>98</c:v>
                </c:pt>
                <c:pt idx="58">
                  <c:v>98</c:v>
                </c:pt>
                <c:pt idx="59">
                  <c:v>98</c:v>
                </c:pt>
                <c:pt idx="60">
                  <c:v>0</c:v>
                </c:pt>
                <c:pt idx="61">
                  <c:v>0</c:v>
                </c:pt>
                <c:pt idx="62">
                  <c:v>0</c:v>
                </c:pt>
                <c:pt idx="63">
                  <c:v>97</c:v>
                </c:pt>
                <c:pt idx="64">
                  <c:v>97</c:v>
                </c:pt>
                <c:pt idx="65">
                  <c:v>97</c:v>
                </c:pt>
                <c:pt idx="66">
                  <c:v>97</c:v>
                </c:pt>
                <c:pt idx="67">
                  <c:v>97</c:v>
                </c:pt>
                <c:pt idx="68">
                  <c:v>97</c:v>
                </c:pt>
                <c:pt idx="69">
                  <c:v>97</c:v>
                </c:pt>
                <c:pt idx="70">
                  <c:v>97</c:v>
                </c:pt>
                <c:pt idx="71">
                  <c:v>97</c:v>
                </c:pt>
                <c:pt idx="72">
                  <c:v>97</c:v>
                </c:pt>
                <c:pt idx="73">
                  <c:v>97</c:v>
                </c:pt>
                <c:pt idx="74">
                  <c:v>97</c:v>
                </c:pt>
                <c:pt idx="75">
                  <c:v>97</c:v>
                </c:pt>
                <c:pt idx="76">
                  <c:v>97</c:v>
                </c:pt>
                <c:pt idx="77">
                  <c:v>97</c:v>
                </c:pt>
                <c:pt idx="78">
                  <c:v>97</c:v>
                </c:pt>
                <c:pt idx="79">
                  <c:v>97</c:v>
                </c:pt>
                <c:pt idx="80">
                  <c:v>97</c:v>
                </c:pt>
                <c:pt idx="81">
                  <c:v>97</c:v>
                </c:pt>
                <c:pt idx="82">
                  <c:v>97</c:v>
                </c:pt>
                <c:pt idx="83">
                  <c:v>97</c:v>
                </c:pt>
                <c:pt idx="84">
                  <c:v>97</c:v>
                </c:pt>
                <c:pt idx="85">
                  <c:v>97</c:v>
                </c:pt>
                <c:pt idx="86">
                  <c:v>97</c:v>
                </c:pt>
                <c:pt idx="87">
                  <c:v>97</c:v>
                </c:pt>
                <c:pt idx="88">
                  <c:v>97</c:v>
                </c:pt>
                <c:pt idx="89">
                  <c:v>97</c:v>
                </c:pt>
                <c:pt idx="90">
                  <c:v>0</c:v>
                </c:pt>
                <c:pt idx="91">
                  <c:v>0</c:v>
                </c:pt>
                <c:pt idx="92">
                  <c:v>0</c:v>
                </c:pt>
                <c:pt idx="93">
                  <c:v>96</c:v>
                </c:pt>
                <c:pt idx="94">
                  <c:v>96</c:v>
                </c:pt>
                <c:pt idx="95">
                  <c:v>96</c:v>
                </c:pt>
                <c:pt idx="96">
                  <c:v>96</c:v>
                </c:pt>
                <c:pt idx="97">
                  <c:v>96</c:v>
                </c:pt>
                <c:pt idx="98">
                  <c:v>96</c:v>
                </c:pt>
                <c:pt idx="99">
                  <c:v>96</c:v>
                </c:pt>
                <c:pt idx="100">
                  <c:v>96</c:v>
                </c:pt>
                <c:pt idx="101">
                  <c:v>96</c:v>
                </c:pt>
                <c:pt idx="102">
                  <c:v>96</c:v>
                </c:pt>
                <c:pt idx="103">
                  <c:v>96</c:v>
                </c:pt>
                <c:pt idx="104">
                  <c:v>96</c:v>
                </c:pt>
                <c:pt idx="105">
                  <c:v>96</c:v>
                </c:pt>
                <c:pt idx="106">
                  <c:v>96</c:v>
                </c:pt>
                <c:pt idx="107">
                  <c:v>96</c:v>
                </c:pt>
                <c:pt idx="108">
                  <c:v>96</c:v>
                </c:pt>
                <c:pt idx="109">
                  <c:v>96</c:v>
                </c:pt>
                <c:pt idx="110">
                  <c:v>96</c:v>
                </c:pt>
                <c:pt idx="111">
                  <c:v>96</c:v>
                </c:pt>
                <c:pt idx="112">
                  <c:v>96</c:v>
                </c:pt>
                <c:pt idx="113">
                  <c:v>96</c:v>
                </c:pt>
                <c:pt idx="114">
                  <c:v>96</c:v>
                </c:pt>
                <c:pt idx="115">
                  <c:v>96</c:v>
                </c:pt>
                <c:pt idx="116">
                  <c:v>96</c:v>
                </c:pt>
                <c:pt idx="117">
                  <c:v>96</c:v>
                </c:pt>
                <c:pt idx="118">
                  <c:v>96</c:v>
                </c:pt>
                <c:pt idx="119">
                  <c:v>96</c:v>
                </c:pt>
                <c:pt idx="120">
                  <c:v>0</c:v>
                </c:pt>
                <c:pt idx="121">
                  <c:v>0</c:v>
                </c:pt>
                <c:pt idx="122">
                  <c:v>0</c:v>
                </c:pt>
                <c:pt idx="123">
                  <c:v>88</c:v>
                </c:pt>
                <c:pt idx="124">
                  <c:v>88</c:v>
                </c:pt>
                <c:pt idx="125">
                  <c:v>88</c:v>
                </c:pt>
                <c:pt idx="126">
                  <c:v>88</c:v>
                </c:pt>
                <c:pt idx="127">
                  <c:v>88</c:v>
                </c:pt>
                <c:pt idx="128">
                  <c:v>88</c:v>
                </c:pt>
                <c:pt idx="129">
                  <c:v>88</c:v>
                </c:pt>
                <c:pt idx="130">
                  <c:v>88</c:v>
                </c:pt>
                <c:pt idx="131">
                  <c:v>88</c:v>
                </c:pt>
                <c:pt idx="132">
                  <c:v>88</c:v>
                </c:pt>
                <c:pt idx="133">
                  <c:v>88</c:v>
                </c:pt>
                <c:pt idx="134">
                  <c:v>88</c:v>
                </c:pt>
                <c:pt idx="135">
                  <c:v>88</c:v>
                </c:pt>
                <c:pt idx="136">
                  <c:v>88</c:v>
                </c:pt>
                <c:pt idx="137">
                  <c:v>88</c:v>
                </c:pt>
                <c:pt idx="138">
                  <c:v>88</c:v>
                </c:pt>
                <c:pt idx="139">
                  <c:v>88</c:v>
                </c:pt>
                <c:pt idx="140">
                  <c:v>88</c:v>
                </c:pt>
                <c:pt idx="141">
                  <c:v>88</c:v>
                </c:pt>
                <c:pt idx="142">
                  <c:v>88</c:v>
                </c:pt>
                <c:pt idx="143">
                  <c:v>88</c:v>
                </c:pt>
                <c:pt idx="144">
                  <c:v>88</c:v>
                </c:pt>
                <c:pt idx="145">
                  <c:v>88</c:v>
                </c:pt>
                <c:pt idx="146">
                  <c:v>88</c:v>
                </c:pt>
                <c:pt idx="147">
                  <c:v>88</c:v>
                </c:pt>
                <c:pt idx="148">
                  <c:v>88</c:v>
                </c:pt>
                <c:pt idx="149">
                  <c:v>88</c:v>
                </c:pt>
                <c:pt idx="150">
                  <c:v>0</c:v>
                </c:pt>
                <c:pt idx="151">
                  <c:v>0</c:v>
                </c:pt>
                <c:pt idx="152">
                  <c:v>0</c:v>
                </c:pt>
                <c:pt idx="153">
                  <c:v>86</c:v>
                </c:pt>
                <c:pt idx="154">
                  <c:v>86</c:v>
                </c:pt>
                <c:pt idx="155">
                  <c:v>86</c:v>
                </c:pt>
                <c:pt idx="156">
                  <c:v>86</c:v>
                </c:pt>
                <c:pt idx="157">
                  <c:v>86</c:v>
                </c:pt>
                <c:pt idx="158">
                  <c:v>86</c:v>
                </c:pt>
                <c:pt idx="159">
                  <c:v>86</c:v>
                </c:pt>
                <c:pt idx="160">
                  <c:v>86</c:v>
                </c:pt>
                <c:pt idx="161">
                  <c:v>86</c:v>
                </c:pt>
                <c:pt idx="162">
                  <c:v>86</c:v>
                </c:pt>
                <c:pt idx="163">
                  <c:v>86</c:v>
                </c:pt>
                <c:pt idx="164">
                  <c:v>86</c:v>
                </c:pt>
                <c:pt idx="165">
                  <c:v>86</c:v>
                </c:pt>
                <c:pt idx="166">
                  <c:v>86</c:v>
                </c:pt>
                <c:pt idx="167">
                  <c:v>86</c:v>
                </c:pt>
                <c:pt idx="168">
                  <c:v>86</c:v>
                </c:pt>
                <c:pt idx="169">
                  <c:v>86</c:v>
                </c:pt>
                <c:pt idx="170">
                  <c:v>86</c:v>
                </c:pt>
                <c:pt idx="171">
                  <c:v>86</c:v>
                </c:pt>
                <c:pt idx="172">
                  <c:v>86</c:v>
                </c:pt>
                <c:pt idx="173">
                  <c:v>86</c:v>
                </c:pt>
                <c:pt idx="174">
                  <c:v>86</c:v>
                </c:pt>
                <c:pt idx="175">
                  <c:v>86</c:v>
                </c:pt>
                <c:pt idx="176">
                  <c:v>86</c:v>
                </c:pt>
                <c:pt idx="177">
                  <c:v>86</c:v>
                </c:pt>
                <c:pt idx="178">
                  <c:v>86</c:v>
                </c:pt>
                <c:pt idx="179">
                  <c:v>86</c:v>
                </c:pt>
                <c:pt idx="180">
                  <c:v>0</c:v>
                </c:pt>
                <c:pt idx="181">
                  <c:v>0</c:v>
                </c:pt>
                <c:pt idx="182">
                  <c:v>0</c:v>
                </c:pt>
                <c:pt idx="183">
                  <c:v>82</c:v>
                </c:pt>
                <c:pt idx="184">
                  <c:v>82</c:v>
                </c:pt>
                <c:pt idx="185">
                  <c:v>82</c:v>
                </c:pt>
                <c:pt idx="186">
                  <c:v>82</c:v>
                </c:pt>
                <c:pt idx="187">
                  <c:v>82</c:v>
                </c:pt>
                <c:pt idx="188">
                  <c:v>82</c:v>
                </c:pt>
                <c:pt idx="189">
                  <c:v>82</c:v>
                </c:pt>
                <c:pt idx="190">
                  <c:v>82</c:v>
                </c:pt>
                <c:pt idx="191">
                  <c:v>82</c:v>
                </c:pt>
                <c:pt idx="192">
                  <c:v>82</c:v>
                </c:pt>
                <c:pt idx="193">
                  <c:v>82</c:v>
                </c:pt>
                <c:pt idx="194">
                  <c:v>82</c:v>
                </c:pt>
                <c:pt idx="195">
                  <c:v>82</c:v>
                </c:pt>
                <c:pt idx="196">
                  <c:v>82</c:v>
                </c:pt>
                <c:pt idx="197">
                  <c:v>82</c:v>
                </c:pt>
                <c:pt idx="198">
                  <c:v>82</c:v>
                </c:pt>
                <c:pt idx="199">
                  <c:v>82</c:v>
                </c:pt>
                <c:pt idx="200">
                  <c:v>82</c:v>
                </c:pt>
                <c:pt idx="201">
                  <c:v>82</c:v>
                </c:pt>
                <c:pt idx="202">
                  <c:v>82</c:v>
                </c:pt>
                <c:pt idx="203">
                  <c:v>82</c:v>
                </c:pt>
                <c:pt idx="204">
                  <c:v>82</c:v>
                </c:pt>
                <c:pt idx="205">
                  <c:v>82</c:v>
                </c:pt>
                <c:pt idx="206">
                  <c:v>82</c:v>
                </c:pt>
                <c:pt idx="207">
                  <c:v>82</c:v>
                </c:pt>
                <c:pt idx="208">
                  <c:v>82</c:v>
                </c:pt>
                <c:pt idx="209">
                  <c:v>82</c:v>
                </c:pt>
                <c:pt idx="210">
                  <c:v>0</c:v>
                </c:pt>
                <c:pt idx="211">
                  <c:v>0</c:v>
                </c:pt>
                <c:pt idx="212">
                  <c:v>0</c:v>
                </c:pt>
                <c:pt idx="213">
                  <c:v>79</c:v>
                </c:pt>
                <c:pt idx="214">
                  <c:v>79</c:v>
                </c:pt>
                <c:pt idx="215">
                  <c:v>79</c:v>
                </c:pt>
                <c:pt idx="216">
                  <c:v>79</c:v>
                </c:pt>
                <c:pt idx="217">
                  <c:v>79</c:v>
                </c:pt>
                <c:pt idx="218">
                  <c:v>79</c:v>
                </c:pt>
                <c:pt idx="219">
                  <c:v>79</c:v>
                </c:pt>
                <c:pt idx="220">
                  <c:v>79</c:v>
                </c:pt>
                <c:pt idx="221">
                  <c:v>79</c:v>
                </c:pt>
                <c:pt idx="222">
                  <c:v>79</c:v>
                </c:pt>
                <c:pt idx="223">
                  <c:v>79</c:v>
                </c:pt>
                <c:pt idx="224">
                  <c:v>79</c:v>
                </c:pt>
                <c:pt idx="225">
                  <c:v>79</c:v>
                </c:pt>
                <c:pt idx="226">
                  <c:v>79</c:v>
                </c:pt>
                <c:pt idx="227">
                  <c:v>79</c:v>
                </c:pt>
                <c:pt idx="228">
                  <c:v>79</c:v>
                </c:pt>
                <c:pt idx="229">
                  <c:v>79</c:v>
                </c:pt>
                <c:pt idx="230">
                  <c:v>79</c:v>
                </c:pt>
                <c:pt idx="231">
                  <c:v>79</c:v>
                </c:pt>
                <c:pt idx="232">
                  <c:v>79</c:v>
                </c:pt>
                <c:pt idx="233">
                  <c:v>79</c:v>
                </c:pt>
                <c:pt idx="234">
                  <c:v>79</c:v>
                </c:pt>
                <c:pt idx="235">
                  <c:v>79</c:v>
                </c:pt>
                <c:pt idx="236">
                  <c:v>79</c:v>
                </c:pt>
                <c:pt idx="237">
                  <c:v>79</c:v>
                </c:pt>
                <c:pt idx="238">
                  <c:v>79</c:v>
                </c:pt>
                <c:pt idx="239">
                  <c:v>79</c:v>
                </c:pt>
                <c:pt idx="240">
                  <c:v>0</c:v>
                </c:pt>
                <c:pt idx="241">
                  <c:v>0</c:v>
                </c:pt>
                <c:pt idx="242">
                  <c:v>0</c:v>
                </c:pt>
                <c:pt idx="243">
                  <c:v>75</c:v>
                </c:pt>
                <c:pt idx="244">
                  <c:v>75</c:v>
                </c:pt>
                <c:pt idx="245">
                  <c:v>75</c:v>
                </c:pt>
                <c:pt idx="246">
                  <c:v>75</c:v>
                </c:pt>
                <c:pt idx="247">
                  <c:v>75</c:v>
                </c:pt>
                <c:pt idx="248">
                  <c:v>75</c:v>
                </c:pt>
                <c:pt idx="249">
                  <c:v>75</c:v>
                </c:pt>
                <c:pt idx="250">
                  <c:v>75</c:v>
                </c:pt>
                <c:pt idx="251">
                  <c:v>75</c:v>
                </c:pt>
                <c:pt idx="252">
                  <c:v>75</c:v>
                </c:pt>
                <c:pt idx="253">
                  <c:v>75</c:v>
                </c:pt>
                <c:pt idx="254">
                  <c:v>75</c:v>
                </c:pt>
                <c:pt idx="255">
                  <c:v>75</c:v>
                </c:pt>
                <c:pt idx="256">
                  <c:v>75</c:v>
                </c:pt>
                <c:pt idx="257">
                  <c:v>75</c:v>
                </c:pt>
                <c:pt idx="258">
                  <c:v>75</c:v>
                </c:pt>
                <c:pt idx="259">
                  <c:v>75</c:v>
                </c:pt>
                <c:pt idx="260">
                  <c:v>75</c:v>
                </c:pt>
                <c:pt idx="261">
                  <c:v>75</c:v>
                </c:pt>
                <c:pt idx="262">
                  <c:v>75</c:v>
                </c:pt>
                <c:pt idx="263">
                  <c:v>75</c:v>
                </c:pt>
                <c:pt idx="264">
                  <c:v>75</c:v>
                </c:pt>
                <c:pt idx="265">
                  <c:v>75</c:v>
                </c:pt>
                <c:pt idx="266">
                  <c:v>75</c:v>
                </c:pt>
                <c:pt idx="267">
                  <c:v>75</c:v>
                </c:pt>
                <c:pt idx="268">
                  <c:v>75</c:v>
                </c:pt>
                <c:pt idx="269">
                  <c:v>75</c:v>
                </c:pt>
                <c:pt idx="270">
                  <c:v>0</c:v>
                </c:pt>
                <c:pt idx="271">
                  <c:v>0</c:v>
                </c:pt>
                <c:pt idx="272">
                  <c:v>0</c:v>
                </c:pt>
                <c:pt idx="273">
                  <c:v>74</c:v>
                </c:pt>
                <c:pt idx="274">
                  <c:v>74</c:v>
                </c:pt>
                <c:pt idx="275">
                  <c:v>74</c:v>
                </c:pt>
                <c:pt idx="276">
                  <c:v>74</c:v>
                </c:pt>
                <c:pt idx="277">
                  <c:v>74</c:v>
                </c:pt>
                <c:pt idx="278">
                  <c:v>74</c:v>
                </c:pt>
                <c:pt idx="279">
                  <c:v>74</c:v>
                </c:pt>
                <c:pt idx="280">
                  <c:v>74</c:v>
                </c:pt>
                <c:pt idx="281">
                  <c:v>74</c:v>
                </c:pt>
                <c:pt idx="282">
                  <c:v>74</c:v>
                </c:pt>
                <c:pt idx="283">
                  <c:v>74</c:v>
                </c:pt>
                <c:pt idx="284">
                  <c:v>74</c:v>
                </c:pt>
                <c:pt idx="285">
                  <c:v>74</c:v>
                </c:pt>
                <c:pt idx="286">
                  <c:v>74</c:v>
                </c:pt>
                <c:pt idx="287">
                  <c:v>74</c:v>
                </c:pt>
                <c:pt idx="288">
                  <c:v>74</c:v>
                </c:pt>
                <c:pt idx="289">
                  <c:v>74</c:v>
                </c:pt>
                <c:pt idx="290">
                  <c:v>74</c:v>
                </c:pt>
                <c:pt idx="291">
                  <c:v>74</c:v>
                </c:pt>
                <c:pt idx="292">
                  <c:v>74</c:v>
                </c:pt>
                <c:pt idx="293">
                  <c:v>74</c:v>
                </c:pt>
                <c:pt idx="294">
                  <c:v>74</c:v>
                </c:pt>
                <c:pt idx="295">
                  <c:v>74</c:v>
                </c:pt>
                <c:pt idx="296">
                  <c:v>74</c:v>
                </c:pt>
                <c:pt idx="297">
                  <c:v>74</c:v>
                </c:pt>
                <c:pt idx="298">
                  <c:v>74</c:v>
                </c:pt>
                <c:pt idx="299">
                  <c:v>74</c:v>
                </c:pt>
                <c:pt idx="300">
                  <c:v>0</c:v>
                </c:pt>
                <c:pt idx="301">
                  <c:v>0</c:v>
                </c:pt>
                <c:pt idx="302">
                  <c:v>0</c:v>
                </c:pt>
                <c:pt idx="303">
                  <c:v>72</c:v>
                </c:pt>
                <c:pt idx="304">
                  <c:v>72</c:v>
                </c:pt>
                <c:pt idx="305">
                  <c:v>72</c:v>
                </c:pt>
                <c:pt idx="306">
                  <c:v>72</c:v>
                </c:pt>
                <c:pt idx="307">
                  <c:v>72</c:v>
                </c:pt>
                <c:pt idx="308">
                  <c:v>72</c:v>
                </c:pt>
                <c:pt idx="309">
                  <c:v>72</c:v>
                </c:pt>
                <c:pt idx="310">
                  <c:v>72</c:v>
                </c:pt>
                <c:pt idx="311">
                  <c:v>72</c:v>
                </c:pt>
                <c:pt idx="312">
                  <c:v>72</c:v>
                </c:pt>
                <c:pt idx="313">
                  <c:v>72</c:v>
                </c:pt>
                <c:pt idx="314">
                  <c:v>72</c:v>
                </c:pt>
                <c:pt idx="315">
                  <c:v>72</c:v>
                </c:pt>
                <c:pt idx="316">
                  <c:v>72</c:v>
                </c:pt>
                <c:pt idx="317">
                  <c:v>72</c:v>
                </c:pt>
                <c:pt idx="318">
                  <c:v>72</c:v>
                </c:pt>
                <c:pt idx="319">
                  <c:v>72</c:v>
                </c:pt>
                <c:pt idx="320">
                  <c:v>72</c:v>
                </c:pt>
                <c:pt idx="321">
                  <c:v>72</c:v>
                </c:pt>
                <c:pt idx="322">
                  <c:v>72</c:v>
                </c:pt>
                <c:pt idx="323">
                  <c:v>72</c:v>
                </c:pt>
                <c:pt idx="324">
                  <c:v>72</c:v>
                </c:pt>
                <c:pt idx="325">
                  <c:v>72</c:v>
                </c:pt>
                <c:pt idx="326">
                  <c:v>72</c:v>
                </c:pt>
                <c:pt idx="327">
                  <c:v>72</c:v>
                </c:pt>
                <c:pt idx="328">
                  <c:v>72</c:v>
                </c:pt>
                <c:pt idx="329">
                  <c:v>72</c:v>
                </c:pt>
                <c:pt idx="330">
                  <c:v>0</c:v>
                </c:pt>
                <c:pt idx="331">
                  <c:v>0</c:v>
                </c:pt>
                <c:pt idx="332">
                  <c:v>0</c:v>
                </c:pt>
                <c:pt idx="333">
                  <c:v>12</c:v>
                </c:pt>
                <c:pt idx="334">
                  <c:v>12</c:v>
                </c:pt>
                <c:pt idx="335">
                  <c:v>12</c:v>
                </c:pt>
                <c:pt idx="336">
                  <c:v>12</c:v>
                </c:pt>
                <c:pt idx="337">
                  <c:v>12</c:v>
                </c:pt>
                <c:pt idx="338">
                  <c:v>12</c:v>
                </c:pt>
                <c:pt idx="339">
                  <c:v>12</c:v>
                </c:pt>
                <c:pt idx="340">
                  <c:v>12</c:v>
                </c:pt>
                <c:pt idx="341">
                  <c:v>12</c:v>
                </c:pt>
                <c:pt idx="342">
                  <c:v>12</c:v>
                </c:pt>
                <c:pt idx="343">
                  <c:v>12</c:v>
                </c:pt>
                <c:pt idx="344">
                  <c:v>12</c:v>
                </c:pt>
                <c:pt idx="345">
                  <c:v>12</c:v>
                </c:pt>
                <c:pt idx="346">
                  <c:v>12</c:v>
                </c:pt>
                <c:pt idx="347">
                  <c:v>12</c:v>
                </c:pt>
                <c:pt idx="348">
                  <c:v>12</c:v>
                </c:pt>
                <c:pt idx="349">
                  <c:v>12</c:v>
                </c:pt>
                <c:pt idx="350">
                  <c:v>12</c:v>
                </c:pt>
                <c:pt idx="351">
                  <c:v>12</c:v>
                </c:pt>
                <c:pt idx="352">
                  <c:v>12</c:v>
                </c:pt>
                <c:pt idx="353">
                  <c:v>12</c:v>
                </c:pt>
                <c:pt idx="354">
                  <c:v>12</c:v>
                </c:pt>
                <c:pt idx="355">
                  <c:v>12</c:v>
                </c:pt>
                <c:pt idx="356">
                  <c:v>12</c:v>
                </c:pt>
                <c:pt idx="357">
                  <c:v>12</c:v>
                </c:pt>
                <c:pt idx="358">
                  <c:v>12</c:v>
                </c:pt>
                <c:pt idx="359">
                  <c:v>12</c:v>
                </c:pt>
              </c:numCache>
            </c:numRef>
          </c:val>
          <c:extLst>
            <c:ext xmlns:c16="http://schemas.microsoft.com/office/drawing/2014/chart" uri="{C3380CC4-5D6E-409C-BE32-E72D297353CC}">
              <c16:uniqueId val="{00000000-89F8-4021-98F6-68DEDA0F3F2D}"/>
            </c:ext>
          </c:extLst>
        </c:ser>
        <c:ser>
          <c:idx val="1"/>
          <c:order val="1"/>
          <c:tx>
            <c:strRef>
              <c:f>Processing!$S$49:$S$50</c:f>
              <c:strCache>
                <c:ptCount val="2"/>
                <c:pt idx="0">
                  <c:v>86%</c:v>
                </c:pt>
                <c:pt idx="1">
                  <c:v>Current</c:v>
                </c:pt>
              </c:strCache>
            </c:strRef>
          </c:tx>
          <c:spPr>
            <a:solidFill>
              <a:srgbClr val="FF00FF"/>
            </a:solidFill>
            <a:ln>
              <a:noFill/>
            </a:ln>
            <a:effectLst/>
          </c:spPr>
          <c:val>
            <c:numRef>
              <c:f>Processing!$S$51:$S$410</c:f>
              <c:numCache>
                <c:formatCode>General</c:formatCode>
                <c:ptCount val="360"/>
                <c:pt idx="0">
                  <c:v>0</c:v>
                </c:pt>
                <c:pt idx="1">
                  <c:v>0</c:v>
                </c:pt>
                <c:pt idx="2">
                  <c:v>0</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86</c:v>
                </c:pt>
                <c:pt idx="154">
                  <c:v>86</c:v>
                </c:pt>
                <c:pt idx="155">
                  <c:v>86</c:v>
                </c:pt>
                <c:pt idx="156">
                  <c:v>86</c:v>
                </c:pt>
                <c:pt idx="157">
                  <c:v>86</c:v>
                </c:pt>
                <c:pt idx="158">
                  <c:v>86</c:v>
                </c:pt>
                <c:pt idx="159">
                  <c:v>86</c:v>
                </c:pt>
                <c:pt idx="160">
                  <c:v>86</c:v>
                </c:pt>
                <c:pt idx="161">
                  <c:v>86</c:v>
                </c:pt>
                <c:pt idx="162">
                  <c:v>86</c:v>
                </c:pt>
                <c:pt idx="163">
                  <c:v>86</c:v>
                </c:pt>
                <c:pt idx="164">
                  <c:v>86</c:v>
                </c:pt>
                <c:pt idx="165">
                  <c:v>86</c:v>
                </c:pt>
                <c:pt idx="166">
                  <c:v>86</c:v>
                </c:pt>
                <c:pt idx="167">
                  <c:v>86</c:v>
                </c:pt>
                <c:pt idx="168">
                  <c:v>86</c:v>
                </c:pt>
                <c:pt idx="169">
                  <c:v>86</c:v>
                </c:pt>
                <c:pt idx="170">
                  <c:v>86</c:v>
                </c:pt>
                <c:pt idx="171">
                  <c:v>86</c:v>
                </c:pt>
                <c:pt idx="172">
                  <c:v>86</c:v>
                </c:pt>
                <c:pt idx="173">
                  <c:v>86</c:v>
                </c:pt>
                <c:pt idx="174">
                  <c:v>86</c:v>
                </c:pt>
                <c:pt idx="175">
                  <c:v>86</c:v>
                </c:pt>
                <c:pt idx="176">
                  <c:v>86</c:v>
                </c:pt>
                <c:pt idx="177">
                  <c:v>86</c:v>
                </c:pt>
                <c:pt idx="178">
                  <c:v>86</c:v>
                </c:pt>
                <c:pt idx="179">
                  <c:v>86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numCache>
            </c:numRef>
          </c:val>
          <c:extLst>
            <c:ext xmlns:c16="http://schemas.microsoft.com/office/drawing/2014/chart" uri="{C3380CC4-5D6E-409C-BE32-E72D297353CC}">
              <c16:uniqueId val="{00000001-89F8-4021-98F6-68DEDA0F3F2D}"/>
            </c:ext>
          </c:extLst>
        </c:ser>
        <c:dLbls>
          <c:showLegendKey val="0"/>
          <c:showVal val="0"/>
          <c:showCatName val="0"/>
          <c:showSerName val="0"/>
          <c:showPercent val="0"/>
          <c:showBubbleSize val="0"/>
        </c:dLbls>
        <c:axId val="1776382080"/>
        <c:axId val="1776382912"/>
      </c:radarChart>
      <c:catAx>
        <c:axId val="1776382080"/>
        <c:scaling>
          <c:orientation val="minMax"/>
        </c:scaling>
        <c:delete val="1"/>
        <c:axPos val="b"/>
        <c:majorTickMark val="none"/>
        <c:minorTickMark val="none"/>
        <c:tickLblPos val="nextTo"/>
        <c:crossAx val="1776382912"/>
        <c:crosses val="autoZero"/>
        <c:auto val="1"/>
        <c:lblAlgn val="ctr"/>
        <c:lblOffset val="100"/>
        <c:noMultiLvlLbl val="0"/>
      </c:catAx>
      <c:valAx>
        <c:axId val="1776382912"/>
        <c:scaling>
          <c:orientation val="minMax"/>
        </c:scaling>
        <c:delete val="1"/>
        <c:axPos val="l"/>
        <c:majorGridlines>
          <c:spPr>
            <a:ln w="9525" cap="flat" cmpd="sng" algn="ctr">
              <a:solidFill>
                <a:srgbClr val="6372A4">
                  <a:alpha val="40000"/>
                </a:srgbClr>
              </a:solidFill>
              <a:round/>
            </a:ln>
            <a:effectLst/>
          </c:spPr>
        </c:majorGridlines>
        <c:numFmt formatCode="General" sourceLinked="1"/>
        <c:majorTickMark val="none"/>
        <c:minorTickMark val="none"/>
        <c:tickLblPos val="nextTo"/>
        <c:crossAx val="177638208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415992812219228E-2"/>
          <c:y val="0.14795484464741313"/>
          <c:w val="0.9011680143755616"/>
          <c:h val="0.77134251281763422"/>
        </c:manualLayout>
      </c:layout>
      <c:barChart>
        <c:barDir val="bar"/>
        <c:grouping val="percentStacked"/>
        <c:varyColors val="0"/>
        <c:ser>
          <c:idx val="0"/>
          <c:order val="0"/>
          <c:spPr>
            <a:pattFill prst="dkVert">
              <a:fgClr>
                <a:srgbClr val="356FC1"/>
              </a:fgClr>
              <a:bgClr>
                <a:srgbClr val="050F2A"/>
              </a:bgClr>
            </a:pattFill>
            <a:ln>
              <a:noFill/>
            </a:ln>
            <a:effectLst/>
          </c:spPr>
          <c:invertIfNegative val="0"/>
          <c:dPt>
            <c:idx val="0"/>
            <c:invertIfNegative val="0"/>
            <c:bubble3D val="0"/>
            <c:spPr>
              <a:pattFill prst="dkVert">
                <a:fgClr>
                  <a:srgbClr val="66FFFF"/>
                </a:fgClr>
                <a:bgClr>
                  <a:srgbClr val="00434C"/>
                </a:bgClr>
              </a:pattFill>
              <a:ln>
                <a:noFill/>
              </a:ln>
              <a:effectLst/>
            </c:spPr>
            <c:extLst>
              <c:ext xmlns:c16="http://schemas.microsoft.com/office/drawing/2014/chart" uri="{C3380CC4-5D6E-409C-BE32-E72D297353CC}">
                <c16:uniqueId val="{00000001-612F-4FE1-B893-FD277FFAB5F3}"/>
              </c:ext>
            </c:extLst>
          </c:dPt>
          <c:dPt>
            <c:idx val="1"/>
            <c:invertIfNegative val="0"/>
            <c:bubble3D val="0"/>
            <c:spPr>
              <a:pattFill prst="dkVert">
                <a:fgClr>
                  <a:srgbClr val="33CCFF"/>
                </a:fgClr>
                <a:bgClr>
                  <a:srgbClr val="050F2A"/>
                </a:bgClr>
              </a:pattFill>
              <a:ln>
                <a:noFill/>
              </a:ln>
              <a:effectLst/>
            </c:spPr>
            <c:extLst>
              <c:ext xmlns:c16="http://schemas.microsoft.com/office/drawing/2014/chart" uri="{C3380CC4-5D6E-409C-BE32-E72D297353CC}">
                <c16:uniqueId val="{00000003-612F-4FE1-B893-FD277FFAB5F3}"/>
              </c:ext>
            </c:extLst>
          </c:dPt>
          <c:val>
            <c:numRef>
              <c:f>Processing!$Q$42:$R$42</c:f>
              <c:numCache>
                <c:formatCode>0%</c:formatCode>
                <c:ptCount val="2"/>
                <c:pt idx="0">
                  <c:v>0.51</c:v>
                </c:pt>
                <c:pt idx="1">
                  <c:v>0.66</c:v>
                </c:pt>
              </c:numCache>
            </c:numRef>
          </c:val>
          <c:extLst>
            <c:ext xmlns:c16="http://schemas.microsoft.com/office/drawing/2014/chart" uri="{C3380CC4-5D6E-409C-BE32-E72D297353CC}">
              <c16:uniqueId val="{00000004-612F-4FE1-B893-FD277FFAB5F3}"/>
            </c:ext>
          </c:extLst>
        </c:ser>
        <c:ser>
          <c:idx val="1"/>
          <c:order val="1"/>
          <c:spPr>
            <a:gradFill>
              <a:gsLst>
                <a:gs pos="47000">
                  <a:srgbClr val="0F3AA5"/>
                </a:gs>
                <a:gs pos="0">
                  <a:srgbClr val="0B205F"/>
                </a:gs>
                <a:gs pos="100000">
                  <a:srgbClr val="0B205F"/>
                </a:gs>
              </a:gsLst>
              <a:lin ang="5400000" scaled="1"/>
            </a:gradFill>
            <a:ln>
              <a:noFill/>
            </a:ln>
            <a:effectLst/>
          </c:spPr>
          <c:invertIfNegative val="0"/>
          <c:dPt>
            <c:idx val="0"/>
            <c:invertIfNegative val="0"/>
            <c:bubble3D val="0"/>
            <c:spPr>
              <a:gradFill>
                <a:gsLst>
                  <a:gs pos="47000">
                    <a:srgbClr val="00B7D2"/>
                  </a:gs>
                  <a:gs pos="3000">
                    <a:srgbClr val="00434C"/>
                  </a:gs>
                  <a:gs pos="98000">
                    <a:srgbClr val="00434C"/>
                  </a:gs>
                </a:gsLst>
                <a:lin ang="5400000" scaled="1"/>
              </a:gradFill>
              <a:ln>
                <a:noFill/>
              </a:ln>
              <a:effectLst/>
            </c:spPr>
            <c:extLst>
              <c:ext xmlns:c16="http://schemas.microsoft.com/office/drawing/2014/chart" uri="{C3380CC4-5D6E-409C-BE32-E72D297353CC}">
                <c16:uniqueId val="{00000006-612F-4FE1-B893-FD277FFAB5F3}"/>
              </c:ext>
            </c:extLst>
          </c:dPt>
          <c:dPt>
            <c:idx val="1"/>
            <c:invertIfNegative val="0"/>
            <c:bubble3D val="0"/>
            <c:spPr>
              <a:gradFill>
                <a:gsLst>
                  <a:gs pos="47000">
                    <a:srgbClr val="215BEB"/>
                  </a:gs>
                  <a:gs pos="0">
                    <a:srgbClr val="071A49"/>
                  </a:gs>
                  <a:gs pos="100000">
                    <a:srgbClr val="071A49"/>
                  </a:gs>
                </a:gsLst>
                <a:lin ang="5400000" scaled="1"/>
              </a:gradFill>
              <a:ln>
                <a:noFill/>
              </a:ln>
              <a:effectLst/>
            </c:spPr>
            <c:extLst>
              <c:ext xmlns:c16="http://schemas.microsoft.com/office/drawing/2014/chart" uri="{C3380CC4-5D6E-409C-BE32-E72D297353CC}">
                <c16:uniqueId val="{00000008-612F-4FE1-B893-FD277FFAB5F3}"/>
              </c:ext>
            </c:extLst>
          </c:dPt>
          <c:val>
            <c:numRef>
              <c:f>Processing!$Q$43:$R$43</c:f>
              <c:numCache>
                <c:formatCode>0%</c:formatCode>
                <c:ptCount val="2"/>
                <c:pt idx="0">
                  <c:v>0.49</c:v>
                </c:pt>
                <c:pt idx="1">
                  <c:v>0.33999999999999997</c:v>
                </c:pt>
              </c:numCache>
            </c:numRef>
          </c:val>
          <c:extLst>
            <c:ext xmlns:c16="http://schemas.microsoft.com/office/drawing/2014/chart" uri="{C3380CC4-5D6E-409C-BE32-E72D297353CC}">
              <c16:uniqueId val="{00000007-612F-4FE1-B893-FD277FFAB5F3}"/>
            </c:ext>
          </c:extLst>
        </c:ser>
        <c:dLbls>
          <c:showLegendKey val="0"/>
          <c:showVal val="0"/>
          <c:showCatName val="0"/>
          <c:showSerName val="0"/>
          <c:showPercent val="0"/>
          <c:showBubbleSize val="0"/>
        </c:dLbls>
        <c:gapWidth val="500"/>
        <c:overlap val="100"/>
        <c:axId val="1024584255"/>
        <c:axId val="1024607551"/>
      </c:barChart>
      <c:catAx>
        <c:axId val="1024584255"/>
        <c:scaling>
          <c:orientation val="minMax"/>
        </c:scaling>
        <c:delete val="1"/>
        <c:axPos val="l"/>
        <c:majorTickMark val="out"/>
        <c:minorTickMark val="none"/>
        <c:tickLblPos val="nextTo"/>
        <c:crossAx val="1024607551"/>
        <c:crosses val="autoZero"/>
        <c:auto val="1"/>
        <c:lblAlgn val="ctr"/>
        <c:lblOffset val="100"/>
        <c:noMultiLvlLbl val="0"/>
      </c:catAx>
      <c:valAx>
        <c:axId val="1024607551"/>
        <c:scaling>
          <c:orientation val="minMax"/>
          <c:max val="1"/>
          <c:min val="0"/>
        </c:scaling>
        <c:delete val="1"/>
        <c:axPos val="b"/>
        <c:numFmt formatCode="0%" sourceLinked="1"/>
        <c:majorTickMark val="out"/>
        <c:minorTickMark val="none"/>
        <c:tickLblPos val="nextTo"/>
        <c:crossAx val="102458425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Processing!$P$38</c:f>
              <c:strCache>
                <c:ptCount val="1"/>
                <c:pt idx="0">
                  <c:v>Workload</c:v>
                </c:pt>
              </c:strCache>
            </c:strRef>
          </c:tx>
          <c:spPr>
            <a:ln>
              <a:noFill/>
            </a:ln>
          </c:spPr>
          <c:dPt>
            <c:idx val="0"/>
            <c:bubble3D val="0"/>
            <c:spPr>
              <a:solidFill>
                <a:srgbClr val="00FFFF"/>
              </a:solidFill>
              <a:ln w="19050">
                <a:noFill/>
              </a:ln>
              <a:effectLst/>
            </c:spPr>
            <c:extLst>
              <c:ext xmlns:c16="http://schemas.microsoft.com/office/drawing/2014/chart" uri="{C3380CC4-5D6E-409C-BE32-E72D297353CC}">
                <c16:uniqueId val="{00000001-60FC-455A-93FA-DA91513E9267}"/>
              </c:ext>
            </c:extLst>
          </c:dPt>
          <c:dPt>
            <c:idx val="1"/>
            <c:bubble3D val="0"/>
            <c:spPr>
              <a:solidFill>
                <a:srgbClr val="0E555C"/>
              </a:solidFill>
              <a:ln w="19050">
                <a:noFill/>
              </a:ln>
              <a:effectLst/>
            </c:spPr>
            <c:extLst>
              <c:ext xmlns:c16="http://schemas.microsoft.com/office/drawing/2014/chart" uri="{C3380CC4-5D6E-409C-BE32-E72D297353CC}">
                <c16:uniqueId val="{00000003-60FC-455A-93FA-DA91513E9267}"/>
              </c:ext>
            </c:extLst>
          </c:dPt>
          <c:dPt>
            <c:idx val="2"/>
            <c:bubble3D val="0"/>
            <c:spPr>
              <a:noFill/>
              <a:ln w="19050">
                <a:noFill/>
              </a:ln>
              <a:effectLst/>
            </c:spPr>
            <c:extLst>
              <c:ext xmlns:c16="http://schemas.microsoft.com/office/drawing/2014/chart" uri="{C3380CC4-5D6E-409C-BE32-E72D297353CC}">
                <c16:uniqueId val="{00000005-60FC-455A-93FA-DA91513E9267}"/>
              </c:ext>
            </c:extLst>
          </c:dPt>
          <c:val>
            <c:numRef>
              <c:f>Processing!$Q$38:$R$38</c:f>
              <c:numCache>
                <c:formatCode>0%</c:formatCode>
                <c:ptCount val="2"/>
                <c:pt idx="0">
                  <c:v>0.65100000000000002</c:v>
                </c:pt>
                <c:pt idx="1">
                  <c:v>0.34899999999999998</c:v>
                </c:pt>
              </c:numCache>
            </c:numRef>
          </c:val>
          <c:extLst>
            <c:ext xmlns:c16="http://schemas.microsoft.com/office/drawing/2014/chart" uri="{C3380CC4-5D6E-409C-BE32-E72D297353CC}">
              <c16:uniqueId val="{00000006-60FC-455A-93FA-DA91513E9267}"/>
            </c:ext>
          </c:extLst>
        </c:ser>
        <c:ser>
          <c:idx val="0"/>
          <c:order val="1"/>
          <c:tx>
            <c:strRef>
              <c:f>Processing!$R$3</c:f>
              <c:strCache>
                <c:ptCount val="1"/>
                <c:pt idx="0">
                  <c:v>dia0</c:v>
                </c:pt>
              </c:strCache>
            </c:strRef>
          </c:tx>
          <c:spPr>
            <a:noFill/>
            <a:ln>
              <a:solidFill>
                <a:srgbClr val="00B4B0"/>
              </a:solidFill>
            </a:ln>
          </c:spPr>
          <c:dPt>
            <c:idx val="0"/>
            <c:bubble3D val="0"/>
            <c:spPr>
              <a:noFill/>
              <a:ln w="19050">
                <a:solidFill>
                  <a:srgbClr val="00B4B0"/>
                </a:solidFill>
              </a:ln>
              <a:effectLst/>
            </c:spPr>
            <c:extLst>
              <c:ext xmlns:c16="http://schemas.microsoft.com/office/drawing/2014/chart" uri="{C3380CC4-5D6E-409C-BE32-E72D297353CC}">
                <c16:uniqueId val="{00000008-60FC-455A-93FA-DA91513E9267}"/>
              </c:ext>
            </c:extLst>
          </c:dPt>
          <c:dPt>
            <c:idx val="1"/>
            <c:bubble3D val="0"/>
            <c:spPr>
              <a:noFill/>
              <a:ln w="19050">
                <a:solidFill>
                  <a:srgbClr val="00B4B0"/>
                </a:solidFill>
              </a:ln>
              <a:effectLst/>
            </c:spPr>
            <c:extLst>
              <c:ext xmlns:c16="http://schemas.microsoft.com/office/drawing/2014/chart" uri="{C3380CC4-5D6E-409C-BE32-E72D297353CC}">
                <c16:uniqueId val="{0000000A-60FC-455A-93FA-DA91513E9267}"/>
              </c:ext>
            </c:extLst>
          </c:dPt>
          <c:dPt>
            <c:idx val="2"/>
            <c:bubble3D val="0"/>
            <c:spPr>
              <a:noFill/>
              <a:ln w="19050">
                <a:solidFill>
                  <a:srgbClr val="00B4B0"/>
                </a:solidFill>
              </a:ln>
              <a:effectLst/>
            </c:spPr>
            <c:extLst>
              <c:ext xmlns:c16="http://schemas.microsoft.com/office/drawing/2014/chart" uri="{C3380CC4-5D6E-409C-BE32-E72D297353CC}">
                <c16:uniqueId val="{0000000C-60FC-455A-93FA-DA91513E9267}"/>
              </c:ext>
            </c:extLst>
          </c:dPt>
          <c:dPt>
            <c:idx val="3"/>
            <c:bubble3D val="0"/>
            <c:spPr>
              <a:noFill/>
              <a:ln w="19050">
                <a:solidFill>
                  <a:srgbClr val="00B4B0"/>
                </a:solidFill>
              </a:ln>
              <a:effectLst/>
            </c:spPr>
            <c:extLst>
              <c:ext xmlns:c16="http://schemas.microsoft.com/office/drawing/2014/chart" uri="{C3380CC4-5D6E-409C-BE32-E72D297353CC}">
                <c16:uniqueId val="{0000000E-60FC-455A-93FA-DA91513E9267}"/>
              </c:ext>
            </c:extLst>
          </c:dPt>
          <c:dPt>
            <c:idx val="4"/>
            <c:bubble3D val="0"/>
            <c:spPr>
              <a:noFill/>
              <a:ln w="19050">
                <a:solidFill>
                  <a:srgbClr val="00B4B0"/>
                </a:solidFill>
              </a:ln>
              <a:effectLst/>
            </c:spPr>
            <c:extLst>
              <c:ext xmlns:c16="http://schemas.microsoft.com/office/drawing/2014/chart" uri="{C3380CC4-5D6E-409C-BE32-E72D297353CC}">
                <c16:uniqueId val="{00000010-60FC-455A-93FA-DA91513E9267}"/>
              </c:ext>
            </c:extLst>
          </c:dPt>
          <c:dPt>
            <c:idx val="5"/>
            <c:bubble3D val="0"/>
            <c:spPr>
              <a:noFill/>
              <a:ln w="19050">
                <a:solidFill>
                  <a:srgbClr val="00B4B0"/>
                </a:solidFill>
              </a:ln>
              <a:effectLst/>
            </c:spPr>
            <c:extLst>
              <c:ext xmlns:c16="http://schemas.microsoft.com/office/drawing/2014/chart" uri="{C3380CC4-5D6E-409C-BE32-E72D297353CC}">
                <c16:uniqueId val="{00000012-60FC-455A-93FA-DA91513E9267}"/>
              </c:ext>
            </c:extLst>
          </c:dPt>
          <c:dPt>
            <c:idx val="6"/>
            <c:bubble3D val="0"/>
            <c:spPr>
              <a:noFill/>
              <a:ln w="19050">
                <a:solidFill>
                  <a:srgbClr val="00B4B0"/>
                </a:solidFill>
              </a:ln>
              <a:effectLst/>
            </c:spPr>
            <c:extLst>
              <c:ext xmlns:c16="http://schemas.microsoft.com/office/drawing/2014/chart" uri="{C3380CC4-5D6E-409C-BE32-E72D297353CC}">
                <c16:uniqueId val="{00000014-60FC-455A-93FA-DA91513E9267}"/>
              </c:ext>
            </c:extLst>
          </c:dPt>
          <c:dPt>
            <c:idx val="7"/>
            <c:bubble3D val="0"/>
            <c:spPr>
              <a:noFill/>
              <a:ln w="19050">
                <a:solidFill>
                  <a:srgbClr val="00B4B0"/>
                </a:solidFill>
              </a:ln>
              <a:effectLst/>
            </c:spPr>
            <c:extLst>
              <c:ext xmlns:c16="http://schemas.microsoft.com/office/drawing/2014/chart" uri="{C3380CC4-5D6E-409C-BE32-E72D297353CC}">
                <c16:uniqueId val="{00000016-60FC-455A-93FA-DA91513E9267}"/>
              </c:ext>
            </c:extLst>
          </c:dPt>
          <c:dPt>
            <c:idx val="8"/>
            <c:bubble3D val="0"/>
            <c:spPr>
              <a:noFill/>
              <a:ln w="19050">
                <a:solidFill>
                  <a:srgbClr val="00B4B0"/>
                </a:solidFill>
              </a:ln>
              <a:effectLst/>
            </c:spPr>
            <c:extLst>
              <c:ext xmlns:c16="http://schemas.microsoft.com/office/drawing/2014/chart" uri="{C3380CC4-5D6E-409C-BE32-E72D297353CC}">
                <c16:uniqueId val="{00000018-60FC-455A-93FA-DA91513E9267}"/>
              </c:ext>
            </c:extLst>
          </c:dPt>
          <c:dPt>
            <c:idx val="9"/>
            <c:bubble3D val="0"/>
            <c:spPr>
              <a:noFill/>
              <a:ln w="19050">
                <a:solidFill>
                  <a:srgbClr val="00B4B0"/>
                </a:solidFill>
              </a:ln>
              <a:effectLst/>
            </c:spPr>
            <c:extLst>
              <c:ext xmlns:c16="http://schemas.microsoft.com/office/drawing/2014/chart" uri="{C3380CC4-5D6E-409C-BE32-E72D297353CC}">
                <c16:uniqueId val="{0000001A-60FC-455A-93FA-DA91513E9267}"/>
              </c:ext>
            </c:extLst>
          </c:dPt>
          <c:val>
            <c:numRef>
              <c:f>Processing!$R$4:$R$13</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B-60FC-455A-93FA-DA91513E9267}"/>
            </c:ext>
          </c:extLst>
        </c:ser>
        <c:dLbls>
          <c:showLegendKey val="0"/>
          <c:showVal val="0"/>
          <c:showCatName val="0"/>
          <c:showSerName val="0"/>
          <c:showPercent val="0"/>
          <c:showBubbleSize val="0"/>
          <c:showLeaderLines val="1"/>
        </c:dLbls>
        <c:firstSliceAng val="21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Processing!$P$39</c:f>
              <c:strCache>
                <c:ptCount val="1"/>
                <c:pt idx="0">
                  <c:v>Engagement</c:v>
                </c:pt>
              </c:strCache>
            </c:strRef>
          </c:tx>
          <c:spPr>
            <a:noFill/>
            <a:ln>
              <a:noFill/>
            </a:ln>
          </c:spPr>
          <c:dPt>
            <c:idx val="0"/>
            <c:bubble3D val="0"/>
            <c:spPr>
              <a:solidFill>
                <a:srgbClr val="66CCFF"/>
              </a:solidFill>
              <a:ln w="19050">
                <a:noFill/>
              </a:ln>
              <a:effectLst/>
            </c:spPr>
            <c:extLst>
              <c:ext xmlns:c16="http://schemas.microsoft.com/office/drawing/2014/chart" uri="{C3380CC4-5D6E-409C-BE32-E72D297353CC}">
                <c16:uniqueId val="{00000001-223C-4D67-BD61-5ED8FD70E876}"/>
              </c:ext>
            </c:extLst>
          </c:dPt>
          <c:dPt>
            <c:idx val="1"/>
            <c:bubble3D val="0"/>
            <c:spPr>
              <a:solidFill>
                <a:srgbClr val="0042A2"/>
              </a:solidFill>
              <a:ln w="19050">
                <a:noFill/>
              </a:ln>
              <a:effectLst/>
            </c:spPr>
            <c:extLst>
              <c:ext xmlns:c16="http://schemas.microsoft.com/office/drawing/2014/chart" uri="{C3380CC4-5D6E-409C-BE32-E72D297353CC}">
                <c16:uniqueId val="{00000003-223C-4D67-BD61-5ED8FD70E876}"/>
              </c:ext>
            </c:extLst>
          </c:dPt>
          <c:dPt>
            <c:idx val="2"/>
            <c:bubble3D val="0"/>
            <c:spPr>
              <a:noFill/>
              <a:ln w="19050">
                <a:noFill/>
              </a:ln>
              <a:effectLst/>
            </c:spPr>
            <c:extLst>
              <c:ext xmlns:c16="http://schemas.microsoft.com/office/drawing/2014/chart" uri="{C3380CC4-5D6E-409C-BE32-E72D297353CC}">
                <c16:uniqueId val="{00000005-223C-4D67-BD61-5ED8FD70E876}"/>
              </c:ext>
            </c:extLst>
          </c:dPt>
          <c:val>
            <c:numRef>
              <c:f>Processing!$Q$39:$R$39</c:f>
              <c:numCache>
                <c:formatCode>0%</c:formatCode>
                <c:ptCount val="2"/>
                <c:pt idx="0">
                  <c:v>0.66700000000000004</c:v>
                </c:pt>
                <c:pt idx="1">
                  <c:v>0.33299999999999996</c:v>
                </c:pt>
              </c:numCache>
            </c:numRef>
          </c:val>
          <c:extLst>
            <c:ext xmlns:c16="http://schemas.microsoft.com/office/drawing/2014/chart" uri="{C3380CC4-5D6E-409C-BE32-E72D297353CC}">
              <c16:uniqueId val="{00000006-223C-4D67-BD61-5ED8FD70E876}"/>
            </c:ext>
          </c:extLst>
        </c:ser>
        <c:ser>
          <c:idx val="1"/>
          <c:order val="1"/>
          <c:tx>
            <c:strRef>
              <c:f>Processing!$R$3</c:f>
              <c:strCache>
                <c:ptCount val="1"/>
                <c:pt idx="0">
                  <c:v>dia0</c:v>
                </c:pt>
              </c:strCache>
            </c:strRef>
          </c:tx>
          <c:spPr>
            <a:noFill/>
            <a:ln>
              <a:solidFill>
                <a:srgbClr val="0062F2"/>
              </a:solidFill>
            </a:ln>
          </c:spPr>
          <c:dPt>
            <c:idx val="0"/>
            <c:bubble3D val="0"/>
            <c:spPr>
              <a:noFill/>
              <a:ln w="19050">
                <a:solidFill>
                  <a:srgbClr val="0062F2"/>
                </a:solidFill>
              </a:ln>
              <a:effectLst/>
            </c:spPr>
            <c:extLst>
              <c:ext xmlns:c16="http://schemas.microsoft.com/office/drawing/2014/chart" uri="{C3380CC4-5D6E-409C-BE32-E72D297353CC}">
                <c16:uniqueId val="{00000008-223C-4D67-BD61-5ED8FD70E876}"/>
              </c:ext>
            </c:extLst>
          </c:dPt>
          <c:dPt>
            <c:idx val="1"/>
            <c:bubble3D val="0"/>
            <c:spPr>
              <a:noFill/>
              <a:ln w="19050">
                <a:solidFill>
                  <a:srgbClr val="0062F2"/>
                </a:solidFill>
              </a:ln>
              <a:effectLst/>
            </c:spPr>
            <c:extLst>
              <c:ext xmlns:c16="http://schemas.microsoft.com/office/drawing/2014/chart" uri="{C3380CC4-5D6E-409C-BE32-E72D297353CC}">
                <c16:uniqueId val="{0000000A-223C-4D67-BD61-5ED8FD70E876}"/>
              </c:ext>
            </c:extLst>
          </c:dPt>
          <c:dPt>
            <c:idx val="2"/>
            <c:bubble3D val="0"/>
            <c:spPr>
              <a:noFill/>
              <a:ln w="19050">
                <a:solidFill>
                  <a:srgbClr val="0062F2"/>
                </a:solidFill>
              </a:ln>
              <a:effectLst/>
            </c:spPr>
            <c:extLst>
              <c:ext xmlns:c16="http://schemas.microsoft.com/office/drawing/2014/chart" uri="{C3380CC4-5D6E-409C-BE32-E72D297353CC}">
                <c16:uniqueId val="{0000000C-223C-4D67-BD61-5ED8FD70E876}"/>
              </c:ext>
            </c:extLst>
          </c:dPt>
          <c:dPt>
            <c:idx val="3"/>
            <c:bubble3D val="0"/>
            <c:spPr>
              <a:noFill/>
              <a:ln w="19050">
                <a:solidFill>
                  <a:srgbClr val="0062F2"/>
                </a:solidFill>
              </a:ln>
              <a:effectLst/>
            </c:spPr>
            <c:extLst>
              <c:ext xmlns:c16="http://schemas.microsoft.com/office/drawing/2014/chart" uri="{C3380CC4-5D6E-409C-BE32-E72D297353CC}">
                <c16:uniqueId val="{0000000E-223C-4D67-BD61-5ED8FD70E876}"/>
              </c:ext>
            </c:extLst>
          </c:dPt>
          <c:dPt>
            <c:idx val="4"/>
            <c:bubble3D val="0"/>
            <c:spPr>
              <a:noFill/>
              <a:ln w="19050">
                <a:solidFill>
                  <a:srgbClr val="0062F2"/>
                </a:solidFill>
              </a:ln>
              <a:effectLst/>
            </c:spPr>
            <c:extLst>
              <c:ext xmlns:c16="http://schemas.microsoft.com/office/drawing/2014/chart" uri="{C3380CC4-5D6E-409C-BE32-E72D297353CC}">
                <c16:uniqueId val="{00000010-223C-4D67-BD61-5ED8FD70E876}"/>
              </c:ext>
            </c:extLst>
          </c:dPt>
          <c:dPt>
            <c:idx val="5"/>
            <c:bubble3D val="0"/>
            <c:spPr>
              <a:noFill/>
              <a:ln w="19050">
                <a:solidFill>
                  <a:srgbClr val="0062F2"/>
                </a:solidFill>
              </a:ln>
              <a:effectLst/>
            </c:spPr>
            <c:extLst>
              <c:ext xmlns:c16="http://schemas.microsoft.com/office/drawing/2014/chart" uri="{C3380CC4-5D6E-409C-BE32-E72D297353CC}">
                <c16:uniqueId val="{00000012-223C-4D67-BD61-5ED8FD70E876}"/>
              </c:ext>
            </c:extLst>
          </c:dPt>
          <c:dPt>
            <c:idx val="6"/>
            <c:bubble3D val="0"/>
            <c:spPr>
              <a:noFill/>
              <a:ln w="19050">
                <a:solidFill>
                  <a:srgbClr val="0062F2"/>
                </a:solidFill>
              </a:ln>
              <a:effectLst/>
            </c:spPr>
            <c:extLst>
              <c:ext xmlns:c16="http://schemas.microsoft.com/office/drawing/2014/chart" uri="{C3380CC4-5D6E-409C-BE32-E72D297353CC}">
                <c16:uniqueId val="{00000014-223C-4D67-BD61-5ED8FD70E876}"/>
              </c:ext>
            </c:extLst>
          </c:dPt>
          <c:dPt>
            <c:idx val="7"/>
            <c:bubble3D val="0"/>
            <c:spPr>
              <a:noFill/>
              <a:ln w="19050">
                <a:solidFill>
                  <a:srgbClr val="0062F2"/>
                </a:solidFill>
              </a:ln>
              <a:effectLst/>
            </c:spPr>
            <c:extLst>
              <c:ext xmlns:c16="http://schemas.microsoft.com/office/drawing/2014/chart" uri="{C3380CC4-5D6E-409C-BE32-E72D297353CC}">
                <c16:uniqueId val="{00000016-223C-4D67-BD61-5ED8FD70E876}"/>
              </c:ext>
            </c:extLst>
          </c:dPt>
          <c:dPt>
            <c:idx val="8"/>
            <c:bubble3D val="0"/>
            <c:spPr>
              <a:noFill/>
              <a:ln w="19050">
                <a:solidFill>
                  <a:srgbClr val="0062F2"/>
                </a:solidFill>
              </a:ln>
              <a:effectLst/>
            </c:spPr>
            <c:extLst>
              <c:ext xmlns:c16="http://schemas.microsoft.com/office/drawing/2014/chart" uri="{C3380CC4-5D6E-409C-BE32-E72D297353CC}">
                <c16:uniqueId val="{00000018-223C-4D67-BD61-5ED8FD70E876}"/>
              </c:ext>
            </c:extLst>
          </c:dPt>
          <c:dPt>
            <c:idx val="9"/>
            <c:bubble3D val="0"/>
            <c:spPr>
              <a:noFill/>
              <a:ln w="19050">
                <a:solidFill>
                  <a:srgbClr val="0062F2"/>
                </a:solidFill>
              </a:ln>
              <a:effectLst/>
            </c:spPr>
            <c:extLst>
              <c:ext xmlns:c16="http://schemas.microsoft.com/office/drawing/2014/chart" uri="{C3380CC4-5D6E-409C-BE32-E72D297353CC}">
                <c16:uniqueId val="{0000001A-223C-4D67-BD61-5ED8FD70E876}"/>
              </c:ext>
            </c:extLst>
          </c:dPt>
          <c:val>
            <c:numRef>
              <c:f>Processing!$R$4:$R$13</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B-223C-4D67-BD61-5ED8FD70E876}"/>
            </c:ext>
          </c:extLst>
        </c:ser>
        <c:dLbls>
          <c:showLegendKey val="0"/>
          <c:showVal val="0"/>
          <c:showCatName val="0"/>
          <c:showSerName val="0"/>
          <c:showPercent val="0"/>
          <c:showBubbleSize val="0"/>
          <c:showLeaderLines val="1"/>
        </c:dLbls>
        <c:firstSliceAng val="21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Processing!$P$3</c:f>
          <c:strCache>
            <c:ptCount val="1"/>
            <c:pt idx="0">
              <c:v>Sprint Load Dynamics</c:v>
            </c:pt>
          </c:strCache>
        </c:strRef>
      </c:tx>
      <c:layout>
        <c:manualLayout>
          <c:xMode val="edge"/>
          <c:yMode val="edge"/>
          <c:x val="0.29437719886078068"/>
          <c:y val="2.354898936601997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ru-RU"/>
        </a:p>
      </c:txPr>
    </c:title>
    <c:autoTitleDeleted val="0"/>
    <c:plotArea>
      <c:layout>
        <c:manualLayout>
          <c:layoutTarget val="inner"/>
          <c:xMode val="edge"/>
          <c:yMode val="edge"/>
          <c:x val="5.1885799431321086E-2"/>
          <c:y val="0.19184637096242371"/>
          <c:w val="0.90791297572178475"/>
          <c:h val="0.69624698294622722"/>
        </c:manualLayout>
      </c:layout>
      <c:areaChart>
        <c:grouping val="standard"/>
        <c:varyColors val="0"/>
        <c:ser>
          <c:idx val="1"/>
          <c:order val="1"/>
          <c:tx>
            <c:v>fill</c:v>
          </c:tx>
          <c:spPr>
            <a:gradFill flip="none" rotWithShape="1">
              <a:gsLst>
                <a:gs pos="0">
                  <a:srgbClr val="1580E2">
                    <a:alpha val="74000"/>
                  </a:srgbClr>
                </a:gs>
                <a:gs pos="100000">
                  <a:srgbClr val="1580E2">
                    <a:alpha val="0"/>
                  </a:srgbClr>
                </a:gs>
              </a:gsLst>
              <a:lin ang="5400000" scaled="0"/>
              <a:tileRect/>
            </a:gradFill>
            <a:ln>
              <a:noFill/>
            </a:ln>
            <a:effectLst/>
          </c:spPr>
          <c:val>
            <c:numRef>
              <c:f>Processing!$P$4:$P$33</c:f>
              <c:numCache>
                <c:formatCode>0%</c:formatCode>
                <c:ptCount val="30"/>
                <c:pt idx="0">
                  <c:v>0.17499999999999999</c:v>
                </c:pt>
                <c:pt idx="1">
                  <c:v>0.21899999999999997</c:v>
                </c:pt>
                <c:pt idx="2">
                  <c:v>0.28499999999999998</c:v>
                </c:pt>
                <c:pt idx="3">
                  <c:v>0.375</c:v>
                </c:pt>
                <c:pt idx="4">
                  <c:v>0.48899999999999999</c:v>
                </c:pt>
                <c:pt idx="5">
                  <c:v>0.61499999999999999</c:v>
                </c:pt>
                <c:pt idx="6">
                  <c:v>0.7</c:v>
                </c:pt>
                <c:pt idx="7">
                  <c:v>0.75700000000000001</c:v>
                </c:pt>
                <c:pt idx="8">
                  <c:v>0.79099999999999993</c:v>
                </c:pt>
                <c:pt idx="9">
                  <c:v>0.80799999999999994</c:v>
                </c:pt>
                <c:pt idx="10">
                  <c:v>0.81200000000000006</c:v>
                </c:pt>
                <c:pt idx="11">
                  <c:v>0.80500000000000005</c:v>
                </c:pt>
                <c:pt idx="12">
                  <c:v>0.78</c:v>
                </c:pt>
                <c:pt idx="13">
                  <c:v>0.752</c:v>
                </c:pt>
                <c:pt idx="14">
                  <c:v>0.72599999999999998</c:v>
                </c:pt>
                <c:pt idx="15">
                  <c:v>0.70400000000000007</c:v>
                </c:pt>
                <c:pt idx="16">
                  <c:v>0.68599999999999994</c:v>
                </c:pt>
                <c:pt idx="17">
                  <c:v>0.66799999999999993</c:v>
                </c:pt>
                <c:pt idx="18">
                  <c:v>0.65400000000000003</c:v>
                </c:pt>
                <c:pt idx="19">
                  <c:v>0.64500000000000002</c:v>
                </c:pt>
                <c:pt idx="20">
                  <c:v>0.63300000000000001</c:v>
                </c:pt>
                <c:pt idx="21">
                  <c:v>0.59799999999999998</c:v>
                </c:pt>
                <c:pt idx="22">
                  <c:v>0.54700000000000004</c:v>
                </c:pt>
                <c:pt idx="23">
                  <c:v>0.48</c:v>
                </c:pt>
                <c:pt idx="24">
                  <c:v>0.41200000000000003</c:v>
                </c:pt>
                <c:pt idx="25">
                  <c:v>0.35</c:v>
                </c:pt>
                <c:pt idx="26">
                  <c:v>0.29399999999999998</c:v>
                </c:pt>
                <c:pt idx="27">
                  <c:v>0.249</c:v>
                </c:pt>
                <c:pt idx="28">
                  <c:v>0.21899999999999997</c:v>
                </c:pt>
                <c:pt idx="29">
                  <c:v>0.2</c:v>
                </c:pt>
              </c:numCache>
            </c:numRef>
          </c:val>
          <c:extLst>
            <c:ext xmlns:c16="http://schemas.microsoft.com/office/drawing/2014/chart" uri="{C3380CC4-5D6E-409C-BE32-E72D297353CC}">
              <c16:uniqueId val="{00000000-F761-4D5F-8EF5-6F8DA8EE8CC0}"/>
            </c:ext>
          </c:extLst>
        </c:ser>
        <c:dLbls>
          <c:showLegendKey val="0"/>
          <c:showVal val="0"/>
          <c:showCatName val="0"/>
          <c:showSerName val="0"/>
          <c:showPercent val="0"/>
          <c:showBubbleSize val="0"/>
        </c:dLbls>
        <c:axId val="108684703"/>
        <c:axId val="108688447"/>
      </c:areaChart>
      <c:lineChart>
        <c:grouping val="standard"/>
        <c:varyColors val="0"/>
        <c:ser>
          <c:idx val="0"/>
          <c:order val="0"/>
          <c:tx>
            <c:strRef>
              <c:f>Processing!$P$3</c:f>
              <c:strCache>
                <c:ptCount val="1"/>
                <c:pt idx="0">
                  <c:v>Sprint Load Dynamics</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Processing!$P$4:$P$33</c:f>
              <c:numCache>
                <c:formatCode>0%</c:formatCode>
                <c:ptCount val="30"/>
                <c:pt idx="0">
                  <c:v>0.17499999999999999</c:v>
                </c:pt>
                <c:pt idx="1">
                  <c:v>0.21899999999999997</c:v>
                </c:pt>
                <c:pt idx="2">
                  <c:v>0.28499999999999998</c:v>
                </c:pt>
                <c:pt idx="3">
                  <c:v>0.375</c:v>
                </c:pt>
                <c:pt idx="4">
                  <c:v>0.48899999999999999</c:v>
                </c:pt>
                <c:pt idx="5">
                  <c:v>0.61499999999999999</c:v>
                </c:pt>
                <c:pt idx="6">
                  <c:v>0.7</c:v>
                </c:pt>
                <c:pt idx="7">
                  <c:v>0.75700000000000001</c:v>
                </c:pt>
                <c:pt idx="8">
                  <c:v>0.79099999999999993</c:v>
                </c:pt>
                <c:pt idx="9">
                  <c:v>0.80799999999999994</c:v>
                </c:pt>
                <c:pt idx="10">
                  <c:v>0.81200000000000006</c:v>
                </c:pt>
                <c:pt idx="11">
                  <c:v>0.80500000000000005</c:v>
                </c:pt>
                <c:pt idx="12">
                  <c:v>0.78</c:v>
                </c:pt>
                <c:pt idx="13">
                  <c:v>0.752</c:v>
                </c:pt>
                <c:pt idx="14">
                  <c:v>0.72599999999999998</c:v>
                </c:pt>
                <c:pt idx="15">
                  <c:v>0.70400000000000007</c:v>
                </c:pt>
                <c:pt idx="16">
                  <c:v>0.68599999999999994</c:v>
                </c:pt>
                <c:pt idx="17">
                  <c:v>0.66799999999999993</c:v>
                </c:pt>
                <c:pt idx="18">
                  <c:v>0.65400000000000003</c:v>
                </c:pt>
                <c:pt idx="19">
                  <c:v>0.64500000000000002</c:v>
                </c:pt>
                <c:pt idx="20">
                  <c:v>0.63300000000000001</c:v>
                </c:pt>
                <c:pt idx="21">
                  <c:v>0.59799999999999998</c:v>
                </c:pt>
                <c:pt idx="22">
                  <c:v>0.54700000000000004</c:v>
                </c:pt>
                <c:pt idx="23">
                  <c:v>0.48</c:v>
                </c:pt>
                <c:pt idx="24">
                  <c:v>0.41200000000000003</c:v>
                </c:pt>
                <c:pt idx="25">
                  <c:v>0.35</c:v>
                </c:pt>
                <c:pt idx="26">
                  <c:v>0.29399999999999998</c:v>
                </c:pt>
                <c:pt idx="27">
                  <c:v>0.249</c:v>
                </c:pt>
                <c:pt idx="28">
                  <c:v>0.21899999999999997</c:v>
                </c:pt>
                <c:pt idx="29">
                  <c:v>0.2</c:v>
                </c:pt>
              </c:numCache>
            </c:numRef>
          </c:val>
          <c:smooth val="1"/>
          <c:extLst>
            <c:ext xmlns:c16="http://schemas.microsoft.com/office/drawing/2014/chart" uri="{C3380CC4-5D6E-409C-BE32-E72D297353CC}">
              <c16:uniqueId val="{00000001-F761-4D5F-8EF5-6F8DA8EE8CC0}"/>
            </c:ext>
          </c:extLst>
        </c:ser>
        <c:dLbls>
          <c:showLegendKey val="0"/>
          <c:showVal val="0"/>
          <c:showCatName val="0"/>
          <c:showSerName val="0"/>
          <c:showPercent val="0"/>
          <c:showBubbleSize val="0"/>
        </c:dLbls>
        <c:marker val="1"/>
        <c:smooth val="0"/>
        <c:axId val="108684703"/>
        <c:axId val="108688447"/>
      </c:lineChart>
      <c:scatterChart>
        <c:scatterStyle val="lineMarker"/>
        <c:varyColors val="0"/>
        <c:ser>
          <c:idx val="2"/>
          <c:order val="2"/>
          <c:tx>
            <c:strRef>
              <c:f>Processing!$Q$1</c:f>
              <c:strCache>
                <c:ptCount val="1"/>
                <c:pt idx="0">
                  <c:v>Marker</c:v>
                </c:pt>
              </c:strCache>
            </c:strRef>
          </c:tx>
          <c:spPr>
            <a:ln w="25400" cap="rnd">
              <a:noFill/>
              <a:round/>
            </a:ln>
            <a:effectLst>
              <a:glow rad="127000">
                <a:srgbClr val="4472C4">
                  <a:satMod val="175000"/>
                  <a:alpha val="50000"/>
                </a:srgbClr>
              </a:glow>
              <a:outerShdw blurRad="50800" dist="38100" dir="5400000" algn="t" rotWithShape="0">
                <a:prstClr val="black">
                  <a:alpha val="40000"/>
                </a:prstClr>
              </a:outerShdw>
            </a:effectLst>
          </c:spPr>
          <c:marker>
            <c:symbol val="circle"/>
            <c:size val="6"/>
            <c:spPr>
              <a:solidFill>
                <a:sysClr val="window" lastClr="FFFFFF"/>
              </a:solidFill>
              <a:ln w="9525">
                <a:solidFill>
                  <a:srgbClr val="0066FF"/>
                </a:solidFill>
              </a:ln>
              <a:effectLst>
                <a:glow rad="127000">
                  <a:srgbClr val="4472C4">
                    <a:satMod val="175000"/>
                    <a:alpha val="50000"/>
                  </a:srgbClr>
                </a:glow>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Processing!$Q$2</c:f>
              <c:numCache>
                <c:formatCode>General</c:formatCode>
                <c:ptCount val="1"/>
                <c:pt idx="0">
                  <c:v>12</c:v>
                </c:pt>
              </c:numCache>
            </c:numRef>
          </c:xVal>
          <c:yVal>
            <c:numRef>
              <c:f>Processing!$Q$4</c:f>
              <c:numCache>
                <c:formatCode>0%</c:formatCode>
                <c:ptCount val="1"/>
                <c:pt idx="0">
                  <c:v>0.80500000000000005</c:v>
                </c:pt>
              </c:numCache>
            </c:numRef>
          </c:yVal>
          <c:smooth val="0"/>
          <c:extLst>
            <c:ext xmlns:c16="http://schemas.microsoft.com/office/drawing/2014/chart" uri="{C3380CC4-5D6E-409C-BE32-E72D297353CC}">
              <c16:uniqueId val="{00000002-F761-4D5F-8EF5-6F8DA8EE8CC0}"/>
            </c:ext>
          </c:extLst>
        </c:ser>
        <c:dLbls>
          <c:showLegendKey val="0"/>
          <c:showVal val="0"/>
          <c:showCatName val="0"/>
          <c:showSerName val="0"/>
          <c:showPercent val="0"/>
          <c:showBubbleSize val="0"/>
        </c:dLbls>
        <c:axId val="108684703"/>
        <c:axId val="108688447"/>
      </c:scatterChart>
      <c:catAx>
        <c:axId val="108684703"/>
        <c:scaling>
          <c:orientation val="minMax"/>
        </c:scaling>
        <c:delete val="1"/>
        <c:axPos val="b"/>
        <c:numFmt formatCode="General" sourceLinked="1"/>
        <c:majorTickMark val="none"/>
        <c:minorTickMark val="none"/>
        <c:tickLblPos val="nextTo"/>
        <c:crossAx val="108688447"/>
        <c:crosses val="autoZero"/>
        <c:auto val="1"/>
        <c:lblAlgn val="ctr"/>
        <c:lblOffset val="100"/>
        <c:noMultiLvlLbl val="0"/>
      </c:catAx>
      <c:valAx>
        <c:axId val="108688447"/>
        <c:scaling>
          <c:orientation val="minMax"/>
          <c:max val="1"/>
          <c:min val="0"/>
        </c:scaling>
        <c:delete val="1"/>
        <c:axPos val="l"/>
        <c:majorGridlines>
          <c:spPr>
            <a:ln w="9525" cap="flat" cmpd="sng" algn="ctr">
              <a:gradFill>
                <a:gsLst>
                  <a:gs pos="0">
                    <a:srgbClr val="0D99FB">
                      <a:alpha val="39000"/>
                    </a:srgbClr>
                  </a:gs>
                  <a:gs pos="46000">
                    <a:srgbClr val="0D99FB">
                      <a:alpha val="55000"/>
                    </a:srgbClr>
                  </a:gs>
                  <a:gs pos="100000">
                    <a:srgbClr val="0D99FB">
                      <a:alpha val="19000"/>
                    </a:srgbClr>
                  </a:gs>
                </a:gsLst>
                <a:lin ang="5400000" scaled="1"/>
              </a:gradFill>
              <a:round/>
            </a:ln>
            <a:effectLst/>
          </c:spPr>
        </c:majorGridlines>
        <c:numFmt formatCode="0%" sourceLinked="0"/>
        <c:majorTickMark val="none"/>
        <c:minorTickMark val="none"/>
        <c:tickLblPos val="nextTo"/>
        <c:crossAx val="108684703"/>
        <c:crosses val="autoZero"/>
        <c:crossBetween val="between"/>
        <c:majorUnit val="0.2"/>
      </c:valAx>
      <c:spPr>
        <a:gradFill>
          <a:gsLst>
            <a:gs pos="8000">
              <a:srgbClr val="0D99FB">
                <a:alpha val="14000"/>
              </a:srgbClr>
            </a:gs>
            <a:gs pos="100000">
              <a:srgbClr val="071321">
                <a:alpha val="12000"/>
              </a:srgbClr>
            </a:gs>
          </a:gsLst>
          <a:lin ang="5400000" scaled="1"/>
        </a:gradFill>
        <a:ln>
          <a:noFill/>
        </a:ln>
        <a:effectLst/>
      </c:spPr>
    </c:plotArea>
    <c:plotVisOnly val="1"/>
    <c:dispBlanksAs val="span"/>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a:gsLst>
                <a:gs pos="6000">
                  <a:srgbClr val="0D82A2"/>
                </a:gs>
                <a:gs pos="53000">
                  <a:srgbClr val="54F0FF"/>
                </a:gs>
                <a:gs pos="96000">
                  <a:srgbClr val="0D82A2"/>
                </a:gs>
              </a:gsLst>
              <a:lin ang="5400000" scaled="1"/>
            </a:gradFill>
            <a:ln>
              <a:noFill/>
            </a:ln>
            <a:effectLst/>
          </c:spPr>
          <c:invertIfNegative val="0"/>
          <c:dLbls>
            <c:dLbl>
              <c:idx val="0"/>
              <c:layout>
                <c:manualLayout>
                  <c:x val="-4.1194381396650676E-17"/>
                  <c:y val="-0.271739130434782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60-4E07-8792-20C02AE1E19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val>
            <c:numRef>
              <c:f>Processing!$Q$19</c:f>
              <c:numCache>
                <c:formatCode>0%</c:formatCode>
                <c:ptCount val="1"/>
                <c:pt idx="0">
                  <c:v>0.34299999999999997</c:v>
                </c:pt>
              </c:numCache>
            </c:numRef>
          </c:val>
          <c:extLst>
            <c:ext xmlns:c16="http://schemas.microsoft.com/office/drawing/2014/chart" uri="{C3380CC4-5D6E-409C-BE32-E72D297353CC}">
              <c16:uniqueId val="{00000001-3060-4E07-8792-20C02AE1E19D}"/>
            </c:ext>
          </c:extLst>
        </c:ser>
        <c:ser>
          <c:idx val="1"/>
          <c:order val="1"/>
          <c:spPr>
            <a:gradFill>
              <a:gsLst>
                <a:gs pos="9000">
                  <a:srgbClr val="680068"/>
                </a:gs>
                <a:gs pos="53000">
                  <a:srgbClr val="FF00FF"/>
                </a:gs>
                <a:gs pos="93000">
                  <a:srgbClr val="680068"/>
                </a:gs>
              </a:gsLst>
              <a:lin ang="5400000" scaled="1"/>
            </a:gradFill>
            <a:ln>
              <a:noFill/>
            </a:ln>
            <a:effectLst/>
          </c:spPr>
          <c:invertIfNegative val="0"/>
          <c:dLbls>
            <c:dLbl>
              <c:idx val="0"/>
              <c:layout>
                <c:manualLayout>
                  <c:x val="-1.647775255866027E-16"/>
                  <c:y val="-0.271739130434782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60-4E07-8792-20C02AE1E19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val>
            <c:numRef>
              <c:f>Processing!$R$19</c:f>
              <c:numCache>
                <c:formatCode>0%</c:formatCode>
                <c:ptCount val="1"/>
                <c:pt idx="0">
                  <c:v>0.65700000000000003</c:v>
                </c:pt>
              </c:numCache>
            </c:numRef>
          </c:val>
          <c:extLst>
            <c:ext xmlns:c16="http://schemas.microsoft.com/office/drawing/2014/chart" uri="{C3380CC4-5D6E-409C-BE32-E72D297353CC}">
              <c16:uniqueId val="{00000003-3060-4E07-8792-20C02AE1E19D}"/>
            </c:ext>
          </c:extLst>
        </c:ser>
        <c:dLbls>
          <c:showLegendKey val="0"/>
          <c:showVal val="0"/>
          <c:showCatName val="0"/>
          <c:showSerName val="0"/>
          <c:showPercent val="0"/>
          <c:showBubbleSize val="0"/>
        </c:dLbls>
        <c:gapWidth val="500"/>
        <c:overlap val="100"/>
        <c:axId val="1138218080"/>
        <c:axId val="1138222656"/>
      </c:barChart>
      <c:catAx>
        <c:axId val="1138218080"/>
        <c:scaling>
          <c:orientation val="minMax"/>
        </c:scaling>
        <c:delete val="1"/>
        <c:axPos val="l"/>
        <c:majorTickMark val="out"/>
        <c:minorTickMark val="none"/>
        <c:tickLblPos val="nextTo"/>
        <c:crossAx val="1138222656"/>
        <c:crosses val="autoZero"/>
        <c:auto val="1"/>
        <c:lblAlgn val="ctr"/>
        <c:lblOffset val="100"/>
        <c:noMultiLvlLbl val="0"/>
      </c:catAx>
      <c:valAx>
        <c:axId val="1138222656"/>
        <c:scaling>
          <c:orientation val="minMax"/>
          <c:max val="1"/>
          <c:min val="0"/>
        </c:scaling>
        <c:delete val="1"/>
        <c:axPos val="b"/>
        <c:numFmt formatCode="0%" sourceLinked="1"/>
        <c:majorTickMark val="out"/>
        <c:minorTickMark val="none"/>
        <c:tickLblPos val="nextTo"/>
        <c:crossAx val="113821808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197089947089945E-2"/>
          <c:y val="0.10786272557217141"/>
          <c:w val="0.90760582010582014"/>
          <c:h val="0.80225166978435236"/>
        </c:manualLayout>
      </c:layout>
      <c:barChart>
        <c:barDir val="bar"/>
        <c:grouping val="percentStacked"/>
        <c:varyColors val="0"/>
        <c:ser>
          <c:idx val="0"/>
          <c:order val="0"/>
          <c:spPr>
            <a:solidFill>
              <a:schemeClr val="accent1"/>
            </a:solidFill>
            <a:ln>
              <a:noFill/>
            </a:ln>
            <a:effectLst/>
          </c:spPr>
          <c:invertIfNegative val="0"/>
          <c:dPt>
            <c:idx val="0"/>
            <c:invertIfNegative val="0"/>
            <c:bubble3D val="0"/>
            <c:spPr>
              <a:gradFill>
                <a:gsLst>
                  <a:gs pos="0">
                    <a:srgbClr val="000948"/>
                  </a:gs>
                  <a:gs pos="50000">
                    <a:srgbClr val="B9C1FF"/>
                  </a:gs>
                  <a:gs pos="100000">
                    <a:srgbClr val="000948"/>
                  </a:gs>
                </a:gsLst>
                <a:lin ang="5400000" scaled="1"/>
              </a:gradFill>
              <a:ln>
                <a:noFill/>
              </a:ln>
              <a:effectLst/>
            </c:spPr>
            <c:extLst>
              <c:ext xmlns:c16="http://schemas.microsoft.com/office/drawing/2014/chart" uri="{C3380CC4-5D6E-409C-BE32-E72D297353CC}">
                <c16:uniqueId val="{00000001-5EBE-4D41-8B58-4204693A6B1B}"/>
              </c:ext>
            </c:extLst>
          </c:dPt>
          <c:dPt>
            <c:idx val="1"/>
            <c:invertIfNegative val="0"/>
            <c:bubble3D val="0"/>
            <c:spPr>
              <a:gradFill>
                <a:gsLst>
                  <a:gs pos="0">
                    <a:srgbClr val="3E0064"/>
                  </a:gs>
                  <a:gs pos="50000">
                    <a:srgbClr val="8701DA"/>
                  </a:gs>
                  <a:gs pos="100000">
                    <a:srgbClr val="3E0064"/>
                  </a:gs>
                </a:gsLst>
                <a:lin ang="5400000" scaled="1"/>
              </a:gradFill>
              <a:ln>
                <a:noFill/>
              </a:ln>
              <a:effectLst/>
            </c:spPr>
            <c:extLst>
              <c:ext xmlns:c16="http://schemas.microsoft.com/office/drawing/2014/chart" uri="{C3380CC4-5D6E-409C-BE32-E72D297353CC}">
                <c16:uniqueId val="{00000003-5EBE-4D41-8B58-4204693A6B1B}"/>
              </c:ext>
            </c:extLst>
          </c:dPt>
          <c:dPt>
            <c:idx val="2"/>
            <c:invertIfNegative val="0"/>
            <c:bubble3D val="0"/>
            <c:spPr>
              <a:gradFill>
                <a:gsLst>
                  <a:gs pos="3000">
                    <a:srgbClr val="184155"/>
                  </a:gs>
                  <a:gs pos="50000">
                    <a:srgbClr val="00B7D2"/>
                  </a:gs>
                  <a:gs pos="99000">
                    <a:srgbClr val="184155"/>
                  </a:gs>
                </a:gsLst>
                <a:lin ang="5400000" scaled="1"/>
              </a:gradFill>
              <a:ln>
                <a:noFill/>
              </a:ln>
              <a:effectLst/>
            </c:spPr>
            <c:extLst>
              <c:ext xmlns:c16="http://schemas.microsoft.com/office/drawing/2014/chart" uri="{C3380CC4-5D6E-409C-BE32-E72D297353CC}">
                <c16:uniqueId val="{00000005-5EBE-4D41-8B58-4204693A6B1B}"/>
              </c:ext>
            </c:extLst>
          </c:dPt>
          <c:dPt>
            <c:idx val="3"/>
            <c:invertIfNegative val="0"/>
            <c:bubble3D val="0"/>
            <c:spPr>
              <a:gradFill>
                <a:gsLst>
                  <a:gs pos="3000">
                    <a:srgbClr val="073373"/>
                  </a:gs>
                  <a:gs pos="50000">
                    <a:srgbClr val="417AC7"/>
                  </a:gs>
                  <a:gs pos="97000">
                    <a:srgbClr val="073373"/>
                  </a:gs>
                </a:gsLst>
                <a:lin ang="5400000" scaled="1"/>
              </a:gradFill>
              <a:ln>
                <a:noFill/>
              </a:ln>
              <a:effectLst/>
            </c:spPr>
            <c:extLst>
              <c:ext xmlns:c16="http://schemas.microsoft.com/office/drawing/2014/chart" uri="{C3380CC4-5D6E-409C-BE32-E72D297353CC}">
                <c16:uniqueId val="{00000007-5EBE-4D41-8B58-4204693A6B1B}"/>
              </c:ext>
            </c:extLst>
          </c:dPt>
          <c:dPt>
            <c:idx val="4"/>
            <c:invertIfNegative val="0"/>
            <c:bubble3D val="0"/>
            <c:spPr>
              <a:gradFill>
                <a:gsLst>
                  <a:gs pos="3000">
                    <a:srgbClr val="017FFE"/>
                  </a:gs>
                  <a:gs pos="50000">
                    <a:srgbClr val="99CCFF"/>
                  </a:gs>
                  <a:gs pos="95000">
                    <a:srgbClr val="017FFE"/>
                  </a:gs>
                </a:gsLst>
                <a:lin ang="5400000" scaled="1"/>
              </a:gradFill>
              <a:ln>
                <a:noFill/>
              </a:ln>
              <a:effectLst/>
            </c:spPr>
            <c:extLst>
              <c:ext xmlns:c16="http://schemas.microsoft.com/office/drawing/2014/chart" uri="{C3380CC4-5D6E-409C-BE32-E72D297353CC}">
                <c16:uniqueId val="{00000009-5EBE-4D41-8B58-4204693A6B1B}"/>
              </c:ext>
            </c:extLst>
          </c:dPt>
          <c:val>
            <c:numRef>
              <c:f>Processing!$M$67:$M$71</c:f>
              <c:numCache>
                <c:formatCode>General</c:formatCode>
                <c:ptCount val="5"/>
                <c:pt idx="0">
                  <c:v>661.99999999999989</c:v>
                </c:pt>
                <c:pt idx="1">
                  <c:v>641</c:v>
                </c:pt>
                <c:pt idx="2">
                  <c:v>651</c:v>
                </c:pt>
                <c:pt idx="3">
                  <c:v>667</c:v>
                </c:pt>
                <c:pt idx="4">
                  <c:v>331</c:v>
                </c:pt>
              </c:numCache>
            </c:numRef>
          </c:val>
          <c:extLst>
            <c:ext xmlns:c16="http://schemas.microsoft.com/office/drawing/2014/chart" uri="{C3380CC4-5D6E-409C-BE32-E72D297353CC}">
              <c16:uniqueId val="{0000000A-5EBE-4D41-8B58-4204693A6B1B}"/>
            </c:ext>
          </c:extLst>
        </c:ser>
        <c:ser>
          <c:idx val="1"/>
          <c:order val="1"/>
          <c:spPr>
            <a:solidFill>
              <a:srgbClr val="192F6D"/>
            </a:solidFill>
            <a:ln>
              <a:noFill/>
            </a:ln>
            <a:effectLst>
              <a:innerShdw blurRad="63500">
                <a:prstClr val="black"/>
              </a:innerShdw>
            </a:effectLst>
          </c:spPr>
          <c:invertIfNegative val="0"/>
          <c:val>
            <c:numRef>
              <c:f>Processing!$N$67:$N$71</c:f>
              <c:numCache>
                <c:formatCode>General</c:formatCode>
                <c:ptCount val="5"/>
                <c:pt idx="0">
                  <c:v>105.00000000000011</c:v>
                </c:pt>
                <c:pt idx="1">
                  <c:v>126</c:v>
                </c:pt>
                <c:pt idx="2">
                  <c:v>116</c:v>
                </c:pt>
                <c:pt idx="3">
                  <c:v>100</c:v>
                </c:pt>
                <c:pt idx="4">
                  <c:v>436</c:v>
                </c:pt>
              </c:numCache>
            </c:numRef>
          </c:val>
          <c:extLst>
            <c:ext xmlns:c16="http://schemas.microsoft.com/office/drawing/2014/chart" uri="{C3380CC4-5D6E-409C-BE32-E72D297353CC}">
              <c16:uniqueId val="{0000000B-5EBE-4D41-8B58-4204693A6B1B}"/>
            </c:ext>
          </c:extLst>
        </c:ser>
        <c:dLbls>
          <c:showLegendKey val="0"/>
          <c:showVal val="0"/>
          <c:showCatName val="0"/>
          <c:showSerName val="0"/>
          <c:showPercent val="0"/>
          <c:showBubbleSize val="0"/>
        </c:dLbls>
        <c:gapWidth val="392"/>
        <c:overlap val="100"/>
        <c:axId val="1290724736"/>
        <c:axId val="1290725568"/>
      </c:barChart>
      <c:catAx>
        <c:axId val="1290724736"/>
        <c:scaling>
          <c:orientation val="maxMin"/>
        </c:scaling>
        <c:delete val="1"/>
        <c:axPos val="l"/>
        <c:majorTickMark val="none"/>
        <c:minorTickMark val="none"/>
        <c:tickLblPos val="nextTo"/>
        <c:crossAx val="1290725568"/>
        <c:crosses val="autoZero"/>
        <c:auto val="1"/>
        <c:lblAlgn val="ctr"/>
        <c:lblOffset val="100"/>
        <c:noMultiLvlLbl val="0"/>
      </c:catAx>
      <c:valAx>
        <c:axId val="1290725568"/>
        <c:scaling>
          <c:orientation val="minMax"/>
        </c:scaling>
        <c:delete val="1"/>
        <c:axPos val="t"/>
        <c:numFmt formatCode="0%" sourceLinked="1"/>
        <c:majorTickMark val="none"/>
        <c:minorTickMark val="none"/>
        <c:tickLblPos val="nextTo"/>
        <c:crossAx val="1290724736"/>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4127920321746E-2"/>
          <c:y val="5.8011403517526088E-2"/>
          <c:w val="0.97205872079678257"/>
          <c:h val="0.88397719296494781"/>
        </c:manualLayout>
      </c:layout>
      <c:areaChart>
        <c:grouping val="standard"/>
        <c:varyColors val="0"/>
        <c:ser>
          <c:idx val="0"/>
          <c:order val="0"/>
          <c:tx>
            <c:strRef>
              <c:f>Processing!$A$56</c:f>
              <c:strCache>
                <c:ptCount val="1"/>
                <c:pt idx="0">
                  <c:v>Plan</c:v>
                </c:pt>
              </c:strCache>
            </c:strRef>
          </c:tx>
          <c:spPr>
            <a:gradFill>
              <a:gsLst>
                <a:gs pos="94000">
                  <a:srgbClr val="172747">
                    <a:alpha val="0"/>
                  </a:srgbClr>
                </a:gs>
                <a:gs pos="29000">
                  <a:srgbClr val="2A2E75"/>
                </a:gs>
              </a:gsLst>
              <a:lin ang="5400000" scaled="0"/>
            </a:gradFill>
            <a:ln w="25400">
              <a:noFill/>
            </a:ln>
            <a:effectLst/>
          </c:spPr>
          <c:val>
            <c:numRef>
              <c:f>Processing!$A$58:$A$87</c:f>
              <c:numCache>
                <c:formatCode>0%</c:formatCode>
                <c:ptCount val="30"/>
                <c:pt idx="0">
                  <c:v>0.34</c:v>
                </c:pt>
                <c:pt idx="1">
                  <c:v>0.36899999999999999</c:v>
                </c:pt>
                <c:pt idx="2">
                  <c:v>0.40899999999999997</c:v>
                </c:pt>
                <c:pt idx="3">
                  <c:v>0.45800000000000002</c:v>
                </c:pt>
                <c:pt idx="4">
                  <c:v>0.502</c:v>
                </c:pt>
                <c:pt idx="5">
                  <c:v>0.54</c:v>
                </c:pt>
                <c:pt idx="6">
                  <c:v>0.57199999999999995</c:v>
                </c:pt>
                <c:pt idx="7">
                  <c:v>0.59699999999999998</c:v>
                </c:pt>
                <c:pt idx="8">
                  <c:v>0.61699999999999999</c:v>
                </c:pt>
                <c:pt idx="9">
                  <c:v>0.63200000000000001</c:v>
                </c:pt>
                <c:pt idx="10">
                  <c:v>0.64300000000000002</c:v>
                </c:pt>
                <c:pt idx="11">
                  <c:v>0.65</c:v>
                </c:pt>
                <c:pt idx="12">
                  <c:v>0.65300000000000002</c:v>
                </c:pt>
                <c:pt idx="13">
                  <c:v>0.65300000000000002</c:v>
                </c:pt>
                <c:pt idx="14">
                  <c:v>0.64900000000000002</c:v>
                </c:pt>
                <c:pt idx="15">
                  <c:v>0.64</c:v>
                </c:pt>
                <c:pt idx="16">
                  <c:v>0.628</c:v>
                </c:pt>
                <c:pt idx="17">
                  <c:v>0.61099999999999999</c:v>
                </c:pt>
                <c:pt idx="18">
                  <c:v>0.58899999999999997</c:v>
                </c:pt>
                <c:pt idx="19">
                  <c:v>0.56399999999999995</c:v>
                </c:pt>
                <c:pt idx="20">
                  <c:v>0.53600000000000003</c:v>
                </c:pt>
                <c:pt idx="21">
                  <c:v>0.504</c:v>
                </c:pt>
                <c:pt idx="22">
                  <c:v>0.46800000000000003</c:v>
                </c:pt>
                <c:pt idx="23">
                  <c:v>0.432</c:v>
                </c:pt>
                <c:pt idx="24">
                  <c:v>0.39200000000000002</c:v>
                </c:pt>
                <c:pt idx="25">
                  <c:v>0.35</c:v>
                </c:pt>
                <c:pt idx="26">
                  <c:v>0.312</c:v>
                </c:pt>
                <c:pt idx="27">
                  <c:v>0.28100000000000003</c:v>
                </c:pt>
                <c:pt idx="28">
                  <c:v>0.254</c:v>
                </c:pt>
                <c:pt idx="29">
                  <c:v>0.23200000000000001</c:v>
                </c:pt>
              </c:numCache>
            </c:numRef>
          </c:val>
          <c:extLst>
            <c:ext xmlns:c16="http://schemas.microsoft.com/office/drawing/2014/chart" uri="{C3380CC4-5D6E-409C-BE32-E72D297353CC}">
              <c16:uniqueId val="{00000000-CAC9-4D58-8565-D7E0DFCD718C}"/>
            </c:ext>
          </c:extLst>
        </c:ser>
        <c:ser>
          <c:idx val="1"/>
          <c:order val="1"/>
          <c:tx>
            <c:strRef>
              <c:f>Processing!$B$56</c:f>
              <c:strCache>
                <c:ptCount val="1"/>
                <c:pt idx="0">
                  <c:v>Actual</c:v>
                </c:pt>
              </c:strCache>
            </c:strRef>
          </c:tx>
          <c:spPr>
            <a:gradFill>
              <a:gsLst>
                <a:gs pos="14000">
                  <a:srgbClr val="5D63D1">
                    <a:alpha val="64000"/>
                  </a:srgbClr>
                </a:gs>
                <a:gs pos="100000">
                  <a:srgbClr val="2E327A">
                    <a:alpha val="0"/>
                  </a:srgbClr>
                </a:gs>
              </a:gsLst>
              <a:lin ang="5400000" scaled="0"/>
            </a:gradFill>
            <a:ln w="25400">
              <a:noFill/>
            </a:ln>
            <a:effectLst/>
          </c:spPr>
          <c:val>
            <c:numRef>
              <c:f>Processing!$B$58:$B$87</c:f>
              <c:numCache>
                <c:formatCode>0%</c:formatCode>
                <c:ptCount val="30"/>
                <c:pt idx="0">
                  <c:v>0.441</c:v>
                </c:pt>
                <c:pt idx="1">
                  <c:v>0.46</c:v>
                </c:pt>
                <c:pt idx="2">
                  <c:v>0.48199999999999998</c:v>
                </c:pt>
                <c:pt idx="3">
                  <c:v>0.504</c:v>
                </c:pt>
                <c:pt idx="4">
                  <c:v>0.52300000000000002</c:v>
                </c:pt>
                <c:pt idx="5">
                  <c:v>0.54</c:v>
                </c:pt>
                <c:pt idx="6">
                  <c:v>0.55500000000000005</c:v>
                </c:pt>
                <c:pt idx="7">
                  <c:v>0.56799999999999995</c:v>
                </c:pt>
                <c:pt idx="8">
                  <c:v>0.57999999999999996</c:v>
                </c:pt>
                <c:pt idx="9">
                  <c:v>0.59</c:v>
                </c:pt>
                <c:pt idx="10">
                  <c:v>0.59799999999999998</c:v>
                </c:pt>
                <c:pt idx="11">
                  <c:v>0.60499999999999998</c:v>
                </c:pt>
                <c:pt idx="12">
                  <c:v>0.60899999999999999</c:v>
                </c:pt>
                <c:pt idx="13">
                  <c:v>0.61</c:v>
                </c:pt>
                <c:pt idx="14">
                  <c:v>0.60799999999999998</c:v>
                </c:pt>
                <c:pt idx="15">
                  <c:v>0.60299999999999998</c:v>
                </c:pt>
                <c:pt idx="16">
                  <c:v>0.59399999999999997</c:v>
                </c:pt>
                <c:pt idx="17">
                  <c:v>0.58099999999999996</c:v>
                </c:pt>
                <c:pt idx="18">
                  <c:v>0.56499999999999995</c:v>
                </c:pt>
                <c:pt idx="19">
                  <c:v>0.54400000000000004</c:v>
                </c:pt>
                <c:pt idx="20">
                  <c:v>0.51900000000000002</c:v>
                </c:pt>
                <c:pt idx="21">
                  <c:v>0.49</c:v>
                </c:pt>
                <c:pt idx="22">
                  <c:v>0.45700000000000002</c:v>
                </c:pt>
                <c:pt idx="23">
                  <c:v>0.42099999999999999</c:v>
                </c:pt>
                <c:pt idx="24">
                  <c:v>0.38400000000000001</c:v>
                </c:pt>
                <c:pt idx="25">
                  <c:v>0.34899999999999998</c:v>
                </c:pt>
                <c:pt idx="26">
                  <c:v>0.318</c:v>
                </c:pt>
                <c:pt idx="27">
                  <c:v>0.29199999999999998</c:v>
                </c:pt>
                <c:pt idx="28">
                  <c:v>0.27100000000000002</c:v>
                </c:pt>
                <c:pt idx="29">
                  <c:v>0.255</c:v>
                </c:pt>
              </c:numCache>
            </c:numRef>
          </c:val>
          <c:extLst>
            <c:ext xmlns:c16="http://schemas.microsoft.com/office/drawing/2014/chart" uri="{C3380CC4-5D6E-409C-BE32-E72D297353CC}">
              <c16:uniqueId val="{00000001-CAC9-4D58-8565-D7E0DFCD718C}"/>
            </c:ext>
          </c:extLst>
        </c:ser>
        <c:dLbls>
          <c:showLegendKey val="0"/>
          <c:showVal val="0"/>
          <c:showCatName val="0"/>
          <c:showSerName val="0"/>
          <c:showPercent val="0"/>
          <c:showBubbleSize val="0"/>
        </c:dLbls>
        <c:axId val="1278943455"/>
        <c:axId val="1278943871"/>
      </c:areaChart>
      <c:lineChart>
        <c:grouping val="standard"/>
        <c:varyColors val="0"/>
        <c:ser>
          <c:idx val="2"/>
          <c:order val="2"/>
          <c:tx>
            <c:strRef>
              <c:f>Processing!$C$56</c:f>
              <c:strCache>
                <c:ptCount val="1"/>
                <c:pt idx="0">
                  <c:v>Plan</c:v>
                </c:pt>
              </c:strCache>
            </c:strRef>
          </c:tx>
          <c:spPr>
            <a:ln w="25400" cap="rnd">
              <a:solidFill>
                <a:srgbClr val="3077BE">
                  <a:alpha val="45000"/>
                </a:srgbClr>
              </a:solidFill>
              <a:round/>
            </a:ln>
            <a:effectLst/>
          </c:spPr>
          <c:marker>
            <c:symbol val="none"/>
          </c:marker>
          <c:val>
            <c:numRef>
              <c:f>Processing!$C$58:$C$87</c:f>
              <c:numCache>
                <c:formatCode>0%</c:formatCode>
                <c:ptCount val="30"/>
                <c:pt idx="0">
                  <c:v>0.34</c:v>
                </c:pt>
                <c:pt idx="1">
                  <c:v>0.36899999999999999</c:v>
                </c:pt>
                <c:pt idx="2">
                  <c:v>0.40899999999999997</c:v>
                </c:pt>
                <c:pt idx="3">
                  <c:v>0.45800000000000002</c:v>
                </c:pt>
                <c:pt idx="4">
                  <c:v>0.502</c:v>
                </c:pt>
                <c:pt idx="5">
                  <c:v>0.54</c:v>
                </c:pt>
                <c:pt idx="6">
                  <c:v>0.57199999999999995</c:v>
                </c:pt>
                <c:pt idx="7">
                  <c:v>0.59699999999999998</c:v>
                </c:pt>
                <c:pt idx="8">
                  <c:v>0.61699999999999999</c:v>
                </c:pt>
                <c:pt idx="9">
                  <c:v>0.63200000000000001</c:v>
                </c:pt>
                <c:pt idx="10">
                  <c:v>0.64300000000000002</c:v>
                </c:pt>
                <c:pt idx="11">
                  <c:v>0.65</c:v>
                </c:pt>
                <c:pt idx="12">
                  <c:v>0.65300000000000002</c:v>
                </c:pt>
                <c:pt idx="13">
                  <c:v>0.65300000000000002</c:v>
                </c:pt>
                <c:pt idx="14">
                  <c:v>0.64900000000000002</c:v>
                </c:pt>
                <c:pt idx="15">
                  <c:v>0.64</c:v>
                </c:pt>
                <c:pt idx="16">
                  <c:v>0.628</c:v>
                </c:pt>
                <c:pt idx="17">
                  <c:v>0.61099999999999999</c:v>
                </c:pt>
                <c:pt idx="18">
                  <c:v>0.58899999999999997</c:v>
                </c:pt>
                <c:pt idx="19">
                  <c:v>0.56399999999999995</c:v>
                </c:pt>
                <c:pt idx="20">
                  <c:v>0.53600000000000003</c:v>
                </c:pt>
                <c:pt idx="21">
                  <c:v>0.504</c:v>
                </c:pt>
                <c:pt idx="22">
                  <c:v>0.46800000000000003</c:v>
                </c:pt>
                <c:pt idx="23">
                  <c:v>0.432</c:v>
                </c:pt>
                <c:pt idx="24">
                  <c:v>0.39200000000000002</c:v>
                </c:pt>
                <c:pt idx="25">
                  <c:v>0.35</c:v>
                </c:pt>
                <c:pt idx="26">
                  <c:v>0.312</c:v>
                </c:pt>
                <c:pt idx="27">
                  <c:v>0.28100000000000003</c:v>
                </c:pt>
                <c:pt idx="28">
                  <c:v>0.254</c:v>
                </c:pt>
                <c:pt idx="29">
                  <c:v>0.23200000000000001</c:v>
                </c:pt>
              </c:numCache>
            </c:numRef>
          </c:val>
          <c:smooth val="1"/>
          <c:extLst>
            <c:ext xmlns:c16="http://schemas.microsoft.com/office/drawing/2014/chart" uri="{C3380CC4-5D6E-409C-BE32-E72D297353CC}">
              <c16:uniqueId val="{00000002-CAC9-4D58-8565-D7E0DFCD718C}"/>
            </c:ext>
          </c:extLst>
        </c:ser>
        <c:ser>
          <c:idx val="3"/>
          <c:order val="3"/>
          <c:tx>
            <c:strRef>
              <c:f>Processing!$D$56</c:f>
              <c:strCache>
                <c:ptCount val="1"/>
                <c:pt idx="0">
                  <c:v>Actual</c:v>
                </c:pt>
              </c:strCache>
            </c:strRef>
          </c:tx>
          <c:spPr>
            <a:ln w="25400" cap="rnd">
              <a:solidFill>
                <a:srgbClr val="3CABD9"/>
              </a:solidFill>
              <a:round/>
            </a:ln>
            <a:effectLst>
              <a:outerShdw blurRad="50800" dist="38100" dir="5400000" algn="t" rotWithShape="0">
                <a:prstClr val="black">
                  <a:alpha val="40000"/>
                </a:prstClr>
              </a:outerShdw>
            </a:effectLst>
          </c:spPr>
          <c:marker>
            <c:symbol val="none"/>
          </c:marker>
          <c:val>
            <c:numRef>
              <c:f>Processing!$D$58:$D$87</c:f>
              <c:numCache>
                <c:formatCode>0%</c:formatCode>
                <c:ptCount val="30"/>
                <c:pt idx="0">
                  <c:v>0.441</c:v>
                </c:pt>
                <c:pt idx="1">
                  <c:v>0.46</c:v>
                </c:pt>
                <c:pt idx="2">
                  <c:v>0.48199999999999998</c:v>
                </c:pt>
                <c:pt idx="3">
                  <c:v>0.504</c:v>
                </c:pt>
                <c:pt idx="4">
                  <c:v>0.52300000000000002</c:v>
                </c:pt>
                <c:pt idx="5">
                  <c:v>0.54</c:v>
                </c:pt>
                <c:pt idx="6">
                  <c:v>0.55500000000000005</c:v>
                </c:pt>
                <c:pt idx="7">
                  <c:v>0.56799999999999995</c:v>
                </c:pt>
                <c:pt idx="8">
                  <c:v>0.57999999999999996</c:v>
                </c:pt>
                <c:pt idx="9">
                  <c:v>0.59</c:v>
                </c:pt>
                <c:pt idx="10">
                  <c:v>0.59799999999999998</c:v>
                </c:pt>
                <c:pt idx="11">
                  <c:v>0.60499999999999998</c:v>
                </c:pt>
                <c:pt idx="12">
                  <c:v>0.60899999999999999</c:v>
                </c:pt>
                <c:pt idx="13">
                  <c:v>0.61</c:v>
                </c:pt>
                <c:pt idx="14">
                  <c:v>0.60799999999999998</c:v>
                </c:pt>
                <c:pt idx="15">
                  <c:v>0.60299999999999998</c:v>
                </c:pt>
                <c:pt idx="16">
                  <c:v>0.59399999999999997</c:v>
                </c:pt>
                <c:pt idx="17">
                  <c:v>0.58099999999999996</c:v>
                </c:pt>
                <c:pt idx="18">
                  <c:v>0.56499999999999995</c:v>
                </c:pt>
                <c:pt idx="19">
                  <c:v>0.54400000000000004</c:v>
                </c:pt>
                <c:pt idx="20">
                  <c:v>0.51900000000000002</c:v>
                </c:pt>
                <c:pt idx="21">
                  <c:v>0.49</c:v>
                </c:pt>
                <c:pt idx="22">
                  <c:v>0.45700000000000002</c:v>
                </c:pt>
                <c:pt idx="23">
                  <c:v>0.42099999999999999</c:v>
                </c:pt>
                <c:pt idx="24">
                  <c:v>0.38400000000000001</c:v>
                </c:pt>
                <c:pt idx="25">
                  <c:v>0.34899999999999998</c:v>
                </c:pt>
                <c:pt idx="26">
                  <c:v>0.318</c:v>
                </c:pt>
                <c:pt idx="27">
                  <c:v>0.29199999999999998</c:v>
                </c:pt>
                <c:pt idx="28">
                  <c:v>0.27100000000000002</c:v>
                </c:pt>
                <c:pt idx="29">
                  <c:v>0.255</c:v>
                </c:pt>
              </c:numCache>
            </c:numRef>
          </c:val>
          <c:smooth val="1"/>
          <c:extLst>
            <c:ext xmlns:c16="http://schemas.microsoft.com/office/drawing/2014/chart" uri="{C3380CC4-5D6E-409C-BE32-E72D297353CC}">
              <c16:uniqueId val="{00000003-CAC9-4D58-8565-D7E0DFCD718C}"/>
            </c:ext>
          </c:extLst>
        </c:ser>
        <c:dLbls>
          <c:showLegendKey val="0"/>
          <c:showVal val="0"/>
          <c:showCatName val="0"/>
          <c:showSerName val="0"/>
          <c:showPercent val="0"/>
          <c:showBubbleSize val="0"/>
        </c:dLbls>
        <c:marker val="1"/>
        <c:smooth val="0"/>
        <c:axId val="1278943455"/>
        <c:axId val="1278943871"/>
      </c:lineChart>
      <c:catAx>
        <c:axId val="1278943455"/>
        <c:scaling>
          <c:orientation val="minMax"/>
        </c:scaling>
        <c:delete val="1"/>
        <c:axPos val="b"/>
        <c:majorTickMark val="out"/>
        <c:minorTickMark val="none"/>
        <c:tickLblPos val="nextTo"/>
        <c:crossAx val="1278943871"/>
        <c:crosses val="autoZero"/>
        <c:auto val="1"/>
        <c:lblAlgn val="ctr"/>
        <c:lblOffset val="100"/>
        <c:noMultiLvlLbl val="0"/>
      </c:catAx>
      <c:valAx>
        <c:axId val="1278943871"/>
        <c:scaling>
          <c:orientation val="minMax"/>
          <c:max val="1"/>
          <c:min val="0"/>
        </c:scaling>
        <c:delete val="1"/>
        <c:axPos val="l"/>
        <c:numFmt formatCode="0%" sourceLinked="1"/>
        <c:majorTickMark val="out"/>
        <c:minorTickMark val="none"/>
        <c:tickLblPos val="nextTo"/>
        <c:crossAx val="1278943455"/>
        <c:crosses val="autoZero"/>
        <c:crossBetween val="between"/>
      </c:valAx>
      <c:spPr>
        <a:noFill/>
        <a:ln>
          <a:noFill/>
        </a:ln>
        <a:effectLst/>
      </c:spPr>
    </c:plotArea>
    <c:legend>
      <c:legendPos val="t"/>
      <c:legendEntry>
        <c:idx val="0"/>
        <c:delete val="1"/>
      </c:legendEntry>
      <c:legendEntry>
        <c:idx val="1"/>
        <c:delete val="1"/>
      </c:legendEntry>
      <c:layout>
        <c:manualLayout>
          <c:xMode val="edge"/>
          <c:yMode val="edge"/>
          <c:x val="0.17111040864417495"/>
          <c:y val="3.7976860031348356E-2"/>
          <c:w val="0.67805461361125485"/>
          <c:h val="0.1068106664141521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399FF"/>
              </a:solidFill>
              <a:latin typeface="+mn-lt"/>
              <a:ea typeface="+mn-ea"/>
              <a:cs typeface="+mn-cs"/>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10123A"/>
            </a:solidFill>
            <a:ln>
              <a:noFill/>
            </a:ln>
            <a:effectLst/>
          </c:spPr>
          <c:invertIfNegative val="0"/>
          <c:val>
            <c:numRef>
              <c:f>Processing!$S$29</c:f>
              <c:numCache>
                <c:formatCode>General</c:formatCode>
                <c:ptCount val="1"/>
                <c:pt idx="0">
                  <c:v>0</c:v>
                </c:pt>
              </c:numCache>
            </c:numRef>
          </c:val>
          <c:extLst>
            <c:ext xmlns:c16="http://schemas.microsoft.com/office/drawing/2014/chart" uri="{C3380CC4-5D6E-409C-BE32-E72D297353CC}">
              <c16:uniqueId val="{00000000-C5F9-46F5-B9F2-CDDE202FC0E3}"/>
            </c:ext>
          </c:extLst>
        </c:ser>
        <c:ser>
          <c:idx val="1"/>
          <c:order val="1"/>
          <c:spPr>
            <a:blipFill>
              <a:blip xmlns:r="http://schemas.openxmlformats.org/officeDocument/2006/relationships" r:embed="rId1"/>
              <a:stretch>
                <a:fillRect/>
              </a:stretch>
            </a:blipFill>
            <a:ln>
              <a:noFill/>
            </a:ln>
            <a:effectLst/>
          </c:spPr>
          <c:invertIfNegative val="0"/>
          <c:dPt>
            <c:idx val="0"/>
            <c:invertIfNegative val="0"/>
            <c:bubble3D val="0"/>
            <c:spPr>
              <a:blipFill>
                <a:blip xmlns:r="http://schemas.openxmlformats.org/officeDocument/2006/relationships" r:embed="rId2"/>
                <a:stretch>
                  <a:fillRect/>
                </a:stretch>
              </a:blipFill>
              <a:ln>
                <a:noFill/>
              </a:ln>
              <a:effectLst/>
            </c:spPr>
            <c:extLst>
              <c:ext xmlns:c16="http://schemas.microsoft.com/office/drawing/2014/chart" uri="{C3380CC4-5D6E-409C-BE32-E72D297353CC}">
                <c16:uniqueId val="{00000002-C5F9-46F5-B9F2-CDDE202FC0E3}"/>
              </c:ext>
            </c:extLst>
          </c:dPt>
          <c:val>
            <c:numRef>
              <c:f>Processing!$S$30</c:f>
              <c:numCache>
                <c:formatCode>General</c:formatCode>
                <c:ptCount val="1"/>
                <c:pt idx="0">
                  <c:v>0</c:v>
                </c:pt>
              </c:numCache>
            </c:numRef>
          </c:val>
          <c:extLst>
            <c:ext xmlns:c16="http://schemas.microsoft.com/office/drawing/2014/chart" uri="{C3380CC4-5D6E-409C-BE32-E72D297353CC}">
              <c16:uniqueId val="{00000003-C5F9-46F5-B9F2-CDDE202FC0E3}"/>
            </c:ext>
          </c:extLst>
        </c:ser>
        <c:dLbls>
          <c:showLegendKey val="0"/>
          <c:showVal val="0"/>
          <c:showCatName val="0"/>
          <c:showSerName val="0"/>
          <c:showPercent val="0"/>
          <c:showBubbleSize val="0"/>
        </c:dLbls>
        <c:gapWidth val="0"/>
        <c:overlap val="100"/>
        <c:axId val="1575874736"/>
        <c:axId val="1575890960"/>
      </c:barChart>
      <c:catAx>
        <c:axId val="1575874736"/>
        <c:scaling>
          <c:orientation val="minMax"/>
        </c:scaling>
        <c:delete val="1"/>
        <c:axPos val="b"/>
        <c:majorTickMark val="out"/>
        <c:minorTickMark val="none"/>
        <c:tickLblPos val="nextTo"/>
        <c:crossAx val="1575890960"/>
        <c:crosses val="autoZero"/>
        <c:auto val="1"/>
        <c:lblAlgn val="ctr"/>
        <c:lblOffset val="100"/>
        <c:noMultiLvlLbl val="0"/>
      </c:catAx>
      <c:valAx>
        <c:axId val="1575890960"/>
        <c:scaling>
          <c:orientation val="minMax"/>
          <c:max val="50"/>
        </c:scaling>
        <c:delete val="1"/>
        <c:axPos val="l"/>
        <c:numFmt formatCode="General" sourceLinked="1"/>
        <c:majorTickMark val="out"/>
        <c:minorTickMark val="none"/>
        <c:tickLblPos val="nextTo"/>
        <c:crossAx val="157587473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Processing!$A$2" max="30000" page="10" val="25902"/>
</file>

<file path=xl/ctrlProps/ctrlProp2.xml><?xml version="1.0" encoding="utf-8"?>
<formControlPr xmlns="http://schemas.microsoft.com/office/spreadsheetml/2009/9/main" objectType="CheckBox" checked="Checked" fmlaLink="Processing!$K$3" lockText="1" noThreeD="1"/>
</file>

<file path=xl/ctrlProps/ctrlProp3.xml><?xml version="1.0" encoding="utf-8"?>
<formControlPr xmlns="http://schemas.microsoft.com/office/spreadsheetml/2009/9/main" objectType="CheckBox" checked="Checked" fmlaLink="Processing!$A$57" lockText="1" noThreeD="1"/>
</file>

<file path=xl/ctrlProps/ctrlProp4.xml><?xml version="1.0" encoding="utf-8"?>
<formControlPr xmlns="http://schemas.microsoft.com/office/spreadsheetml/2009/9/main" objectType="CheckBox" checked="Checked" fmlaLink="Processing!$B$57" lockText="1" noThreeD="1"/>
</file>

<file path=xl/ctrlProps/ctrlProp5.xml><?xml version="1.0" encoding="utf-8"?>
<formControlPr xmlns="http://schemas.microsoft.com/office/spreadsheetml/2009/9/main" objectType="Spin" dx="26" fmlaLink="Processing!$A$2" max="30000" page="10" val="25902"/>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4.xml"/><Relationship Id="rId26"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4.svg"/><Relationship Id="rId25"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2.svg"/><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1.png"/><Relationship Id="rId22" Type="http://schemas.openxmlformats.org/officeDocument/2006/relationships/chart" Target="../charts/chart8.xml"/><Relationship Id="rId27"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image" Target="../media/image18.sv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373380</xdr:colOff>
      <xdr:row>1</xdr:row>
      <xdr:rowOff>30480</xdr:rowOff>
    </xdr:from>
    <xdr:to>
      <xdr:col>23</xdr:col>
      <xdr:colOff>137160</xdr:colOff>
      <xdr:row>41</xdr:row>
      <xdr:rowOff>30480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373380" y="213360"/>
          <a:ext cx="13784580" cy="7315200"/>
        </a:xfrm>
        <a:prstGeom prst="roundRect">
          <a:avLst>
            <a:gd name="adj" fmla="val 6581"/>
          </a:avLst>
        </a:prstGeom>
        <a:gradFill flip="none" rotWithShape="1">
          <a:gsLst>
            <a:gs pos="26000">
              <a:srgbClr val="15001B"/>
            </a:gs>
            <a:gs pos="100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7</xdr:col>
      <xdr:colOff>467602</xdr:colOff>
      <xdr:row>21</xdr:row>
      <xdr:rowOff>45720</xdr:rowOff>
    </xdr:from>
    <xdr:to>
      <xdr:col>16</xdr:col>
      <xdr:colOff>393459</xdr:colOff>
      <xdr:row>25</xdr:row>
      <xdr:rowOff>160020</xdr:rowOff>
    </xdr:to>
    <xdr:sp macro="" textlink="Processing!D3">
      <xdr:nvSpPr>
        <xdr:cNvPr id="1101" name="TextBox 1100">
          <a:extLst>
            <a:ext uri="{FF2B5EF4-FFF2-40B4-BE49-F238E27FC236}">
              <a16:creationId xmlns:a16="http://schemas.microsoft.com/office/drawing/2014/main" id="{00000000-0008-0000-0000-00004D040000}"/>
            </a:ext>
          </a:extLst>
        </xdr:cNvPr>
        <xdr:cNvSpPr txBox="1"/>
      </xdr:nvSpPr>
      <xdr:spPr>
        <a:xfrm>
          <a:off x="4734802" y="3886200"/>
          <a:ext cx="5412257" cy="84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D593B4-9F9E-4EB7-8D83-A19B4E72082F}" type="TxLink">
            <a:rPr lang="en-US" sz="2400" b="0" i="0" u="none" strike="noStrike" cap="none" spc="0">
              <a:ln>
                <a:noFill/>
              </a:ln>
              <a:gradFill flip="none" rotWithShape="1">
                <a:gsLst>
                  <a:gs pos="0">
                    <a:srgbClr val="5399FF"/>
                  </a:gs>
                  <a:gs pos="57000">
                    <a:srgbClr val="2E327A">
                      <a:alpha val="54000"/>
                    </a:srgbClr>
                  </a:gs>
                </a:gsLst>
                <a:lin ang="2700000" scaled="1"/>
                <a:tileRect/>
              </a:gradFill>
              <a:effectLst/>
              <a:latin typeface="Aptos Narrow"/>
            </a:rPr>
            <a:pPr algn="ctr"/>
            <a:t>AGILE PROJECT MANAGEMENT SPRINTS</a:t>
          </a:fld>
          <a:endParaRPr lang="ru-RU" sz="2800" b="0" cap="none" spc="0">
            <a:ln>
              <a:noFill/>
            </a:ln>
            <a:gradFill flip="none" rotWithShape="1">
              <a:gsLst>
                <a:gs pos="0">
                  <a:srgbClr val="5399FF"/>
                </a:gs>
                <a:gs pos="57000">
                  <a:srgbClr val="2E327A">
                    <a:alpha val="54000"/>
                  </a:srgbClr>
                </a:gs>
              </a:gsLst>
              <a:lin ang="2700000" scaled="1"/>
              <a:tileRect/>
            </a:gradFill>
            <a:effectLst/>
          </a:endParaRPr>
        </a:p>
      </xdr:txBody>
    </xdr:sp>
    <xdr:clientData/>
  </xdr:twoCellAnchor>
  <xdr:twoCellAnchor>
    <xdr:from>
      <xdr:col>15</xdr:col>
      <xdr:colOff>147828</xdr:colOff>
      <xdr:row>15</xdr:row>
      <xdr:rowOff>43084</xdr:rowOff>
    </xdr:from>
    <xdr:to>
      <xdr:col>17</xdr:col>
      <xdr:colOff>35052</xdr:colOff>
      <xdr:row>22</xdr:row>
      <xdr:rowOff>101697</xdr:rowOff>
    </xdr:to>
    <xdr:sp macro="" textlink="Processing!J3">
      <xdr:nvSpPr>
        <xdr:cNvPr id="1032" name="TextBox 1031">
          <a:extLst>
            <a:ext uri="{FF2B5EF4-FFF2-40B4-BE49-F238E27FC236}">
              <a16:creationId xmlns:a16="http://schemas.microsoft.com/office/drawing/2014/main" id="{00000000-0008-0000-0000-000008040000}"/>
            </a:ext>
          </a:extLst>
        </xdr:cNvPr>
        <xdr:cNvSpPr txBox="1"/>
      </xdr:nvSpPr>
      <xdr:spPr>
        <a:xfrm>
          <a:off x="9291828" y="2786284"/>
          <a:ext cx="1106424" cy="13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6464C1-2A86-4F0B-8F5D-4B6CF504E13D}" type="TxLink">
            <a:rPr lang="en-US" sz="10000" b="0" i="0" u="none" strike="noStrike">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latin typeface="Aptos Narrow"/>
            </a:rPr>
            <a:pPr algn="ctr"/>
            <a:t>⬛</a:t>
          </a:fld>
          <a:endParaRPr lang="ru-RU" sz="10000">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endParaRPr>
        </a:p>
      </xdr:txBody>
    </xdr:sp>
    <xdr:clientData/>
  </xdr:twoCellAnchor>
  <xdr:twoCellAnchor>
    <xdr:from>
      <xdr:col>6</xdr:col>
      <xdr:colOff>465887</xdr:colOff>
      <xdr:row>7</xdr:row>
      <xdr:rowOff>174265</xdr:rowOff>
    </xdr:from>
    <xdr:to>
      <xdr:col>8</xdr:col>
      <xdr:colOff>463753</xdr:colOff>
      <xdr:row>16</xdr:row>
      <xdr:rowOff>995</xdr:rowOff>
    </xdr:to>
    <xdr:sp macro="" textlink="Processing!J3">
      <xdr:nvSpPr>
        <xdr:cNvPr id="9" name="TextBox 8">
          <a:extLst>
            <a:ext uri="{FF2B5EF4-FFF2-40B4-BE49-F238E27FC236}">
              <a16:creationId xmlns:a16="http://schemas.microsoft.com/office/drawing/2014/main" id="{00000000-0008-0000-0000-000009000000}"/>
            </a:ext>
          </a:extLst>
        </xdr:cNvPr>
        <xdr:cNvSpPr txBox="1"/>
      </xdr:nvSpPr>
      <xdr:spPr>
        <a:xfrm>
          <a:off x="4123487" y="1454425"/>
          <a:ext cx="1217066" cy="1472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6464C1-2A86-4F0B-8F5D-4B6CF504E13D}" type="TxLink">
            <a:rPr lang="en-US" sz="10000" b="0" i="0" u="none" strike="noStrike">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atin typeface="Aptos Narrow"/>
            </a:rPr>
            <a:pPr algn="ctr"/>
            <a:t>⬛</a:t>
          </a:fld>
          <a:endParaRPr lang="ru-RU" sz="1000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ndParaRPr>
        </a:p>
      </xdr:txBody>
    </xdr:sp>
    <xdr:clientData/>
  </xdr:twoCellAnchor>
  <xdr:twoCellAnchor>
    <xdr:from>
      <xdr:col>1</xdr:col>
      <xdr:colOff>152400</xdr:colOff>
      <xdr:row>22</xdr:row>
      <xdr:rowOff>160020</xdr:rowOff>
    </xdr:from>
    <xdr:to>
      <xdr:col>6</xdr:col>
      <xdr:colOff>76200</xdr:colOff>
      <xdr:row>39</xdr:row>
      <xdr:rowOff>0</xdr:rowOff>
    </xdr:to>
    <xdr:sp macro="" textlink="Processing!Q17">
      <xdr:nvSpPr>
        <xdr:cNvPr id="13" name="Rectangle: Rounded Corners 12">
          <a:extLst>
            <a:ext uri="{FF2B5EF4-FFF2-40B4-BE49-F238E27FC236}">
              <a16:creationId xmlns:a16="http://schemas.microsoft.com/office/drawing/2014/main" id="{00000000-0008-0000-0000-00000D000000}"/>
            </a:ext>
          </a:extLst>
        </xdr:cNvPr>
        <xdr:cNvSpPr/>
      </xdr:nvSpPr>
      <xdr:spPr>
        <a:xfrm>
          <a:off x="762000" y="4183380"/>
          <a:ext cx="2971800" cy="2948940"/>
        </a:xfrm>
        <a:prstGeom prst="roundRect">
          <a:avLst>
            <a:gd name="adj" fmla="val 8584"/>
          </a:avLst>
        </a:prstGeom>
        <a:gradFill>
          <a:gsLst>
            <a:gs pos="0">
              <a:srgbClr val="323687"/>
            </a:gs>
            <a:gs pos="61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22E51121-8A15-4201-AB06-88DAFC823593}" type="TxLink">
            <a:rPr lang="en-US" sz="1100" b="0" i="0" u="none" strike="noStrike" kern="1200">
              <a:solidFill>
                <a:srgbClr val="5399FF"/>
              </a:solidFill>
              <a:latin typeface="Aptos Narrow"/>
              <a:ea typeface="+mn-ea"/>
              <a:cs typeface="+mn-cs"/>
            </a:rPr>
            <a:pPr marL="0" indent="0" algn="ctr" defTabSz="914400" rtl="0" eaLnBrk="1" latinLnBrk="0" hangingPunct="1"/>
            <a:t>Backlog</a:t>
          </a:fld>
          <a:endParaRPr lang="ru-RU" sz="1800" kern="1200">
            <a:solidFill>
              <a:srgbClr val="5399FF"/>
            </a:solidFill>
            <a:latin typeface="+mn-lt"/>
            <a:ea typeface="+mn-ea"/>
            <a:cs typeface="+mn-cs"/>
          </a:endParaRPr>
        </a:p>
      </xdr:txBody>
    </xdr:sp>
    <xdr:clientData/>
  </xdr:twoCellAnchor>
  <xdr:twoCellAnchor>
    <xdr:from>
      <xdr:col>17</xdr:col>
      <xdr:colOff>464820</xdr:colOff>
      <xdr:row>3</xdr:row>
      <xdr:rowOff>60960</xdr:rowOff>
    </xdr:from>
    <xdr:to>
      <xdr:col>22</xdr:col>
      <xdr:colOff>388620</xdr:colOff>
      <xdr:row>15</xdr:row>
      <xdr:rowOff>7620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0828020" y="609600"/>
          <a:ext cx="2971800" cy="2141220"/>
        </a:xfrm>
        <a:prstGeom prst="roundRect">
          <a:avLst>
            <a:gd name="adj" fmla="val 10998"/>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464820</xdr:colOff>
      <xdr:row>16</xdr:row>
      <xdr:rowOff>53340</xdr:rowOff>
    </xdr:from>
    <xdr:to>
      <xdr:col>22</xdr:col>
      <xdr:colOff>388620</xdr:colOff>
      <xdr:row>25</xdr:row>
      <xdr:rowOff>114300</xdr:rowOff>
    </xdr:to>
    <xdr:sp macro="" textlink="Processing!R49">
      <xdr:nvSpPr>
        <xdr:cNvPr id="15" name="Rectangle: Rounded Corners 14">
          <a:extLst>
            <a:ext uri="{FF2B5EF4-FFF2-40B4-BE49-F238E27FC236}">
              <a16:creationId xmlns:a16="http://schemas.microsoft.com/office/drawing/2014/main" id="{00000000-0008-0000-0000-00000F000000}"/>
            </a:ext>
          </a:extLst>
        </xdr:cNvPr>
        <xdr:cNvSpPr/>
      </xdr:nvSpPr>
      <xdr:spPr>
        <a:xfrm>
          <a:off x="10828020" y="2979420"/>
          <a:ext cx="2971800" cy="1706880"/>
        </a:xfrm>
        <a:prstGeom prst="roundRect">
          <a:avLst>
            <a:gd name="adj" fmla="val 1274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4FB52CEF-EF3F-439A-9D69-2DB24883C39C}" type="TxLink">
            <a:rPr lang="en-US" sz="1100" b="0" i="0" u="none" strike="noStrike" kern="1200">
              <a:solidFill>
                <a:srgbClr val="5399FF"/>
              </a:solidFill>
              <a:latin typeface="Aptos Narrow"/>
              <a:ea typeface="+mn-ea"/>
              <a:cs typeface="+mn-cs"/>
            </a:rPr>
            <a:pPr marL="0" indent="0" algn="l" defTabSz="914400" rtl="0" eaLnBrk="1" latinLnBrk="0" hangingPunct="1"/>
            <a:t>   Costs Level</a:t>
          </a:fld>
          <a:endParaRPr lang="ru-RU" sz="1800" b="0" kern="1200">
            <a:solidFill>
              <a:srgbClr val="5399FF"/>
            </a:solidFill>
            <a:latin typeface="+mn-lt"/>
            <a:ea typeface="+mn-ea"/>
            <a:cs typeface="+mn-cs"/>
          </a:endParaRPr>
        </a:p>
      </xdr:txBody>
    </xdr:sp>
    <xdr:clientData/>
  </xdr:twoCellAnchor>
  <xdr:twoCellAnchor>
    <xdr:from>
      <xdr:col>17</xdr:col>
      <xdr:colOff>464820</xdr:colOff>
      <xdr:row>26</xdr:row>
      <xdr:rowOff>167640</xdr:rowOff>
    </xdr:from>
    <xdr:to>
      <xdr:col>22</xdr:col>
      <xdr:colOff>388620</xdr:colOff>
      <xdr:row>39</xdr:row>
      <xdr:rowOff>0</xdr:rowOff>
    </xdr:to>
    <xdr:sp macro="" textlink="Processing!C55">
      <xdr:nvSpPr>
        <xdr:cNvPr id="16" name="Rectangle: Rounded Corners 15">
          <a:extLst>
            <a:ext uri="{FF2B5EF4-FFF2-40B4-BE49-F238E27FC236}">
              <a16:creationId xmlns:a16="http://schemas.microsoft.com/office/drawing/2014/main" id="{00000000-0008-0000-0000-000010000000}"/>
            </a:ext>
          </a:extLst>
        </xdr:cNvPr>
        <xdr:cNvSpPr/>
      </xdr:nvSpPr>
      <xdr:spPr>
        <a:xfrm>
          <a:off x="10828020" y="4922520"/>
          <a:ext cx="2971800" cy="2209800"/>
        </a:xfrm>
        <a:prstGeom prst="roundRect">
          <a:avLst>
            <a:gd name="adj" fmla="val 10998"/>
          </a:avLst>
        </a:prstGeom>
        <a:gradFill>
          <a:gsLst>
            <a:gs pos="0">
              <a:srgbClr val="323687"/>
            </a:gs>
            <a:gs pos="62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B1218928-5A85-414A-970D-0ADD17AC66F8}" type="TxLink">
            <a:rPr lang="en-US" sz="1100" b="0" i="0" u="none" strike="noStrike" kern="1200">
              <a:solidFill>
                <a:srgbClr val="5399FF"/>
              </a:solidFill>
              <a:latin typeface="Aptos Narrow"/>
              <a:ea typeface="+mn-ea"/>
              <a:cs typeface="+mn-cs"/>
            </a:rPr>
            <a:pPr marL="0" indent="0" algn="ctr" defTabSz="914400" rtl="0" eaLnBrk="1" latinLnBrk="0" hangingPunct="1"/>
            <a:t>Burndown / Burnup Chart</a:t>
          </a:fld>
          <a:endParaRPr lang="ru-RU" sz="1800" kern="1200">
            <a:solidFill>
              <a:srgbClr val="5399FF"/>
            </a:solidFill>
            <a:latin typeface="+mn-lt"/>
            <a:ea typeface="+mn-ea"/>
            <a:cs typeface="+mn-cs"/>
          </a:endParaRPr>
        </a:p>
      </xdr:txBody>
    </xdr:sp>
    <xdr:clientData/>
  </xdr:twoCellAnchor>
  <xdr:twoCellAnchor>
    <xdr:from>
      <xdr:col>11</xdr:col>
      <xdr:colOff>520700</xdr:colOff>
      <xdr:row>23</xdr:row>
      <xdr:rowOff>83820</xdr:rowOff>
    </xdr:from>
    <xdr:to>
      <xdr:col>17</xdr:col>
      <xdr:colOff>231140</xdr:colOff>
      <xdr:row>39</xdr:row>
      <xdr:rowOff>0</xdr:rowOff>
    </xdr:to>
    <xdr:sp macro="" textlink="Processing!H8">
      <xdr:nvSpPr>
        <xdr:cNvPr id="17" name="Rectangle: Rounded Corners 16">
          <a:extLst>
            <a:ext uri="{FF2B5EF4-FFF2-40B4-BE49-F238E27FC236}">
              <a16:creationId xmlns:a16="http://schemas.microsoft.com/office/drawing/2014/main" id="{00000000-0008-0000-0000-000011000000}"/>
            </a:ext>
          </a:extLst>
        </xdr:cNvPr>
        <xdr:cNvSpPr/>
      </xdr:nvSpPr>
      <xdr:spPr>
        <a:xfrm>
          <a:off x="7226300" y="4290060"/>
          <a:ext cx="3368040" cy="2842260"/>
        </a:xfrm>
        <a:prstGeom prst="roundRect">
          <a:avLst>
            <a:gd name="adj" fmla="val 9658"/>
          </a:avLst>
        </a:prstGeom>
        <a:gradFill>
          <a:gsLst>
            <a:gs pos="0">
              <a:srgbClr val="323687"/>
            </a:gs>
            <a:gs pos="66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B719F5E6-21FE-4FBA-86A8-5107607FAF17}" type="TxLink">
            <a:rPr lang="en-US" sz="1100" b="0" i="0" u="none" strike="noStrike" kern="1200">
              <a:solidFill>
                <a:srgbClr val="5399FF"/>
              </a:solidFill>
              <a:latin typeface="Aptos Narrow"/>
              <a:ea typeface="+mn-ea"/>
              <a:cs typeface="+mn-cs"/>
            </a:rPr>
            <a:pPr marL="0" indent="0" algn="l" defTabSz="914400" rtl="0" eaLnBrk="1" latinLnBrk="0" hangingPunct="1"/>
            <a:t>   Agile Sprints</a:t>
          </a:fld>
          <a:endParaRPr lang="ru-RU" sz="1800" kern="1200">
            <a:solidFill>
              <a:srgbClr val="5399FF"/>
            </a:solidFill>
            <a:latin typeface="+mn-lt"/>
            <a:ea typeface="+mn-ea"/>
            <a:cs typeface="+mn-cs"/>
          </a:endParaRPr>
        </a:p>
      </xdr:txBody>
    </xdr:sp>
    <xdr:clientData/>
  </xdr:twoCellAnchor>
  <xdr:twoCellAnchor>
    <xdr:from>
      <xdr:col>6</xdr:col>
      <xdr:colOff>309880</xdr:colOff>
      <xdr:row>26</xdr:row>
      <xdr:rowOff>167640</xdr:rowOff>
    </xdr:from>
    <xdr:to>
      <xdr:col>11</xdr:col>
      <xdr:colOff>287020</xdr:colOff>
      <xdr:row>39</xdr:row>
      <xdr:rowOff>0</xdr:rowOff>
    </xdr:to>
    <xdr:sp macro="" textlink="Processing!M66">
      <xdr:nvSpPr>
        <xdr:cNvPr id="18" name="Rectangle: Rounded Corners 17">
          <a:extLst>
            <a:ext uri="{FF2B5EF4-FFF2-40B4-BE49-F238E27FC236}">
              <a16:creationId xmlns:a16="http://schemas.microsoft.com/office/drawing/2014/main" id="{00000000-0008-0000-0000-000012000000}"/>
            </a:ext>
          </a:extLst>
        </xdr:cNvPr>
        <xdr:cNvSpPr/>
      </xdr:nvSpPr>
      <xdr:spPr>
        <a:xfrm>
          <a:off x="3967480" y="4922520"/>
          <a:ext cx="3025140" cy="2209800"/>
        </a:xfrm>
        <a:prstGeom prst="roundRect">
          <a:avLst>
            <a:gd name="adj" fmla="val 10998"/>
          </a:avLst>
        </a:prstGeom>
        <a:gradFill>
          <a:gsLst>
            <a:gs pos="0">
              <a:srgbClr val="323687"/>
            </a:gs>
            <a:gs pos="5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153B638-7E7B-44E9-9F0E-CF379639FAA6}" type="TxLink">
            <a:rPr lang="en-US" sz="1100" b="0" i="0" u="none" strike="noStrike" kern="1200">
              <a:solidFill>
                <a:srgbClr val="5399FF"/>
              </a:solidFill>
              <a:latin typeface="Aptos Narrow"/>
              <a:ea typeface="+mn-ea"/>
              <a:cs typeface="+mn-cs"/>
            </a:rPr>
            <a:pPr marL="0" indent="0" algn="ctr" defTabSz="914400" rtl="0" eaLnBrk="1" latinLnBrk="0" hangingPunct="1"/>
            <a:t>Manufacturing Chain</a:t>
          </a:fld>
          <a:endParaRPr lang="ru-RU" sz="1800" kern="1200">
            <a:solidFill>
              <a:srgbClr val="5399FF"/>
            </a:solidFill>
            <a:latin typeface="+mn-lt"/>
            <a:ea typeface="+mn-ea"/>
            <a:cs typeface="+mn-cs"/>
          </a:endParaRPr>
        </a:p>
      </xdr:txBody>
    </xdr:sp>
    <xdr:clientData/>
  </xdr:twoCellAnchor>
  <xdr:twoCellAnchor>
    <xdr:from>
      <xdr:col>8</xdr:col>
      <xdr:colOff>541020</xdr:colOff>
      <xdr:row>15</xdr:row>
      <xdr:rowOff>152400</xdr:rowOff>
    </xdr:from>
    <xdr:to>
      <xdr:col>16</xdr:col>
      <xdr:colOff>190361</xdr:colOff>
      <xdr:row>21</xdr:row>
      <xdr:rowOff>137161</xdr:rowOff>
    </xdr:to>
    <xdr:sp macro="" textlink="">
      <xdr:nvSpPr>
        <xdr:cNvPr id="20" name="Freeform: Shape 19">
          <a:extLst>
            <a:ext uri="{FF2B5EF4-FFF2-40B4-BE49-F238E27FC236}">
              <a16:creationId xmlns:a16="http://schemas.microsoft.com/office/drawing/2014/main" id="{00000000-0008-0000-0000-000014000000}"/>
            </a:ext>
          </a:extLst>
        </xdr:cNvPr>
        <xdr:cNvSpPr/>
      </xdr:nvSpPr>
      <xdr:spPr>
        <a:xfrm>
          <a:off x="5417820" y="2895600"/>
          <a:ext cx="4526141" cy="1082041"/>
        </a:xfrm>
        <a:custGeom>
          <a:avLst/>
          <a:gdLst>
            <a:gd name="connsiteX0" fmla="*/ 0 w 5770880"/>
            <a:gd name="connsiteY0" fmla="*/ 0 h 619760"/>
            <a:gd name="connsiteX1" fmla="*/ 5770880 w 5770880"/>
            <a:gd name="connsiteY1" fmla="*/ 619760 h 619760"/>
            <a:gd name="connsiteX0" fmla="*/ 0 w 5770880"/>
            <a:gd name="connsiteY0" fmla="*/ 0 h 619760"/>
            <a:gd name="connsiteX1" fmla="*/ 5770880 w 5770880"/>
            <a:gd name="connsiteY1" fmla="*/ 619760 h 619760"/>
            <a:gd name="connsiteX2" fmla="*/ 0 w 5770880"/>
            <a:gd name="connsiteY2" fmla="*/ 0 h 619760"/>
            <a:gd name="connsiteX0" fmla="*/ 0 w 5770880"/>
            <a:gd name="connsiteY0" fmla="*/ 0 h 619760"/>
            <a:gd name="connsiteX1" fmla="*/ 5770880 w 5770880"/>
            <a:gd name="connsiteY1" fmla="*/ 619760 h 619760"/>
            <a:gd name="connsiteX2" fmla="*/ 0 w 5770880"/>
            <a:gd name="connsiteY2" fmla="*/ 0 h 619760"/>
            <a:gd name="connsiteX0" fmla="*/ 5679440 w 5679440"/>
            <a:gd name="connsiteY0" fmla="*/ 528320 h 528320"/>
            <a:gd name="connsiteX1" fmla="*/ 0 w 5679440"/>
            <a:gd name="connsiteY1" fmla="*/ 0 h 528320"/>
            <a:gd name="connsiteX0" fmla="*/ 5760720 w 5760720"/>
            <a:gd name="connsiteY0" fmla="*/ 20991 h 814935"/>
            <a:gd name="connsiteX1" fmla="*/ 0 w 5760720"/>
            <a:gd name="connsiteY1" fmla="*/ 701711 h 814935"/>
            <a:gd name="connsiteX0" fmla="*/ 6360160 w 6360160"/>
            <a:gd name="connsiteY0" fmla="*/ 528320 h 528320"/>
            <a:gd name="connsiteX1" fmla="*/ 0 w 6360160"/>
            <a:gd name="connsiteY1" fmla="*/ 0 h 528320"/>
            <a:gd name="connsiteX0" fmla="*/ 6360160 w 6360160"/>
            <a:gd name="connsiteY0" fmla="*/ 528320 h 808250"/>
            <a:gd name="connsiteX1" fmla="*/ 0 w 6360160"/>
            <a:gd name="connsiteY1" fmla="*/ 0 h 808250"/>
            <a:gd name="connsiteX0" fmla="*/ 6278880 w 6278880"/>
            <a:gd name="connsiteY0" fmla="*/ 924560 h 976918"/>
            <a:gd name="connsiteX1" fmla="*/ 0 w 6278880"/>
            <a:gd name="connsiteY1" fmla="*/ 0 h 976918"/>
            <a:gd name="connsiteX0" fmla="*/ 6477748 w 6477748"/>
            <a:gd name="connsiteY0" fmla="*/ 924560 h 924560"/>
            <a:gd name="connsiteX1" fmla="*/ 198868 w 6477748"/>
            <a:gd name="connsiteY1" fmla="*/ 0 h 924560"/>
            <a:gd name="connsiteX0" fmla="*/ 6491279 w 6491279"/>
            <a:gd name="connsiteY0" fmla="*/ 924560 h 1209626"/>
            <a:gd name="connsiteX1" fmla="*/ 212399 w 6491279"/>
            <a:gd name="connsiteY1" fmla="*/ 0 h 1209626"/>
            <a:gd name="connsiteX0" fmla="*/ 6502249 w 6502249"/>
            <a:gd name="connsiteY0" fmla="*/ 924560 h 1325275"/>
            <a:gd name="connsiteX1" fmla="*/ 223369 w 6502249"/>
            <a:gd name="connsiteY1" fmla="*/ 0 h 1325275"/>
            <a:gd name="connsiteX0" fmla="*/ 6345850 w 6345850"/>
            <a:gd name="connsiteY0" fmla="*/ 1056640 h 1431653"/>
            <a:gd name="connsiteX1" fmla="*/ 229530 w 6345850"/>
            <a:gd name="connsiteY1" fmla="*/ 0 h 1431653"/>
            <a:gd name="connsiteX0" fmla="*/ 6487362 w 6487362"/>
            <a:gd name="connsiteY0" fmla="*/ 1056640 h 1426737"/>
            <a:gd name="connsiteX1" fmla="*/ 371042 w 6487362"/>
            <a:gd name="connsiteY1" fmla="*/ 0 h 1426737"/>
            <a:gd name="connsiteX0" fmla="*/ 6525786 w 6525786"/>
            <a:gd name="connsiteY0" fmla="*/ 1016000 h 1393519"/>
            <a:gd name="connsiteX1" fmla="*/ 368826 w 6525786"/>
            <a:gd name="connsiteY1" fmla="*/ 0 h 1393519"/>
            <a:gd name="connsiteX0" fmla="*/ 6554622 w 6554622"/>
            <a:gd name="connsiteY0" fmla="*/ 944880 h 1336054"/>
            <a:gd name="connsiteX1" fmla="*/ 367182 w 6554622"/>
            <a:gd name="connsiteY1" fmla="*/ 0 h 1336054"/>
            <a:gd name="connsiteX0" fmla="*/ 6473920 w 6473920"/>
            <a:gd name="connsiteY0" fmla="*/ 1066800 h 1435082"/>
            <a:gd name="connsiteX1" fmla="*/ 371824 w 6473920"/>
            <a:gd name="connsiteY1" fmla="*/ 0 h 1435082"/>
            <a:gd name="connsiteX0" fmla="*/ 6584612 w 6584612"/>
            <a:gd name="connsiteY0" fmla="*/ 1066800 h 1536347"/>
            <a:gd name="connsiteX1" fmla="*/ 482516 w 6584612"/>
            <a:gd name="connsiteY1" fmla="*/ 0 h 1536347"/>
          </a:gdLst>
          <a:ahLst/>
          <a:cxnLst>
            <a:cxn ang="0">
              <a:pos x="connsiteX0" y="connsiteY0"/>
            </a:cxn>
            <a:cxn ang="0">
              <a:pos x="connsiteX1" y="connsiteY1"/>
            </a:cxn>
          </a:cxnLst>
          <a:rect l="l" t="t" r="r" b="b"/>
          <a:pathLst>
            <a:path w="6584612" h="1536347">
              <a:moveTo>
                <a:pt x="6584612" y="1066800"/>
              </a:moveTo>
              <a:cubicBezTo>
                <a:pt x="3888825" y="2038773"/>
                <a:pt x="-1663953" y="1413595"/>
                <a:pt x="482516" y="0"/>
              </a:cubicBezTo>
            </a:path>
          </a:pathLst>
        </a:custGeom>
        <a:noFill/>
        <a:ln w="9525">
          <a:gradFill>
            <a:gsLst>
              <a:gs pos="9000">
                <a:schemeClr val="tx2">
                  <a:lumMod val="25000"/>
                  <a:lumOff val="75000"/>
                  <a:alpha val="22000"/>
                </a:schemeClr>
              </a:gs>
              <a:gs pos="40000">
                <a:srgbClr val="C63FF4"/>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353404</xdr:colOff>
      <xdr:row>13</xdr:row>
      <xdr:rowOff>65261</xdr:rowOff>
    </xdr:from>
    <xdr:to>
      <xdr:col>9</xdr:col>
      <xdr:colOff>76199</xdr:colOff>
      <xdr:row>20</xdr:row>
      <xdr:rowOff>58175</xdr:rowOff>
    </xdr:to>
    <xdr:sp macro="" textlink="">
      <xdr:nvSpPr>
        <xdr:cNvPr id="43" name="Freeform: Shape 42">
          <a:extLst>
            <a:ext uri="{FF2B5EF4-FFF2-40B4-BE49-F238E27FC236}">
              <a16:creationId xmlns:a16="http://schemas.microsoft.com/office/drawing/2014/main" id="{00000000-0008-0000-0000-00002B000000}"/>
            </a:ext>
          </a:extLst>
        </xdr:cNvPr>
        <xdr:cNvSpPr/>
      </xdr:nvSpPr>
      <xdr:spPr>
        <a:xfrm>
          <a:off x="4620604" y="2442701"/>
          <a:ext cx="941995" cy="1273074"/>
        </a:xfrm>
        <a:custGeom>
          <a:avLst/>
          <a:gdLst>
            <a:gd name="connsiteX0" fmla="*/ 0 w 6096000"/>
            <a:gd name="connsiteY0" fmla="*/ 0 h 2164080"/>
            <a:gd name="connsiteX1" fmla="*/ 2301240 w 6096000"/>
            <a:gd name="connsiteY1" fmla="*/ 807720 h 2164080"/>
            <a:gd name="connsiteX2" fmla="*/ 3002280 w 6096000"/>
            <a:gd name="connsiteY2" fmla="*/ 2164080 h 2164080"/>
            <a:gd name="connsiteX3" fmla="*/ 6096000 w 6096000"/>
            <a:gd name="connsiteY3" fmla="*/ 1173480 h 2164080"/>
            <a:gd name="connsiteX0" fmla="*/ 0 w 6096000"/>
            <a:gd name="connsiteY0" fmla="*/ 0 h 2164080"/>
            <a:gd name="connsiteX1" fmla="*/ 2301240 w 6096000"/>
            <a:gd name="connsiteY1" fmla="*/ 807720 h 2164080"/>
            <a:gd name="connsiteX2" fmla="*/ 3002280 w 6096000"/>
            <a:gd name="connsiteY2" fmla="*/ 2164080 h 2164080"/>
            <a:gd name="connsiteX3" fmla="*/ 6096000 w 6096000"/>
            <a:gd name="connsiteY3" fmla="*/ 1173480 h 2164080"/>
            <a:gd name="connsiteX0" fmla="*/ 0 w 6096000"/>
            <a:gd name="connsiteY0" fmla="*/ 0 h 2164080"/>
            <a:gd name="connsiteX1" fmla="*/ 2301240 w 6096000"/>
            <a:gd name="connsiteY1" fmla="*/ 807720 h 2164080"/>
            <a:gd name="connsiteX2" fmla="*/ 3002280 w 6096000"/>
            <a:gd name="connsiteY2" fmla="*/ 2164080 h 2164080"/>
            <a:gd name="connsiteX3" fmla="*/ 6096000 w 6096000"/>
            <a:gd name="connsiteY3" fmla="*/ 1173480 h 2164080"/>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7715"/>
            <a:gd name="connsiteX1" fmla="*/ 2301240 w 6096000"/>
            <a:gd name="connsiteY1" fmla="*/ 807720 h 2167715"/>
            <a:gd name="connsiteX2" fmla="*/ 3002280 w 6096000"/>
            <a:gd name="connsiteY2" fmla="*/ 2164080 h 2167715"/>
            <a:gd name="connsiteX3" fmla="*/ 6096000 w 6096000"/>
            <a:gd name="connsiteY3" fmla="*/ 1173480 h 2167715"/>
            <a:gd name="connsiteX0" fmla="*/ 0 w 6096000"/>
            <a:gd name="connsiteY0" fmla="*/ 0 h 2165056"/>
            <a:gd name="connsiteX1" fmla="*/ 2301240 w 6096000"/>
            <a:gd name="connsiteY1" fmla="*/ 807720 h 2165056"/>
            <a:gd name="connsiteX2" fmla="*/ 3002280 w 6096000"/>
            <a:gd name="connsiteY2" fmla="*/ 2164080 h 2165056"/>
            <a:gd name="connsiteX3" fmla="*/ 6096000 w 6096000"/>
            <a:gd name="connsiteY3" fmla="*/ 1173480 h 2165056"/>
            <a:gd name="connsiteX0" fmla="*/ 0 w 6096000"/>
            <a:gd name="connsiteY0" fmla="*/ 0 h 2193407"/>
            <a:gd name="connsiteX1" fmla="*/ 2301240 w 6096000"/>
            <a:gd name="connsiteY1" fmla="*/ 807720 h 2193407"/>
            <a:gd name="connsiteX2" fmla="*/ 3002280 w 6096000"/>
            <a:gd name="connsiteY2" fmla="*/ 2164080 h 2193407"/>
            <a:gd name="connsiteX3" fmla="*/ 6096000 w 6096000"/>
            <a:gd name="connsiteY3" fmla="*/ 1173480 h 2193407"/>
            <a:gd name="connsiteX0" fmla="*/ 0 w 6096000"/>
            <a:gd name="connsiteY0" fmla="*/ 0 h 2214198"/>
            <a:gd name="connsiteX1" fmla="*/ 2301240 w 6096000"/>
            <a:gd name="connsiteY1" fmla="*/ 807720 h 2214198"/>
            <a:gd name="connsiteX2" fmla="*/ 3002280 w 6096000"/>
            <a:gd name="connsiteY2" fmla="*/ 2164080 h 2214198"/>
            <a:gd name="connsiteX3" fmla="*/ 6096000 w 6096000"/>
            <a:gd name="connsiteY3" fmla="*/ 1173480 h 2214198"/>
            <a:gd name="connsiteX0" fmla="*/ 0 w 3002280"/>
            <a:gd name="connsiteY0" fmla="*/ 0 h 2164080"/>
            <a:gd name="connsiteX1" fmla="*/ 2301240 w 3002280"/>
            <a:gd name="connsiteY1" fmla="*/ 807720 h 2164080"/>
            <a:gd name="connsiteX2" fmla="*/ 3002280 w 3002280"/>
            <a:gd name="connsiteY2" fmla="*/ 2164080 h 2164080"/>
            <a:gd name="connsiteX0" fmla="*/ 0 w 3192392"/>
            <a:gd name="connsiteY0" fmla="*/ 0 h 2058462"/>
            <a:gd name="connsiteX1" fmla="*/ 2301240 w 3192392"/>
            <a:gd name="connsiteY1" fmla="*/ 807720 h 2058462"/>
            <a:gd name="connsiteX2" fmla="*/ 3192392 w 3192392"/>
            <a:gd name="connsiteY2" fmla="*/ 2058462 h 2058462"/>
            <a:gd name="connsiteX0" fmla="*/ 0 w 3192392"/>
            <a:gd name="connsiteY0" fmla="*/ 0 h 2225869"/>
            <a:gd name="connsiteX1" fmla="*/ 2301240 w 3192392"/>
            <a:gd name="connsiteY1" fmla="*/ 807720 h 2225869"/>
            <a:gd name="connsiteX2" fmla="*/ 3192392 w 3192392"/>
            <a:gd name="connsiteY2" fmla="*/ 2058462 h 2225869"/>
            <a:gd name="connsiteX0" fmla="*/ 0 w 3192392"/>
            <a:gd name="connsiteY0" fmla="*/ 0 h 2225869"/>
            <a:gd name="connsiteX1" fmla="*/ 2301240 w 3192392"/>
            <a:gd name="connsiteY1" fmla="*/ 807720 h 2225869"/>
            <a:gd name="connsiteX2" fmla="*/ 3192392 w 3192392"/>
            <a:gd name="connsiteY2" fmla="*/ 2058462 h 2225869"/>
            <a:gd name="connsiteX0" fmla="*/ 0 w 3192392"/>
            <a:gd name="connsiteY0" fmla="*/ 0 h 2183637"/>
            <a:gd name="connsiteX1" fmla="*/ 2301240 w 3192392"/>
            <a:gd name="connsiteY1" fmla="*/ 807720 h 2183637"/>
            <a:gd name="connsiteX2" fmla="*/ 3192392 w 3192392"/>
            <a:gd name="connsiteY2" fmla="*/ 2058462 h 2183637"/>
            <a:gd name="connsiteX0" fmla="*/ 0 w 3192392"/>
            <a:gd name="connsiteY0" fmla="*/ 0 h 2183637"/>
            <a:gd name="connsiteX1" fmla="*/ 2301240 w 3192392"/>
            <a:gd name="connsiteY1" fmla="*/ 807720 h 2183637"/>
            <a:gd name="connsiteX2" fmla="*/ 3192392 w 3192392"/>
            <a:gd name="connsiteY2" fmla="*/ 2058462 h 2183637"/>
            <a:gd name="connsiteX0" fmla="*/ 0 w 3192392"/>
            <a:gd name="connsiteY0" fmla="*/ 3547 h 2187184"/>
            <a:gd name="connsiteX1" fmla="*/ 2301240 w 3192392"/>
            <a:gd name="connsiteY1" fmla="*/ 811267 h 2187184"/>
            <a:gd name="connsiteX2" fmla="*/ 3192392 w 3192392"/>
            <a:gd name="connsiteY2" fmla="*/ 2062009 h 2187184"/>
            <a:gd name="connsiteX0" fmla="*/ 0 w 3192392"/>
            <a:gd name="connsiteY0" fmla="*/ 3547 h 2109477"/>
            <a:gd name="connsiteX1" fmla="*/ 2301240 w 3192392"/>
            <a:gd name="connsiteY1" fmla="*/ 811267 h 2109477"/>
            <a:gd name="connsiteX2" fmla="*/ 3192392 w 3192392"/>
            <a:gd name="connsiteY2" fmla="*/ 2062009 h 2109477"/>
            <a:gd name="connsiteX0" fmla="*/ 0 w 3192392"/>
            <a:gd name="connsiteY0" fmla="*/ 3547 h 2089735"/>
            <a:gd name="connsiteX1" fmla="*/ 2301240 w 3192392"/>
            <a:gd name="connsiteY1" fmla="*/ 811267 h 2089735"/>
            <a:gd name="connsiteX2" fmla="*/ 3192392 w 3192392"/>
            <a:gd name="connsiteY2" fmla="*/ 2062009 h 2089735"/>
            <a:gd name="connsiteX0" fmla="*/ 0 w 1789444"/>
            <a:gd name="connsiteY0" fmla="*/ 5316 h 2030706"/>
            <a:gd name="connsiteX1" fmla="*/ 898292 w 1789444"/>
            <a:gd name="connsiteY1" fmla="*/ 752238 h 2030706"/>
            <a:gd name="connsiteX2" fmla="*/ 1789444 w 1789444"/>
            <a:gd name="connsiteY2" fmla="*/ 2002980 h 2030706"/>
            <a:gd name="connsiteX0" fmla="*/ 75441 w 1864885"/>
            <a:gd name="connsiteY0" fmla="*/ 8844 h 2031483"/>
            <a:gd name="connsiteX1" fmla="*/ 807792 w 1864885"/>
            <a:gd name="connsiteY1" fmla="*/ 694969 h 2031483"/>
            <a:gd name="connsiteX2" fmla="*/ 1864885 w 1864885"/>
            <a:gd name="connsiteY2" fmla="*/ 2006508 h 2031483"/>
          </a:gdLst>
          <a:ahLst/>
          <a:cxnLst>
            <a:cxn ang="0">
              <a:pos x="connsiteX0" y="connsiteY0"/>
            </a:cxn>
            <a:cxn ang="0">
              <a:pos x="connsiteX1" y="connsiteY1"/>
            </a:cxn>
            <a:cxn ang="0">
              <a:pos x="connsiteX2" y="connsiteY2"/>
            </a:cxn>
          </a:cxnLst>
          <a:rect l="l" t="t" r="r" b="b"/>
          <a:pathLst>
            <a:path w="1864885" h="2031483">
              <a:moveTo>
                <a:pt x="75441" y="8844"/>
              </a:moveTo>
              <a:cubicBezTo>
                <a:pt x="821398" y="-17646"/>
                <a:pt x="1883303" y="-31471"/>
                <a:pt x="807792" y="694969"/>
              </a:cubicBezTo>
              <a:cubicBezTo>
                <a:pt x="-718748" y="1726209"/>
                <a:pt x="78247" y="2142419"/>
                <a:pt x="1864885" y="2006508"/>
              </a:cubicBezTo>
            </a:path>
          </a:pathLst>
        </a:cu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rgbClr val="97ACFB"/>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526954</xdr:colOff>
      <xdr:row>12</xdr:row>
      <xdr:rowOff>42977</xdr:rowOff>
    </xdr:from>
    <xdr:to>
      <xdr:col>16</xdr:col>
      <xdr:colOff>581303</xdr:colOff>
      <xdr:row>22</xdr:row>
      <xdr:rowOff>175930</xdr:rowOff>
    </xdr:to>
    <xdr:grpSp>
      <xdr:nvGrpSpPr>
        <xdr:cNvPr id="1063" name="Group 1062">
          <a:extLst>
            <a:ext uri="{FF2B5EF4-FFF2-40B4-BE49-F238E27FC236}">
              <a16:creationId xmlns:a16="http://schemas.microsoft.com/office/drawing/2014/main" id="{00000000-0008-0000-0000-000027040000}"/>
            </a:ext>
          </a:extLst>
        </xdr:cNvPr>
        <xdr:cNvGrpSpPr/>
      </xdr:nvGrpSpPr>
      <xdr:grpSpPr>
        <a:xfrm>
          <a:off x="4082954" y="2328977"/>
          <a:ext cx="5981016" cy="2037953"/>
          <a:chOff x="4176934" y="2214677"/>
          <a:chExt cx="6150349" cy="1961753"/>
        </a:xfrm>
      </xdr:grpSpPr>
      <xdr:sp macro="" textlink="Processing!J4">
        <xdr:nvSpPr>
          <xdr:cNvPr id="1059" name="TextBox 1058">
            <a:extLst>
              <a:ext uri="{FF2B5EF4-FFF2-40B4-BE49-F238E27FC236}">
                <a16:creationId xmlns:a16="http://schemas.microsoft.com/office/drawing/2014/main" id="{00000000-0008-0000-0000-000023040000}"/>
              </a:ext>
            </a:extLst>
          </xdr:cNvPr>
          <xdr:cNvSpPr txBox="1"/>
        </xdr:nvSpPr>
        <xdr:spPr>
          <a:xfrm rot="5400000">
            <a:off x="8281745" y="2123271"/>
            <a:ext cx="755703" cy="333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B13273-F198-42FD-8AE8-92D87765E309}" type="TxLink">
              <a:rPr lang="en-US" sz="34400" b="0" i="0" u="none" strike="noStrike">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atin typeface="Aptos Narrow"/>
              </a:rPr>
              <a:pPr algn="ctr"/>
              <a:t> </a:t>
            </a:fld>
            <a:endParaRPr lang="ru-RU" sz="13400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ndParaRPr>
          </a:p>
        </xdr:txBody>
      </xdr:sp>
      <xdr:sp macro="" textlink="Processing!J5">
        <xdr:nvSpPr>
          <xdr:cNvPr id="1060" name="TextBox 1059">
            <a:extLst>
              <a:ext uri="{FF2B5EF4-FFF2-40B4-BE49-F238E27FC236}">
                <a16:creationId xmlns:a16="http://schemas.microsoft.com/office/drawing/2014/main" id="{00000000-0008-0000-0000-000024040000}"/>
              </a:ext>
            </a:extLst>
          </xdr:cNvPr>
          <xdr:cNvSpPr txBox="1"/>
        </xdr:nvSpPr>
        <xdr:spPr>
          <a:xfrm>
            <a:off x="4176934" y="2214677"/>
            <a:ext cx="1338773" cy="121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0F3AB4-2891-4293-828C-BD2B12BB5082}" type="TxLink">
              <a:rPr lang="en-US" sz="6600" b="0" i="0" u="none" strike="noStrike">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atin typeface="Aptos Narrow"/>
                <a:ea typeface="+mn-ea"/>
                <a:cs typeface="+mn-cs"/>
              </a:rPr>
              <a:pPr marL="0" indent="0" algn="ctr"/>
              <a:t> </a:t>
            </a:fld>
            <a:endParaRPr lang="ru-RU" sz="6600" b="0" i="0" u="none" strike="noStrike">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atin typeface="Aptos Narrow"/>
              <a:ea typeface="+mn-ea"/>
              <a:cs typeface="+mn-cs"/>
            </a:endParaRPr>
          </a:p>
        </xdr:txBody>
      </xdr:sp>
      <xdr:sp macro="" textlink="Processing!J4">
        <xdr:nvSpPr>
          <xdr:cNvPr id="1061" name="TextBox 1060">
            <a:extLst>
              <a:ext uri="{FF2B5EF4-FFF2-40B4-BE49-F238E27FC236}">
                <a16:creationId xmlns:a16="http://schemas.microsoft.com/office/drawing/2014/main" id="{00000000-0008-0000-0000-000025040000}"/>
              </a:ext>
            </a:extLst>
          </xdr:cNvPr>
          <xdr:cNvSpPr txBox="1"/>
        </xdr:nvSpPr>
        <xdr:spPr>
          <a:xfrm rot="5400000">
            <a:off x="6833945" y="2130893"/>
            <a:ext cx="755703" cy="333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B13273-F198-42FD-8AE8-92D87765E309}" type="TxLink">
              <a:rPr lang="en-US" sz="34400" b="0" i="0" u="none" strike="noStrike">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atin typeface="Aptos Narrow"/>
              </a:rPr>
              <a:pPr algn="ctr"/>
              <a:t> </a:t>
            </a:fld>
            <a:endParaRPr lang="ru-RU" sz="13400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ndParaRPr>
          </a:p>
        </xdr:txBody>
      </xdr:sp>
      <xdr:sp macro="" textlink="Processing!J4">
        <xdr:nvSpPr>
          <xdr:cNvPr id="1062" name="TextBox 1061">
            <a:extLst>
              <a:ext uri="{FF2B5EF4-FFF2-40B4-BE49-F238E27FC236}">
                <a16:creationId xmlns:a16="http://schemas.microsoft.com/office/drawing/2014/main" id="{00000000-0008-0000-0000-000026040000}"/>
              </a:ext>
            </a:extLst>
          </xdr:cNvPr>
          <xdr:cNvSpPr txBox="1"/>
        </xdr:nvSpPr>
        <xdr:spPr>
          <a:xfrm rot="5400000">
            <a:off x="5660465" y="1856574"/>
            <a:ext cx="755703" cy="333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B13273-F198-42FD-8AE8-92D87765E309}" type="TxLink">
              <a:rPr lang="en-US" sz="34400" b="0" i="0" u="none" strike="noStrike">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atin typeface="Aptos Narrow"/>
              </a:rPr>
              <a:pPr algn="ctr"/>
              <a:t> </a:t>
            </a:fld>
            <a:endParaRPr lang="ru-RU" sz="13400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ndParaRPr>
          </a:p>
        </xdr:txBody>
      </xdr:sp>
    </xdr:grpSp>
    <xdr:clientData/>
  </xdr:twoCellAnchor>
  <xdr:twoCellAnchor>
    <xdr:from>
      <xdr:col>7</xdr:col>
      <xdr:colOff>320041</xdr:colOff>
      <xdr:row>9</xdr:row>
      <xdr:rowOff>120585</xdr:rowOff>
    </xdr:from>
    <xdr:to>
      <xdr:col>17</xdr:col>
      <xdr:colOff>121921</xdr:colOff>
      <xdr:row>17</xdr:row>
      <xdr:rowOff>114228</xdr:rowOff>
    </xdr:to>
    <xdr:grpSp>
      <xdr:nvGrpSpPr>
        <xdr:cNvPr id="1031" name="Group 1030">
          <a:extLst>
            <a:ext uri="{FF2B5EF4-FFF2-40B4-BE49-F238E27FC236}">
              <a16:creationId xmlns:a16="http://schemas.microsoft.com/office/drawing/2014/main" id="{00000000-0008-0000-0000-000007040000}"/>
            </a:ext>
          </a:extLst>
        </xdr:cNvPr>
        <xdr:cNvGrpSpPr/>
      </xdr:nvGrpSpPr>
      <xdr:grpSpPr>
        <a:xfrm>
          <a:off x="4468708" y="1835085"/>
          <a:ext cx="5728546" cy="1517643"/>
          <a:chOff x="4587241" y="1766505"/>
          <a:chExt cx="5897880" cy="1456683"/>
        </a:xfrm>
      </xdr:grpSpPr>
      <xdr:sp macro="" textlink="">
        <xdr:nvSpPr>
          <xdr:cNvPr id="37" name="Oval 36">
            <a:extLst>
              <a:ext uri="{FF2B5EF4-FFF2-40B4-BE49-F238E27FC236}">
                <a16:creationId xmlns:a16="http://schemas.microsoft.com/office/drawing/2014/main" id="{00000000-0008-0000-0000-000025000000}"/>
              </a:ext>
            </a:extLst>
          </xdr:cNvPr>
          <xdr:cNvSpPr/>
        </xdr:nvSpPr>
        <xdr:spPr>
          <a:xfrm rot="20400000">
            <a:off x="4587241" y="1766505"/>
            <a:ext cx="5897880" cy="1456683"/>
          </a:xfrm>
          <a:prstGeom prst="ellipse">
            <a:avLst/>
          </a:prstGeom>
          <a:gradFill flip="none" rotWithShape="1">
            <a:gsLst>
              <a:gs pos="0">
                <a:schemeClr val="tx1">
                  <a:alpha val="0"/>
                </a:schemeClr>
              </a:gs>
              <a:gs pos="92000">
                <a:srgbClr val="050A15">
                  <a:alpha val="0"/>
                </a:srgbClr>
              </a:gs>
              <a:gs pos="100000">
                <a:srgbClr val="1F2CCF"/>
              </a:gs>
            </a:gsLst>
            <a:path path="shap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Oval 37">
            <a:extLst>
              <a:ext uri="{FF2B5EF4-FFF2-40B4-BE49-F238E27FC236}">
                <a16:creationId xmlns:a16="http://schemas.microsoft.com/office/drawing/2014/main" id="{00000000-0008-0000-0000-000026000000}"/>
              </a:ext>
            </a:extLst>
          </xdr:cNvPr>
          <xdr:cNvSpPr/>
        </xdr:nvSpPr>
        <xdr:spPr>
          <a:xfrm rot="20400000">
            <a:off x="4754825" y="1820786"/>
            <a:ext cx="5562712" cy="1348122"/>
          </a:xfrm>
          <a:prstGeom prst="ellipse">
            <a:avLst/>
          </a:prstGeom>
          <a:gradFill flip="none" rotWithShape="1">
            <a:gsLst>
              <a:gs pos="0">
                <a:schemeClr val="tx1">
                  <a:alpha val="0"/>
                </a:schemeClr>
              </a:gs>
              <a:gs pos="91000">
                <a:srgbClr val="050A15">
                  <a:alpha val="0"/>
                </a:srgbClr>
              </a:gs>
              <a:gs pos="100000">
                <a:srgbClr val="3C77F5"/>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Oval 38">
            <a:extLst>
              <a:ext uri="{FF2B5EF4-FFF2-40B4-BE49-F238E27FC236}">
                <a16:creationId xmlns:a16="http://schemas.microsoft.com/office/drawing/2014/main" id="{00000000-0008-0000-0000-000027000000}"/>
              </a:ext>
            </a:extLst>
          </xdr:cNvPr>
          <xdr:cNvSpPr/>
        </xdr:nvSpPr>
        <xdr:spPr>
          <a:xfrm rot="20400000">
            <a:off x="4935065" y="1908835"/>
            <a:ext cx="5202232" cy="1172023"/>
          </a:xfrm>
          <a:prstGeom prst="ellipse">
            <a:avLst/>
          </a:prstGeom>
          <a:gradFill flip="none" rotWithShape="1">
            <a:gsLst>
              <a:gs pos="0">
                <a:schemeClr val="tx1">
                  <a:alpha val="0"/>
                </a:schemeClr>
              </a:gs>
              <a:gs pos="96000">
                <a:srgbClr val="2D58F7"/>
              </a:gs>
              <a:gs pos="86000">
                <a:srgbClr val="050A15">
                  <a:alpha val="0"/>
                </a:srgbClr>
              </a:gs>
            </a:gsLst>
            <a:path path="shape">
              <a:fillToRect l="50000" t="50000" r="50000" b="50000"/>
            </a:path>
            <a:tileRect/>
          </a:gradFill>
          <a:ln w="25400">
            <a:solidFill>
              <a:srgbClr val="6EAA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00000000-0008-0000-0000-000028000000}"/>
              </a:ext>
            </a:extLst>
          </xdr:cNvPr>
          <xdr:cNvSpPr/>
        </xdr:nvSpPr>
        <xdr:spPr>
          <a:xfrm rot="20400000">
            <a:off x="5171530" y="2010540"/>
            <a:ext cx="4729301" cy="968615"/>
          </a:xfrm>
          <a:prstGeom prst="ellipse">
            <a:avLst/>
          </a:prstGeom>
          <a:noFill/>
          <a:ln w="12700">
            <a:solidFill>
              <a:srgbClr val="2D58F7"/>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Oval 40">
            <a:extLst>
              <a:ext uri="{FF2B5EF4-FFF2-40B4-BE49-F238E27FC236}">
                <a16:creationId xmlns:a16="http://schemas.microsoft.com/office/drawing/2014/main" id="{00000000-0008-0000-0000-000029000000}"/>
              </a:ext>
            </a:extLst>
          </xdr:cNvPr>
          <xdr:cNvSpPr/>
        </xdr:nvSpPr>
        <xdr:spPr>
          <a:xfrm rot="20400000">
            <a:off x="5386499" y="2054567"/>
            <a:ext cx="4299365" cy="880559"/>
          </a:xfrm>
          <a:prstGeom prst="ellipse">
            <a:avLst/>
          </a:prstGeom>
          <a:noFill/>
          <a:ln w="12700">
            <a:solidFill>
              <a:schemeClr val="tx2">
                <a:lumMod val="25000"/>
                <a:lumOff val="75000"/>
                <a:alpha val="6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152400</xdr:colOff>
      <xdr:row>3</xdr:row>
      <xdr:rowOff>60960</xdr:rowOff>
    </xdr:from>
    <xdr:to>
      <xdr:col>6</xdr:col>
      <xdr:colOff>76200</xdr:colOff>
      <xdr:row>21</xdr:row>
      <xdr:rowOff>137160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762000" y="609600"/>
          <a:ext cx="2971800" cy="3368040"/>
        </a:xfrm>
        <a:prstGeom prst="roundRect">
          <a:avLst>
            <a:gd name="adj" fmla="val 8584"/>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254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48561</xdr:colOff>
      <xdr:row>6</xdr:row>
      <xdr:rowOff>80583</xdr:rowOff>
    </xdr:from>
    <xdr:to>
      <xdr:col>14</xdr:col>
      <xdr:colOff>529463</xdr:colOff>
      <xdr:row>8</xdr:row>
      <xdr:rowOff>161081</xdr:rowOff>
    </xdr:to>
    <xdr:sp macro="" textlink="Processing!B26">
      <xdr:nvSpPr>
        <xdr:cNvPr id="56" name="TextBox 55">
          <a:extLst>
            <a:ext uri="{FF2B5EF4-FFF2-40B4-BE49-F238E27FC236}">
              <a16:creationId xmlns:a16="http://schemas.microsoft.com/office/drawing/2014/main" id="{00000000-0008-0000-0000-000038000000}"/>
            </a:ext>
          </a:extLst>
        </xdr:cNvPr>
        <xdr:cNvSpPr txBox="1"/>
      </xdr:nvSpPr>
      <xdr:spPr>
        <a:xfrm>
          <a:off x="8582961" y="1177863"/>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ADF6BC-B0D6-4B0D-AA81-5D1656D93AF8}"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13</xdr:col>
      <xdr:colOff>383297</xdr:colOff>
      <xdr:row>6</xdr:row>
      <xdr:rowOff>144809</xdr:rowOff>
    </xdr:from>
    <xdr:to>
      <xdr:col>14</xdr:col>
      <xdr:colOff>254599</xdr:colOff>
      <xdr:row>9</xdr:row>
      <xdr:rowOff>42427</xdr:rowOff>
    </xdr:to>
    <xdr:sp macro="" textlink="Processing!B27">
      <xdr:nvSpPr>
        <xdr:cNvPr id="57" name="TextBox 56">
          <a:extLst>
            <a:ext uri="{FF2B5EF4-FFF2-40B4-BE49-F238E27FC236}">
              <a16:creationId xmlns:a16="http://schemas.microsoft.com/office/drawing/2014/main" id="{00000000-0008-0000-0000-000039000000}"/>
            </a:ext>
          </a:extLst>
        </xdr:cNvPr>
        <xdr:cNvSpPr txBox="1"/>
      </xdr:nvSpPr>
      <xdr:spPr>
        <a:xfrm>
          <a:off x="8308097" y="1242089"/>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4979ED-3522-4DE5-B25D-A588138DB814}"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13</xdr:col>
      <xdr:colOff>93193</xdr:colOff>
      <xdr:row>7</xdr:row>
      <xdr:rowOff>35951</xdr:rowOff>
    </xdr:from>
    <xdr:to>
      <xdr:col>13</xdr:col>
      <xdr:colOff>574095</xdr:colOff>
      <xdr:row>9</xdr:row>
      <xdr:rowOff>116449</xdr:rowOff>
    </xdr:to>
    <xdr:sp macro="" textlink="Processing!B28">
      <xdr:nvSpPr>
        <xdr:cNvPr id="58" name="TextBox 57">
          <a:extLst>
            <a:ext uri="{FF2B5EF4-FFF2-40B4-BE49-F238E27FC236}">
              <a16:creationId xmlns:a16="http://schemas.microsoft.com/office/drawing/2014/main" id="{00000000-0008-0000-0000-00003A000000}"/>
            </a:ext>
          </a:extLst>
        </xdr:cNvPr>
        <xdr:cNvSpPr txBox="1"/>
      </xdr:nvSpPr>
      <xdr:spPr>
        <a:xfrm>
          <a:off x="8017993" y="131611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513D9F-E7EE-439B-8C18-B210528951DA}"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12</xdr:col>
      <xdr:colOff>412689</xdr:colOff>
      <xdr:row>7</xdr:row>
      <xdr:rowOff>104531</xdr:rowOff>
    </xdr:from>
    <xdr:to>
      <xdr:col>13</xdr:col>
      <xdr:colOff>283991</xdr:colOff>
      <xdr:row>10</xdr:row>
      <xdr:rowOff>2149</xdr:rowOff>
    </xdr:to>
    <xdr:sp macro="" textlink="Processing!B29">
      <xdr:nvSpPr>
        <xdr:cNvPr id="59" name="TextBox 58">
          <a:extLst>
            <a:ext uri="{FF2B5EF4-FFF2-40B4-BE49-F238E27FC236}">
              <a16:creationId xmlns:a16="http://schemas.microsoft.com/office/drawing/2014/main" id="{00000000-0008-0000-0000-00003B000000}"/>
            </a:ext>
          </a:extLst>
        </xdr:cNvPr>
        <xdr:cNvSpPr txBox="1"/>
      </xdr:nvSpPr>
      <xdr:spPr>
        <a:xfrm>
          <a:off x="7727889" y="138469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ECEACB-FBF2-4C65-8529-A02F2E0A6B25}"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12</xdr:col>
      <xdr:colOff>122585</xdr:colOff>
      <xdr:row>8</xdr:row>
      <xdr:rowOff>5471</xdr:rowOff>
    </xdr:from>
    <xdr:to>
      <xdr:col>12</xdr:col>
      <xdr:colOff>603487</xdr:colOff>
      <xdr:row>10</xdr:row>
      <xdr:rowOff>85969</xdr:rowOff>
    </xdr:to>
    <xdr:sp macro="" textlink="Processing!B30">
      <xdr:nvSpPr>
        <xdr:cNvPr id="60" name="TextBox 59">
          <a:extLst>
            <a:ext uri="{FF2B5EF4-FFF2-40B4-BE49-F238E27FC236}">
              <a16:creationId xmlns:a16="http://schemas.microsoft.com/office/drawing/2014/main" id="{00000000-0008-0000-0000-00003C000000}"/>
            </a:ext>
          </a:extLst>
        </xdr:cNvPr>
        <xdr:cNvSpPr txBox="1"/>
      </xdr:nvSpPr>
      <xdr:spPr>
        <a:xfrm>
          <a:off x="7437785" y="146851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537438-067C-4C77-BCF9-66B0ABF92CFA}"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11</xdr:col>
      <xdr:colOff>449701</xdr:colOff>
      <xdr:row>8</xdr:row>
      <xdr:rowOff>89291</xdr:rowOff>
    </xdr:from>
    <xdr:to>
      <xdr:col>12</xdr:col>
      <xdr:colOff>321003</xdr:colOff>
      <xdr:row>10</xdr:row>
      <xdr:rowOff>169789</xdr:rowOff>
    </xdr:to>
    <xdr:sp macro="" textlink="Processing!B31">
      <xdr:nvSpPr>
        <xdr:cNvPr id="61" name="TextBox 60">
          <a:extLst>
            <a:ext uri="{FF2B5EF4-FFF2-40B4-BE49-F238E27FC236}">
              <a16:creationId xmlns:a16="http://schemas.microsoft.com/office/drawing/2014/main" id="{00000000-0008-0000-0000-00003D000000}"/>
            </a:ext>
          </a:extLst>
        </xdr:cNvPr>
        <xdr:cNvSpPr txBox="1"/>
      </xdr:nvSpPr>
      <xdr:spPr>
        <a:xfrm>
          <a:off x="7155301" y="15523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AF2EB9-A72E-4142-94C7-C17D5D85A88E}"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11</xdr:col>
      <xdr:colOff>151977</xdr:colOff>
      <xdr:row>9</xdr:row>
      <xdr:rowOff>20711</xdr:rowOff>
    </xdr:from>
    <xdr:to>
      <xdr:col>12</xdr:col>
      <xdr:colOff>23279</xdr:colOff>
      <xdr:row>11</xdr:row>
      <xdr:rowOff>101209</xdr:rowOff>
    </xdr:to>
    <xdr:sp macro="" textlink="Processing!B32">
      <xdr:nvSpPr>
        <xdr:cNvPr id="62" name="TextBox 61">
          <a:extLst>
            <a:ext uri="{FF2B5EF4-FFF2-40B4-BE49-F238E27FC236}">
              <a16:creationId xmlns:a16="http://schemas.microsoft.com/office/drawing/2014/main" id="{00000000-0008-0000-0000-00003E000000}"/>
            </a:ext>
          </a:extLst>
        </xdr:cNvPr>
        <xdr:cNvSpPr txBox="1"/>
      </xdr:nvSpPr>
      <xdr:spPr>
        <a:xfrm>
          <a:off x="6857577" y="16666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833703-B3A8-4B91-B383-54165FAB2DA2}"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10</xdr:col>
      <xdr:colOff>471473</xdr:colOff>
      <xdr:row>9</xdr:row>
      <xdr:rowOff>135011</xdr:rowOff>
    </xdr:from>
    <xdr:to>
      <xdr:col>11</xdr:col>
      <xdr:colOff>342775</xdr:colOff>
      <xdr:row>12</xdr:row>
      <xdr:rowOff>32629</xdr:rowOff>
    </xdr:to>
    <xdr:sp macro="" textlink="Processing!B33">
      <xdr:nvSpPr>
        <xdr:cNvPr id="63" name="TextBox 62">
          <a:extLst>
            <a:ext uri="{FF2B5EF4-FFF2-40B4-BE49-F238E27FC236}">
              <a16:creationId xmlns:a16="http://schemas.microsoft.com/office/drawing/2014/main" id="{00000000-0008-0000-0000-00003F000000}"/>
            </a:ext>
          </a:extLst>
        </xdr:cNvPr>
        <xdr:cNvSpPr txBox="1"/>
      </xdr:nvSpPr>
      <xdr:spPr>
        <a:xfrm>
          <a:off x="6567473" y="17809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858546-B967-48CA-B722-AB5DD74EC8EC}"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10</xdr:col>
      <xdr:colOff>212937</xdr:colOff>
      <xdr:row>10</xdr:row>
      <xdr:rowOff>52279</xdr:rowOff>
    </xdr:from>
    <xdr:to>
      <xdr:col>11</xdr:col>
      <xdr:colOff>84239</xdr:colOff>
      <xdr:row>12</xdr:row>
      <xdr:rowOff>132777</xdr:rowOff>
    </xdr:to>
    <xdr:sp macro="" textlink="Processing!B34">
      <xdr:nvSpPr>
        <xdr:cNvPr id="1024" name="TextBox 1023">
          <a:extLst>
            <a:ext uri="{FF2B5EF4-FFF2-40B4-BE49-F238E27FC236}">
              <a16:creationId xmlns:a16="http://schemas.microsoft.com/office/drawing/2014/main" id="{00000000-0008-0000-0000-000000040000}"/>
            </a:ext>
          </a:extLst>
        </xdr:cNvPr>
        <xdr:cNvSpPr txBox="1"/>
      </xdr:nvSpPr>
      <xdr:spPr>
        <a:xfrm>
          <a:off x="6308937" y="1881079"/>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A422B6-6377-471D-8815-F5AC45EEE022}"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9</xdr:col>
      <xdr:colOff>559649</xdr:colOff>
      <xdr:row>11</xdr:row>
      <xdr:rowOff>9823</xdr:rowOff>
    </xdr:from>
    <xdr:to>
      <xdr:col>10</xdr:col>
      <xdr:colOff>430951</xdr:colOff>
      <xdr:row>13</xdr:row>
      <xdr:rowOff>90321</xdr:rowOff>
    </xdr:to>
    <xdr:sp macro="" textlink="Processing!B35">
      <xdr:nvSpPr>
        <xdr:cNvPr id="1026" name="TextBox 1025">
          <a:extLst>
            <a:ext uri="{FF2B5EF4-FFF2-40B4-BE49-F238E27FC236}">
              <a16:creationId xmlns:a16="http://schemas.microsoft.com/office/drawing/2014/main" id="{00000000-0008-0000-0000-000002040000}"/>
            </a:ext>
          </a:extLst>
        </xdr:cNvPr>
        <xdr:cNvSpPr txBox="1"/>
      </xdr:nvSpPr>
      <xdr:spPr>
        <a:xfrm>
          <a:off x="6046049" y="2021503"/>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014B74-F327-4B0B-A397-2A688B98B180}"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9</xdr:col>
      <xdr:colOff>236885</xdr:colOff>
      <xdr:row>11</xdr:row>
      <xdr:rowOff>172023</xdr:rowOff>
    </xdr:from>
    <xdr:to>
      <xdr:col>10</xdr:col>
      <xdr:colOff>108187</xdr:colOff>
      <xdr:row>14</xdr:row>
      <xdr:rowOff>69641</xdr:rowOff>
    </xdr:to>
    <xdr:sp macro="" textlink="Processing!B36">
      <xdr:nvSpPr>
        <xdr:cNvPr id="1027" name="TextBox 1026">
          <a:extLst>
            <a:ext uri="{FF2B5EF4-FFF2-40B4-BE49-F238E27FC236}">
              <a16:creationId xmlns:a16="http://schemas.microsoft.com/office/drawing/2014/main" id="{00000000-0008-0000-0000-000003040000}"/>
            </a:ext>
          </a:extLst>
        </xdr:cNvPr>
        <xdr:cNvSpPr txBox="1"/>
      </xdr:nvSpPr>
      <xdr:spPr>
        <a:xfrm>
          <a:off x="5723285" y="2183703"/>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9AEC88-E12F-4EBF-B31F-EE3ECB8012DD}"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8</xdr:col>
      <xdr:colOff>521549</xdr:colOff>
      <xdr:row>13</xdr:row>
      <xdr:rowOff>16357</xdr:rowOff>
    </xdr:from>
    <xdr:to>
      <xdr:col>9</xdr:col>
      <xdr:colOff>392851</xdr:colOff>
      <xdr:row>15</xdr:row>
      <xdr:rowOff>96855</xdr:rowOff>
    </xdr:to>
    <xdr:sp macro="" textlink="Processing!B37">
      <xdr:nvSpPr>
        <xdr:cNvPr id="1028" name="TextBox 1027">
          <a:extLst>
            <a:ext uri="{FF2B5EF4-FFF2-40B4-BE49-F238E27FC236}">
              <a16:creationId xmlns:a16="http://schemas.microsoft.com/office/drawing/2014/main" id="{00000000-0008-0000-0000-000004040000}"/>
            </a:ext>
          </a:extLst>
        </xdr:cNvPr>
        <xdr:cNvSpPr txBox="1"/>
      </xdr:nvSpPr>
      <xdr:spPr>
        <a:xfrm>
          <a:off x="5398349" y="23937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ECEC8E-6686-4D93-8202-CBABDE568BC5}"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8</xdr:col>
      <xdr:colOff>220559</xdr:colOff>
      <xdr:row>14</xdr:row>
      <xdr:rowOff>57723</xdr:rowOff>
    </xdr:from>
    <xdr:to>
      <xdr:col>9</xdr:col>
      <xdr:colOff>91861</xdr:colOff>
      <xdr:row>16</xdr:row>
      <xdr:rowOff>138221</xdr:rowOff>
    </xdr:to>
    <xdr:sp macro="" textlink="Processing!B38">
      <xdr:nvSpPr>
        <xdr:cNvPr id="1029" name="TextBox 1028">
          <a:extLst>
            <a:ext uri="{FF2B5EF4-FFF2-40B4-BE49-F238E27FC236}">
              <a16:creationId xmlns:a16="http://schemas.microsoft.com/office/drawing/2014/main" id="{00000000-0008-0000-0000-000005040000}"/>
            </a:ext>
          </a:extLst>
        </xdr:cNvPr>
        <xdr:cNvSpPr txBox="1"/>
      </xdr:nvSpPr>
      <xdr:spPr>
        <a:xfrm>
          <a:off x="5097359" y="2618043"/>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E78B34-632E-4C1A-A735-147AE13DA167}"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7</xdr:col>
      <xdr:colOff>559649</xdr:colOff>
      <xdr:row>15</xdr:row>
      <xdr:rowOff>142631</xdr:rowOff>
    </xdr:from>
    <xdr:to>
      <xdr:col>8</xdr:col>
      <xdr:colOff>430951</xdr:colOff>
      <xdr:row>18</xdr:row>
      <xdr:rowOff>40249</xdr:rowOff>
    </xdr:to>
    <xdr:sp macro="" textlink="Processing!B39">
      <xdr:nvSpPr>
        <xdr:cNvPr id="1030" name="TextBox 1029">
          <a:extLst>
            <a:ext uri="{FF2B5EF4-FFF2-40B4-BE49-F238E27FC236}">
              <a16:creationId xmlns:a16="http://schemas.microsoft.com/office/drawing/2014/main" id="{00000000-0008-0000-0000-000006040000}"/>
            </a:ext>
          </a:extLst>
        </xdr:cNvPr>
        <xdr:cNvSpPr txBox="1"/>
      </xdr:nvSpPr>
      <xdr:spPr>
        <a:xfrm>
          <a:off x="4826849" y="28858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3853CE-49A4-479E-A988-7E5A036C8614}"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10</xdr:col>
      <xdr:colOff>265110</xdr:colOff>
      <xdr:row>7</xdr:row>
      <xdr:rowOff>15614</xdr:rowOff>
    </xdr:from>
    <xdr:to>
      <xdr:col>14</xdr:col>
      <xdr:colOff>112335</xdr:colOff>
      <xdr:row>19</xdr:row>
      <xdr:rowOff>106679</xdr:rowOff>
    </xdr:to>
    <xdr:sp macro="" textlink="">
      <xdr:nvSpPr>
        <xdr:cNvPr id="42" name="Oval 41">
          <a:extLst>
            <a:ext uri="{FF2B5EF4-FFF2-40B4-BE49-F238E27FC236}">
              <a16:creationId xmlns:a16="http://schemas.microsoft.com/office/drawing/2014/main" id="{00000000-0008-0000-0000-00002A000000}"/>
            </a:ext>
          </a:extLst>
        </xdr:cNvPr>
        <xdr:cNvSpPr/>
      </xdr:nvSpPr>
      <xdr:spPr>
        <a:xfrm>
          <a:off x="6361110" y="1295774"/>
          <a:ext cx="2285625" cy="2285625"/>
        </a:xfrm>
        <a:prstGeom prst="ellipse">
          <a:avLst/>
        </a:prstGeom>
        <a:gradFill flip="none" rotWithShape="1">
          <a:gsLst>
            <a:gs pos="0">
              <a:schemeClr val="tx1">
                <a:alpha val="0"/>
              </a:schemeClr>
            </a:gs>
            <a:gs pos="35000">
              <a:srgbClr val="050A15">
                <a:alpha val="0"/>
              </a:srgbClr>
            </a:gs>
            <a:gs pos="83000">
              <a:srgbClr val="3C77F5"/>
            </a:gs>
          </a:gsLst>
          <a:path path="circle">
            <a:fillToRect l="100000" t="100000"/>
          </a:path>
          <a:tileRect r="-100000" b="-100000"/>
        </a:gradFill>
        <a:ln w="9525">
          <a:solidFill>
            <a:srgbClr val="3C77F5"/>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rgbClr val="0066FF">
                <a:alpha val="46000"/>
              </a:srgbClr>
            </a:solidFill>
          </a:endParaRPr>
        </a:p>
      </xdr:txBody>
    </xdr:sp>
    <xdr:clientData/>
  </xdr:twoCellAnchor>
  <xdr:twoCellAnchor>
    <xdr:from>
      <xdr:col>9</xdr:col>
      <xdr:colOff>253677</xdr:colOff>
      <xdr:row>18</xdr:row>
      <xdr:rowOff>130657</xdr:rowOff>
    </xdr:from>
    <xdr:to>
      <xdr:col>10</xdr:col>
      <xdr:colOff>124979</xdr:colOff>
      <xdr:row>21</xdr:row>
      <xdr:rowOff>28275</xdr:rowOff>
    </xdr:to>
    <xdr:sp macro="" textlink="Processing!B41">
      <xdr:nvSpPr>
        <xdr:cNvPr id="1048" name="TextBox 1047">
          <a:extLst>
            <a:ext uri="{FF2B5EF4-FFF2-40B4-BE49-F238E27FC236}">
              <a16:creationId xmlns:a16="http://schemas.microsoft.com/office/drawing/2014/main" id="{00000000-0008-0000-0000-000018040000}"/>
            </a:ext>
          </a:extLst>
        </xdr:cNvPr>
        <xdr:cNvSpPr txBox="1"/>
      </xdr:nvSpPr>
      <xdr:spPr>
        <a:xfrm>
          <a:off x="5740077" y="34224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C26A47-32E5-463D-8BE9-49C682FE3BA0}"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8</xdr:col>
      <xdr:colOff>467037</xdr:colOff>
      <xdr:row>17</xdr:row>
      <xdr:rowOff>168757</xdr:rowOff>
    </xdr:from>
    <xdr:to>
      <xdr:col>9</xdr:col>
      <xdr:colOff>338339</xdr:colOff>
      <xdr:row>20</xdr:row>
      <xdr:rowOff>66375</xdr:rowOff>
    </xdr:to>
    <xdr:sp macro="" textlink="Processing!B11">
      <xdr:nvSpPr>
        <xdr:cNvPr id="3" name="TextBox 2">
          <a:extLst>
            <a:ext uri="{FF2B5EF4-FFF2-40B4-BE49-F238E27FC236}">
              <a16:creationId xmlns:a16="http://schemas.microsoft.com/office/drawing/2014/main" id="{00000000-0008-0000-0000-000003000000}"/>
            </a:ext>
          </a:extLst>
        </xdr:cNvPr>
        <xdr:cNvSpPr txBox="1"/>
      </xdr:nvSpPr>
      <xdr:spPr>
        <a:xfrm>
          <a:off x="5343837" y="327771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292293-AC0F-47E0-8D1B-94868284A620}"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rPr>
            <a:pPr algn="ctr"/>
            <a:t> </a:t>
          </a:fld>
          <a:endParaRPr lang="ru-RU" sz="280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ndParaRPr>
        </a:p>
      </xdr:txBody>
    </xdr:sp>
    <xdr:clientData/>
  </xdr:twoCellAnchor>
  <xdr:twoCellAnchor>
    <xdr:from>
      <xdr:col>9</xdr:col>
      <xdr:colOff>237265</xdr:colOff>
      <xdr:row>17</xdr:row>
      <xdr:rowOff>112151</xdr:rowOff>
    </xdr:from>
    <xdr:to>
      <xdr:col>10</xdr:col>
      <xdr:colOff>108567</xdr:colOff>
      <xdr:row>20</xdr:row>
      <xdr:rowOff>9769</xdr:rowOff>
    </xdr:to>
    <xdr:sp macro="" textlink="Processing!B12">
      <xdr:nvSpPr>
        <xdr:cNvPr id="10" name="TextBox 9">
          <a:extLst>
            <a:ext uri="{FF2B5EF4-FFF2-40B4-BE49-F238E27FC236}">
              <a16:creationId xmlns:a16="http://schemas.microsoft.com/office/drawing/2014/main" id="{00000000-0008-0000-0000-00000A000000}"/>
            </a:ext>
          </a:extLst>
        </xdr:cNvPr>
        <xdr:cNvSpPr txBox="1"/>
      </xdr:nvSpPr>
      <xdr:spPr>
        <a:xfrm>
          <a:off x="5723665" y="322111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80CBDA-44A0-4E86-9412-276E61E26FC0}"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10</xdr:col>
      <xdr:colOff>387321</xdr:colOff>
      <xdr:row>16</xdr:row>
      <xdr:rowOff>104531</xdr:rowOff>
    </xdr:from>
    <xdr:to>
      <xdr:col>11</xdr:col>
      <xdr:colOff>258623</xdr:colOff>
      <xdr:row>19</xdr:row>
      <xdr:rowOff>2149</xdr:rowOff>
    </xdr:to>
    <xdr:sp macro="" textlink="Processing!B14">
      <xdr:nvSpPr>
        <xdr:cNvPr id="11" name="TextBox 10">
          <a:extLst>
            <a:ext uri="{FF2B5EF4-FFF2-40B4-BE49-F238E27FC236}">
              <a16:creationId xmlns:a16="http://schemas.microsoft.com/office/drawing/2014/main" id="{00000000-0008-0000-0000-00000B000000}"/>
            </a:ext>
          </a:extLst>
        </xdr:cNvPr>
        <xdr:cNvSpPr txBox="1"/>
      </xdr:nvSpPr>
      <xdr:spPr>
        <a:xfrm>
          <a:off x="6483321" y="303061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4060A1-245C-492E-AEAA-4715290498A6}"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12</xdr:col>
      <xdr:colOff>307605</xdr:colOff>
      <xdr:row>14</xdr:row>
      <xdr:rowOff>89291</xdr:rowOff>
    </xdr:from>
    <xdr:to>
      <xdr:col>13</xdr:col>
      <xdr:colOff>178907</xdr:colOff>
      <xdr:row>16</xdr:row>
      <xdr:rowOff>169789</xdr:rowOff>
    </xdr:to>
    <xdr:sp macro="" textlink="Processing!B17">
      <xdr:nvSpPr>
        <xdr:cNvPr id="35" name="TextBox 34">
          <a:extLst>
            <a:ext uri="{FF2B5EF4-FFF2-40B4-BE49-F238E27FC236}">
              <a16:creationId xmlns:a16="http://schemas.microsoft.com/office/drawing/2014/main" id="{00000000-0008-0000-0000-000023000000}"/>
            </a:ext>
          </a:extLst>
        </xdr:cNvPr>
        <xdr:cNvSpPr txBox="1"/>
      </xdr:nvSpPr>
      <xdr:spPr>
        <a:xfrm>
          <a:off x="7622805" y="264961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03219B-F60D-4D06-93ED-07810807EBEF}"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13</xdr:col>
      <xdr:colOff>457661</xdr:colOff>
      <xdr:row>12</xdr:row>
      <xdr:rowOff>127391</xdr:rowOff>
    </xdr:from>
    <xdr:to>
      <xdr:col>14</xdr:col>
      <xdr:colOff>328963</xdr:colOff>
      <xdr:row>15</xdr:row>
      <xdr:rowOff>25009</xdr:rowOff>
    </xdr:to>
    <xdr:sp macro="" textlink="Processing!B19">
      <xdr:nvSpPr>
        <xdr:cNvPr id="44" name="TextBox 43">
          <a:extLst>
            <a:ext uri="{FF2B5EF4-FFF2-40B4-BE49-F238E27FC236}">
              <a16:creationId xmlns:a16="http://schemas.microsoft.com/office/drawing/2014/main" id="{00000000-0008-0000-0000-00002C000000}"/>
            </a:ext>
          </a:extLst>
        </xdr:cNvPr>
        <xdr:cNvSpPr txBox="1"/>
      </xdr:nvSpPr>
      <xdr:spPr>
        <a:xfrm>
          <a:off x="8382461" y="232195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549526-22C8-4592-A4C6-1CF3FE1D5A09}"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14</xdr:col>
      <xdr:colOff>607717</xdr:colOff>
      <xdr:row>10</xdr:row>
      <xdr:rowOff>81671</xdr:rowOff>
    </xdr:from>
    <xdr:to>
      <xdr:col>15</xdr:col>
      <xdr:colOff>479019</xdr:colOff>
      <xdr:row>12</xdr:row>
      <xdr:rowOff>162169</xdr:rowOff>
    </xdr:to>
    <xdr:sp macro="" textlink="Processing!B21">
      <xdr:nvSpPr>
        <xdr:cNvPr id="45" name="TextBox 44">
          <a:extLst>
            <a:ext uri="{FF2B5EF4-FFF2-40B4-BE49-F238E27FC236}">
              <a16:creationId xmlns:a16="http://schemas.microsoft.com/office/drawing/2014/main" id="{00000000-0008-0000-0000-00002D000000}"/>
            </a:ext>
          </a:extLst>
        </xdr:cNvPr>
        <xdr:cNvSpPr txBox="1"/>
      </xdr:nvSpPr>
      <xdr:spPr>
        <a:xfrm>
          <a:off x="9142117" y="191047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0BAA0D-822A-49B9-BD62-E8F3995558FB}"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15</xdr:col>
      <xdr:colOff>423665</xdr:colOff>
      <xdr:row>8</xdr:row>
      <xdr:rowOff>158959</xdr:rowOff>
    </xdr:from>
    <xdr:to>
      <xdr:col>16</xdr:col>
      <xdr:colOff>294967</xdr:colOff>
      <xdr:row>11</xdr:row>
      <xdr:rowOff>56577</xdr:rowOff>
    </xdr:to>
    <xdr:sp macro="" textlink="Processing!B22">
      <xdr:nvSpPr>
        <xdr:cNvPr id="46" name="TextBox 45">
          <a:extLst>
            <a:ext uri="{FF2B5EF4-FFF2-40B4-BE49-F238E27FC236}">
              <a16:creationId xmlns:a16="http://schemas.microsoft.com/office/drawing/2014/main" id="{00000000-0008-0000-0000-00002E000000}"/>
            </a:ext>
          </a:extLst>
        </xdr:cNvPr>
        <xdr:cNvSpPr txBox="1"/>
      </xdr:nvSpPr>
      <xdr:spPr>
        <a:xfrm>
          <a:off x="9567665" y="1621999"/>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8F0F9A-9916-4D19-AB6E-604D35F2B9E5}"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16</xdr:col>
      <xdr:colOff>71969</xdr:colOff>
      <xdr:row>6</xdr:row>
      <xdr:rowOff>119771</xdr:rowOff>
    </xdr:from>
    <xdr:to>
      <xdr:col>16</xdr:col>
      <xdr:colOff>552871</xdr:colOff>
      <xdr:row>9</xdr:row>
      <xdr:rowOff>17389</xdr:rowOff>
    </xdr:to>
    <xdr:sp macro="" textlink="Processing!B23">
      <xdr:nvSpPr>
        <xdr:cNvPr id="47" name="TextBox 46">
          <a:extLst>
            <a:ext uri="{FF2B5EF4-FFF2-40B4-BE49-F238E27FC236}">
              <a16:creationId xmlns:a16="http://schemas.microsoft.com/office/drawing/2014/main" id="{00000000-0008-0000-0000-00002F000000}"/>
            </a:ext>
          </a:extLst>
        </xdr:cNvPr>
        <xdr:cNvSpPr txBox="1"/>
      </xdr:nvSpPr>
      <xdr:spPr>
        <a:xfrm>
          <a:off x="9825569" y="121705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28AB6C-3171-4E4C-83CD-7E4DEB49F80A}"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15</xdr:col>
      <xdr:colOff>216749</xdr:colOff>
      <xdr:row>6</xdr:row>
      <xdr:rowOff>35951</xdr:rowOff>
    </xdr:from>
    <xdr:to>
      <xdr:col>16</xdr:col>
      <xdr:colOff>88051</xdr:colOff>
      <xdr:row>8</xdr:row>
      <xdr:rowOff>116449</xdr:rowOff>
    </xdr:to>
    <xdr:sp macro="" textlink="Processing!B24">
      <xdr:nvSpPr>
        <xdr:cNvPr id="48" name="TextBox 47">
          <a:extLst>
            <a:ext uri="{FF2B5EF4-FFF2-40B4-BE49-F238E27FC236}">
              <a16:creationId xmlns:a16="http://schemas.microsoft.com/office/drawing/2014/main" id="{00000000-0008-0000-0000-000030000000}"/>
            </a:ext>
          </a:extLst>
        </xdr:cNvPr>
        <xdr:cNvSpPr txBox="1"/>
      </xdr:nvSpPr>
      <xdr:spPr>
        <a:xfrm>
          <a:off x="9360749" y="11332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2746E8-12DE-4B90-A708-6F2D2C397922}"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8</xdr:col>
      <xdr:colOff>79589</xdr:colOff>
      <xdr:row>17</xdr:row>
      <xdr:rowOff>51191</xdr:rowOff>
    </xdr:from>
    <xdr:to>
      <xdr:col>8</xdr:col>
      <xdr:colOff>560491</xdr:colOff>
      <xdr:row>19</xdr:row>
      <xdr:rowOff>131689</xdr:rowOff>
    </xdr:to>
    <xdr:sp macro="" textlink="Processing!B40">
      <xdr:nvSpPr>
        <xdr:cNvPr id="49" name="TextBox 48">
          <a:extLst>
            <a:ext uri="{FF2B5EF4-FFF2-40B4-BE49-F238E27FC236}">
              <a16:creationId xmlns:a16="http://schemas.microsoft.com/office/drawing/2014/main" id="{00000000-0008-0000-0000-000031000000}"/>
            </a:ext>
          </a:extLst>
        </xdr:cNvPr>
        <xdr:cNvSpPr txBox="1"/>
      </xdr:nvSpPr>
      <xdr:spPr>
        <a:xfrm>
          <a:off x="4956389" y="316015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B78E6A-86CA-4C4E-8328-5B6F03EB0CEE}" type="TxLink">
            <a:rPr lang="en-US" sz="28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8</xdr:col>
      <xdr:colOff>153214</xdr:colOff>
      <xdr:row>16</xdr:row>
      <xdr:rowOff>160853</xdr:rowOff>
    </xdr:from>
    <xdr:to>
      <xdr:col>8</xdr:col>
      <xdr:colOff>514555</xdr:colOff>
      <xdr:row>19</xdr:row>
      <xdr:rowOff>94921</xdr:rowOff>
    </xdr:to>
    <xdr:sp macro="" textlink="">
      <xdr:nvSpPr>
        <xdr:cNvPr id="1039" name="Oval 1038">
          <a:extLst>
            <a:ext uri="{FF2B5EF4-FFF2-40B4-BE49-F238E27FC236}">
              <a16:creationId xmlns:a16="http://schemas.microsoft.com/office/drawing/2014/main" id="{00000000-0008-0000-0000-00000F040000}"/>
            </a:ext>
          </a:extLst>
        </xdr:cNvPr>
        <xdr:cNvSpPr/>
      </xdr:nvSpPr>
      <xdr:spPr>
        <a:xfrm rot="338911">
          <a:off x="5030014" y="3086933"/>
          <a:ext cx="361341" cy="482708"/>
        </a:xfrm>
        <a:prstGeom prst="ellipse">
          <a:avLst/>
        </a:prstGeom>
        <a:solidFill>
          <a:schemeClr val="tx2">
            <a:lumMod val="25000"/>
            <a:lumOff val="75000"/>
            <a:alpha val="48000"/>
          </a:schemeClr>
        </a:solidFill>
        <a:ln w="12700">
          <a:solidFill>
            <a:schemeClr val="tx2">
              <a:lumMod val="50000"/>
              <a:lumOff val="50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157549</xdr:colOff>
      <xdr:row>15</xdr:row>
      <xdr:rowOff>180731</xdr:rowOff>
    </xdr:from>
    <xdr:to>
      <xdr:col>12</xdr:col>
      <xdr:colOff>28851</xdr:colOff>
      <xdr:row>18</xdr:row>
      <xdr:rowOff>78349</xdr:rowOff>
    </xdr:to>
    <xdr:sp macro="" textlink="Processing!B15">
      <xdr:nvSpPr>
        <xdr:cNvPr id="50" name="TextBox 49">
          <a:extLst>
            <a:ext uri="{FF2B5EF4-FFF2-40B4-BE49-F238E27FC236}">
              <a16:creationId xmlns:a16="http://schemas.microsoft.com/office/drawing/2014/main" id="{00000000-0008-0000-0000-000032000000}"/>
            </a:ext>
          </a:extLst>
        </xdr:cNvPr>
        <xdr:cNvSpPr txBox="1"/>
      </xdr:nvSpPr>
      <xdr:spPr>
        <a:xfrm>
          <a:off x="6863149" y="292393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6133CC-1B0F-4C51-8AFF-7F53CA29A108}"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10</xdr:col>
      <xdr:colOff>7493</xdr:colOff>
      <xdr:row>17</xdr:row>
      <xdr:rowOff>20711</xdr:rowOff>
    </xdr:from>
    <xdr:to>
      <xdr:col>10</xdr:col>
      <xdr:colOff>488395</xdr:colOff>
      <xdr:row>19</xdr:row>
      <xdr:rowOff>101209</xdr:rowOff>
    </xdr:to>
    <xdr:sp macro="" textlink="Processing!B13">
      <xdr:nvSpPr>
        <xdr:cNvPr id="51" name="TextBox 50">
          <a:extLst>
            <a:ext uri="{FF2B5EF4-FFF2-40B4-BE49-F238E27FC236}">
              <a16:creationId xmlns:a16="http://schemas.microsoft.com/office/drawing/2014/main" id="{00000000-0008-0000-0000-000033000000}"/>
            </a:ext>
          </a:extLst>
        </xdr:cNvPr>
        <xdr:cNvSpPr txBox="1"/>
      </xdr:nvSpPr>
      <xdr:spPr>
        <a:xfrm>
          <a:off x="6103493" y="312967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DB4E3C-AC1A-41B4-9A68-8F0925643D97}"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11</xdr:col>
      <xdr:colOff>537377</xdr:colOff>
      <xdr:row>15</xdr:row>
      <xdr:rowOff>35951</xdr:rowOff>
    </xdr:from>
    <xdr:to>
      <xdr:col>12</xdr:col>
      <xdr:colOff>408679</xdr:colOff>
      <xdr:row>17</xdr:row>
      <xdr:rowOff>116449</xdr:rowOff>
    </xdr:to>
    <xdr:sp macro="" textlink="Processing!B16">
      <xdr:nvSpPr>
        <xdr:cNvPr id="52" name="TextBox 51">
          <a:extLst>
            <a:ext uri="{FF2B5EF4-FFF2-40B4-BE49-F238E27FC236}">
              <a16:creationId xmlns:a16="http://schemas.microsoft.com/office/drawing/2014/main" id="{00000000-0008-0000-0000-000034000000}"/>
            </a:ext>
          </a:extLst>
        </xdr:cNvPr>
        <xdr:cNvSpPr txBox="1"/>
      </xdr:nvSpPr>
      <xdr:spPr>
        <a:xfrm>
          <a:off x="7242977" y="277915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54007C-ACA5-4D37-A617-93EA77C949DB}"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13</xdr:col>
      <xdr:colOff>77833</xdr:colOff>
      <xdr:row>13</xdr:row>
      <xdr:rowOff>112151</xdr:rowOff>
    </xdr:from>
    <xdr:to>
      <xdr:col>13</xdr:col>
      <xdr:colOff>558735</xdr:colOff>
      <xdr:row>16</xdr:row>
      <xdr:rowOff>9769</xdr:rowOff>
    </xdr:to>
    <xdr:sp macro="" textlink="Processing!B18">
      <xdr:nvSpPr>
        <xdr:cNvPr id="53" name="TextBox 52">
          <a:extLst>
            <a:ext uri="{FF2B5EF4-FFF2-40B4-BE49-F238E27FC236}">
              <a16:creationId xmlns:a16="http://schemas.microsoft.com/office/drawing/2014/main" id="{00000000-0008-0000-0000-000035000000}"/>
            </a:ext>
          </a:extLst>
        </xdr:cNvPr>
        <xdr:cNvSpPr txBox="1"/>
      </xdr:nvSpPr>
      <xdr:spPr>
        <a:xfrm>
          <a:off x="8002633" y="248959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AECE75-B2B8-473D-BD6D-9EEFA55B4616}"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14</xdr:col>
      <xdr:colOff>227889</xdr:colOff>
      <xdr:row>11</xdr:row>
      <xdr:rowOff>119771</xdr:rowOff>
    </xdr:from>
    <xdr:to>
      <xdr:col>15</xdr:col>
      <xdr:colOff>99191</xdr:colOff>
      <xdr:row>14</xdr:row>
      <xdr:rowOff>17389</xdr:rowOff>
    </xdr:to>
    <xdr:sp macro="" textlink="Processing!B20">
      <xdr:nvSpPr>
        <xdr:cNvPr id="54" name="TextBox 53">
          <a:extLst>
            <a:ext uri="{FF2B5EF4-FFF2-40B4-BE49-F238E27FC236}">
              <a16:creationId xmlns:a16="http://schemas.microsoft.com/office/drawing/2014/main" id="{00000000-0008-0000-0000-000036000000}"/>
            </a:ext>
          </a:extLst>
        </xdr:cNvPr>
        <xdr:cNvSpPr txBox="1"/>
      </xdr:nvSpPr>
      <xdr:spPr>
        <a:xfrm>
          <a:off x="8762289" y="2131451"/>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5953E4-909E-4A06-899B-4D6F51056180}"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14</xdr:col>
      <xdr:colOff>369149</xdr:colOff>
      <xdr:row>6</xdr:row>
      <xdr:rowOff>39217</xdr:rowOff>
    </xdr:from>
    <xdr:to>
      <xdr:col>15</xdr:col>
      <xdr:colOff>240451</xdr:colOff>
      <xdr:row>8</xdr:row>
      <xdr:rowOff>119715</xdr:rowOff>
    </xdr:to>
    <xdr:sp macro="" textlink="Processing!B25">
      <xdr:nvSpPr>
        <xdr:cNvPr id="55" name="TextBox 54">
          <a:extLst>
            <a:ext uri="{FF2B5EF4-FFF2-40B4-BE49-F238E27FC236}">
              <a16:creationId xmlns:a16="http://schemas.microsoft.com/office/drawing/2014/main" id="{00000000-0008-0000-0000-000037000000}"/>
            </a:ext>
          </a:extLst>
        </xdr:cNvPr>
        <xdr:cNvSpPr txBox="1"/>
      </xdr:nvSpPr>
      <xdr:spPr>
        <a:xfrm>
          <a:off x="8903549" y="11364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8EFBEF-B17A-4528-9F6C-C2446E35A41E}"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rPr>
            <a:pPr algn="ctr"/>
            <a:t> </a:t>
          </a:fld>
          <a:endParaRPr lang="ru-RU" sz="540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ndParaRPr>
        </a:p>
      </xdr:txBody>
    </xdr:sp>
    <xdr:clientData/>
  </xdr:twoCellAnchor>
  <xdr:twoCellAnchor>
    <xdr:from>
      <xdr:col>14</xdr:col>
      <xdr:colOff>252234</xdr:colOff>
      <xdr:row>4</xdr:row>
      <xdr:rowOff>16343</xdr:rowOff>
    </xdr:from>
    <xdr:to>
      <xdr:col>15</xdr:col>
      <xdr:colOff>451807</xdr:colOff>
      <xdr:row>11</xdr:row>
      <xdr:rowOff>42383</xdr:rowOff>
    </xdr:to>
    <xdr:grpSp>
      <xdr:nvGrpSpPr>
        <xdr:cNvPr id="22" name="Group 21">
          <a:extLst>
            <a:ext uri="{FF2B5EF4-FFF2-40B4-BE49-F238E27FC236}">
              <a16:creationId xmlns:a16="http://schemas.microsoft.com/office/drawing/2014/main" id="{00000000-0008-0000-0000-000016000000}"/>
            </a:ext>
          </a:extLst>
        </xdr:cNvPr>
        <xdr:cNvGrpSpPr/>
      </xdr:nvGrpSpPr>
      <xdr:grpSpPr>
        <a:xfrm rot="20700000">
          <a:off x="8549567" y="778343"/>
          <a:ext cx="792240" cy="1359540"/>
          <a:chOff x="783274" y="2328777"/>
          <a:chExt cx="1814584" cy="2152194"/>
        </a:xfrm>
      </xdr:grpSpPr>
      <xdr:sp macro="" textlink="">
        <xdr:nvSpPr>
          <xdr:cNvPr id="23" name="Oval 22">
            <a:extLst>
              <a:ext uri="{FF2B5EF4-FFF2-40B4-BE49-F238E27FC236}">
                <a16:creationId xmlns:a16="http://schemas.microsoft.com/office/drawing/2014/main" id="{00000000-0008-0000-0000-000017000000}"/>
              </a:ext>
            </a:extLst>
          </xdr:cNvPr>
          <xdr:cNvSpPr/>
        </xdr:nvSpPr>
        <xdr:spPr>
          <a:xfrm rot="900000">
            <a:off x="865755" y="2441844"/>
            <a:ext cx="1649622" cy="1956540"/>
          </a:xfrm>
          <a:prstGeom prst="ellipse">
            <a:avLst/>
          </a:prstGeom>
          <a:noFill/>
          <a:ln w="12700">
            <a:gradFill>
              <a:gsLst>
                <a:gs pos="0">
                  <a:srgbClr val="C63FF4"/>
                </a:gs>
                <a:gs pos="100000">
                  <a:srgbClr val="C63FF4">
                    <a:alpha val="12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Oval 23">
            <a:extLst>
              <a:ext uri="{FF2B5EF4-FFF2-40B4-BE49-F238E27FC236}">
                <a16:creationId xmlns:a16="http://schemas.microsoft.com/office/drawing/2014/main" id="{00000000-0008-0000-0000-000018000000}"/>
              </a:ext>
            </a:extLst>
          </xdr:cNvPr>
          <xdr:cNvSpPr/>
        </xdr:nvSpPr>
        <xdr:spPr>
          <a:xfrm rot="900000">
            <a:off x="940275" y="2523314"/>
            <a:ext cx="1500582" cy="1793601"/>
          </a:xfrm>
          <a:prstGeom prst="ellipse">
            <a:avLst/>
          </a:prstGeom>
          <a:noFill/>
          <a:ln w="12700">
            <a:gradFill>
              <a:gsLst>
                <a:gs pos="0">
                  <a:srgbClr val="C63FF4"/>
                </a:gs>
                <a:gs pos="100000">
                  <a:srgbClr val="C63FF4">
                    <a:alpha val="12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Circle: Hollow 24">
            <a:extLst>
              <a:ext uri="{FF2B5EF4-FFF2-40B4-BE49-F238E27FC236}">
                <a16:creationId xmlns:a16="http://schemas.microsoft.com/office/drawing/2014/main" id="{00000000-0008-0000-0000-000019000000}"/>
              </a:ext>
            </a:extLst>
          </xdr:cNvPr>
          <xdr:cNvSpPr/>
        </xdr:nvSpPr>
        <xdr:spPr>
          <a:xfrm rot="900000">
            <a:off x="1075751" y="2640095"/>
            <a:ext cx="1229631" cy="1560039"/>
          </a:xfrm>
          <a:prstGeom prst="donut">
            <a:avLst>
              <a:gd name="adj" fmla="val 10747"/>
            </a:avLst>
          </a:prstGeom>
          <a:gradFill>
            <a:gsLst>
              <a:gs pos="0">
                <a:srgbClr val="C63FF4">
                  <a:alpha val="67000"/>
                </a:srgbClr>
              </a:gs>
              <a:gs pos="91000">
                <a:srgbClr val="C63FF4">
                  <a:alpha val="0"/>
                </a:srgbClr>
              </a:gs>
            </a:gsLst>
            <a:lin ang="0" scaled="0"/>
          </a:gradFill>
          <a:ln>
            <a:gradFill>
              <a:gsLst>
                <a:gs pos="0">
                  <a:srgbClr val="C63FF4"/>
                </a:gs>
                <a:gs pos="100000">
                  <a:srgbClr val="C63FF4">
                    <a:alpha val="12000"/>
                  </a:srgbClr>
                </a:gs>
              </a:gsLst>
              <a:lin ang="0" scaled="0"/>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26" name="Oval 25">
            <a:extLst>
              <a:ext uri="{FF2B5EF4-FFF2-40B4-BE49-F238E27FC236}">
                <a16:creationId xmlns:a16="http://schemas.microsoft.com/office/drawing/2014/main" id="{00000000-0008-0000-0000-00001A000000}"/>
              </a:ext>
            </a:extLst>
          </xdr:cNvPr>
          <xdr:cNvSpPr/>
        </xdr:nvSpPr>
        <xdr:spPr>
          <a:xfrm rot="900000">
            <a:off x="783274" y="2328777"/>
            <a:ext cx="1814584" cy="2152194"/>
          </a:xfrm>
          <a:prstGeom prst="ellipse">
            <a:avLst/>
          </a:prstGeom>
          <a:noFill/>
          <a:ln w="12700">
            <a:gradFill>
              <a:gsLst>
                <a:gs pos="0">
                  <a:srgbClr val="C63FF4"/>
                </a:gs>
                <a:gs pos="100000">
                  <a:srgbClr val="C63FF4">
                    <a:alpha val="12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12</xdr:col>
      <xdr:colOff>175260</xdr:colOff>
      <xdr:row>34</xdr:row>
      <xdr:rowOff>144780</xdr:rowOff>
    </xdr:from>
    <xdr:to>
      <xdr:col>16</xdr:col>
      <xdr:colOff>571500</xdr:colOff>
      <xdr:row>37</xdr:row>
      <xdr:rowOff>144780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223520</xdr:colOff>
      <xdr:row>23</xdr:row>
      <xdr:rowOff>133350</xdr:rowOff>
    </xdr:from>
    <xdr:to>
      <xdr:col>16</xdr:col>
      <xdr:colOff>528320</xdr:colOff>
      <xdr:row>38</xdr:row>
      <xdr:rowOff>133350</xdr:rowOff>
    </xdr:to>
    <xdr:graphicFrame macro="">
      <xdr:nvGraphicFramePr>
        <xdr:cNvPr id="1040" name="Chart 1039">
          <a:extLst>
            <a:ext uri="{FF2B5EF4-FFF2-40B4-BE49-F238E27FC236}">
              <a16:creationId xmlns:a16="http://schemas.microsoft.com/office/drawing/2014/main" id="{00000000-0008-0000-0000-00001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xdr:from>
          <xdr:col>14</xdr:col>
          <xdr:colOff>161925</xdr:colOff>
          <xdr:row>29</xdr:row>
          <xdr:rowOff>171450</xdr:rowOff>
        </xdr:from>
        <xdr:to>
          <xdr:col>14</xdr:col>
          <xdr:colOff>590550</xdr:colOff>
          <xdr:row>32</xdr:row>
          <xdr:rowOff>104775</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7</xdr:col>
      <xdr:colOff>200337</xdr:colOff>
      <xdr:row>11</xdr:row>
      <xdr:rowOff>84937</xdr:rowOff>
    </xdr:from>
    <xdr:to>
      <xdr:col>8</xdr:col>
      <xdr:colOff>71639</xdr:colOff>
      <xdr:row>13</xdr:row>
      <xdr:rowOff>165435</xdr:rowOff>
    </xdr:to>
    <xdr:sp macro="" textlink="Processing!B4">
      <xdr:nvSpPr>
        <xdr:cNvPr id="1041" name="TextBox 1040">
          <a:extLst>
            <a:ext uri="{FF2B5EF4-FFF2-40B4-BE49-F238E27FC236}">
              <a16:creationId xmlns:a16="http://schemas.microsoft.com/office/drawing/2014/main" id="{00000000-0008-0000-0000-000011040000}"/>
            </a:ext>
          </a:extLst>
        </xdr:cNvPr>
        <xdr:cNvSpPr txBox="1"/>
      </xdr:nvSpPr>
      <xdr:spPr>
        <a:xfrm>
          <a:off x="4467537" y="209661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464C74-789E-4CC9-B605-E00719A7DC90}"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7</xdr:col>
      <xdr:colOff>543237</xdr:colOff>
      <xdr:row>11</xdr:row>
      <xdr:rowOff>100177</xdr:rowOff>
    </xdr:from>
    <xdr:to>
      <xdr:col>8</xdr:col>
      <xdr:colOff>414539</xdr:colOff>
      <xdr:row>13</xdr:row>
      <xdr:rowOff>180675</xdr:rowOff>
    </xdr:to>
    <xdr:sp macro="" textlink="Processing!B5">
      <xdr:nvSpPr>
        <xdr:cNvPr id="1042" name="TextBox 1041">
          <a:extLst>
            <a:ext uri="{FF2B5EF4-FFF2-40B4-BE49-F238E27FC236}">
              <a16:creationId xmlns:a16="http://schemas.microsoft.com/office/drawing/2014/main" id="{00000000-0008-0000-0000-000012040000}"/>
            </a:ext>
          </a:extLst>
        </xdr:cNvPr>
        <xdr:cNvSpPr txBox="1"/>
      </xdr:nvSpPr>
      <xdr:spPr>
        <a:xfrm>
          <a:off x="4810437" y="211185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EF9D73-6963-4CEA-A7FE-6BC549B9CB9A}"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8</xdr:col>
      <xdr:colOff>185097</xdr:colOff>
      <xdr:row>12</xdr:row>
      <xdr:rowOff>77317</xdr:rowOff>
    </xdr:from>
    <xdr:to>
      <xdr:col>9</xdr:col>
      <xdr:colOff>56399</xdr:colOff>
      <xdr:row>14</xdr:row>
      <xdr:rowOff>157815</xdr:rowOff>
    </xdr:to>
    <xdr:sp macro="" textlink="Processing!B6">
      <xdr:nvSpPr>
        <xdr:cNvPr id="1043" name="TextBox 1042">
          <a:extLst>
            <a:ext uri="{FF2B5EF4-FFF2-40B4-BE49-F238E27FC236}">
              <a16:creationId xmlns:a16="http://schemas.microsoft.com/office/drawing/2014/main" id="{00000000-0008-0000-0000-000013040000}"/>
            </a:ext>
          </a:extLst>
        </xdr:cNvPr>
        <xdr:cNvSpPr txBox="1"/>
      </xdr:nvSpPr>
      <xdr:spPr>
        <a:xfrm>
          <a:off x="5061897" y="227187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1B6095-8969-4E23-BE98-628E22186192}"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7</xdr:col>
      <xdr:colOff>566097</xdr:colOff>
      <xdr:row>13</xdr:row>
      <xdr:rowOff>107797</xdr:rowOff>
    </xdr:from>
    <xdr:to>
      <xdr:col>8</xdr:col>
      <xdr:colOff>437399</xdr:colOff>
      <xdr:row>16</xdr:row>
      <xdr:rowOff>5415</xdr:rowOff>
    </xdr:to>
    <xdr:sp macro="" textlink="Processing!B7">
      <xdr:nvSpPr>
        <xdr:cNvPr id="1044" name="TextBox 1043">
          <a:extLst>
            <a:ext uri="{FF2B5EF4-FFF2-40B4-BE49-F238E27FC236}">
              <a16:creationId xmlns:a16="http://schemas.microsoft.com/office/drawing/2014/main" id="{00000000-0008-0000-0000-000014040000}"/>
            </a:ext>
          </a:extLst>
        </xdr:cNvPr>
        <xdr:cNvSpPr txBox="1"/>
      </xdr:nvSpPr>
      <xdr:spPr>
        <a:xfrm>
          <a:off x="4833297" y="248523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5EA604-BBD9-417B-89DA-95F330D71CF1}"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7</xdr:col>
      <xdr:colOff>299397</xdr:colOff>
      <xdr:row>14</xdr:row>
      <xdr:rowOff>176377</xdr:rowOff>
    </xdr:from>
    <xdr:to>
      <xdr:col>8</xdr:col>
      <xdr:colOff>170699</xdr:colOff>
      <xdr:row>17</xdr:row>
      <xdr:rowOff>73995</xdr:rowOff>
    </xdr:to>
    <xdr:sp macro="" textlink="Processing!B8">
      <xdr:nvSpPr>
        <xdr:cNvPr id="1045" name="TextBox 1044">
          <a:extLst>
            <a:ext uri="{FF2B5EF4-FFF2-40B4-BE49-F238E27FC236}">
              <a16:creationId xmlns:a16="http://schemas.microsoft.com/office/drawing/2014/main" id="{00000000-0008-0000-0000-000015040000}"/>
            </a:ext>
          </a:extLst>
        </xdr:cNvPr>
        <xdr:cNvSpPr txBox="1"/>
      </xdr:nvSpPr>
      <xdr:spPr>
        <a:xfrm>
          <a:off x="4566597" y="27366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8A3334-C480-4C97-895F-31737FF2DB82}"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7</xdr:col>
      <xdr:colOff>169857</xdr:colOff>
      <xdr:row>17</xdr:row>
      <xdr:rowOff>84937</xdr:rowOff>
    </xdr:from>
    <xdr:to>
      <xdr:col>8</xdr:col>
      <xdr:colOff>41159</xdr:colOff>
      <xdr:row>19</xdr:row>
      <xdr:rowOff>165435</xdr:rowOff>
    </xdr:to>
    <xdr:sp macro="" textlink="Processing!B9">
      <xdr:nvSpPr>
        <xdr:cNvPr id="1046" name="TextBox 1045">
          <a:extLst>
            <a:ext uri="{FF2B5EF4-FFF2-40B4-BE49-F238E27FC236}">
              <a16:creationId xmlns:a16="http://schemas.microsoft.com/office/drawing/2014/main" id="{00000000-0008-0000-0000-000016040000}"/>
            </a:ext>
          </a:extLst>
        </xdr:cNvPr>
        <xdr:cNvSpPr txBox="1"/>
      </xdr:nvSpPr>
      <xdr:spPr>
        <a:xfrm>
          <a:off x="4437057" y="31938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47DA4B-6776-4D0A-96D4-BBC6EE7D521E}"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 </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7</xdr:col>
      <xdr:colOff>588957</xdr:colOff>
      <xdr:row>18</xdr:row>
      <xdr:rowOff>54457</xdr:rowOff>
    </xdr:from>
    <xdr:to>
      <xdr:col>8</xdr:col>
      <xdr:colOff>460259</xdr:colOff>
      <xdr:row>20</xdr:row>
      <xdr:rowOff>134955</xdr:rowOff>
    </xdr:to>
    <xdr:sp macro="" textlink="Processing!B10">
      <xdr:nvSpPr>
        <xdr:cNvPr id="1047" name="TextBox 1046">
          <a:extLst>
            <a:ext uri="{FF2B5EF4-FFF2-40B4-BE49-F238E27FC236}">
              <a16:creationId xmlns:a16="http://schemas.microsoft.com/office/drawing/2014/main" id="{00000000-0008-0000-0000-000017040000}"/>
            </a:ext>
          </a:extLst>
        </xdr:cNvPr>
        <xdr:cNvSpPr txBox="1"/>
      </xdr:nvSpPr>
      <xdr:spPr>
        <a:xfrm>
          <a:off x="4856157" y="33462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C522BD-8932-472C-9BFF-5EF307A2A094}" type="TxLink">
            <a:rPr lang="en-US"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rPr>
            <a:pPr marL="0" indent="0" algn="ctr"/>
            <a:t>⬛</a:t>
          </a:fld>
          <a:endParaRPr lang="ru-RU" sz="2800" b="0" i="0" u="none" strike="noStrike">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latin typeface="Aptos Narrow"/>
            <a:ea typeface="+mn-ea"/>
            <a:cs typeface="+mn-cs"/>
          </a:endParaRPr>
        </a:p>
      </xdr:txBody>
    </xdr:sp>
    <xdr:clientData/>
  </xdr:twoCellAnchor>
  <xdr:twoCellAnchor>
    <xdr:from>
      <xdr:col>10</xdr:col>
      <xdr:colOff>296857</xdr:colOff>
      <xdr:row>19</xdr:row>
      <xdr:rowOff>69697</xdr:rowOff>
    </xdr:from>
    <xdr:to>
      <xdr:col>11</xdr:col>
      <xdr:colOff>168159</xdr:colOff>
      <xdr:row>21</xdr:row>
      <xdr:rowOff>150195</xdr:rowOff>
    </xdr:to>
    <xdr:sp macro="" textlink="Processing!B42">
      <xdr:nvSpPr>
        <xdr:cNvPr id="1049" name="TextBox 1048">
          <a:extLst>
            <a:ext uri="{FF2B5EF4-FFF2-40B4-BE49-F238E27FC236}">
              <a16:creationId xmlns:a16="http://schemas.microsoft.com/office/drawing/2014/main" id="{00000000-0008-0000-0000-000019040000}"/>
            </a:ext>
          </a:extLst>
        </xdr:cNvPr>
        <xdr:cNvSpPr txBox="1"/>
      </xdr:nvSpPr>
      <xdr:spPr>
        <a:xfrm>
          <a:off x="6392857" y="354441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B550BE-A726-4AB7-B921-F02FA73FF6F3}"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11</xdr:col>
      <xdr:colOff>340037</xdr:colOff>
      <xdr:row>19</xdr:row>
      <xdr:rowOff>153517</xdr:rowOff>
    </xdr:from>
    <xdr:to>
      <xdr:col>12</xdr:col>
      <xdr:colOff>211339</xdr:colOff>
      <xdr:row>22</xdr:row>
      <xdr:rowOff>51135</xdr:rowOff>
    </xdr:to>
    <xdr:sp macro="" textlink="Processing!B43">
      <xdr:nvSpPr>
        <xdr:cNvPr id="1050" name="TextBox 1049">
          <a:extLst>
            <a:ext uri="{FF2B5EF4-FFF2-40B4-BE49-F238E27FC236}">
              <a16:creationId xmlns:a16="http://schemas.microsoft.com/office/drawing/2014/main" id="{00000000-0008-0000-0000-00001A040000}"/>
            </a:ext>
          </a:extLst>
        </xdr:cNvPr>
        <xdr:cNvSpPr txBox="1"/>
      </xdr:nvSpPr>
      <xdr:spPr>
        <a:xfrm>
          <a:off x="7045637" y="362823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1CE48D-0612-4250-90CF-EB9AA9739FBA}"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12</xdr:col>
      <xdr:colOff>383217</xdr:colOff>
      <xdr:row>19</xdr:row>
      <xdr:rowOff>176377</xdr:rowOff>
    </xdr:from>
    <xdr:to>
      <xdr:col>13</xdr:col>
      <xdr:colOff>254519</xdr:colOff>
      <xdr:row>22</xdr:row>
      <xdr:rowOff>73995</xdr:rowOff>
    </xdr:to>
    <xdr:sp macro="" textlink="Processing!B44">
      <xdr:nvSpPr>
        <xdr:cNvPr id="1051" name="TextBox 1050">
          <a:extLst>
            <a:ext uri="{FF2B5EF4-FFF2-40B4-BE49-F238E27FC236}">
              <a16:creationId xmlns:a16="http://schemas.microsoft.com/office/drawing/2014/main" id="{00000000-0008-0000-0000-00001B040000}"/>
            </a:ext>
          </a:extLst>
        </xdr:cNvPr>
        <xdr:cNvSpPr txBox="1"/>
      </xdr:nvSpPr>
      <xdr:spPr>
        <a:xfrm>
          <a:off x="7698417" y="36510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5EA078-16A8-4EC0-AF51-55961DEB0613}"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13</xdr:col>
      <xdr:colOff>426397</xdr:colOff>
      <xdr:row>19</xdr:row>
      <xdr:rowOff>138277</xdr:rowOff>
    </xdr:from>
    <xdr:to>
      <xdr:col>14</xdr:col>
      <xdr:colOff>297699</xdr:colOff>
      <xdr:row>22</xdr:row>
      <xdr:rowOff>35895</xdr:rowOff>
    </xdr:to>
    <xdr:sp macro="" textlink="Processing!B45">
      <xdr:nvSpPr>
        <xdr:cNvPr id="1052" name="TextBox 1051">
          <a:extLst>
            <a:ext uri="{FF2B5EF4-FFF2-40B4-BE49-F238E27FC236}">
              <a16:creationId xmlns:a16="http://schemas.microsoft.com/office/drawing/2014/main" id="{00000000-0008-0000-0000-00001C040000}"/>
            </a:ext>
          </a:extLst>
        </xdr:cNvPr>
        <xdr:cNvSpPr txBox="1"/>
      </xdr:nvSpPr>
      <xdr:spPr>
        <a:xfrm>
          <a:off x="8351197" y="36129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E650C5-612C-4BA5-8F68-3901FEA36BDB}"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14</xdr:col>
      <xdr:colOff>469577</xdr:colOff>
      <xdr:row>19</xdr:row>
      <xdr:rowOff>46837</xdr:rowOff>
    </xdr:from>
    <xdr:to>
      <xdr:col>15</xdr:col>
      <xdr:colOff>340879</xdr:colOff>
      <xdr:row>21</xdr:row>
      <xdr:rowOff>127335</xdr:rowOff>
    </xdr:to>
    <xdr:sp macro="" textlink="Processing!B46">
      <xdr:nvSpPr>
        <xdr:cNvPr id="1053" name="TextBox 1052">
          <a:extLst>
            <a:ext uri="{FF2B5EF4-FFF2-40B4-BE49-F238E27FC236}">
              <a16:creationId xmlns:a16="http://schemas.microsoft.com/office/drawing/2014/main" id="{00000000-0008-0000-0000-00001D040000}"/>
            </a:ext>
          </a:extLst>
        </xdr:cNvPr>
        <xdr:cNvSpPr txBox="1"/>
      </xdr:nvSpPr>
      <xdr:spPr>
        <a:xfrm>
          <a:off x="9003977" y="352155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E14937-BFB5-4E6D-ACC8-54F1A491C884}"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15</xdr:col>
      <xdr:colOff>512757</xdr:colOff>
      <xdr:row>18</xdr:row>
      <xdr:rowOff>16357</xdr:rowOff>
    </xdr:from>
    <xdr:to>
      <xdr:col>16</xdr:col>
      <xdr:colOff>384059</xdr:colOff>
      <xdr:row>20</xdr:row>
      <xdr:rowOff>96855</xdr:rowOff>
    </xdr:to>
    <xdr:sp macro="" textlink="Processing!B47">
      <xdr:nvSpPr>
        <xdr:cNvPr id="1054" name="TextBox 1053">
          <a:extLst>
            <a:ext uri="{FF2B5EF4-FFF2-40B4-BE49-F238E27FC236}">
              <a16:creationId xmlns:a16="http://schemas.microsoft.com/office/drawing/2014/main" id="{00000000-0008-0000-0000-00001E040000}"/>
            </a:ext>
          </a:extLst>
        </xdr:cNvPr>
        <xdr:cNvSpPr txBox="1"/>
      </xdr:nvSpPr>
      <xdr:spPr>
        <a:xfrm>
          <a:off x="9656757" y="3308197"/>
          <a:ext cx="480902" cy="44625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62C47D-DFF9-4E26-AEFD-08DB601BC76A}" type="TxLink">
            <a:rPr lang="en-US"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rPr>
            <a:pPr marL="0" indent="0" algn="ctr"/>
            <a:t> </a:t>
          </a:fld>
          <a:endParaRPr lang="ru-RU" sz="2400" b="0" i="0" u="none" strike="noStrike">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latin typeface="Aptos Narrow"/>
            <a:ea typeface="+mn-ea"/>
            <a:cs typeface="+mn-cs"/>
          </a:endParaRPr>
        </a:p>
      </xdr:txBody>
    </xdr:sp>
    <xdr:clientData/>
  </xdr:twoCellAnchor>
  <xdr:twoCellAnchor>
    <xdr:from>
      <xdr:col>12</xdr:col>
      <xdr:colOff>175260</xdr:colOff>
      <xdr:row>34</xdr:row>
      <xdr:rowOff>144780</xdr:rowOff>
    </xdr:from>
    <xdr:to>
      <xdr:col>16</xdr:col>
      <xdr:colOff>571500</xdr:colOff>
      <xdr:row>37</xdr:row>
      <xdr:rowOff>144780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552746</xdr:colOff>
      <xdr:row>22</xdr:row>
      <xdr:rowOff>155043</xdr:rowOff>
    </xdr:from>
    <xdr:to>
      <xdr:col>17</xdr:col>
      <xdr:colOff>242085</xdr:colOff>
      <xdr:row>27</xdr:row>
      <xdr:rowOff>160904</xdr:rowOff>
    </xdr:to>
    <xdr:sp macro="" textlink="Processing!J1">
      <xdr:nvSpPr>
        <xdr:cNvPr id="6" name="TextBox 5">
          <a:extLst>
            <a:ext uri="{FF2B5EF4-FFF2-40B4-BE49-F238E27FC236}">
              <a16:creationId xmlns:a16="http://schemas.microsoft.com/office/drawing/2014/main" id="{00000000-0008-0000-0000-000006000000}"/>
            </a:ext>
          </a:extLst>
        </xdr:cNvPr>
        <xdr:cNvSpPr txBox="1"/>
      </xdr:nvSpPr>
      <xdr:spPr>
        <a:xfrm rot="5400000">
          <a:off x="9693816" y="4155542"/>
          <a:ext cx="914400" cy="90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C4C00A-EE59-4DF2-95C6-4692A9435F8F}" type="TxLink">
            <a:rPr lang="en-US" sz="3200" b="0" i="0" u="none" strike="noStrike">
              <a:blipFill>
                <a:blip xmlns:r="http://schemas.openxmlformats.org/officeDocument/2006/relationships" r:embed="rId14">
                  <a:extLst>
                    <a:ext uri="{96DAC541-7B7A-43D3-8B79-37D633B846F1}">
                      <asvg:svgBlip xmlns:asvg="http://schemas.microsoft.com/office/drawing/2016/SVG/main" r:embed="rId15"/>
                    </a:ext>
                  </a:extLst>
                </a:blip>
                <a:stretch>
                  <a:fillRect/>
                </a:stretch>
              </a:blipFill>
              <a:latin typeface="Aptos Narrow"/>
            </a:rPr>
            <a:pPr algn="ctr"/>
            <a:t>█</a:t>
          </a:fld>
          <a:endParaRPr lang="ru-RU" sz="3200">
            <a:blipFill>
              <a:blip xmlns:r="http://schemas.openxmlformats.org/officeDocument/2006/relationships" r:embed="rId14">
                <a:extLst>
                  <a:ext uri="{96DAC541-7B7A-43D3-8B79-37D633B846F1}">
                    <asvg:svgBlip xmlns:asvg="http://schemas.microsoft.com/office/drawing/2016/SVG/main" r:embed="rId15"/>
                  </a:ext>
                </a:extLst>
              </a:blip>
              <a:stretch>
                <a:fillRect/>
              </a:stretch>
            </a:blipFill>
          </a:endParaRPr>
        </a:p>
      </xdr:txBody>
    </xdr:sp>
    <xdr:clientData/>
  </xdr:twoCellAnchor>
  <xdr:twoCellAnchor>
    <xdr:from>
      <xdr:col>15</xdr:col>
      <xdr:colOff>552748</xdr:colOff>
      <xdr:row>22</xdr:row>
      <xdr:rowOff>155042</xdr:rowOff>
    </xdr:from>
    <xdr:to>
      <xdr:col>17</xdr:col>
      <xdr:colOff>242085</xdr:colOff>
      <xdr:row>27</xdr:row>
      <xdr:rowOff>160903</xdr:rowOff>
    </xdr:to>
    <xdr:sp macro="" textlink="Processing!J2">
      <xdr:nvSpPr>
        <xdr:cNvPr id="7" name="TextBox 6">
          <a:extLst>
            <a:ext uri="{FF2B5EF4-FFF2-40B4-BE49-F238E27FC236}">
              <a16:creationId xmlns:a16="http://schemas.microsoft.com/office/drawing/2014/main" id="{00000000-0008-0000-0000-000007000000}"/>
            </a:ext>
          </a:extLst>
        </xdr:cNvPr>
        <xdr:cNvSpPr txBox="1"/>
      </xdr:nvSpPr>
      <xdr:spPr>
        <a:xfrm rot="16200000">
          <a:off x="9693817" y="4155542"/>
          <a:ext cx="914400" cy="908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73000D-D17F-437F-9101-D58056CBCB0C}" type="TxLink">
            <a:rPr lang="en-US" sz="3200" b="0" i="0" u="none" strike="noStrike">
              <a:blipFill>
                <a:blip xmlns:r="http://schemas.openxmlformats.org/officeDocument/2006/relationships" r:embed="rId16">
                  <a:extLst>
                    <a:ext uri="{96DAC541-7B7A-43D3-8B79-37D633B846F1}">
                      <asvg:svgBlip xmlns:asvg="http://schemas.microsoft.com/office/drawing/2016/SVG/main" r:embed="rId17"/>
                    </a:ext>
                  </a:extLst>
                </a:blip>
                <a:stretch>
                  <a:fillRect/>
                </a:stretch>
              </a:blipFill>
              <a:latin typeface="Aptos Narrow"/>
            </a:rPr>
            <a:pPr algn="ctr"/>
            <a:t> </a:t>
          </a:fld>
          <a:endParaRPr lang="ru-RU" sz="3200">
            <a:blipFill>
              <a:blip xmlns:r="http://schemas.openxmlformats.org/officeDocument/2006/relationships" r:embed="rId16">
                <a:extLst>
                  <a:ext uri="{96DAC541-7B7A-43D3-8B79-37D633B846F1}">
                    <asvg:svgBlip xmlns:asvg="http://schemas.microsoft.com/office/drawing/2016/SVG/main" r:embed="rId17"/>
                  </a:ext>
                </a:extLst>
              </a:blip>
              <a:stretch>
                <a:fillRect/>
              </a:stretch>
            </a:blipFill>
          </a:endParaRPr>
        </a:p>
      </xdr:txBody>
    </xdr:sp>
    <xdr:clientData/>
  </xdr:twoCellAnchor>
  <mc:AlternateContent xmlns:mc="http://schemas.openxmlformats.org/markup-compatibility/2006">
    <mc:Choice xmlns:a14="http://schemas.microsoft.com/office/drawing/2010/main" Requires="a14">
      <xdr:twoCellAnchor editAs="oneCell">
        <xdr:from>
          <xdr:col>15</xdr:col>
          <xdr:colOff>561975</xdr:colOff>
          <xdr:row>24</xdr:row>
          <xdr:rowOff>95250</xdr:rowOff>
        </xdr:from>
        <xdr:to>
          <xdr:col>17</xdr:col>
          <xdr:colOff>47625</xdr:colOff>
          <xdr:row>26</xdr:row>
          <xdr:rowOff>57150</xdr:rowOff>
        </xdr:to>
        <xdr:sp macro="" textlink="">
          <xdr:nvSpPr>
            <xdr:cNvPr id="8" name="Check Box 2" hidden="1">
              <a:extLst>
                <a:ext uri="{63B3BB69-23CF-44E3-9099-C40C66FF867C}">
                  <a14:compatExt spid="_x0000_s1026"/>
                </a:ext>
                <a:ext uri="{FF2B5EF4-FFF2-40B4-BE49-F238E27FC236}">
                  <a16:creationId xmlns:a16="http://schemas.microsoft.com/office/drawing/2014/main" id="{00000000-0008-0000-00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556260</xdr:colOff>
      <xdr:row>25</xdr:row>
      <xdr:rowOff>15240</xdr:rowOff>
    </xdr:from>
    <xdr:to>
      <xdr:col>16</xdr:col>
      <xdr:colOff>129540</xdr:colOff>
      <xdr:row>26</xdr:row>
      <xdr:rowOff>15240</xdr:rowOff>
    </xdr:to>
    <xdr:sp macro="" textlink="">
      <xdr:nvSpPr>
        <xdr:cNvPr id="36" name="Rectangle 35">
          <a:extLst>
            <a:ext uri="{FF2B5EF4-FFF2-40B4-BE49-F238E27FC236}">
              <a16:creationId xmlns:a16="http://schemas.microsoft.com/office/drawing/2014/main" id="{00000000-0008-0000-0000-000024000000}"/>
            </a:ext>
          </a:extLst>
        </xdr:cNvPr>
        <xdr:cNvSpPr/>
      </xdr:nvSpPr>
      <xdr:spPr>
        <a:xfrm>
          <a:off x="9700260" y="4587240"/>
          <a:ext cx="182880" cy="182880"/>
        </a:xfrm>
        <a:prstGeom prst="rect">
          <a:avLst/>
        </a:prstGeom>
        <a:solidFill>
          <a:srgbClr val="2A2E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506349</xdr:colOff>
      <xdr:row>4</xdr:row>
      <xdr:rowOff>148209</xdr:rowOff>
    </xdr:from>
    <xdr:to>
      <xdr:col>21</xdr:col>
      <xdr:colOff>460629</xdr:colOff>
      <xdr:row>14</xdr:row>
      <xdr:rowOff>102489</xdr:rowOff>
    </xdr:to>
    <xdr:sp macro="" textlink="">
      <xdr:nvSpPr>
        <xdr:cNvPr id="1065" name="Circle: Hollow 1064">
          <a:extLst>
            <a:ext uri="{FF2B5EF4-FFF2-40B4-BE49-F238E27FC236}">
              <a16:creationId xmlns:a16="http://schemas.microsoft.com/office/drawing/2014/main" id="{00000000-0008-0000-0000-000029040000}"/>
            </a:ext>
          </a:extLst>
        </xdr:cNvPr>
        <xdr:cNvSpPr/>
      </xdr:nvSpPr>
      <xdr:spPr>
        <a:xfrm>
          <a:off x="11479149" y="879729"/>
          <a:ext cx="1783080" cy="1783080"/>
        </a:xfrm>
        <a:prstGeom prst="donut">
          <a:avLst>
            <a:gd name="adj" fmla="val 25862"/>
          </a:avLst>
        </a:prstGeom>
        <a:solidFill>
          <a:srgbClr val="1500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19</xdr:col>
      <xdr:colOff>23933</xdr:colOff>
      <xdr:row>5</xdr:row>
      <xdr:rowOff>69653</xdr:rowOff>
    </xdr:from>
    <xdr:to>
      <xdr:col>21</xdr:col>
      <xdr:colOff>359213</xdr:colOff>
      <xdr:row>13</xdr:row>
      <xdr:rowOff>161093</xdr:rowOff>
    </xdr:to>
    <xdr:sp macro="" textlink="">
      <xdr:nvSpPr>
        <xdr:cNvPr id="1067" name="Circle: Hollow 1066">
          <a:extLst>
            <a:ext uri="{FF2B5EF4-FFF2-40B4-BE49-F238E27FC236}">
              <a16:creationId xmlns:a16="http://schemas.microsoft.com/office/drawing/2014/main" id="{00000000-0008-0000-0000-00002B040000}"/>
            </a:ext>
          </a:extLst>
        </xdr:cNvPr>
        <xdr:cNvSpPr/>
      </xdr:nvSpPr>
      <xdr:spPr>
        <a:xfrm>
          <a:off x="11606333" y="984053"/>
          <a:ext cx="1554480" cy="1554480"/>
        </a:xfrm>
        <a:prstGeom prst="donut">
          <a:avLst>
            <a:gd name="adj" fmla="val 21901"/>
          </a:avLst>
        </a:prstGeom>
        <a:gradFill flip="none" rotWithShape="1">
          <a:gsLst>
            <a:gs pos="0">
              <a:srgbClr val="017FFE"/>
            </a:gs>
            <a:gs pos="100000">
              <a:srgbClr val="003A74"/>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18</xdr:col>
      <xdr:colOff>236621</xdr:colOff>
      <xdr:row>3</xdr:row>
      <xdr:rowOff>39926</xdr:rowOff>
    </xdr:from>
    <xdr:to>
      <xdr:col>22</xdr:col>
      <xdr:colOff>129941</xdr:colOff>
      <xdr:row>15</xdr:row>
      <xdr:rowOff>177086</xdr:rowOff>
    </xdr:to>
    <xdr:graphicFrame macro="">
      <xdr:nvGraphicFramePr>
        <xdr:cNvPr id="1064" name="Chart 1063">
          <a:extLst>
            <a:ext uri="{FF2B5EF4-FFF2-40B4-BE49-F238E27FC236}">
              <a16:creationId xmlns:a16="http://schemas.microsoft.com/office/drawing/2014/main" id="{00000000-0008-0000-0000-000028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473637</xdr:colOff>
      <xdr:row>16</xdr:row>
      <xdr:rowOff>134484</xdr:rowOff>
    </xdr:from>
    <xdr:to>
      <xdr:col>21</xdr:col>
      <xdr:colOff>379804</xdr:colOff>
      <xdr:row>25</xdr:row>
      <xdr:rowOff>132217</xdr:rowOff>
    </xdr:to>
    <xdr:graphicFrame macro="">
      <xdr:nvGraphicFramePr>
        <xdr:cNvPr id="1068" name="Chart 1067">
          <a:extLst>
            <a:ext uri="{FF2B5EF4-FFF2-40B4-BE49-F238E27FC236}">
              <a16:creationId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304800</xdr:colOff>
      <xdr:row>4</xdr:row>
      <xdr:rowOff>0</xdr:rowOff>
    </xdr:from>
    <xdr:to>
      <xdr:col>5</xdr:col>
      <xdr:colOff>495300</xdr:colOff>
      <xdr:row>8</xdr:row>
      <xdr:rowOff>91440</xdr:rowOff>
    </xdr:to>
    <xdr:graphicFrame macro="">
      <xdr:nvGraphicFramePr>
        <xdr:cNvPr id="1069" name="Chart 1068">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60960</xdr:colOff>
      <xdr:row>7</xdr:row>
      <xdr:rowOff>137160</xdr:rowOff>
    </xdr:from>
    <xdr:to>
      <xdr:col>5</xdr:col>
      <xdr:colOff>365760</xdr:colOff>
      <xdr:row>12</xdr:row>
      <xdr:rowOff>137160</xdr:rowOff>
    </xdr:to>
    <xdr:graphicFrame macro="">
      <xdr:nvGraphicFramePr>
        <xdr:cNvPr id="1070" name="Chart 1069">
          <a:extLst>
            <a:ext uri="{FF2B5EF4-FFF2-40B4-BE49-F238E27FC236}">
              <a16:creationId xmlns:a16="http://schemas.microsoft.com/office/drawing/2014/main" id="{00000000-0008-0000-0000-00002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464820</xdr:colOff>
      <xdr:row>7</xdr:row>
      <xdr:rowOff>137160</xdr:rowOff>
    </xdr:from>
    <xdr:to>
      <xdr:col>3</xdr:col>
      <xdr:colOff>160020</xdr:colOff>
      <xdr:row>12</xdr:row>
      <xdr:rowOff>137160</xdr:rowOff>
    </xdr:to>
    <xdr:graphicFrame macro="">
      <xdr:nvGraphicFramePr>
        <xdr:cNvPr id="1071" name="Chart 1070">
          <a:extLst>
            <a:ext uri="{FF2B5EF4-FFF2-40B4-BE49-F238E27FC236}">
              <a16:creationId xmlns:a16="http://schemas.microsoft.com/office/drawing/2014/main" id="{00000000-0008-0000-0000-00002F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579120</xdr:colOff>
      <xdr:row>12</xdr:row>
      <xdr:rowOff>152400</xdr:rowOff>
    </xdr:from>
    <xdr:to>
      <xdr:col>6</xdr:col>
      <xdr:colOff>240792</xdr:colOff>
      <xdr:row>22</xdr:row>
      <xdr:rowOff>160020</xdr:rowOff>
    </xdr:to>
    <xdr:graphicFrame macro="">
      <xdr:nvGraphicFramePr>
        <xdr:cNvPr id="1072" name="Chart 1071">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266700</xdr:colOff>
      <xdr:row>23</xdr:row>
      <xdr:rowOff>152400</xdr:rowOff>
    </xdr:from>
    <xdr:to>
      <xdr:col>5</xdr:col>
      <xdr:colOff>571500</xdr:colOff>
      <xdr:row>27</xdr:row>
      <xdr:rowOff>144780</xdr:rowOff>
    </xdr:to>
    <xdr:graphicFrame macro="">
      <xdr:nvGraphicFramePr>
        <xdr:cNvPr id="1073" name="Chart 1072">
          <a:extLst>
            <a:ext uri="{FF2B5EF4-FFF2-40B4-BE49-F238E27FC236}">
              <a16:creationId xmlns:a16="http://schemas.microsoft.com/office/drawing/2014/main" id="{00000000-0008-0000-0000-00003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213360</xdr:colOff>
      <xdr:row>27</xdr:row>
      <xdr:rowOff>123451</xdr:rowOff>
    </xdr:from>
    <xdr:to>
      <xdr:col>5</xdr:col>
      <xdr:colOff>94905</xdr:colOff>
      <xdr:row>38</xdr:row>
      <xdr:rowOff>0</xdr:rowOff>
    </xdr:to>
    <xdr:grpSp>
      <xdr:nvGrpSpPr>
        <xdr:cNvPr id="1082" name="Group 1081">
          <a:extLst>
            <a:ext uri="{FF2B5EF4-FFF2-40B4-BE49-F238E27FC236}">
              <a16:creationId xmlns:a16="http://schemas.microsoft.com/office/drawing/2014/main" id="{00000000-0008-0000-0000-00003A040000}"/>
            </a:ext>
          </a:extLst>
        </xdr:cNvPr>
        <xdr:cNvGrpSpPr/>
      </xdr:nvGrpSpPr>
      <xdr:grpSpPr>
        <a:xfrm>
          <a:off x="1398693" y="5266951"/>
          <a:ext cx="1659545" cy="1972049"/>
          <a:chOff x="1375422" y="5257800"/>
          <a:chExt cx="990825" cy="1687768"/>
        </a:xfrm>
      </xdr:grpSpPr>
      <xdr:sp macro="" textlink="">
        <xdr:nvSpPr>
          <xdr:cNvPr id="1074" name="Oval 1073">
            <a:extLst>
              <a:ext uri="{FF2B5EF4-FFF2-40B4-BE49-F238E27FC236}">
                <a16:creationId xmlns:a16="http://schemas.microsoft.com/office/drawing/2014/main" id="{00000000-0008-0000-0000-000032040000}"/>
              </a:ext>
            </a:extLst>
          </xdr:cNvPr>
          <xdr:cNvSpPr/>
        </xdr:nvSpPr>
        <xdr:spPr>
          <a:xfrm>
            <a:off x="1400101" y="6524262"/>
            <a:ext cx="953023" cy="421306"/>
          </a:xfrm>
          <a:prstGeom prst="ellipse">
            <a:avLst/>
          </a:prstGeom>
          <a:solidFill>
            <a:srgbClr val="1F5CA5">
              <a:alpha val="26000"/>
            </a:srgbClr>
          </a:solidFill>
          <a:ln w="19050">
            <a:solidFill>
              <a:srgbClr val="1A4C8B">
                <a:alpha val="97000"/>
              </a:srgbClr>
            </a:solidFill>
            <a:prstDash val="lgDashDot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5" name="Oval 1074">
            <a:extLst>
              <a:ext uri="{FF2B5EF4-FFF2-40B4-BE49-F238E27FC236}">
                <a16:creationId xmlns:a16="http://schemas.microsoft.com/office/drawing/2014/main" id="{00000000-0008-0000-0000-000033040000}"/>
              </a:ext>
            </a:extLst>
          </xdr:cNvPr>
          <xdr:cNvSpPr/>
        </xdr:nvSpPr>
        <xdr:spPr>
          <a:xfrm>
            <a:off x="1665483" y="6605974"/>
            <a:ext cx="415950" cy="150249"/>
          </a:xfrm>
          <a:prstGeom prst="ellipse">
            <a:avLst/>
          </a:prstGeom>
          <a:gradFill>
            <a:gsLst>
              <a:gs pos="100000">
                <a:srgbClr val="FF00FF">
                  <a:alpha val="80000"/>
                </a:srgbClr>
              </a:gs>
              <a:gs pos="46000">
                <a:srgbClr val="FF00FF">
                  <a:alpha val="20000"/>
                </a:srgbClr>
              </a:gs>
            </a:gsLst>
            <a:path path="shape">
              <a:fillToRect l="50000" t="50000" r="50000" b="50000"/>
            </a:path>
          </a:gradFill>
          <a:ln w="15875">
            <a:solidFill>
              <a:srgbClr val="FF5BFF"/>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6" name="Oval 1075">
            <a:extLst>
              <a:ext uri="{FF2B5EF4-FFF2-40B4-BE49-F238E27FC236}">
                <a16:creationId xmlns:a16="http://schemas.microsoft.com/office/drawing/2014/main" id="{00000000-0008-0000-0000-000034040000}"/>
              </a:ext>
            </a:extLst>
          </xdr:cNvPr>
          <xdr:cNvSpPr/>
        </xdr:nvSpPr>
        <xdr:spPr>
          <a:xfrm>
            <a:off x="1630085" y="6330410"/>
            <a:ext cx="486746" cy="176152"/>
          </a:xfrm>
          <a:prstGeom prst="ellipse">
            <a:avLst/>
          </a:prstGeom>
          <a:gradFill>
            <a:gsLst>
              <a:gs pos="100000">
                <a:srgbClr val="9933FF">
                  <a:alpha val="74902"/>
                </a:srgbClr>
              </a:gs>
              <a:gs pos="46000">
                <a:srgbClr val="9933FF">
                  <a:alpha val="16000"/>
                </a:srgbClr>
              </a:gs>
            </a:gsLst>
            <a:path path="shape">
              <a:fillToRect l="50000" t="50000" r="50000" b="50000"/>
            </a:path>
          </a:gradFill>
          <a:ln>
            <a:solidFill>
              <a:srgbClr val="C081FF"/>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7" name="Oval 1076">
            <a:extLst>
              <a:ext uri="{FF2B5EF4-FFF2-40B4-BE49-F238E27FC236}">
                <a16:creationId xmlns:a16="http://schemas.microsoft.com/office/drawing/2014/main" id="{00000000-0008-0000-0000-000035040000}"/>
              </a:ext>
            </a:extLst>
          </xdr:cNvPr>
          <xdr:cNvSpPr/>
        </xdr:nvSpPr>
        <xdr:spPr>
          <a:xfrm>
            <a:off x="1548898" y="5992060"/>
            <a:ext cx="649120" cy="233706"/>
          </a:xfrm>
          <a:prstGeom prst="ellipse">
            <a:avLst/>
          </a:prstGeom>
          <a:gradFill>
            <a:gsLst>
              <a:gs pos="100000">
                <a:srgbClr val="7079FF">
                  <a:alpha val="89804"/>
                </a:srgbClr>
              </a:gs>
              <a:gs pos="59000">
                <a:srgbClr val="7079FF">
                  <a:alpha val="16000"/>
                </a:srgbClr>
              </a:gs>
            </a:gsLst>
            <a:path path="shape">
              <a:fillToRect l="50000" t="50000" r="50000" b="50000"/>
            </a:path>
          </a:gradFill>
          <a:ln>
            <a:solidFill>
              <a:srgbClr val="ABB1FF"/>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8" name="Oval 1077">
            <a:extLst>
              <a:ext uri="{FF2B5EF4-FFF2-40B4-BE49-F238E27FC236}">
                <a16:creationId xmlns:a16="http://schemas.microsoft.com/office/drawing/2014/main" id="{00000000-0008-0000-0000-000036040000}"/>
              </a:ext>
            </a:extLst>
          </xdr:cNvPr>
          <xdr:cNvSpPr/>
        </xdr:nvSpPr>
        <xdr:spPr>
          <a:xfrm>
            <a:off x="1472531" y="5618827"/>
            <a:ext cx="801853" cy="289516"/>
          </a:xfrm>
          <a:prstGeom prst="ellipse">
            <a:avLst/>
          </a:prstGeom>
          <a:gradFill flip="none" rotWithShape="1">
            <a:gsLst>
              <a:gs pos="100000">
                <a:srgbClr val="00B7D2">
                  <a:alpha val="81961"/>
                </a:srgbClr>
              </a:gs>
              <a:gs pos="57000">
                <a:srgbClr val="00B7D2">
                  <a:alpha val="16000"/>
                </a:srgbClr>
              </a:gs>
            </a:gsLst>
            <a:path path="shape">
              <a:fillToRect l="50000" t="50000" r="50000" b="50000"/>
            </a:path>
            <a:tileRect/>
          </a:gradFill>
          <a:ln w="15875">
            <a:solidFill>
              <a:srgbClr val="00FFFF"/>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9" name="Oval 1078">
            <a:extLst>
              <a:ext uri="{FF2B5EF4-FFF2-40B4-BE49-F238E27FC236}">
                <a16:creationId xmlns:a16="http://schemas.microsoft.com/office/drawing/2014/main" id="{00000000-0008-0000-0000-000037040000}"/>
              </a:ext>
            </a:extLst>
          </xdr:cNvPr>
          <xdr:cNvSpPr/>
        </xdr:nvSpPr>
        <xdr:spPr>
          <a:xfrm>
            <a:off x="1396961" y="5257800"/>
            <a:ext cx="947746" cy="352996"/>
          </a:xfrm>
          <a:prstGeom prst="ellipse">
            <a:avLst/>
          </a:prstGeom>
          <a:gradFill>
            <a:gsLst>
              <a:gs pos="100000">
                <a:srgbClr val="538CF3"/>
              </a:gs>
              <a:gs pos="59000">
                <a:srgbClr val="2069F0">
                  <a:alpha val="0"/>
                </a:srgbClr>
              </a:gs>
            </a:gsLst>
            <a:path path="shape">
              <a:fillToRect l="50000" t="50000" r="50000" b="50000"/>
            </a:path>
          </a:gradFill>
          <a:ln w="9525">
            <a:solidFill>
              <a:srgbClr val="538CF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80" name="Freeform: Shape 1079">
            <a:extLst>
              <a:ext uri="{FF2B5EF4-FFF2-40B4-BE49-F238E27FC236}">
                <a16:creationId xmlns:a16="http://schemas.microsoft.com/office/drawing/2014/main" id="{00000000-0008-0000-0000-000038040000}"/>
              </a:ext>
            </a:extLst>
          </xdr:cNvPr>
          <xdr:cNvSpPr/>
        </xdr:nvSpPr>
        <xdr:spPr>
          <a:xfrm rot="10800000">
            <a:off x="1375422" y="5398253"/>
            <a:ext cx="990825" cy="1291824"/>
          </a:xfrm>
          <a:custGeom>
            <a:avLst/>
            <a:gdLst>
              <a:gd name="connsiteX0" fmla="*/ 1263600 w 1263600"/>
              <a:gd name="connsiteY0" fmla="*/ 1426477 h 1426477"/>
              <a:gd name="connsiteX1" fmla="*/ 1258970 w 1263600"/>
              <a:gd name="connsiteY1" fmla="*/ 1426477 h 1426477"/>
              <a:gd name="connsiteX2" fmla="*/ 1250012 w 1263600"/>
              <a:gd name="connsiteY2" fmla="*/ 1393163 h 1426477"/>
              <a:gd name="connsiteX3" fmla="*/ 631801 w 1263600"/>
              <a:gd name="connsiteY3" fmla="*/ 1204275 h 1426477"/>
              <a:gd name="connsiteX4" fmla="*/ 13590 w 1263600"/>
              <a:gd name="connsiteY4" fmla="*/ 1393163 h 1426477"/>
              <a:gd name="connsiteX5" fmla="*/ 4632 w 1263600"/>
              <a:gd name="connsiteY5" fmla="*/ 1426477 h 1426477"/>
              <a:gd name="connsiteX6" fmla="*/ 0 w 1263600"/>
              <a:gd name="connsiteY6" fmla="*/ 1426477 h 1426477"/>
              <a:gd name="connsiteX7" fmla="*/ 384299 w 1263600"/>
              <a:gd name="connsiteY7" fmla="*/ 0 h 1426477"/>
              <a:gd name="connsiteX8" fmla="*/ 391355 w 1263600"/>
              <a:gd name="connsiteY8" fmla="*/ 0 h 1426477"/>
              <a:gd name="connsiteX9" fmla="*/ 390682 w 1263600"/>
              <a:gd name="connsiteY9" fmla="*/ 2295 h 1426477"/>
              <a:gd name="connsiteX10" fmla="*/ 631801 w 1263600"/>
              <a:gd name="connsiteY10" fmla="*/ 85250 h 1426477"/>
              <a:gd name="connsiteX11" fmla="*/ 872920 w 1263600"/>
              <a:gd name="connsiteY11" fmla="*/ 2295 h 1426477"/>
              <a:gd name="connsiteX12" fmla="*/ 872248 w 1263600"/>
              <a:gd name="connsiteY12" fmla="*/ 0 h 1426477"/>
              <a:gd name="connsiteX13" fmla="*/ 879301 w 1263600"/>
              <a:gd name="connsiteY13" fmla="*/ 0 h 1426477"/>
              <a:gd name="connsiteX14" fmla="*/ 1263600 w 1263600"/>
              <a:gd name="connsiteY14" fmla="*/ 1426477 h 1426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1263600" h="1426477">
                <a:moveTo>
                  <a:pt x="1263600" y="1426477"/>
                </a:moveTo>
                <a:lnTo>
                  <a:pt x="1258970" y="1426477"/>
                </a:lnTo>
                <a:lnTo>
                  <a:pt x="1250012" y="1393163"/>
                </a:lnTo>
                <a:cubicBezTo>
                  <a:pt x="1191170" y="1285365"/>
                  <a:pt x="936746" y="1204275"/>
                  <a:pt x="631801" y="1204275"/>
                </a:cubicBezTo>
                <a:cubicBezTo>
                  <a:pt x="326855" y="1204275"/>
                  <a:pt x="72431" y="1285365"/>
                  <a:pt x="13590" y="1393163"/>
                </a:cubicBezTo>
                <a:lnTo>
                  <a:pt x="4632" y="1426477"/>
                </a:lnTo>
                <a:lnTo>
                  <a:pt x="0" y="1426477"/>
                </a:lnTo>
                <a:lnTo>
                  <a:pt x="384299" y="0"/>
                </a:lnTo>
                <a:lnTo>
                  <a:pt x="391355" y="0"/>
                </a:lnTo>
                <a:lnTo>
                  <a:pt x="390682" y="2295"/>
                </a:lnTo>
                <a:cubicBezTo>
                  <a:pt x="390682" y="48110"/>
                  <a:pt x="498635" y="85250"/>
                  <a:pt x="631801" y="85250"/>
                </a:cubicBezTo>
                <a:cubicBezTo>
                  <a:pt x="764967" y="85250"/>
                  <a:pt x="872920" y="48110"/>
                  <a:pt x="872920" y="2295"/>
                </a:cubicBezTo>
                <a:lnTo>
                  <a:pt x="872248" y="0"/>
                </a:lnTo>
                <a:lnTo>
                  <a:pt x="879301" y="0"/>
                </a:lnTo>
                <a:lnTo>
                  <a:pt x="1263600" y="1426477"/>
                </a:lnTo>
                <a:close/>
              </a:path>
            </a:pathLst>
          </a:custGeom>
          <a:solidFill>
            <a:srgbClr val="1A4C8B">
              <a:alpha val="29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grpSp>
    <xdr:clientData/>
  </xdr:twoCellAnchor>
  <xdr:twoCellAnchor>
    <xdr:from>
      <xdr:col>6</xdr:col>
      <xdr:colOff>411480</xdr:colOff>
      <xdr:row>28</xdr:row>
      <xdr:rowOff>45720</xdr:rowOff>
    </xdr:from>
    <xdr:to>
      <xdr:col>11</xdr:col>
      <xdr:colOff>198120</xdr:colOff>
      <xdr:row>39</xdr:row>
      <xdr:rowOff>45720</xdr:rowOff>
    </xdr:to>
    <xdr:graphicFrame macro="">
      <xdr:nvGraphicFramePr>
        <xdr:cNvPr id="1081" name="Chart 1080">
          <a:extLst>
            <a:ext uri="{FF2B5EF4-FFF2-40B4-BE49-F238E27FC236}">
              <a16:creationId xmlns:a16="http://schemas.microsoft.com/office/drawing/2014/main" id="{00000000-0008-0000-0000-000039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350520</xdr:colOff>
      <xdr:row>28</xdr:row>
      <xdr:rowOff>76200</xdr:rowOff>
    </xdr:from>
    <xdr:to>
      <xdr:col>22</xdr:col>
      <xdr:colOff>434340</xdr:colOff>
      <xdr:row>39</xdr:row>
      <xdr:rowOff>71005</xdr:rowOff>
    </xdr:to>
    <xdr:graphicFrame macro="">
      <xdr:nvGraphicFramePr>
        <xdr:cNvPr id="1083" name="Chart 1082">
          <a:extLst>
            <a:ext uri="{FF2B5EF4-FFF2-40B4-BE49-F238E27FC236}">
              <a16:creationId xmlns:a16="http://schemas.microsoft.com/office/drawing/2014/main" id="{00000000-0008-0000-0000-00003B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15386</xdr:colOff>
      <xdr:row>9</xdr:row>
      <xdr:rowOff>100238</xdr:rowOff>
    </xdr:from>
    <xdr:to>
      <xdr:col>3</xdr:col>
      <xdr:colOff>30334</xdr:colOff>
      <xdr:row>11</xdr:row>
      <xdr:rowOff>14062</xdr:rowOff>
    </xdr:to>
    <xdr:sp macro="" textlink="Processing!Q39">
      <xdr:nvSpPr>
        <xdr:cNvPr id="1084" name="TextBox 1083">
          <a:extLst>
            <a:ext uri="{FF2B5EF4-FFF2-40B4-BE49-F238E27FC236}">
              <a16:creationId xmlns:a16="http://schemas.microsoft.com/office/drawing/2014/main" id="{00000000-0008-0000-0000-00003C040000}"/>
            </a:ext>
          </a:extLst>
        </xdr:cNvPr>
        <xdr:cNvSpPr txBox="1"/>
      </xdr:nvSpPr>
      <xdr:spPr>
        <a:xfrm>
          <a:off x="1234586" y="1746158"/>
          <a:ext cx="624548" cy="279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6D91B5-1A6E-4448-9C24-72D258B6A90C}" type="TxLink">
            <a:rPr lang="en-US" sz="1400" b="0" i="0" u="none" strike="noStrike">
              <a:solidFill>
                <a:schemeClr val="tx2">
                  <a:lumMod val="25000"/>
                  <a:lumOff val="75000"/>
                </a:schemeClr>
              </a:solidFill>
              <a:latin typeface="Aptos Narrow"/>
              <a:ea typeface="+mn-ea"/>
              <a:cs typeface="+mn-cs"/>
            </a:rPr>
            <a:pPr marL="0" indent="0" algn="ctr"/>
            <a:t>67%</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221126</xdr:colOff>
      <xdr:row>9</xdr:row>
      <xdr:rowOff>100238</xdr:rowOff>
    </xdr:from>
    <xdr:to>
      <xdr:col>5</xdr:col>
      <xdr:colOff>236074</xdr:colOff>
      <xdr:row>11</xdr:row>
      <xdr:rowOff>14062</xdr:rowOff>
    </xdr:to>
    <xdr:sp macro="" textlink="Processing!Q38">
      <xdr:nvSpPr>
        <xdr:cNvPr id="1085" name="TextBox 1084">
          <a:extLst>
            <a:ext uri="{FF2B5EF4-FFF2-40B4-BE49-F238E27FC236}">
              <a16:creationId xmlns:a16="http://schemas.microsoft.com/office/drawing/2014/main" id="{00000000-0008-0000-0000-00003D040000}"/>
            </a:ext>
          </a:extLst>
        </xdr:cNvPr>
        <xdr:cNvSpPr txBox="1"/>
      </xdr:nvSpPr>
      <xdr:spPr>
        <a:xfrm>
          <a:off x="2659526" y="1746158"/>
          <a:ext cx="624548" cy="279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DBC418-5588-48F8-8381-EFD6037D563C}" type="TxLink">
            <a:rPr lang="en-US" sz="1400" b="0" i="0" u="none" strike="noStrike">
              <a:solidFill>
                <a:schemeClr val="accent1">
                  <a:lumMod val="40000"/>
                  <a:lumOff val="60000"/>
                </a:schemeClr>
              </a:solidFill>
              <a:latin typeface="Aptos Narrow"/>
              <a:ea typeface="+mn-ea"/>
              <a:cs typeface="+mn-cs"/>
            </a:rPr>
            <a:pPr marL="0" indent="0" algn="ctr"/>
            <a:t>65%</a:t>
          </a:fld>
          <a:endParaRPr lang="ru-RU" sz="1400" b="0" i="0" u="none" strike="noStrike">
            <a:solidFill>
              <a:schemeClr val="accent1">
                <a:lumMod val="40000"/>
                <a:lumOff val="60000"/>
              </a:schemeClr>
            </a:solidFill>
            <a:latin typeface="Aptos Narrow"/>
            <a:ea typeface="+mn-ea"/>
            <a:cs typeface="+mn-cs"/>
          </a:endParaRPr>
        </a:p>
      </xdr:txBody>
    </xdr:sp>
    <xdr:clientData/>
  </xdr:twoCellAnchor>
  <xdr:twoCellAnchor>
    <xdr:from>
      <xdr:col>2</xdr:col>
      <xdr:colOff>144780</xdr:colOff>
      <xdr:row>1</xdr:row>
      <xdr:rowOff>99060</xdr:rowOff>
    </xdr:from>
    <xdr:to>
      <xdr:col>4</xdr:col>
      <xdr:colOff>601980</xdr:colOff>
      <xdr:row>3</xdr:row>
      <xdr:rowOff>22860</xdr:rowOff>
    </xdr:to>
    <xdr:sp macro="" textlink="Processing!P37">
      <xdr:nvSpPr>
        <xdr:cNvPr id="19" name="TextBox 18">
          <a:extLst>
            <a:ext uri="{FF2B5EF4-FFF2-40B4-BE49-F238E27FC236}">
              <a16:creationId xmlns:a16="http://schemas.microsoft.com/office/drawing/2014/main" id="{00000000-0008-0000-0000-000013000000}"/>
            </a:ext>
          </a:extLst>
        </xdr:cNvPr>
        <xdr:cNvSpPr txBox="1"/>
      </xdr:nvSpPr>
      <xdr:spPr>
        <a:xfrm>
          <a:off x="1363980" y="281940"/>
          <a:ext cx="16764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FEF5-39A2-49BD-9F51-89D099AF2061}" type="TxLink">
            <a:rPr lang="en-US" sz="1200" b="0" i="0" u="none" strike="noStrike">
              <a:solidFill>
                <a:schemeClr val="bg1"/>
              </a:solidFill>
              <a:latin typeface="Aptos Narrow"/>
            </a:rPr>
            <a:pPr algn="ctr"/>
            <a:t>Team Capacity Usage</a:t>
          </a:fld>
          <a:endParaRPr lang="ru-RU" sz="1200">
            <a:solidFill>
              <a:schemeClr val="bg1"/>
            </a:solidFill>
          </a:endParaRPr>
        </a:p>
      </xdr:txBody>
    </xdr:sp>
    <xdr:clientData/>
  </xdr:twoCellAnchor>
  <xdr:twoCellAnchor>
    <xdr:from>
      <xdr:col>1</xdr:col>
      <xdr:colOff>358140</xdr:colOff>
      <xdr:row>4</xdr:row>
      <xdr:rowOff>7620</xdr:rowOff>
    </xdr:from>
    <xdr:to>
      <xdr:col>3</xdr:col>
      <xdr:colOff>388620</xdr:colOff>
      <xdr:row>5</xdr:row>
      <xdr:rowOff>114300</xdr:rowOff>
    </xdr:to>
    <xdr:sp macro="" textlink="Processing!R41">
      <xdr:nvSpPr>
        <xdr:cNvPr id="21" name="TextBox 20">
          <a:extLst>
            <a:ext uri="{FF2B5EF4-FFF2-40B4-BE49-F238E27FC236}">
              <a16:creationId xmlns:a16="http://schemas.microsoft.com/office/drawing/2014/main" id="{00000000-0008-0000-0000-000015000000}"/>
            </a:ext>
          </a:extLst>
        </xdr:cNvPr>
        <xdr:cNvSpPr txBox="1"/>
      </xdr:nvSpPr>
      <xdr:spPr>
        <a:xfrm>
          <a:off x="967740" y="739140"/>
          <a:ext cx="1249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9FCF7DF-2A16-4114-9CD2-0E3E56C4DDF4}" type="TxLink">
            <a:rPr lang="en-US" sz="1100" b="0" i="0" u="none" strike="noStrike">
              <a:solidFill>
                <a:srgbClr val="5399FF"/>
              </a:solidFill>
              <a:latin typeface="Aptos Narrow"/>
            </a:rPr>
            <a:pPr algn="l"/>
            <a:t>Task Balance</a:t>
          </a:fld>
          <a:endParaRPr lang="ru-RU" sz="1200">
            <a:solidFill>
              <a:srgbClr val="5399FF"/>
            </a:solidFill>
          </a:endParaRPr>
        </a:p>
      </xdr:txBody>
    </xdr:sp>
    <xdr:clientData/>
  </xdr:twoCellAnchor>
  <xdr:twoCellAnchor>
    <xdr:from>
      <xdr:col>1</xdr:col>
      <xdr:colOff>358140</xdr:colOff>
      <xdr:row>5</xdr:row>
      <xdr:rowOff>137160</xdr:rowOff>
    </xdr:from>
    <xdr:to>
      <xdr:col>3</xdr:col>
      <xdr:colOff>388620</xdr:colOff>
      <xdr:row>7</xdr:row>
      <xdr:rowOff>60960</xdr:rowOff>
    </xdr:to>
    <xdr:sp macro="" textlink="Processing!Q41">
      <xdr:nvSpPr>
        <xdr:cNvPr id="27" name="TextBox 26">
          <a:extLst>
            <a:ext uri="{FF2B5EF4-FFF2-40B4-BE49-F238E27FC236}">
              <a16:creationId xmlns:a16="http://schemas.microsoft.com/office/drawing/2014/main" id="{00000000-0008-0000-0000-00001B000000}"/>
            </a:ext>
          </a:extLst>
        </xdr:cNvPr>
        <xdr:cNvSpPr txBox="1"/>
      </xdr:nvSpPr>
      <xdr:spPr>
        <a:xfrm>
          <a:off x="967740" y="1051560"/>
          <a:ext cx="1249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228106C-C5D0-441C-A2BC-29B7342C1DB4}" type="TxLink">
            <a:rPr lang="en-US" sz="1100" b="0" i="0" u="none" strike="noStrike">
              <a:solidFill>
                <a:srgbClr val="00DFDA"/>
              </a:solidFill>
              <a:latin typeface="Aptos Narrow"/>
            </a:rPr>
            <a:pPr algn="l"/>
            <a:t>Risk of Overload</a:t>
          </a:fld>
          <a:endParaRPr lang="ru-RU" sz="1200">
            <a:solidFill>
              <a:srgbClr val="00DFDA"/>
            </a:solidFill>
          </a:endParaRPr>
        </a:p>
      </xdr:txBody>
    </xdr:sp>
    <xdr:clientData/>
  </xdr:twoCellAnchor>
  <xdr:twoCellAnchor>
    <xdr:from>
      <xdr:col>2</xdr:col>
      <xdr:colOff>594360</xdr:colOff>
      <xdr:row>8</xdr:row>
      <xdr:rowOff>99060</xdr:rowOff>
    </xdr:from>
    <xdr:to>
      <xdr:col>4</xdr:col>
      <xdr:colOff>144780</xdr:colOff>
      <xdr:row>10</xdr:row>
      <xdr:rowOff>22860</xdr:rowOff>
    </xdr:to>
    <xdr:sp macro="" textlink="Processing!P38">
      <xdr:nvSpPr>
        <xdr:cNvPr id="28" name="TextBox 27">
          <a:extLst>
            <a:ext uri="{FF2B5EF4-FFF2-40B4-BE49-F238E27FC236}">
              <a16:creationId xmlns:a16="http://schemas.microsoft.com/office/drawing/2014/main" id="{00000000-0008-0000-0000-00001C000000}"/>
            </a:ext>
          </a:extLst>
        </xdr:cNvPr>
        <xdr:cNvSpPr txBox="1"/>
      </xdr:nvSpPr>
      <xdr:spPr>
        <a:xfrm>
          <a:off x="1813560" y="156210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9C90582-12A1-4D4E-B869-F9C48A90DA75}" type="TxLink">
            <a:rPr lang="en-US" sz="1100" b="0" i="0" u="none" strike="noStrike">
              <a:solidFill>
                <a:srgbClr val="5399FF"/>
              </a:solidFill>
              <a:latin typeface="Aptos Narrow"/>
            </a:rPr>
            <a:pPr algn="l"/>
            <a:t>Workload</a:t>
          </a:fld>
          <a:endParaRPr lang="ru-RU" sz="1200">
            <a:solidFill>
              <a:srgbClr val="5399FF"/>
            </a:solidFill>
          </a:endParaRPr>
        </a:p>
      </xdr:txBody>
    </xdr:sp>
    <xdr:clientData/>
  </xdr:twoCellAnchor>
  <xdr:twoCellAnchor>
    <xdr:from>
      <xdr:col>3</xdr:col>
      <xdr:colOff>83820</xdr:colOff>
      <xdr:row>10</xdr:row>
      <xdr:rowOff>137160</xdr:rowOff>
    </xdr:from>
    <xdr:to>
      <xdr:col>4</xdr:col>
      <xdr:colOff>243840</xdr:colOff>
      <xdr:row>12</xdr:row>
      <xdr:rowOff>60960</xdr:rowOff>
    </xdr:to>
    <xdr:sp macro="" textlink="Processing!P39">
      <xdr:nvSpPr>
        <xdr:cNvPr id="29" name="TextBox 28">
          <a:extLst>
            <a:ext uri="{FF2B5EF4-FFF2-40B4-BE49-F238E27FC236}">
              <a16:creationId xmlns:a16="http://schemas.microsoft.com/office/drawing/2014/main" id="{00000000-0008-0000-0000-00001D000000}"/>
            </a:ext>
          </a:extLst>
        </xdr:cNvPr>
        <xdr:cNvSpPr txBox="1"/>
      </xdr:nvSpPr>
      <xdr:spPr>
        <a:xfrm>
          <a:off x="1912620" y="196596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8D9CF34-C4B2-4D13-9F08-6BB40CFB966D}" type="TxLink">
            <a:rPr lang="en-US" sz="1100" b="0" i="0" u="none" strike="noStrike">
              <a:solidFill>
                <a:srgbClr val="00FFFF"/>
              </a:solidFill>
              <a:latin typeface="Aptos Narrow"/>
            </a:rPr>
            <a:pPr algn="r"/>
            <a:t>Engagement</a:t>
          </a:fld>
          <a:endParaRPr lang="ru-RU" sz="1200">
            <a:solidFill>
              <a:srgbClr val="00FFFF"/>
            </a:solidFill>
          </a:endParaRPr>
        </a:p>
      </xdr:txBody>
    </xdr:sp>
    <xdr:clientData/>
  </xdr:twoCellAnchor>
  <xdr:twoCellAnchor>
    <xdr:from>
      <xdr:col>10</xdr:col>
      <xdr:colOff>598564</xdr:colOff>
      <xdr:row>12</xdr:row>
      <xdr:rowOff>112986</xdr:rowOff>
    </xdr:from>
    <xdr:to>
      <xdr:col>13</xdr:col>
      <xdr:colOff>446164</xdr:colOff>
      <xdr:row>14</xdr:row>
      <xdr:rowOff>36786</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rot="20340000">
          <a:off x="6694564" y="2307546"/>
          <a:ext cx="1676400" cy="289560"/>
        </a:xfrm>
        <a:prstGeom prst="rect">
          <a:avLst/>
        </a:prstGeom>
        <a:no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800" b="0" i="0" u="none" strike="noStrike" kern="1200">
              <a:solidFill>
                <a:srgbClr val="0066FF">
                  <a:alpha val="46000"/>
                </a:srgbClr>
              </a:solidFill>
              <a:latin typeface="+mn-lt"/>
              <a:ea typeface="+mn-ea"/>
              <a:cs typeface="+mn-cs"/>
            </a:rPr>
            <a:t>PROJECT</a:t>
          </a:r>
        </a:p>
      </xdr:txBody>
    </xdr:sp>
    <xdr:clientData/>
  </xdr:twoCellAnchor>
  <xdr:twoCellAnchor>
    <xdr:from>
      <xdr:col>1</xdr:col>
      <xdr:colOff>312420</xdr:colOff>
      <xdr:row>26</xdr:row>
      <xdr:rowOff>38100</xdr:rowOff>
    </xdr:from>
    <xdr:to>
      <xdr:col>2</xdr:col>
      <xdr:colOff>472440</xdr:colOff>
      <xdr:row>27</xdr:row>
      <xdr:rowOff>144780</xdr:rowOff>
    </xdr:to>
    <xdr:sp macro="" textlink="Processing!Q18">
      <xdr:nvSpPr>
        <xdr:cNvPr id="32" name="TextBox 31">
          <a:extLst>
            <a:ext uri="{FF2B5EF4-FFF2-40B4-BE49-F238E27FC236}">
              <a16:creationId xmlns:a16="http://schemas.microsoft.com/office/drawing/2014/main" id="{00000000-0008-0000-0000-000020000000}"/>
            </a:ext>
          </a:extLst>
        </xdr:cNvPr>
        <xdr:cNvSpPr txBox="1"/>
      </xdr:nvSpPr>
      <xdr:spPr>
        <a:xfrm>
          <a:off x="922020" y="479298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8D371BA-286E-41AE-8F53-AA975D68D364}" type="TxLink">
            <a:rPr lang="en-US" sz="1100" b="0" i="0" u="none" strike="noStrike">
              <a:solidFill>
                <a:srgbClr val="5399FF"/>
              </a:solidFill>
              <a:latin typeface="Aptos Narrow"/>
            </a:rPr>
            <a:pPr algn="l"/>
            <a:t>Features</a:t>
          </a:fld>
          <a:endParaRPr lang="ru-RU" sz="1200" b="0">
            <a:solidFill>
              <a:srgbClr val="5399FF"/>
            </a:solidFill>
          </a:endParaRPr>
        </a:p>
      </xdr:txBody>
    </xdr:sp>
    <xdr:clientData/>
  </xdr:twoCellAnchor>
  <xdr:twoCellAnchor>
    <xdr:from>
      <xdr:col>4</xdr:col>
      <xdr:colOff>350520</xdr:colOff>
      <xdr:row>26</xdr:row>
      <xdr:rowOff>38100</xdr:rowOff>
    </xdr:from>
    <xdr:to>
      <xdr:col>5</xdr:col>
      <xdr:colOff>510540</xdr:colOff>
      <xdr:row>27</xdr:row>
      <xdr:rowOff>144780</xdr:rowOff>
    </xdr:to>
    <xdr:sp macro="" textlink="Processing!R18">
      <xdr:nvSpPr>
        <xdr:cNvPr id="33" name="TextBox 32">
          <a:extLst>
            <a:ext uri="{FF2B5EF4-FFF2-40B4-BE49-F238E27FC236}">
              <a16:creationId xmlns:a16="http://schemas.microsoft.com/office/drawing/2014/main" id="{00000000-0008-0000-0000-000021000000}"/>
            </a:ext>
          </a:extLst>
        </xdr:cNvPr>
        <xdr:cNvSpPr txBox="1"/>
      </xdr:nvSpPr>
      <xdr:spPr>
        <a:xfrm>
          <a:off x="2788920" y="479298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9323EA0-42E2-4FD6-BA18-62CB4B2A40DF}" type="TxLink">
            <a:rPr lang="en-US" sz="1100" b="0" i="0" u="none" strike="noStrike">
              <a:solidFill>
                <a:srgbClr val="5399FF"/>
              </a:solidFill>
              <a:latin typeface="Aptos Narrow"/>
            </a:rPr>
            <a:pPr algn="r"/>
            <a:t>Bugs</a:t>
          </a:fld>
          <a:endParaRPr lang="ru-RU" sz="1200" b="0">
            <a:solidFill>
              <a:srgbClr val="5399FF"/>
            </a:solidFill>
          </a:endParaRPr>
        </a:p>
      </xdr:txBody>
    </xdr:sp>
    <xdr:clientData/>
  </xdr:twoCellAnchor>
  <xdr:twoCellAnchor>
    <xdr:from>
      <xdr:col>3</xdr:col>
      <xdr:colOff>68580</xdr:colOff>
      <xdr:row>27</xdr:row>
      <xdr:rowOff>167640</xdr:rowOff>
    </xdr:from>
    <xdr:to>
      <xdr:col>4</xdr:col>
      <xdr:colOff>228600</xdr:colOff>
      <xdr:row>29</xdr:row>
      <xdr:rowOff>91440</xdr:rowOff>
    </xdr:to>
    <xdr:sp macro="" textlink="Processing!Q29">
      <xdr:nvSpPr>
        <xdr:cNvPr id="1033" name="TextBox 1032">
          <a:extLst>
            <a:ext uri="{FF2B5EF4-FFF2-40B4-BE49-F238E27FC236}">
              <a16:creationId xmlns:a16="http://schemas.microsoft.com/office/drawing/2014/main" id="{00000000-0008-0000-0000-000009040000}"/>
            </a:ext>
          </a:extLst>
        </xdr:cNvPr>
        <xdr:cNvSpPr txBox="1"/>
      </xdr:nvSpPr>
      <xdr:spPr>
        <a:xfrm>
          <a:off x="1897380" y="510540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329052-DB2E-4B74-80FF-0EAEB3E7A52E}" type="TxLink">
            <a:rPr lang="en-US" sz="1100" b="0" i="0" u="none" strike="noStrike">
              <a:solidFill>
                <a:schemeClr val="bg1"/>
              </a:solidFill>
              <a:latin typeface="Aptos Narrow"/>
            </a:rPr>
            <a:pPr algn="ctr"/>
            <a:t>27%</a:t>
          </a:fld>
          <a:endParaRPr lang="ru-RU" sz="1200" b="0">
            <a:solidFill>
              <a:schemeClr val="bg1"/>
            </a:solidFill>
          </a:endParaRPr>
        </a:p>
      </xdr:txBody>
    </xdr:sp>
    <xdr:clientData/>
  </xdr:twoCellAnchor>
  <xdr:twoCellAnchor>
    <xdr:from>
      <xdr:col>3</xdr:col>
      <xdr:colOff>68580</xdr:colOff>
      <xdr:row>29</xdr:row>
      <xdr:rowOff>175260</xdr:rowOff>
    </xdr:from>
    <xdr:to>
      <xdr:col>4</xdr:col>
      <xdr:colOff>228600</xdr:colOff>
      <xdr:row>31</xdr:row>
      <xdr:rowOff>99060</xdr:rowOff>
    </xdr:to>
    <xdr:sp macro="" textlink="Processing!Q30">
      <xdr:nvSpPr>
        <xdr:cNvPr id="1034" name="TextBox 1033">
          <a:extLst>
            <a:ext uri="{FF2B5EF4-FFF2-40B4-BE49-F238E27FC236}">
              <a16:creationId xmlns:a16="http://schemas.microsoft.com/office/drawing/2014/main" id="{00000000-0008-0000-0000-00000A040000}"/>
            </a:ext>
          </a:extLst>
        </xdr:cNvPr>
        <xdr:cNvSpPr txBox="1"/>
      </xdr:nvSpPr>
      <xdr:spPr>
        <a:xfrm>
          <a:off x="1897380" y="547878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559DF8-5107-426B-8D7B-4DD2D011F837}" type="TxLink">
            <a:rPr lang="en-US" sz="1100" b="0" i="0" u="none" strike="noStrike">
              <a:solidFill>
                <a:schemeClr val="bg1"/>
              </a:solidFill>
              <a:latin typeface="Aptos Narrow"/>
            </a:rPr>
            <a:pPr algn="ctr"/>
            <a:t>24%</a:t>
          </a:fld>
          <a:endParaRPr lang="ru-RU" sz="1200" b="0">
            <a:solidFill>
              <a:schemeClr val="bg1"/>
            </a:solidFill>
          </a:endParaRPr>
        </a:p>
      </xdr:txBody>
    </xdr:sp>
    <xdr:clientData/>
  </xdr:twoCellAnchor>
  <xdr:twoCellAnchor>
    <xdr:from>
      <xdr:col>3</xdr:col>
      <xdr:colOff>68580</xdr:colOff>
      <xdr:row>32</xdr:row>
      <xdr:rowOff>22860</xdr:rowOff>
    </xdr:from>
    <xdr:to>
      <xdr:col>4</xdr:col>
      <xdr:colOff>228600</xdr:colOff>
      <xdr:row>33</xdr:row>
      <xdr:rowOff>129540</xdr:rowOff>
    </xdr:to>
    <xdr:sp macro="" textlink="Processing!Q31">
      <xdr:nvSpPr>
        <xdr:cNvPr id="1035" name="TextBox 1034">
          <a:extLst>
            <a:ext uri="{FF2B5EF4-FFF2-40B4-BE49-F238E27FC236}">
              <a16:creationId xmlns:a16="http://schemas.microsoft.com/office/drawing/2014/main" id="{00000000-0008-0000-0000-00000B040000}"/>
            </a:ext>
          </a:extLst>
        </xdr:cNvPr>
        <xdr:cNvSpPr txBox="1"/>
      </xdr:nvSpPr>
      <xdr:spPr>
        <a:xfrm>
          <a:off x="1897380" y="587502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59D75B-24C9-44B6-9E19-6A1E0A21BE19}" type="TxLink">
            <a:rPr lang="en-US" sz="1100" b="0" i="0" u="none" strike="noStrike">
              <a:solidFill>
                <a:schemeClr val="bg1"/>
              </a:solidFill>
              <a:latin typeface="Aptos Narrow"/>
            </a:rPr>
            <a:pPr algn="ctr"/>
            <a:t>20%</a:t>
          </a:fld>
          <a:endParaRPr lang="ru-RU" sz="1200" b="0">
            <a:solidFill>
              <a:schemeClr val="bg1"/>
            </a:solidFill>
          </a:endParaRPr>
        </a:p>
      </xdr:txBody>
    </xdr:sp>
    <xdr:clientData/>
  </xdr:twoCellAnchor>
  <xdr:twoCellAnchor>
    <xdr:from>
      <xdr:col>3</xdr:col>
      <xdr:colOff>68580</xdr:colOff>
      <xdr:row>34</xdr:row>
      <xdr:rowOff>7620</xdr:rowOff>
    </xdr:from>
    <xdr:to>
      <xdr:col>4</xdr:col>
      <xdr:colOff>228600</xdr:colOff>
      <xdr:row>35</xdr:row>
      <xdr:rowOff>114300</xdr:rowOff>
    </xdr:to>
    <xdr:sp macro="" textlink="Processing!Q32">
      <xdr:nvSpPr>
        <xdr:cNvPr id="1036" name="TextBox 1035">
          <a:extLst>
            <a:ext uri="{FF2B5EF4-FFF2-40B4-BE49-F238E27FC236}">
              <a16:creationId xmlns:a16="http://schemas.microsoft.com/office/drawing/2014/main" id="{00000000-0008-0000-0000-00000C040000}"/>
            </a:ext>
          </a:extLst>
        </xdr:cNvPr>
        <xdr:cNvSpPr txBox="1"/>
      </xdr:nvSpPr>
      <xdr:spPr>
        <a:xfrm>
          <a:off x="1897380" y="622554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60FF7B-22A2-4F18-B14F-1EC5E2488265}" type="TxLink">
            <a:rPr lang="en-US" sz="1100" b="0" i="0" u="none" strike="noStrike">
              <a:solidFill>
                <a:schemeClr val="bg1"/>
              </a:solidFill>
              <a:latin typeface="Aptos Narrow"/>
            </a:rPr>
            <a:pPr algn="ctr"/>
            <a:t>17%</a:t>
          </a:fld>
          <a:endParaRPr lang="ru-RU" sz="1200" b="0">
            <a:solidFill>
              <a:schemeClr val="bg1"/>
            </a:solidFill>
          </a:endParaRPr>
        </a:p>
      </xdr:txBody>
    </xdr:sp>
    <xdr:clientData/>
  </xdr:twoCellAnchor>
  <xdr:twoCellAnchor>
    <xdr:from>
      <xdr:col>3</xdr:col>
      <xdr:colOff>68580</xdr:colOff>
      <xdr:row>35</xdr:row>
      <xdr:rowOff>114300</xdr:rowOff>
    </xdr:from>
    <xdr:to>
      <xdr:col>4</xdr:col>
      <xdr:colOff>228600</xdr:colOff>
      <xdr:row>37</xdr:row>
      <xdr:rowOff>38100</xdr:rowOff>
    </xdr:to>
    <xdr:sp macro="" textlink="Processing!Q33">
      <xdr:nvSpPr>
        <xdr:cNvPr id="1037" name="TextBox 1036">
          <a:extLst>
            <a:ext uri="{FF2B5EF4-FFF2-40B4-BE49-F238E27FC236}">
              <a16:creationId xmlns:a16="http://schemas.microsoft.com/office/drawing/2014/main" id="{00000000-0008-0000-0000-00000D040000}"/>
            </a:ext>
          </a:extLst>
        </xdr:cNvPr>
        <xdr:cNvSpPr txBox="1"/>
      </xdr:nvSpPr>
      <xdr:spPr>
        <a:xfrm>
          <a:off x="1897380" y="651510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228998-EFE3-485E-B272-88CD81E85680}" type="TxLink">
            <a:rPr lang="en-US" sz="1100" b="0" i="0" u="none" strike="noStrike">
              <a:solidFill>
                <a:schemeClr val="bg1"/>
              </a:solidFill>
              <a:latin typeface="Aptos Narrow"/>
            </a:rPr>
            <a:pPr algn="ctr"/>
            <a:t>12%</a:t>
          </a:fld>
          <a:endParaRPr lang="ru-RU" sz="1200" b="0">
            <a:solidFill>
              <a:schemeClr val="bg1"/>
            </a:solidFill>
          </a:endParaRPr>
        </a:p>
      </xdr:txBody>
    </xdr:sp>
    <xdr:clientData/>
  </xdr:twoCellAnchor>
  <xdr:twoCellAnchor>
    <xdr:from>
      <xdr:col>1</xdr:col>
      <xdr:colOff>213360</xdr:colOff>
      <xdr:row>28</xdr:row>
      <xdr:rowOff>129540</xdr:rowOff>
    </xdr:from>
    <xdr:to>
      <xdr:col>2</xdr:col>
      <xdr:colOff>487680</xdr:colOff>
      <xdr:row>37</xdr:row>
      <xdr:rowOff>167640</xdr:rowOff>
    </xdr:to>
    <xdr:grpSp>
      <xdr:nvGrpSpPr>
        <xdr:cNvPr id="1066" name="Group 1065">
          <a:extLst>
            <a:ext uri="{FF2B5EF4-FFF2-40B4-BE49-F238E27FC236}">
              <a16:creationId xmlns:a16="http://schemas.microsoft.com/office/drawing/2014/main" id="{00000000-0008-0000-0000-00002A040000}"/>
            </a:ext>
          </a:extLst>
        </xdr:cNvPr>
        <xdr:cNvGrpSpPr/>
      </xdr:nvGrpSpPr>
      <xdr:grpSpPr>
        <a:xfrm>
          <a:off x="806027" y="5463540"/>
          <a:ext cx="866986" cy="1752600"/>
          <a:chOff x="822960" y="5250180"/>
          <a:chExt cx="883920" cy="1684020"/>
        </a:xfrm>
      </xdr:grpSpPr>
      <xdr:sp macro="" textlink="Processing!R29">
        <xdr:nvSpPr>
          <xdr:cNvPr id="1038" name="TextBox 1037">
            <a:extLst>
              <a:ext uri="{FF2B5EF4-FFF2-40B4-BE49-F238E27FC236}">
                <a16:creationId xmlns:a16="http://schemas.microsoft.com/office/drawing/2014/main" id="{00000000-0008-0000-0000-00000E040000}"/>
              </a:ext>
            </a:extLst>
          </xdr:cNvPr>
          <xdr:cNvSpPr txBox="1"/>
        </xdr:nvSpPr>
        <xdr:spPr>
          <a:xfrm>
            <a:off x="822960" y="525018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660EA6C-AC26-472A-8518-7F11610C9280}" type="TxLink">
              <a:rPr lang="en-US" sz="1100" b="0" i="0" u="none" strike="noStrike">
                <a:solidFill>
                  <a:srgbClr val="5399FF"/>
                </a:solidFill>
                <a:latin typeface="Aptos Narrow"/>
              </a:rPr>
              <a:pPr algn="l"/>
              <a:t>Ideas</a:t>
            </a:fld>
            <a:endParaRPr lang="ru-RU" sz="1200" b="0">
              <a:solidFill>
                <a:srgbClr val="5399FF"/>
              </a:solidFill>
            </a:endParaRPr>
          </a:p>
        </xdr:txBody>
      </xdr:sp>
      <xdr:sp macro="" textlink="Processing!R30">
        <xdr:nvSpPr>
          <xdr:cNvPr id="1055" name="TextBox 1054">
            <a:extLst>
              <a:ext uri="{FF2B5EF4-FFF2-40B4-BE49-F238E27FC236}">
                <a16:creationId xmlns:a16="http://schemas.microsoft.com/office/drawing/2014/main" id="{00000000-0008-0000-0000-00001F040000}"/>
              </a:ext>
            </a:extLst>
          </xdr:cNvPr>
          <xdr:cNvSpPr txBox="1"/>
        </xdr:nvSpPr>
        <xdr:spPr>
          <a:xfrm>
            <a:off x="822960" y="5598795"/>
            <a:ext cx="883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D786ECD-AABC-4297-B119-7CE4627B5E8E}" type="TxLink">
              <a:rPr lang="en-US" sz="1100" b="0" i="0" u="none" strike="noStrike">
                <a:solidFill>
                  <a:srgbClr val="5399FF"/>
                </a:solidFill>
                <a:latin typeface="Aptos Narrow"/>
              </a:rPr>
              <a:pPr algn="l"/>
              <a:t>AI Analysis</a:t>
            </a:fld>
            <a:endParaRPr lang="ru-RU" sz="1200" b="0">
              <a:solidFill>
                <a:srgbClr val="5399FF"/>
              </a:solidFill>
            </a:endParaRPr>
          </a:p>
        </xdr:txBody>
      </xdr:sp>
      <xdr:sp macro="" textlink="Processing!R31">
        <xdr:nvSpPr>
          <xdr:cNvPr id="1056" name="TextBox 1055">
            <a:extLst>
              <a:ext uri="{FF2B5EF4-FFF2-40B4-BE49-F238E27FC236}">
                <a16:creationId xmlns:a16="http://schemas.microsoft.com/office/drawing/2014/main" id="{00000000-0008-0000-0000-000020040000}"/>
              </a:ext>
            </a:extLst>
          </xdr:cNvPr>
          <xdr:cNvSpPr txBox="1"/>
        </xdr:nvSpPr>
        <xdr:spPr>
          <a:xfrm>
            <a:off x="822960" y="594741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453D8F4-E538-4A1F-A816-751EB13C3A2B}" type="TxLink">
              <a:rPr lang="en-US" sz="1100" b="0" i="0" u="none" strike="noStrike">
                <a:solidFill>
                  <a:srgbClr val="5399FF"/>
                </a:solidFill>
                <a:latin typeface="Aptos Narrow"/>
              </a:rPr>
              <a:pPr algn="l"/>
              <a:t>All Ready</a:t>
            </a:fld>
            <a:endParaRPr lang="ru-RU" sz="1200" b="0">
              <a:solidFill>
                <a:srgbClr val="5399FF"/>
              </a:solidFill>
            </a:endParaRPr>
          </a:p>
        </xdr:txBody>
      </xdr:sp>
      <xdr:sp macro="" textlink="Processing!R32">
        <xdr:nvSpPr>
          <xdr:cNvPr id="1057" name="TextBox 1056">
            <a:extLst>
              <a:ext uri="{FF2B5EF4-FFF2-40B4-BE49-F238E27FC236}">
                <a16:creationId xmlns:a16="http://schemas.microsoft.com/office/drawing/2014/main" id="{00000000-0008-0000-0000-000021040000}"/>
              </a:ext>
            </a:extLst>
          </xdr:cNvPr>
          <xdr:cNvSpPr txBox="1"/>
        </xdr:nvSpPr>
        <xdr:spPr>
          <a:xfrm>
            <a:off x="822960" y="6296025"/>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15943FA-E4D3-4571-B773-A654DC424784}" type="TxLink">
              <a:rPr lang="en-US" sz="1100" b="0" i="0" u="none" strike="noStrike">
                <a:solidFill>
                  <a:srgbClr val="5399FF"/>
                </a:solidFill>
                <a:latin typeface="Aptos Narrow"/>
              </a:rPr>
              <a:pPr algn="l"/>
              <a:t>Process</a:t>
            </a:fld>
            <a:endParaRPr lang="ru-RU" sz="1200" b="0">
              <a:solidFill>
                <a:srgbClr val="5399FF"/>
              </a:solidFill>
            </a:endParaRPr>
          </a:p>
        </xdr:txBody>
      </xdr:sp>
      <xdr:sp macro="" textlink="Processing!R33">
        <xdr:nvSpPr>
          <xdr:cNvPr id="1058" name="TextBox 1057">
            <a:extLst>
              <a:ext uri="{FF2B5EF4-FFF2-40B4-BE49-F238E27FC236}">
                <a16:creationId xmlns:a16="http://schemas.microsoft.com/office/drawing/2014/main" id="{00000000-0008-0000-0000-000022040000}"/>
              </a:ext>
            </a:extLst>
          </xdr:cNvPr>
          <xdr:cNvSpPr txBox="1"/>
        </xdr:nvSpPr>
        <xdr:spPr>
          <a:xfrm>
            <a:off x="822960" y="664464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123CBA4-C184-44D9-9607-F220366FF4CE}" type="TxLink">
              <a:rPr lang="en-US" sz="1100" b="0" i="0" u="none" strike="noStrike">
                <a:solidFill>
                  <a:srgbClr val="5399FF"/>
                </a:solidFill>
                <a:latin typeface="Aptos Narrow"/>
              </a:rPr>
              <a:pPr algn="l"/>
              <a:t>Done</a:t>
            </a:fld>
            <a:endParaRPr lang="ru-RU" sz="1200" b="0">
              <a:solidFill>
                <a:srgbClr val="5399FF"/>
              </a:solidFill>
            </a:endParaRPr>
          </a:p>
        </xdr:txBody>
      </xdr:sp>
    </xdr:grpSp>
    <xdr:clientData/>
  </xdr:twoCellAnchor>
  <xdr:twoCellAnchor>
    <xdr:from>
      <xdr:col>2</xdr:col>
      <xdr:colOff>121920</xdr:colOff>
      <xdr:row>25</xdr:row>
      <xdr:rowOff>99060</xdr:rowOff>
    </xdr:from>
    <xdr:to>
      <xdr:col>5</xdr:col>
      <xdr:colOff>213360</xdr:colOff>
      <xdr:row>39</xdr:row>
      <xdr:rowOff>106680</xdr:rowOff>
    </xdr:to>
    <xdr:graphicFrame macro="">
      <xdr:nvGraphicFramePr>
        <xdr:cNvPr id="34" name="Chart 33">
          <a:extLst>
            <a:ext uri="{FF2B5EF4-FFF2-40B4-BE49-F238E27FC236}">
              <a16:creationId xmlns:a16="http://schemas.microsoft.com/office/drawing/2014/main" id="{00000000-0008-0000-00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6</xdr:col>
      <xdr:colOff>449580</xdr:colOff>
      <xdr:row>28</xdr:row>
      <xdr:rowOff>144780</xdr:rowOff>
    </xdr:from>
    <xdr:to>
      <xdr:col>7</xdr:col>
      <xdr:colOff>388620</xdr:colOff>
      <xdr:row>30</xdr:row>
      <xdr:rowOff>68580</xdr:rowOff>
    </xdr:to>
    <xdr:sp macro="" textlink="Processing!L67">
      <xdr:nvSpPr>
        <xdr:cNvPr id="1086" name="TextBox 1085">
          <a:extLst>
            <a:ext uri="{FF2B5EF4-FFF2-40B4-BE49-F238E27FC236}">
              <a16:creationId xmlns:a16="http://schemas.microsoft.com/office/drawing/2014/main" id="{00000000-0008-0000-0000-00003E040000}"/>
            </a:ext>
          </a:extLst>
        </xdr:cNvPr>
        <xdr:cNvSpPr txBox="1"/>
      </xdr:nvSpPr>
      <xdr:spPr>
        <a:xfrm>
          <a:off x="4107180" y="526542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6EA2312-D3AB-4584-9B18-7E7D4C38FF1A}" type="TxLink">
            <a:rPr lang="en-US" sz="1100" b="0" i="0" u="none" strike="noStrike">
              <a:solidFill>
                <a:srgbClr val="5399FF"/>
              </a:solidFill>
              <a:latin typeface="Aptos Narrow"/>
            </a:rPr>
            <a:pPr algn="l"/>
            <a:t>86%</a:t>
          </a:fld>
          <a:endParaRPr lang="ru-RU" sz="1200" b="0">
            <a:solidFill>
              <a:srgbClr val="5399FF"/>
            </a:solidFill>
          </a:endParaRPr>
        </a:p>
      </xdr:txBody>
    </xdr:sp>
    <xdr:clientData/>
  </xdr:twoCellAnchor>
  <xdr:twoCellAnchor>
    <xdr:from>
      <xdr:col>6</xdr:col>
      <xdr:colOff>449580</xdr:colOff>
      <xdr:row>30</xdr:row>
      <xdr:rowOff>106680</xdr:rowOff>
    </xdr:from>
    <xdr:to>
      <xdr:col>7</xdr:col>
      <xdr:colOff>388620</xdr:colOff>
      <xdr:row>32</xdr:row>
      <xdr:rowOff>30480</xdr:rowOff>
    </xdr:to>
    <xdr:sp macro="" textlink="Processing!L68">
      <xdr:nvSpPr>
        <xdr:cNvPr id="1087" name="TextBox 1086">
          <a:extLst>
            <a:ext uri="{FF2B5EF4-FFF2-40B4-BE49-F238E27FC236}">
              <a16:creationId xmlns:a16="http://schemas.microsoft.com/office/drawing/2014/main" id="{00000000-0008-0000-0000-00003F040000}"/>
            </a:ext>
          </a:extLst>
        </xdr:cNvPr>
        <xdr:cNvSpPr txBox="1"/>
      </xdr:nvSpPr>
      <xdr:spPr>
        <a:xfrm>
          <a:off x="4107180" y="559308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EA8CC17-74D5-46C2-AC17-9D7BEB94D366}" type="TxLink">
            <a:rPr lang="en-US" sz="1100" b="0" i="0" u="none" strike="noStrike">
              <a:solidFill>
                <a:srgbClr val="5399FF"/>
              </a:solidFill>
              <a:latin typeface="Aptos Narrow"/>
              <a:ea typeface="+mn-ea"/>
              <a:cs typeface="+mn-cs"/>
            </a:rPr>
            <a:pPr marL="0" indent="0" algn="l"/>
            <a:t>84%</a:t>
          </a:fld>
          <a:endParaRPr lang="ru-RU" sz="1100" b="0" i="0" u="none" strike="noStrike">
            <a:solidFill>
              <a:srgbClr val="5399FF"/>
            </a:solidFill>
            <a:latin typeface="Aptos Narrow"/>
            <a:ea typeface="+mn-ea"/>
            <a:cs typeface="+mn-cs"/>
          </a:endParaRPr>
        </a:p>
      </xdr:txBody>
    </xdr:sp>
    <xdr:clientData/>
  </xdr:twoCellAnchor>
  <xdr:twoCellAnchor>
    <xdr:from>
      <xdr:col>6</xdr:col>
      <xdr:colOff>449580</xdr:colOff>
      <xdr:row>32</xdr:row>
      <xdr:rowOff>68580</xdr:rowOff>
    </xdr:from>
    <xdr:to>
      <xdr:col>7</xdr:col>
      <xdr:colOff>388620</xdr:colOff>
      <xdr:row>33</xdr:row>
      <xdr:rowOff>175260</xdr:rowOff>
    </xdr:to>
    <xdr:sp macro="" textlink="Processing!L69">
      <xdr:nvSpPr>
        <xdr:cNvPr id="1088" name="TextBox 1087">
          <a:extLst>
            <a:ext uri="{FF2B5EF4-FFF2-40B4-BE49-F238E27FC236}">
              <a16:creationId xmlns:a16="http://schemas.microsoft.com/office/drawing/2014/main" id="{00000000-0008-0000-0000-000040040000}"/>
            </a:ext>
          </a:extLst>
        </xdr:cNvPr>
        <xdr:cNvSpPr txBox="1"/>
      </xdr:nvSpPr>
      <xdr:spPr>
        <a:xfrm>
          <a:off x="4107180" y="592074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F020EFE-A571-4ADD-BB77-4595D4112604}" type="TxLink">
            <a:rPr lang="en-US" sz="1100" b="0" i="0" u="none" strike="noStrike">
              <a:solidFill>
                <a:srgbClr val="5399FF"/>
              </a:solidFill>
              <a:latin typeface="Aptos Narrow"/>
              <a:ea typeface="+mn-ea"/>
              <a:cs typeface="+mn-cs"/>
            </a:rPr>
            <a:pPr marL="0" indent="0" algn="l"/>
            <a:t>85%</a:t>
          </a:fld>
          <a:endParaRPr lang="ru-RU" sz="1100" b="0" i="0" u="none" strike="noStrike">
            <a:solidFill>
              <a:srgbClr val="5399FF"/>
            </a:solidFill>
            <a:latin typeface="Aptos Narrow"/>
            <a:ea typeface="+mn-ea"/>
            <a:cs typeface="+mn-cs"/>
          </a:endParaRPr>
        </a:p>
      </xdr:txBody>
    </xdr:sp>
    <xdr:clientData/>
  </xdr:twoCellAnchor>
  <xdr:twoCellAnchor>
    <xdr:from>
      <xdr:col>6</xdr:col>
      <xdr:colOff>449580</xdr:colOff>
      <xdr:row>34</xdr:row>
      <xdr:rowOff>30480</xdr:rowOff>
    </xdr:from>
    <xdr:to>
      <xdr:col>7</xdr:col>
      <xdr:colOff>388620</xdr:colOff>
      <xdr:row>35</xdr:row>
      <xdr:rowOff>137160</xdr:rowOff>
    </xdr:to>
    <xdr:sp macro="" textlink="Processing!L70">
      <xdr:nvSpPr>
        <xdr:cNvPr id="1089" name="TextBox 1088">
          <a:extLst>
            <a:ext uri="{FF2B5EF4-FFF2-40B4-BE49-F238E27FC236}">
              <a16:creationId xmlns:a16="http://schemas.microsoft.com/office/drawing/2014/main" id="{00000000-0008-0000-0000-000041040000}"/>
            </a:ext>
          </a:extLst>
        </xdr:cNvPr>
        <xdr:cNvSpPr txBox="1"/>
      </xdr:nvSpPr>
      <xdr:spPr>
        <a:xfrm>
          <a:off x="4107180" y="624840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C37B9C9-27AF-4F94-A166-E82072E83700}" type="TxLink">
            <a:rPr lang="en-US" sz="1100" b="0" i="0" u="none" strike="noStrike">
              <a:solidFill>
                <a:srgbClr val="5399FF"/>
              </a:solidFill>
              <a:latin typeface="Aptos Narrow"/>
              <a:ea typeface="+mn-ea"/>
              <a:cs typeface="+mn-cs"/>
            </a:rPr>
            <a:pPr marL="0" indent="0" algn="l"/>
            <a:t>87%</a:t>
          </a:fld>
          <a:endParaRPr lang="ru-RU" sz="1100" b="0" i="0" u="none" strike="noStrike">
            <a:solidFill>
              <a:srgbClr val="5399FF"/>
            </a:solidFill>
            <a:latin typeface="Aptos Narrow"/>
            <a:ea typeface="+mn-ea"/>
            <a:cs typeface="+mn-cs"/>
          </a:endParaRPr>
        </a:p>
      </xdr:txBody>
    </xdr:sp>
    <xdr:clientData/>
  </xdr:twoCellAnchor>
  <xdr:twoCellAnchor>
    <xdr:from>
      <xdr:col>6</xdr:col>
      <xdr:colOff>449580</xdr:colOff>
      <xdr:row>35</xdr:row>
      <xdr:rowOff>175260</xdr:rowOff>
    </xdr:from>
    <xdr:to>
      <xdr:col>7</xdr:col>
      <xdr:colOff>388620</xdr:colOff>
      <xdr:row>37</xdr:row>
      <xdr:rowOff>99060</xdr:rowOff>
    </xdr:to>
    <xdr:sp macro="" textlink="Processing!L71">
      <xdr:nvSpPr>
        <xdr:cNvPr id="1090" name="TextBox 1089">
          <a:extLst>
            <a:ext uri="{FF2B5EF4-FFF2-40B4-BE49-F238E27FC236}">
              <a16:creationId xmlns:a16="http://schemas.microsoft.com/office/drawing/2014/main" id="{00000000-0008-0000-0000-000042040000}"/>
            </a:ext>
          </a:extLst>
        </xdr:cNvPr>
        <xdr:cNvSpPr txBox="1"/>
      </xdr:nvSpPr>
      <xdr:spPr>
        <a:xfrm>
          <a:off x="4107180" y="657606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751AD70-FCDD-4809-9EA5-B475867D5646}" type="TxLink">
            <a:rPr lang="en-US" sz="1100" b="0" i="0" u="none" strike="noStrike">
              <a:solidFill>
                <a:srgbClr val="5399FF"/>
              </a:solidFill>
              <a:latin typeface="Aptos Narrow"/>
              <a:ea typeface="+mn-ea"/>
              <a:cs typeface="+mn-cs"/>
            </a:rPr>
            <a:pPr marL="0" indent="0" algn="l"/>
            <a:t>43%</a:t>
          </a:fld>
          <a:endParaRPr lang="ru-RU" sz="1100" b="0" i="0" u="none" strike="noStrike">
            <a:solidFill>
              <a:srgbClr val="5399FF"/>
            </a:solidFill>
            <a:latin typeface="Aptos Narrow"/>
            <a:ea typeface="+mn-ea"/>
            <a:cs typeface="+mn-cs"/>
          </a:endParaRPr>
        </a:p>
      </xdr:txBody>
    </xdr:sp>
    <xdr:clientData/>
  </xdr:twoCellAnchor>
  <xdr:twoCellAnchor>
    <xdr:from>
      <xdr:col>7</xdr:col>
      <xdr:colOff>243840</xdr:colOff>
      <xdr:row>28</xdr:row>
      <xdr:rowOff>144780</xdr:rowOff>
    </xdr:from>
    <xdr:to>
      <xdr:col>9</xdr:col>
      <xdr:colOff>213360</xdr:colOff>
      <xdr:row>30</xdr:row>
      <xdr:rowOff>68580</xdr:rowOff>
    </xdr:to>
    <xdr:sp macro="" textlink="Processing!O67">
      <xdr:nvSpPr>
        <xdr:cNvPr id="1091" name="TextBox 1090">
          <a:extLst>
            <a:ext uri="{FF2B5EF4-FFF2-40B4-BE49-F238E27FC236}">
              <a16:creationId xmlns:a16="http://schemas.microsoft.com/office/drawing/2014/main" id="{00000000-0008-0000-0000-000043040000}"/>
            </a:ext>
          </a:extLst>
        </xdr:cNvPr>
        <xdr:cNvSpPr txBox="1"/>
      </xdr:nvSpPr>
      <xdr:spPr>
        <a:xfrm>
          <a:off x="4511040" y="526542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C61898A-B31B-4479-9247-CBD0DCA0F541}" type="TxLink">
            <a:rPr lang="en-US" sz="1100" b="0" i="0" u="none" strike="noStrike">
              <a:solidFill>
                <a:srgbClr val="5399FF"/>
              </a:solidFill>
              <a:latin typeface="Aptos Narrow"/>
            </a:rPr>
            <a:pPr algn="l"/>
            <a:t>Initiation</a:t>
          </a:fld>
          <a:endParaRPr lang="ru-RU" sz="1200" b="0">
            <a:solidFill>
              <a:srgbClr val="5399FF"/>
            </a:solidFill>
          </a:endParaRPr>
        </a:p>
      </xdr:txBody>
    </xdr:sp>
    <xdr:clientData/>
  </xdr:twoCellAnchor>
  <xdr:twoCellAnchor>
    <xdr:from>
      <xdr:col>7</xdr:col>
      <xdr:colOff>243840</xdr:colOff>
      <xdr:row>30</xdr:row>
      <xdr:rowOff>106680</xdr:rowOff>
    </xdr:from>
    <xdr:to>
      <xdr:col>9</xdr:col>
      <xdr:colOff>213360</xdr:colOff>
      <xdr:row>32</xdr:row>
      <xdr:rowOff>30480</xdr:rowOff>
    </xdr:to>
    <xdr:sp macro="" textlink="Processing!O68">
      <xdr:nvSpPr>
        <xdr:cNvPr id="1092" name="TextBox 1091">
          <a:extLst>
            <a:ext uri="{FF2B5EF4-FFF2-40B4-BE49-F238E27FC236}">
              <a16:creationId xmlns:a16="http://schemas.microsoft.com/office/drawing/2014/main" id="{00000000-0008-0000-0000-000044040000}"/>
            </a:ext>
          </a:extLst>
        </xdr:cNvPr>
        <xdr:cNvSpPr txBox="1"/>
      </xdr:nvSpPr>
      <xdr:spPr>
        <a:xfrm>
          <a:off x="4511040" y="559308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84D98CE-32C6-46B7-AE38-6B566A02AF71}" type="TxLink">
            <a:rPr lang="en-US" sz="1100" b="0" i="0" u="none" strike="noStrike">
              <a:solidFill>
                <a:srgbClr val="5399FF"/>
              </a:solidFill>
              <a:latin typeface="Aptos Narrow"/>
              <a:ea typeface="+mn-ea"/>
              <a:cs typeface="+mn-cs"/>
            </a:rPr>
            <a:pPr marL="0" indent="0" algn="l"/>
            <a:t>Design</a:t>
          </a:fld>
          <a:endParaRPr lang="ru-RU" sz="1100" b="0" i="0" u="none" strike="noStrike">
            <a:solidFill>
              <a:srgbClr val="5399FF"/>
            </a:solidFill>
            <a:latin typeface="Aptos Narrow"/>
            <a:ea typeface="+mn-ea"/>
            <a:cs typeface="+mn-cs"/>
          </a:endParaRPr>
        </a:p>
      </xdr:txBody>
    </xdr:sp>
    <xdr:clientData/>
  </xdr:twoCellAnchor>
  <xdr:twoCellAnchor>
    <xdr:from>
      <xdr:col>7</xdr:col>
      <xdr:colOff>243840</xdr:colOff>
      <xdr:row>32</xdr:row>
      <xdr:rowOff>68580</xdr:rowOff>
    </xdr:from>
    <xdr:to>
      <xdr:col>9</xdr:col>
      <xdr:colOff>213360</xdr:colOff>
      <xdr:row>33</xdr:row>
      <xdr:rowOff>175260</xdr:rowOff>
    </xdr:to>
    <xdr:sp macro="" textlink="Processing!O69">
      <xdr:nvSpPr>
        <xdr:cNvPr id="1093" name="TextBox 1092">
          <a:extLst>
            <a:ext uri="{FF2B5EF4-FFF2-40B4-BE49-F238E27FC236}">
              <a16:creationId xmlns:a16="http://schemas.microsoft.com/office/drawing/2014/main" id="{00000000-0008-0000-0000-000045040000}"/>
            </a:ext>
          </a:extLst>
        </xdr:cNvPr>
        <xdr:cNvSpPr txBox="1"/>
      </xdr:nvSpPr>
      <xdr:spPr>
        <a:xfrm>
          <a:off x="4511040" y="592074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7641F97-82CC-429E-A85F-B9E69376A1C1}" type="TxLink">
            <a:rPr lang="en-US" sz="1100" b="0" i="0" u="none" strike="noStrike">
              <a:solidFill>
                <a:srgbClr val="5399FF"/>
              </a:solidFill>
              <a:latin typeface="Aptos Narrow"/>
              <a:ea typeface="+mn-ea"/>
              <a:cs typeface="+mn-cs"/>
            </a:rPr>
            <a:pPr marL="0" indent="0" algn="l"/>
            <a:t>Prototyping</a:t>
          </a:fld>
          <a:endParaRPr lang="ru-RU" sz="1100" b="0" i="0" u="none" strike="noStrike">
            <a:solidFill>
              <a:srgbClr val="5399FF"/>
            </a:solidFill>
            <a:latin typeface="Aptos Narrow"/>
            <a:ea typeface="+mn-ea"/>
            <a:cs typeface="+mn-cs"/>
          </a:endParaRPr>
        </a:p>
      </xdr:txBody>
    </xdr:sp>
    <xdr:clientData/>
  </xdr:twoCellAnchor>
  <xdr:twoCellAnchor>
    <xdr:from>
      <xdr:col>7</xdr:col>
      <xdr:colOff>243840</xdr:colOff>
      <xdr:row>34</xdr:row>
      <xdr:rowOff>30480</xdr:rowOff>
    </xdr:from>
    <xdr:to>
      <xdr:col>9</xdr:col>
      <xdr:colOff>213360</xdr:colOff>
      <xdr:row>35</xdr:row>
      <xdr:rowOff>137160</xdr:rowOff>
    </xdr:to>
    <xdr:sp macro="" textlink="Processing!O70">
      <xdr:nvSpPr>
        <xdr:cNvPr id="1094" name="TextBox 1093">
          <a:extLst>
            <a:ext uri="{FF2B5EF4-FFF2-40B4-BE49-F238E27FC236}">
              <a16:creationId xmlns:a16="http://schemas.microsoft.com/office/drawing/2014/main" id="{00000000-0008-0000-0000-000046040000}"/>
            </a:ext>
          </a:extLst>
        </xdr:cNvPr>
        <xdr:cNvSpPr txBox="1"/>
      </xdr:nvSpPr>
      <xdr:spPr>
        <a:xfrm>
          <a:off x="4511040" y="624840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9FB0F4C-52FE-4FC2-A4AD-9A89793D65BF}" type="TxLink">
            <a:rPr lang="en-US" sz="1100" b="0" i="0" u="none" strike="noStrike">
              <a:solidFill>
                <a:srgbClr val="5399FF"/>
              </a:solidFill>
              <a:latin typeface="Aptos Narrow"/>
              <a:ea typeface="+mn-ea"/>
              <a:cs typeface="+mn-cs"/>
            </a:rPr>
            <a:pPr marL="0" indent="0" algn="l"/>
            <a:t>Engineering</a:t>
          </a:fld>
          <a:endParaRPr lang="ru-RU" sz="1100" b="0" i="0" u="none" strike="noStrike">
            <a:solidFill>
              <a:srgbClr val="5399FF"/>
            </a:solidFill>
            <a:latin typeface="Aptos Narrow"/>
            <a:ea typeface="+mn-ea"/>
            <a:cs typeface="+mn-cs"/>
          </a:endParaRPr>
        </a:p>
      </xdr:txBody>
    </xdr:sp>
    <xdr:clientData/>
  </xdr:twoCellAnchor>
  <xdr:twoCellAnchor>
    <xdr:from>
      <xdr:col>7</xdr:col>
      <xdr:colOff>243840</xdr:colOff>
      <xdr:row>35</xdr:row>
      <xdr:rowOff>175260</xdr:rowOff>
    </xdr:from>
    <xdr:to>
      <xdr:col>9</xdr:col>
      <xdr:colOff>213360</xdr:colOff>
      <xdr:row>37</xdr:row>
      <xdr:rowOff>99060</xdr:rowOff>
    </xdr:to>
    <xdr:sp macro="" textlink="Processing!O71">
      <xdr:nvSpPr>
        <xdr:cNvPr id="1095" name="TextBox 1094">
          <a:extLst>
            <a:ext uri="{FF2B5EF4-FFF2-40B4-BE49-F238E27FC236}">
              <a16:creationId xmlns:a16="http://schemas.microsoft.com/office/drawing/2014/main" id="{00000000-0008-0000-0000-000047040000}"/>
            </a:ext>
          </a:extLst>
        </xdr:cNvPr>
        <xdr:cNvSpPr txBox="1"/>
      </xdr:nvSpPr>
      <xdr:spPr>
        <a:xfrm>
          <a:off x="4511040" y="657606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2DD4570-2A85-4119-9DD8-0098F67081AA}" type="TxLink">
            <a:rPr lang="en-US" sz="1100" b="0" i="0" u="none" strike="noStrike">
              <a:solidFill>
                <a:srgbClr val="5399FF"/>
              </a:solidFill>
              <a:latin typeface="Aptos Narrow"/>
              <a:ea typeface="+mn-ea"/>
              <a:cs typeface="+mn-cs"/>
            </a:rPr>
            <a:pPr marL="0" indent="0" algn="l"/>
            <a:t>Testing</a:t>
          </a:fld>
          <a:endParaRPr lang="ru-RU" sz="1100" b="0" i="0" u="none" strike="noStrike">
            <a:solidFill>
              <a:srgbClr val="5399FF"/>
            </a:solidFill>
            <a:latin typeface="Aptos Narrow"/>
            <a:ea typeface="+mn-ea"/>
            <a:cs typeface="+mn-cs"/>
          </a:endParaRPr>
        </a:p>
      </xdr:txBody>
    </xdr:sp>
    <xdr:clientData/>
  </xdr:twoCellAnchor>
  <xdr:twoCellAnchor>
    <xdr:from>
      <xdr:col>9</xdr:col>
      <xdr:colOff>601980</xdr:colOff>
      <xdr:row>28</xdr:row>
      <xdr:rowOff>144780</xdr:rowOff>
    </xdr:from>
    <xdr:to>
      <xdr:col>11</xdr:col>
      <xdr:colOff>114300</xdr:colOff>
      <xdr:row>30</xdr:row>
      <xdr:rowOff>68580</xdr:rowOff>
    </xdr:to>
    <xdr:sp macro="" textlink="Processing!M67">
      <xdr:nvSpPr>
        <xdr:cNvPr id="1096" name="TextBox 1095">
          <a:extLst>
            <a:ext uri="{FF2B5EF4-FFF2-40B4-BE49-F238E27FC236}">
              <a16:creationId xmlns:a16="http://schemas.microsoft.com/office/drawing/2014/main" id="{00000000-0008-0000-0000-000048040000}"/>
            </a:ext>
          </a:extLst>
        </xdr:cNvPr>
        <xdr:cNvSpPr txBox="1"/>
      </xdr:nvSpPr>
      <xdr:spPr>
        <a:xfrm>
          <a:off x="6088380" y="5265420"/>
          <a:ext cx="731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0D9A688-708E-443C-AE2B-DB6BFA1E6D98}" type="TxLink">
            <a:rPr lang="en-US" sz="1100" b="0" i="0" u="none" strike="noStrike">
              <a:solidFill>
                <a:schemeClr val="bg1"/>
              </a:solidFill>
              <a:latin typeface="Aptos Narrow"/>
            </a:rPr>
            <a:pPr algn="r"/>
            <a:t>662</a:t>
          </a:fld>
          <a:endParaRPr lang="ru-RU" sz="1200" b="0">
            <a:solidFill>
              <a:schemeClr val="bg1"/>
            </a:solidFill>
          </a:endParaRPr>
        </a:p>
      </xdr:txBody>
    </xdr:sp>
    <xdr:clientData/>
  </xdr:twoCellAnchor>
  <xdr:twoCellAnchor>
    <xdr:from>
      <xdr:col>9</xdr:col>
      <xdr:colOff>601980</xdr:colOff>
      <xdr:row>30</xdr:row>
      <xdr:rowOff>106680</xdr:rowOff>
    </xdr:from>
    <xdr:to>
      <xdr:col>11</xdr:col>
      <xdr:colOff>114300</xdr:colOff>
      <xdr:row>32</xdr:row>
      <xdr:rowOff>30480</xdr:rowOff>
    </xdr:to>
    <xdr:sp macro="" textlink="Processing!M68">
      <xdr:nvSpPr>
        <xdr:cNvPr id="1097" name="TextBox 1096">
          <a:extLst>
            <a:ext uri="{FF2B5EF4-FFF2-40B4-BE49-F238E27FC236}">
              <a16:creationId xmlns:a16="http://schemas.microsoft.com/office/drawing/2014/main" id="{00000000-0008-0000-0000-000049040000}"/>
            </a:ext>
          </a:extLst>
        </xdr:cNvPr>
        <xdr:cNvSpPr txBox="1"/>
      </xdr:nvSpPr>
      <xdr:spPr>
        <a:xfrm>
          <a:off x="6088380" y="5593080"/>
          <a:ext cx="731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8541955-12AE-46DA-9057-C9B0F38E2814}" type="TxLink">
            <a:rPr lang="en-US" sz="1100" b="0" i="0" u="none" strike="noStrike">
              <a:solidFill>
                <a:schemeClr val="bg1"/>
              </a:solidFill>
              <a:latin typeface="Aptos Narrow"/>
              <a:ea typeface="+mn-ea"/>
              <a:cs typeface="+mn-cs"/>
            </a:rPr>
            <a:pPr marL="0" indent="0" algn="r"/>
            <a:t>641</a:t>
          </a:fld>
          <a:endParaRPr lang="ru-RU" sz="1100" b="0" i="0" u="none" strike="noStrike">
            <a:solidFill>
              <a:schemeClr val="bg1"/>
            </a:solidFill>
            <a:latin typeface="Aptos Narrow"/>
            <a:ea typeface="+mn-ea"/>
            <a:cs typeface="+mn-cs"/>
          </a:endParaRPr>
        </a:p>
      </xdr:txBody>
    </xdr:sp>
    <xdr:clientData/>
  </xdr:twoCellAnchor>
  <xdr:twoCellAnchor>
    <xdr:from>
      <xdr:col>9</xdr:col>
      <xdr:colOff>601980</xdr:colOff>
      <xdr:row>32</xdr:row>
      <xdr:rowOff>68580</xdr:rowOff>
    </xdr:from>
    <xdr:to>
      <xdr:col>11</xdr:col>
      <xdr:colOff>114300</xdr:colOff>
      <xdr:row>33</xdr:row>
      <xdr:rowOff>175260</xdr:rowOff>
    </xdr:to>
    <xdr:sp macro="" textlink="Processing!M69">
      <xdr:nvSpPr>
        <xdr:cNvPr id="1098" name="TextBox 1097">
          <a:extLst>
            <a:ext uri="{FF2B5EF4-FFF2-40B4-BE49-F238E27FC236}">
              <a16:creationId xmlns:a16="http://schemas.microsoft.com/office/drawing/2014/main" id="{00000000-0008-0000-0000-00004A040000}"/>
            </a:ext>
          </a:extLst>
        </xdr:cNvPr>
        <xdr:cNvSpPr txBox="1"/>
      </xdr:nvSpPr>
      <xdr:spPr>
        <a:xfrm>
          <a:off x="6088380" y="5920740"/>
          <a:ext cx="731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FF8ADDA-EF95-4217-9810-696EE681B280}" type="TxLink">
            <a:rPr lang="en-US" sz="1100" b="0" i="0" u="none" strike="noStrike">
              <a:solidFill>
                <a:schemeClr val="bg1"/>
              </a:solidFill>
              <a:latin typeface="Aptos Narrow"/>
              <a:ea typeface="+mn-ea"/>
              <a:cs typeface="+mn-cs"/>
            </a:rPr>
            <a:pPr marL="0" indent="0" algn="r"/>
            <a:t>651</a:t>
          </a:fld>
          <a:endParaRPr lang="ru-RU" sz="1100" b="0" i="0" u="none" strike="noStrike">
            <a:solidFill>
              <a:schemeClr val="bg1"/>
            </a:solidFill>
            <a:latin typeface="Aptos Narrow"/>
            <a:ea typeface="+mn-ea"/>
            <a:cs typeface="+mn-cs"/>
          </a:endParaRPr>
        </a:p>
      </xdr:txBody>
    </xdr:sp>
    <xdr:clientData/>
  </xdr:twoCellAnchor>
  <xdr:twoCellAnchor>
    <xdr:from>
      <xdr:col>9</xdr:col>
      <xdr:colOff>601980</xdr:colOff>
      <xdr:row>34</xdr:row>
      <xdr:rowOff>30480</xdr:rowOff>
    </xdr:from>
    <xdr:to>
      <xdr:col>11</xdr:col>
      <xdr:colOff>114300</xdr:colOff>
      <xdr:row>35</xdr:row>
      <xdr:rowOff>137160</xdr:rowOff>
    </xdr:to>
    <xdr:sp macro="" textlink="Processing!M70">
      <xdr:nvSpPr>
        <xdr:cNvPr id="1099" name="TextBox 1098">
          <a:extLst>
            <a:ext uri="{FF2B5EF4-FFF2-40B4-BE49-F238E27FC236}">
              <a16:creationId xmlns:a16="http://schemas.microsoft.com/office/drawing/2014/main" id="{00000000-0008-0000-0000-00004B040000}"/>
            </a:ext>
          </a:extLst>
        </xdr:cNvPr>
        <xdr:cNvSpPr txBox="1"/>
      </xdr:nvSpPr>
      <xdr:spPr>
        <a:xfrm>
          <a:off x="6088380" y="6248400"/>
          <a:ext cx="731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F6C8CC-193A-4BC4-A3B6-17E0DAA9CE95}" type="TxLink">
            <a:rPr lang="en-US" sz="1100" b="0" i="0" u="none" strike="noStrike">
              <a:solidFill>
                <a:schemeClr val="bg1"/>
              </a:solidFill>
              <a:latin typeface="Aptos Narrow"/>
              <a:ea typeface="+mn-ea"/>
              <a:cs typeface="+mn-cs"/>
            </a:rPr>
            <a:pPr marL="0" indent="0" algn="r"/>
            <a:t>667</a:t>
          </a:fld>
          <a:endParaRPr lang="ru-RU" sz="1100" b="0" i="0" u="none" strike="noStrike">
            <a:solidFill>
              <a:schemeClr val="bg1"/>
            </a:solidFill>
            <a:latin typeface="Aptos Narrow"/>
            <a:ea typeface="+mn-ea"/>
            <a:cs typeface="+mn-cs"/>
          </a:endParaRPr>
        </a:p>
      </xdr:txBody>
    </xdr:sp>
    <xdr:clientData/>
  </xdr:twoCellAnchor>
  <xdr:twoCellAnchor>
    <xdr:from>
      <xdr:col>9</xdr:col>
      <xdr:colOff>601980</xdr:colOff>
      <xdr:row>35</xdr:row>
      <xdr:rowOff>175260</xdr:rowOff>
    </xdr:from>
    <xdr:to>
      <xdr:col>11</xdr:col>
      <xdr:colOff>114300</xdr:colOff>
      <xdr:row>37</xdr:row>
      <xdr:rowOff>99060</xdr:rowOff>
    </xdr:to>
    <xdr:sp macro="" textlink="Processing!M71">
      <xdr:nvSpPr>
        <xdr:cNvPr id="1100" name="TextBox 1099">
          <a:extLst>
            <a:ext uri="{FF2B5EF4-FFF2-40B4-BE49-F238E27FC236}">
              <a16:creationId xmlns:a16="http://schemas.microsoft.com/office/drawing/2014/main" id="{00000000-0008-0000-0000-00004C040000}"/>
            </a:ext>
          </a:extLst>
        </xdr:cNvPr>
        <xdr:cNvSpPr txBox="1"/>
      </xdr:nvSpPr>
      <xdr:spPr>
        <a:xfrm>
          <a:off x="6088380" y="6576060"/>
          <a:ext cx="731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DE505EE-63C3-4EDB-BC7C-D25F8E7D62DD}" type="TxLink">
            <a:rPr lang="en-US" sz="1100" b="0" i="0" u="none" strike="noStrike">
              <a:solidFill>
                <a:schemeClr val="bg1"/>
              </a:solidFill>
              <a:latin typeface="Aptos Narrow"/>
              <a:ea typeface="+mn-ea"/>
              <a:cs typeface="+mn-cs"/>
            </a:rPr>
            <a:pPr marL="0" indent="0" algn="r"/>
            <a:t>331</a:t>
          </a:fld>
          <a:endParaRPr lang="ru-RU" sz="1100" b="0" i="0" u="none" strike="noStrike">
            <a:solidFill>
              <a:schemeClr val="bg1"/>
            </a:solidFill>
            <a:latin typeface="Aptos Narrow"/>
            <a:ea typeface="+mn-ea"/>
            <a:cs typeface="+mn-cs"/>
          </a:endParaRPr>
        </a:p>
      </xdr:txBody>
    </xdr:sp>
    <xdr:clientData/>
  </xdr:twoCellAnchor>
  <xdr:twoCellAnchor>
    <xdr:from>
      <xdr:col>15</xdr:col>
      <xdr:colOff>457200</xdr:colOff>
      <xdr:row>4</xdr:row>
      <xdr:rowOff>91440</xdr:rowOff>
    </xdr:from>
    <xdr:to>
      <xdr:col>18</xdr:col>
      <xdr:colOff>304800</xdr:colOff>
      <xdr:row>6</xdr:row>
      <xdr:rowOff>15240</xdr:rowOff>
    </xdr:to>
    <xdr:sp macro="" textlink="Processing!D4">
      <xdr:nvSpPr>
        <xdr:cNvPr id="1102" name="TextBox 1101">
          <a:extLst>
            <a:ext uri="{FF2B5EF4-FFF2-40B4-BE49-F238E27FC236}">
              <a16:creationId xmlns:a16="http://schemas.microsoft.com/office/drawing/2014/main" id="{00000000-0008-0000-0000-00004E040000}"/>
            </a:ext>
          </a:extLst>
        </xdr:cNvPr>
        <xdr:cNvSpPr txBox="1"/>
      </xdr:nvSpPr>
      <xdr:spPr>
        <a:xfrm>
          <a:off x="9601200" y="822960"/>
          <a:ext cx="16764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DBBCEAE-FC93-4294-A453-19423E29B54C}" type="TxLink">
            <a:rPr lang="en-US" sz="1100" b="0" i="0" u="none" strike="noStrike">
              <a:solidFill>
                <a:srgbClr val="8701DA"/>
              </a:solidFill>
              <a:latin typeface="Aptos Narrow"/>
            </a:rPr>
            <a:pPr algn="l"/>
            <a:t>Acceleration</a:t>
          </a:fld>
          <a:endParaRPr lang="ru-RU" sz="1200">
            <a:solidFill>
              <a:srgbClr val="8701DA"/>
            </a:solidFill>
          </a:endParaRPr>
        </a:p>
      </xdr:txBody>
    </xdr:sp>
    <xdr:clientData/>
  </xdr:twoCellAnchor>
  <xdr:twoCellAnchor>
    <xdr:from>
      <xdr:col>18</xdr:col>
      <xdr:colOff>548640</xdr:colOff>
      <xdr:row>1</xdr:row>
      <xdr:rowOff>99060</xdr:rowOff>
    </xdr:from>
    <xdr:to>
      <xdr:col>21</xdr:col>
      <xdr:colOff>396240</xdr:colOff>
      <xdr:row>3</xdr:row>
      <xdr:rowOff>22860</xdr:rowOff>
    </xdr:to>
    <xdr:sp macro="" textlink="Processing!T3">
      <xdr:nvSpPr>
        <xdr:cNvPr id="1103" name="TextBox 1102">
          <a:extLst>
            <a:ext uri="{FF2B5EF4-FFF2-40B4-BE49-F238E27FC236}">
              <a16:creationId xmlns:a16="http://schemas.microsoft.com/office/drawing/2014/main" id="{00000000-0008-0000-0000-00004F040000}"/>
            </a:ext>
          </a:extLst>
        </xdr:cNvPr>
        <xdr:cNvSpPr txBox="1"/>
      </xdr:nvSpPr>
      <xdr:spPr>
        <a:xfrm>
          <a:off x="11521440" y="281940"/>
          <a:ext cx="16764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FF6A790-9E82-4885-A6F1-CF579498181D}" type="TxLink">
            <a:rPr lang="en-US" sz="1200" b="0" i="0" u="none" strike="noStrike">
              <a:solidFill>
                <a:schemeClr val="bg1"/>
              </a:solidFill>
              <a:latin typeface="Aptos Narrow"/>
              <a:ea typeface="+mn-ea"/>
              <a:cs typeface="+mn-cs"/>
            </a:rPr>
            <a:pPr marL="0" indent="0" algn="ctr"/>
            <a:t>Resource Accumulation</a:t>
          </a:fld>
          <a:endParaRPr lang="ru-RU" sz="1200" b="0" i="0" u="none" strike="noStrike">
            <a:solidFill>
              <a:schemeClr val="bg1"/>
            </a:solidFill>
            <a:latin typeface="Aptos Narrow"/>
            <a:ea typeface="+mn-ea"/>
            <a:cs typeface="+mn-cs"/>
          </a:endParaRPr>
        </a:p>
      </xdr:txBody>
    </xdr:sp>
    <xdr:clientData/>
  </xdr:twoCellAnchor>
  <xdr:twoCellAnchor>
    <xdr:from>
      <xdr:col>19</xdr:col>
      <xdr:colOff>424313</xdr:colOff>
      <xdr:row>7</xdr:row>
      <xdr:rowOff>123435</xdr:rowOff>
    </xdr:from>
    <xdr:to>
      <xdr:col>20</xdr:col>
      <xdr:colOff>596767</xdr:colOff>
      <xdr:row>11</xdr:row>
      <xdr:rowOff>74685</xdr:rowOff>
    </xdr:to>
    <xdr:sp macro="" textlink="Processing!T36">
      <xdr:nvSpPr>
        <xdr:cNvPr id="1104" name="TextBox 1103">
          <a:extLst>
            <a:ext uri="{FF2B5EF4-FFF2-40B4-BE49-F238E27FC236}">
              <a16:creationId xmlns:a16="http://schemas.microsoft.com/office/drawing/2014/main" id="{00000000-0008-0000-0000-000050040000}"/>
            </a:ext>
          </a:extLst>
        </xdr:cNvPr>
        <xdr:cNvSpPr txBox="1"/>
      </xdr:nvSpPr>
      <xdr:spPr>
        <a:xfrm>
          <a:off x="12006713" y="1403595"/>
          <a:ext cx="782054" cy="682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8FE21B-0294-45AF-8D67-7B5C1BF16C15}" type="TxLink">
            <a:rPr lang="en-US" sz="2000" b="0" i="0" u="none" strike="noStrike">
              <a:solidFill>
                <a:schemeClr val="bg1"/>
              </a:solidFill>
              <a:latin typeface="Aptos Narrow"/>
              <a:ea typeface="+mn-ea"/>
              <a:cs typeface="+mn-cs"/>
            </a:rPr>
            <a:pPr marL="0" indent="0" algn="ctr"/>
            <a:t>85%</a:t>
          </a:fld>
          <a:endParaRPr lang="ru-RU" sz="2400" b="0" i="0" u="none" strike="noStrike">
            <a:solidFill>
              <a:schemeClr val="bg1"/>
            </a:solidFill>
            <a:latin typeface="Aptos Narrow"/>
            <a:ea typeface="+mn-ea"/>
            <a:cs typeface="+mn-cs"/>
          </a:endParaRPr>
        </a:p>
      </xdr:txBody>
    </xdr:sp>
    <xdr:clientData/>
  </xdr:twoCellAnchor>
  <xdr:twoCellAnchor>
    <xdr:from>
      <xdr:col>21</xdr:col>
      <xdr:colOff>121920</xdr:colOff>
      <xdr:row>16</xdr:row>
      <xdr:rowOff>91440</xdr:rowOff>
    </xdr:from>
    <xdr:to>
      <xdr:col>22</xdr:col>
      <xdr:colOff>281940</xdr:colOff>
      <xdr:row>18</xdr:row>
      <xdr:rowOff>15240</xdr:rowOff>
    </xdr:to>
    <xdr:sp macro="" textlink="Processing!S49">
      <xdr:nvSpPr>
        <xdr:cNvPr id="1105" name="TextBox 1104">
          <a:extLst>
            <a:ext uri="{FF2B5EF4-FFF2-40B4-BE49-F238E27FC236}">
              <a16:creationId xmlns:a16="http://schemas.microsoft.com/office/drawing/2014/main" id="{00000000-0008-0000-0000-000051040000}"/>
            </a:ext>
          </a:extLst>
        </xdr:cNvPr>
        <xdr:cNvSpPr txBox="1"/>
      </xdr:nvSpPr>
      <xdr:spPr>
        <a:xfrm>
          <a:off x="12923520" y="3017520"/>
          <a:ext cx="769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7EBC99-ECDA-4DE2-BAD2-0FC6F899C05D}" type="TxLink">
            <a:rPr lang="en-US" sz="1200" b="0" i="0" u="none" strike="noStrike">
              <a:solidFill>
                <a:schemeClr val="bg1"/>
              </a:solidFill>
              <a:latin typeface="Aptos Narrow"/>
            </a:rPr>
            <a:pPr algn="r"/>
            <a:t>86%</a:t>
          </a:fld>
          <a:endParaRPr lang="ru-RU" sz="1400" b="0">
            <a:solidFill>
              <a:schemeClr val="bg1"/>
            </a:solidFill>
          </a:endParaRPr>
        </a:p>
      </xdr:txBody>
    </xdr:sp>
    <xdr:clientData/>
  </xdr:twoCellAnchor>
  <xdr:twoCellAnchor>
    <xdr:from>
      <xdr:col>19</xdr:col>
      <xdr:colOff>236220</xdr:colOff>
      <xdr:row>28</xdr:row>
      <xdr:rowOff>137160</xdr:rowOff>
    </xdr:from>
    <xdr:to>
      <xdr:col>20</xdr:col>
      <xdr:colOff>137160</xdr:colOff>
      <xdr:row>30</xdr:row>
      <xdr:rowOff>60960</xdr:rowOff>
    </xdr:to>
    <xdr:sp macro="" textlink="Processing!A88">
      <xdr:nvSpPr>
        <xdr:cNvPr id="1106" name="TextBox 1105">
          <a:extLst>
            <a:ext uri="{FF2B5EF4-FFF2-40B4-BE49-F238E27FC236}">
              <a16:creationId xmlns:a16="http://schemas.microsoft.com/office/drawing/2014/main" id="{00000000-0008-0000-0000-000052040000}"/>
            </a:ext>
          </a:extLst>
        </xdr:cNvPr>
        <xdr:cNvSpPr txBox="1"/>
      </xdr:nvSpPr>
      <xdr:spPr>
        <a:xfrm>
          <a:off x="11818620" y="5257800"/>
          <a:ext cx="5105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D3A401D-1ACE-498F-9741-449B1516D0B7}" type="TxLink">
            <a:rPr lang="en-US" sz="900" b="0" i="0" u="none" strike="noStrike">
              <a:solidFill>
                <a:schemeClr val="bg1"/>
              </a:solidFill>
              <a:latin typeface="Aptos Narrow"/>
            </a:rPr>
            <a:pPr algn="l"/>
            <a:t>Plan</a:t>
          </a:fld>
          <a:endParaRPr lang="ru-RU" sz="1000" b="0">
            <a:solidFill>
              <a:schemeClr val="bg1"/>
            </a:solidFill>
          </a:endParaRPr>
        </a:p>
      </xdr:txBody>
    </xdr:sp>
    <xdr:clientData/>
  </xdr:twoCellAnchor>
  <xdr:twoCellAnchor>
    <xdr:from>
      <xdr:col>20</xdr:col>
      <xdr:colOff>472440</xdr:colOff>
      <xdr:row>28</xdr:row>
      <xdr:rowOff>137160</xdr:rowOff>
    </xdr:from>
    <xdr:to>
      <xdr:col>21</xdr:col>
      <xdr:colOff>373380</xdr:colOff>
      <xdr:row>30</xdr:row>
      <xdr:rowOff>60960</xdr:rowOff>
    </xdr:to>
    <xdr:sp macro="" textlink="Processing!B88">
      <xdr:nvSpPr>
        <xdr:cNvPr id="1107" name="TextBox 1106">
          <a:extLst>
            <a:ext uri="{FF2B5EF4-FFF2-40B4-BE49-F238E27FC236}">
              <a16:creationId xmlns:a16="http://schemas.microsoft.com/office/drawing/2014/main" id="{00000000-0008-0000-0000-000053040000}"/>
            </a:ext>
          </a:extLst>
        </xdr:cNvPr>
        <xdr:cNvSpPr txBox="1"/>
      </xdr:nvSpPr>
      <xdr:spPr>
        <a:xfrm>
          <a:off x="12664440" y="5257800"/>
          <a:ext cx="5105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F6F9AD2-C929-47A2-8187-E96C172A46C7}" type="TxLink">
            <a:rPr lang="en-US" sz="900" b="0" i="0" u="none" strike="noStrike">
              <a:solidFill>
                <a:schemeClr val="bg1"/>
              </a:solidFill>
              <a:latin typeface="Aptos Narrow"/>
              <a:ea typeface="+mn-ea"/>
              <a:cs typeface="+mn-cs"/>
            </a:rPr>
            <a:pPr marL="0" indent="0" algn="l"/>
            <a:t>Actual</a:t>
          </a:fld>
          <a:endParaRPr lang="ru-RU" sz="900" b="0" i="0" u="none" strike="noStrike">
            <a:solidFill>
              <a:schemeClr val="bg1"/>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18</xdr:col>
          <xdr:colOff>476250</xdr:colOff>
          <xdr:row>28</xdr:row>
          <xdr:rowOff>142875</xdr:rowOff>
        </xdr:from>
        <xdr:to>
          <xdr:col>19</xdr:col>
          <xdr:colOff>504825</xdr:colOff>
          <xdr:row>30</xdr:row>
          <xdr:rowOff>0</xdr:rowOff>
        </xdr:to>
        <xdr:sp macro="" textlink="">
          <xdr:nvSpPr>
            <xdr:cNvPr id="31" name="Check Box 3" hidden="1">
              <a:extLst>
                <a:ext uri="{63B3BB69-23CF-44E3-9099-C40C66FF867C}">
                  <a14:compatExt spid="_x0000_s1027"/>
                </a:ext>
                <a:ext uri="{FF2B5EF4-FFF2-40B4-BE49-F238E27FC236}">
                  <a16:creationId xmlns:a16="http://schemas.microsoft.com/office/drawing/2014/main" id="{00000000-0008-0000-0000-00001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123825</xdr:colOff>
          <xdr:row>28</xdr:row>
          <xdr:rowOff>142875</xdr:rowOff>
        </xdr:from>
        <xdr:to>
          <xdr:col>21</xdr:col>
          <xdr:colOff>247650</xdr:colOff>
          <xdr:row>30</xdr:row>
          <xdr:rowOff>0</xdr:rowOff>
        </xdr:to>
        <xdr:sp macro="" textlink="">
          <xdr:nvSpPr>
            <xdr:cNvPr id="1108" name="Check Box 4" hidden="1">
              <a:extLst>
                <a:ext uri="{63B3BB69-23CF-44E3-9099-C40C66FF867C}">
                  <a14:compatExt spid="_x0000_s102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502920</xdr:colOff>
      <xdr:row>29</xdr:row>
      <xdr:rowOff>15240</xdr:rowOff>
    </xdr:from>
    <xdr:to>
      <xdr:col>19</xdr:col>
      <xdr:colOff>30480</xdr:colOff>
      <xdr:row>29</xdr:row>
      <xdr:rowOff>152400</xdr:rowOff>
    </xdr:to>
    <xdr:sp macro="" textlink="">
      <xdr:nvSpPr>
        <xdr:cNvPr id="1110" name="Rectangle 1109">
          <a:extLst>
            <a:ext uri="{FF2B5EF4-FFF2-40B4-BE49-F238E27FC236}">
              <a16:creationId xmlns:a16="http://schemas.microsoft.com/office/drawing/2014/main" id="{00000000-0008-0000-0000-000056040000}"/>
            </a:ext>
          </a:extLst>
        </xdr:cNvPr>
        <xdr:cNvSpPr/>
      </xdr:nvSpPr>
      <xdr:spPr>
        <a:xfrm>
          <a:off x="11475720" y="5318760"/>
          <a:ext cx="137160" cy="137160"/>
        </a:xfrm>
        <a:prstGeom prst="rect">
          <a:avLst/>
        </a:prstGeom>
        <a:solidFill>
          <a:srgbClr val="1D1E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152400</xdr:colOff>
      <xdr:row>29</xdr:row>
      <xdr:rowOff>15240</xdr:rowOff>
    </xdr:from>
    <xdr:to>
      <xdr:col>20</xdr:col>
      <xdr:colOff>289560</xdr:colOff>
      <xdr:row>29</xdr:row>
      <xdr:rowOff>152400</xdr:rowOff>
    </xdr:to>
    <xdr:sp macro="" textlink="">
      <xdr:nvSpPr>
        <xdr:cNvPr id="1111" name="Rectangle 1110">
          <a:extLst>
            <a:ext uri="{FF2B5EF4-FFF2-40B4-BE49-F238E27FC236}">
              <a16:creationId xmlns:a16="http://schemas.microsoft.com/office/drawing/2014/main" id="{00000000-0008-0000-0000-000057040000}"/>
            </a:ext>
          </a:extLst>
        </xdr:cNvPr>
        <xdr:cNvSpPr/>
      </xdr:nvSpPr>
      <xdr:spPr>
        <a:xfrm>
          <a:off x="12344400" y="5318760"/>
          <a:ext cx="137160" cy="137160"/>
        </a:xfrm>
        <a:prstGeom prst="rect">
          <a:avLst/>
        </a:prstGeom>
        <a:solidFill>
          <a:srgbClr val="21246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388620</xdr:colOff>
      <xdr:row>3</xdr:row>
      <xdr:rowOff>0</xdr:rowOff>
    </xdr:from>
    <xdr:to>
      <xdr:col>12</xdr:col>
      <xdr:colOff>22860</xdr:colOff>
      <xdr:row>5</xdr:row>
      <xdr:rowOff>53340</xdr:rowOff>
    </xdr:to>
    <mc:AlternateContent xmlns:mc="http://schemas.openxmlformats.org/markup-compatibility/2006" xmlns:a14="http://schemas.microsoft.com/office/drawing/2010/main">
      <mc:Choice Requires="a14">
        <xdr:graphicFrame macro="">
          <xdr:nvGraphicFramePr>
            <xdr:cNvPr id="1112" name="Density">
              <a:extLst>
                <a:ext uri="{FF2B5EF4-FFF2-40B4-BE49-F238E27FC236}">
                  <a16:creationId xmlns:a16="http://schemas.microsoft.com/office/drawing/2014/main" id="{00000000-0008-0000-0000-000058040000}"/>
                </a:ext>
              </a:extLst>
            </xdr:cNvPr>
            <xdr:cNvGraphicFramePr/>
          </xdr:nvGraphicFramePr>
          <xdr:xfrm>
            <a:off x="0" y="0"/>
            <a:ext cx="0" cy="0"/>
          </xdr:xfrm>
          <a:graphic>
            <a:graphicData uri="http://schemas.microsoft.com/office/drawing/2010/slicer">
              <sle:slicer xmlns:sle="http://schemas.microsoft.com/office/drawing/2010/slicer" name="Density"/>
            </a:graphicData>
          </a:graphic>
        </xdr:graphicFrame>
      </mc:Choice>
      <mc:Fallback xmlns="">
        <xdr:sp macro="" textlink="">
          <xdr:nvSpPr>
            <xdr:cNvPr id="0" name=""/>
            <xdr:cNvSpPr>
              <a:spLocks noTextEdit="1"/>
            </xdr:cNvSpPr>
          </xdr:nvSpPr>
          <xdr:spPr>
            <a:xfrm>
              <a:off x="4046220" y="548640"/>
              <a:ext cx="329184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57150</xdr:colOff>
          <xdr:row>3</xdr:row>
          <xdr:rowOff>38100</xdr:rowOff>
        </xdr:from>
        <xdr:to>
          <xdr:col>7</xdr:col>
          <xdr:colOff>495300</xdr:colOff>
          <xdr:row>5</xdr:row>
          <xdr:rowOff>161925</xdr:rowOff>
        </xdr:to>
        <xdr:sp macro="" textlink="">
          <xdr:nvSpPr>
            <xdr:cNvPr id="2049" name="Spinne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7</xdr:col>
      <xdr:colOff>0</xdr:colOff>
      <xdr:row>15</xdr:row>
      <xdr:rowOff>0</xdr:rowOff>
    </xdr:from>
    <xdr:to>
      <xdr:col>7</xdr:col>
      <xdr:colOff>504000</xdr:colOff>
      <xdr:row>17</xdr:row>
      <xdr:rowOff>102240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267200" y="2857500"/>
          <a:ext cx="504000" cy="483240"/>
          <a:chOff x="6743700" y="2194560"/>
          <a:chExt cx="504000" cy="468000"/>
        </a:xfrm>
      </xdr:grpSpPr>
      <xdr:sp macro="" textlink="">
        <xdr:nvSpPr>
          <xdr:cNvPr id="3" name="Rectangle 2">
            <a:extLst>
              <a:ext uri="{FF2B5EF4-FFF2-40B4-BE49-F238E27FC236}">
                <a16:creationId xmlns:a16="http://schemas.microsoft.com/office/drawing/2014/main" id="{00000000-0008-0000-0400-000003000000}"/>
              </a:ext>
            </a:extLst>
          </xdr:cNvPr>
          <xdr:cNvSpPr/>
        </xdr:nvSpPr>
        <xdr:spPr>
          <a:xfrm>
            <a:off x="6743700" y="2194560"/>
            <a:ext cx="504000" cy="46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 name="Group 3">
            <a:extLst>
              <a:ext uri="{FF2B5EF4-FFF2-40B4-BE49-F238E27FC236}">
                <a16:creationId xmlns:a16="http://schemas.microsoft.com/office/drawing/2014/main" id="{00000000-0008-0000-0400-000004000000}"/>
              </a:ext>
            </a:extLst>
          </xdr:cNvPr>
          <xdr:cNvGrpSpPr/>
        </xdr:nvGrpSpPr>
        <xdr:grpSpPr>
          <a:xfrm>
            <a:off x="6876095" y="2269493"/>
            <a:ext cx="239210" cy="318135"/>
            <a:chOff x="5037865" y="2788920"/>
            <a:chExt cx="239210" cy="318135"/>
          </a:xfrm>
        </xdr:grpSpPr>
        <xdr:sp macro="" textlink="">
          <xdr:nvSpPr>
            <xdr:cNvPr id="5" name="Oval 4">
              <a:extLst>
                <a:ext uri="{FF2B5EF4-FFF2-40B4-BE49-F238E27FC236}">
                  <a16:creationId xmlns:a16="http://schemas.microsoft.com/office/drawing/2014/main" id="{00000000-0008-0000-0400-000005000000}"/>
                </a:ext>
              </a:extLst>
            </xdr:cNvPr>
            <xdr:cNvSpPr/>
          </xdr:nvSpPr>
          <xdr:spPr>
            <a:xfrm>
              <a:off x="5037865" y="2985135"/>
              <a:ext cx="239210" cy="121920"/>
            </a:xfrm>
            <a:prstGeom prst="ellipse">
              <a:avLst/>
            </a:prstGeom>
            <a:solidFill>
              <a:srgbClr val="00B0F0">
                <a:alpha val="42000"/>
              </a:srgbClr>
            </a:solid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 name="Oval 5">
              <a:extLst>
                <a:ext uri="{FF2B5EF4-FFF2-40B4-BE49-F238E27FC236}">
                  <a16:creationId xmlns:a16="http://schemas.microsoft.com/office/drawing/2014/main" id="{00000000-0008-0000-0400-000006000000}"/>
                </a:ext>
              </a:extLst>
            </xdr:cNvPr>
            <xdr:cNvSpPr/>
          </xdr:nvSpPr>
          <xdr:spPr>
            <a:xfrm>
              <a:off x="5081588" y="2997210"/>
              <a:ext cx="154469" cy="78730"/>
            </a:xfrm>
            <a:prstGeom prst="ellipse">
              <a:avLst/>
            </a:prstGeom>
            <a:solidFill>
              <a:srgbClr val="00B0F0">
                <a:alpha val="23000"/>
              </a:srgbClr>
            </a:solidFill>
            <a:ln w="25400">
              <a:solidFill>
                <a:srgbClr val="66FFFF">
                  <a:alpha val="3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Freeform: Shape 6">
              <a:extLst>
                <a:ext uri="{FF2B5EF4-FFF2-40B4-BE49-F238E27FC236}">
                  <a16:creationId xmlns:a16="http://schemas.microsoft.com/office/drawing/2014/main" id="{00000000-0008-0000-0400-000007000000}"/>
                </a:ext>
              </a:extLst>
            </xdr:cNvPr>
            <xdr:cNvSpPr/>
          </xdr:nvSpPr>
          <xdr:spPr>
            <a:xfrm>
              <a:off x="5076508" y="2788920"/>
              <a:ext cx="161925" cy="257175"/>
            </a:xfrm>
            <a:custGeom>
              <a:avLst/>
              <a:gdLst>
                <a:gd name="connsiteX0" fmla="*/ 80962 w 161925"/>
                <a:gd name="connsiteY0" fmla="*/ 43497 h 257175"/>
                <a:gd name="connsiteX1" fmla="*/ 33972 w 161925"/>
                <a:gd name="connsiteY1" fmla="*/ 90487 h 257175"/>
                <a:gd name="connsiteX2" fmla="*/ 80962 w 161925"/>
                <a:gd name="connsiteY2" fmla="*/ 137477 h 257175"/>
                <a:gd name="connsiteX3" fmla="*/ 127952 w 161925"/>
                <a:gd name="connsiteY3" fmla="*/ 90487 h 257175"/>
                <a:gd name="connsiteX4" fmla="*/ 80962 w 161925"/>
                <a:gd name="connsiteY4" fmla="*/ 43497 h 257175"/>
                <a:gd name="connsiteX5" fmla="*/ 80963 w 161925"/>
                <a:gd name="connsiteY5" fmla="*/ 0 h 257175"/>
                <a:gd name="connsiteX6" fmla="*/ 161925 w 161925"/>
                <a:gd name="connsiteY6" fmla="*/ 80963 h 257175"/>
                <a:gd name="connsiteX7" fmla="*/ 85725 w 161925"/>
                <a:gd name="connsiteY7" fmla="*/ 257175 h 257175"/>
                <a:gd name="connsiteX8" fmla="*/ 0 w 161925"/>
                <a:gd name="connsiteY8" fmla="*/ 80963 h 257175"/>
                <a:gd name="connsiteX9" fmla="*/ 80963 w 161925"/>
                <a:gd name="connsiteY9" fmla="*/ 0 h 257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61925" h="257175">
                  <a:moveTo>
                    <a:pt x="80962" y="43497"/>
                  </a:moveTo>
                  <a:cubicBezTo>
                    <a:pt x="55010" y="43497"/>
                    <a:pt x="33972" y="64535"/>
                    <a:pt x="33972" y="90487"/>
                  </a:cubicBezTo>
                  <a:cubicBezTo>
                    <a:pt x="33972" y="116439"/>
                    <a:pt x="55010" y="137477"/>
                    <a:pt x="80962" y="137477"/>
                  </a:cubicBezTo>
                  <a:cubicBezTo>
                    <a:pt x="106914" y="137477"/>
                    <a:pt x="127952" y="116439"/>
                    <a:pt x="127952" y="90487"/>
                  </a:cubicBezTo>
                  <a:cubicBezTo>
                    <a:pt x="127952" y="64535"/>
                    <a:pt x="106914" y="43497"/>
                    <a:pt x="80962" y="43497"/>
                  </a:cubicBezTo>
                  <a:close/>
                  <a:moveTo>
                    <a:pt x="80963" y="0"/>
                  </a:moveTo>
                  <a:cubicBezTo>
                    <a:pt x="125730" y="0"/>
                    <a:pt x="161925" y="36195"/>
                    <a:pt x="161925" y="80963"/>
                  </a:cubicBezTo>
                  <a:cubicBezTo>
                    <a:pt x="161925" y="125730"/>
                    <a:pt x="85725" y="257175"/>
                    <a:pt x="85725" y="257175"/>
                  </a:cubicBezTo>
                  <a:cubicBezTo>
                    <a:pt x="85725" y="257175"/>
                    <a:pt x="0" y="125730"/>
                    <a:pt x="0" y="80963"/>
                  </a:cubicBezTo>
                  <a:cubicBezTo>
                    <a:pt x="0" y="36195"/>
                    <a:pt x="36195" y="0"/>
                    <a:pt x="80963" y="0"/>
                  </a:cubicBezTo>
                  <a:close/>
                </a:path>
              </a:pathLst>
            </a:custGeom>
            <a:gradFill flip="none" rotWithShape="1">
              <a:gsLst>
                <a:gs pos="35000">
                  <a:srgbClr val="0000FF"/>
                </a:gs>
                <a:gs pos="76000">
                  <a:srgbClr val="00B0F0"/>
                </a:gs>
              </a:gsLst>
              <a:lin ang="5400000" scaled="1"/>
              <a:tileRect/>
            </a:gra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grpSp>
    <xdr:clientData/>
  </xdr:twoCellAnchor>
  <xdr:twoCellAnchor>
    <xdr:from>
      <xdr:col>6</xdr:col>
      <xdr:colOff>0</xdr:colOff>
      <xdr:row>9</xdr:row>
      <xdr:rowOff>0</xdr:rowOff>
    </xdr:from>
    <xdr:to>
      <xdr:col>6</xdr:col>
      <xdr:colOff>504000</xdr:colOff>
      <xdr:row>11</xdr:row>
      <xdr:rowOff>102240</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3657600" y="1714500"/>
          <a:ext cx="504000" cy="483240"/>
          <a:chOff x="6743700" y="2194560"/>
          <a:chExt cx="504000" cy="468000"/>
        </a:xfrm>
      </xdr:grpSpPr>
      <xdr:sp macro="" textlink="">
        <xdr:nvSpPr>
          <xdr:cNvPr id="9" name="Rectangle 8">
            <a:extLst>
              <a:ext uri="{FF2B5EF4-FFF2-40B4-BE49-F238E27FC236}">
                <a16:creationId xmlns:a16="http://schemas.microsoft.com/office/drawing/2014/main" id="{00000000-0008-0000-0400-000009000000}"/>
              </a:ext>
            </a:extLst>
          </xdr:cNvPr>
          <xdr:cNvSpPr/>
        </xdr:nvSpPr>
        <xdr:spPr>
          <a:xfrm>
            <a:off x="6743700" y="2194560"/>
            <a:ext cx="504000" cy="46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10" name="Group 9">
            <a:extLst>
              <a:ext uri="{FF2B5EF4-FFF2-40B4-BE49-F238E27FC236}">
                <a16:creationId xmlns:a16="http://schemas.microsoft.com/office/drawing/2014/main" id="{00000000-0008-0000-0400-00000A000000}"/>
              </a:ext>
            </a:extLst>
          </xdr:cNvPr>
          <xdr:cNvGrpSpPr/>
        </xdr:nvGrpSpPr>
        <xdr:grpSpPr>
          <a:xfrm>
            <a:off x="6876095" y="2269493"/>
            <a:ext cx="239210" cy="318135"/>
            <a:chOff x="5037865" y="2788920"/>
            <a:chExt cx="239210" cy="318135"/>
          </a:xfrm>
        </xdr:grpSpPr>
        <xdr:sp macro="" textlink="">
          <xdr:nvSpPr>
            <xdr:cNvPr id="11" name="Oval 10">
              <a:extLst>
                <a:ext uri="{FF2B5EF4-FFF2-40B4-BE49-F238E27FC236}">
                  <a16:creationId xmlns:a16="http://schemas.microsoft.com/office/drawing/2014/main" id="{00000000-0008-0000-0400-00000B000000}"/>
                </a:ext>
              </a:extLst>
            </xdr:cNvPr>
            <xdr:cNvSpPr/>
          </xdr:nvSpPr>
          <xdr:spPr>
            <a:xfrm>
              <a:off x="5037865" y="2985135"/>
              <a:ext cx="239210" cy="121920"/>
            </a:xfrm>
            <a:prstGeom prst="ellipse">
              <a:avLst/>
            </a:prstGeom>
            <a:solidFill>
              <a:srgbClr val="66FFFF">
                <a:alpha val="42000"/>
              </a:srgbClr>
            </a:solid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 name="Oval 11">
              <a:extLst>
                <a:ext uri="{FF2B5EF4-FFF2-40B4-BE49-F238E27FC236}">
                  <a16:creationId xmlns:a16="http://schemas.microsoft.com/office/drawing/2014/main" id="{00000000-0008-0000-0400-00000C000000}"/>
                </a:ext>
              </a:extLst>
            </xdr:cNvPr>
            <xdr:cNvSpPr/>
          </xdr:nvSpPr>
          <xdr:spPr>
            <a:xfrm>
              <a:off x="5081588" y="2997210"/>
              <a:ext cx="154469" cy="78730"/>
            </a:xfrm>
            <a:prstGeom prst="ellipse">
              <a:avLst/>
            </a:prstGeom>
            <a:solidFill>
              <a:srgbClr val="66FFFF">
                <a:alpha val="23000"/>
              </a:srgbClr>
            </a:solidFill>
            <a:ln w="25400">
              <a:solidFill>
                <a:schemeClr val="bg1">
                  <a:alpha val="3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 name="Freeform: Shape 12">
              <a:extLst>
                <a:ext uri="{FF2B5EF4-FFF2-40B4-BE49-F238E27FC236}">
                  <a16:creationId xmlns:a16="http://schemas.microsoft.com/office/drawing/2014/main" id="{00000000-0008-0000-0400-00000D000000}"/>
                </a:ext>
              </a:extLst>
            </xdr:cNvPr>
            <xdr:cNvSpPr/>
          </xdr:nvSpPr>
          <xdr:spPr>
            <a:xfrm>
              <a:off x="5076508" y="2788920"/>
              <a:ext cx="161925" cy="257175"/>
            </a:xfrm>
            <a:custGeom>
              <a:avLst/>
              <a:gdLst>
                <a:gd name="connsiteX0" fmla="*/ 80962 w 161925"/>
                <a:gd name="connsiteY0" fmla="*/ 43497 h 257175"/>
                <a:gd name="connsiteX1" fmla="*/ 33972 w 161925"/>
                <a:gd name="connsiteY1" fmla="*/ 90487 h 257175"/>
                <a:gd name="connsiteX2" fmla="*/ 80962 w 161925"/>
                <a:gd name="connsiteY2" fmla="*/ 137477 h 257175"/>
                <a:gd name="connsiteX3" fmla="*/ 127952 w 161925"/>
                <a:gd name="connsiteY3" fmla="*/ 90487 h 257175"/>
                <a:gd name="connsiteX4" fmla="*/ 80962 w 161925"/>
                <a:gd name="connsiteY4" fmla="*/ 43497 h 257175"/>
                <a:gd name="connsiteX5" fmla="*/ 80963 w 161925"/>
                <a:gd name="connsiteY5" fmla="*/ 0 h 257175"/>
                <a:gd name="connsiteX6" fmla="*/ 161925 w 161925"/>
                <a:gd name="connsiteY6" fmla="*/ 80963 h 257175"/>
                <a:gd name="connsiteX7" fmla="*/ 85725 w 161925"/>
                <a:gd name="connsiteY7" fmla="*/ 257175 h 257175"/>
                <a:gd name="connsiteX8" fmla="*/ 0 w 161925"/>
                <a:gd name="connsiteY8" fmla="*/ 80963 h 257175"/>
                <a:gd name="connsiteX9" fmla="*/ 80963 w 161925"/>
                <a:gd name="connsiteY9" fmla="*/ 0 h 257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61925" h="257175">
                  <a:moveTo>
                    <a:pt x="80962" y="43497"/>
                  </a:moveTo>
                  <a:cubicBezTo>
                    <a:pt x="55010" y="43497"/>
                    <a:pt x="33972" y="64535"/>
                    <a:pt x="33972" y="90487"/>
                  </a:cubicBezTo>
                  <a:cubicBezTo>
                    <a:pt x="33972" y="116439"/>
                    <a:pt x="55010" y="137477"/>
                    <a:pt x="80962" y="137477"/>
                  </a:cubicBezTo>
                  <a:cubicBezTo>
                    <a:pt x="106914" y="137477"/>
                    <a:pt x="127952" y="116439"/>
                    <a:pt x="127952" y="90487"/>
                  </a:cubicBezTo>
                  <a:cubicBezTo>
                    <a:pt x="127952" y="64535"/>
                    <a:pt x="106914" y="43497"/>
                    <a:pt x="80962" y="43497"/>
                  </a:cubicBezTo>
                  <a:close/>
                  <a:moveTo>
                    <a:pt x="80963" y="0"/>
                  </a:moveTo>
                  <a:cubicBezTo>
                    <a:pt x="125730" y="0"/>
                    <a:pt x="161925" y="36195"/>
                    <a:pt x="161925" y="80963"/>
                  </a:cubicBezTo>
                  <a:cubicBezTo>
                    <a:pt x="161925" y="125730"/>
                    <a:pt x="85725" y="257175"/>
                    <a:pt x="85725" y="257175"/>
                  </a:cubicBezTo>
                  <a:cubicBezTo>
                    <a:pt x="85725" y="257175"/>
                    <a:pt x="0" y="125730"/>
                    <a:pt x="0" y="80963"/>
                  </a:cubicBezTo>
                  <a:cubicBezTo>
                    <a:pt x="0" y="36195"/>
                    <a:pt x="36195" y="0"/>
                    <a:pt x="80963" y="0"/>
                  </a:cubicBezTo>
                  <a:close/>
                </a:path>
              </a:pathLst>
            </a:custGeom>
            <a:gradFill flip="none" rotWithShape="1">
              <a:gsLst>
                <a:gs pos="35000">
                  <a:srgbClr val="00B0F0"/>
                </a:gs>
                <a:gs pos="76000">
                  <a:srgbClr val="66FFFF"/>
                </a:gs>
              </a:gsLst>
              <a:lin ang="5400000" scaled="1"/>
              <a:tileRect/>
            </a:gra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grpSp>
    <xdr:clientData/>
  </xdr:twoCellAnchor>
  <xdr:twoCellAnchor>
    <xdr:from>
      <xdr:col>11</xdr:col>
      <xdr:colOff>22860</xdr:colOff>
      <xdr:row>5</xdr:row>
      <xdr:rowOff>91440</xdr:rowOff>
    </xdr:from>
    <xdr:to>
      <xdr:col>11</xdr:col>
      <xdr:colOff>388620</xdr:colOff>
      <xdr:row>9</xdr:row>
      <xdr:rowOff>15241</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6728460" y="1043940"/>
          <a:ext cx="365760" cy="685801"/>
          <a:chOff x="6728460" y="1005840"/>
          <a:chExt cx="365760" cy="655321"/>
        </a:xfrm>
      </xdr:grpSpPr>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rot="16200000">
            <a:off x="6591300" y="1189980"/>
            <a:ext cx="640080" cy="302281"/>
          </a:xfrm>
          <a:prstGeom prst="roundRect">
            <a:avLst>
              <a:gd name="adj" fmla="val 50000"/>
            </a:avLst>
          </a:prstGeom>
          <a:gradFill>
            <a:gsLst>
              <a:gs pos="0">
                <a:srgbClr val="5D63D1"/>
              </a:gs>
              <a:gs pos="100000">
                <a:srgbClr val="2E327A"/>
              </a:gs>
            </a:gsLst>
            <a:lin ang="8100000" scaled="1"/>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 name="Oval 14">
            <a:extLst>
              <a:ext uri="{FF2B5EF4-FFF2-40B4-BE49-F238E27FC236}">
                <a16:creationId xmlns:a16="http://schemas.microsoft.com/office/drawing/2014/main" id="{00000000-0008-0000-0400-00000F000000}"/>
              </a:ext>
            </a:extLst>
          </xdr:cNvPr>
          <xdr:cNvSpPr/>
        </xdr:nvSpPr>
        <xdr:spPr>
          <a:xfrm rot="16200000">
            <a:off x="6728460" y="1005840"/>
            <a:ext cx="365760" cy="365760"/>
          </a:xfrm>
          <a:prstGeom prst="ellipse">
            <a:avLst/>
          </a:prstGeom>
          <a:gradFill>
            <a:gsLst>
              <a:gs pos="38000">
                <a:srgbClr val="5D63D1"/>
              </a:gs>
              <a:gs pos="100000">
                <a:srgbClr val="2E327A"/>
              </a:gs>
              <a:gs pos="0">
                <a:schemeClr val="accent1">
                  <a:lumMod val="30000"/>
                  <a:lumOff val="70000"/>
                </a:schemeClr>
              </a:gs>
            </a:gsLst>
            <a:lin ang="8100000" scaled="1"/>
          </a:gradFill>
          <a:ln>
            <a:no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22860</xdr:colOff>
      <xdr:row>13</xdr:row>
      <xdr:rowOff>60961</xdr:rowOff>
    </xdr:from>
    <xdr:to>
      <xdr:col>11</xdr:col>
      <xdr:colOff>388620</xdr:colOff>
      <xdr:row>16</xdr:row>
      <xdr:rowOff>175261</xdr:rowOff>
    </xdr:to>
    <xdr:grpSp>
      <xdr:nvGrpSpPr>
        <xdr:cNvPr id="24" name="Group 23">
          <a:extLst>
            <a:ext uri="{FF2B5EF4-FFF2-40B4-BE49-F238E27FC236}">
              <a16:creationId xmlns:a16="http://schemas.microsoft.com/office/drawing/2014/main" id="{00000000-0008-0000-0400-000018000000}"/>
            </a:ext>
          </a:extLst>
        </xdr:cNvPr>
        <xdr:cNvGrpSpPr/>
      </xdr:nvGrpSpPr>
      <xdr:grpSpPr>
        <a:xfrm flipH="1">
          <a:off x="6728460" y="2537461"/>
          <a:ext cx="365760" cy="685800"/>
          <a:chOff x="6728460" y="2438401"/>
          <a:chExt cx="365760" cy="662940"/>
        </a:xfrm>
      </xdr:grpSpPr>
      <xdr:sp macro="" textlink="">
        <xdr:nvSpPr>
          <xdr:cNvPr id="18" name="Rectangle: Rounded Corners 17">
            <a:extLst>
              <a:ext uri="{FF2B5EF4-FFF2-40B4-BE49-F238E27FC236}">
                <a16:creationId xmlns:a16="http://schemas.microsoft.com/office/drawing/2014/main" id="{00000000-0008-0000-0400-000012000000}"/>
              </a:ext>
            </a:extLst>
          </xdr:cNvPr>
          <xdr:cNvSpPr/>
        </xdr:nvSpPr>
        <xdr:spPr>
          <a:xfrm rot="16200000">
            <a:off x="6591300" y="2630160"/>
            <a:ext cx="640080" cy="302281"/>
          </a:xfrm>
          <a:prstGeom prst="roundRect">
            <a:avLst>
              <a:gd name="adj" fmla="val 50000"/>
            </a:avLst>
          </a:prstGeom>
          <a:gradFill flip="none" rotWithShape="1">
            <a:gsLst>
              <a:gs pos="0">
                <a:schemeClr val="tx1">
                  <a:lumMod val="75000"/>
                  <a:lumOff val="25000"/>
                </a:schemeClr>
              </a:gs>
              <a:gs pos="100000">
                <a:srgbClr val="2E327A"/>
              </a:gs>
            </a:gsLst>
            <a:path path="shape">
              <a:fillToRect l="50000" t="50000" r="50000" b="50000"/>
            </a:path>
            <a:tileRect/>
          </a:gra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0400-000013000000}"/>
              </a:ext>
            </a:extLst>
          </xdr:cNvPr>
          <xdr:cNvSpPr/>
        </xdr:nvSpPr>
        <xdr:spPr>
          <a:xfrm rot="16200000">
            <a:off x="6728460" y="2438401"/>
            <a:ext cx="365760" cy="365760"/>
          </a:xfrm>
          <a:prstGeom prst="ellipse">
            <a:avLst/>
          </a:prstGeom>
          <a:gradFill>
            <a:gsLst>
              <a:gs pos="0">
                <a:schemeClr val="tx1">
                  <a:lumMod val="75000"/>
                  <a:lumOff val="25000"/>
                </a:schemeClr>
              </a:gs>
              <a:gs pos="100000">
                <a:srgbClr val="2E327A"/>
              </a:gs>
            </a:gsLst>
            <a:lin ang="8100000" scaled="1"/>
          </a:gradFill>
          <a:ln>
            <a:no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173742</xdr:colOff>
      <xdr:row>16</xdr:row>
      <xdr:rowOff>125327</xdr:rowOff>
    </xdr:from>
    <xdr:to>
      <xdr:col>9</xdr:col>
      <xdr:colOff>542110</xdr:colOff>
      <xdr:row>26</xdr:row>
      <xdr:rowOff>146082</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4440942" y="3173327"/>
          <a:ext cx="1587568" cy="1925755"/>
          <a:chOff x="5743962" y="2540867"/>
          <a:chExt cx="1587568" cy="1849555"/>
        </a:xfrm>
      </xdr:grpSpPr>
      <xdr:grpSp>
        <xdr:nvGrpSpPr>
          <xdr:cNvPr id="16" name="Group 15">
            <a:extLst>
              <a:ext uri="{FF2B5EF4-FFF2-40B4-BE49-F238E27FC236}">
                <a16:creationId xmlns:a16="http://schemas.microsoft.com/office/drawing/2014/main" id="{00000000-0008-0000-0400-000010000000}"/>
              </a:ext>
            </a:extLst>
          </xdr:cNvPr>
          <xdr:cNvGrpSpPr/>
        </xdr:nvGrpSpPr>
        <xdr:grpSpPr>
          <a:xfrm rot="21366272">
            <a:off x="6058709" y="2770099"/>
            <a:ext cx="958074" cy="1391091"/>
            <a:chOff x="783274" y="2328777"/>
            <a:chExt cx="1814584" cy="2152194"/>
          </a:xfrm>
        </xdr:grpSpPr>
        <xdr:sp macro="" textlink="">
          <xdr:nvSpPr>
            <xdr:cNvPr id="17" name="Oval 16">
              <a:extLst>
                <a:ext uri="{FF2B5EF4-FFF2-40B4-BE49-F238E27FC236}">
                  <a16:creationId xmlns:a16="http://schemas.microsoft.com/office/drawing/2014/main" id="{00000000-0008-0000-0400-000011000000}"/>
                </a:ext>
              </a:extLst>
            </xdr:cNvPr>
            <xdr:cNvSpPr/>
          </xdr:nvSpPr>
          <xdr:spPr>
            <a:xfrm rot="900000">
              <a:off x="865755" y="2441844"/>
              <a:ext cx="1649622" cy="1956540"/>
            </a:xfrm>
            <a:prstGeom prst="ellipse">
              <a:avLst/>
            </a:prstGeom>
            <a:noFill/>
            <a:ln w="12700">
              <a:gradFill>
                <a:gsLst>
                  <a:gs pos="0">
                    <a:srgbClr val="4E95D9"/>
                  </a:gs>
                  <a:gs pos="100000">
                    <a:srgbClr val="4E95D9">
                      <a:alpha val="56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Oval 19">
              <a:extLst>
                <a:ext uri="{FF2B5EF4-FFF2-40B4-BE49-F238E27FC236}">
                  <a16:creationId xmlns:a16="http://schemas.microsoft.com/office/drawing/2014/main" id="{00000000-0008-0000-0400-000014000000}"/>
                </a:ext>
              </a:extLst>
            </xdr:cNvPr>
            <xdr:cNvSpPr/>
          </xdr:nvSpPr>
          <xdr:spPr>
            <a:xfrm rot="900000">
              <a:off x="940275" y="2523314"/>
              <a:ext cx="1500582" cy="1793601"/>
            </a:xfrm>
            <a:prstGeom prst="ellipse">
              <a:avLst/>
            </a:prstGeom>
            <a:noFill/>
            <a:ln w="12700">
              <a:gradFill>
                <a:gsLst>
                  <a:gs pos="0">
                    <a:srgbClr val="4E95D9"/>
                  </a:gs>
                  <a:gs pos="100000">
                    <a:srgbClr val="4E95D9">
                      <a:alpha val="56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Circle: Hollow 20">
              <a:extLst>
                <a:ext uri="{FF2B5EF4-FFF2-40B4-BE49-F238E27FC236}">
                  <a16:creationId xmlns:a16="http://schemas.microsoft.com/office/drawing/2014/main" id="{00000000-0008-0000-0400-000015000000}"/>
                </a:ext>
              </a:extLst>
            </xdr:cNvPr>
            <xdr:cNvSpPr/>
          </xdr:nvSpPr>
          <xdr:spPr>
            <a:xfrm rot="900000">
              <a:off x="1075751" y="2640095"/>
              <a:ext cx="1229631" cy="1560039"/>
            </a:xfrm>
            <a:prstGeom prst="donut">
              <a:avLst>
                <a:gd name="adj" fmla="val 10747"/>
              </a:avLst>
            </a:prstGeom>
            <a:gradFill>
              <a:gsLst>
                <a:gs pos="0">
                  <a:schemeClr val="tx1">
                    <a:alpha val="50000"/>
                  </a:schemeClr>
                </a:gs>
                <a:gs pos="82000">
                  <a:srgbClr val="2D58F7"/>
                </a:gs>
              </a:gsLst>
              <a:path path="shape">
                <a:fillToRect l="50000" t="50000" r="50000" b="50000"/>
              </a:path>
            </a:gradFill>
            <a:ln>
              <a:gradFill>
                <a:gsLst>
                  <a:gs pos="70000">
                    <a:schemeClr val="tx2">
                      <a:lumMod val="25000"/>
                      <a:lumOff val="75000"/>
                    </a:schemeClr>
                  </a:gs>
                  <a:gs pos="100000">
                    <a:srgbClr val="4E95D9">
                      <a:alpha val="56000"/>
                    </a:srgbClr>
                  </a:gs>
                </a:gsLst>
                <a:lin ang="0" scaled="0"/>
              </a:gra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22" name="Oval 21">
              <a:extLst>
                <a:ext uri="{FF2B5EF4-FFF2-40B4-BE49-F238E27FC236}">
                  <a16:creationId xmlns:a16="http://schemas.microsoft.com/office/drawing/2014/main" id="{00000000-0008-0000-0400-000016000000}"/>
                </a:ext>
              </a:extLst>
            </xdr:cNvPr>
            <xdr:cNvSpPr/>
          </xdr:nvSpPr>
          <xdr:spPr>
            <a:xfrm rot="900000">
              <a:off x="783274" y="2328777"/>
              <a:ext cx="1814584" cy="2152194"/>
            </a:xfrm>
            <a:prstGeom prst="ellipse">
              <a:avLst/>
            </a:prstGeom>
            <a:noFill/>
            <a:ln w="12700">
              <a:gradFill>
                <a:gsLst>
                  <a:gs pos="0">
                    <a:srgbClr val="4E95D9"/>
                  </a:gs>
                  <a:gs pos="100000">
                    <a:srgbClr val="4E95D9">
                      <a:alpha val="16000"/>
                    </a:srgb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5" name="Rectangle 24">
            <a:extLst>
              <a:ext uri="{FF2B5EF4-FFF2-40B4-BE49-F238E27FC236}">
                <a16:creationId xmlns:a16="http://schemas.microsoft.com/office/drawing/2014/main" id="{00000000-0008-0000-0400-000019000000}"/>
              </a:ext>
            </a:extLst>
          </xdr:cNvPr>
          <xdr:cNvSpPr/>
        </xdr:nvSpPr>
        <xdr:spPr>
          <a:xfrm>
            <a:off x="5743962" y="2540867"/>
            <a:ext cx="1587568" cy="1849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clientData/>
  </xdr:twoCellAnchor>
  <xdr:twoCellAnchor>
    <xdr:from>
      <xdr:col>14</xdr:col>
      <xdr:colOff>271880</xdr:colOff>
      <xdr:row>13</xdr:row>
      <xdr:rowOff>114075</xdr:rowOff>
    </xdr:from>
    <xdr:to>
      <xdr:col>17</xdr:col>
      <xdr:colOff>30648</xdr:colOff>
      <xdr:row>22</xdr:row>
      <xdr:rowOff>55130</xdr:rowOff>
    </xdr:to>
    <xdr:grpSp>
      <xdr:nvGrpSpPr>
        <xdr:cNvPr id="42" name="Group 41">
          <a:extLst>
            <a:ext uri="{FF2B5EF4-FFF2-40B4-BE49-F238E27FC236}">
              <a16:creationId xmlns:a16="http://schemas.microsoft.com/office/drawing/2014/main" id="{00000000-0008-0000-0400-00002A000000}"/>
            </a:ext>
          </a:extLst>
        </xdr:cNvPr>
        <xdr:cNvGrpSpPr/>
      </xdr:nvGrpSpPr>
      <xdr:grpSpPr>
        <a:xfrm>
          <a:off x="8806280" y="2590575"/>
          <a:ext cx="1587568" cy="1655555"/>
          <a:chOff x="8806280" y="2491515"/>
          <a:chExt cx="1587568" cy="1586975"/>
        </a:xfrm>
      </xdr:grpSpPr>
      <xdr:sp macro="" textlink="">
        <xdr:nvSpPr>
          <xdr:cNvPr id="32" name="Rectangle 31">
            <a:extLst>
              <a:ext uri="{FF2B5EF4-FFF2-40B4-BE49-F238E27FC236}">
                <a16:creationId xmlns:a16="http://schemas.microsoft.com/office/drawing/2014/main" id="{00000000-0008-0000-0400-000020000000}"/>
              </a:ext>
            </a:extLst>
          </xdr:cNvPr>
          <xdr:cNvSpPr/>
        </xdr:nvSpPr>
        <xdr:spPr>
          <a:xfrm>
            <a:off x="8806280" y="2491515"/>
            <a:ext cx="1587568" cy="1586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nvGrpSpPr>
          <xdr:cNvPr id="37" name="Group 36">
            <a:extLst>
              <a:ext uri="{FF2B5EF4-FFF2-40B4-BE49-F238E27FC236}">
                <a16:creationId xmlns:a16="http://schemas.microsoft.com/office/drawing/2014/main" id="{00000000-0008-0000-0400-000025000000}"/>
              </a:ext>
            </a:extLst>
          </xdr:cNvPr>
          <xdr:cNvGrpSpPr/>
        </xdr:nvGrpSpPr>
        <xdr:grpSpPr>
          <a:xfrm rot="19882972">
            <a:off x="9250235" y="2773881"/>
            <a:ext cx="699659" cy="1022243"/>
            <a:chOff x="783274" y="2328777"/>
            <a:chExt cx="1814584" cy="2152194"/>
          </a:xfrm>
        </xdr:grpSpPr>
        <xdr:sp macro="" textlink="">
          <xdr:nvSpPr>
            <xdr:cNvPr id="38" name="Oval 37">
              <a:extLst>
                <a:ext uri="{FF2B5EF4-FFF2-40B4-BE49-F238E27FC236}">
                  <a16:creationId xmlns:a16="http://schemas.microsoft.com/office/drawing/2014/main" id="{00000000-0008-0000-0400-000026000000}"/>
                </a:ext>
              </a:extLst>
            </xdr:cNvPr>
            <xdr:cNvSpPr/>
          </xdr:nvSpPr>
          <xdr:spPr>
            <a:xfrm rot="900000">
              <a:off x="865755" y="2441844"/>
              <a:ext cx="1649622" cy="1956540"/>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Oval 38">
              <a:extLst>
                <a:ext uri="{FF2B5EF4-FFF2-40B4-BE49-F238E27FC236}">
                  <a16:creationId xmlns:a16="http://schemas.microsoft.com/office/drawing/2014/main" id="{00000000-0008-0000-0400-000027000000}"/>
                </a:ext>
              </a:extLst>
            </xdr:cNvPr>
            <xdr:cNvSpPr/>
          </xdr:nvSpPr>
          <xdr:spPr>
            <a:xfrm rot="900000">
              <a:off x="940275" y="2523314"/>
              <a:ext cx="1500582" cy="1793601"/>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Circle: Hollow 39">
              <a:extLst>
                <a:ext uri="{FF2B5EF4-FFF2-40B4-BE49-F238E27FC236}">
                  <a16:creationId xmlns:a16="http://schemas.microsoft.com/office/drawing/2014/main" id="{00000000-0008-0000-0400-000028000000}"/>
                </a:ext>
              </a:extLst>
            </xdr:cNvPr>
            <xdr:cNvSpPr/>
          </xdr:nvSpPr>
          <xdr:spPr>
            <a:xfrm rot="900000">
              <a:off x="1075751" y="2640095"/>
              <a:ext cx="1229631" cy="1560039"/>
            </a:xfrm>
            <a:prstGeom prst="donut">
              <a:avLst>
                <a:gd name="adj" fmla="val 10747"/>
              </a:avLst>
            </a:prstGeom>
            <a:gradFill>
              <a:gsLst>
                <a:gs pos="17000">
                  <a:srgbClr val="C63FF4">
                    <a:alpha val="12000"/>
                  </a:srgbClr>
                </a:gs>
                <a:gs pos="100000">
                  <a:srgbClr val="C63FF4"/>
                </a:gs>
              </a:gsLst>
              <a:lin ang="0" scaled="0"/>
            </a:gradFill>
            <a:ln>
              <a:gradFill>
                <a:gsLst>
                  <a:gs pos="0">
                    <a:srgbClr val="C63FF4">
                      <a:alpha val="22000"/>
                    </a:srgbClr>
                  </a:gs>
                  <a:gs pos="60000">
                    <a:srgbClr val="C63FF4"/>
                  </a:gs>
                </a:gsLst>
                <a:lin ang="0" scaled="0"/>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41" name="Oval 40">
              <a:extLst>
                <a:ext uri="{FF2B5EF4-FFF2-40B4-BE49-F238E27FC236}">
                  <a16:creationId xmlns:a16="http://schemas.microsoft.com/office/drawing/2014/main" id="{00000000-0008-0000-0400-000029000000}"/>
                </a:ext>
              </a:extLst>
            </xdr:cNvPr>
            <xdr:cNvSpPr/>
          </xdr:nvSpPr>
          <xdr:spPr>
            <a:xfrm rot="900000">
              <a:off x="783274" y="2328777"/>
              <a:ext cx="1814584" cy="2152194"/>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11</xdr:col>
      <xdr:colOff>0</xdr:colOff>
      <xdr:row>28</xdr:row>
      <xdr:rowOff>0</xdr:rowOff>
    </xdr:from>
    <xdr:to>
      <xdr:col>12</xdr:col>
      <xdr:colOff>90059</xdr:colOff>
      <xdr:row>33</xdr:row>
      <xdr:rowOff>107843</xdr:rowOff>
    </xdr:to>
    <xdr:grpSp>
      <xdr:nvGrpSpPr>
        <xdr:cNvPr id="43" name="Group 42">
          <a:extLst>
            <a:ext uri="{FF2B5EF4-FFF2-40B4-BE49-F238E27FC236}">
              <a16:creationId xmlns:a16="http://schemas.microsoft.com/office/drawing/2014/main" id="{00000000-0008-0000-0400-00002B000000}"/>
            </a:ext>
          </a:extLst>
        </xdr:cNvPr>
        <xdr:cNvGrpSpPr/>
      </xdr:nvGrpSpPr>
      <xdr:grpSpPr>
        <a:xfrm rot="19882972">
          <a:off x="6705600" y="5334000"/>
          <a:ext cx="699659" cy="1060343"/>
          <a:chOff x="783274" y="2328777"/>
          <a:chExt cx="1814584" cy="2152194"/>
        </a:xfrm>
      </xdr:grpSpPr>
      <xdr:sp macro="" textlink="">
        <xdr:nvSpPr>
          <xdr:cNvPr id="44" name="Oval 43">
            <a:extLst>
              <a:ext uri="{FF2B5EF4-FFF2-40B4-BE49-F238E27FC236}">
                <a16:creationId xmlns:a16="http://schemas.microsoft.com/office/drawing/2014/main" id="{00000000-0008-0000-0400-00002C000000}"/>
              </a:ext>
            </a:extLst>
          </xdr:cNvPr>
          <xdr:cNvSpPr/>
        </xdr:nvSpPr>
        <xdr:spPr>
          <a:xfrm rot="900000">
            <a:off x="865755" y="2441844"/>
            <a:ext cx="1649622" cy="1956540"/>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endParaRPr>
          </a:p>
        </xdr:txBody>
      </xdr:sp>
      <xdr:sp macro="" textlink="">
        <xdr:nvSpPr>
          <xdr:cNvPr id="45" name="Oval 44">
            <a:extLst>
              <a:ext uri="{FF2B5EF4-FFF2-40B4-BE49-F238E27FC236}">
                <a16:creationId xmlns:a16="http://schemas.microsoft.com/office/drawing/2014/main" id="{00000000-0008-0000-0400-00002D000000}"/>
              </a:ext>
            </a:extLst>
          </xdr:cNvPr>
          <xdr:cNvSpPr/>
        </xdr:nvSpPr>
        <xdr:spPr>
          <a:xfrm rot="900000">
            <a:off x="940275" y="2523314"/>
            <a:ext cx="1500582" cy="1793601"/>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endParaRPr>
          </a:p>
        </xdr:txBody>
      </xdr:sp>
      <xdr:sp macro="" textlink="">
        <xdr:nvSpPr>
          <xdr:cNvPr id="46" name="Circle: Hollow 45">
            <a:extLst>
              <a:ext uri="{FF2B5EF4-FFF2-40B4-BE49-F238E27FC236}">
                <a16:creationId xmlns:a16="http://schemas.microsoft.com/office/drawing/2014/main" id="{00000000-0008-0000-0400-00002E000000}"/>
              </a:ext>
            </a:extLst>
          </xdr:cNvPr>
          <xdr:cNvSpPr/>
        </xdr:nvSpPr>
        <xdr:spPr>
          <a:xfrm rot="900000">
            <a:off x="1075751" y="2640095"/>
            <a:ext cx="1229631" cy="1560039"/>
          </a:xfrm>
          <a:prstGeom prst="donut">
            <a:avLst>
              <a:gd name="adj" fmla="val 10747"/>
            </a:avLst>
          </a:prstGeom>
          <a:gradFill>
            <a:gsLst>
              <a:gs pos="17000">
                <a:srgbClr val="C63FF4">
                  <a:alpha val="12000"/>
                </a:srgbClr>
              </a:gs>
              <a:gs pos="100000">
                <a:srgbClr val="C63FF4"/>
              </a:gs>
            </a:gsLst>
            <a:lin ang="0" scaled="0"/>
          </a:gradFill>
          <a:ln>
            <a:gradFill>
              <a:gsLst>
                <a:gs pos="0">
                  <a:srgbClr val="C63FF4">
                    <a:alpha val="22000"/>
                  </a:srgbClr>
                </a:gs>
                <a:gs pos="60000">
                  <a:srgbClr val="C63FF4"/>
                </a:gs>
              </a:gsLst>
              <a:lin ang="0" scaled="0"/>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endParaRPr>
          </a:p>
        </xdr:txBody>
      </xdr:sp>
      <xdr:sp macro="" textlink="">
        <xdr:nvSpPr>
          <xdr:cNvPr id="47" name="Oval 46">
            <a:extLst>
              <a:ext uri="{FF2B5EF4-FFF2-40B4-BE49-F238E27FC236}">
                <a16:creationId xmlns:a16="http://schemas.microsoft.com/office/drawing/2014/main" id="{00000000-0008-0000-0400-00002F000000}"/>
              </a:ext>
            </a:extLst>
          </xdr:cNvPr>
          <xdr:cNvSpPr/>
        </xdr:nvSpPr>
        <xdr:spPr>
          <a:xfrm rot="900000">
            <a:off x="783274" y="2328777"/>
            <a:ext cx="1814584" cy="2152194"/>
          </a:xfrm>
          <a:prstGeom prst="ellipse">
            <a:avLst/>
          </a:prstGeom>
          <a:noFill/>
          <a:ln w="12700">
            <a:gradFill>
              <a:gsLst>
                <a:gs pos="0">
                  <a:srgbClr val="C63FF4">
                    <a:alpha val="22000"/>
                  </a:srgbClr>
                </a:gs>
                <a:gs pos="60000">
                  <a:srgbClr val="C63FF4"/>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endParaRPr>
          </a:p>
        </xdr:txBody>
      </xdr:sp>
    </xdr:grpSp>
    <xdr:clientData/>
  </xdr:twoCellAnchor>
  <xdr:twoCellAnchor>
    <xdr:from>
      <xdr:col>12</xdr:col>
      <xdr:colOff>242705</xdr:colOff>
      <xdr:row>10</xdr:row>
      <xdr:rowOff>104572</xdr:rowOff>
    </xdr:from>
    <xdr:to>
      <xdr:col>12</xdr:col>
      <xdr:colOff>494165</xdr:colOff>
      <xdr:row>11</xdr:row>
      <xdr:rowOff>171855</xdr:rowOff>
    </xdr:to>
    <xdr:sp macro="" textlink="">
      <xdr:nvSpPr>
        <xdr:cNvPr id="48" name="Rectangle 47">
          <a:extLst>
            <a:ext uri="{FF2B5EF4-FFF2-40B4-BE49-F238E27FC236}">
              <a16:creationId xmlns:a16="http://schemas.microsoft.com/office/drawing/2014/main" id="{00000000-0008-0000-0400-000030000000}"/>
            </a:ext>
          </a:extLst>
        </xdr:cNvPr>
        <xdr:cNvSpPr/>
      </xdr:nvSpPr>
      <xdr:spPr>
        <a:xfrm>
          <a:off x="7557905" y="1920402"/>
          <a:ext cx="251460" cy="248866"/>
        </a:xfrm>
        <a:prstGeom prst="rect">
          <a:avLst/>
        </a:prstGeom>
        <a:solidFill>
          <a:srgbClr val="1012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140422"/>
            </a:solidFill>
          </a:endParaRPr>
        </a:p>
      </xdr:txBody>
    </xdr:sp>
    <xdr:clientData/>
  </xdr:twoCellAnchor>
  <xdr:twoCellAnchor>
    <xdr:from>
      <xdr:col>13</xdr:col>
      <xdr:colOff>8709</xdr:colOff>
      <xdr:row>10</xdr:row>
      <xdr:rowOff>148045</xdr:rowOff>
    </xdr:from>
    <xdr:to>
      <xdr:col>13</xdr:col>
      <xdr:colOff>260169</xdr:colOff>
      <xdr:row>12</xdr:row>
      <xdr:rowOff>33745</xdr:rowOff>
    </xdr:to>
    <xdr:sp macro="" textlink="">
      <xdr:nvSpPr>
        <xdr:cNvPr id="49" name="Rectangle 48">
          <a:extLst>
            <a:ext uri="{FF2B5EF4-FFF2-40B4-BE49-F238E27FC236}">
              <a16:creationId xmlns:a16="http://schemas.microsoft.com/office/drawing/2014/main" id="{00000000-0008-0000-0400-000031000000}"/>
            </a:ext>
          </a:extLst>
        </xdr:cNvPr>
        <xdr:cNvSpPr/>
      </xdr:nvSpPr>
      <xdr:spPr>
        <a:xfrm>
          <a:off x="7933509" y="1976845"/>
          <a:ext cx="251460" cy="251460"/>
        </a:xfrm>
        <a:prstGeom prst="rect">
          <a:avLst/>
        </a:prstGeom>
        <a:solidFill>
          <a:srgbClr val="140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bg1">
                <a:lumMod val="85000"/>
              </a:schemeClr>
            </a:solidFill>
          </a:endParaRPr>
        </a:p>
      </xdr:txBody>
    </xdr:sp>
    <xdr:clientData/>
  </xdr:twoCellAnchor>
  <xdr:twoCellAnchor>
    <xdr:from>
      <xdr:col>17</xdr:col>
      <xdr:colOff>0</xdr:colOff>
      <xdr:row>8</xdr:row>
      <xdr:rowOff>0</xdr:rowOff>
    </xdr:from>
    <xdr:to>
      <xdr:col>18</xdr:col>
      <xdr:colOff>495600</xdr:colOff>
      <xdr:row>10</xdr:row>
      <xdr:rowOff>115789</xdr:rowOff>
    </xdr:to>
    <xdr:grpSp>
      <xdr:nvGrpSpPr>
        <xdr:cNvPr id="27" name="Group 26">
          <a:extLst>
            <a:ext uri="{FF2B5EF4-FFF2-40B4-BE49-F238E27FC236}">
              <a16:creationId xmlns:a16="http://schemas.microsoft.com/office/drawing/2014/main" id="{00000000-0008-0000-0400-00001B000000}"/>
            </a:ext>
          </a:extLst>
        </xdr:cNvPr>
        <xdr:cNvGrpSpPr/>
      </xdr:nvGrpSpPr>
      <xdr:grpSpPr>
        <a:xfrm>
          <a:off x="10363200" y="1524000"/>
          <a:ext cx="1105200" cy="496789"/>
          <a:chOff x="8678880" y="9433149"/>
          <a:chExt cx="1105200" cy="481549"/>
        </a:xfrm>
      </xdr:grpSpPr>
      <xdr:sp macro="" textlink="">
        <xdr:nvSpPr>
          <xdr:cNvPr id="28" name="Rectangle 27">
            <a:extLst>
              <a:ext uri="{FF2B5EF4-FFF2-40B4-BE49-F238E27FC236}">
                <a16:creationId xmlns:a16="http://schemas.microsoft.com/office/drawing/2014/main" id="{00000000-0008-0000-0400-00001C000000}"/>
              </a:ext>
            </a:extLst>
          </xdr:cNvPr>
          <xdr:cNvSpPr/>
        </xdr:nvSpPr>
        <xdr:spPr>
          <a:xfrm>
            <a:off x="8678880" y="9662159"/>
            <a:ext cx="1105200" cy="252539"/>
          </a:xfrm>
          <a:prstGeom prst="rect">
            <a:avLst/>
          </a:prstGeom>
          <a:solidFill>
            <a:srgbClr val="10123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9" name="Oval 28">
            <a:extLst>
              <a:ext uri="{FF2B5EF4-FFF2-40B4-BE49-F238E27FC236}">
                <a16:creationId xmlns:a16="http://schemas.microsoft.com/office/drawing/2014/main" id="{00000000-0008-0000-0400-00001D000000}"/>
              </a:ext>
            </a:extLst>
          </xdr:cNvPr>
          <xdr:cNvSpPr/>
        </xdr:nvSpPr>
        <xdr:spPr>
          <a:xfrm>
            <a:off x="8679179" y="9433149"/>
            <a:ext cx="1104901" cy="465221"/>
          </a:xfrm>
          <a:prstGeom prst="ellipse">
            <a:avLst/>
          </a:prstGeom>
          <a:gradFill flip="none" rotWithShape="1">
            <a:gsLst>
              <a:gs pos="40000">
                <a:srgbClr val="050F2A"/>
              </a:gs>
              <a:gs pos="62000">
                <a:srgbClr val="021F52"/>
              </a:gs>
            </a:gsLst>
            <a:path path="shape">
              <a:fillToRect l="50000" t="50000" r="50000" b="50000"/>
            </a:path>
            <a:tileRect/>
          </a:gradFill>
          <a:ln w="19050">
            <a:solidFill>
              <a:srgbClr val="1A4C8B">
                <a:alpha val="97000"/>
              </a:srgbClr>
            </a:solidFill>
            <a:prstDash val="lgDashDot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0.80894722222" createdVersion="8" refreshedVersion="8" minRefreshableVersion="3" recordCount="4" xr:uid="{FF5748AB-7B56-46CD-B6B5-02AAE53A7DC8}">
  <cacheSource type="worksheet">
    <worksheetSource ref="A1:B5" sheet="Control"/>
  </cacheSource>
  <cacheFields count="2">
    <cacheField name="Density" numFmtId="0">
      <sharedItems count="4">
        <s v="Capacity 1"/>
        <s v="Capacity 2"/>
        <s v="Capacity 3"/>
        <s v="Capacity 4"/>
      </sharedItems>
    </cacheField>
    <cacheField name="Mod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69130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
  </r>
  <r>
    <x v="1"/>
    <n v="2"/>
  </r>
  <r>
    <x v="2"/>
    <n v="3"/>
  </r>
  <r>
    <x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6B760C-CE08-4AFE-AA07-CA24ED7AC303}"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2">
    <pivotField axis="axisRow" showAll="0">
      <items count="5">
        <item h="1" x="0"/>
        <item h="1" x="1"/>
        <item h="1" x="2"/>
        <item x="3"/>
        <item t="default"/>
      </items>
    </pivotField>
    <pivotField dataField="1" showAll="0"/>
  </pivotFields>
  <rowFields count="1">
    <field x="0"/>
  </rowFields>
  <rowItems count="2">
    <i>
      <x v="3"/>
    </i>
    <i t="grand">
      <x/>
    </i>
  </rowItems>
  <colItems count="1">
    <i/>
  </colItems>
  <dataFields count="1">
    <dataField name="Max of Mode"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sity" xr10:uid="{2D3173E3-E2D2-42B9-837F-E2D7CBEA27CC}" sourceName="Density">
  <pivotTables>
    <pivotTable tabId="3" name="PivotTable1"/>
  </pivotTables>
  <data>
    <tabular pivotCacheId="69130483">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nsity" xr10:uid="{21AEA24E-80A1-4F53-A405-88A4BC22F59B}" cache="Slicer_Density" caption="Density" columnCount="4" showCaption="0" style="SlicerStyleLight1 2 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47:E48"/>
  <sheetViews>
    <sheetView showRowColHeaders="0" tabSelected="1" zoomScale="90" zoomScaleNormal="90" workbookViewId="0"/>
  </sheetViews>
  <sheetFormatPr defaultColWidth="8.85546875" defaultRowHeight="15" x14ac:dyDescent="0.25"/>
  <cols>
    <col min="1" max="16384" width="8.85546875" style="5"/>
  </cols>
  <sheetData>
    <row r="47" spans="1:5" x14ac:dyDescent="0.25">
      <c r="A47" s="22"/>
      <c r="B47" s="23"/>
      <c r="C47" s="23"/>
      <c r="D47" s="23"/>
      <c r="E47" s="23"/>
    </row>
    <row r="48" spans="1:5" x14ac:dyDescent="0.25">
      <c r="A48" s="23"/>
      <c r="B48" s="23"/>
      <c r="C48" s="23"/>
      <c r="D48" s="23"/>
      <c r="E48" s="23"/>
    </row>
  </sheetData>
  <mergeCells count="1">
    <mergeCell ref="A47:E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pinner 1">
              <controlPr defaultSize="0" autoPict="0">
                <anchor moveWithCells="1" sizeWithCells="1">
                  <from>
                    <xdr:col>14</xdr:col>
                    <xdr:colOff>161925</xdr:colOff>
                    <xdr:row>29</xdr:row>
                    <xdr:rowOff>171450</xdr:rowOff>
                  </from>
                  <to>
                    <xdr:col>14</xdr:col>
                    <xdr:colOff>590550</xdr:colOff>
                    <xdr:row>32</xdr:row>
                    <xdr:rowOff>104775</xdr:rowOff>
                  </to>
                </anchor>
              </controlPr>
            </control>
          </mc:Choice>
        </mc:AlternateContent>
        <mc:AlternateContent xmlns:mc="http://schemas.openxmlformats.org/markup-compatibility/2006">
          <mc:Choice Requires="x14">
            <control shapeId="8" r:id="rId4" name="Check Box 2">
              <controlPr defaultSize="0" autoFill="0" autoLine="0" autoPict="0">
                <anchor moveWithCells="1">
                  <from>
                    <xdr:col>15</xdr:col>
                    <xdr:colOff>561975</xdr:colOff>
                    <xdr:row>24</xdr:row>
                    <xdr:rowOff>95250</xdr:rowOff>
                  </from>
                  <to>
                    <xdr:col>17</xdr:col>
                    <xdr:colOff>47625</xdr:colOff>
                    <xdr:row>26</xdr:row>
                    <xdr:rowOff>57150</xdr:rowOff>
                  </to>
                </anchor>
              </controlPr>
            </control>
          </mc:Choice>
        </mc:AlternateContent>
        <mc:AlternateContent xmlns:mc="http://schemas.openxmlformats.org/markup-compatibility/2006">
          <mc:Choice Requires="x14">
            <control shapeId="31" r:id="rId5" name="Check Box 3">
              <controlPr defaultSize="0" autoFill="0" autoLine="0" autoPict="0">
                <anchor moveWithCells="1">
                  <from>
                    <xdr:col>18</xdr:col>
                    <xdr:colOff>476250</xdr:colOff>
                    <xdr:row>28</xdr:row>
                    <xdr:rowOff>142875</xdr:rowOff>
                  </from>
                  <to>
                    <xdr:col>19</xdr:col>
                    <xdr:colOff>504825</xdr:colOff>
                    <xdr:row>30</xdr:row>
                    <xdr:rowOff>0</xdr:rowOff>
                  </to>
                </anchor>
              </controlPr>
            </control>
          </mc:Choice>
        </mc:AlternateContent>
        <mc:AlternateContent xmlns:mc="http://schemas.openxmlformats.org/markup-compatibility/2006">
          <mc:Choice Requires="x14">
            <control shapeId="1108" r:id="rId6" name="Check Box 4">
              <controlPr defaultSize="0" autoFill="0" autoLine="0" autoPict="0">
                <anchor moveWithCells="1">
                  <from>
                    <xdr:col>20</xdr:col>
                    <xdr:colOff>123825</xdr:colOff>
                    <xdr:row>28</xdr:row>
                    <xdr:rowOff>142875</xdr:rowOff>
                  </from>
                  <to>
                    <xdr:col>21</xdr:col>
                    <xdr:colOff>247650</xdr:colOff>
                    <xdr:row>30</xdr:row>
                    <xdr:rowOff>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AW410"/>
  <sheetViews>
    <sheetView zoomScaleNormal="100" workbookViewId="0"/>
  </sheetViews>
  <sheetFormatPr defaultRowHeight="15" x14ac:dyDescent="0.25"/>
  <cols>
    <col min="2" max="2" width="10.85546875" style="2" bestFit="1" customWidth="1"/>
    <col min="3" max="3" width="9.5703125" bestFit="1" customWidth="1"/>
    <col min="4" max="4" width="9.5703125" style="2" bestFit="1" customWidth="1"/>
    <col min="5" max="6" width="10.5703125" bestFit="1" customWidth="1"/>
    <col min="7" max="7" width="9.7109375" style="2" bestFit="1" customWidth="1"/>
    <col min="12" max="12" width="8.85546875" style="2"/>
    <col min="17" max="17" width="9.5703125" customWidth="1"/>
  </cols>
  <sheetData>
    <row r="1" spans="1:36" ht="15" customHeight="1" x14ac:dyDescent="0.25">
      <c r="A1" s="6" t="s">
        <v>7</v>
      </c>
      <c r="B1" s="6" t="s">
        <v>12</v>
      </c>
      <c r="C1" s="8" t="s">
        <v>14</v>
      </c>
      <c r="D1" s="8" t="s">
        <v>15</v>
      </c>
      <c r="E1" s="8" t="s">
        <v>17</v>
      </c>
      <c r="F1" s="8" t="s">
        <v>18</v>
      </c>
      <c r="G1" s="8" t="s">
        <v>19</v>
      </c>
      <c r="H1" s="7" t="s">
        <v>13</v>
      </c>
      <c r="I1" s="8" t="s">
        <v>31</v>
      </c>
      <c r="J1" s="2" t="str">
        <f>IF(K3,I1,"")</f>
        <v>█</v>
      </c>
      <c r="K1" s="8" t="s">
        <v>22</v>
      </c>
      <c r="L1" s="2" t="s">
        <v>20</v>
      </c>
      <c r="M1" s="2" t="s">
        <v>21</v>
      </c>
      <c r="Q1" s="8" t="s">
        <v>52</v>
      </c>
    </row>
    <row r="2" spans="1:36" ht="15" customHeight="1" x14ac:dyDescent="0.25">
      <c r="A2" s="2">
        <v>25902</v>
      </c>
      <c r="B2" s="2">
        <f>GETPIVOTDATA("Mode",Control!$A$10)</f>
        <v>4</v>
      </c>
      <c r="C2" s="2">
        <f>IF(MOD($A$2,30)=0,30,MOD($A$2,30))</f>
        <v>12</v>
      </c>
      <c r="D2" s="2">
        <f>MOD($A$2,30)</f>
        <v>12</v>
      </c>
      <c r="E2" s="2">
        <f>MOD($A$2,148)</f>
        <v>2</v>
      </c>
      <c r="F2" s="2">
        <f>MOD($A$2-30,148)</f>
        <v>120</v>
      </c>
      <c r="G2" s="2">
        <f>MOD($A$2,60)</f>
        <v>42</v>
      </c>
      <c r="H2" t="s">
        <v>33</v>
      </c>
      <c r="I2" t="s">
        <v>32</v>
      </c>
      <c r="J2" s="2" t="str">
        <f>IF(K3,"",I1)</f>
        <v/>
      </c>
      <c r="K2" s="2">
        <f>K3+1</f>
        <v>2</v>
      </c>
      <c r="L2" s="2">
        <f>IF(MOD($A$2,44)=0,44,MOD($A$2,44))</f>
        <v>30</v>
      </c>
      <c r="M2" s="2">
        <f>MOD($A$2,88)</f>
        <v>30</v>
      </c>
      <c r="Q2" s="2">
        <f>C2</f>
        <v>12</v>
      </c>
    </row>
    <row r="3" spans="1:36" x14ac:dyDescent="0.25">
      <c r="B3" s="6" t="s">
        <v>8</v>
      </c>
      <c r="C3" s="2">
        <f>MOD($A$2,30)</f>
        <v>12</v>
      </c>
      <c r="D3" t="s">
        <v>82</v>
      </c>
      <c r="F3" s="2">
        <f>MOD($A$2-117,120)+1</f>
        <v>106</v>
      </c>
      <c r="G3" s="2">
        <f>MOD($A$2,180)+1</f>
        <v>163</v>
      </c>
      <c r="J3" t="str">
        <f>IF(K3,H1,"")</f>
        <v>⬛</v>
      </c>
      <c r="K3" t="b">
        <v>1</v>
      </c>
      <c r="L3" s="6" t="s">
        <v>9</v>
      </c>
      <c r="M3" s="6" t="s">
        <v>10</v>
      </c>
      <c r="N3" s="6" t="s">
        <v>11</v>
      </c>
      <c r="O3" s="6" t="s">
        <v>16</v>
      </c>
      <c r="P3" s="9" t="s">
        <v>61</v>
      </c>
      <c r="Q3" s="9"/>
      <c r="R3" s="6" t="s">
        <v>51</v>
      </c>
      <c r="S3" s="6" t="s">
        <v>34</v>
      </c>
      <c r="T3" s="13" t="s">
        <v>83</v>
      </c>
    </row>
    <row r="4" spans="1:36" x14ac:dyDescent="0.25">
      <c r="B4" s="2" t="str" cm="1">
        <f t="array" ref="B4">IF(OR(A4,$K$2=2),CHOOSE($K$2,INDEX($C$11:$F$40,A4,$B$2),INDEX($L$4:$O$47,K4,$B$2)),"")</f>
        <v>⬛</v>
      </c>
      <c r="C4" s="2">
        <f>MOD($A$2,44)</f>
        <v>30</v>
      </c>
      <c r="D4" t="s">
        <v>81</v>
      </c>
      <c r="J4" t="str">
        <f>IF(K3,"","I")</f>
        <v/>
      </c>
      <c r="K4">
        <v>1</v>
      </c>
      <c r="L4" s="2" t="str">
        <f t="shared" ref="L4:L47" si="0">IF(K4=$L$2,$H$1,"")</f>
        <v/>
      </c>
      <c r="M4" s="2" t="str">
        <f t="shared" ref="M4:M47" si="1">IF(AND(K4&lt;=$M$2,(K4+44)&gt;$M$2),$H$1,"")</f>
        <v>⬛</v>
      </c>
      <c r="N4" s="2" t="str">
        <f>IF(MOD($D$2,5)=MOD(K4-ROW($A$1),5),$H$1,"")</f>
        <v/>
      </c>
      <c r="O4" s="2" t="str">
        <f>IF(ISEVEN($A$2),$H$1,"")</f>
        <v>⬛</v>
      </c>
      <c r="P4" s="18" cm="1">
        <f t="array" ref="P4">INDEX(Data!$I$3:$I$182,INT(MOD($G$3,180)/($A$40))*$A$40+A11)</f>
        <v>0.17499999999999999</v>
      </c>
      <c r="Q4" s="18" cm="1">
        <f t="array" ref="Q4">INDEX($P$4:$P$33,Q2)</f>
        <v>0.80500000000000005</v>
      </c>
      <c r="R4">
        <v>1</v>
      </c>
      <c r="S4">
        <v>300</v>
      </c>
      <c r="T4" s="14">
        <f>IF($F$3=120,300,0)</f>
        <v>0</v>
      </c>
      <c r="U4" s="14">
        <v>300</v>
      </c>
      <c r="V4" s="14"/>
      <c r="W4" s="14"/>
      <c r="X4" s="14"/>
      <c r="Y4" s="14"/>
      <c r="Z4" s="14"/>
      <c r="AA4" s="14"/>
      <c r="AB4" s="14"/>
      <c r="AC4" s="14"/>
      <c r="AD4" s="14"/>
      <c r="AE4" s="14"/>
      <c r="AF4" s="14"/>
      <c r="AG4" s="14"/>
      <c r="AH4" s="14"/>
      <c r="AI4" s="14"/>
      <c r="AJ4" s="15">
        <v>40</v>
      </c>
    </row>
    <row r="5" spans="1:36" x14ac:dyDescent="0.25">
      <c r="B5" s="2" t="str" cm="1">
        <f t="array" ref="B5">IF(OR(A5,$K$2=2),CHOOSE($K$2,INDEX($C$11:$F$40,A5,$B$2),INDEX($L$4:$O$47,K5,$B$2)),"")</f>
        <v/>
      </c>
      <c r="J5" t="str">
        <f>IF(K3,"",H1)</f>
        <v/>
      </c>
      <c r="K5">
        <v>2</v>
      </c>
      <c r="L5" s="2" t="str">
        <f t="shared" si="0"/>
        <v/>
      </c>
      <c r="M5" s="2" t="str">
        <f t="shared" si="1"/>
        <v>⬛</v>
      </c>
      <c r="N5" s="2" t="str">
        <f t="shared" ref="N5:N47" si="2">IF(MOD($D$2,5)=MOD(K5-ROW($A$1),5),$H$1,"")</f>
        <v/>
      </c>
      <c r="O5" s="2" t="str">
        <f>IF(ISODD($A$2),$H$1,"")</f>
        <v/>
      </c>
      <c r="P5" s="18" cm="1">
        <f t="array" ref="P5">INDEX(Data!$I$3:$I$182,INT(MOD($G$3,180)/($A$40))*$A$40+A12)</f>
        <v>0.21899999999999997</v>
      </c>
      <c r="R5">
        <v>1</v>
      </c>
      <c r="S5">
        <v>40</v>
      </c>
      <c r="T5" s="15">
        <f>IF($F$3=120,40,0)</f>
        <v>0</v>
      </c>
      <c r="U5" s="14">
        <v>40</v>
      </c>
      <c r="V5" s="14"/>
      <c r="W5" s="14"/>
      <c r="X5" s="14"/>
      <c r="Y5" s="14"/>
      <c r="Z5" s="14"/>
      <c r="AA5" s="14"/>
      <c r="AB5" s="14"/>
      <c r="AC5" s="14"/>
      <c r="AD5" s="14"/>
      <c r="AE5" s="14"/>
      <c r="AF5" s="14"/>
      <c r="AG5" s="14"/>
      <c r="AH5" s="14"/>
      <c r="AI5" s="14"/>
      <c r="AJ5" s="15">
        <v>45</v>
      </c>
    </row>
    <row r="6" spans="1:36" x14ac:dyDescent="0.25">
      <c r="B6" s="2" t="str" cm="1">
        <f t="array" ref="B6">IF(OR(A6,$K$2=2),CHOOSE($K$2,INDEX($C$11:$F$40,A6,$B$2),INDEX($L$4:$O$47,K6,$B$2)),"")</f>
        <v>⬛</v>
      </c>
      <c r="K6">
        <v>3</v>
      </c>
      <c r="L6" s="2" t="str">
        <f t="shared" si="0"/>
        <v/>
      </c>
      <c r="M6" s="2" t="str">
        <f t="shared" si="1"/>
        <v>⬛</v>
      </c>
      <c r="N6" s="2" t="str">
        <f t="shared" si="2"/>
        <v>⬛</v>
      </c>
      <c r="O6" s="2" t="str">
        <f t="shared" ref="O6" si="3">IF(ISEVEN($A$2),$H$1,"")</f>
        <v>⬛</v>
      </c>
      <c r="P6" s="18" cm="1">
        <f t="array" ref="P6">INDEX(Data!$I$3:$I$182,INT(MOD($G$3,180)/($A$40))*$A$40+A13)</f>
        <v>0.28499999999999998</v>
      </c>
      <c r="R6">
        <v>1</v>
      </c>
      <c r="S6">
        <v>45</v>
      </c>
      <c r="T6" s="14">
        <f ca="1">SUM(OFFSET($AI$18,$F$3,0,2,1))-T5</f>
        <v>0</v>
      </c>
      <c r="U6" s="14">
        <v>45</v>
      </c>
      <c r="V6" s="14"/>
      <c r="W6" s="14"/>
      <c r="X6" s="14"/>
      <c r="Y6" s="14"/>
      <c r="Z6" s="14"/>
      <c r="AA6" s="14"/>
      <c r="AB6" s="14"/>
      <c r="AC6" s="14"/>
      <c r="AD6" s="14"/>
      <c r="AE6" s="14"/>
      <c r="AF6" s="14"/>
      <c r="AG6" s="14"/>
      <c r="AH6" s="14"/>
      <c r="AI6" s="14"/>
      <c r="AJ6" s="15">
        <v>50</v>
      </c>
    </row>
    <row r="7" spans="1:36" x14ac:dyDescent="0.25">
      <c r="B7" s="2" t="str" cm="1">
        <f t="array" ref="B7">IF(OR(A7,$K$2=2),CHOOSE($K$2,INDEX($C$11:$F$40,A7,$B$2),INDEX($L$4:$O$47,K7,$B$2)),"")</f>
        <v/>
      </c>
      <c r="K7">
        <v>4</v>
      </c>
      <c r="L7" s="2" t="str">
        <f t="shared" si="0"/>
        <v/>
      </c>
      <c r="M7" s="2" t="str">
        <f t="shared" si="1"/>
        <v>⬛</v>
      </c>
      <c r="N7" s="2" t="str">
        <f t="shared" si="2"/>
        <v/>
      </c>
      <c r="O7" s="2" t="str">
        <f t="shared" ref="O7" si="4">IF(ISODD($A$2),$H$1,"")</f>
        <v/>
      </c>
      <c r="P7" s="18" cm="1">
        <f t="array" ref="P7">INDEX(Data!$I$3:$I$182,INT(MOD($G$3,180)/($A$40))*$A$40+A14)</f>
        <v>0.375</v>
      </c>
      <c r="Q7">
        <f>INT(MOD($G$3,180)/($A$40))*$A$40+A11</f>
        <v>151</v>
      </c>
      <c r="R7">
        <v>1</v>
      </c>
      <c r="S7">
        <v>50</v>
      </c>
      <c r="T7" s="15" cm="1">
        <f t="array" ref="T7">INDEX($AW$4:$AW$123,$F$3)</f>
        <v>0</v>
      </c>
      <c r="U7" s="14">
        <v>50</v>
      </c>
      <c r="V7" s="14"/>
      <c r="W7" s="14"/>
      <c r="X7" s="14"/>
      <c r="Y7" s="14"/>
      <c r="Z7" s="14"/>
      <c r="AA7" s="14"/>
      <c r="AB7" s="14"/>
      <c r="AC7" s="14"/>
      <c r="AD7" s="14"/>
      <c r="AE7" s="14"/>
      <c r="AF7" s="14"/>
      <c r="AG7" s="14"/>
      <c r="AH7" s="14"/>
      <c r="AI7" s="14"/>
      <c r="AJ7" s="15">
        <v>55</v>
      </c>
    </row>
    <row r="8" spans="1:36" x14ac:dyDescent="0.25">
      <c r="B8" s="2" t="str" cm="1">
        <f t="array" ref="B8">IF(OR(A8,$K$2=2),CHOOSE($K$2,INDEX($C$11:$F$40,A8,$B$2),INDEX($L$4:$O$47,K8,$B$2)),"")</f>
        <v>⬛</v>
      </c>
      <c r="H8" t="s">
        <v>80</v>
      </c>
      <c r="K8">
        <v>5</v>
      </c>
      <c r="L8" s="2" t="str">
        <f t="shared" si="0"/>
        <v/>
      </c>
      <c r="M8" s="2" t="str">
        <f t="shared" si="1"/>
        <v>⬛</v>
      </c>
      <c r="N8" s="2" t="str">
        <f t="shared" si="2"/>
        <v/>
      </c>
      <c r="O8" s="2" t="str">
        <f t="shared" ref="O8" si="5">IF(ISEVEN($A$2),$H$1,"")</f>
        <v>⬛</v>
      </c>
      <c r="P8" s="18" cm="1">
        <f t="array" ref="P8">INDEX(Data!$I$3:$I$182,INT(MOD($G$3,180)/($A$40))*$A$40+A15)</f>
        <v>0.48899999999999999</v>
      </c>
      <c r="R8">
        <v>1</v>
      </c>
      <c r="S8">
        <v>55</v>
      </c>
      <c r="T8" s="14">
        <f ca="1">SUM(OFFSET($AH$17,$F$3,0,3,1))-T7</f>
        <v>0</v>
      </c>
      <c r="U8" s="14">
        <v>55</v>
      </c>
      <c r="V8" s="14"/>
      <c r="W8" s="14"/>
      <c r="X8" s="14"/>
      <c r="Y8" s="14"/>
      <c r="Z8" s="14"/>
      <c r="AA8" s="14"/>
      <c r="AB8" s="14"/>
      <c r="AC8" s="14"/>
      <c r="AD8" s="14"/>
      <c r="AE8" s="14"/>
      <c r="AF8" s="14"/>
      <c r="AG8" s="14"/>
      <c r="AH8" s="14"/>
      <c r="AI8" s="14"/>
      <c r="AJ8" s="15">
        <v>60</v>
      </c>
    </row>
    <row r="9" spans="1:36" x14ac:dyDescent="0.25">
      <c r="B9" s="2" t="str" cm="1">
        <f t="array" ref="B9">IF(OR(A9,$K$2=2),CHOOSE($K$2,INDEX($C$11:$F$40,A9,$B$2),INDEX($L$4:$O$47,K9,$B$2)),"")</f>
        <v/>
      </c>
      <c r="H9" t="s">
        <v>24</v>
      </c>
      <c r="J9" s="2">
        <f>CHOOSE($K$2,IF(C3&gt;28,15,14),IF((C4-7)&gt;28,15,14))</f>
        <v>14</v>
      </c>
      <c r="K9">
        <v>6</v>
      </c>
      <c r="L9" s="2" t="str">
        <f t="shared" si="0"/>
        <v/>
      </c>
      <c r="M9" s="2" t="str">
        <f t="shared" si="1"/>
        <v>⬛</v>
      </c>
      <c r="N9" s="2" t="str">
        <f t="shared" si="2"/>
        <v/>
      </c>
      <c r="O9" s="2" t="str">
        <f t="shared" ref="O9" si="6">IF(ISODD($A$2),$H$1,"")</f>
        <v/>
      </c>
      <c r="P9" s="18" cm="1">
        <f t="array" ref="P9">INDEX(Data!$I$3:$I$182,INT(MOD($G$3,180)/($A$40))*$A$40+A16)</f>
        <v>0.61499999999999999</v>
      </c>
      <c r="R9">
        <v>1</v>
      </c>
      <c r="S9">
        <v>60</v>
      </c>
      <c r="T9" s="15" cm="1">
        <f t="array" ref="T9">INDEX($AV$4:$AV$123,$F$3)</f>
        <v>0</v>
      </c>
      <c r="U9" s="14">
        <v>60</v>
      </c>
      <c r="V9" s="14"/>
      <c r="W9" s="14"/>
      <c r="X9" s="14"/>
      <c r="Y9" s="14"/>
      <c r="Z9" s="14"/>
      <c r="AA9" s="14"/>
      <c r="AB9" s="14"/>
      <c r="AC9" s="14"/>
      <c r="AD9" s="14"/>
      <c r="AE9" s="14"/>
      <c r="AF9" s="14"/>
      <c r="AG9" s="14"/>
      <c r="AH9" s="14"/>
      <c r="AI9" s="14"/>
      <c r="AJ9" s="15">
        <v>65</v>
      </c>
    </row>
    <row r="10" spans="1:36" x14ac:dyDescent="0.25">
      <c r="B10" s="2" t="str" cm="1">
        <f t="array" ref="B10">IF(OR(A10,$K$2=2),CHOOSE($K$2,INDEX($C$11:$F$40,A10,$B$2),INDEX($L$4:$O$47,K10,$B$2)),"")</f>
        <v>⬛</v>
      </c>
      <c r="C10" s="6" t="s">
        <v>9</v>
      </c>
      <c r="D10" s="6" t="s">
        <v>10</v>
      </c>
      <c r="E10" s="6" t="s">
        <v>11</v>
      </c>
      <c r="F10" s="6" t="s">
        <v>16</v>
      </c>
      <c r="G10" s="8" t="s">
        <v>23</v>
      </c>
      <c r="H10" s="8">
        <f>CHOOSE($K$2,(D40=H1)+1,(B47=H1)+1)</f>
        <v>1</v>
      </c>
      <c r="I10" s="2"/>
      <c r="K10">
        <v>7</v>
      </c>
      <c r="L10" s="2" t="str">
        <f t="shared" si="0"/>
        <v/>
      </c>
      <c r="M10" s="2" t="str">
        <f t="shared" si="1"/>
        <v>⬛</v>
      </c>
      <c r="N10" s="2" t="str">
        <f t="shared" si="2"/>
        <v/>
      </c>
      <c r="O10" s="2" t="str">
        <f t="shared" ref="O10" si="7">IF(ISEVEN($A$2),$H$1,"")</f>
        <v>⬛</v>
      </c>
      <c r="P10" s="18" cm="1">
        <f t="array" ref="P10">INDEX(Data!$I$3:$I$182,INT(MOD($G$3,180)/($A$40))*$A$40+A17)</f>
        <v>0.7</v>
      </c>
      <c r="R10">
        <v>1</v>
      </c>
      <c r="S10">
        <v>65</v>
      </c>
      <c r="T10" s="14">
        <f ca="1">SUM(OFFSET($AG$16,$F$3,0,4,1))-T9</f>
        <v>0</v>
      </c>
      <c r="U10" s="14">
        <v>65</v>
      </c>
      <c r="V10" s="14"/>
      <c r="W10" s="14"/>
      <c r="X10" s="14"/>
      <c r="Y10" s="14"/>
      <c r="Z10" s="14"/>
      <c r="AA10" s="14"/>
      <c r="AB10" s="14"/>
      <c r="AC10" s="14"/>
      <c r="AD10" s="14"/>
      <c r="AE10" s="14"/>
      <c r="AF10" s="14"/>
      <c r="AG10" s="14"/>
      <c r="AH10" s="14"/>
      <c r="AI10" s="14"/>
      <c r="AJ10" s="15">
        <v>70</v>
      </c>
    </row>
    <row r="11" spans="1:36" x14ac:dyDescent="0.25">
      <c r="A11">
        <v>1</v>
      </c>
      <c r="B11" s="2" t="str" cm="1">
        <f t="array" ref="B11">IF(OR(A11,$K$2=2),CHOOSE($K$2,INDEX($C$11:$F$40,A11,$B$2),INDEX($L$4:$O$47,K11,$B$2)),"")</f>
        <v/>
      </c>
      <c r="C11" s="2" t="str">
        <f>IF(A11=$C$2,$H$1,"")</f>
        <v/>
      </c>
      <c r="D11" s="2" t="str">
        <f t="shared" ref="D11:D40" si="8">IF(AND(A11&lt;=$G$2,(A11+30)&gt;$G$2),$H$1,"")</f>
        <v/>
      </c>
      <c r="E11" s="2" t="str">
        <f t="shared" ref="E11:E40" si="9">IF(MOD($D$2,5)=MOD(A11-ROW($A$1),5),$H$1,"")</f>
        <v/>
      </c>
      <c r="F11" s="2" t="str">
        <f>IF(ISEVEN($A$2),$H$1,"")</f>
        <v>⬛</v>
      </c>
      <c r="G11" s="2">
        <v>1</v>
      </c>
      <c r="H11" s="2" cm="1">
        <f t="array" ref="H11">INDEX($I$11:$J$16,A11,$H$10)</f>
        <v>7</v>
      </c>
      <c r="I11" s="2">
        <f>30-SUM(I12:I15)</f>
        <v>7</v>
      </c>
      <c r="J11" s="2">
        <v>0</v>
      </c>
      <c r="K11">
        <v>8</v>
      </c>
      <c r="L11" s="2" t="str">
        <f t="shared" si="0"/>
        <v/>
      </c>
      <c r="M11" s="2" t="str">
        <f t="shared" si="1"/>
        <v>⬛</v>
      </c>
      <c r="N11" s="2" t="str">
        <f t="shared" si="2"/>
        <v>⬛</v>
      </c>
      <c r="O11" s="2" t="str">
        <f t="shared" ref="O11" si="10">IF(ISODD($A$2),$H$1,"")</f>
        <v/>
      </c>
      <c r="P11" s="18" cm="1">
        <f t="array" ref="P11">INDEX(Data!$I$3:$I$182,INT(MOD($G$3,180)/($A$40))*$A$40+A18)</f>
        <v>0.75700000000000001</v>
      </c>
      <c r="R11">
        <v>1</v>
      </c>
      <c r="S11">
        <v>70</v>
      </c>
      <c r="T11" s="15" cm="1">
        <f t="array" ref="T11">INDEX($AU$4:$AU$123,$F$3)</f>
        <v>0</v>
      </c>
      <c r="U11" s="14">
        <v>70</v>
      </c>
      <c r="V11" s="14"/>
      <c r="W11" s="14"/>
      <c r="X11" s="14"/>
      <c r="Y11" s="14"/>
      <c r="Z11" s="14"/>
      <c r="AA11" s="14"/>
      <c r="AB11" s="14"/>
      <c r="AC11" s="14"/>
      <c r="AD11" s="14"/>
      <c r="AE11" s="14"/>
      <c r="AF11" s="14"/>
      <c r="AG11" s="14"/>
      <c r="AH11" s="14"/>
      <c r="AI11" s="14"/>
      <c r="AJ11" s="15">
        <v>75</v>
      </c>
    </row>
    <row r="12" spans="1:36" x14ac:dyDescent="0.25">
      <c r="A12">
        <v>2</v>
      </c>
      <c r="B12" s="2" t="str" cm="1">
        <f t="array" ref="B12">IF(OR(A12,$K$2=2),CHOOSE($K$2,INDEX($C$11:$F$40,A12,$B$2),INDEX($L$4:$O$47,K12,$B$2)),"")</f>
        <v>⬛</v>
      </c>
      <c r="C12" s="2" t="str">
        <f t="shared" ref="C12:C40" si="11">IF(A12=$C$2,$H$1,"")</f>
        <v/>
      </c>
      <c r="D12" s="2" t="str">
        <f t="shared" si="8"/>
        <v/>
      </c>
      <c r="E12" s="2" t="str">
        <f t="shared" si="9"/>
        <v/>
      </c>
      <c r="F12" s="2" t="str">
        <f>IF(ISODD($A$2),$H$1,"")</f>
        <v/>
      </c>
      <c r="G12" s="2">
        <v>1</v>
      </c>
      <c r="H12" s="2" cm="1">
        <f t="array" ref="H12">INDEX($I$11:$J$16,A12,$H$10)</f>
        <v>1</v>
      </c>
      <c r="I12" s="2">
        <f>CHOOSE($K$2,(C3&gt;=15)*1,IF(C4&lt;8,0,AND(C4&gt;=15+7,C4&lt;38)*1))</f>
        <v>1</v>
      </c>
      <c r="J12" s="2">
        <f>CHOOSE($K$2,1,0)</f>
        <v>0</v>
      </c>
      <c r="K12">
        <v>9</v>
      </c>
      <c r="L12" s="2" t="str">
        <f t="shared" si="0"/>
        <v/>
      </c>
      <c r="M12" s="2" t="str">
        <f t="shared" si="1"/>
        <v>⬛</v>
      </c>
      <c r="N12" s="2" t="str">
        <f t="shared" si="2"/>
        <v/>
      </c>
      <c r="O12" s="2" t="str">
        <f t="shared" ref="O12" si="12">IF(ISEVEN($A$2),$H$1,"")</f>
        <v>⬛</v>
      </c>
      <c r="P12" s="18" cm="1">
        <f t="array" ref="P12">INDEX(Data!$I$3:$I$182,INT(MOD($G$3,180)/($A$40))*$A$40+A19)</f>
        <v>0.79099999999999993</v>
      </c>
      <c r="R12">
        <v>1</v>
      </c>
      <c r="S12">
        <v>75</v>
      </c>
      <c r="T12" s="14">
        <f ca="1">SUM(OFFSET($AF$15,$F$3,0,5,1))-T11</f>
        <v>300</v>
      </c>
      <c r="U12" s="14">
        <v>75</v>
      </c>
      <c r="V12" s="14"/>
      <c r="W12" s="14"/>
      <c r="X12" s="14"/>
      <c r="Y12" s="14"/>
      <c r="Z12" s="14"/>
      <c r="AA12" s="14"/>
      <c r="AB12" s="14"/>
      <c r="AC12" s="14"/>
      <c r="AD12" s="14"/>
      <c r="AE12" s="14"/>
      <c r="AF12" s="14"/>
      <c r="AG12" s="14"/>
      <c r="AH12" s="14"/>
      <c r="AI12" s="14"/>
      <c r="AJ12" s="15">
        <v>80</v>
      </c>
    </row>
    <row r="13" spans="1:36" x14ac:dyDescent="0.25">
      <c r="A13">
        <v>3</v>
      </c>
      <c r="B13" s="2" t="str" cm="1">
        <f t="array" ref="B13">IF(OR(A13,$K$2=2),CHOOSE($K$2,INDEX($C$11:$F$40,A13,$B$2),INDEX($L$4:$O$47,K13,$B$2)),"")</f>
        <v/>
      </c>
      <c r="C13" s="2" t="str">
        <f t="shared" si="11"/>
        <v/>
      </c>
      <c r="D13" s="2" t="str">
        <f t="shared" si="8"/>
        <v/>
      </c>
      <c r="E13" s="2" t="str">
        <f t="shared" si="9"/>
        <v>⬛</v>
      </c>
      <c r="F13" s="2" t="str">
        <f t="shared" ref="F13" si="13">IF(ISEVEN($A$2),$H$1,"")</f>
        <v>⬛</v>
      </c>
      <c r="G13" s="2">
        <v>1</v>
      </c>
      <c r="H13" s="2" cm="1">
        <f t="array" ref="H13">INDEX($I$11:$J$16,A13,$H$10)</f>
        <v>0</v>
      </c>
      <c r="I13" s="2">
        <f>CHOOSE($K$2,AND(C3&lt;=14,C3&gt;0)*1,IF(C4&lt;8,0,(C4&lt;=14+7)*1))</f>
        <v>0</v>
      </c>
      <c r="J13" s="2">
        <v>0</v>
      </c>
      <c r="K13">
        <v>10</v>
      </c>
      <c r="L13" s="2" t="str">
        <f t="shared" si="0"/>
        <v/>
      </c>
      <c r="M13" s="2" t="str">
        <f t="shared" si="1"/>
        <v>⬛</v>
      </c>
      <c r="N13" s="2" t="str">
        <f t="shared" si="2"/>
        <v/>
      </c>
      <c r="O13" s="2" t="str">
        <f t="shared" ref="O13" si="14">IF(ISODD($A$2),$H$1,"")</f>
        <v/>
      </c>
      <c r="P13" s="18" cm="1">
        <f t="array" ref="P13">INDEX(Data!$I$3:$I$182,INT(MOD($G$3,180)/($A$40))*$A$40+A20)</f>
        <v>0.80799999999999994</v>
      </c>
      <c r="R13">
        <v>1</v>
      </c>
      <c r="S13">
        <v>80</v>
      </c>
      <c r="T13" s="15" cm="1">
        <f t="array" ref="T13">INDEX($AT$4:$AT$123,$F$3)</f>
        <v>40</v>
      </c>
      <c r="U13" s="14">
        <v>80</v>
      </c>
      <c r="V13" s="14"/>
      <c r="W13" s="14"/>
      <c r="X13" s="14"/>
      <c r="Y13" s="14"/>
      <c r="Z13" s="14"/>
      <c r="AA13" s="14"/>
      <c r="AB13" s="14"/>
      <c r="AC13" s="14"/>
      <c r="AD13" s="14"/>
      <c r="AE13" s="14"/>
      <c r="AF13" s="14"/>
      <c r="AG13" s="14"/>
      <c r="AH13" s="14"/>
      <c r="AI13" s="14"/>
      <c r="AJ13" s="15">
        <v>85</v>
      </c>
    </row>
    <row r="14" spans="1:36" x14ac:dyDescent="0.25">
      <c r="A14">
        <v>4</v>
      </c>
      <c r="B14" s="2" t="str" cm="1">
        <f t="array" ref="B14">IF(OR(A14,$K$2=2),CHOOSE($K$2,INDEX($C$11:$F$40,A14,$B$2),INDEX($L$4:$O$47,K14,$B$2)),"")</f>
        <v>⬛</v>
      </c>
      <c r="C14" s="2" t="str">
        <f t="shared" si="11"/>
        <v/>
      </c>
      <c r="D14" s="2" t="str">
        <f t="shared" si="8"/>
        <v/>
      </c>
      <c r="E14" s="2" t="str">
        <f t="shared" si="9"/>
        <v/>
      </c>
      <c r="F14" s="2" t="str">
        <f t="shared" ref="F14" si="15">IF(ISODD($A$2),$H$1,"")</f>
        <v/>
      </c>
      <c r="G14" s="2">
        <v>1</v>
      </c>
      <c r="H14" s="2" cm="1">
        <f t="array" ref="H14">INDEX($I$11:$J$16,A14,$H$10)</f>
        <v>8</v>
      </c>
      <c r="I14" s="2">
        <f>CHOOSE($K$2,IF(I12,C3-15,0),CHOOSE((C4&gt;8)*1+1+(C4&gt;37),0,IF(I12,C4-14-8,0),16))</f>
        <v>8</v>
      </c>
      <c r="J14" s="2">
        <f>CHOOSE($K$2,IF(C3&gt;=J9,29-C3,15),CHOOSE((C4&gt;8)*1+1+(C4&gt;37),16,IF((C4-7)&gt;=15,30-(C4-7),16),),16)</f>
        <v>7</v>
      </c>
      <c r="K14">
        <v>11</v>
      </c>
      <c r="L14" s="2" t="str">
        <f t="shared" si="0"/>
        <v/>
      </c>
      <c r="M14" s="2" t="str">
        <f t="shared" si="1"/>
        <v>⬛</v>
      </c>
      <c r="N14" s="2" t="str">
        <f t="shared" si="2"/>
        <v/>
      </c>
      <c r="O14" s="2" t="str">
        <f t="shared" ref="O14" si="16">IF(ISEVEN($A$2),$H$1,"")</f>
        <v>⬛</v>
      </c>
      <c r="P14" s="18" cm="1">
        <f t="array" ref="P14">INDEX(Data!$I$3:$I$182,INT(MOD($G$3,180)/($A$40))*$A$40+A21)</f>
        <v>0.81200000000000006</v>
      </c>
      <c r="R14">
        <v>1</v>
      </c>
      <c r="S14">
        <v>85</v>
      </c>
      <c r="T14" s="14">
        <f ca="1">SUM(OFFSET($AE$14,$F$3,0,6,1))-T13</f>
        <v>210</v>
      </c>
      <c r="U14" s="14">
        <v>85</v>
      </c>
      <c r="V14" s="14"/>
      <c r="W14" s="14"/>
      <c r="X14" s="14"/>
      <c r="Y14" s="14"/>
      <c r="Z14" s="14"/>
      <c r="AA14" s="14"/>
      <c r="AB14" s="14"/>
      <c r="AC14" s="14"/>
      <c r="AD14" s="14"/>
      <c r="AE14" s="14"/>
      <c r="AF14" s="14"/>
      <c r="AG14" s="14"/>
      <c r="AH14" s="14"/>
      <c r="AI14" s="14"/>
      <c r="AJ14" s="15">
        <v>90</v>
      </c>
    </row>
    <row r="15" spans="1:36" x14ac:dyDescent="0.25">
      <c r="A15">
        <v>5</v>
      </c>
      <c r="B15" s="2" t="str" cm="1">
        <f t="array" ref="B15">IF(OR(A15,$K$2=2),CHOOSE($K$2,INDEX($C$11:$F$40,A15,$B$2),INDEX($L$4:$O$47,K15,$B$2)),"")</f>
        <v/>
      </c>
      <c r="C15" s="2" t="str">
        <f t="shared" si="11"/>
        <v/>
      </c>
      <c r="D15" s="2" t="str">
        <f t="shared" si="8"/>
        <v/>
      </c>
      <c r="E15" s="2" t="str">
        <f t="shared" si="9"/>
        <v/>
      </c>
      <c r="F15" s="2" t="str">
        <f t="shared" ref="F15" si="17">IF(ISEVEN($A$2),$H$1,"")</f>
        <v>⬛</v>
      </c>
      <c r="G15" s="2">
        <v>1</v>
      </c>
      <c r="H15" s="2" cm="1">
        <f t="array" ref="H15">INDEX($I$11:$J$16,A15,$H$10)</f>
        <v>14</v>
      </c>
      <c r="I15" s="2">
        <f>CHOOSE($K$2,IF(OR(I13,C3=0),C3-1+(C3=0),14),IF(C4&lt;8,0,IF(I13,C4-8,14)))</f>
        <v>14</v>
      </c>
      <c r="J15" s="2">
        <f>CHOOSE($K$2,IF(C3&lt;=13,J9-C3,0),IF(C4&lt;8,14,IF((C4-7)&lt;=13,J9-(C4-7),0)))</f>
        <v>0</v>
      </c>
      <c r="K15">
        <v>12</v>
      </c>
      <c r="L15" s="2" t="str">
        <f t="shared" si="0"/>
        <v/>
      </c>
      <c r="M15" s="2" t="str">
        <f t="shared" si="1"/>
        <v>⬛</v>
      </c>
      <c r="N15" s="2" t="str">
        <f t="shared" si="2"/>
        <v/>
      </c>
      <c r="O15" s="2" t="str">
        <f t="shared" ref="O15" si="18">IF(ISODD($A$2),$H$1,"")</f>
        <v/>
      </c>
      <c r="P15" s="18" cm="1">
        <f t="array" ref="P15">INDEX(Data!$I$3:$I$182,INT(MOD($G$3,180)/($A$40))*$A$40+A22)</f>
        <v>0.80500000000000005</v>
      </c>
      <c r="R15">
        <v>1</v>
      </c>
      <c r="S15">
        <v>90</v>
      </c>
      <c r="T15" s="15" cm="1">
        <f t="array" ref="T15">INDEX($AS$4:$AS$123,$F$3)</f>
        <v>65</v>
      </c>
      <c r="U15" s="14">
        <v>90</v>
      </c>
      <c r="V15" s="14"/>
      <c r="W15" s="14"/>
      <c r="X15" s="14"/>
      <c r="Y15" s="14"/>
      <c r="Z15" s="14"/>
      <c r="AA15" s="14"/>
      <c r="AB15" s="14"/>
      <c r="AC15" s="14"/>
      <c r="AD15" s="14"/>
      <c r="AE15" s="14"/>
      <c r="AF15" s="14"/>
      <c r="AG15" s="14"/>
      <c r="AH15" s="14"/>
      <c r="AI15" s="14"/>
      <c r="AJ15" s="15">
        <v>95</v>
      </c>
    </row>
    <row r="16" spans="1:36" x14ac:dyDescent="0.25">
      <c r="A16">
        <v>6</v>
      </c>
      <c r="B16" s="2" t="str" cm="1">
        <f t="array" ref="B16">IF(OR(A16,$K$2=2),CHOOSE($K$2,INDEX($C$11:$F$40,A16,$B$2),INDEX($L$4:$O$47,K16,$B$2)),"")</f>
        <v>⬛</v>
      </c>
      <c r="C16" s="2" t="str">
        <f t="shared" si="11"/>
        <v/>
      </c>
      <c r="D16" s="2" t="str">
        <f t="shared" si="8"/>
        <v/>
      </c>
      <c r="E16" s="2" t="str">
        <f t="shared" si="9"/>
        <v/>
      </c>
      <c r="F16" s="2" t="str">
        <f t="shared" ref="F16" si="19">IF(ISODD($A$2),$H$1,"")</f>
        <v/>
      </c>
      <c r="G16" s="2">
        <v>1</v>
      </c>
      <c r="H16" s="2" cm="1">
        <f t="array" ref="H16">INDEX($I$11:$J$16,A16,$H$10)</f>
        <v>0</v>
      </c>
      <c r="I16" s="2">
        <v>0</v>
      </c>
      <c r="J16" s="2">
        <f>30-SUM(J11:J15)</f>
        <v>23</v>
      </c>
      <c r="K16">
        <v>13</v>
      </c>
      <c r="L16" s="2" t="str">
        <f t="shared" si="0"/>
        <v/>
      </c>
      <c r="M16" s="2" t="str">
        <f t="shared" si="1"/>
        <v>⬛</v>
      </c>
      <c r="N16" s="2" t="str">
        <f t="shared" si="2"/>
        <v>⬛</v>
      </c>
      <c r="O16" s="2" t="str">
        <f t="shared" ref="O16" si="20">IF(ISEVEN($A$2),$H$1,"")</f>
        <v>⬛</v>
      </c>
      <c r="P16" s="18" cm="1">
        <f t="array" ref="P16">INDEX(Data!$I$3:$I$182,INT(MOD($G$3,180)/($A$40))*$A$40+A23)</f>
        <v>0.78</v>
      </c>
      <c r="S16">
        <v>95</v>
      </c>
      <c r="T16" s="14">
        <f ca="1">SUM(OFFSET($AD$13,$F$3,0,7,1))-T15</f>
        <v>0</v>
      </c>
      <c r="U16" s="14">
        <v>95</v>
      </c>
      <c r="V16" s="14"/>
      <c r="W16" s="14"/>
      <c r="X16" s="14"/>
      <c r="Y16" s="14"/>
      <c r="Z16" s="14"/>
      <c r="AA16" s="14"/>
      <c r="AB16" s="14"/>
      <c r="AC16" s="14"/>
      <c r="AD16" s="14"/>
      <c r="AE16" s="14"/>
      <c r="AF16" s="14"/>
      <c r="AG16" s="14"/>
      <c r="AH16" s="14"/>
      <c r="AI16" s="14"/>
      <c r="AJ16" s="15">
        <v>110</v>
      </c>
    </row>
    <row r="17" spans="1:38" x14ac:dyDescent="0.25">
      <c r="A17">
        <v>7</v>
      </c>
      <c r="B17" s="2" t="str" cm="1">
        <f t="array" ref="B17">IF(OR(A17,$K$2=2),CHOOSE($K$2,INDEX($C$11:$F$40,A17,$B$2),INDEX($L$4:$O$47,K17,$B$2)),"")</f>
        <v/>
      </c>
      <c r="C17" s="2" t="str">
        <f t="shared" si="11"/>
        <v/>
      </c>
      <c r="D17" s="2" t="str">
        <f t="shared" si="8"/>
        <v/>
      </c>
      <c r="E17" s="2" t="str">
        <f t="shared" si="9"/>
        <v/>
      </c>
      <c r="F17" s="2" t="str">
        <f t="shared" ref="F17" si="21">IF(ISEVEN($A$2),$H$1,"")</f>
        <v>⬛</v>
      </c>
      <c r="G17" s="2">
        <v>1</v>
      </c>
      <c r="H17" s="9" t="s">
        <v>25</v>
      </c>
      <c r="I17" s="9"/>
      <c r="J17" s="9"/>
      <c r="K17">
        <v>14</v>
      </c>
      <c r="L17" s="2" t="str">
        <f t="shared" si="0"/>
        <v/>
      </c>
      <c r="M17" s="2" t="str">
        <f t="shared" si="1"/>
        <v>⬛</v>
      </c>
      <c r="N17" s="2" t="str">
        <f t="shared" si="2"/>
        <v/>
      </c>
      <c r="O17" s="2" t="str">
        <f t="shared" ref="O17" si="22">IF(ISODD($A$2),$H$1,"")</f>
        <v/>
      </c>
      <c r="P17" s="18" cm="1">
        <f t="array" ref="P17">INDEX(Data!$I$3:$I$182,INT(MOD($G$3,180)/($A$40))*$A$40+A24)</f>
        <v>0.752</v>
      </c>
      <c r="Q17" t="s">
        <v>68</v>
      </c>
      <c r="S17">
        <v>110</v>
      </c>
      <c r="T17" s="15" cm="1">
        <f t="array" ref="T17">INDEX($AR$4:$AR$123,$F$3)</f>
        <v>70</v>
      </c>
      <c r="U17" s="14">
        <v>110</v>
      </c>
      <c r="V17" s="14"/>
      <c r="W17" s="14"/>
      <c r="X17" s="14"/>
      <c r="Y17" s="14"/>
      <c r="Z17" s="14"/>
      <c r="AA17" s="14"/>
      <c r="AB17" s="14"/>
      <c r="AC17" s="14"/>
      <c r="AD17" s="14"/>
      <c r="AE17" s="14"/>
      <c r="AF17" s="14"/>
      <c r="AG17" s="14"/>
      <c r="AH17" s="14"/>
      <c r="AI17" s="14"/>
      <c r="AJ17" s="15">
        <v>200</v>
      </c>
    </row>
    <row r="18" spans="1:38" x14ac:dyDescent="0.25">
      <c r="A18">
        <v>8</v>
      </c>
      <c r="B18" s="2" t="str" cm="1">
        <f t="array" ref="B18">IF(OR(A18,$K$2=2),CHOOSE($K$2,INDEX($C$11:$F$40,A18,$B$2),INDEX($L$4:$O$47,K18,$B$2)),"")</f>
        <v>⬛</v>
      </c>
      <c r="C18" s="2" t="str">
        <f t="shared" si="11"/>
        <v/>
      </c>
      <c r="D18" s="2" t="str">
        <f t="shared" si="8"/>
        <v/>
      </c>
      <c r="E18" s="2" t="str">
        <f t="shared" si="9"/>
        <v>⬛</v>
      </c>
      <c r="F18" s="2" t="str">
        <f t="shared" ref="F18" si="23">IF(ISODD($A$2),$H$1,"")</f>
        <v/>
      </c>
      <c r="G18" s="2">
        <v>1</v>
      </c>
      <c r="H18" t="s">
        <v>28</v>
      </c>
      <c r="I18" t="s">
        <v>28</v>
      </c>
      <c r="J18" t="s">
        <v>28</v>
      </c>
      <c r="K18">
        <v>15</v>
      </c>
      <c r="L18" s="2" t="str">
        <f t="shared" si="0"/>
        <v/>
      </c>
      <c r="M18" s="2" t="str">
        <f t="shared" si="1"/>
        <v>⬛</v>
      </c>
      <c r="N18" s="2" t="str">
        <f t="shared" si="2"/>
        <v/>
      </c>
      <c r="O18" s="2" t="str">
        <f t="shared" ref="O18" si="24">IF(ISEVEN($A$2),$H$1,"")</f>
        <v>⬛</v>
      </c>
      <c r="P18" s="18" cm="1">
        <f t="array" ref="P18">INDEX(Data!$I$3:$I$182,INT(MOD($G$3,180)/($A$40))*$A$40+A25)</f>
        <v>0.72599999999999998</v>
      </c>
      <c r="Q18" s="8" t="s">
        <v>66</v>
      </c>
      <c r="R18" s="8" t="s">
        <v>67</v>
      </c>
      <c r="S18">
        <v>200</v>
      </c>
      <c r="T18" s="14">
        <f ca="1">SUM(OFFSET($AC$12,$F$3,0,8,1))-T17</f>
        <v>0</v>
      </c>
      <c r="U18" s="14">
        <v>200</v>
      </c>
      <c r="V18" s="14"/>
      <c r="W18" s="14"/>
      <c r="X18" s="14"/>
      <c r="Y18" s="14"/>
      <c r="Z18" s="14"/>
      <c r="AA18" s="14"/>
      <c r="AB18" s="14"/>
      <c r="AC18" s="14"/>
      <c r="AD18" s="14"/>
      <c r="AE18" s="14"/>
      <c r="AF18" s="14"/>
      <c r="AG18" s="14"/>
      <c r="AH18" s="14"/>
      <c r="AI18" s="14"/>
      <c r="AJ18" s="15">
        <v>250</v>
      </c>
      <c r="AK18" s="15"/>
    </row>
    <row r="19" spans="1:38" x14ac:dyDescent="0.25">
      <c r="A19">
        <v>9</v>
      </c>
      <c r="B19" s="2" t="str" cm="1">
        <f t="array" ref="B19">IF(OR(A19,$K$2=2),CHOOSE($K$2,INDEX($C$11:$F$40,A19,$B$2),INDEX($L$4:$O$47,K19,$B$2)),"")</f>
        <v/>
      </c>
      <c r="C19" s="2" t="str">
        <f t="shared" si="11"/>
        <v/>
      </c>
      <c r="D19" s="2" t="str">
        <f t="shared" si="8"/>
        <v/>
      </c>
      <c r="E19" s="2" t="str">
        <f t="shared" si="9"/>
        <v/>
      </c>
      <c r="F19" s="2" t="str">
        <f t="shared" ref="F19" si="25">IF(ISEVEN($A$2),$H$1,"")</f>
        <v>⬛</v>
      </c>
      <c r="G19" s="2">
        <v>1</v>
      </c>
      <c r="H19" s="2" cm="1">
        <f t="array" ref="H19">INDEX($I$19:$J$92,ROW(A1),$H$10)</f>
        <v>1</v>
      </c>
      <c r="I19" s="2">
        <f>IF(OR($C$4&lt;34),1,0)*$K$3</f>
        <v>1</v>
      </c>
      <c r="J19" s="2">
        <f>IF(OR($C$4&gt;=33,$C$4=0),0,1)*$K$3</f>
        <v>1</v>
      </c>
      <c r="K19">
        <v>16</v>
      </c>
      <c r="L19" s="2" t="str">
        <f t="shared" si="0"/>
        <v/>
      </c>
      <c r="M19" s="2" t="str">
        <f t="shared" si="1"/>
        <v>⬛</v>
      </c>
      <c r="N19" s="2" t="str">
        <f t="shared" si="2"/>
        <v/>
      </c>
      <c r="O19" s="2" t="str">
        <f t="shared" ref="O19" si="26">IF(ISODD($A$2),$H$1,"")</f>
        <v/>
      </c>
      <c r="P19" s="18" cm="1">
        <f t="array" ref="P19">INDEX(Data!$I$3:$I$182,INT(MOD($G$3,180)/($A$40))*$A$40+A26)</f>
        <v>0.70400000000000007</v>
      </c>
      <c r="Q19" s="18" cm="1">
        <f t="array" ref="Q19">INDEX(Data!$J$3:$J$182,$G$3)</f>
        <v>0.34299999999999997</v>
      </c>
      <c r="R19" s="18" cm="1">
        <f t="array" ref="R19">INDEX(Data!$K$3:$K$182,$G$3)</f>
        <v>0.65700000000000003</v>
      </c>
      <c r="S19">
        <v>250</v>
      </c>
      <c r="T19" s="15" cm="1">
        <f t="array" ref="T19">INDEX($AQ$4:$AQ$123,$F$3)</f>
        <v>75</v>
      </c>
      <c r="U19" s="14">
        <v>250</v>
      </c>
      <c r="V19" s="14"/>
      <c r="W19" s="14"/>
      <c r="X19" s="14"/>
      <c r="Y19" s="14"/>
      <c r="Z19" s="14"/>
      <c r="AA19" s="14"/>
      <c r="AB19" s="14"/>
      <c r="AC19" s="14"/>
      <c r="AD19" s="14"/>
      <c r="AE19" s="14"/>
      <c r="AF19" s="14"/>
      <c r="AG19" s="14"/>
      <c r="AH19" s="14"/>
      <c r="AI19" s="14"/>
      <c r="AJ19" s="15">
        <v>250</v>
      </c>
      <c r="AK19" s="15">
        <v>40</v>
      </c>
    </row>
    <row r="20" spans="1:38" x14ac:dyDescent="0.25">
      <c r="A20">
        <v>10</v>
      </c>
      <c r="B20" s="2" t="str" cm="1">
        <f t="array" ref="B20">IF(OR(A20,$K$2=2),CHOOSE($K$2,INDEX($C$11:$F$40,A20,$B$2),INDEX($L$4:$O$47,K20,$B$2)),"")</f>
        <v>⬛</v>
      </c>
      <c r="C20" s="2" t="str">
        <f t="shared" si="11"/>
        <v/>
      </c>
      <c r="D20" s="2" t="str">
        <f t="shared" si="8"/>
        <v/>
      </c>
      <c r="E20" s="2" t="str">
        <f t="shared" si="9"/>
        <v/>
      </c>
      <c r="F20" s="2" t="str">
        <f t="shared" ref="F20" si="27">IF(ISODD($A$2),$H$1,"")</f>
        <v/>
      </c>
      <c r="G20" s="2">
        <v>1</v>
      </c>
      <c r="H20" s="2" cm="1">
        <f t="array" ref="H20">INDEX($I$19:$J$92,ROW(A2),$H$10)</f>
        <v>1</v>
      </c>
      <c r="I20" s="2">
        <f t="shared" ref="I20:I25" si="28">IF(OR($C$4&lt;34),1,0)*$K$3</f>
        <v>1</v>
      </c>
      <c r="J20" s="2">
        <f t="shared" ref="J20:J25" si="29">IF(OR($C$4&gt;=33,$C$4=0),0,1)*$K$3</f>
        <v>1</v>
      </c>
      <c r="K20">
        <v>17</v>
      </c>
      <c r="L20" s="2" t="str">
        <f t="shared" si="0"/>
        <v/>
      </c>
      <c r="M20" s="2" t="str">
        <f t="shared" si="1"/>
        <v>⬛</v>
      </c>
      <c r="N20" s="2" t="str">
        <f t="shared" si="2"/>
        <v/>
      </c>
      <c r="O20" s="2" t="str">
        <f t="shared" ref="O20" si="30">IF(ISEVEN($A$2),$H$1,"")</f>
        <v>⬛</v>
      </c>
      <c r="P20" s="18" cm="1">
        <f t="array" ref="P20">INDEX(Data!$I$3:$I$182,INT(MOD($G$3,180)/($A$40))*$A$40+A27)</f>
        <v>0.68599999999999994</v>
      </c>
      <c r="S20" s="16">
        <f>SUM(S4:S19)</f>
        <v>1670</v>
      </c>
      <c r="T20" s="14">
        <f ca="1">SUM(OFFSET($AB$11,$F$3,0,9,1))-T19</f>
        <v>0</v>
      </c>
      <c r="U20" s="14"/>
      <c r="V20" s="14">
        <v>300</v>
      </c>
      <c r="W20" s="14"/>
      <c r="X20" s="14"/>
      <c r="Y20" s="14"/>
      <c r="Z20" s="14"/>
      <c r="AA20" s="14"/>
      <c r="AB20" s="14"/>
      <c r="AC20" s="14"/>
      <c r="AD20" s="14"/>
      <c r="AE20" s="14"/>
      <c r="AF20" s="14"/>
      <c r="AG20" s="14"/>
      <c r="AH20" s="14"/>
      <c r="AI20" s="14"/>
      <c r="AJ20" s="15">
        <v>250</v>
      </c>
      <c r="AK20" s="15">
        <v>45</v>
      </c>
    </row>
    <row r="21" spans="1:38" x14ac:dyDescent="0.25">
      <c r="A21">
        <v>11</v>
      </c>
      <c r="B21" s="2" t="str" cm="1">
        <f t="array" ref="B21">IF(OR(A21,$K$2=2),CHOOSE($K$2,INDEX($C$11:$F$40,A21,$B$2),INDEX($L$4:$O$47,K21,$B$2)),"")</f>
        <v/>
      </c>
      <c r="C21" s="2" t="str">
        <f t="shared" si="11"/>
        <v/>
      </c>
      <c r="D21" s="2" t="str">
        <f t="shared" si="8"/>
        <v/>
      </c>
      <c r="E21" s="2" t="str">
        <f t="shared" si="9"/>
        <v/>
      </c>
      <c r="F21" s="2" t="str">
        <f t="shared" ref="F21" si="31">IF(ISEVEN($A$2),$H$1,"")</f>
        <v>⬛</v>
      </c>
      <c r="G21" s="2">
        <v>1</v>
      </c>
      <c r="H21" s="2" cm="1">
        <f t="array" ref="H21">INDEX($I$19:$J$92,ROW(A3),$H$10)</f>
        <v>1</v>
      </c>
      <c r="I21" s="2">
        <f t="shared" si="28"/>
        <v>1</v>
      </c>
      <c r="J21" s="2">
        <f t="shared" si="29"/>
        <v>1</v>
      </c>
      <c r="K21">
        <v>18</v>
      </c>
      <c r="L21" s="2" t="str">
        <f t="shared" si="0"/>
        <v/>
      </c>
      <c r="M21" s="2" t="str">
        <f t="shared" si="1"/>
        <v>⬛</v>
      </c>
      <c r="N21" s="2" t="str">
        <f t="shared" si="2"/>
        <v>⬛</v>
      </c>
      <c r="O21" s="2" t="str">
        <f t="shared" ref="O21" si="32">IF(ISODD($A$2),$H$1,"")</f>
        <v/>
      </c>
      <c r="P21" s="18" cm="1">
        <f t="array" ref="P21">INDEX(Data!$I$3:$I$182,INT(MOD($G$3,180)/($A$40))*$A$40+A28)</f>
        <v>0.66799999999999993</v>
      </c>
      <c r="T21" s="15" cm="1">
        <f t="array" ref="T21">INDEX($AP$4:$AP$123,$F$3)</f>
        <v>80</v>
      </c>
      <c r="U21" s="14"/>
      <c r="V21" s="14">
        <v>40</v>
      </c>
      <c r="W21" s="14"/>
      <c r="X21" s="14"/>
      <c r="Y21" s="14"/>
      <c r="Z21" s="14"/>
      <c r="AA21" s="14"/>
      <c r="AB21" s="14"/>
      <c r="AC21" s="14"/>
      <c r="AD21" s="14"/>
      <c r="AE21" s="14"/>
      <c r="AF21" s="14"/>
      <c r="AG21" s="14"/>
      <c r="AH21" s="14"/>
      <c r="AI21" s="14"/>
      <c r="AJ21" s="15">
        <v>250</v>
      </c>
      <c r="AK21" s="15">
        <v>50</v>
      </c>
    </row>
    <row r="22" spans="1:38" x14ac:dyDescent="0.25">
      <c r="A22">
        <v>12</v>
      </c>
      <c r="B22" s="2" t="str" cm="1">
        <f t="array" ref="B22">IF(OR(A22,$K$2=2),CHOOSE($K$2,INDEX($C$11:$F$40,A22,$B$2),INDEX($L$4:$O$47,K22,$B$2)),"")</f>
        <v>⬛</v>
      </c>
      <c r="C22" s="2" t="str">
        <f t="shared" si="11"/>
        <v>⬛</v>
      </c>
      <c r="D22" s="2" t="str">
        <f t="shared" si="8"/>
        <v/>
      </c>
      <c r="E22" s="2" t="str">
        <f t="shared" si="9"/>
        <v/>
      </c>
      <c r="F22" s="2" t="str">
        <f t="shared" ref="F22" si="33">IF(ISODD($A$2),$H$1,"")</f>
        <v/>
      </c>
      <c r="G22" s="2">
        <v>1</v>
      </c>
      <c r="H22" s="2" cm="1">
        <f t="array" ref="H22">INDEX($I$19:$J$92,ROW(A4),$H$10)</f>
        <v>1</v>
      </c>
      <c r="I22" s="2">
        <f t="shared" si="28"/>
        <v>1</v>
      </c>
      <c r="J22" s="2">
        <f t="shared" si="29"/>
        <v>1</v>
      </c>
      <c r="K22">
        <v>19</v>
      </c>
      <c r="L22" s="2" t="str">
        <f t="shared" si="0"/>
        <v/>
      </c>
      <c r="M22" s="2" t="str">
        <f t="shared" si="1"/>
        <v>⬛</v>
      </c>
      <c r="N22" s="2" t="str">
        <f t="shared" si="2"/>
        <v/>
      </c>
      <c r="O22" s="2" t="str">
        <f t="shared" ref="O22" si="34">IF(ISEVEN($A$2),$H$1,"")</f>
        <v>⬛</v>
      </c>
      <c r="P22" s="18" cm="1">
        <f t="array" ref="P22">INDEX(Data!$I$3:$I$182,INT(MOD($G$3,180)/($A$40))*$A$40+A29)</f>
        <v>0.65400000000000003</v>
      </c>
      <c r="T22" s="14">
        <f ca="1">SUM(OFFSET($AA$10,$F$3,0,10,1))-T21</f>
        <v>0</v>
      </c>
      <c r="U22" s="14"/>
      <c r="V22" s="14">
        <v>45</v>
      </c>
      <c r="W22" s="14"/>
      <c r="X22" s="14"/>
      <c r="Y22" s="14"/>
      <c r="Z22" s="14"/>
      <c r="AA22" s="14"/>
      <c r="AB22" s="14"/>
      <c r="AC22" s="14"/>
      <c r="AD22" s="14"/>
      <c r="AE22" s="14"/>
      <c r="AF22" s="14"/>
      <c r="AG22" s="14"/>
      <c r="AH22" s="14"/>
      <c r="AI22" s="14"/>
      <c r="AJ22" s="15">
        <v>250</v>
      </c>
      <c r="AK22" s="15">
        <v>55</v>
      </c>
    </row>
    <row r="23" spans="1:38" x14ac:dyDescent="0.25">
      <c r="A23">
        <v>13</v>
      </c>
      <c r="B23" s="2" t="str" cm="1">
        <f t="array" ref="B23">IF(OR(A23,$K$2=2),CHOOSE($K$2,INDEX($C$11:$F$40,A23,$B$2),INDEX($L$4:$O$47,K23,$B$2)),"")</f>
        <v/>
      </c>
      <c r="C23" s="2" t="str">
        <f t="shared" si="11"/>
        <v/>
      </c>
      <c r="D23" s="2" t="str">
        <f t="shared" si="8"/>
        <v>⬛</v>
      </c>
      <c r="E23" s="2" t="str">
        <f t="shared" si="9"/>
        <v>⬛</v>
      </c>
      <c r="F23" s="2" t="str">
        <f t="shared" ref="F23" si="35">IF(ISEVEN($A$2),$H$1,"")</f>
        <v>⬛</v>
      </c>
      <c r="G23" s="2">
        <v>1</v>
      </c>
      <c r="H23" s="2" cm="1">
        <f t="array" ref="H23">INDEX($I$19:$J$92,ROW(A5),$H$10)</f>
        <v>1</v>
      </c>
      <c r="I23" s="2">
        <f t="shared" si="28"/>
        <v>1</v>
      </c>
      <c r="J23" s="2">
        <f t="shared" si="29"/>
        <v>1</v>
      </c>
      <c r="K23">
        <v>20</v>
      </c>
      <c r="L23" s="2" t="str">
        <f t="shared" si="0"/>
        <v/>
      </c>
      <c r="M23" s="2" t="str">
        <f t="shared" si="1"/>
        <v>⬛</v>
      </c>
      <c r="N23" s="2" t="str">
        <f t="shared" si="2"/>
        <v/>
      </c>
      <c r="O23" s="2" t="str">
        <f t="shared" ref="O23" si="36">IF(ISODD($A$2),$H$1,"")</f>
        <v/>
      </c>
      <c r="P23" s="18" cm="1">
        <f t="array" ref="P23">INDEX(Data!$I$3:$I$182,INT(MOD($G$3,180)/($A$40))*$A$40+A30)</f>
        <v>0.64500000000000002</v>
      </c>
      <c r="T23" s="15" cm="1">
        <f t="array" ref="T23">INDEX($AO$4:$AO$123,$F$3)</f>
        <v>85</v>
      </c>
      <c r="U23" s="14"/>
      <c r="V23" s="14">
        <v>50</v>
      </c>
      <c r="W23" s="14"/>
      <c r="X23" s="14"/>
      <c r="Y23" s="14"/>
      <c r="Z23" s="14"/>
      <c r="AA23" s="14"/>
      <c r="AB23" s="14"/>
      <c r="AC23" s="14"/>
      <c r="AD23" s="14"/>
      <c r="AE23" s="14"/>
      <c r="AF23" s="14"/>
      <c r="AG23" s="14"/>
      <c r="AH23" s="14"/>
      <c r="AI23" s="14"/>
      <c r="AJ23" s="15">
        <v>250</v>
      </c>
      <c r="AK23" s="15">
        <v>60</v>
      </c>
    </row>
    <row r="24" spans="1:38" x14ac:dyDescent="0.25">
      <c r="A24">
        <v>14</v>
      </c>
      <c r="B24" s="2" t="str" cm="1">
        <f t="array" ref="B24">IF(OR(A24,$K$2=2),CHOOSE($K$2,INDEX($C$11:$F$40,A24,$B$2),INDEX($L$4:$O$47,K24,$B$2)),"")</f>
        <v>⬛</v>
      </c>
      <c r="C24" s="2" t="str">
        <f t="shared" si="11"/>
        <v/>
      </c>
      <c r="D24" s="2" t="str">
        <f t="shared" si="8"/>
        <v>⬛</v>
      </c>
      <c r="E24" s="2" t="str">
        <f t="shared" si="9"/>
        <v/>
      </c>
      <c r="F24" s="2" t="str">
        <f t="shared" ref="F24" si="37">IF(ISODD($A$2),$H$1,"")</f>
        <v/>
      </c>
      <c r="G24" s="2">
        <v>1</v>
      </c>
      <c r="H24" s="2" cm="1">
        <f t="array" ref="H24">INDEX($I$19:$J$92,ROW(A6),$H$10)</f>
        <v>1</v>
      </c>
      <c r="I24" s="2">
        <f t="shared" si="28"/>
        <v>1</v>
      </c>
      <c r="J24" s="2">
        <f t="shared" si="29"/>
        <v>1</v>
      </c>
      <c r="K24">
        <v>21</v>
      </c>
      <c r="L24" s="2" t="str">
        <f t="shared" si="0"/>
        <v/>
      </c>
      <c r="M24" s="2" t="str">
        <f t="shared" si="1"/>
        <v>⬛</v>
      </c>
      <c r="N24" s="2" t="str">
        <f t="shared" si="2"/>
        <v/>
      </c>
      <c r="O24" s="2" t="str">
        <f t="shared" ref="O24" si="38">IF(ISEVEN($A$2),$H$1,"")</f>
        <v>⬛</v>
      </c>
      <c r="P24" s="18" cm="1">
        <f t="array" ref="P24">INDEX(Data!$I$3:$I$182,INT(MOD($G$3,180)/($A$40))*$A$40+A31)</f>
        <v>0.63300000000000001</v>
      </c>
      <c r="T24" s="14">
        <f ca="1">SUM(OFFSET($Z$9,$F$3,0,11,1))-T23</f>
        <v>0</v>
      </c>
      <c r="U24" s="14"/>
      <c r="V24" s="14">
        <v>55</v>
      </c>
      <c r="W24" s="14"/>
      <c r="X24" s="14"/>
      <c r="Y24" s="14"/>
      <c r="Z24" s="14"/>
      <c r="AA24" s="14"/>
      <c r="AB24" s="14"/>
      <c r="AC24" s="14"/>
      <c r="AD24" s="14"/>
      <c r="AE24" s="14"/>
      <c r="AF24" s="14"/>
      <c r="AG24" s="14"/>
      <c r="AH24" s="14"/>
      <c r="AI24" s="14"/>
      <c r="AJ24" s="15">
        <v>250</v>
      </c>
      <c r="AK24" s="15">
        <v>65</v>
      </c>
    </row>
    <row r="25" spans="1:38" x14ac:dyDescent="0.25">
      <c r="A25">
        <v>15</v>
      </c>
      <c r="B25" s="2" t="str" cm="1">
        <f t="array" ref="B25">IF(OR(A25,$K$2=2),CHOOSE($K$2,INDEX($C$11:$F$40,A25,$B$2),INDEX($L$4:$O$47,K25,$B$2)),"")</f>
        <v/>
      </c>
      <c r="C25" s="2" t="str">
        <f t="shared" si="11"/>
        <v/>
      </c>
      <c r="D25" s="2" t="str">
        <f t="shared" si="8"/>
        <v>⬛</v>
      </c>
      <c r="E25" s="2" t="str">
        <f t="shared" si="9"/>
        <v/>
      </c>
      <c r="F25" s="2" t="str">
        <f t="shared" ref="F25" si="39">IF(ISEVEN($A$2),$H$1,"")</f>
        <v>⬛</v>
      </c>
      <c r="G25" s="2">
        <v>1</v>
      </c>
      <c r="H25" s="10" cm="1">
        <f t="array" ref="H25">INDEX($I$19:$J$92,ROW(A7),$H$10)</f>
        <v>1</v>
      </c>
      <c r="I25" s="2">
        <f t="shared" si="28"/>
        <v>1</v>
      </c>
      <c r="J25" s="2">
        <f t="shared" si="29"/>
        <v>1</v>
      </c>
      <c r="K25">
        <v>22</v>
      </c>
      <c r="L25" s="2" t="str">
        <f t="shared" si="0"/>
        <v/>
      </c>
      <c r="M25" s="2" t="str">
        <f t="shared" si="1"/>
        <v>⬛</v>
      </c>
      <c r="N25" s="2" t="str">
        <f t="shared" si="2"/>
        <v/>
      </c>
      <c r="O25" s="2" t="str">
        <f t="shared" ref="O25" si="40">IF(ISODD($A$2),$H$1,"")</f>
        <v/>
      </c>
      <c r="P25" s="18" cm="1">
        <f t="array" ref="P25">INDEX(Data!$I$3:$I$182,INT(MOD($G$3,180)/($A$40))*$A$40+A32)</f>
        <v>0.59799999999999998</v>
      </c>
      <c r="T25" s="15" cm="1">
        <f t="array" ref="T25">INDEX($AN$4:$AN$123,$F$3)</f>
        <v>90</v>
      </c>
      <c r="U25" s="14"/>
      <c r="V25" s="14">
        <v>60</v>
      </c>
      <c r="W25" s="14"/>
      <c r="X25" s="14"/>
      <c r="Y25" s="14"/>
      <c r="Z25" s="14"/>
      <c r="AA25" s="14"/>
      <c r="AB25" s="14"/>
      <c r="AC25" s="14"/>
      <c r="AD25" s="14"/>
      <c r="AE25" s="14"/>
      <c r="AF25" s="14"/>
      <c r="AG25" s="14"/>
      <c r="AH25" s="14"/>
      <c r="AI25" s="14"/>
      <c r="AJ25" s="15">
        <v>250</v>
      </c>
      <c r="AK25" s="15">
        <v>70</v>
      </c>
    </row>
    <row r="26" spans="1:38" x14ac:dyDescent="0.25">
      <c r="A26">
        <v>16</v>
      </c>
      <c r="B26" s="2" t="str" cm="1">
        <f t="array" ref="B26">IF(OR(A26,$K$2=2),CHOOSE($K$2,INDEX($C$11:$F$40,A26,$B$2),INDEX($L$4:$O$47,K26,$B$2)),"")</f>
        <v>⬛</v>
      </c>
      <c r="C26" s="2" t="str">
        <f t="shared" si="11"/>
        <v/>
      </c>
      <c r="D26" s="2" t="str">
        <f t="shared" si="8"/>
        <v>⬛</v>
      </c>
      <c r="E26" s="2" t="str">
        <f t="shared" si="9"/>
        <v/>
      </c>
      <c r="F26" s="2" t="str">
        <f t="shared" ref="F26" si="41">IF(ISODD($A$2),$H$1,"")</f>
        <v/>
      </c>
      <c r="G26" s="2">
        <v>1</v>
      </c>
      <c r="H26" s="2" cm="1">
        <f t="array" ref="H26">INDEX($I$19:$J$92,ROW(A8),$H$10)</f>
        <v>0</v>
      </c>
      <c r="I26" s="2">
        <f>IF($C$4&gt;=34,1,0)*$K$3</f>
        <v>0</v>
      </c>
      <c r="J26" s="2">
        <f>IF($C$4&gt;=33,1,0)*$K$3</f>
        <v>0</v>
      </c>
      <c r="K26">
        <v>23</v>
      </c>
      <c r="L26" s="2" t="str">
        <f t="shared" si="0"/>
        <v/>
      </c>
      <c r="M26" s="2" t="str">
        <f t="shared" si="1"/>
        <v>⬛</v>
      </c>
      <c r="N26" s="2" t="str">
        <f t="shared" si="2"/>
        <v>⬛</v>
      </c>
      <c r="O26" s="2" t="str">
        <f t="shared" ref="O26" si="42">IF(ISEVEN($A$2),$H$1,"")</f>
        <v>⬛</v>
      </c>
      <c r="P26" s="18" cm="1">
        <f t="array" ref="P26">INDEX(Data!$I$3:$I$182,INT(MOD($G$3,180)/($A$40))*$A$40+A33)</f>
        <v>0.54700000000000004</v>
      </c>
      <c r="T26" s="14">
        <f ca="1">SUM(OFFSET($Y$8,$F$3,0,12,1))-T25</f>
        <v>0</v>
      </c>
      <c r="U26" s="14"/>
      <c r="V26" s="14">
        <v>65</v>
      </c>
      <c r="W26" s="14"/>
      <c r="X26" s="14"/>
      <c r="Y26" s="14"/>
      <c r="Z26" s="14"/>
      <c r="AA26" s="14"/>
      <c r="AB26" s="14"/>
      <c r="AC26" s="14"/>
      <c r="AD26" s="14"/>
      <c r="AE26" s="14"/>
      <c r="AF26" s="14"/>
      <c r="AG26" s="14"/>
      <c r="AH26" s="14"/>
      <c r="AI26" s="14"/>
      <c r="AJ26" s="15">
        <v>250</v>
      </c>
      <c r="AK26" s="15">
        <v>75</v>
      </c>
    </row>
    <row r="27" spans="1:38" x14ac:dyDescent="0.25">
      <c r="A27">
        <v>17</v>
      </c>
      <c r="B27" s="2" t="str" cm="1">
        <f t="array" ref="B27">IF(OR(A27,$K$2=2),CHOOSE($K$2,INDEX($C$11:$F$40,A27,$B$2),INDEX($L$4:$O$47,K27,$B$2)),"")</f>
        <v/>
      </c>
      <c r="C27" s="2" t="str">
        <f t="shared" si="11"/>
        <v/>
      </c>
      <c r="D27" s="2" t="str">
        <f t="shared" si="8"/>
        <v>⬛</v>
      </c>
      <c r="E27" s="2" t="str">
        <f t="shared" si="9"/>
        <v/>
      </c>
      <c r="F27" s="2" t="str">
        <f t="shared" ref="F27" si="43">IF(ISEVEN($A$2),$H$1,"")</f>
        <v>⬛</v>
      </c>
      <c r="G27" s="2">
        <v>1</v>
      </c>
      <c r="H27" s="2" cm="1">
        <f t="array" ref="H27">INDEX($I$19:$J$92,ROW(A9),$H$10)</f>
        <v>0</v>
      </c>
      <c r="I27" s="2">
        <f t="shared" ref="I27:I32" si="44">IF($C$4&gt;=34,1,0)*$K$3</f>
        <v>0</v>
      </c>
      <c r="J27" s="2">
        <f t="shared" ref="J27:J32" si="45">IF($C$4&gt;=33,1,0)*$K$3</f>
        <v>0</v>
      </c>
      <c r="K27">
        <v>24</v>
      </c>
      <c r="L27" s="2" t="str">
        <f t="shared" si="0"/>
        <v/>
      </c>
      <c r="M27" s="2" t="str">
        <f t="shared" si="1"/>
        <v>⬛</v>
      </c>
      <c r="N27" s="2" t="str">
        <f t="shared" si="2"/>
        <v/>
      </c>
      <c r="O27" s="2" t="str">
        <f t="shared" ref="O27" si="46">IF(ISODD($A$2),$H$1,"")</f>
        <v/>
      </c>
      <c r="P27" s="18" cm="1">
        <f t="array" ref="P27">INDEX(Data!$I$3:$I$182,INT(MOD($G$3,180)/($A$40))*$A$40+A34)</f>
        <v>0.48</v>
      </c>
      <c r="T27" s="15" cm="1">
        <f t="array" ref="T27">INDEX($AM$4:$AM$123,$F$3)</f>
        <v>95</v>
      </c>
      <c r="U27" s="14"/>
      <c r="V27" s="14">
        <v>70</v>
      </c>
      <c r="W27" s="14"/>
      <c r="X27" s="14"/>
      <c r="Y27" s="14"/>
      <c r="Z27" s="14"/>
      <c r="AA27" s="14"/>
      <c r="AB27" s="14"/>
      <c r="AC27" s="14"/>
      <c r="AD27" s="14"/>
      <c r="AE27" s="14"/>
      <c r="AF27" s="14"/>
      <c r="AG27" s="14"/>
      <c r="AH27" s="14"/>
      <c r="AI27" s="14"/>
      <c r="AJ27" s="15">
        <v>250</v>
      </c>
      <c r="AK27" s="15">
        <v>80</v>
      </c>
    </row>
    <row r="28" spans="1:38" x14ac:dyDescent="0.25">
      <c r="A28">
        <v>18</v>
      </c>
      <c r="B28" s="2" t="str" cm="1">
        <f t="array" ref="B28">IF(OR(A28,$K$2=2),CHOOSE($K$2,INDEX($C$11:$F$40,A28,$B$2),INDEX($L$4:$O$47,K28,$B$2)),"")</f>
        <v>⬛</v>
      </c>
      <c r="C28" s="2" t="str">
        <f t="shared" si="11"/>
        <v/>
      </c>
      <c r="D28" s="2" t="str">
        <f t="shared" si="8"/>
        <v>⬛</v>
      </c>
      <c r="E28" s="2" t="str">
        <f t="shared" si="9"/>
        <v>⬛</v>
      </c>
      <c r="F28" s="2" t="str">
        <f t="shared" ref="F28" si="47">IF(ISODD($A$2),$H$1,"")</f>
        <v/>
      </c>
      <c r="G28" s="2">
        <v>1</v>
      </c>
      <c r="H28" s="2" cm="1">
        <f t="array" ref="H28">INDEX($I$19:$J$92,ROW(A10),$H$10)</f>
        <v>0</v>
      </c>
      <c r="I28" s="2">
        <f t="shared" si="44"/>
        <v>0</v>
      </c>
      <c r="J28" s="2">
        <f t="shared" si="45"/>
        <v>0</v>
      </c>
      <c r="K28">
        <v>25</v>
      </c>
      <c r="L28" s="2" t="str">
        <f t="shared" si="0"/>
        <v/>
      </c>
      <c r="M28" s="2" t="str">
        <f t="shared" si="1"/>
        <v>⬛</v>
      </c>
      <c r="N28" s="2" t="str">
        <f t="shared" si="2"/>
        <v/>
      </c>
      <c r="O28" s="2" t="str">
        <f t="shared" ref="O28" si="48">IF(ISEVEN($A$2),$H$1,"")</f>
        <v>⬛</v>
      </c>
      <c r="P28" s="18" cm="1">
        <f t="array" ref="P28">INDEX(Data!$I$3:$I$182,INT(MOD($G$3,180)/($A$40))*$A$40+A35)</f>
        <v>0.41200000000000003</v>
      </c>
      <c r="T28" s="14">
        <f ca="1">SUM(OFFSET($X$7,$F$3,0,13,1))-T27</f>
        <v>0</v>
      </c>
      <c r="U28" s="14"/>
      <c r="V28" s="14">
        <v>75</v>
      </c>
      <c r="W28" s="14"/>
      <c r="X28" s="14"/>
      <c r="Y28" s="14"/>
      <c r="Z28" s="14"/>
      <c r="AA28" s="14"/>
      <c r="AB28" s="14"/>
      <c r="AC28" s="14"/>
      <c r="AD28" s="14"/>
      <c r="AE28" s="14"/>
      <c r="AF28" s="14"/>
      <c r="AG28" s="14"/>
      <c r="AH28" s="14"/>
      <c r="AI28" s="14"/>
      <c r="AJ28" s="15">
        <v>250</v>
      </c>
      <c r="AK28" s="15">
        <v>85</v>
      </c>
    </row>
    <row r="29" spans="1:38" x14ac:dyDescent="0.25">
      <c r="A29">
        <v>19</v>
      </c>
      <c r="B29" s="2" t="str" cm="1">
        <f t="array" ref="B29">IF(OR(A29,$K$2=2),CHOOSE($K$2,INDEX($C$11:$F$40,A29,$B$2),INDEX($L$4:$O$47,K29,$B$2)),"")</f>
        <v/>
      </c>
      <c r="C29" s="2" t="str">
        <f t="shared" si="11"/>
        <v/>
      </c>
      <c r="D29" s="2" t="str">
        <f t="shared" si="8"/>
        <v>⬛</v>
      </c>
      <c r="E29" s="2" t="str">
        <f t="shared" si="9"/>
        <v/>
      </c>
      <c r="F29" s="2" t="str">
        <f t="shared" ref="F29" si="49">IF(ISEVEN($A$2),$H$1,"")</f>
        <v>⬛</v>
      </c>
      <c r="G29" s="2">
        <v>1</v>
      </c>
      <c r="H29" s="2" cm="1">
        <f t="array" ref="H29">INDEX($I$19:$J$92,ROW(A11),$H$10)</f>
        <v>0</v>
      </c>
      <c r="I29" s="2">
        <f t="shared" si="44"/>
        <v>0</v>
      </c>
      <c r="J29" s="2">
        <f t="shared" si="45"/>
        <v>0</v>
      </c>
      <c r="K29">
        <v>26</v>
      </c>
      <c r="L29" s="2" t="str">
        <f t="shared" si="0"/>
        <v/>
      </c>
      <c r="M29" s="2" t="str">
        <f t="shared" si="1"/>
        <v>⬛</v>
      </c>
      <c r="N29" s="2" t="str">
        <f t="shared" si="2"/>
        <v/>
      </c>
      <c r="O29" s="2" t="str">
        <f t="shared" ref="O29" si="50">IF(ISODD($A$2),$H$1,"")</f>
        <v/>
      </c>
      <c r="P29" s="18" cm="1">
        <f t="array" ref="P29">INDEX(Data!$I$3:$I$182,INT(MOD($G$3,180)/($A$40))*$A$40+A36)</f>
        <v>0.35</v>
      </c>
      <c r="Q29" s="4">
        <f>CHOOSE(MATCH($S$29,{0;4;10;18;26},0),27%,41%,55%,60%,100%)</f>
        <v>0.27</v>
      </c>
      <c r="R29" t="s">
        <v>69</v>
      </c>
      <c r="S29" cm="1">
        <f t="array" ref="S29">INDEX(Data!$L$3:$L$182,$G$3)</f>
        <v>0</v>
      </c>
      <c r="T29" s="15" cm="1">
        <f t="array" ref="T29">INDEX($AL$4:$AL$123,$F$3)</f>
        <v>110</v>
      </c>
      <c r="U29" s="14"/>
      <c r="V29" s="14">
        <v>80</v>
      </c>
      <c r="W29" s="14"/>
      <c r="X29" s="14"/>
      <c r="Y29" s="14"/>
      <c r="Z29" s="14"/>
      <c r="AA29" s="14"/>
      <c r="AB29" s="14"/>
      <c r="AC29" s="14"/>
      <c r="AD29" s="14"/>
      <c r="AE29" s="14"/>
      <c r="AF29" s="14"/>
      <c r="AG29" s="14"/>
      <c r="AH29" s="14"/>
      <c r="AI29" s="14"/>
      <c r="AJ29" s="15">
        <v>250</v>
      </c>
      <c r="AK29" s="15">
        <v>90</v>
      </c>
    </row>
    <row r="30" spans="1:38" x14ac:dyDescent="0.25">
      <c r="A30">
        <v>20</v>
      </c>
      <c r="B30" s="2" t="str" cm="1">
        <f t="array" ref="B30">IF(OR(A30,$K$2=2),CHOOSE($K$2,INDEX($C$11:$F$40,A30,$B$2),INDEX($L$4:$O$47,K30,$B$2)),"")</f>
        <v>⬛</v>
      </c>
      <c r="C30" s="2" t="str">
        <f t="shared" si="11"/>
        <v/>
      </c>
      <c r="D30" s="2" t="str">
        <f t="shared" si="8"/>
        <v>⬛</v>
      </c>
      <c r="E30" s="2" t="str">
        <f t="shared" si="9"/>
        <v/>
      </c>
      <c r="F30" s="2" t="str">
        <f t="shared" ref="F30" si="51">IF(ISODD($A$2),$H$1,"")</f>
        <v/>
      </c>
      <c r="G30" s="2">
        <v>1</v>
      </c>
      <c r="H30" s="2" cm="1">
        <f t="array" ref="H30">INDEX($I$19:$J$92,ROW(A12),$H$10)</f>
        <v>0</v>
      </c>
      <c r="I30" s="2">
        <f t="shared" si="44"/>
        <v>0</v>
      </c>
      <c r="J30" s="2">
        <f t="shared" si="45"/>
        <v>0</v>
      </c>
      <c r="K30">
        <v>27</v>
      </c>
      <c r="L30" s="2" t="str">
        <f t="shared" si="0"/>
        <v/>
      </c>
      <c r="M30" s="2" t="str">
        <f t="shared" si="1"/>
        <v>⬛</v>
      </c>
      <c r="N30" s="2" t="str">
        <f t="shared" si="2"/>
        <v/>
      </c>
      <c r="O30" s="2" t="str">
        <f t="shared" ref="O30" si="52">IF(ISEVEN($A$2),$H$1,"")</f>
        <v>⬛</v>
      </c>
      <c r="P30" s="18" cm="1">
        <f t="array" ref="P30">INDEX(Data!$I$3:$I$182,INT(MOD($G$3,180)/($A$40))*$A$40+A37)</f>
        <v>0.29399999999999998</v>
      </c>
      <c r="Q30" s="4">
        <f>CHOOSE(MATCH($S$29,{0;4;10;18;26},0),24%,25%,27%,40%,0%)</f>
        <v>0.24</v>
      </c>
      <c r="R30" t="s">
        <v>70</v>
      </c>
      <c r="S30">
        <f>IF(S29&lt;&gt;0,10,0)</f>
        <v>0</v>
      </c>
      <c r="T30" s="14">
        <f ca="1">SUM(OFFSET($W$6,$F$3,0,14,1))-T29</f>
        <v>0</v>
      </c>
      <c r="U30" s="14"/>
      <c r="V30" s="14">
        <v>85</v>
      </c>
      <c r="W30" s="14"/>
      <c r="X30" s="14"/>
      <c r="Y30" s="14"/>
      <c r="Z30" s="14"/>
      <c r="AA30" s="14"/>
      <c r="AB30" s="14"/>
      <c r="AC30" s="14"/>
      <c r="AD30" s="14"/>
      <c r="AE30" s="14"/>
      <c r="AF30" s="14"/>
      <c r="AG30" s="14"/>
      <c r="AH30" s="14"/>
      <c r="AI30" s="14"/>
      <c r="AJ30" s="15">
        <v>250</v>
      </c>
      <c r="AK30" s="15">
        <v>95</v>
      </c>
    </row>
    <row r="31" spans="1:38" x14ac:dyDescent="0.25">
      <c r="A31">
        <v>21</v>
      </c>
      <c r="B31" s="2" t="str" cm="1">
        <f t="array" ref="B31">IF(OR(A31,$K$2=2),CHOOSE($K$2,INDEX($C$11:$F$40,A31,$B$2),INDEX($L$4:$O$47,K31,$B$2)),"")</f>
        <v/>
      </c>
      <c r="C31" s="2" t="str">
        <f t="shared" si="11"/>
        <v/>
      </c>
      <c r="D31" s="2" t="str">
        <f t="shared" si="8"/>
        <v>⬛</v>
      </c>
      <c r="E31" s="2" t="str">
        <f t="shared" si="9"/>
        <v/>
      </c>
      <c r="F31" s="2" t="str">
        <f t="shared" ref="F31" si="53">IF(ISEVEN($A$2),$H$1,"")</f>
        <v>⬛</v>
      </c>
      <c r="G31" s="2">
        <v>1</v>
      </c>
      <c r="H31" s="2" cm="1">
        <f t="array" ref="H31">INDEX($I$19:$J$92,ROW(A13),$H$10)</f>
        <v>0</v>
      </c>
      <c r="I31" s="2">
        <f t="shared" si="44"/>
        <v>0</v>
      </c>
      <c r="J31" s="2">
        <f t="shared" si="45"/>
        <v>0</v>
      </c>
      <c r="K31">
        <v>28</v>
      </c>
      <c r="L31" s="2" t="str">
        <f t="shared" si="0"/>
        <v/>
      </c>
      <c r="M31" s="2" t="str">
        <f t="shared" si="1"/>
        <v>⬛</v>
      </c>
      <c r="N31" s="2" t="str">
        <f t="shared" si="2"/>
        <v>⬛</v>
      </c>
      <c r="O31" s="2" t="str">
        <f t="shared" ref="O31" si="54">IF(ISODD($A$2),$H$1,"")</f>
        <v/>
      </c>
      <c r="P31" s="18" cm="1">
        <f t="array" ref="P31">INDEX(Data!$I$3:$I$182,INT(MOD($G$3,180)/($A$40))*$A$40+A38)</f>
        <v>0.249</v>
      </c>
      <c r="Q31" s="4">
        <f>CHOOSE(MATCH($S$29,{0;4;10;18;26},0),20%,19%,18%,0%,0%)</f>
        <v>0.2</v>
      </c>
      <c r="R31" t="s">
        <v>71</v>
      </c>
      <c r="T31" s="15" cm="1">
        <f t="array" ref="T31">INDEX($AK$4:$AK$123,$F$3)</f>
        <v>200</v>
      </c>
      <c r="U31" s="14"/>
      <c r="V31" s="14">
        <v>90</v>
      </c>
      <c r="W31" s="14"/>
      <c r="X31" s="14"/>
      <c r="Y31" s="14"/>
      <c r="Z31" s="14"/>
      <c r="AA31" s="14"/>
      <c r="AB31" s="14"/>
      <c r="AC31" s="14"/>
      <c r="AD31" s="14"/>
      <c r="AE31" s="14"/>
      <c r="AF31" s="14"/>
      <c r="AG31" s="14"/>
      <c r="AH31" s="14"/>
      <c r="AI31" s="14"/>
      <c r="AJ31" s="15">
        <v>250</v>
      </c>
      <c r="AK31" s="15">
        <v>110</v>
      </c>
    </row>
    <row r="32" spans="1:38" x14ac:dyDescent="0.25">
      <c r="A32">
        <v>22</v>
      </c>
      <c r="B32" s="2" t="str" cm="1">
        <f t="array" ref="B32">IF(OR(A32,$K$2=2),CHOOSE($K$2,INDEX($C$11:$F$40,A32,$B$2),INDEX($L$4:$O$47,K32,$B$2)),"")</f>
        <v>⬛</v>
      </c>
      <c r="C32" s="2" t="str">
        <f t="shared" si="11"/>
        <v/>
      </c>
      <c r="D32" s="2" t="str">
        <f t="shared" si="8"/>
        <v>⬛</v>
      </c>
      <c r="E32" s="2" t="str">
        <f t="shared" si="9"/>
        <v/>
      </c>
      <c r="F32" s="2" t="str">
        <f t="shared" ref="F32" si="55">IF(ISODD($A$2),$H$1,"")</f>
        <v/>
      </c>
      <c r="G32" s="2">
        <v>1</v>
      </c>
      <c r="H32" s="2" cm="1">
        <f t="array" ref="H32">INDEX($I$19:$J$92,ROW(A14),$H$10)</f>
        <v>0</v>
      </c>
      <c r="I32" s="2">
        <f t="shared" si="44"/>
        <v>0</v>
      </c>
      <c r="J32" s="2">
        <f t="shared" si="45"/>
        <v>0</v>
      </c>
      <c r="K32">
        <v>29</v>
      </c>
      <c r="L32" s="2" t="str">
        <f t="shared" si="0"/>
        <v/>
      </c>
      <c r="M32" s="2" t="str">
        <f t="shared" si="1"/>
        <v>⬛</v>
      </c>
      <c r="N32" s="2" t="str">
        <f t="shared" si="2"/>
        <v/>
      </c>
      <c r="O32" s="2" t="str">
        <f t="shared" ref="O32" si="56">IF(ISEVEN($A$2),$H$1,"")</f>
        <v>⬛</v>
      </c>
      <c r="P32" s="18" cm="1">
        <f t="array" ref="P32">INDEX(Data!$I$3:$I$182,INT(MOD($G$3,180)/($A$40))*$A$40+A39)</f>
        <v>0.21899999999999997</v>
      </c>
      <c r="Q32" s="4">
        <f>CHOOSE(MATCH($S$29,{0;4;10;18;26},0),17%,15%,0%,0%,0%)</f>
        <v>0.17</v>
      </c>
      <c r="R32" t="s">
        <v>72</v>
      </c>
      <c r="T32" s="14">
        <f ca="1">SUM(OFFSET($V$5,$F$3,0,15,1))-T31</f>
        <v>0</v>
      </c>
      <c r="U32" s="14"/>
      <c r="V32" s="14">
        <v>95</v>
      </c>
      <c r="W32" s="14"/>
      <c r="X32" s="14"/>
      <c r="Y32" s="14"/>
      <c r="Z32" s="14"/>
      <c r="AA32" s="14"/>
      <c r="AB32" s="14"/>
      <c r="AC32" s="14"/>
      <c r="AD32" s="14"/>
      <c r="AE32" s="14"/>
      <c r="AF32" s="14"/>
      <c r="AG32" s="14"/>
      <c r="AH32" s="14"/>
      <c r="AI32" s="14"/>
      <c r="AJ32" s="15">
        <v>250</v>
      </c>
      <c r="AK32" s="15">
        <v>200</v>
      </c>
      <c r="AL32" s="15"/>
    </row>
    <row r="33" spans="1:39" x14ac:dyDescent="0.25">
      <c r="A33">
        <v>23</v>
      </c>
      <c r="B33" s="2" t="str" cm="1">
        <f t="array" ref="B33">IF(OR(A33,$K$2=2),CHOOSE($K$2,INDEX($C$11:$F$40,A33,$B$2),INDEX($L$4:$O$47,K33,$B$2)),"")</f>
        <v/>
      </c>
      <c r="C33" s="2" t="str">
        <f t="shared" si="11"/>
        <v/>
      </c>
      <c r="D33" s="2" t="str">
        <f t="shared" si="8"/>
        <v>⬛</v>
      </c>
      <c r="E33" s="2" t="str">
        <f t="shared" si="9"/>
        <v>⬛</v>
      </c>
      <c r="F33" s="2" t="str">
        <f t="shared" ref="F33" si="57">IF(ISEVEN($A$2),$H$1,"")</f>
        <v>⬛</v>
      </c>
      <c r="G33" s="2">
        <v>1</v>
      </c>
      <c r="H33" s="2" t="str" cm="1">
        <f t="array" ref="H33">INDEX($I$19:$J$92,ROW(A15),$H$10)</f>
        <v>folow</v>
      </c>
      <c r="I33" s="2" t="s">
        <v>29</v>
      </c>
      <c r="J33" s="2" t="s">
        <v>29</v>
      </c>
      <c r="K33">
        <v>30</v>
      </c>
      <c r="L33" s="2" t="str">
        <f t="shared" si="0"/>
        <v>⬛</v>
      </c>
      <c r="M33" s="2" t="str">
        <f t="shared" si="1"/>
        <v>⬛</v>
      </c>
      <c r="N33" s="2" t="str">
        <f t="shared" si="2"/>
        <v/>
      </c>
      <c r="O33" s="2" t="str">
        <f t="shared" ref="O33" si="58">IF(ISODD($A$2),$H$1,"")</f>
        <v/>
      </c>
      <c r="P33" s="18" cm="1">
        <f t="array" ref="P33">INDEX(Data!$I$3:$I$182,INT(MOD($G$3,180)/($A$40))*$A$40+A40)</f>
        <v>0.2</v>
      </c>
      <c r="Q33" s="4">
        <f>CHOOSE(MATCH($S$29,{0;4;10;18;26},0),12%,0%,0%,0%,0%)</f>
        <v>0.12</v>
      </c>
      <c r="R33" t="s">
        <v>73</v>
      </c>
      <c r="T33" s="15" cm="1">
        <f t="array" ref="T33">INDEX($AJ$4:$AJ$123,$F$3)</f>
        <v>250</v>
      </c>
      <c r="U33" s="14"/>
      <c r="V33" s="14">
        <v>110</v>
      </c>
      <c r="W33" s="14"/>
      <c r="X33" s="14"/>
      <c r="Y33" s="14"/>
      <c r="Z33" s="14"/>
      <c r="AA33" s="14"/>
      <c r="AB33" s="14"/>
      <c r="AC33" s="14"/>
      <c r="AD33" s="14"/>
      <c r="AE33" s="14"/>
      <c r="AF33" s="14"/>
      <c r="AG33" s="14"/>
      <c r="AH33" s="14"/>
      <c r="AI33" s="14"/>
      <c r="AJ33" s="15">
        <v>250</v>
      </c>
      <c r="AK33" s="15">
        <v>200</v>
      </c>
      <c r="AL33" s="15">
        <v>40</v>
      </c>
    </row>
    <row r="34" spans="1:39" x14ac:dyDescent="0.25">
      <c r="A34">
        <v>24</v>
      </c>
      <c r="B34" s="2" t="str" cm="1">
        <f t="array" ref="B34">IF(OR(A34,$K$2=2),CHOOSE($K$2,INDEX($C$11:$F$40,A34,$B$2),INDEX($L$4:$O$47,K34,$B$2)),"")</f>
        <v>⬛</v>
      </c>
      <c r="C34" s="2" t="str">
        <f t="shared" si="11"/>
        <v/>
      </c>
      <c r="D34" s="2" t="str">
        <f t="shared" si="8"/>
        <v>⬛</v>
      </c>
      <c r="E34" s="2" t="str">
        <f t="shared" si="9"/>
        <v/>
      </c>
      <c r="F34" s="2" t="str">
        <f t="shared" ref="F34" si="59">IF(ISODD($A$2),$H$1,"")</f>
        <v/>
      </c>
      <c r="G34" s="2">
        <v>1</v>
      </c>
      <c r="H34" s="2" cm="1">
        <f t="array" ref="H34">INDEX($I$19:$J$92,ROW(A16),$H$10)</f>
        <v>1</v>
      </c>
      <c r="I34" s="2">
        <f>AND($C$4&gt;A11,$C$4&lt;34)*1*$K$3</f>
        <v>1</v>
      </c>
      <c r="J34" s="2">
        <f>(NOT(AND($C$4&gt;=A11))*1-($C$4=0))*$K$3</f>
        <v>0</v>
      </c>
      <c r="K34">
        <v>31</v>
      </c>
      <c r="L34" s="2" t="str">
        <f t="shared" si="0"/>
        <v/>
      </c>
      <c r="M34" s="2" t="str">
        <f t="shared" si="1"/>
        <v/>
      </c>
      <c r="N34" s="2" t="str">
        <f t="shared" si="2"/>
        <v/>
      </c>
      <c r="O34" s="2" t="str">
        <f t="shared" ref="O34" si="60">IF(ISEVEN($A$2),$H$1,"")</f>
        <v>⬛</v>
      </c>
      <c r="T34" s="14">
        <f ca="1">SUM(OFFSET($U$4,$F$3,0,15,1))-T33</f>
        <v>0</v>
      </c>
      <c r="U34" s="14">
        <v>250</v>
      </c>
      <c r="V34" s="14">
        <v>200</v>
      </c>
      <c r="W34" s="14"/>
      <c r="X34" s="14"/>
      <c r="Y34" s="14"/>
      <c r="Z34" s="14"/>
      <c r="AA34" s="14"/>
      <c r="AB34" s="14"/>
      <c r="AC34" s="14"/>
      <c r="AD34" s="14"/>
      <c r="AE34" s="14"/>
      <c r="AF34" s="14"/>
      <c r="AG34" s="14"/>
      <c r="AH34" s="14"/>
      <c r="AI34" s="14"/>
      <c r="AJ34" s="15">
        <v>250</v>
      </c>
      <c r="AK34" s="15">
        <v>200</v>
      </c>
      <c r="AL34" s="15">
        <v>45</v>
      </c>
    </row>
    <row r="35" spans="1:39" x14ac:dyDescent="0.25">
      <c r="A35">
        <v>25</v>
      </c>
      <c r="B35" s="2" t="str" cm="1">
        <f t="array" ref="B35">IF(OR(A35,$K$2=2),CHOOSE($K$2,INDEX($C$11:$F$40,A35,$B$2),INDEX($L$4:$O$47,K35,$B$2)),"")</f>
        <v/>
      </c>
      <c r="C35" s="2" t="str">
        <f t="shared" si="11"/>
        <v/>
      </c>
      <c r="D35" s="2" t="str">
        <f t="shared" si="8"/>
        <v>⬛</v>
      </c>
      <c r="E35" s="2" t="str">
        <f t="shared" si="9"/>
        <v/>
      </c>
      <c r="F35" s="2" t="str">
        <f t="shared" ref="F35" si="61">IF(ISEVEN($A$2),$H$1,"")</f>
        <v>⬛</v>
      </c>
      <c r="G35" s="2">
        <v>1</v>
      </c>
      <c r="H35" s="2" cm="1">
        <f t="array" ref="H35">INDEX($I$19:$J$92,ROW(A17),$H$10)</f>
        <v>1</v>
      </c>
      <c r="I35" s="2">
        <f t="shared" ref="I35:I40" si="62">AND($C$4&gt;A12,$C$4&lt;34)*1*$K$3</f>
        <v>1</v>
      </c>
      <c r="J35" s="2">
        <f t="shared" ref="J35:J40" si="63">(NOT(AND($C$4&gt;=A12))*1-($C$4=0))*$K$3</f>
        <v>0</v>
      </c>
      <c r="K35">
        <v>32</v>
      </c>
      <c r="L35" s="2" t="str">
        <f t="shared" si="0"/>
        <v/>
      </c>
      <c r="M35" s="2" t="str">
        <f t="shared" si="1"/>
        <v/>
      </c>
      <c r="N35" s="2" t="str">
        <f t="shared" si="2"/>
        <v/>
      </c>
      <c r="O35" s="2" t="str">
        <f t="shared" ref="O35" si="64">IF(ISODD($A$2),$H$1,"")</f>
        <v/>
      </c>
      <c r="T35" s="16">
        <f ca="1">SUM(T4:T34)</f>
        <v>1670</v>
      </c>
      <c r="U35" s="14"/>
      <c r="V35" s="14"/>
      <c r="W35" s="14">
        <v>300</v>
      </c>
      <c r="X35" s="14"/>
      <c r="Y35" s="14"/>
      <c r="Z35" s="14"/>
      <c r="AA35" s="14"/>
      <c r="AB35" s="14"/>
      <c r="AC35" s="14"/>
      <c r="AD35" s="14"/>
      <c r="AE35" s="14"/>
      <c r="AF35" s="14"/>
      <c r="AG35" s="14"/>
      <c r="AH35" s="14"/>
      <c r="AI35" s="14"/>
      <c r="AJ35" s="15">
        <v>250</v>
      </c>
      <c r="AK35" s="15">
        <v>200</v>
      </c>
      <c r="AL35" s="15">
        <v>50</v>
      </c>
    </row>
    <row r="36" spans="1:39" x14ac:dyDescent="0.25">
      <c r="A36">
        <v>26</v>
      </c>
      <c r="B36" s="2" t="str" cm="1">
        <f t="array" ref="B36">IF(OR(A36,$K$2=2),CHOOSE($K$2,INDEX($C$11:$F$40,A36,$B$2),INDEX($L$4:$O$47,K36,$B$2)),"")</f>
        <v>⬛</v>
      </c>
      <c r="C36" s="2" t="str">
        <f t="shared" si="11"/>
        <v/>
      </c>
      <c r="D36" s="2" t="str">
        <f t="shared" si="8"/>
        <v>⬛</v>
      </c>
      <c r="E36" s="2" t="str">
        <f t="shared" si="9"/>
        <v/>
      </c>
      <c r="F36" s="2" t="str">
        <f t="shared" ref="F36" si="65">IF(ISODD($A$2),$H$1,"")</f>
        <v/>
      </c>
      <c r="G36" s="2">
        <v>1</v>
      </c>
      <c r="H36" s="2" cm="1">
        <f t="array" ref="H36">INDEX($I$19:$J$92,ROW(A18),$H$10)</f>
        <v>1</v>
      </c>
      <c r="I36" s="2">
        <f t="shared" si="62"/>
        <v>1</v>
      </c>
      <c r="J36" s="2">
        <f t="shared" si="63"/>
        <v>0</v>
      </c>
      <c r="K36">
        <v>33</v>
      </c>
      <c r="L36" s="2" t="str">
        <f t="shared" si="0"/>
        <v/>
      </c>
      <c r="M36" s="2" t="str">
        <f t="shared" si="1"/>
        <v/>
      </c>
      <c r="N36" s="2" t="str">
        <f t="shared" si="2"/>
        <v>⬛</v>
      </c>
      <c r="O36" s="2" t="str">
        <f t="shared" ref="O36" si="66">IF(ISEVEN($A$2),$H$1,"")</f>
        <v>⬛</v>
      </c>
      <c r="T36" s="17" cm="1">
        <f t="array" aca="1" ref="T36" ca="1">SUMPRODUCT((MOD(ROW(T4:T34),2)=1)*(T4:T34))/(T35-S4)</f>
        <v>0.84671532846715325</v>
      </c>
      <c r="U36" s="14"/>
      <c r="V36" s="14"/>
      <c r="W36" s="14">
        <v>40</v>
      </c>
      <c r="X36" s="14"/>
      <c r="Y36" s="14"/>
      <c r="Z36" s="14"/>
      <c r="AA36" s="14"/>
      <c r="AB36" s="14"/>
      <c r="AC36" s="14"/>
      <c r="AD36" s="14"/>
      <c r="AE36" s="14"/>
      <c r="AF36" s="14"/>
      <c r="AG36" s="14"/>
      <c r="AH36" s="14"/>
      <c r="AI36" s="14"/>
      <c r="AJ36" s="15">
        <v>250</v>
      </c>
      <c r="AK36" s="15">
        <v>200</v>
      </c>
      <c r="AL36" s="15">
        <v>55</v>
      </c>
    </row>
    <row r="37" spans="1:39" x14ac:dyDescent="0.25">
      <c r="A37">
        <v>27</v>
      </c>
      <c r="B37" s="2" t="str" cm="1">
        <f t="array" ref="B37">IF(OR(A37,$K$2=2),CHOOSE($K$2,INDEX($C$11:$F$40,A37,$B$2),INDEX($L$4:$O$47,K37,$B$2)),"")</f>
        <v/>
      </c>
      <c r="C37" s="2" t="str">
        <f t="shared" si="11"/>
        <v/>
      </c>
      <c r="D37" s="2" t="str">
        <f t="shared" si="8"/>
        <v>⬛</v>
      </c>
      <c r="E37" s="2" t="str">
        <f t="shared" si="9"/>
        <v/>
      </c>
      <c r="F37" s="2" t="str">
        <f t="shared" ref="F37" si="67">IF(ISEVEN($A$2),$H$1,"")</f>
        <v>⬛</v>
      </c>
      <c r="G37" s="2">
        <v>1</v>
      </c>
      <c r="H37" s="2" cm="1">
        <f t="array" ref="H37">INDEX($I$19:$J$92,ROW(A19),$H$10)</f>
        <v>1</v>
      </c>
      <c r="I37" s="2">
        <f t="shared" si="62"/>
        <v>1</v>
      </c>
      <c r="J37" s="2">
        <f t="shared" si="63"/>
        <v>0</v>
      </c>
      <c r="K37">
        <v>34</v>
      </c>
      <c r="L37" s="2" t="str">
        <f t="shared" si="0"/>
        <v/>
      </c>
      <c r="M37" s="2" t="str">
        <f t="shared" si="1"/>
        <v/>
      </c>
      <c r="N37" s="2" t="str">
        <f t="shared" si="2"/>
        <v/>
      </c>
      <c r="O37" s="2" t="str">
        <f t="shared" ref="O37" si="68">IF(ISODD($A$2),$H$1,"")</f>
        <v/>
      </c>
      <c r="P37" t="s">
        <v>55</v>
      </c>
      <c r="S37" s="8" t="s">
        <v>50</v>
      </c>
      <c r="U37" s="14"/>
      <c r="V37" s="14"/>
      <c r="W37" s="14">
        <v>45</v>
      </c>
      <c r="X37" s="14"/>
      <c r="Y37" s="14"/>
      <c r="Z37" s="14"/>
      <c r="AA37" s="14"/>
      <c r="AB37" s="14"/>
      <c r="AC37" s="14"/>
      <c r="AD37" s="14"/>
      <c r="AE37" s="14"/>
      <c r="AF37" s="14"/>
      <c r="AG37" s="14"/>
      <c r="AH37" s="14"/>
      <c r="AI37" s="14"/>
      <c r="AJ37" s="15">
        <v>250</v>
      </c>
      <c r="AK37" s="15">
        <v>200</v>
      </c>
      <c r="AL37" s="15">
        <v>60</v>
      </c>
    </row>
    <row r="38" spans="1:39" x14ac:dyDescent="0.25">
      <c r="A38">
        <v>28</v>
      </c>
      <c r="B38" s="2" t="str" cm="1">
        <f t="array" ref="B38">IF(OR(A38,$K$2=2),CHOOSE($K$2,INDEX($C$11:$F$40,A38,$B$2),INDEX($L$4:$O$47,K38,$B$2)),"")</f>
        <v>⬛</v>
      </c>
      <c r="C38" s="2" t="str">
        <f t="shared" si="11"/>
        <v/>
      </c>
      <c r="D38" s="2" t="str">
        <f t="shared" si="8"/>
        <v>⬛</v>
      </c>
      <c r="E38" s="2" t="str">
        <f t="shared" si="9"/>
        <v>⬛</v>
      </c>
      <c r="F38" s="2" t="str">
        <f t="shared" ref="F38" si="69">IF(ISODD($A$2),$H$1,"")</f>
        <v/>
      </c>
      <c r="G38" s="2">
        <v>1</v>
      </c>
      <c r="H38" s="2" cm="1">
        <f t="array" ref="H38">INDEX($I$19:$J$92,ROW(A20),$H$10)</f>
        <v>1</v>
      </c>
      <c r="I38" s="2">
        <f t="shared" si="62"/>
        <v>1</v>
      </c>
      <c r="J38" s="2">
        <f t="shared" si="63"/>
        <v>0</v>
      </c>
      <c r="K38">
        <v>35</v>
      </c>
      <c r="L38" s="2" t="str">
        <f t="shared" si="0"/>
        <v/>
      </c>
      <c r="M38" s="2" t="str">
        <f t="shared" si="1"/>
        <v/>
      </c>
      <c r="N38" s="2" t="str">
        <f t="shared" si="2"/>
        <v/>
      </c>
      <c r="O38" s="2" t="str">
        <f t="shared" ref="O38" si="70">IF(ISEVEN($A$2),$H$1,"")</f>
        <v>⬛</v>
      </c>
      <c r="P38" t="s">
        <v>60</v>
      </c>
      <c r="Q38" s="18" cm="1">
        <f t="array" ref="Q38">INDEX(Data!$G$3:$G$182,$G$3)</f>
        <v>0.65100000000000002</v>
      </c>
      <c r="R38" s="18">
        <f>1-Q38</f>
        <v>0.34899999999999998</v>
      </c>
      <c r="S38" s="18">
        <v>0.2</v>
      </c>
      <c r="U38" s="14"/>
      <c r="V38" s="14"/>
      <c r="W38" s="14">
        <v>50</v>
      </c>
      <c r="X38" s="14"/>
      <c r="Y38" s="14"/>
      <c r="Z38" s="14"/>
      <c r="AA38" s="14"/>
      <c r="AB38" s="14"/>
      <c r="AC38" s="14"/>
      <c r="AD38" s="14"/>
      <c r="AE38" s="14"/>
      <c r="AF38" s="14"/>
      <c r="AG38" s="14"/>
      <c r="AH38" s="14"/>
      <c r="AI38" s="14"/>
      <c r="AJ38" s="15">
        <v>250</v>
      </c>
      <c r="AK38" s="15">
        <v>200</v>
      </c>
      <c r="AL38" s="15">
        <v>65</v>
      </c>
    </row>
    <row r="39" spans="1:39" x14ac:dyDescent="0.25">
      <c r="A39">
        <v>29</v>
      </c>
      <c r="B39" s="2" t="str" cm="1">
        <f t="array" ref="B39">IF(OR(A39,$K$2=2),CHOOSE($K$2,INDEX($C$11:$F$40,A39,$B$2),INDEX($L$4:$O$47,K39,$B$2)),"")</f>
        <v/>
      </c>
      <c r="C39" s="2" t="str">
        <f t="shared" si="11"/>
        <v/>
      </c>
      <c r="D39" s="2" t="str">
        <f t="shared" si="8"/>
        <v>⬛</v>
      </c>
      <c r="E39" s="2" t="str">
        <f t="shared" si="9"/>
        <v/>
      </c>
      <c r="F39" s="2" t="str">
        <f t="shared" ref="F39" si="71">IF(ISEVEN($A$2),$H$1,"")</f>
        <v>⬛</v>
      </c>
      <c r="G39" s="2">
        <v>1</v>
      </c>
      <c r="H39" s="2" cm="1">
        <f t="array" ref="H39">INDEX($I$19:$J$92,ROW(A21),$H$10)</f>
        <v>1</v>
      </c>
      <c r="I39" s="2">
        <f t="shared" si="62"/>
        <v>1</v>
      </c>
      <c r="J39" s="2">
        <f t="shared" si="63"/>
        <v>0</v>
      </c>
      <c r="K39">
        <v>36</v>
      </c>
      <c r="L39" s="2" t="str">
        <f t="shared" si="0"/>
        <v/>
      </c>
      <c r="M39" s="2" t="str">
        <f t="shared" si="1"/>
        <v/>
      </c>
      <c r="N39" s="2" t="str">
        <f t="shared" si="2"/>
        <v/>
      </c>
      <c r="O39" s="2" t="str">
        <f t="shared" ref="O39" si="72">IF(ISODD($A$2),$H$1,"")</f>
        <v/>
      </c>
      <c r="P39" t="s">
        <v>59</v>
      </c>
      <c r="Q39" s="18" cm="1">
        <f t="array" ref="Q39">INDEX(Data!$H$3:$H$182,$G$3)</f>
        <v>0.66700000000000004</v>
      </c>
      <c r="R39" s="18">
        <f>1-Q39</f>
        <v>0.33299999999999996</v>
      </c>
      <c r="S39" s="18">
        <v>0.2</v>
      </c>
      <c r="U39" s="14"/>
      <c r="V39" s="14"/>
      <c r="W39" s="14">
        <v>55</v>
      </c>
      <c r="X39" s="14"/>
      <c r="Y39" s="14"/>
      <c r="Z39" s="14"/>
      <c r="AA39" s="14"/>
      <c r="AB39" s="14"/>
      <c r="AC39" s="14"/>
      <c r="AD39" s="14"/>
      <c r="AE39" s="14"/>
      <c r="AF39" s="14"/>
      <c r="AG39" s="14"/>
      <c r="AH39" s="14"/>
      <c r="AI39" s="14"/>
      <c r="AJ39" s="15">
        <v>250</v>
      </c>
      <c r="AK39" s="15">
        <v>200</v>
      </c>
      <c r="AL39" s="15">
        <v>70</v>
      </c>
    </row>
    <row r="40" spans="1:39" x14ac:dyDescent="0.25">
      <c r="A40">
        <v>30</v>
      </c>
      <c r="B40" s="2" t="str" cm="1">
        <f t="array" ref="B40">IF(OR(A40,$K$2=2),CHOOSE($K$2,INDEX($C$11:$F$40,A40,$B$2),INDEX($L$4:$O$47,K40,$B$2)),"")</f>
        <v>⬛</v>
      </c>
      <c r="C40" s="2" t="str">
        <f t="shared" si="11"/>
        <v/>
      </c>
      <c r="D40" s="2" t="str">
        <f t="shared" si="8"/>
        <v>⬛</v>
      </c>
      <c r="E40" s="2" t="str">
        <f t="shared" si="9"/>
        <v/>
      </c>
      <c r="F40" s="2" t="str">
        <f t="shared" ref="F40" si="73">IF(ISODD($A$2),$H$1,"")</f>
        <v/>
      </c>
      <c r="G40" s="2">
        <v>1</v>
      </c>
      <c r="H40" s="10" cm="1">
        <f t="array" ref="H40">INDEX($I$19:$J$92,ROW(A22),$H$10)</f>
        <v>1</v>
      </c>
      <c r="I40" s="2">
        <f t="shared" si="62"/>
        <v>1</v>
      </c>
      <c r="J40" s="2">
        <f t="shared" si="63"/>
        <v>0</v>
      </c>
      <c r="K40">
        <v>37</v>
      </c>
      <c r="L40" s="2" t="str">
        <f t="shared" si="0"/>
        <v/>
      </c>
      <c r="M40" s="2" t="str">
        <f t="shared" si="1"/>
        <v/>
      </c>
      <c r="N40" s="2" t="str">
        <f t="shared" si="2"/>
        <v/>
      </c>
      <c r="O40" s="2" t="str">
        <f t="shared" ref="O40" si="74">IF(ISEVEN($A$2),$H$1,"")</f>
        <v>⬛</v>
      </c>
      <c r="U40" s="14"/>
      <c r="V40" s="14"/>
      <c r="W40" s="14">
        <v>60</v>
      </c>
      <c r="X40" s="14"/>
      <c r="Y40" s="14"/>
      <c r="Z40" s="14"/>
      <c r="AA40" s="14"/>
      <c r="AB40" s="14"/>
      <c r="AC40" s="14"/>
      <c r="AD40" s="14"/>
      <c r="AE40" s="14"/>
      <c r="AF40" s="14"/>
      <c r="AG40" s="14"/>
      <c r="AH40" s="14"/>
      <c r="AI40" s="14"/>
      <c r="AJ40" s="15">
        <v>250</v>
      </c>
      <c r="AK40" s="15">
        <v>200</v>
      </c>
      <c r="AL40" s="15">
        <v>75</v>
      </c>
    </row>
    <row r="41" spans="1:39" x14ac:dyDescent="0.25">
      <c r="B41" s="2" t="str" cm="1">
        <f t="array" ref="B41">IF(OR(A41,$K$2=2),CHOOSE($K$2,INDEX($C$11:$F$40,A41,$B$2),INDEX($L$4:$O$47,K41,$B$2)),"")</f>
        <v/>
      </c>
      <c r="H41" s="2" cm="1">
        <f t="array" ref="H41">INDEX($I$19:$J$92,ROW(A23),$H$10)</f>
        <v>0</v>
      </c>
      <c r="I41" s="2">
        <f>($C$4&gt;A48)*1*$K$3</f>
        <v>0</v>
      </c>
      <c r="J41" s="2">
        <f t="shared" ref="J41:J46" si="75">(AND($C$4&gt;=33,$C$4&lt;A48)*1+($C$4=0))*$K$3</f>
        <v>0</v>
      </c>
      <c r="K41">
        <v>38</v>
      </c>
      <c r="L41" s="2" t="str">
        <f t="shared" si="0"/>
        <v/>
      </c>
      <c r="M41" s="2" t="str">
        <f t="shared" si="1"/>
        <v/>
      </c>
      <c r="N41" s="2" t="str">
        <f t="shared" si="2"/>
        <v>⬛</v>
      </c>
      <c r="O41" s="2" t="str">
        <f t="shared" ref="O41" si="76">IF(ISODD($A$2),$H$1,"")</f>
        <v/>
      </c>
      <c r="Q41" t="s">
        <v>57</v>
      </c>
      <c r="R41" t="s">
        <v>58</v>
      </c>
      <c r="U41" s="14"/>
      <c r="V41" s="14"/>
      <c r="W41" s="14">
        <v>65</v>
      </c>
      <c r="X41" s="14"/>
      <c r="Y41" s="14"/>
      <c r="Z41" s="14"/>
      <c r="AA41" s="14"/>
      <c r="AB41" s="14"/>
      <c r="AC41" s="14"/>
      <c r="AD41" s="14"/>
      <c r="AE41" s="14"/>
      <c r="AF41" s="14"/>
      <c r="AG41" s="14"/>
      <c r="AH41" s="14"/>
      <c r="AI41" s="14"/>
      <c r="AJ41" s="15">
        <v>250</v>
      </c>
      <c r="AK41" s="15">
        <v>200</v>
      </c>
      <c r="AL41" s="15">
        <v>80</v>
      </c>
    </row>
    <row r="42" spans="1:39" x14ac:dyDescent="0.25">
      <c r="B42" s="2" t="str" cm="1">
        <f t="array" ref="B42">IF(OR(A42,$K$2=2),CHOOSE($K$2,INDEX($C$11:$F$40,A42,$B$2),INDEX($L$4:$O$47,K42,$B$2)),"")</f>
        <v>⬛</v>
      </c>
      <c r="H42" s="2" cm="1">
        <f t="array" ref="H42">INDEX($I$19:$J$92,ROW(A24),$H$10)</f>
        <v>0</v>
      </c>
      <c r="I42" s="2">
        <f t="shared" ref="I42:I47" si="77">($C$4&gt;A49)*1*$K$3</f>
        <v>0</v>
      </c>
      <c r="J42" s="2">
        <f t="shared" si="75"/>
        <v>0</v>
      </c>
      <c r="K42">
        <v>39</v>
      </c>
      <c r="L42" s="2" t="str">
        <f t="shared" si="0"/>
        <v/>
      </c>
      <c r="M42" s="2" t="str">
        <f t="shared" si="1"/>
        <v/>
      </c>
      <c r="N42" s="2" t="str">
        <f t="shared" si="2"/>
        <v/>
      </c>
      <c r="O42" s="2" t="str">
        <f t="shared" ref="O42" si="78">IF(ISEVEN($A$2),$H$1,"")</f>
        <v>⬛</v>
      </c>
      <c r="Q42" s="18" cm="1">
        <f t="array" ref="Q42">INDEX(Data!$F$3:$F$182,$G$3)</f>
        <v>0.51</v>
      </c>
      <c r="R42" s="18" cm="1">
        <f t="array" ref="R42">INDEX(Data!$E$3:$E$182,$G$3)</f>
        <v>0.66</v>
      </c>
      <c r="U42" s="14"/>
      <c r="V42" s="14"/>
      <c r="W42" s="14">
        <v>70</v>
      </c>
      <c r="X42" s="14"/>
      <c r="Y42" s="14"/>
      <c r="Z42" s="14"/>
      <c r="AA42" s="14"/>
      <c r="AB42" s="14"/>
      <c r="AC42" s="14"/>
      <c r="AD42" s="14"/>
      <c r="AE42" s="14"/>
      <c r="AF42" s="14"/>
      <c r="AG42" s="14"/>
      <c r="AH42" s="14"/>
      <c r="AI42" s="14"/>
      <c r="AJ42" s="15">
        <v>250</v>
      </c>
      <c r="AK42" s="15">
        <v>200</v>
      </c>
      <c r="AL42" s="15">
        <v>85</v>
      </c>
    </row>
    <row r="43" spans="1:39" x14ac:dyDescent="0.25">
      <c r="B43" s="2" t="str" cm="1">
        <f t="array" ref="B43">IF(OR(A43,$K$2=2),CHOOSE($K$2,INDEX($C$11:$F$40,A43,$B$2),INDEX($L$4:$O$47,K43,$B$2)),"")</f>
        <v/>
      </c>
      <c r="H43" s="2" cm="1">
        <f t="array" ref="H43">INDEX($I$19:$J$92,ROW(A25),$H$10)</f>
        <v>0</v>
      </c>
      <c r="I43" s="2">
        <f t="shared" si="77"/>
        <v>0</v>
      </c>
      <c r="J43" s="2">
        <f t="shared" si="75"/>
        <v>0</v>
      </c>
      <c r="K43">
        <v>40</v>
      </c>
      <c r="L43" s="2" t="str">
        <f t="shared" si="0"/>
        <v/>
      </c>
      <c r="M43" s="2" t="str">
        <f t="shared" si="1"/>
        <v/>
      </c>
      <c r="N43" s="2" t="str">
        <f t="shared" si="2"/>
        <v/>
      </c>
      <c r="O43" s="2" t="str">
        <f t="shared" ref="O43" si="79">IF(ISODD($A$2),$H$1,"")</f>
        <v/>
      </c>
      <c r="Q43" s="18">
        <f>1-Q42</f>
        <v>0.49</v>
      </c>
      <c r="R43" s="18">
        <f>1-R42</f>
        <v>0.33999999999999997</v>
      </c>
      <c r="U43" s="14"/>
      <c r="V43" s="14"/>
      <c r="W43" s="14">
        <v>75</v>
      </c>
      <c r="X43" s="14"/>
      <c r="Y43" s="14"/>
      <c r="Z43" s="14"/>
      <c r="AA43" s="14"/>
      <c r="AB43" s="14"/>
      <c r="AC43" s="14"/>
      <c r="AD43" s="14"/>
      <c r="AE43" s="14"/>
      <c r="AF43" s="14"/>
      <c r="AG43" s="14"/>
      <c r="AH43" s="14"/>
      <c r="AI43" s="14"/>
      <c r="AJ43" s="15">
        <v>250</v>
      </c>
      <c r="AK43" s="15">
        <v>200</v>
      </c>
      <c r="AL43" s="15">
        <v>90</v>
      </c>
    </row>
    <row r="44" spans="1:39" x14ac:dyDescent="0.25">
      <c r="B44" s="2" t="str" cm="1">
        <f t="array" ref="B44">IF(OR(A44,$K$2=2),CHOOSE($K$2,INDEX($C$11:$F$40,A44,$B$2),INDEX($L$4:$O$47,K44,$B$2)),"")</f>
        <v>⬛</v>
      </c>
      <c r="H44" s="2" cm="1">
        <f t="array" ref="H44">INDEX($I$19:$J$92,ROW(A26),$H$10)</f>
        <v>0</v>
      </c>
      <c r="I44" s="2">
        <f t="shared" si="77"/>
        <v>0</v>
      </c>
      <c r="J44" s="2">
        <f t="shared" si="75"/>
        <v>0</v>
      </c>
      <c r="K44">
        <v>41</v>
      </c>
      <c r="L44" s="2" t="str">
        <f t="shared" si="0"/>
        <v/>
      </c>
      <c r="M44" s="2" t="str">
        <f t="shared" si="1"/>
        <v/>
      </c>
      <c r="N44" s="2" t="str">
        <f t="shared" si="2"/>
        <v/>
      </c>
      <c r="O44" s="2" t="str">
        <f t="shared" ref="O44" si="80">IF(ISEVEN($A$2),$H$1,"")</f>
        <v>⬛</v>
      </c>
      <c r="U44" s="14"/>
      <c r="V44" s="14"/>
      <c r="W44" s="14">
        <v>80</v>
      </c>
      <c r="X44" s="14"/>
      <c r="Y44" s="14"/>
      <c r="Z44" s="14"/>
      <c r="AA44" s="14"/>
      <c r="AB44" s="14"/>
      <c r="AC44" s="14"/>
      <c r="AD44" s="14"/>
      <c r="AE44" s="14"/>
      <c r="AF44" s="14"/>
      <c r="AG44" s="14"/>
      <c r="AH44" s="14"/>
      <c r="AI44" s="14"/>
      <c r="AJ44" s="15">
        <v>250</v>
      </c>
      <c r="AK44" s="15">
        <v>200</v>
      </c>
      <c r="AL44" s="15">
        <v>95</v>
      </c>
    </row>
    <row r="45" spans="1:39" x14ac:dyDescent="0.25">
      <c r="B45" s="2" t="str" cm="1">
        <f t="array" ref="B45">IF(OR(A45,$K$2=2),CHOOSE($K$2,INDEX($C$11:$F$40,A45,$B$2),INDEX($L$4:$O$47,K45,$B$2)),"")</f>
        <v/>
      </c>
      <c r="H45" s="2" cm="1">
        <f t="array" ref="H45">INDEX($I$19:$J$92,ROW(A27),$H$10)</f>
        <v>0</v>
      </c>
      <c r="I45" s="2">
        <f t="shared" si="77"/>
        <v>0</v>
      </c>
      <c r="J45" s="2">
        <f t="shared" si="75"/>
        <v>0</v>
      </c>
      <c r="K45">
        <v>42</v>
      </c>
      <c r="L45" s="2" t="str">
        <f t="shared" si="0"/>
        <v/>
      </c>
      <c r="M45" s="2" t="str">
        <f t="shared" si="1"/>
        <v/>
      </c>
      <c r="N45" s="2" t="str">
        <f t="shared" si="2"/>
        <v/>
      </c>
      <c r="O45" s="2" t="str">
        <f t="shared" ref="O45" si="81">IF(ISODD($A$2),$H$1,"")</f>
        <v/>
      </c>
      <c r="U45" s="14"/>
      <c r="V45" s="14"/>
      <c r="W45" s="14">
        <v>85</v>
      </c>
      <c r="X45" s="14"/>
      <c r="Y45" s="14"/>
      <c r="Z45" s="14"/>
      <c r="AA45" s="14"/>
      <c r="AB45" s="14"/>
      <c r="AC45" s="14"/>
      <c r="AD45" s="14"/>
      <c r="AE45" s="14"/>
      <c r="AF45" s="14"/>
      <c r="AG45" s="14"/>
      <c r="AH45" s="14"/>
      <c r="AI45" s="14"/>
      <c r="AJ45" s="15">
        <v>250</v>
      </c>
      <c r="AK45" s="15">
        <v>200</v>
      </c>
      <c r="AL45" s="15">
        <v>110</v>
      </c>
    </row>
    <row r="46" spans="1:39" x14ac:dyDescent="0.25">
      <c r="B46" s="2" t="str" cm="1">
        <f t="array" ref="B46">IF(OR(A46,$K$2=2),CHOOSE($K$2,INDEX($C$11:$F$40,A46,$B$2),INDEX($L$4:$O$47,K46,$B$2)),"")</f>
        <v>⬛</v>
      </c>
      <c r="H46" s="2" cm="1">
        <f t="array" ref="H46">INDEX($I$19:$J$92,ROW(A28),$H$10)</f>
        <v>0</v>
      </c>
      <c r="I46" s="2">
        <f t="shared" si="77"/>
        <v>0</v>
      </c>
      <c r="J46" s="2">
        <f t="shared" si="75"/>
        <v>0</v>
      </c>
      <c r="K46">
        <v>43</v>
      </c>
      <c r="L46" s="2" t="str">
        <f t="shared" si="0"/>
        <v/>
      </c>
      <c r="M46" s="2" t="str">
        <f t="shared" si="1"/>
        <v/>
      </c>
      <c r="N46" s="2" t="str">
        <f t="shared" si="2"/>
        <v>⬛</v>
      </c>
      <c r="O46" s="2" t="str">
        <f t="shared" ref="O46" si="82">IF(ISEVEN($A$2),$H$1,"")</f>
        <v>⬛</v>
      </c>
      <c r="U46" s="14"/>
      <c r="V46" s="14"/>
      <c r="W46" s="14">
        <v>90</v>
      </c>
      <c r="X46" s="14"/>
      <c r="Y46" s="14"/>
      <c r="Z46" s="14"/>
      <c r="AA46" s="14"/>
      <c r="AB46" s="14"/>
      <c r="AC46" s="14"/>
      <c r="AD46" s="14"/>
      <c r="AE46" s="14"/>
      <c r="AF46" s="14"/>
      <c r="AG46" s="14"/>
      <c r="AH46" s="14"/>
      <c r="AI46" s="14"/>
      <c r="AJ46" s="15">
        <v>250</v>
      </c>
      <c r="AK46" s="15">
        <v>200</v>
      </c>
      <c r="AL46" s="15">
        <v>110</v>
      </c>
      <c r="AM46" s="15">
        <v>40</v>
      </c>
    </row>
    <row r="47" spans="1:39" x14ac:dyDescent="0.25">
      <c r="B47" s="2" t="str" cm="1">
        <f t="array" ref="B47">IF(OR(A47,$K$2=2),CHOOSE($K$2,INDEX($C$11:$F$40,A47,$B$2),INDEX($L$4:$O$47,K47,$B$2)),"")</f>
        <v/>
      </c>
      <c r="H47" s="2" cm="1">
        <f t="array" ref="H47">INDEX($I$19:$J$92,ROW(A29),$H$10)</f>
        <v>0</v>
      </c>
      <c r="I47" s="2">
        <f t="shared" si="77"/>
        <v>0</v>
      </c>
      <c r="J47" s="2">
        <f>(AND($C$4&gt;=33,$C$4&lt;A54)*1+($C$4=0))*$K$3</f>
        <v>0</v>
      </c>
      <c r="K47">
        <v>44</v>
      </c>
      <c r="L47" s="2" t="str">
        <f t="shared" si="0"/>
        <v/>
      </c>
      <c r="M47" s="2" t="str">
        <f t="shared" si="1"/>
        <v/>
      </c>
      <c r="N47" s="2" t="str">
        <f t="shared" si="2"/>
        <v/>
      </c>
      <c r="O47" s="2" t="str">
        <f t="shared" ref="O47" si="83">IF(ISODD($A$2),$H$1,"")</f>
        <v/>
      </c>
      <c r="U47" s="14"/>
      <c r="V47" s="14"/>
      <c r="W47" s="14">
        <v>95</v>
      </c>
      <c r="X47" s="14"/>
      <c r="Y47" s="14"/>
      <c r="Z47" s="14"/>
      <c r="AA47" s="14"/>
      <c r="AB47" s="14"/>
      <c r="AC47" s="14"/>
      <c r="AD47" s="14"/>
      <c r="AE47" s="14"/>
      <c r="AF47" s="14"/>
      <c r="AG47" s="14"/>
      <c r="AH47" s="14"/>
      <c r="AI47" s="14"/>
      <c r="AJ47" s="15">
        <v>250</v>
      </c>
      <c r="AK47" s="15">
        <v>200</v>
      </c>
      <c r="AL47" s="15">
        <v>110</v>
      </c>
      <c r="AM47" s="15">
        <v>45</v>
      </c>
    </row>
    <row r="48" spans="1:39" x14ac:dyDescent="0.25">
      <c r="A48">
        <v>38</v>
      </c>
      <c r="H48" s="2" t="str" cm="1">
        <f t="array" ref="H48">INDEX($I$19:$J$92,ROW(A30),$H$10)</f>
        <v>Cursor</v>
      </c>
      <c r="I48" s="2" t="s">
        <v>26</v>
      </c>
      <c r="J48" s="2" t="s">
        <v>26</v>
      </c>
      <c r="U48" s="14"/>
      <c r="V48" s="14"/>
      <c r="W48" s="14">
        <v>110</v>
      </c>
      <c r="X48" s="14"/>
      <c r="Y48" s="14"/>
      <c r="Z48" s="14"/>
      <c r="AA48" s="14"/>
      <c r="AB48" s="14"/>
      <c r="AC48" s="14"/>
      <c r="AD48" s="14"/>
      <c r="AE48" s="14"/>
      <c r="AF48" s="14"/>
      <c r="AG48" s="14"/>
      <c r="AH48" s="14"/>
      <c r="AI48" s="14"/>
      <c r="AJ48" s="15">
        <v>250</v>
      </c>
      <c r="AK48" s="15">
        <v>200</v>
      </c>
      <c r="AL48" s="15">
        <v>110</v>
      </c>
      <c r="AM48" s="15">
        <v>50</v>
      </c>
    </row>
    <row r="49" spans="1:40" x14ac:dyDescent="0.25">
      <c r="A49">
        <v>39</v>
      </c>
      <c r="H49" s="2" cm="1">
        <f t="array" ref="H49">INDEX($I$19:$J$92,ROW(A31),$H$10)</f>
        <v>0</v>
      </c>
      <c r="I49" s="2">
        <f t="shared" ref="I49:I54" si="84">($C$4=A11)*1*$K$3</f>
        <v>0</v>
      </c>
      <c r="J49" s="2">
        <v>0</v>
      </c>
      <c r="R49" s="13" t="s">
        <v>84</v>
      </c>
      <c r="S49" s="18" cm="1">
        <f t="array" ref="S49">MAX(IFERROR(S51:S410,0))/100</f>
        <v>0.86</v>
      </c>
      <c r="U49" s="14">
        <v>250</v>
      </c>
      <c r="V49" s="14">
        <v>200</v>
      </c>
      <c r="W49" s="14"/>
      <c r="X49" s="14">
        <v>300</v>
      </c>
      <c r="Y49" s="14"/>
      <c r="Z49" s="14"/>
      <c r="AA49" s="14"/>
      <c r="AB49" s="14"/>
      <c r="AC49" s="14"/>
      <c r="AD49" s="14"/>
      <c r="AE49" s="14"/>
      <c r="AF49" s="14"/>
      <c r="AG49" s="14"/>
      <c r="AH49" s="14"/>
      <c r="AI49" s="14"/>
      <c r="AJ49" s="15">
        <v>250</v>
      </c>
      <c r="AK49" s="15">
        <v>200</v>
      </c>
      <c r="AL49" s="15">
        <v>110</v>
      </c>
      <c r="AM49" s="15">
        <v>55</v>
      </c>
    </row>
    <row r="50" spans="1:40" x14ac:dyDescent="0.25">
      <c r="A50">
        <v>40</v>
      </c>
      <c r="H50" s="2" cm="1">
        <f t="array" ref="H50">INDEX($I$19:$J$92,ROW(A32),$H$10)</f>
        <v>0</v>
      </c>
      <c r="I50" s="2">
        <f t="shared" si="84"/>
        <v>0</v>
      </c>
      <c r="J50" s="2">
        <v>0</v>
      </c>
      <c r="R50" s="6" t="s">
        <v>36</v>
      </c>
      <c r="S50" s="6" t="s">
        <v>35</v>
      </c>
      <c r="U50" s="14"/>
      <c r="V50" s="14"/>
      <c r="W50" s="14"/>
      <c r="X50" s="14">
        <v>40</v>
      </c>
      <c r="Y50" s="14"/>
      <c r="Z50" s="14"/>
      <c r="AA50" s="14"/>
      <c r="AB50" s="14"/>
      <c r="AC50" s="14"/>
      <c r="AD50" s="14"/>
      <c r="AE50" s="14"/>
      <c r="AF50" s="14"/>
      <c r="AG50" s="14"/>
      <c r="AH50" s="14"/>
      <c r="AI50" s="14"/>
      <c r="AJ50" s="15">
        <v>250</v>
      </c>
      <c r="AK50" s="15">
        <v>200</v>
      </c>
      <c r="AL50" s="15">
        <v>110</v>
      </c>
      <c r="AM50" s="15">
        <v>60</v>
      </c>
    </row>
    <row r="51" spans="1:40" x14ac:dyDescent="0.25">
      <c r="A51">
        <v>41</v>
      </c>
      <c r="H51" s="2" cm="1">
        <f t="array" ref="H51">INDEX($I$19:$J$92,ROW(A33),$H$10)</f>
        <v>0</v>
      </c>
      <c r="I51" s="2">
        <f t="shared" si="84"/>
        <v>0</v>
      </c>
      <c r="J51" s="2">
        <v>0</v>
      </c>
      <c r="M51" t="s">
        <v>37</v>
      </c>
      <c r="N51" s="17">
        <f>1-(P51/100)</f>
        <v>1.0000000000000009E-2</v>
      </c>
      <c r="O51">
        <v>1</v>
      </c>
      <c r="P51" cm="1">
        <f t="array" ref="P51">INDEX(Data!$R$3:$R$182,INT(MOD($A$2,180)/12)*12+O51)</f>
        <v>99</v>
      </c>
      <c r="Q51">
        <v>1</v>
      </c>
      <c r="R51">
        <v>0</v>
      </c>
      <c r="S51">
        <v>0</v>
      </c>
      <c r="U51" s="14"/>
      <c r="V51" s="14"/>
      <c r="W51" s="14"/>
      <c r="X51" s="14">
        <v>45</v>
      </c>
      <c r="Y51" s="14"/>
      <c r="Z51" s="14"/>
      <c r="AA51" s="14"/>
      <c r="AB51" s="14"/>
      <c r="AC51" s="14"/>
      <c r="AD51" s="14"/>
      <c r="AE51" s="14"/>
      <c r="AF51" s="14"/>
      <c r="AG51" s="14"/>
      <c r="AH51" s="14"/>
      <c r="AI51" s="14"/>
      <c r="AJ51" s="15">
        <v>250</v>
      </c>
      <c r="AK51" s="15">
        <v>200</v>
      </c>
      <c r="AL51" s="15">
        <v>110</v>
      </c>
      <c r="AM51" s="15">
        <v>65</v>
      </c>
    </row>
    <row r="52" spans="1:40" x14ac:dyDescent="0.25">
      <c r="A52">
        <v>42</v>
      </c>
      <c r="H52" s="2" cm="1">
        <f t="array" ref="H52">INDEX($I$19:$J$92,ROW(A34),$H$10)</f>
        <v>0</v>
      </c>
      <c r="I52" s="2">
        <f t="shared" si="84"/>
        <v>0</v>
      </c>
      <c r="J52" s="2">
        <v>0</v>
      </c>
      <c r="M52" t="s">
        <v>38</v>
      </c>
      <c r="N52" s="17">
        <f t="shared" ref="N52:N62" si="85">1-(P52/100)</f>
        <v>2.0000000000000018E-2</v>
      </c>
      <c r="O52">
        <v>2</v>
      </c>
      <c r="P52" cm="1">
        <f t="array" ref="P52">INDEX(Data!$R$3:$R$182,INT(MOD($A$2,180)/12)*12+O52)</f>
        <v>98</v>
      </c>
      <c r="Q52">
        <v>2</v>
      </c>
      <c r="R52">
        <v>0</v>
      </c>
      <c r="S52">
        <v>0</v>
      </c>
      <c r="U52" s="14"/>
      <c r="V52" s="14"/>
      <c r="W52" s="14"/>
      <c r="X52" s="14">
        <v>50</v>
      </c>
      <c r="Y52" s="14"/>
      <c r="Z52" s="14"/>
      <c r="AA52" s="14"/>
      <c r="AB52" s="14"/>
      <c r="AC52" s="14"/>
      <c r="AD52" s="14"/>
      <c r="AE52" s="14"/>
      <c r="AF52" s="14"/>
      <c r="AG52" s="14"/>
      <c r="AH52" s="14"/>
      <c r="AI52" s="14"/>
      <c r="AJ52" s="15">
        <v>250</v>
      </c>
      <c r="AK52" s="15">
        <v>200</v>
      </c>
      <c r="AL52" s="15">
        <v>110</v>
      </c>
      <c r="AM52" s="15">
        <v>70</v>
      </c>
    </row>
    <row r="53" spans="1:40" x14ac:dyDescent="0.25">
      <c r="A53">
        <v>43</v>
      </c>
      <c r="H53" s="2" cm="1">
        <f t="array" ref="H53">INDEX($I$19:$J$92,ROW(A35),$H$10)</f>
        <v>0</v>
      </c>
      <c r="I53" s="2">
        <f t="shared" si="84"/>
        <v>0</v>
      </c>
      <c r="J53" s="2">
        <v>0</v>
      </c>
      <c r="M53" t="s">
        <v>39</v>
      </c>
      <c r="N53" s="17">
        <f t="shared" si="85"/>
        <v>3.0000000000000027E-2</v>
      </c>
      <c r="O53">
        <v>3</v>
      </c>
      <c r="P53" cm="1">
        <f t="array" ref="P53">INDEX(Data!$R$3:$R$182,INT(MOD($A$2,180)/12)*12+O53)</f>
        <v>97</v>
      </c>
      <c r="Q53">
        <v>3</v>
      </c>
      <c r="R53">
        <v>0</v>
      </c>
      <c r="S53">
        <v>0</v>
      </c>
      <c r="U53" s="14"/>
      <c r="V53" s="14"/>
      <c r="W53" s="14"/>
      <c r="X53" s="14">
        <v>55</v>
      </c>
      <c r="Y53" s="14"/>
      <c r="Z53" s="14"/>
      <c r="AA53" s="14"/>
      <c r="AB53" s="14"/>
      <c r="AC53" s="14"/>
      <c r="AD53" s="14"/>
      <c r="AE53" s="14"/>
      <c r="AF53" s="14"/>
      <c r="AG53" s="14"/>
      <c r="AH53" s="14"/>
      <c r="AI53" s="14"/>
      <c r="AJ53" s="15">
        <v>250</v>
      </c>
      <c r="AK53" s="15">
        <v>200</v>
      </c>
      <c r="AL53" s="15">
        <v>110</v>
      </c>
      <c r="AM53" s="15">
        <v>75</v>
      </c>
    </row>
    <row r="54" spans="1:40" x14ac:dyDescent="0.25">
      <c r="A54">
        <v>44</v>
      </c>
      <c r="H54" s="2" cm="1">
        <f t="array" ref="H54">INDEX($I$19:$J$92,ROW(A36),$H$10)</f>
        <v>0</v>
      </c>
      <c r="I54" s="2">
        <f t="shared" si="84"/>
        <v>0</v>
      </c>
      <c r="J54" s="2">
        <v>0</v>
      </c>
      <c r="M54" t="s">
        <v>40</v>
      </c>
      <c r="N54" s="17">
        <f t="shared" si="85"/>
        <v>4.0000000000000036E-2</v>
      </c>
      <c r="O54">
        <v>4</v>
      </c>
      <c r="P54" cm="1">
        <f t="array" ref="P54">INDEX(Data!$R$3:$R$182,INT(MOD($A$2,180)/12)*12+O54)</f>
        <v>96</v>
      </c>
      <c r="Q54">
        <v>4</v>
      </c>
      <c r="R54">
        <f>$P$51</f>
        <v>99</v>
      </c>
      <c r="S54" t="e" cm="1">
        <f t="array" ref="S54">IF(INDEX($P$51:$P$62,IF(MOD($A$2,12)=0,12,MOD($A$2,12)))=R54,R54,NA())</f>
        <v>#N/A</v>
      </c>
      <c r="U54" s="14"/>
      <c r="V54" s="14"/>
      <c r="W54" s="14"/>
      <c r="X54" s="14">
        <v>60</v>
      </c>
      <c r="Y54" s="14"/>
      <c r="Z54" s="14"/>
      <c r="AA54" s="14"/>
      <c r="AB54" s="14"/>
      <c r="AC54" s="14"/>
      <c r="AD54" s="14"/>
      <c r="AE54" s="14"/>
      <c r="AF54" s="14"/>
      <c r="AG54" s="14"/>
      <c r="AH54" s="14"/>
      <c r="AI54" s="14"/>
      <c r="AJ54" s="15">
        <v>250</v>
      </c>
      <c r="AK54" s="15">
        <v>200</v>
      </c>
      <c r="AL54" s="15">
        <v>110</v>
      </c>
      <c r="AM54" s="15">
        <v>80</v>
      </c>
    </row>
    <row r="55" spans="1:40" x14ac:dyDescent="0.25">
      <c r="C55" s="2" t="s">
        <v>85</v>
      </c>
      <c r="H55" s="10" cm="1">
        <f t="array" ref="H55">INDEX($I$19:$J$92,ROW(A37),$H$10)</f>
        <v>0</v>
      </c>
      <c r="I55" s="10">
        <f>($C$4=A17)*1*$K$3</f>
        <v>0</v>
      </c>
      <c r="J55" s="10">
        <v>0</v>
      </c>
      <c r="M55" t="s">
        <v>41</v>
      </c>
      <c r="N55" s="17">
        <f t="shared" si="85"/>
        <v>0.12</v>
      </c>
      <c r="O55">
        <v>5</v>
      </c>
      <c r="P55" cm="1">
        <f t="array" ref="P55">INDEX(Data!$R$3:$R$182,INT(MOD($A$2,180)/12)*12+O55)</f>
        <v>88</v>
      </c>
      <c r="Q55">
        <v>5</v>
      </c>
      <c r="R55">
        <f t="shared" ref="R55:R80" si="86">$P$51</f>
        <v>99</v>
      </c>
      <c r="S55" t="e" cm="1">
        <f t="array" ref="S55">IF(INDEX($P$51:$P$62,IF(MOD($A$2,12)=0,12,MOD($A$2,12)))=R55,R55,NA())</f>
        <v>#N/A</v>
      </c>
      <c r="U55" s="14"/>
      <c r="V55" s="14"/>
      <c r="W55" s="14"/>
      <c r="X55" s="14">
        <v>65</v>
      </c>
      <c r="Y55" s="14"/>
      <c r="Z55" s="14"/>
      <c r="AA55" s="14"/>
      <c r="AB55" s="14"/>
      <c r="AC55" s="14"/>
      <c r="AD55" s="14"/>
      <c r="AE55" s="14"/>
      <c r="AF55" s="14"/>
      <c r="AG55" s="14"/>
      <c r="AH55" s="14"/>
      <c r="AI55" s="14"/>
      <c r="AJ55" s="15">
        <v>250</v>
      </c>
      <c r="AK55" s="15">
        <v>200</v>
      </c>
      <c r="AL55" s="15">
        <v>110</v>
      </c>
      <c r="AM55" s="15">
        <v>85</v>
      </c>
    </row>
    <row r="56" spans="1:40" x14ac:dyDescent="0.25">
      <c r="A56" s="6" t="s">
        <v>86</v>
      </c>
      <c r="B56" s="6" t="s">
        <v>56</v>
      </c>
      <c r="C56" s="6" t="s">
        <v>86</v>
      </c>
      <c r="D56" s="6" t="s">
        <v>56</v>
      </c>
      <c r="H56" s="2" cm="1">
        <f t="array" ref="H56">INDEX($I$19:$J$92,ROW(A38),$H$10)</f>
        <v>0</v>
      </c>
      <c r="I56" s="2">
        <f>($C$4=A48)*1*$K$3</f>
        <v>0</v>
      </c>
      <c r="J56" s="2">
        <v>0</v>
      </c>
      <c r="M56" t="s">
        <v>42</v>
      </c>
      <c r="N56" s="17">
        <f t="shared" si="85"/>
        <v>0.14000000000000001</v>
      </c>
      <c r="O56">
        <v>6</v>
      </c>
      <c r="P56" cm="1">
        <f t="array" ref="P56">INDEX(Data!$R$3:$R$182,INT(MOD($A$2,180)/12)*12+O56)</f>
        <v>86</v>
      </c>
      <c r="Q56">
        <v>6</v>
      </c>
      <c r="R56">
        <f t="shared" si="86"/>
        <v>99</v>
      </c>
      <c r="S56" t="e" cm="1">
        <f t="array" ref="S56">IF(INDEX($P$51:$P$62,IF(MOD($A$2,12)=0,12,MOD($A$2,12)))=R56,R56,NA())</f>
        <v>#N/A</v>
      </c>
      <c r="U56" s="14"/>
      <c r="V56" s="14"/>
      <c r="W56" s="14"/>
      <c r="X56" s="14">
        <v>70</v>
      </c>
      <c r="Y56" s="14"/>
      <c r="Z56" s="14"/>
      <c r="AA56" s="14"/>
      <c r="AB56" s="14"/>
      <c r="AC56" s="14"/>
      <c r="AD56" s="14"/>
      <c r="AE56" s="14"/>
      <c r="AF56" s="14"/>
      <c r="AG56" s="14"/>
      <c r="AH56" s="14"/>
      <c r="AI56" s="14"/>
      <c r="AJ56" s="15">
        <v>250</v>
      </c>
      <c r="AK56" s="15">
        <v>200</v>
      </c>
      <c r="AL56" s="15">
        <v>110</v>
      </c>
      <c r="AM56" s="15">
        <v>90</v>
      </c>
    </row>
    <row r="57" spans="1:40" x14ac:dyDescent="0.25">
      <c r="A57" s="2" t="b">
        <v>1</v>
      </c>
      <c r="B57" s="2" t="b">
        <v>1</v>
      </c>
      <c r="C57" s="2" t="b">
        <v>1</v>
      </c>
      <c r="D57" s="2" t="b">
        <v>1</v>
      </c>
      <c r="H57" s="2" cm="1">
        <f t="array" ref="H57">INDEX($I$19:$J$92,ROW(A39),$H$10)</f>
        <v>0</v>
      </c>
      <c r="I57" s="2">
        <f t="shared" ref="I57:I62" si="87">($C$4=A49)*1*$K$3</f>
        <v>0</v>
      </c>
      <c r="J57" s="2">
        <v>0</v>
      </c>
      <c r="M57" t="s">
        <v>43</v>
      </c>
      <c r="N57" s="17">
        <f t="shared" si="85"/>
        <v>0.18000000000000005</v>
      </c>
      <c r="O57">
        <v>7</v>
      </c>
      <c r="P57" cm="1">
        <f t="array" ref="P57">INDEX(Data!$R$3:$R$182,INT(MOD($A$2,180)/12)*12+O57)</f>
        <v>82</v>
      </c>
      <c r="Q57">
        <v>7</v>
      </c>
      <c r="R57">
        <f t="shared" si="86"/>
        <v>99</v>
      </c>
      <c r="S57" t="e" cm="1">
        <f t="array" ref="S57">IF(INDEX($P$51:$P$62,IF(MOD($A$2,12)=0,12,MOD($A$2,12)))=R57,R57,NA())</f>
        <v>#N/A</v>
      </c>
      <c r="U57" s="14"/>
      <c r="V57" s="14"/>
      <c r="W57" s="14"/>
      <c r="X57" s="14">
        <v>75</v>
      </c>
      <c r="Y57" s="14"/>
      <c r="Z57" s="14"/>
      <c r="AA57" s="14"/>
      <c r="AB57" s="14"/>
      <c r="AC57" s="14"/>
      <c r="AD57" s="14"/>
      <c r="AE57" s="14"/>
      <c r="AF57" s="14"/>
      <c r="AG57" s="14"/>
      <c r="AH57" s="14"/>
      <c r="AI57" s="14"/>
      <c r="AJ57" s="15">
        <v>250</v>
      </c>
      <c r="AK57" s="15">
        <v>200</v>
      </c>
      <c r="AL57" s="15">
        <v>110</v>
      </c>
      <c r="AM57" s="15">
        <v>95</v>
      </c>
    </row>
    <row r="58" spans="1:40" x14ac:dyDescent="0.25">
      <c r="A58" s="18" cm="1">
        <f t="array" ref="A58">IF($A$57,INDEX(Data!$B$3:$B$182,$E$2+A11,1),NA())</f>
        <v>0.34</v>
      </c>
      <c r="B58" s="18" cm="1">
        <f t="array" ref="B58">IF($B$57,INDEX(Data!$C$3:$C$182,$E$2+A11,1),NA())</f>
        <v>0.441</v>
      </c>
      <c r="C58" s="18">
        <f t="shared" ref="C58:C87" si="88">IF($C$57,A58,NA())</f>
        <v>0.34</v>
      </c>
      <c r="D58" s="18">
        <f t="shared" ref="D58:D87" si="89">IF($D$57,B58,NA())</f>
        <v>0.441</v>
      </c>
      <c r="H58" s="2" cm="1">
        <f t="array" ref="H58">INDEX($I$19:$J$92,ROW(A40),$H$10)</f>
        <v>0</v>
      </c>
      <c r="I58" s="2">
        <f t="shared" si="87"/>
        <v>0</v>
      </c>
      <c r="J58" s="2">
        <v>0</v>
      </c>
      <c r="M58" t="s">
        <v>44</v>
      </c>
      <c r="N58" s="17">
        <f t="shared" si="85"/>
        <v>0.20999999999999996</v>
      </c>
      <c r="O58">
        <v>8</v>
      </c>
      <c r="P58" cm="1">
        <f t="array" ref="P58">INDEX(Data!$R$3:$R$182,INT(MOD($A$2,180)/12)*12+O58)</f>
        <v>79</v>
      </c>
      <c r="Q58">
        <v>8</v>
      </c>
      <c r="R58">
        <f t="shared" si="86"/>
        <v>99</v>
      </c>
      <c r="S58" t="e" cm="1">
        <f t="array" ref="S58">IF(INDEX($P$51:$P$62,IF(MOD($A$2,12)=0,12,MOD($A$2,12)))=R58,R58,NA())</f>
        <v>#N/A</v>
      </c>
      <c r="U58" s="14"/>
      <c r="V58" s="14"/>
      <c r="W58" s="14"/>
      <c r="X58" s="14">
        <v>80</v>
      </c>
      <c r="Y58" s="14"/>
      <c r="Z58" s="14"/>
      <c r="AA58" s="14"/>
      <c r="AB58" s="14"/>
      <c r="AC58" s="14"/>
      <c r="AD58" s="14"/>
      <c r="AE58" s="14"/>
      <c r="AF58" s="14"/>
      <c r="AG58" s="14"/>
      <c r="AH58" s="14"/>
      <c r="AI58" s="14"/>
      <c r="AJ58" s="15">
        <v>250</v>
      </c>
      <c r="AK58" s="15">
        <v>200</v>
      </c>
      <c r="AL58" s="15">
        <v>110</v>
      </c>
      <c r="AM58" s="15">
        <v>95</v>
      </c>
      <c r="AN58" s="15">
        <v>40</v>
      </c>
    </row>
    <row r="59" spans="1:40" x14ac:dyDescent="0.25">
      <c r="A59" s="18" cm="1">
        <f t="array" ref="A59">IF($A$57,INDEX(Data!$B$3:$B$182,$E$2+A12,1),NA())</f>
        <v>0.36899999999999999</v>
      </c>
      <c r="B59" s="18" cm="1">
        <f t="array" ref="B59">IF($B$57,INDEX(Data!$C$3:$C$182,$E$2+A12,1),NA())</f>
        <v>0.46</v>
      </c>
      <c r="C59" s="18">
        <f t="shared" si="88"/>
        <v>0.36899999999999999</v>
      </c>
      <c r="D59" s="18">
        <f t="shared" si="89"/>
        <v>0.46</v>
      </c>
      <c r="H59" s="2" cm="1">
        <f t="array" ref="H59">INDEX($I$19:$J$92,ROW(A41),$H$10)</f>
        <v>0</v>
      </c>
      <c r="I59" s="2">
        <f t="shared" si="87"/>
        <v>0</v>
      </c>
      <c r="J59" s="2">
        <v>0</v>
      </c>
      <c r="M59" t="s">
        <v>45</v>
      </c>
      <c r="N59" s="17">
        <f t="shared" si="85"/>
        <v>0.25</v>
      </c>
      <c r="O59">
        <v>9</v>
      </c>
      <c r="P59" cm="1">
        <f t="array" ref="P59">INDEX(Data!$R$3:$R$182,INT(MOD($A$2,180)/12)*12+O59)</f>
        <v>75</v>
      </c>
      <c r="Q59">
        <v>9</v>
      </c>
      <c r="R59">
        <f t="shared" si="86"/>
        <v>99</v>
      </c>
      <c r="S59" t="e" cm="1">
        <f t="array" ref="S59">IF(INDEX($P$51:$P$62,IF(MOD($A$2,12)=0,12,MOD($A$2,12)))=R59,R59,NA())</f>
        <v>#N/A</v>
      </c>
      <c r="U59" s="14"/>
      <c r="V59" s="14"/>
      <c r="W59" s="14"/>
      <c r="X59" s="14">
        <v>85</v>
      </c>
      <c r="Y59" s="14"/>
      <c r="Z59" s="14"/>
      <c r="AA59" s="14"/>
      <c r="AB59" s="14"/>
      <c r="AC59" s="14"/>
      <c r="AD59" s="14"/>
      <c r="AE59" s="14"/>
      <c r="AF59" s="14"/>
      <c r="AG59" s="14"/>
      <c r="AH59" s="14"/>
      <c r="AI59" s="14"/>
      <c r="AJ59" s="15">
        <v>250</v>
      </c>
      <c r="AK59" s="15">
        <v>200</v>
      </c>
      <c r="AL59" s="15">
        <v>110</v>
      </c>
      <c r="AM59" s="15">
        <v>95</v>
      </c>
      <c r="AN59" s="15">
        <v>45</v>
      </c>
    </row>
    <row r="60" spans="1:40" x14ac:dyDescent="0.25">
      <c r="A60" s="18" cm="1">
        <f t="array" ref="A60">IF($A$57,INDEX(Data!$B$3:$B$182,$E$2+A13,1),NA())</f>
        <v>0.40899999999999997</v>
      </c>
      <c r="B60" s="18" cm="1">
        <f t="array" ref="B60">IF($B$57,INDEX(Data!$C$3:$C$182,$E$2+A13,1),NA())</f>
        <v>0.48199999999999998</v>
      </c>
      <c r="C60" s="18">
        <f t="shared" si="88"/>
        <v>0.40899999999999997</v>
      </c>
      <c r="D60" s="18">
        <f t="shared" si="89"/>
        <v>0.48199999999999998</v>
      </c>
      <c r="H60" s="2" cm="1">
        <f t="array" ref="H60">INDEX($I$19:$J$92,ROW(A42),$H$10)</f>
        <v>0</v>
      </c>
      <c r="I60" s="2">
        <f t="shared" si="87"/>
        <v>0</v>
      </c>
      <c r="J60" s="2">
        <v>0</v>
      </c>
      <c r="M60" t="s">
        <v>46</v>
      </c>
      <c r="N60" s="17">
        <f t="shared" si="85"/>
        <v>0.26</v>
      </c>
      <c r="O60">
        <v>10</v>
      </c>
      <c r="P60" cm="1">
        <f t="array" ref="P60">INDEX(Data!$R$3:$R$182,INT(MOD($A$2,180)/12)*12+O60)</f>
        <v>74</v>
      </c>
      <c r="Q60">
        <v>10</v>
      </c>
      <c r="R60">
        <f t="shared" si="86"/>
        <v>99</v>
      </c>
      <c r="S60" t="e" cm="1">
        <f t="array" ref="S60">IF(INDEX($P$51:$P$62,IF(MOD($A$2,12)=0,12,MOD($A$2,12)))=R60,R60,NA())</f>
        <v>#N/A</v>
      </c>
      <c r="U60" s="14"/>
      <c r="V60" s="14"/>
      <c r="W60" s="14"/>
      <c r="X60" s="14">
        <v>90</v>
      </c>
      <c r="Y60" s="14"/>
      <c r="Z60" s="14"/>
      <c r="AA60" s="14"/>
      <c r="AB60" s="14"/>
      <c r="AC60" s="14"/>
      <c r="AD60" s="14"/>
      <c r="AE60" s="14"/>
      <c r="AF60" s="14"/>
      <c r="AG60" s="14"/>
      <c r="AH60" s="14"/>
      <c r="AI60" s="14"/>
      <c r="AJ60" s="15">
        <v>250</v>
      </c>
      <c r="AK60" s="15">
        <v>200</v>
      </c>
      <c r="AL60" s="15">
        <v>110</v>
      </c>
      <c r="AM60" s="15">
        <v>95</v>
      </c>
      <c r="AN60" s="15">
        <v>50</v>
      </c>
    </row>
    <row r="61" spans="1:40" x14ac:dyDescent="0.25">
      <c r="A61" s="18" cm="1">
        <f t="array" ref="A61">IF($A$57,INDEX(Data!$B$3:$B$182,$E$2+A14,1),NA())</f>
        <v>0.45800000000000002</v>
      </c>
      <c r="B61" s="18" cm="1">
        <f t="array" ref="B61">IF($B$57,INDEX(Data!$C$3:$C$182,$E$2+A14,1),NA())</f>
        <v>0.504</v>
      </c>
      <c r="C61" s="18">
        <f t="shared" si="88"/>
        <v>0.45800000000000002</v>
      </c>
      <c r="D61" s="18">
        <f t="shared" si="89"/>
        <v>0.504</v>
      </c>
      <c r="H61" s="2" cm="1">
        <f t="array" ref="H61">INDEX($I$19:$J$92,ROW(A43),$H$10)</f>
        <v>0</v>
      </c>
      <c r="I61" s="2">
        <f t="shared" si="87"/>
        <v>0</v>
      </c>
      <c r="J61" s="2">
        <v>0</v>
      </c>
      <c r="M61" t="s">
        <v>47</v>
      </c>
      <c r="N61" s="17">
        <f t="shared" si="85"/>
        <v>0.28000000000000003</v>
      </c>
      <c r="O61">
        <v>11</v>
      </c>
      <c r="P61" cm="1">
        <f t="array" ref="P61">INDEX(Data!$R$3:$R$182,INT(MOD($A$2,180)/12)*12+O61)</f>
        <v>72</v>
      </c>
      <c r="Q61">
        <v>11</v>
      </c>
      <c r="R61">
        <f t="shared" si="86"/>
        <v>99</v>
      </c>
      <c r="S61" t="e" cm="1">
        <f t="array" ref="S61">IF(INDEX($P$51:$P$62,IF(MOD($A$2,12)=0,12,MOD($A$2,12)))=R61,R61,NA())</f>
        <v>#N/A</v>
      </c>
      <c r="U61" s="14"/>
      <c r="V61" s="14"/>
      <c r="W61" s="14"/>
      <c r="X61" s="14">
        <v>95</v>
      </c>
      <c r="Y61" s="14"/>
      <c r="Z61" s="14"/>
      <c r="AA61" s="14"/>
      <c r="AB61" s="14"/>
      <c r="AC61" s="14"/>
      <c r="AD61" s="14"/>
      <c r="AE61" s="14"/>
      <c r="AF61" s="14"/>
      <c r="AG61" s="14"/>
      <c r="AH61" s="14"/>
      <c r="AI61" s="14"/>
      <c r="AJ61" s="15">
        <v>250</v>
      </c>
      <c r="AK61" s="15">
        <v>200</v>
      </c>
      <c r="AL61" s="15">
        <v>110</v>
      </c>
      <c r="AM61" s="15">
        <v>95</v>
      </c>
      <c r="AN61" s="15">
        <v>55</v>
      </c>
    </row>
    <row r="62" spans="1:40" x14ac:dyDescent="0.25">
      <c r="A62" s="18" cm="1">
        <f t="array" ref="A62">IF($A$57,INDEX(Data!$B$3:$B$182,$E$2+A15,1),NA())</f>
        <v>0.502</v>
      </c>
      <c r="B62" s="18" cm="1">
        <f t="array" ref="B62">IF($B$57,INDEX(Data!$C$3:$C$182,$E$2+A15,1),NA())</f>
        <v>0.52300000000000002</v>
      </c>
      <c r="C62" s="18">
        <f t="shared" si="88"/>
        <v>0.502</v>
      </c>
      <c r="D62" s="18">
        <f t="shared" si="89"/>
        <v>0.52300000000000002</v>
      </c>
      <c r="H62" s="2" cm="1">
        <f t="array" ref="H62">INDEX($I$19:$J$92,ROW(A44),$H$10)</f>
        <v>0</v>
      </c>
      <c r="I62" s="2">
        <f t="shared" si="87"/>
        <v>0</v>
      </c>
      <c r="J62" s="2">
        <f>($C$4=A54)*1+($C$4&lt;44)*$K$3</f>
        <v>1</v>
      </c>
      <c r="M62" t="s">
        <v>48</v>
      </c>
      <c r="N62" s="17">
        <f t="shared" si="85"/>
        <v>0.30000000000000004</v>
      </c>
      <c r="O62">
        <v>12</v>
      </c>
      <c r="P62" cm="1">
        <f t="array" ref="P62">INDEX(Data!$R$3:$R$182,INT(MOD($A$2,180)/12)*12+O62)</f>
        <v>70</v>
      </c>
      <c r="Q62">
        <v>12</v>
      </c>
      <c r="R62">
        <f t="shared" si="86"/>
        <v>99</v>
      </c>
      <c r="S62" t="e" cm="1">
        <f t="array" ref="S62">IF(INDEX($P$51:$P$62,IF(MOD($A$2,12)=0,12,MOD($A$2,12)))=R62,R62,NA())</f>
        <v>#N/A</v>
      </c>
      <c r="U62" s="14"/>
      <c r="V62" s="14"/>
      <c r="W62" s="14">
        <v>110</v>
      </c>
      <c r="X62" s="14"/>
      <c r="Y62" s="14">
        <v>300</v>
      </c>
      <c r="Z62" s="14"/>
      <c r="AA62" s="14"/>
      <c r="AB62" s="14"/>
      <c r="AC62" s="14"/>
      <c r="AD62" s="14"/>
      <c r="AE62" s="14"/>
      <c r="AF62" s="14"/>
      <c r="AG62" s="14"/>
      <c r="AH62" s="14"/>
      <c r="AI62" s="14"/>
      <c r="AJ62" s="15">
        <v>250</v>
      </c>
      <c r="AK62" s="15">
        <v>200</v>
      </c>
      <c r="AL62" s="15">
        <v>110</v>
      </c>
      <c r="AM62" s="15">
        <v>95</v>
      </c>
      <c r="AN62" s="15">
        <v>60</v>
      </c>
    </row>
    <row r="63" spans="1:40" x14ac:dyDescent="0.25">
      <c r="A63" s="18" cm="1">
        <f t="array" ref="A63">IF($A$57,INDEX(Data!$B$3:$B$182,$E$2+A16,1),NA())</f>
        <v>0.54</v>
      </c>
      <c r="B63" s="18" cm="1">
        <f t="array" ref="B63">IF($B$57,INDEX(Data!$C$3:$C$182,$E$2+A16,1),NA())</f>
        <v>0.54</v>
      </c>
      <c r="C63" s="18">
        <f t="shared" si="88"/>
        <v>0.54</v>
      </c>
      <c r="D63" s="18">
        <f t="shared" si="89"/>
        <v>0.54</v>
      </c>
      <c r="H63" s="12" t="str" cm="1">
        <f t="array" ref="H63">INDEX($I$19:$J$92,ROW(A45),$H$10)</f>
        <v>back</v>
      </c>
      <c r="I63" s="12" t="s">
        <v>27</v>
      </c>
      <c r="J63" s="12" t="s">
        <v>27</v>
      </c>
      <c r="M63" t="s">
        <v>36</v>
      </c>
      <c r="N63" s="17" t="s">
        <v>49</v>
      </c>
      <c r="Q63">
        <v>13</v>
      </c>
      <c r="R63">
        <f t="shared" si="86"/>
        <v>99</v>
      </c>
      <c r="S63" t="e" cm="1">
        <f t="array" ref="S63">IF(INDEX($P$51:$P$62,IF(MOD($A$2,12)=0,12,MOD($A$2,12)))=R63,R63,NA())</f>
        <v>#N/A</v>
      </c>
      <c r="U63" s="14"/>
      <c r="V63" s="14"/>
      <c r="W63" s="14"/>
      <c r="X63" s="14"/>
      <c r="Y63" s="14">
        <v>40</v>
      </c>
      <c r="Z63" s="14"/>
      <c r="AA63" s="14"/>
      <c r="AB63" s="14"/>
      <c r="AC63" s="14"/>
      <c r="AD63" s="14"/>
      <c r="AE63" s="14"/>
      <c r="AF63" s="14"/>
      <c r="AG63" s="14"/>
      <c r="AH63" s="14"/>
      <c r="AI63" s="14"/>
      <c r="AJ63" s="15">
        <v>250</v>
      </c>
      <c r="AK63" s="15">
        <v>200</v>
      </c>
      <c r="AL63" s="15">
        <v>110</v>
      </c>
      <c r="AM63" s="15">
        <v>95</v>
      </c>
      <c r="AN63" s="15">
        <v>65</v>
      </c>
    </row>
    <row r="64" spans="1:40" x14ac:dyDescent="0.25">
      <c r="A64" s="18" cm="1">
        <f t="array" ref="A64">IF($A$57,INDEX(Data!$B$3:$B$182,$E$2+A17,1),NA())</f>
        <v>0.57199999999999995</v>
      </c>
      <c r="B64" s="18" cm="1">
        <f t="array" ref="B64">IF($B$57,INDEX(Data!$C$3:$C$182,$E$2+A17,1),NA())</f>
        <v>0.55500000000000005</v>
      </c>
      <c r="C64" s="18">
        <f t="shared" si="88"/>
        <v>0.57199999999999995</v>
      </c>
      <c r="D64" s="18">
        <f t="shared" si="89"/>
        <v>0.55500000000000005</v>
      </c>
      <c r="H64" s="2" cm="1">
        <f t="array" ref="H64">INDEX($I$19:$J$92,ROW(A46),$H$10)</f>
        <v>1</v>
      </c>
      <c r="I64" s="2">
        <f>IF($K$2=2,1,0)</f>
        <v>1</v>
      </c>
      <c r="J64" s="2">
        <f>IF($K$2=2,1,0)</f>
        <v>1</v>
      </c>
      <c r="N64" s="17"/>
      <c r="Q64">
        <v>14</v>
      </c>
      <c r="R64">
        <f t="shared" si="86"/>
        <v>99</v>
      </c>
      <c r="S64" t="e" cm="1">
        <f t="array" ref="S64">IF(INDEX($P$51:$P$62,IF(MOD($A$2,12)=0,12,MOD($A$2,12)))=R64,R64,NA())</f>
        <v>#N/A</v>
      </c>
      <c r="U64" s="14">
        <v>250</v>
      </c>
      <c r="V64" s="14">
        <v>200</v>
      </c>
      <c r="W64" s="14"/>
      <c r="X64" s="14"/>
      <c r="Y64" s="14">
        <v>45</v>
      </c>
      <c r="Z64" s="14"/>
      <c r="AA64" s="14"/>
      <c r="AB64" s="14"/>
      <c r="AC64" s="14"/>
      <c r="AD64" s="14"/>
      <c r="AE64" s="14"/>
      <c r="AF64" s="14"/>
      <c r="AG64" s="14"/>
      <c r="AH64" s="14"/>
      <c r="AI64" s="14"/>
      <c r="AJ64" s="15">
        <v>250</v>
      </c>
      <c r="AK64" s="15">
        <v>200</v>
      </c>
      <c r="AL64" s="15">
        <v>110</v>
      </c>
      <c r="AM64" s="15">
        <v>95</v>
      </c>
      <c r="AN64" s="15">
        <v>70</v>
      </c>
    </row>
    <row r="65" spans="1:42" x14ac:dyDescent="0.25">
      <c r="A65" s="18" cm="1">
        <f t="array" ref="A65">IF($A$57,INDEX(Data!$B$3:$B$182,$E$2+A18,1),NA())</f>
        <v>0.59699999999999998</v>
      </c>
      <c r="B65" s="18" cm="1">
        <f t="array" ref="B65">IF($B$57,INDEX(Data!$C$3:$C$182,$E$2+A18,1),NA())</f>
        <v>0.56799999999999995</v>
      </c>
      <c r="C65" s="18">
        <f t="shared" si="88"/>
        <v>0.59699999999999998</v>
      </c>
      <c r="D65" s="18">
        <f t="shared" si="89"/>
        <v>0.56799999999999995</v>
      </c>
      <c r="H65" s="2" cm="1">
        <f t="array" ref="H65">INDEX($I$19:$J$92,ROW(A47),$H$10)</f>
        <v>1</v>
      </c>
      <c r="I65" s="2">
        <f t="shared" ref="I65:J77" si="90">IF($K$2=2,1,0)</f>
        <v>1</v>
      </c>
      <c r="J65" s="2">
        <f t="shared" si="90"/>
        <v>1</v>
      </c>
      <c r="N65" s="17"/>
      <c r="Q65">
        <v>15</v>
      </c>
      <c r="R65">
        <f t="shared" si="86"/>
        <v>99</v>
      </c>
      <c r="S65" t="e" cm="1">
        <f t="array" ref="S65">IF(INDEX($P$51:$P$62,IF(MOD($A$2,12)=0,12,MOD($A$2,12)))=R65,R65,NA())</f>
        <v>#N/A</v>
      </c>
      <c r="U65" s="14"/>
      <c r="V65" s="14"/>
      <c r="W65" s="14"/>
      <c r="X65" s="14"/>
      <c r="Y65" s="14">
        <v>50</v>
      </c>
      <c r="Z65" s="14"/>
      <c r="AA65" s="14"/>
      <c r="AB65" s="14"/>
      <c r="AC65" s="14"/>
      <c r="AD65" s="14"/>
      <c r="AE65" s="14"/>
      <c r="AF65" s="14"/>
      <c r="AG65" s="14"/>
      <c r="AH65" s="14"/>
      <c r="AI65" s="14"/>
      <c r="AJ65" s="15">
        <v>250</v>
      </c>
      <c r="AK65" s="15">
        <v>200</v>
      </c>
      <c r="AL65" s="15">
        <v>110</v>
      </c>
      <c r="AM65" s="15">
        <v>95</v>
      </c>
      <c r="AN65" s="15">
        <v>75</v>
      </c>
    </row>
    <row r="66" spans="1:42" x14ac:dyDescent="0.25">
      <c r="A66" s="18" cm="1">
        <f t="array" ref="A66">IF($A$57,INDEX(Data!$B$3:$B$182,$E$2+A19,1),NA())</f>
        <v>0.61699999999999999</v>
      </c>
      <c r="B66" s="18" cm="1">
        <f t="array" ref="B66">IF($B$57,INDEX(Data!$C$3:$C$182,$E$2+A19,1),NA())</f>
        <v>0.57999999999999996</v>
      </c>
      <c r="C66" s="18">
        <f t="shared" si="88"/>
        <v>0.61699999999999999</v>
      </c>
      <c r="D66" s="18">
        <f t="shared" si="89"/>
        <v>0.57999999999999996</v>
      </c>
      <c r="H66" s="2" cm="1">
        <f t="array" ref="H66">INDEX($I$19:$J$92,ROW(A48),$H$10)</f>
        <v>1</v>
      </c>
      <c r="I66" s="2">
        <f t="shared" si="90"/>
        <v>1</v>
      </c>
      <c r="J66" s="2">
        <f t="shared" si="90"/>
        <v>1</v>
      </c>
      <c r="M66" t="s">
        <v>65</v>
      </c>
      <c r="Q66">
        <v>16</v>
      </c>
      <c r="R66">
        <f t="shared" si="86"/>
        <v>99</v>
      </c>
      <c r="S66" t="e" cm="1">
        <f t="array" ref="S66">IF(INDEX($P$51:$P$62,IF(MOD($A$2,12)=0,12,MOD($A$2,12)))=R66,R66,NA())</f>
        <v>#N/A</v>
      </c>
      <c r="U66" s="14"/>
      <c r="V66" s="14"/>
      <c r="W66" s="14"/>
      <c r="X66" s="14"/>
      <c r="Y66" s="14">
        <v>55</v>
      </c>
      <c r="Z66" s="14"/>
      <c r="AA66" s="14"/>
      <c r="AB66" s="14"/>
      <c r="AC66" s="14"/>
      <c r="AD66" s="14"/>
      <c r="AE66" s="14"/>
      <c r="AF66" s="14"/>
      <c r="AG66" s="14"/>
      <c r="AH66" s="14"/>
      <c r="AI66" s="14"/>
      <c r="AJ66" s="15">
        <v>250</v>
      </c>
      <c r="AK66" s="15">
        <v>200</v>
      </c>
      <c r="AL66" s="15">
        <v>110</v>
      </c>
      <c r="AM66" s="15">
        <v>95</v>
      </c>
      <c r="AN66" s="15">
        <v>80</v>
      </c>
    </row>
    <row r="67" spans="1:42" x14ac:dyDescent="0.25">
      <c r="A67" s="18" cm="1">
        <f t="array" ref="A67">IF($A$57,INDEX(Data!$B$3:$B$182,$E$2+A20,1),NA())</f>
        <v>0.63200000000000001</v>
      </c>
      <c r="B67" s="18" cm="1">
        <f t="array" ref="B67">IF($B$57,INDEX(Data!$C$3:$C$182,$E$2+A20,1),NA())</f>
        <v>0.59</v>
      </c>
      <c r="C67" s="18">
        <f t="shared" si="88"/>
        <v>0.63200000000000001</v>
      </c>
      <c r="D67" s="18">
        <f t="shared" si="89"/>
        <v>0.59</v>
      </c>
      <c r="H67" s="2" cm="1">
        <f t="array" ref="H67">INDEX($I$19:$J$92,ROW(A49),$H$10)</f>
        <v>1</v>
      </c>
      <c r="I67" s="2">
        <f t="shared" si="90"/>
        <v>1</v>
      </c>
      <c r="J67" s="2">
        <f t="shared" si="90"/>
        <v>1</v>
      </c>
      <c r="L67" s="18">
        <f>M67/$N$72</f>
        <v>0.86310299869621887</v>
      </c>
      <c r="M67" cm="1">
        <f t="array" ref="M67">INDEX(Data!$M$3:$M$182,$G$3)</f>
        <v>661.99999999999989</v>
      </c>
      <c r="N67">
        <f>$N$72-M67</f>
        <v>105.00000000000011</v>
      </c>
      <c r="O67" t="s">
        <v>74</v>
      </c>
      <c r="Q67">
        <v>17</v>
      </c>
      <c r="R67">
        <f t="shared" si="86"/>
        <v>99</v>
      </c>
      <c r="S67" t="e" cm="1">
        <f t="array" ref="S67">IF(INDEX($P$51:$P$62,IF(MOD($A$2,12)=0,12,MOD($A$2,12)))=R67,R67,NA())</f>
        <v>#N/A</v>
      </c>
      <c r="U67" s="14"/>
      <c r="V67" s="14"/>
      <c r="W67" s="14"/>
      <c r="X67" s="14"/>
      <c r="Y67" s="14">
        <v>60</v>
      </c>
      <c r="Z67" s="14"/>
      <c r="AA67" s="14"/>
      <c r="AB67" s="14"/>
      <c r="AC67" s="14"/>
      <c r="AD67" s="14"/>
      <c r="AE67" s="14"/>
      <c r="AF67" s="14"/>
      <c r="AG67" s="14"/>
      <c r="AH67" s="14"/>
      <c r="AI67" s="14"/>
      <c r="AJ67" s="15">
        <v>250</v>
      </c>
      <c r="AK67" s="15">
        <v>200</v>
      </c>
      <c r="AL67" s="15">
        <v>110</v>
      </c>
      <c r="AM67" s="15">
        <v>95</v>
      </c>
      <c r="AN67" s="15">
        <v>85</v>
      </c>
    </row>
    <row r="68" spans="1:42" x14ac:dyDescent="0.25">
      <c r="A68" s="18" cm="1">
        <f t="array" ref="A68">IF($A$57,INDEX(Data!$B$3:$B$182,$E$2+A21,1),NA())</f>
        <v>0.64300000000000002</v>
      </c>
      <c r="B68" s="18" cm="1">
        <f t="array" ref="B68">IF($B$57,INDEX(Data!$C$3:$C$182,$E$2+A21,1),NA())</f>
        <v>0.59799999999999998</v>
      </c>
      <c r="C68" s="18">
        <f t="shared" si="88"/>
        <v>0.64300000000000002</v>
      </c>
      <c r="D68" s="18">
        <f t="shared" si="89"/>
        <v>0.59799999999999998</v>
      </c>
      <c r="H68" s="2" cm="1">
        <f t="array" ref="H68">INDEX($I$19:$J$92,ROW(A50),$H$10)</f>
        <v>1</v>
      </c>
      <c r="I68" s="2">
        <f t="shared" si="90"/>
        <v>1</v>
      </c>
      <c r="J68" s="2">
        <f t="shared" si="90"/>
        <v>1</v>
      </c>
      <c r="L68" s="18">
        <f t="shared" ref="L68:L71" si="91">M68/$N$72</f>
        <v>0.83572359843546284</v>
      </c>
      <c r="M68" cm="1">
        <f t="array" ref="M68">INDEX(Data!$N$3:$N$182,$G$3)</f>
        <v>641</v>
      </c>
      <c r="N68">
        <f t="shared" ref="N68:N71" si="92">$N$72-M68</f>
        <v>126</v>
      </c>
      <c r="O68" t="s">
        <v>76</v>
      </c>
      <c r="Q68">
        <v>18</v>
      </c>
      <c r="R68">
        <f t="shared" si="86"/>
        <v>99</v>
      </c>
      <c r="S68" t="e" cm="1">
        <f t="array" ref="S68">IF(INDEX($P$51:$P$62,IF(MOD($A$2,12)=0,12,MOD($A$2,12)))=R68,R68,NA())</f>
        <v>#N/A</v>
      </c>
      <c r="U68" s="14"/>
      <c r="V68" s="14"/>
      <c r="W68" s="14"/>
      <c r="X68" s="14"/>
      <c r="Y68" s="14">
        <v>65</v>
      </c>
      <c r="Z68" s="14"/>
      <c r="AA68" s="14"/>
      <c r="AB68" s="14"/>
      <c r="AC68" s="14"/>
      <c r="AD68" s="14"/>
      <c r="AE68" s="14"/>
      <c r="AF68" s="14"/>
      <c r="AG68" s="14"/>
      <c r="AH68" s="14"/>
      <c r="AI68" s="14"/>
      <c r="AJ68" s="15">
        <v>250</v>
      </c>
      <c r="AK68" s="15">
        <v>200</v>
      </c>
      <c r="AL68" s="15">
        <v>110</v>
      </c>
      <c r="AM68" s="15">
        <v>95</v>
      </c>
      <c r="AN68" s="15">
        <v>90</v>
      </c>
    </row>
    <row r="69" spans="1:42" x14ac:dyDescent="0.25">
      <c r="A69" s="18" cm="1">
        <f t="array" ref="A69">IF($A$57,INDEX(Data!$B$3:$B$182,$E$2+A22,1),NA())</f>
        <v>0.65</v>
      </c>
      <c r="B69" s="18" cm="1">
        <f t="array" ref="B69">IF($B$57,INDEX(Data!$C$3:$C$182,$E$2+A22,1),NA())</f>
        <v>0.60499999999999998</v>
      </c>
      <c r="C69" s="18">
        <f t="shared" si="88"/>
        <v>0.65</v>
      </c>
      <c r="D69" s="18">
        <f t="shared" si="89"/>
        <v>0.60499999999999998</v>
      </c>
      <c r="H69" s="2" cm="1">
        <f t="array" ref="H69">INDEX($I$19:$J$92,ROW(A51),$H$10)</f>
        <v>1</v>
      </c>
      <c r="I69" s="2">
        <f t="shared" si="90"/>
        <v>1</v>
      </c>
      <c r="J69" s="2">
        <f t="shared" si="90"/>
        <v>1</v>
      </c>
      <c r="L69" s="18">
        <f t="shared" si="91"/>
        <v>0.84876140808344203</v>
      </c>
      <c r="M69" cm="1">
        <f t="array" ref="M69">INDEX(Data!$O$3:$O$182,$G$3)</f>
        <v>651</v>
      </c>
      <c r="N69">
        <f t="shared" si="92"/>
        <v>116</v>
      </c>
      <c r="O69" t="s">
        <v>77</v>
      </c>
      <c r="Q69">
        <v>19</v>
      </c>
      <c r="R69">
        <f t="shared" si="86"/>
        <v>99</v>
      </c>
      <c r="S69" t="e" cm="1">
        <f t="array" ref="S69">IF(INDEX($P$51:$P$62,IF(MOD($A$2,12)=0,12,MOD($A$2,12)))=R69,R69,NA())</f>
        <v>#N/A</v>
      </c>
      <c r="U69" s="14"/>
      <c r="V69" s="14"/>
      <c r="W69" s="14"/>
      <c r="X69" s="14"/>
      <c r="Y69" s="14">
        <v>70</v>
      </c>
      <c r="Z69" s="14"/>
      <c r="AA69" s="14"/>
      <c r="AB69" s="14"/>
      <c r="AC69" s="14"/>
      <c r="AD69" s="14"/>
      <c r="AE69" s="14"/>
      <c r="AF69" s="14"/>
      <c r="AG69" s="14"/>
      <c r="AH69" s="14"/>
      <c r="AI69" s="14"/>
      <c r="AJ69" s="15">
        <v>250</v>
      </c>
      <c r="AK69" s="15">
        <v>200</v>
      </c>
      <c r="AL69" s="15">
        <v>110</v>
      </c>
      <c r="AM69" s="15">
        <v>95</v>
      </c>
      <c r="AN69" s="15">
        <v>90</v>
      </c>
      <c r="AO69" s="15">
        <v>40</v>
      </c>
    </row>
    <row r="70" spans="1:42" x14ac:dyDescent="0.25">
      <c r="A70" s="18" cm="1">
        <f t="array" ref="A70">IF($A$57,INDEX(Data!$B$3:$B$182,$E$2+A23,1),NA())</f>
        <v>0.65300000000000002</v>
      </c>
      <c r="B70" s="18" cm="1">
        <f t="array" ref="B70">IF($B$57,INDEX(Data!$C$3:$C$182,$E$2+A23,1),NA())</f>
        <v>0.60899999999999999</v>
      </c>
      <c r="C70" s="18">
        <f t="shared" si="88"/>
        <v>0.65300000000000002</v>
      </c>
      <c r="D70" s="18">
        <f t="shared" si="89"/>
        <v>0.60899999999999999</v>
      </c>
      <c r="H70" s="10" cm="1">
        <f t="array" ref="H70">INDEX($I$19:$J$92,ROW(A52),$H$10)</f>
        <v>1</v>
      </c>
      <c r="I70" s="10">
        <f t="shared" si="90"/>
        <v>1</v>
      </c>
      <c r="J70" s="10">
        <f t="shared" si="90"/>
        <v>1</v>
      </c>
      <c r="L70" s="18">
        <f t="shared" si="91"/>
        <v>0.86962190352020863</v>
      </c>
      <c r="M70" cm="1">
        <f t="array" ref="M70">INDEX(Data!$P$3:$P$182,$G$3)</f>
        <v>667</v>
      </c>
      <c r="N70">
        <f t="shared" si="92"/>
        <v>100</v>
      </c>
      <c r="O70" t="s">
        <v>75</v>
      </c>
      <c r="Q70">
        <v>20</v>
      </c>
      <c r="R70">
        <f t="shared" si="86"/>
        <v>99</v>
      </c>
      <c r="S70" t="e" cm="1">
        <f t="array" ref="S70">IF(INDEX($P$51:$P$62,IF(MOD($A$2,12)=0,12,MOD($A$2,12)))=R70,R70,NA())</f>
        <v>#N/A</v>
      </c>
      <c r="U70" s="14"/>
      <c r="V70" s="14"/>
      <c r="W70" s="14"/>
      <c r="X70" s="14"/>
      <c r="Y70" s="14">
        <v>75</v>
      </c>
      <c r="Z70" s="14"/>
      <c r="AA70" s="14"/>
      <c r="AB70" s="14"/>
      <c r="AC70" s="14"/>
      <c r="AD70" s="14"/>
      <c r="AE70" s="14"/>
      <c r="AF70" s="14"/>
      <c r="AG70" s="14"/>
      <c r="AH70" s="14"/>
      <c r="AI70" s="14"/>
      <c r="AJ70" s="15">
        <v>250</v>
      </c>
      <c r="AK70" s="15">
        <v>200</v>
      </c>
      <c r="AL70" s="15">
        <v>110</v>
      </c>
      <c r="AM70" s="15">
        <v>95</v>
      </c>
      <c r="AN70" s="15">
        <v>90</v>
      </c>
      <c r="AO70" s="15">
        <v>45</v>
      </c>
    </row>
    <row r="71" spans="1:42" x14ac:dyDescent="0.25">
      <c r="A71" s="18" cm="1">
        <f t="array" ref="A71">IF($A$57,INDEX(Data!$B$3:$B$182,$E$2+A24,1),NA())</f>
        <v>0.65300000000000002</v>
      </c>
      <c r="B71" s="18" cm="1">
        <f t="array" ref="B71">IF($B$57,INDEX(Data!$C$3:$C$182,$E$2+A24,1),NA())</f>
        <v>0.61</v>
      </c>
      <c r="C71" s="18">
        <f t="shared" si="88"/>
        <v>0.65300000000000002</v>
      </c>
      <c r="D71" s="18">
        <f t="shared" si="89"/>
        <v>0.61</v>
      </c>
      <c r="H71" s="2" cm="1">
        <f t="array" ref="H71">INDEX($I$19:$J$92,ROW(A53),$H$10)</f>
        <v>1</v>
      </c>
      <c r="I71" s="2">
        <f t="shared" si="90"/>
        <v>1</v>
      </c>
      <c r="J71" s="2">
        <f t="shared" si="90"/>
        <v>1</v>
      </c>
      <c r="L71" s="18">
        <f t="shared" si="91"/>
        <v>0.43155149934810949</v>
      </c>
      <c r="M71" cm="1">
        <f t="array" ref="M71">INDEX(Data!$Q$3:$Q$182,$G$3)</f>
        <v>331</v>
      </c>
      <c r="N71">
        <f t="shared" si="92"/>
        <v>436</v>
      </c>
      <c r="O71" t="s">
        <v>78</v>
      </c>
      <c r="Q71">
        <v>21</v>
      </c>
      <c r="R71">
        <f t="shared" si="86"/>
        <v>99</v>
      </c>
      <c r="S71" t="e" cm="1">
        <f t="array" ref="S71">IF(INDEX($P$51:$P$62,IF(MOD($A$2,12)=0,12,MOD($A$2,12)))=R71,R71,NA())</f>
        <v>#N/A</v>
      </c>
      <c r="U71" s="14"/>
      <c r="V71" s="14"/>
      <c r="W71" s="14"/>
      <c r="X71" s="14"/>
      <c r="Y71" s="14">
        <v>80</v>
      </c>
      <c r="Z71" s="14"/>
      <c r="AA71" s="14"/>
      <c r="AB71" s="14"/>
      <c r="AC71" s="14"/>
      <c r="AD71" s="14"/>
      <c r="AE71" s="14"/>
      <c r="AF71" s="14"/>
      <c r="AG71" s="14"/>
      <c r="AH71" s="14"/>
      <c r="AI71" s="14"/>
      <c r="AJ71" s="15">
        <v>250</v>
      </c>
      <c r="AK71" s="15">
        <v>200</v>
      </c>
      <c r="AL71" s="15">
        <v>110</v>
      </c>
      <c r="AM71" s="15">
        <v>95</v>
      </c>
      <c r="AN71" s="15">
        <v>90</v>
      </c>
      <c r="AO71" s="15">
        <v>50</v>
      </c>
    </row>
    <row r="72" spans="1:42" x14ac:dyDescent="0.25">
      <c r="A72" s="18" cm="1">
        <f t="array" ref="A72">IF($A$57,INDEX(Data!$B$3:$B$182,$E$2+A25,1),NA())</f>
        <v>0.64900000000000002</v>
      </c>
      <c r="B72" s="18" cm="1">
        <f t="array" ref="B72">IF($B$57,INDEX(Data!$C$3:$C$182,$E$2+A25,1),NA())</f>
        <v>0.60799999999999998</v>
      </c>
      <c r="C72" s="18">
        <f t="shared" si="88"/>
        <v>0.64900000000000002</v>
      </c>
      <c r="D72" s="18">
        <f t="shared" si="89"/>
        <v>0.60799999999999998</v>
      </c>
      <c r="H72" s="2" cm="1">
        <f t="array" ref="H72">INDEX($I$19:$J$92,ROW(A54),$H$10)</f>
        <v>1</v>
      </c>
      <c r="I72" s="2">
        <f t="shared" si="90"/>
        <v>1</v>
      </c>
      <c r="J72" s="2">
        <f t="shared" si="90"/>
        <v>1</v>
      </c>
      <c r="N72">
        <f>MAX(Data!M3:Q182)</f>
        <v>767</v>
      </c>
      <c r="O72" t="s">
        <v>79</v>
      </c>
      <c r="Q72">
        <v>22</v>
      </c>
      <c r="R72">
        <f t="shared" si="86"/>
        <v>99</v>
      </c>
      <c r="S72" t="e" cm="1">
        <f t="array" ref="S72">IF(INDEX($P$51:$P$62,IF(MOD($A$2,12)=0,12,MOD($A$2,12)))=R72,R72,NA())</f>
        <v>#N/A</v>
      </c>
      <c r="U72" s="14"/>
      <c r="V72" s="14"/>
      <c r="W72" s="14"/>
      <c r="X72" s="14"/>
      <c r="Y72" s="14">
        <v>85</v>
      </c>
      <c r="Z72" s="14"/>
      <c r="AA72" s="14"/>
      <c r="AB72" s="14"/>
      <c r="AC72" s="14"/>
      <c r="AD72" s="14"/>
      <c r="AE72" s="14"/>
      <c r="AF72" s="14"/>
      <c r="AG72" s="14"/>
      <c r="AH72" s="14"/>
      <c r="AI72" s="14"/>
      <c r="AJ72" s="15">
        <v>250</v>
      </c>
      <c r="AK72" s="15">
        <v>200</v>
      </c>
      <c r="AL72" s="15">
        <v>110</v>
      </c>
      <c r="AM72" s="15">
        <v>95</v>
      </c>
      <c r="AN72" s="15">
        <v>90</v>
      </c>
      <c r="AO72" s="15">
        <v>55</v>
      </c>
    </row>
    <row r="73" spans="1:42" x14ac:dyDescent="0.25">
      <c r="A73" s="18" cm="1">
        <f t="array" ref="A73">IF($A$57,INDEX(Data!$B$3:$B$182,$E$2+A26,1),NA())</f>
        <v>0.64</v>
      </c>
      <c r="B73" s="18" cm="1">
        <f t="array" ref="B73">IF($B$57,INDEX(Data!$C$3:$C$182,$E$2+A26,1),NA())</f>
        <v>0.60299999999999998</v>
      </c>
      <c r="C73" s="18">
        <f t="shared" si="88"/>
        <v>0.64</v>
      </c>
      <c r="D73" s="18">
        <f t="shared" si="89"/>
        <v>0.60299999999999998</v>
      </c>
      <c r="H73" s="2" cm="1">
        <f t="array" ref="H73">INDEX($I$19:$J$92,ROW(A55),$H$10)</f>
        <v>1</v>
      </c>
      <c r="I73" s="2">
        <f t="shared" si="90"/>
        <v>1</v>
      </c>
      <c r="J73" s="2">
        <f t="shared" si="90"/>
        <v>1</v>
      </c>
      <c r="N73" s="17"/>
      <c r="Q73">
        <v>23</v>
      </c>
      <c r="R73">
        <f t="shared" si="86"/>
        <v>99</v>
      </c>
      <c r="S73" t="e" cm="1">
        <f t="array" ref="S73">IF(INDEX($P$51:$P$62,IF(MOD($A$2,12)=0,12,MOD($A$2,12)))=R73,R73,NA())</f>
        <v>#N/A</v>
      </c>
      <c r="U73" s="14"/>
      <c r="V73" s="14"/>
      <c r="W73" s="14"/>
      <c r="X73" s="14"/>
      <c r="Y73" s="14">
        <v>90</v>
      </c>
      <c r="Z73" s="14"/>
      <c r="AA73" s="14"/>
      <c r="AB73" s="14"/>
      <c r="AC73" s="14"/>
      <c r="AD73" s="14"/>
      <c r="AE73" s="14"/>
      <c r="AF73" s="14"/>
      <c r="AG73" s="14"/>
      <c r="AH73" s="14"/>
      <c r="AI73" s="14"/>
      <c r="AJ73" s="15">
        <v>250</v>
      </c>
      <c r="AK73" s="15">
        <v>200</v>
      </c>
      <c r="AL73" s="15">
        <v>110</v>
      </c>
      <c r="AM73" s="15">
        <v>95</v>
      </c>
      <c r="AN73" s="15">
        <v>90</v>
      </c>
      <c r="AO73" s="15">
        <v>60</v>
      </c>
    </row>
    <row r="74" spans="1:42" x14ac:dyDescent="0.25">
      <c r="A74" s="18" cm="1">
        <f t="array" ref="A74">IF($A$57,INDEX(Data!$B$3:$B$182,$E$2+A27,1),NA())</f>
        <v>0.628</v>
      </c>
      <c r="B74" s="18" cm="1">
        <f t="array" ref="B74">IF($B$57,INDEX(Data!$C$3:$C$182,$E$2+A27,1),NA())</f>
        <v>0.59399999999999997</v>
      </c>
      <c r="C74" s="18">
        <f t="shared" si="88"/>
        <v>0.628</v>
      </c>
      <c r="D74" s="18">
        <f t="shared" si="89"/>
        <v>0.59399999999999997</v>
      </c>
      <c r="H74" s="2" cm="1">
        <f t="array" ref="H74">INDEX($I$19:$J$92,ROW(A56),$H$10)</f>
        <v>1</v>
      </c>
      <c r="I74" s="2">
        <f t="shared" si="90"/>
        <v>1</v>
      </c>
      <c r="J74" s="2">
        <f t="shared" si="90"/>
        <v>1</v>
      </c>
      <c r="N74" s="17"/>
      <c r="Q74">
        <v>24</v>
      </c>
      <c r="R74">
        <f t="shared" si="86"/>
        <v>99</v>
      </c>
      <c r="S74" t="e" cm="1">
        <f t="array" ref="S74">IF(INDEX($P$51:$P$62,IF(MOD($A$2,12)=0,12,MOD($A$2,12)))=R74,R74,NA())</f>
        <v>#N/A</v>
      </c>
      <c r="U74" s="14"/>
      <c r="V74" s="14"/>
      <c r="W74" s="14"/>
      <c r="X74" s="14">
        <v>95</v>
      </c>
      <c r="Y74" s="14"/>
      <c r="Z74" s="14">
        <v>300</v>
      </c>
      <c r="AA74" s="14"/>
      <c r="AB74" s="14"/>
      <c r="AC74" s="14"/>
      <c r="AD74" s="14"/>
      <c r="AE74" s="14"/>
      <c r="AF74" s="14"/>
      <c r="AG74" s="14"/>
      <c r="AH74" s="14"/>
      <c r="AI74" s="14"/>
      <c r="AJ74" s="15">
        <v>250</v>
      </c>
      <c r="AK74" s="15">
        <v>200</v>
      </c>
      <c r="AL74" s="15">
        <v>110</v>
      </c>
      <c r="AM74" s="15">
        <v>95</v>
      </c>
      <c r="AN74" s="15">
        <v>90</v>
      </c>
      <c r="AO74" s="15">
        <v>65</v>
      </c>
    </row>
    <row r="75" spans="1:42" x14ac:dyDescent="0.25">
      <c r="A75" s="18" cm="1">
        <f t="array" ref="A75">IF($A$57,INDEX(Data!$B$3:$B$182,$E$2+A28,1),NA())</f>
        <v>0.61099999999999999</v>
      </c>
      <c r="B75" s="18" cm="1">
        <f t="array" ref="B75">IF($B$57,INDEX(Data!$C$3:$C$182,$E$2+A28,1),NA())</f>
        <v>0.58099999999999996</v>
      </c>
      <c r="C75" s="18">
        <f t="shared" si="88"/>
        <v>0.61099999999999999</v>
      </c>
      <c r="D75" s="18">
        <f t="shared" si="89"/>
        <v>0.58099999999999996</v>
      </c>
      <c r="H75" s="2" cm="1">
        <f t="array" ref="H75">INDEX($I$19:$J$92,ROW(A57),$H$10)</f>
        <v>1</v>
      </c>
      <c r="I75" s="2">
        <f t="shared" si="90"/>
        <v>1</v>
      </c>
      <c r="J75" s="2">
        <f t="shared" si="90"/>
        <v>1</v>
      </c>
      <c r="N75" s="17"/>
      <c r="Q75">
        <v>25</v>
      </c>
      <c r="R75">
        <f t="shared" si="86"/>
        <v>99</v>
      </c>
      <c r="S75" t="e" cm="1">
        <f t="array" ref="S75">IF(INDEX($P$51:$P$62,IF(MOD($A$2,12)=0,12,MOD($A$2,12)))=R75,R75,NA())</f>
        <v>#N/A</v>
      </c>
      <c r="U75" s="14"/>
      <c r="V75" s="14"/>
      <c r="W75" s="14"/>
      <c r="X75" s="14"/>
      <c r="Y75" s="14"/>
      <c r="Z75" s="14">
        <v>40</v>
      </c>
      <c r="AA75" s="14"/>
      <c r="AB75" s="14"/>
      <c r="AC75" s="14"/>
      <c r="AD75" s="14"/>
      <c r="AE75" s="14"/>
      <c r="AF75" s="14"/>
      <c r="AG75" s="14"/>
      <c r="AH75" s="14"/>
      <c r="AI75" s="14"/>
      <c r="AJ75" s="15">
        <v>250</v>
      </c>
      <c r="AK75" s="15">
        <v>200</v>
      </c>
      <c r="AL75" s="15">
        <v>110</v>
      </c>
      <c r="AM75" s="15">
        <v>95</v>
      </c>
      <c r="AN75" s="15">
        <v>90</v>
      </c>
      <c r="AO75" s="15">
        <v>70</v>
      </c>
    </row>
    <row r="76" spans="1:42" x14ac:dyDescent="0.25">
      <c r="A76" s="18" cm="1">
        <f t="array" ref="A76">IF($A$57,INDEX(Data!$B$3:$B$182,$E$2+A29,1),NA())</f>
        <v>0.58899999999999997</v>
      </c>
      <c r="B76" s="18" cm="1">
        <f t="array" ref="B76">IF($B$57,INDEX(Data!$C$3:$C$182,$E$2+A29,1),NA())</f>
        <v>0.56499999999999995</v>
      </c>
      <c r="C76" s="18">
        <f t="shared" si="88"/>
        <v>0.58899999999999997</v>
      </c>
      <c r="D76" s="18">
        <f t="shared" si="89"/>
        <v>0.56499999999999995</v>
      </c>
      <c r="H76" s="2" cm="1">
        <f t="array" ref="H76">INDEX($I$19:$J$92,ROW(A58),$H$10)</f>
        <v>1</v>
      </c>
      <c r="I76" s="2">
        <f t="shared" si="90"/>
        <v>1</v>
      </c>
      <c r="J76" s="2">
        <f t="shared" si="90"/>
        <v>1</v>
      </c>
      <c r="N76" s="17"/>
      <c r="Q76">
        <v>26</v>
      </c>
      <c r="R76">
        <f t="shared" si="86"/>
        <v>99</v>
      </c>
      <c r="S76" t="e" cm="1">
        <f t="array" ref="S76">IF(INDEX($P$51:$P$62,IF(MOD($A$2,12)=0,12,MOD($A$2,12)))=R76,R76,NA())</f>
        <v>#N/A</v>
      </c>
      <c r="U76" s="14"/>
      <c r="V76" s="14"/>
      <c r="W76" s="14">
        <v>110</v>
      </c>
      <c r="X76" s="14"/>
      <c r="Y76" s="14"/>
      <c r="Z76" s="14">
        <v>45</v>
      </c>
      <c r="AA76" s="14"/>
      <c r="AB76" s="14"/>
      <c r="AC76" s="14"/>
      <c r="AD76" s="14"/>
      <c r="AE76" s="14"/>
      <c r="AF76" s="14"/>
      <c r="AG76" s="14"/>
      <c r="AH76" s="14"/>
      <c r="AI76" s="14"/>
      <c r="AJ76" s="15">
        <v>250</v>
      </c>
      <c r="AK76" s="15">
        <v>200</v>
      </c>
      <c r="AL76" s="15">
        <v>110</v>
      </c>
      <c r="AM76" s="15">
        <v>95</v>
      </c>
      <c r="AN76" s="15">
        <v>90</v>
      </c>
      <c r="AO76" s="15">
        <v>75</v>
      </c>
    </row>
    <row r="77" spans="1:42" x14ac:dyDescent="0.25">
      <c r="A77" s="18" cm="1">
        <f t="array" ref="A77">IF($A$57,INDEX(Data!$B$3:$B$182,$E$2+A30,1),NA())</f>
        <v>0.56399999999999995</v>
      </c>
      <c r="B77" s="18" cm="1">
        <f t="array" ref="B77">IF($B$57,INDEX(Data!$C$3:$C$182,$E$2+A30,1),NA())</f>
        <v>0.54400000000000004</v>
      </c>
      <c r="C77" s="18">
        <f t="shared" si="88"/>
        <v>0.56399999999999995</v>
      </c>
      <c r="D77" s="18">
        <f t="shared" si="89"/>
        <v>0.54400000000000004</v>
      </c>
      <c r="H77" s="2" cm="1">
        <f t="array" ref="H77">INDEX($I$19:$J$92,ROW(A59),$H$10)</f>
        <v>1</v>
      </c>
      <c r="I77" s="2">
        <f t="shared" si="90"/>
        <v>1</v>
      </c>
      <c r="J77" s="2">
        <f t="shared" si="90"/>
        <v>1</v>
      </c>
      <c r="N77" s="17"/>
      <c r="Q77">
        <v>27</v>
      </c>
      <c r="R77">
        <f t="shared" si="86"/>
        <v>99</v>
      </c>
      <c r="S77" t="e" cm="1">
        <f t="array" ref="S77">IF(INDEX($P$51:$P$62,IF(MOD($A$2,12)=0,12,MOD($A$2,12)))=R77,R77,NA())</f>
        <v>#N/A</v>
      </c>
      <c r="U77" s="14"/>
      <c r="V77" s="14"/>
      <c r="W77" s="14"/>
      <c r="X77" s="14"/>
      <c r="Y77" s="14"/>
      <c r="Z77" s="14">
        <v>50</v>
      </c>
      <c r="AA77" s="14"/>
      <c r="AB77" s="14"/>
      <c r="AC77" s="14"/>
      <c r="AD77" s="14"/>
      <c r="AE77" s="14"/>
      <c r="AF77" s="14"/>
      <c r="AG77" s="14"/>
      <c r="AH77" s="14"/>
      <c r="AI77" s="14"/>
      <c r="AJ77" s="15">
        <v>250</v>
      </c>
      <c r="AK77" s="15">
        <v>200</v>
      </c>
      <c r="AL77" s="15">
        <v>110</v>
      </c>
      <c r="AM77" s="15">
        <v>95</v>
      </c>
      <c r="AN77" s="15">
        <v>90</v>
      </c>
      <c r="AO77" s="15">
        <v>80</v>
      </c>
    </row>
    <row r="78" spans="1:42" x14ac:dyDescent="0.25">
      <c r="A78" s="18" cm="1">
        <f t="array" ref="A78">IF($A$57,INDEX(Data!$B$3:$B$182,$E$2+A31,1),NA())</f>
        <v>0.53600000000000003</v>
      </c>
      <c r="B78" s="18" cm="1">
        <f t="array" ref="B78">IF($B$57,INDEX(Data!$C$3:$C$182,$E$2+A31,1),NA())</f>
        <v>0.51900000000000002</v>
      </c>
      <c r="C78" s="18">
        <f t="shared" si="88"/>
        <v>0.53600000000000003</v>
      </c>
      <c r="D78" s="18">
        <f t="shared" si="89"/>
        <v>0.51900000000000002</v>
      </c>
      <c r="H78" s="11" t="str" cm="1">
        <f t="array" ref="H78">INDEX($I$19:$J$92,ROW(A60),$H$10)</f>
        <v>back follow</v>
      </c>
      <c r="I78" s="11" t="s">
        <v>30</v>
      </c>
      <c r="J78" s="11" t="s">
        <v>30</v>
      </c>
      <c r="N78" s="17"/>
      <c r="Q78">
        <v>28</v>
      </c>
      <c r="R78">
        <f t="shared" si="86"/>
        <v>99</v>
      </c>
      <c r="S78" t="e" cm="1">
        <f t="array" ref="S78">IF(INDEX($P$51:$P$62,IF(MOD($A$2,12)=0,12,MOD($A$2,12)))=R78,R78,NA())</f>
        <v>#N/A</v>
      </c>
      <c r="U78" s="14"/>
      <c r="V78" s="14"/>
      <c r="W78" s="14"/>
      <c r="X78" s="14"/>
      <c r="Y78" s="14"/>
      <c r="Z78" s="14">
        <v>55</v>
      </c>
      <c r="AA78" s="14"/>
      <c r="AB78" s="14"/>
      <c r="AC78" s="14"/>
      <c r="AD78" s="14"/>
      <c r="AE78" s="14"/>
      <c r="AF78" s="14"/>
      <c r="AG78" s="14"/>
      <c r="AH78" s="14"/>
      <c r="AI78" s="14"/>
      <c r="AJ78" s="15">
        <v>250</v>
      </c>
      <c r="AK78" s="15">
        <v>200</v>
      </c>
      <c r="AL78" s="15">
        <v>110</v>
      </c>
      <c r="AM78" s="15">
        <v>95</v>
      </c>
      <c r="AN78" s="15">
        <v>90</v>
      </c>
      <c r="AO78" s="15">
        <v>85</v>
      </c>
    </row>
    <row r="79" spans="1:42" x14ac:dyDescent="0.25">
      <c r="A79" s="18" cm="1">
        <f t="array" ref="A79">IF($A$57,INDEX(Data!$B$3:$B$182,$E$2+A32,1),NA())</f>
        <v>0.504</v>
      </c>
      <c r="B79" s="18" cm="1">
        <f t="array" ref="B79">IF($B$57,INDEX(Data!$C$3:$C$182,$E$2+A32,1),NA())</f>
        <v>0.49</v>
      </c>
      <c r="C79" s="18">
        <f t="shared" si="88"/>
        <v>0.504</v>
      </c>
      <c r="D79" s="18">
        <f t="shared" si="89"/>
        <v>0.49</v>
      </c>
      <c r="H79" s="2" cm="1">
        <f t="array" ref="H79">INDEX($I$19:$J$92,ROW(A61),$H$10)</f>
        <v>1</v>
      </c>
      <c r="I79" s="2">
        <f>($C$4&gt;A11)*1*$K$3</f>
        <v>1</v>
      </c>
      <c r="J79" s="2">
        <f>NOT($C$4&gt;=A11)*1*$K$3</f>
        <v>0</v>
      </c>
      <c r="N79" s="17"/>
      <c r="Q79">
        <v>29</v>
      </c>
      <c r="R79">
        <f t="shared" si="86"/>
        <v>99</v>
      </c>
      <c r="S79" t="e" cm="1">
        <f t="array" ref="S79">IF(INDEX($P$51:$P$62,IF(MOD($A$2,12)=0,12,MOD($A$2,12)))=R79,R79,NA())</f>
        <v>#N/A</v>
      </c>
      <c r="U79" s="14">
        <v>250</v>
      </c>
      <c r="V79" s="14">
        <v>200</v>
      </c>
      <c r="W79" s="14"/>
      <c r="X79" s="14"/>
      <c r="Y79" s="14"/>
      <c r="Z79" s="14">
        <v>60</v>
      </c>
      <c r="AA79" s="14"/>
      <c r="AB79" s="14"/>
      <c r="AC79" s="14"/>
      <c r="AD79" s="14"/>
      <c r="AE79" s="14"/>
      <c r="AF79" s="14"/>
      <c r="AG79" s="14"/>
      <c r="AH79" s="14"/>
      <c r="AI79" s="14"/>
      <c r="AJ79" s="15">
        <v>250</v>
      </c>
      <c r="AK79" s="15">
        <v>200</v>
      </c>
      <c r="AL79" s="15">
        <v>110</v>
      </c>
      <c r="AM79" s="15">
        <v>95</v>
      </c>
      <c r="AN79" s="15">
        <v>90</v>
      </c>
      <c r="AO79" s="15">
        <v>85</v>
      </c>
      <c r="AP79" s="15">
        <v>40</v>
      </c>
    </row>
    <row r="80" spans="1:42" x14ac:dyDescent="0.25">
      <c r="A80" s="18" cm="1">
        <f t="array" ref="A80">IF($A$57,INDEX(Data!$B$3:$B$182,$E$2+A33,1),NA())</f>
        <v>0.46800000000000003</v>
      </c>
      <c r="B80" s="18" cm="1">
        <f t="array" ref="B80">IF($B$57,INDEX(Data!$C$3:$C$182,$E$2+A33,1),NA())</f>
        <v>0.45700000000000002</v>
      </c>
      <c r="C80" s="18">
        <f t="shared" si="88"/>
        <v>0.46800000000000003</v>
      </c>
      <c r="D80" s="18">
        <f t="shared" si="89"/>
        <v>0.45700000000000002</v>
      </c>
      <c r="H80" s="2" cm="1">
        <f t="array" ref="H80">INDEX($I$19:$J$92,ROW(A62),$H$10)</f>
        <v>1</v>
      </c>
      <c r="I80" s="2">
        <f t="shared" ref="I80:I85" si="93">($C$4&gt;A12)*1*$K$3</f>
        <v>1</v>
      </c>
      <c r="J80" s="2">
        <f t="shared" ref="J80:J85" si="94">NOT($C$4&gt;=A12)*1*$K$3</f>
        <v>0</v>
      </c>
      <c r="N80" s="17"/>
      <c r="Q80">
        <v>30</v>
      </c>
      <c r="R80">
        <f t="shared" si="86"/>
        <v>99</v>
      </c>
      <c r="S80" t="e" cm="1">
        <f t="array" ref="S80">IF(INDEX($P$51:$P$62,IF(MOD($A$2,12)=0,12,MOD($A$2,12)))=R80,R80,NA())</f>
        <v>#N/A</v>
      </c>
      <c r="U80" s="14"/>
      <c r="V80" s="14"/>
      <c r="W80" s="14"/>
      <c r="X80" s="14"/>
      <c r="Y80" s="14"/>
      <c r="Z80" s="14">
        <v>65</v>
      </c>
      <c r="AA80" s="14"/>
      <c r="AB80" s="14"/>
      <c r="AC80" s="14"/>
      <c r="AD80" s="14"/>
      <c r="AE80" s="14"/>
      <c r="AF80" s="14"/>
      <c r="AG80" s="14"/>
      <c r="AH80" s="14"/>
      <c r="AI80" s="14"/>
      <c r="AJ80" s="15">
        <v>250</v>
      </c>
      <c r="AK80" s="15">
        <v>200</v>
      </c>
      <c r="AL80" s="15">
        <v>110</v>
      </c>
      <c r="AM80" s="15">
        <v>95</v>
      </c>
      <c r="AN80" s="15">
        <v>90</v>
      </c>
      <c r="AO80" s="15">
        <v>85</v>
      </c>
      <c r="AP80" s="15">
        <v>45</v>
      </c>
    </row>
    <row r="81" spans="1:44" x14ac:dyDescent="0.25">
      <c r="A81" s="18" cm="1">
        <f t="array" ref="A81">IF($A$57,INDEX(Data!$B$3:$B$182,$E$2+A34,1),NA())</f>
        <v>0.432</v>
      </c>
      <c r="B81" s="18" cm="1">
        <f t="array" ref="B81">IF($B$57,INDEX(Data!$C$3:$C$182,$E$2+A34,1),NA())</f>
        <v>0.42099999999999999</v>
      </c>
      <c r="C81" s="18">
        <f t="shared" si="88"/>
        <v>0.432</v>
      </c>
      <c r="D81" s="18">
        <f t="shared" si="89"/>
        <v>0.42099999999999999</v>
      </c>
      <c r="H81" s="2" cm="1">
        <f t="array" ref="H81">INDEX($I$19:$J$92,ROW(A63),$H$10)</f>
        <v>1</v>
      </c>
      <c r="I81" s="2">
        <f t="shared" si="93"/>
        <v>1</v>
      </c>
      <c r="J81" s="2">
        <f t="shared" si="94"/>
        <v>0</v>
      </c>
      <c r="N81" s="17"/>
      <c r="Q81">
        <v>31</v>
      </c>
      <c r="R81">
        <v>0</v>
      </c>
      <c r="S81" t="e" cm="1">
        <f t="array" ref="S81">IF(INDEX($P$51:$P$62,IF(MOD($A$2,12)=0,12,MOD($A$2,12)))=R81,R81,NA())</f>
        <v>#N/A</v>
      </c>
      <c r="U81" s="14"/>
      <c r="V81" s="14"/>
      <c r="W81" s="14"/>
      <c r="X81" s="14"/>
      <c r="Y81" s="14"/>
      <c r="Z81" s="14">
        <v>70</v>
      </c>
      <c r="AA81" s="14"/>
      <c r="AB81" s="14"/>
      <c r="AC81" s="14"/>
      <c r="AD81" s="14"/>
      <c r="AE81" s="14"/>
      <c r="AF81" s="14"/>
      <c r="AG81" s="14"/>
      <c r="AH81" s="14"/>
      <c r="AI81" s="14"/>
      <c r="AJ81" s="15">
        <v>250</v>
      </c>
      <c r="AK81" s="15">
        <v>200</v>
      </c>
      <c r="AL81" s="15">
        <v>110</v>
      </c>
      <c r="AM81" s="15">
        <v>95</v>
      </c>
      <c r="AN81" s="15">
        <v>90</v>
      </c>
      <c r="AO81" s="15">
        <v>85</v>
      </c>
      <c r="AP81" s="15">
        <v>50</v>
      </c>
    </row>
    <row r="82" spans="1:44" x14ac:dyDescent="0.25">
      <c r="A82" s="18" cm="1">
        <f t="array" ref="A82">IF($A$57,INDEX(Data!$B$3:$B$182,$E$2+A35,1),NA())</f>
        <v>0.39200000000000002</v>
      </c>
      <c r="B82" s="18" cm="1">
        <f t="array" ref="B82">IF($B$57,INDEX(Data!$C$3:$C$182,$E$2+A35,1),NA())</f>
        <v>0.38400000000000001</v>
      </c>
      <c r="C82" s="18">
        <f t="shared" si="88"/>
        <v>0.39200000000000002</v>
      </c>
      <c r="D82" s="18">
        <f t="shared" si="89"/>
        <v>0.38400000000000001</v>
      </c>
      <c r="H82" s="2" cm="1">
        <f t="array" ref="H82">INDEX($I$19:$J$92,ROW(A64),$H$10)</f>
        <v>1</v>
      </c>
      <c r="I82" s="2">
        <f t="shared" si="93"/>
        <v>1</v>
      </c>
      <c r="J82" s="2">
        <f t="shared" si="94"/>
        <v>0</v>
      </c>
      <c r="N82" s="17"/>
      <c r="Q82">
        <v>32</v>
      </c>
      <c r="R82">
        <v>0</v>
      </c>
      <c r="S82" t="e" cm="1">
        <f t="array" ref="S82">IF(INDEX($P$51:$P$62,IF(MOD($A$2,12)=0,12,MOD($A$2,12)))=R82,R82,NA())</f>
        <v>#N/A</v>
      </c>
      <c r="U82" s="14"/>
      <c r="V82" s="14"/>
      <c r="W82" s="14"/>
      <c r="X82" s="14"/>
      <c r="Y82" s="14"/>
      <c r="Z82" s="14">
        <v>75</v>
      </c>
      <c r="AA82" s="14"/>
      <c r="AB82" s="14"/>
      <c r="AC82" s="14"/>
      <c r="AD82" s="14"/>
      <c r="AE82" s="14"/>
      <c r="AF82" s="14"/>
      <c r="AG82" s="14"/>
      <c r="AH82" s="14"/>
      <c r="AI82" s="14"/>
      <c r="AJ82" s="15">
        <v>250</v>
      </c>
      <c r="AK82" s="15">
        <v>200</v>
      </c>
      <c r="AL82" s="15">
        <v>110</v>
      </c>
      <c r="AM82" s="15">
        <v>95</v>
      </c>
      <c r="AN82" s="15">
        <v>90</v>
      </c>
      <c r="AO82" s="15">
        <v>85</v>
      </c>
      <c r="AP82" s="15">
        <v>55</v>
      </c>
    </row>
    <row r="83" spans="1:44" x14ac:dyDescent="0.25">
      <c r="A83" s="18" cm="1">
        <f t="array" ref="A83">IF($A$57,INDEX(Data!$B$3:$B$182,$E$2+A36,1),NA())</f>
        <v>0.35</v>
      </c>
      <c r="B83" s="18" cm="1">
        <f t="array" ref="B83">IF($B$57,INDEX(Data!$C$3:$C$182,$E$2+A36,1),NA())</f>
        <v>0.34899999999999998</v>
      </c>
      <c r="C83" s="18">
        <f t="shared" si="88"/>
        <v>0.35</v>
      </c>
      <c r="D83" s="18">
        <f t="shared" si="89"/>
        <v>0.34899999999999998</v>
      </c>
      <c r="H83" s="2" cm="1">
        <f t="array" ref="H83">INDEX($I$19:$J$92,ROW(A65),$H$10)</f>
        <v>1</v>
      </c>
      <c r="I83" s="2">
        <f t="shared" si="93"/>
        <v>1</v>
      </c>
      <c r="J83" s="2">
        <f t="shared" si="94"/>
        <v>0</v>
      </c>
      <c r="N83" s="17"/>
      <c r="Q83">
        <v>33</v>
      </c>
      <c r="R83">
        <v>0</v>
      </c>
      <c r="S83" t="e" cm="1">
        <f t="array" ref="S83">IF(INDEX($P$51:$P$62,IF(MOD($A$2,12)=0,12,MOD($A$2,12)))=R83,R83,NA())</f>
        <v>#N/A</v>
      </c>
      <c r="U83" s="14"/>
      <c r="V83" s="14"/>
      <c r="W83" s="14"/>
      <c r="X83" s="14"/>
      <c r="Y83" s="14"/>
      <c r="Z83" s="14">
        <v>80</v>
      </c>
      <c r="AA83" s="14"/>
      <c r="AB83" s="14"/>
      <c r="AC83" s="14"/>
      <c r="AD83" s="14"/>
      <c r="AE83" s="14"/>
      <c r="AF83" s="14"/>
      <c r="AG83" s="14"/>
      <c r="AH83" s="14"/>
      <c r="AI83" s="14"/>
      <c r="AJ83" s="15">
        <v>250</v>
      </c>
      <c r="AK83" s="15">
        <v>200</v>
      </c>
      <c r="AL83" s="15">
        <v>110</v>
      </c>
      <c r="AM83" s="15">
        <v>95</v>
      </c>
      <c r="AN83" s="15">
        <v>90</v>
      </c>
      <c r="AO83" s="15">
        <v>85</v>
      </c>
      <c r="AP83" s="15">
        <v>60</v>
      </c>
    </row>
    <row r="84" spans="1:44" x14ac:dyDescent="0.25">
      <c r="A84" s="18" cm="1">
        <f t="array" ref="A84">IF($A$57,INDEX(Data!$B$3:$B$182,$E$2+A37,1),NA())</f>
        <v>0.312</v>
      </c>
      <c r="B84" s="18" cm="1">
        <f t="array" ref="B84">IF($B$57,INDEX(Data!$C$3:$C$182,$E$2+A37,1),NA())</f>
        <v>0.318</v>
      </c>
      <c r="C84" s="18">
        <f t="shared" si="88"/>
        <v>0.312</v>
      </c>
      <c r="D84" s="18">
        <f t="shared" si="89"/>
        <v>0.318</v>
      </c>
      <c r="H84" s="2" cm="1">
        <f t="array" ref="H84">INDEX($I$19:$J$92,ROW(A66),$H$10)</f>
        <v>1</v>
      </c>
      <c r="I84" s="2">
        <f t="shared" si="93"/>
        <v>1</v>
      </c>
      <c r="J84" s="2">
        <f t="shared" si="94"/>
        <v>0</v>
      </c>
      <c r="N84" s="17"/>
      <c r="Q84">
        <v>34</v>
      </c>
      <c r="R84">
        <f>$P$52</f>
        <v>98</v>
      </c>
      <c r="S84" t="e" cm="1">
        <f t="array" ref="S84">IF(INDEX($P$51:$P$62,IF(MOD($A$2,12)=0,12,MOD($A$2,12)))=R84,R84,NA())</f>
        <v>#N/A</v>
      </c>
      <c r="U84" s="14"/>
      <c r="V84" s="14"/>
      <c r="W84" s="14"/>
      <c r="X84" s="14"/>
      <c r="Y84" s="14"/>
      <c r="Z84" s="14">
        <v>85</v>
      </c>
      <c r="AA84" s="14"/>
      <c r="AB84" s="14"/>
      <c r="AC84" s="14"/>
      <c r="AD84" s="14"/>
      <c r="AE84" s="14"/>
      <c r="AF84" s="14"/>
      <c r="AG84" s="14"/>
      <c r="AH84" s="14"/>
      <c r="AI84" s="14"/>
      <c r="AJ84" s="15">
        <v>250</v>
      </c>
      <c r="AK84" s="15">
        <v>200</v>
      </c>
      <c r="AL84" s="15">
        <v>110</v>
      </c>
      <c r="AM84" s="15">
        <v>95</v>
      </c>
      <c r="AN84" s="15">
        <v>90</v>
      </c>
      <c r="AO84" s="15">
        <v>85</v>
      </c>
      <c r="AP84" s="15">
        <v>65</v>
      </c>
    </row>
    <row r="85" spans="1:44" x14ac:dyDescent="0.25">
      <c r="A85" s="18" cm="1">
        <f t="array" ref="A85">IF($A$57,INDEX(Data!$B$3:$B$182,$E$2+A38,1),NA())</f>
        <v>0.28100000000000003</v>
      </c>
      <c r="B85" s="18" cm="1">
        <f t="array" ref="B85">IF($B$57,INDEX(Data!$C$3:$C$182,$E$2+A38,1),NA())</f>
        <v>0.29199999999999998</v>
      </c>
      <c r="C85" s="18">
        <f t="shared" si="88"/>
        <v>0.28100000000000003</v>
      </c>
      <c r="D85" s="18">
        <f t="shared" si="89"/>
        <v>0.29199999999999998</v>
      </c>
      <c r="H85" s="10" cm="1">
        <f t="array" ref="H85">INDEX($I$19:$J$92,ROW(A67),$H$10)</f>
        <v>1</v>
      </c>
      <c r="I85" s="2">
        <f t="shared" si="93"/>
        <v>1</v>
      </c>
      <c r="J85" s="2">
        <f t="shared" si="94"/>
        <v>0</v>
      </c>
      <c r="N85" s="17"/>
      <c r="Q85">
        <v>35</v>
      </c>
      <c r="R85">
        <f t="shared" ref="R85:R110" si="95">$P$52</f>
        <v>98</v>
      </c>
      <c r="S85" t="e" cm="1">
        <f t="array" ref="S85">IF(INDEX($P$51:$P$62,IF(MOD($A$2,12)=0,12,MOD($A$2,12)))=R85,R85,NA())</f>
        <v>#N/A</v>
      </c>
      <c r="U85" s="14"/>
      <c r="V85" s="14"/>
      <c r="W85" s="14"/>
      <c r="X85" s="14"/>
      <c r="Y85" s="14">
        <v>90</v>
      </c>
      <c r="Z85" s="14"/>
      <c r="AA85" s="14">
        <v>300</v>
      </c>
      <c r="AB85" s="14"/>
      <c r="AC85" s="14"/>
      <c r="AD85" s="14"/>
      <c r="AE85" s="14"/>
      <c r="AF85" s="14"/>
      <c r="AG85" s="14"/>
      <c r="AH85" s="14"/>
      <c r="AI85" s="14"/>
      <c r="AJ85" s="15">
        <v>250</v>
      </c>
      <c r="AK85" s="15">
        <v>200</v>
      </c>
      <c r="AL85" s="15">
        <v>110</v>
      </c>
      <c r="AM85" s="15">
        <v>95</v>
      </c>
      <c r="AN85" s="15">
        <v>90</v>
      </c>
      <c r="AO85" s="15">
        <v>85</v>
      </c>
      <c r="AP85" s="15">
        <v>70</v>
      </c>
    </row>
    <row r="86" spans="1:44" x14ac:dyDescent="0.25">
      <c r="A86" s="18" cm="1">
        <f t="array" ref="A86">IF($A$57,INDEX(Data!$B$3:$B$182,$E$2+A39,1),NA())</f>
        <v>0.254</v>
      </c>
      <c r="B86" s="18" cm="1">
        <f t="array" ref="B86">IF($B$57,INDEX(Data!$C$3:$C$182,$E$2+A39,1),NA())</f>
        <v>0.27100000000000002</v>
      </c>
      <c r="C86" s="18">
        <f t="shared" si="88"/>
        <v>0.254</v>
      </c>
      <c r="D86" s="18">
        <f t="shared" si="89"/>
        <v>0.27100000000000002</v>
      </c>
      <c r="H86" s="2" cm="1">
        <f t="array" ref="H86">INDEX($I$19:$J$92,ROW(A68),$H$10)</f>
        <v>0</v>
      </c>
      <c r="I86" s="2">
        <v>0</v>
      </c>
      <c r="J86" s="2">
        <f>($C$4&lt;37)*1*$K$3</f>
        <v>1</v>
      </c>
      <c r="N86" s="17"/>
      <c r="Q86">
        <v>36</v>
      </c>
      <c r="R86">
        <f t="shared" si="95"/>
        <v>98</v>
      </c>
      <c r="S86" t="e" cm="1">
        <f t="array" ref="S86">IF(INDEX($P$51:$P$62,IF(MOD($A$2,12)=0,12,MOD($A$2,12)))=R86,R86,NA())</f>
        <v>#N/A</v>
      </c>
      <c r="U86" s="14"/>
      <c r="V86" s="14"/>
      <c r="W86" s="14"/>
      <c r="X86" s="14"/>
      <c r="Y86" s="14"/>
      <c r="Z86" s="14"/>
      <c r="AA86" s="14">
        <v>40</v>
      </c>
      <c r="AB86" s="14"/>
      <c r="AC86" s="14"/>
      <c r="AD86" s="14"/>
      <c r="AE86" s="14"/>
      <c r="AF86" s="14"/>
      <c r="AG86" s="14"/>
      <c r="AH86" s="14"/>
      <c r="AI86" s="14"/>
      <c r="AJ86" s="15">
        <v>250</v>
      </c>
      <c r="AK86" s="15">
        <v>200</v>
      </c>
      <c r="AL86" s="15">
        <v>110</v>
      </c>
      <c r="AM86" s="15">
        <v>95</v>
      </c>
      <c r="AN86" s="15">
        <v>90</v>
      </c>
      <c r="AO86" s="15">
        <v>85</v>
      </c>
      <c r="AP86" s="15">
        <v>75</v>
      </c>
    </row>
    <row r="87" spans="1:44" x14ac:dyDescent="0.25">
      <c r="A87" s="18" cm="1">
        <f t="array" ref="A87">IF($A$57,INDEX(Data!$B$3:$B$182,$E$2+A40,1),NA())</f>
        <v>0.23200000000000001</v>
      </c>
      <c r="B87" s="18" cm="1">
        <f t="array" ref="B87">IF($B$57,INDEX(Data!$C$3:$C$182,$E$2+A40,1),NA())</f>
        <v>0.255</v>
      </c>
      <c r="C87" s="18">
        <f t="shared" si="88"/>
        <v>0.23200000000000001</v>
      </c>
      <c r="D87" s="18">
        <f t="shared" si="89"/>
        <v>0.255</v>
      </c>
      <c r="H87" s="2" cm="1">
        <f t="array" ref="H87">INDEX($I$19:$J$92,ROW(A69),$H$10)</f>
        <v>0</v>
      </c>
      <c r="I87" s="2">
        <v>0</v>
      </c>
      <c r="J87" s="2">
        <f t="shared" ref="J87:J92" si="96">($C$4&lt;37)*1*$K$3</f>
        <v>1</v>
      </c>
      <c r="N87" s="17"/>
      <c r="Q87">
        <v>37</v>
      </c>
      <c r="R87">
        <f t="shared" si="95"/>
        <v>98</v>
      </c>
      <c r="S87" t="e" cm="1">
        <f t="array" ref="S87">IF(INDEX($P$51:$P$62,IF(MOD($A$2,12)=0,12,MOD($A$2,12)))=R87,R87,NA())</f>
        <v>#N/A</v>
      </c>
      <c r="U87" s="14"/>
      <c r="V87" s="14"/>
      <c r="W87" s="14"/>
      <c r="X87" s="14">
        <v>95</v>
      </c>
      <c r="Y87" s="14"/>
      <c r="Z87" s="14"/>
      <c r="AA87" s="14">
        <v>45</v>
      </c>
      <c r="AB87" s="14"/>
      <c r="AC87" s="14"/>
      <c r="AD87" s="14"/>
      <c r="AE87" s="14"/>
      <c r="AF87" s="14"/>
      <c r="AG87" s="14"/>
      <c r="AH87" s="14"/>
      <c r="AI87" s="14"/>
      <c r="AJ87" s="15">
        <v>250</v>
      </c>
      <c r="AK87" s="15">
        <v>200</v>
      </c>
      <c r="AL87" s="15">
        <v>110</v>
      </c>
      <c r="AM87" s="15">
        <v>95</v>
      </c>
      <c r="AN87" s="15">
        <v>90</v>
      </c>
      <c r="AO87" s="15">
        <v>85</v>
      </c>
      <c r="AP87" s="15">
        <v>80</v>
      </c>
    </row>
    <row r="88" spans="1:44" x14ac:dyDescent="0.25">
      <c r="A88" s="18" t="str">
        <f>IF(A57,A56,"")</f>
        <v>Plan</v>
      </c>
      <c r="B88" s="18" t="str">
        <f>IF(B57,B56,"")</f>
        <v>Actual</v>
      </c>
      <c r="C88" s="18"/>
      <c r="H88" s="2" cm="1">
        <f t="array" ref="H88">INDEX($I$19:$J$92,ROW(A70),$H$10)</f>
        <v>0</v>
      </c>
      <c r="I88" s="2">
        <v>0</v>
      </c>
      <c r="J88" s="2">
        <f t="shared" si="96"/>
        <v>1</v>
      </c>
      <c r="N88" s="17"/>
      <c r="Q88">
        <v>38</v>
      </c>
      <c r="R88">
        <f t="shared" si="95"/>
        <v>98</v>
      </c>
      <c r="S88" t="e" cm="1">
        <f t="array" ref="S88">IF(INDEX($P$51:$P$62,IF(MOD($A$2,12)=0,12,MOD($A$2,12)))=R88,R88,NA())</f>
        <v>#N/A</v>
      </c>
      <c r="U88" s="14"/>
      <c r="V88" s="14"/>
      <c r="W88" s="14"/>
      <c r="X88" s="14"/>
      <c r="Y88" s="14"/>
      <c r="Z88" s="14"/>
      <c r="AA88" s="14">
        <v>50</v>
      </c>
      <c r="AB88" s="14"/>
      <c r="AC88" s="14"/>
      <c r="AD88" s="14"/>
      <c r="AE88" s="14"/>
      <c r="AF88" s="14"/>
      <c r="AG88" s="14"/>
      <c r="AH88" s="14"/>
      <c r="AI88" s="14"/>
      <c r="AJ88" s="15">
        <v>250</v>
      </c>
      <c r="AK88" s="15">
        <v>200</v>
      </c>
      <c r="AL88" s="15">
        <v>110</v>
      </c>
      <c r="AM88" s="15">
        <v>95</v>
      </c>
      <c r="AN88" s="15">
        <v>90</v>
      </c>
      <c r="AO88" s="15">
        <v>85</v>
      </c>
      <c r="AP88" s="15">
        <v>80</v>
      </c>
      <c r="AQ88" s="15">
        <v>40</v>
      </c>
    </row>
    <row r="89" spans="1:44" x14ac:dyDescent="0.25">
      <c r="H89" s="2" cm="1">
        <f t="array" ref="H89">INDEX($I$19:$J$92,ROW(A71),$H$10)</f>
        <v>0</v>
      </c>
      <c r="I89" s="2">
        <v>0</v>
      </c>
      <c r="J89" s="2">
        <f t="shared" si="96"/>
        <v>1</v>
      </c>
      <c r="N89" s="17"/>
      <c r="Q89">
        <v>39</v>
      </c>
      <c r="R89">
        <f t="shared" si="95"/>
        <v>98</v>
      </c>
      <c r="S89" t="e" cm="1">
        <f t="array" ref="S89">IF(INDEX($P$51:$P$62,IF(MOD($A$2,12)=0,12,MOD($A$2,12)))=R89,R89,NA())</f>
        <v>#N/A</v>
      </c>
      <c r="U89" s="14"/>
      <c r="V89" s="14"/>
      <c r="W89" s="14"/>
      <c r="X89" s="14"/>
      <c r="Y89" s="14"/>
      <c r="Z89" s="14"/>
      <c r="AA89" s="14">
        <v>55</v>
      </c>
      <c r="AB89" s="14"/>
      <c r="AC89" s="14"/>
      <c r="AD89" s="14"/>
      <c r="AE89" s="14"/>
      <c r="AF89" s="14"/>
      <c r="AG89" s="14"/>
      <c r="AH89" s="14"/>
      <c r="AI89" s="14"/>
      <c r="AJ89" s="15">
        <v>250</v>
      </c>
      <c r="AK89" s="15">
        <v>200</v>
      </c>
      <c r="AL89" s="15">
        <v>110</v>
      </c>
      <c r="AM89" s="15">
        <v>95</v>
      </c>
      <c r="AN89" s="15">
        <v>90</v>
      </c>
      <c r="AO89" s="15">
        <v>85</v>
      </c>
      <c r="AP89" s="15">
        <v>80</v>
      </c>
      <c r="AQ89" s="15">
        <v>45</v>
      </c>
    </row>
    <row r="90" spans="1:44" x14ac:dyDescent="0.25">
      <c r="H90" s="2" cm="1">
        <f t="array" ref="H90">INDEX($I$19:$J$92,ROW(A72),$H$10)</f>
        <v>0</v>
      </c>
      <c r="I90" s="2">
        <v>0</v>
      </c>
      <c r="J90" s="2">
        <f t="shared" si="96"/>
        <v>1</v>
      </c>
      <c r="N90" s="17"/>
      <c r="Q90">
        <v>40</v>
      </c>
      <c r="R90">
        <f t="shared" si="95"/>
        <v>98</v>
      </c>
      <c r="S90" t="e" cm="1">
        <f t="array" ref="S90">IF(INDEX($P$51:$P$62,IF(MOD($A$2,12)=0,12,MOD($A$2,12)))=R90,R90,NA())</f>
        <v>#N/A</v>
      </c>
      <c r="U90" s="14"/>
      <c r="V90" s="14"/>
      <c r="W90" s="14">
        <v>110</v>
      </c>
      <c r="X90" s="14"/>
      <c r="Y90" s="14"/>
      <c r="Z90" s="14"/>
      <c r="AA90" s="14">
        <v>60</v>
      </c>
      <c r="AB90" s="14"/>
      <c r="AC90" s="14"/>
      <c r="AD90" s="14"/>
      <c r="AE90" s="14"/>
      <c r="AF90" s="14"/>
      <c r="AG90" s="14"/>
      <c r="AH90" s="14"/>
      <c r="AI90" s="14"/>
      <c r="AJ90" s="15">
        <v>250</v>
      </c>
      <c r="AK90" s="15">
        <v>200</v>
      </c>
      <c r="AL90" s="15">
        <v>110</v>
      </c>
      <c r="AM90" s="15">
        <v>95</v>
      </c>
      <c r="AN90" s="15">
        <v>90</v>
      </c>
      <c r="AO90" s="15">
        <v>85</v>
      </c>
      <c r="AP90" s="15">
        <v>80</v>
      </c>
      <c r="AQ90" s="15">
        <v>50</v>
      </c>
    </row>
    <row r="91" spans="1:44" x14ac:dyDescent="0.25">
      <c r="H91" s="2" cm="1">
        <f t="array" ref="H91">INDEX($I$19:$J$92,ROW(A73),$H$10)</f>
        <v>0</v>
      </c>
      <c r="I91" s="2">
        <v>0</v>
      </c>
      <c r="J91" s="2">
        <f t="shared" si="96"/>
        <v>1</v>
      </c>
      <c r="N91" s="17"/>
      <c r="Q91">
        <v>41</v>
      </c>
      <c r="R91">
        <f t="shared" si="95"/>
        <v>98</v>
      </c>
      <c r="S91" t="e" cm="1">
        <f t="array" ref="S91">IF(INDEX($P$51:$P$62,IF(MOD($A$2,12)=0,12,MOD($A$2,12)))=R91,R91,NA())</f>
        <v>#N/A</v>
      </c>
      <c r="U91" s="14"/>
      <c r="V91" s="14"/>
      <c r="W91" s="14"/>
      <c r="X91" s="14"/>
      <c r="Y91" s="14"/>
      <c r="Z91" s="14"/>
      <c r="AA91" s="14">
        <v>65</v>
      </c>
      <c r="AB91" s="14"/>
      <c r="AC91" s="14"/>
      <c r="AD91" s="14"/>
      <c r="AE91" s="14"/>
      <c r="AF91" s="14"/>
      <c r="AG91" s="14"/>
      <c r="AH91" s="14"/>
      <c r="AI91" s="14"/>
      <c r="AJ91" s="15">
        <v>250</v>
      </c>
      <c r="AK91" s="15">
        <v>200</v>
      </c>
      <c r="AL91" s="15">
        <v>110</v>
      </c>
      <c r="AM91" s="15">
        <v>95</v>
      </c>
      <c r="AN91" s="15">
        <v>90</v>
      </c>
      <c r="AO91" s="15">
        <v>85</v>
      </c>
      <c r="AP91" s="15">
        <v>80</v>
      </c>
      <c r="AQ91" s="15">
        <v>55</v>
      </c>
    </row>
    <row r="92" spans="1:44" x14ac:dyDescent="0.25">
      <c r="H92" s="2" cm="1">
        <f t="array" ref="H92">INDEX($I$19:$J$92,ROW(A74),$H$10)</f>
        <v>0</v>
      </c>
      <c r="I92" s="2">
        <v>0</v>
      </c>
      <c r="J92" s="2">
        <f t="shared" si="96"/>
        <v>1</v>
      </c>
      <c r="N92" s="17"/>
      <c r="Q92">
        <v>42</v>
      </c>
      <c r="R92">
        <f t="shared" si="95"/>
        <v>98</v>
      </c>
      <c r="S92" t="e" cm="1">
        <f t="array" ref="S92">IF(INDEX($P$51:$P$62,IF(MOD($A$2,12)=0,12,MOD($A$2,12)))=R92,R92,NA())</f>
        <v>#N/A</v>
      </c>
      <c r="U92" s="14"/>
      <c r="V92" s="14"/>
      <c r="W92" s="14"/>
      <c r="X92" s="14"/>
      <c r="Y92" s="14"/>
      <c r="Z92" s="14"/>
      <c r="AA92" s="14">
        <v>70</v>
      </c>
      <c r="AB92" s="14"/>
      <c r="AC92" s="14"/>
      <c r="AD92" s="14"/>
      <c r="AE92" s="14"/>
      <c r="AF92" s="14"/>
      <c r="AG92" s="14"/>
      <c r="AH92" s="14"/>
      <c r="AI92" s="14"/>
      <c r="AJ92" s="15">
        <v>250</v>
      </c>
      <c r="AK92" s="15">
        <v>200</v>
      </c>
      <c r="AL92" s="15">
        <v>110</v>
      </c>
      <c r="AM92" s="15">
        <v>95</v>
      </c>
      <c r="AN92" s="15">
        <v>90</v>
      </c>
      <c r="AO92" s="15">
        <v>85</v>
      </c>
      <c r="AP92" s="15">
        <v>80</v>
      </c>
      <c r="AQ92" s="15">
        <v>60</v>
      </c>
    </row>
    <row r="93" spans="1:44" x14ac:dyDescent="0.25">
      <c r="H93" s="2"/>
      <c r="N93" s="17"/>
      <c r="Q93">
        <v>43</v>
      </c>
      <c r="R93">
        <f t="shared" si="95"/>
        <v>98</v>
      </c>
      <c r="S93" t="e" cm="1">
        <f t="array" ref="S93">IF(INDEX($P$51:$P$62,IF(MOD($A$2,12)=0,12,MOD($A$2,12)))=R93,R93,NA())</f>
        <v>#N/A</v>
      </c>
      <c r="U93" s="14"/>
      <c r="V93" s="14"/>
      <c r="W93" s="14"/>
      <c r="X93" s="14"/>
      <c r="Y93" s="14"/>
      <c r="Z93" s="14"/>
      <c r="AA93" s="14">
        <v>75</v>
      </c>
      <c r="AB93" s="14"/>
      <c r="AC93" s="14"/>
      <c r="AD93" s="14"/>
      <c r="AE93" s="14"/>
      <c r="AF93" s="14"/>
      <c r="AG93" s="14"/>
      <c r="AH93" s="14"/>
      <c r="AI93" s="14"/>
      <c r="AJ93" s="15">
        <v>250</v>
      </c>
      <c r="AK93" s="15">
        <v>200</v>
      </c>
      <c r="AL93" s="15">
        <v>110</v>
      </c>
      <c r="AM93" s="15">
        <v>95</v>
      </c>
      <c r="AN93" s="15">
        <v>90</v>
      </c>
      <c r="AO93" s="15">
        <v>85</v>
      </c>
      <c r="AP93" s="15">
        <v>80</v>
      </c>
      <c r="AQ93" s="15">
        <v>65</v>
      </c>
    </row>
    <row r="94" spans="1:44" x14ac:dyDescent="0.25">
      <c r="N94" s="17"/>
      <c r="Q94">
        <v>44</v>
      </c>
      <c r="R94">
        <f t="shared" si="95"/>
        <v>98</v>
      </c>
      <c r="S94" t="e" cm="1">
        <f t="array" ref="S94">IF(INDEX($P$51:$P$62,IF(MOD($A$2,12)=0,12,MOD($A$2,12)))=R94,R94,NA())</f>
        <v>#N/A</v>
      </c>
      <c r="U94" s="14">
        <v>250</v>
      </c>
      <c r="V94" s="14">
        <v>200</v>
      </c>
      <c r="W94" s="14"/>
      <c r="X94" s="14"/>
      <c r="Y94" s="14"/>
      <c r="Z94" s="14"/>
      <c r="AA94" s="14">
        <v>80</v>
      </c>
      <c r="AB94" s="14"/>
      <c r="AC94" s="14"/>
      <c r="AD94" s="14"/>
      <c r="AE94" s="14"/>
      <c r="AF94" s="14"/>
      <c r="AG94" s="14"/>
      <c r="AH94" s="14"/>
      <c r="AI94" s="14"/>
      <c r="AJ94" s="15">
        <v>250</v>
      </c>
      <c r="AK94" s="15">
        <v>200</v>
      </c>
      <c r="AL94" s="15">
        <v>110</v>
      </c>
      <c r="AM94" s="15">
        <v>95</v>
      </c>
      <c r="AN94" s="15">
        <v>90</v>
      </c>
      <c r="AO94" s="15">
        <v>85</v>
      </c>
      <c r="AP94" s="15">
        <v>80</v>
      </c>
      <c r="AQ94" s="15">
        <v>70</v>
      </c>
    </row>
    <row r="95" spans="1:44" x14ac:dyDescent="0.25">
      <c r="N95" s="17"/>
      <c r="Q95">
        <v>45</v>
      </c>
      <c r="R95">
        <f t="shared" si="95"/>
        <v>98</v>
      </c>
      <c r="S95" t="e" cm="1">
        <f t="array" ref="S95">IF(INDEX($P$51:$P$62,IF(MOD($A$2,12)=0,12,MOD($A$2,12)))=R95,R95,NA())</f>
        <v>#N/A</v>
      </c>
      <c r="U95" s="14"/>
      <c r="V95" s="14"/>
      <c r="W95" s="14"/>
      <c r="X95" s="14"/>
      <c r="Y95" s="14"/>
      <c r="Z95" s="14">
        <v>85</v>
      </c>
      <c r="AA95" s="14"/>
      <c r="AB95" s="14">
        <v>300</v>
      </c>
      <c r="AC95" s="14"/>
      <c r="AD95" s="14"/>
      <c r="AE95" s="14"/>
      <c r="AF95" s="14"/>
      <c r="AG95" s="14"/>
      <c r="AH95" s="14"/>
      <c r="AI95" s="14"/>
      <c r="AJ95" s="15">
        <v>250</v>
      </c>
      <c r="AK95" s="15">
        <v>200</v>
      </c>
      <c r="AL95" s="15">
        <v>110</v>
      </c>
      <c r="AM95" s="15">
        <v>95</v>
      </c>
      <c r="AN95" s="15">
        <v>90</v>
      </c>
      <c r="AO95" s="15">
        <v>85</v>
      </c>
      <c r="AP95" s="15">
        <v>80</v>
      </c>
      <c r="AQ95" s="15">
        <v>75</v>
      </c>
    </row>
    <row r="96" spans="1:44" x14ac:dyDescent="0.25">
      <c r="N96" s="17"/>
      <c r="Q96">
        <v>46</v>
      </c>
      <c r="R96">
        <f t="shared" si="95"/>
        <v>98</v>
      </c>
      <c r="S96" t="e" cm="1">
        <f t="array" ref="S96">IF(INDEX($P$51:$P$62,IF(MOD($A$2,12)=0,12,MOD($A$2,12)))=R96,R96,NA())</f>
        <v>#N/A</v>
      </c>
      <c r="U96" s="14"/>
      <c r="V96" s="14"/>
      <c r="W96" s="14"/>
      <c r="X96" s="14"/>
      <c r="Y96" s="14"/>
      <c r="Z96" s="14"/>
      <c r="AA96" s="14"/>
      <c r="AB96" s="14">
        <v>40</v>
      </c>
      <c r="AC96" s="14"/>
      <c r="AD96" s="14"/>
      <c r="AE96" s="14"/>
      <c r="AF96" s="14"/>
      <c r="AG96" s="14"/>
      <c r="AH96" s="14"/>
      <c r="AI96" s="14"/>
      <c r="AJ96" s="15">
        <v>250</v>
      </c>
      <c r="AK96" s="15">
        <v>200</v>
      </c>
      <c r="AL96" s="15">
        <v>110</v>
      </c>
      <c r="AM96" s="15">
        <v>95</v>
      </c>
      <c r="AN96" s="15">
        <v>90</v>
      </c>
      <c r="AO96" s="15">
        <v>85</v>
      </c>
      <c r="AP96" s="15">
        <v>80</v>
      </c>
      <c r="AQ96" s="15">
        <v>75</v>
      </c>
      <c r="AR96" s="15">
        <v>40</v>
      </c>
    </row>
    <row r="97" spans="14:46" x14ac:dyDescent="0.25">
      <c r="N97" s="17"/>
      <c r="Q97">
        <v>47</v>
      </c>
      <c r="R97">
        <f t="shared" si="95"/>
        <v>98</v>
      </c>
      <c r="S97" t="e" cm="1">
        <f t="array" ref="S97">IF(INDEX($P$51:$P$62,IF(MOD($A$2,12)=0,12,MOD($A$2,12)))=R97,R97,NA())</f>
        <v>#N/A</v>
      </c>
      <c r="U97" s="14"/>
      <c r="V97" s="14"/>
      <c r="W97" s="14"/>
      <c r="X97" s="14"/>
      <c r="Y97" s="14">
        <v>90</v>
      </c>
      <c r="Z97" s="14"/>
      <c r="AA97" s="14"/>
      <c r="AB97" s="14">
        <v>45</v>
      </c>
      <c r="AC97" s="14"/>
      <c r="AD97" s="14"/>
      <c r="AE97" s="14"/>
      <c r="AF97" s="14"/>
      <c r="AG97" s="14"/>
      <c r="AH97" s="14"/>
      <c r="AI97" s="14"/>
      <c r="AJ97" s="15">
        <v>250</v>
      </c>
      <c r="AK97" s="15">
        <v>200</v>
      </c>
      <c r="AL97" s="15">
        <v>110</v>
      </c>
      <c r="AM97" s="15">
        <v>95</v>
      </c>
      <c r="AN97" s="15">
        <v>90</v>
      </c>
      <c r="AO97" s="15">
        <v>85</v>
      </c>
      <c r="AP97" s="15">
        <v>80</v>
      </c>
      <c r="AQ97" s="15">
        <v>75</v>
      </c>
      <c r="AR97" s="15">
        <v>45</v>
      </c>
    </row>
    <row r="98" spans="14:46" x14ac:dyDescent="0.25">
      <c r="N98" s="17"/>
      <c r="Q98">
        <v>48</v>
      </c>
      <c r="R98">
        <f t="shared" si="95"/>
        <v>98</v>
      </c>
      <c r="S98" t="e" cm="1">
        <f t="array" ref="S98">IF(INDEX($P$51:$P$62,IF(MOD($A$2,12)=0,12,MOD($A$2,12)))=R98,R98,NA())</f>
        <v>#N/A</v>
      </c>
      <c r="U98" s="14"/>
      <c r="V98" s="14"/>
      <c r="W98" s="14"/>
      <c r="X98" s="14"/>
      <c r="Y98" s="14"/>
      <c r="Z98" s="14"/>
      <c r="AA98" s="14"/>
      <c r="AB98" s="14">
        <v>50</v>
      </c>
      <c r="AC98" s="14"/>
      <c r="AD98" s="14"/>
      <c r="AE98" s="14"/>
      <c r="AF98" s="14"/>
      <c r="AG98" s="14"/>
      <c r="AH98" s="14"/>
      <c r="AI98" s="14"/>
      <c r="AJ98" s="15">
        <v>250</v>
      </c>
      <c r="AK98" s="15">
        <v>200</v>
      </c>
      <c r="AL98" s="15">
        <v>110</v>
      </c>
      <c r="AM98" s="15">
        <v>95</v>
      </c>
      <c r="AN98" s="15">
        <v>90</v>
      </c>
      <c r="AO98" s="15">
        <v>85</v>
      </c>
      <c r="AP98" s="15">
        <v>80</v>
      </c>
      <c r="AQ98" s="15">
        <v>75</v>
      </c>
      <c r="AR98" s="15">
        <v>50</v>
      </c>
    </row>
    <row r="99" spans="14:46" x14ac:dyDescent="0.25">
      <c r="N99" s="17"/>
      <c r="Q99">
        <v>49</v>
      </c>
      <c r="R99">
        <f t="shared" si="95"/>
        <v>98</v>
      </c>
      <c r="S99" t="e" cm="1">
        <f t="array" ref="S99">IF(INDEX($P$51:$P$62,IF(MOD($A$2,12)=0,12,MOD($A$2,12)))=R99,R99,NA())</f>
        <v>#N/A</v>
      </c>
      <c r="U99" s="14"/>
      <c r="V99" s="14"/>
      <c r="W99" s="14"/>
      <c r="X99" s="14"/>
      <c r="Y99" s="14"/>
      <c r="Z99" s="14"/>
      <c r="AA99" s="14"/>
      <c r="AB99" s="14">
        <v>55</v>
      </c>
      <c r="AC99" s="14"/>
      <c r="AD99" s="14"/>
      <c r="AE99" s="14"/>
      <c r="AF99" s="14"/>
      <c r="AG99" s="14"/>
      <c r="AH99" s="14"/>
      <c r="AI99" s="14"/>
      <c r="AJ99" s="15">
        <v>250</v>
      </c>
      <c r="AK99" s="15">
        <v>200</v>
      </c>
      <c r="AL99" s="15">
        <v>110</v>
      </c>
      <c r="AM99" s="15">
        <v>95</v>
      </c>
      <c r="AN99" s="15">
        <v>90</v>
      </c>
      <c r="AO99" s="15">
        <v>85</v>
      </c>
      <c r="AP99" s="15">
        <v>80</v>
      </c>
      <c r="AQ99" s="15">
        <v>75</v>
      </c>
      <c r="AR99" s="15">
        <v>55</v>
      </c>
    </row>
    <row r="100" spans="14:46" x14ac:dyDescent="0.25">
      <c r="N100" s="17"/>
      <c r="Q100">
        <v>50</v>
      </c>
      <c r="R100">
        <f t="shared" si="95"/>
        <v>98</v>
      </c>
      <c r="S100" t="e" cm="1">
        <f t="array" ref="S100">IF(INDEX($P$51:$P$62,IF(MOD($A$2,12)=0,12,MOD($A$2,12)))=R100,R100,NA())</f>
        <v>#N/A</v>
      </c>
      <c r="U100" s="14"/>
      <c r="V100" s="14"/>
      <c r="W100" s="14"/>
      <c r="X100" s="14">
        <v>95</v>
      </c>
      <c r="Y100" s="14"/>
      <c r="Z100" s="14"/>
      <c r="AA100" s="14"/>
      <c r="AB100" s="14">
        <v>60</v>
      </c>
      <c r="AC100" s="14"/>
      <c r="AD100" s="14"/>
      <c r="AE100" s="14"/>
      <c r="AF100" s="14"/>
      <c r="AG100" s="14"/>
      <c r="AH100" s="14"/>
      <c r="AI100" s="14"/>
      <c r="AJ100" s="15">
        <v>250</v>
      </c>
      <c r="AK100" s="15">
        <v>200</v>
      </c>
      <c r="AL100" s="15">
        <v>110</v>
      </c>
      <c r="AM100" s="15">
        <v>95</v>
      </c>
      <c r="AN100" s="15">
        <v>90</v>
      </c>
      <c r="AO100" s="15">
        <v>85</v>
      </c>
      <c r="AP100" s="15">
        <v>80</v>
      </c>
      <c r="AQ100" s="15">
        <v>75</v>
      </c>
      <c r="AR100" s="15">
        <v>60</v>
      </c>
    </row>
    <row r="101" spans="14:46" x14ac:dyDescent="0.25">
      <c r="N101" s="17"/>
      <c r="Q101">
        <v>51</v>
      </c>
      <c r="R101">
        <f t="shared" si="95"/>
        <v>98</v>
      </c>
      <c r="S101" t="e" cm="1">
        <f t="array" ref="S101">IF(INDEX($P$51:$P$62,IF(MOD($A$2,12)=0,12,MOD($A$2,12)))=R101,R101,NA())</f>
        <v>#N/A</v>
      </c>
      <c r="U101" s="14"/>
      <c r="V101" s="14"/>
      <c r="W101" s="14"/>
      <c r="X101" s="14"/>
      <c r="Y101" s="14"/>
      <c r="Z101" s="14"/>
      <c r="AA101" s="14"/>
      <c r="AB101" s="14">
        <v>65</v>
      </c>
      <c r="AC101" s="14"/>
      <c r="AD101" s="14"/>
      <c r="AE101" s="14"/>
      <c r="AF101" s="14"/>
      <c r="AG101" s="14"/>
      <c r="AH101" s="14"/>
      <c r="AI101" s="14"/>
      <c r="AJ101" s="15">
        <v>250</v>
      </c>
      <c r="AK101" s="15">
        <v>200</v>
      </c>
      <c r="AL101" s="15">
        <v>110</v>
      </c>
      <c r="AM101" s="15">
        <v>95</v>
      </c>
      <c r="AN101" s="15">
        <v>90</v>
      </c>
      <c r="AO101" s="15">
        <v>85</v>
      </c>
      <c r="AP101" s="15">
        <v>80</v>
      </c>
      <c r="AQ101" s="15">
        <v>75</v>
      </c>
      <c r="AR101" s="15">
        <v>65</v>
      </c>
    </row>
    <row r="102" spans="14:46" x14ac:dyDescent="0.25">
      <c r="N102" s="17"/>
      <c r="Q102">
        <v>52</v>
      </c>
      <c r="R102">
        <f t="shared" si="95"/>
        <v>98</v>
      </c>
      <c r="S102" t="e" cm="1">
        <f t="array" ref="S102">IF(INDEX($P$51:$P$62,IF(MOD($A$2,12)=0,12,MOD($A$2,12)))=R102,R102,NA())</f>
        <v>#N/A</v>
      </c>
      <c r="U102" s="14"/>
      <c r="V102" s="14"/>
      <c r="W102" s="14"/>
      <c r="X102" s="14"/>
      <c r="Y102" s="14"/>
      <c r="Z102" s="14"/>
      <c r="AA102" s="14"/>
      <c r="AB102" s="14">
        <v>70</v>
      </c>
      <c r="AC102" s="14"/>
      <c r="AD102" s="14"/>
      <c r="AE102" s="14"/>
      <c r="AF102" s="14"/>
      <c r="AG102" s="14"/>
      <c r="AH102" s="14"/>
      <c r="AI102" s="14"/>
      <c r="AJ102" s="15">
        <v>250</v>
      </c>
      <c r="AK102" s="15">
        <v>200</v>
      </c>
      <c r="AL102" s="15">
        <v>110</v>
      </c>
      <c r="AM102" s="15">
        <v>95</v>
      </c>
      <c r="AN102" s="15">
        <v>90</v>
      </c>
      <c r="AO102" s="15">
        <v>85</v>
      </c>
      <c r="AP102" s="15">
        <v>80</v>
      </c>
      <c r="AQ102" s="15">
        <v>75</v>
      </c>
      <c r="AR102" s="15">
        <v>70</v>
      </c>
    </row>
    <row r="103" spans="14:46" x14ac:dyDescent="0.25">
      <c r="N103" s="17"/>
      <c r="Q103">
        <v>53</v>
      </c>
      <c r="R103">
        <f t="shared" si="95"/>
        <v>98</v>
      </c>
      <c r="S103" t="e" cm="1">
        <f t="array" ref="S103">IF(INDEX($P$51:$P$62,IF(MOD($A$2,12)=0,12,MOD($A$2,12)))=R103,R103,NA())</f>
        <v>#N/A</v>
      </c>
      <c r="U103" s="14"/>
      <c r="V103" s="14"/>
      <c r="W103" s="14"/>
      <c r="X103" s="14"/>
      <c r="Y103" s="14"/>
      <c r="Z103" s="14"/>
      <c r="AA103" s="14"/>
      <c r="AB103" s="14">
        <v>75</v>
      </c>
      <c r="AC103" s="14"/>
      <c r="AD103" s="14"/>
      <c r="AE103" s="14"/>
      <c r="AF103" s="14"/>
      <c r="AG103" s="14"/>
      <c r="AH103" s="14"/>
      <c r="AI103" s="14"/>
      <c r="AJ103" s="15">
        <v>250</v>
      </c>
      <c r="AK103" s="15">
        <v>200</v>
      </c>
      <c r="AL103" s="15">
        <v>110</v>
      </c>
      <c r="AM103" s="15">
        <v>95</v>
      </c>
      <c r="AN103" s="15">
        <v>90</v>
      </c>
      <c r="AO103" s="15">
        <v>85</v>
      </c>
      <c r="AP103" s="15">
        <v>80</v>
      </c>
      <c r="AQ103" s="15">
        <v>75</v>
      </c>
      <c r="AR103" s="15">
        <v>70</v>
      </c>
      <c r="AS103" s="15">
        <v>40</v>
      </c>
    </row>
    <row r="104" spans="14:46" x14ac:dyDescent="0.25">
      <c r="N104" s="17"/>
      <c r="Q104">
        <v>54</v>
      </c>
      <c r="R104">
        <f t="shared" si="95"/>
        <v>98</v>
      </c>
      <c r="S104" t="e" cm="1">
        <f t="array" ref="S104">IF(INDEX($P$51:$P$62,IF(MOD($A$2,12)=0,12,MOD($A$2,12)))=R104,R104,NA())</f>
        <v>#N/A</v>
      </c>
      <c r="U104" s="14"/>
      <c r="V104" s="14"/>
      <c r="W104" s="14">
        <v>110</v>
      </c>
      <c r="X104" s="14"/>
      <c r="Y104" s="14"/>
      <c r="Z104" s="14"/>
      <c r="AA104" s="14">
        <v>80</v>
      </c>
      <c r="AB104" s="14"/>
      <c r="AC104" s="14">
        <v>300</v>
      </c>
      <c r="AD104" s="14"/>
      <c r="AE104" s="14"/>
      <c r="AF104" s="14"/>
      <c r="AG104" s="14"/>
      <c r="AH104" s="14"/>
      <c r="AI104" s="14"/>
      <c r="AJ104" s="15">
        <v>250</v>
      </c>
      <c r="AK104" s="15">
        <v>200</v>
      </c>
      <c r="AL104" s="15">
        <v>110</v>
      </c>
      <c r="AM104" s="15">
        <v>95</v>
      </c>
      <c r="AN104" s="15">
        <v>90</v>
      </c>
      <c r="AO104" s="15">
        <v>85</v>
      </c>
      <c r="AP104" s="15">
        <v>80</v>
      </c>
      <c r="AQ104" s="15">
        <v>75</v>
      </c>
      <c r="AR104" s="15">
        <v>70</v>
      </c>
      <c r="AS104" s="15">
        <v>45</v>
      </c>
    </row>
    <row r="105" spans="14:46" x14ac:dyDescent="0.25">
      <c r="N105" s="17"/>
      <c r="Q105">
        <v>55</v>
      </c>
      <c r="R105">
        <f t="shared" si="95"/>
        <v>98</v>
      </c>
      <c r="S105" t="e" cm="1">
        <f t="array" ref="S105">IF(INDEX($P$51:$P$62,IF(MOD($A$2,12)=0,12,MOD($A$2,12)))=R105,R105,NA())</f>
        <v>#N/A</v>
      </c>
      <c r="U105" s="14"/>
      <c r="V105" s="14"/>
      <c r="W105" s="14"/>
      <c r="X105" s="14"/>
      <c r="Y105" s="14"/>
      <c r="Z105" s="14"/>
      <c r="AA105" s="14"/>
      <c r="AB105" s="14"/>
      <c r="AC105" s="14">
        <v>40</v>
      </c>
      <c r="AD105" s="14"/>
      <c r="AE105" s="14"/>
      <c r="AF105" s="14"/>
      <c r="AG105" s="14"/>
      <c r="AH105" s="14"/>
      <c r="AI105" s="14"/>
      <c r="AJ105" s="15">
        <v>250</v>
      </c>
      <c r="AK105" s="15">
        <v>200</v>
      </c>
      <c r="AL105" s="15">
        <v>110</v>
      </c>
      <c r="AM105" s="15">
        <v>95</v>
      </c>
      <c r="AN105" s="15">
        <v>90</v>
      </c>
      <c r="AO105" s="15">
        <v>85</v>
      </c>
      <c r="AP105" s="15">
        <v>80</v>
      </c>
      <c r="AQ105" s="15">
        <v>75</v>
      </c>
      <c r="AR105" s="15">
        <v>70</v>
      </c>
      <c r="AS105" s="15">
        <v>50</v>
      </c>
    </row>
    <row r="106" spans="14:46" x14ac:dyDescent="0.25">
      <c r="N106" s="17"/>
      <c r="Q106">
        <v>56</v>
      </c>
      <c r="R106">
        <f t="shared" si="95"/>
        <v>98</v>
      </c>
      <c r="S106" t="e" cm="1">
        <f t="array" ref="S106">IF(INDEX($P$51:$P$62,IF(MOD($A$2,12)=0,12,MOD($A$2,12)))=R106,R106,NA())</f>
        <v>#N/A</v>
      </c>
      <c r="U106" s="14"/>
      <c r="V106" s="14"/>
      <c r="W106" s="14"/>
      <c r="X106" s="14"/>
      <c r="Y106" s="14"/>
      <c r="Z106" s="14">
        <v>85</v>
      </c>
      <c r="AA106" s="14"/>
      <c r="AB106" s="14"/>
      <c r="AC106" s="14">
        <v>45</v>
      </c>
      <c r="AD106" s="14"/>
      <c r="AE106" s="14"/>
      <c r="AF106" s="14"/>
      <c r="AG106" s="14"/>
      <c r="AH106" s="14"/>
      <c r="AI106" s="14"/>
      <c r="AJ106" s="15">
        <v>250</v>
      </c>
      <c r="AK106" s="15">
        <v>200</v>
      </c>
      <c r="AL106" s="15">
        <v>110</v>
      </c>
      <c r="AM106" s="15">
        <v>95</v>
      </c>
      <c r="AN106" s="15">
        <v>90</v>
      </c>
      <c r="AO106" s="15">
        <v>85</v>
      </c>
      <c r="AP106" s="15">
        <v>80</v>
      </c>
      <c r="AQ106" s="15">
        <v>75</v>
      </c>
      <c r="AR106" s="15">
        <v>70</v>
      </c>
      <c r="AS106" s="15">
        <v>55</v>
      </c>
    </row>
    <row r="107" spans="14:46" x14ac:dyDescent="0.25">
      <c r="N107" s="17"/>
      <c r="Q107">
        <v>57</v>
      </c>
      <c r="R107">
        <f t="shared" si="95"/>
        <v>98</v>
      </c>
      <c r="S107" t="e" cm="1">
        <f t="array" ref="S107">IF(INDEX($P$51:$P$62,IF(MOD($A$2,12)=0,12,MOD($A$2,12)))=R107,R107,NA())</f>
        <v>#N/A</v>
      </c>
      <c r="U107" s="14"/>
      <c r="V107" s="14"/>
      <c r="W107" s="14"/>
      <c r="X107" s="14"/>
      <c r="Y107" s="14"/>
      <c r="Z107" s="14"/>
      <c r="AA107" s="14"/>
      <c r="AB107" s="14"/>
      <c r="AC107" s="14">
        <v>50</v>
      </c>
      <c r="AD107" s="14"/>
      <c r="AE107" s="14"/>
      <c r="AF107" s="14"/>
      <c r="AG107" s="14"/>
      <c r="AH107" s="14"/>
      <c r="AI107" s="14"/>
      <c r="AJ107" s="15">
        <v>250</v>
      </c>
      <c r="AK107" s="15">
        <v>200</v>
      </c>
      <c r="AL107" s="15">
        <v>110</v>
      </c>
      <c r="AM107" s="15">
        <v>95</v>
      </c>
      <c r="AN107" s="15">
        <v>90</v>
      </c>
      <c r="AO107" s="15">
        <v>85</v>
      </c>
      <c r="AP107" s="15">
        <v>80</v>
      </c>
      <c r="AQ107" s="15">
        <v>75</v>
      </c>
      <c r="AR107" s="15">
        <v>70</v>
      </c>
      <c r="AS107" s="15">
        <v>60</v>
      </c>
    </row>
    <row r="108" spans="14:46" x14ac:dyDescent="0.25">
      <c r="N108" s="17"/>
      <c r="Q108">
        <v>58</v>
      </c>
      <c r="R108">
        <f t="shared" si="95"/>
        <v>98</v>
      </c>
      <c r="S108" t="e" cm="1">
        <f t="array" ref="S108">IF(INDEX($P$51:$P$62,IF(MOD($A$2,12)=0,12,MOD($A$2,12)))=R108,R108,NA())</f>
        <v>#N/A</v>
      </c>
      <c r="U108" s="14"/>
      <c r="V108" s="14"/>
      <c r="W108" s="14"/>
      <c r="X108" s="14"/>
      <c r="Y108" s="14"/>
      <c r="Z108" s="14"/>
      <c r="AA108" s="14"/>
      <c r="AB108" s="14"/>
      <c r="AC108" s="14">
        <v>55</v>
      </c>
      <c r="AD108" s="14"/>
      <c r="AE108" s="14"/>
      <c r="AF108" s="14"/>
      <c r="AG108" s="14"/>
      <c r="AH108" s="14"/>
      <c r="AI108" s="14"/>
      <c r="AJ108" s="15">
        <v>250</v>
      </c>
      <c r="AK108" s="15">
        <v>200</v>
      </c>
      <c r="AL108" s="15">
        <v>110</v>
      </c>
      <c r="AM108" s="15">
        <v>95</v>
      </c>
      <c r="AN108" s="15">
        <v>90</v>
      </c>
      <c r="AO108" s="15">
        <v>85</v>
      </c>
      <c r="AP108" s="15">
        <v>80</v>
      </c>
      <c r="AQ108" s="15">
        <v>75</v>
      </c>
      <c r="AR108" s="15">
        <v>70</v>
      </c>
      <c r="AS108" s="15">
        <v>65</v>
      </c>
    </row>
    <row r="109" spans="14:46" x14ac:dyDescent="0.25">
      <c r="N109" s="17"/>
      <c r="Q109">
        <v>59</v>
      </c>
      <c r="R109">
        <f t="shared" si="95"/>
        <v>98</v>
      </c>
      <c r="S109" t="e" cm="1">
        <f t="array" ref="S109">IF(INDEX($P$51:$P$62,IF(MOD($A$2,12)=0,12,MOD($A$2,12)))=R109,R109,NA())</f>
        <v>#N/A</v>
      </c>
      <c r="U109" s="14">
        <v>250</v>
      </c>
      <c r="V109" s="14">
        <v>200</v>
      </c>
      <c r="W109" s="14"/>
      <c r="X109" s="14"/>
      <c r="Y109" s="14">
        <v>90</v>
      </c>
      <c r="Z109" s="14"/>
      <c r="AA109" s="14"/>
      <c r="AB109" s="14"/>
      <c r="AC109" s="14">
        <v>60</v>
      </c>
      <c r="AD109" s="14"/>
      <c r="AE109" s="14"/>
      <c r="AF109" s="14"/>
      <c r="AG109" s="14"/>
      <c r="AH109" s="14"/>
      <c r="AI109" s="14"/>
      <c r="AJ109" s="15">
        <v>250</v>
      </c>
      <c r="AK109" s="15">
        <v>200</v>
      </c>
      <c r="AL109" s="15">
        <v>110</v>
      </c>
      <c r="AM109" s="15">
        <v>95</v>
      </c>
      <c r="AN109" s="15">
        <v>90</v>
      </c>
      <c r="AO109" s="15">
        <v>85</v>
      </c>
      <c r="AP109" s="15">
        <v>80</v>
      </c>
      <c r="AQ109" s="15">
        <v>75</v>
      </c>
      <c r="AR109" s="15">
        <v>70</v>
      </c>
      <c r="AS109" s="15">
        <v>65</v>
      </c>
      <c r="AT109" s="15">
        <v>40</v>
      </c>
    </row>
    <row r="110" spans="14:46" x14ac:dyDescent="0.25">
      <c r="N110" s="17"/>
      <c r="Q110">
        <v>60</v>
      </c>
      <c r="R110">
        <f t="shared" si="95"/>
        <v>98</v>
      </c>
      <c r="S110" t="e" cm="1">
        <f t="array" ref="S110">IF(INDEX($P$51:$P$62,IF(MOD($A$2,12)=0,12,MOD($A$2,12)))=R110,R110,NA())</f>
        <v>#N/A</v>
      </c>
      <c r="U110" s="14"/>
      <c r="V110" s="14"/>
      <c r="W110" s="14"/>
      <c r="X110" s="14"/>
      <c r="Y110" s="14"/>
      <c r="Z110" s="14"/>
      <c r="AA110" s="14"/>
      <c r="AB110" s="14"/>
      <c r="AC110" s="14">
        <v>65</v>
      </c>
      <c r="AD110" s="14"/>
      <c r="AE110" s="14"/>
      <c r="AF110" s="14"/>
      <c r="AG110" s="14"/>
      <c r="AH110" s="14"/>
      <c r="AI110" s="14"/>
      <c r="AJ110" s="15">
        <v>250</v>
      </c>
      <c r="AK110" s="15">
        <v>200</v>
      </c>
      <c r="AL110" s="15">
        <v>110</v>
      </c>
      <c r="AM110" s="15">
        <v>95</v>
      </c>
      <c r="AN110" s="15">
        <v>90</v>
      </c>
      <c r="AO110" s="15">
        <v>85</v>
      </c>
      <c r="AP110" s="15">
        <v>80</v>
      </c>
      <c r="AQ110" s="15">
        <v>75</v>
      </c>
      <c r="AR110" s="15">
        <v>70</v>
      </c>
      <c r="AS110" s="15">
        <v>65</v>
      </c>
      <c r="AT110" s="15">
        <v>45</v>
      </c>
    </row>
    <row r="111" spans="14:46" x14ac:dyDescent="0.25">
      <c r="N111" s="17"/>
      <c r="Q111">
        <v>61</v>
      </c>
      <c r="R111">
        <v>0</v>
      </c>
      <c r="S111" t="e" cm="1">
        <f t="array" ref="S111">IF(INDEX($P$51:$P$62,IF(MOD($A$2,12)=0,12,MOD($A$2,12)))=R111,R111,NA())</f>
        <v>#N/A</v>
      </c>
      <c r="U111" s="14"/>
      <c r="V111" s="14"/>
      <c r="W111" s="14"/>
      <c r="X111" s="14"/>
      <c r="Y111" s="14"/>
      <c r="Z111" s="14"/>
      <c r="AA111" s="14"/>
      <c r="AB111" s="14"/>
      <c r="AC111" s="14">
        <v>70</v>
      </c>
      <c r="AD111" s="14"/>
      <c r="AE111" s="14"/>
      <c r="AF111" s="14"/>
      <c r="AG111" s="14"/>
      <c r="AH111" s="14"/>
      <c r="AI111" s="14"/>
      <c r="AJ111" s="15">
        <v>250</v>
      </c>
      <c r="AK111" s="15">
        <v>200</v>
      </c>
      <c r="AL111" s="15">
        <v>110</v>
      </c>
      <c r="AM111" s="15">
        <v>95</v>
      </c>
      <c r="AN111" s="15">
        <v>90</v>
      </c>
      <c r="AO111" s="15">
        <v>85</v>
      </c>
      <c r="AP111" s="15">
        <v>80</v>
      </c>
      <c r="AQ111" s="15">
        <v>75</v>
      </c>
      <c r="AR111" s="15">
        <v>70</v>
      </c>
      <c r="AS111" s="15">
        <v>65</v>
      </c>
      <c r="AT111" s="15">
        <v>50</v>
      </c>
    </row>
    <row r="112" spans="14:46" x14ac:dyDescent="0.25">
      <c r="N112" s="17"/>
      <c r="Q112">
        <v>62</v>
      </c>
      <c r="R112">
        <v>0</v>
      </c>
      <c r="S112" t="e" cm="1">
        <f t="array" ref="S112">IF(INDEX($P$51:$P$62,IF(MOD($A$2,12)=0,12,MOD($A$2,12)))=R112,R112,NA())</f>
        <v>#N/A</v>
      </c>
      <c r="U112" s="14"/>
      <c r="V112" s="14"/>
      <c r="W112" s="14"/>
      <c r="X112" s="14"/>
      <c r="Y112" s="14"/>
      <c r="Z112" s="14"/>
      <c r="AA112" s="14"/>
      <c r="AB112" s="14">
        <v>75</v>
      </c>
      <c r="AC112" s="14"/>
      <c r="AD112" s="14">
        <v>300</v>
      </c>
      <c r="AE112" s="14"/>
      <c r="AF112" s="14"/>
      <c r="AG112" s="14"/>
      <c r="AH112" s="14"/>
      <c r="AI112" s="14"/>
      <c r="AJ112" s="15">
        <v>250</v>
      </c>
      <c r="AK112" s="15">
        <v>200</v>
      </c>
      <c r="AL112" s="15">
        <v>110</v>
      </c>
      <c r="AM112" s="15">
        <v>95</v>
      </c>
      <c r="AN112" s="15">
        <v>90</v>
      </c>
      <c r="AO112" s="15">
        <v>85</v>
      </c>
      <c r="AP112" s="15">
        <v>80</v>
      </c>
      <c r="AQ112" s="15">
        <v>75</v>
      </c>
      <c r="AR112" s="15">
        <v>70</v>
      </c>
      <c r="AS112" s="15">
        <v>65</v>
      </c>
      <c r="AT112" s="15">
        <v>55</v>
      </c>
    </row>
    <row r="113" spans="14:49" x14ac:dyDescent="0.25">
      <c r="N113" s="17"/>
      <c r="Q113">
        <v>63</v>
      </c>
      <c r="R113">
        <v>0</v>
      </c>
      <c r="S113" t="e" cm="1">
        <f t="array" ref="S113">IF(INDEX($P$51:$P$62,IF(MOD($A$2,12)=0,12,MOD($A$2,12)))=R113,R113,NA())</f>
        <v>#N/A</v>
      </c>
      <c r="U113" s="14"/>
      <c r="V113" s="14"/>
      <c r="W113" s="14"/>
      <c r="X113" s="14">
        <v>95</v>
      </c>
      <c r="Y113" s="14"/>
      <c r="Z113" s="14"/>
      <c r="AA113" s="14"/>
      <c r="AB113" s="14"/>
      <c r="AC113" s="14"/>
      <c r="AD113" s="14">
        <v>40</v>
      </c>
      <c r="AE113" s="14"/>
      <c r="AF113" s="14"/>
      <c r="AG113" s="14"/>
      <c r="AH113" s="14"/>
      <c r="AI113" s="14"/>
      <c r="AJ113" s="15">
        <v>250</v>
      </c>
      <c r="AK113" s="15">
        <v>200</v>
      </c>
      <c r="AL113" s="15">
        <v>110</v>
      </c>
      <c r="AM113" s="15">
        <v>95</v>
      </c>
      <c r="AN113" s="15">
        <v>90</v>
      </c>
      <c r="AO113" s="15">
        <v>85</v>
      </c>
      <c r="AP113" s="15">
        <v>80</v>
      </c>
      <c r="AQ113" s="15">
        <v>75</v>
      </c>
      <c r="AR113" s="15">
        <v>70</v>
      </c>
      <c r="AS113" s="15">
        <v>65</v>
      </c>
      <c r="AT113" s="15">
        <v>60</v>
      </c>
    </row>
    <row r="114" spans="14:49" x14ac:dyDescent="0.25">
      <c r="N114" s="17"/>
      <c r="Q114">
        <v>64</v>
      </c>
      <c r="R114">
        <f>$P$53</f>
        <v>97</v>
      </c>
      <c r="S114" t="e" cm="1">
        <f t="array" ref="S114">IF(INDEX($P$51:$P$62,IF(MOD($A$2,12)=0,12,MOD($A$2,12)))=R114,R114,NA())</f>
        <v>#N/A</v>
      </c>
      <c r="U114" s="14"/>
      <c r="V114" s="14"/>
      <c r="W114" s="14"/>
      <c r="X114" s="14"/>
      <c r="Y114" s="14"/>
      <c r="Z114" s="14"/>
      <c r="AA114" s="14">
        <v>80</v>
      </c>
      <c r="AB114" s="14"/>
      <c r="AC114" s="14"/>
      <c r="AD114" s="14">
        <v>45</v>
      </c>
      <c r="AE114" s="14"/>
      <c r="AF114" s="14"/>
      <c r="AG114" s="14"/>
      <c r="AH114" s="14"/>
      <c r="AI114" s="14"/>
      <c r="AJ114" s="15">
        <v>250</v>
      </c>
      <c r="AK114" s="15">
        <v>200</v>
      </c>
      <c r="AL114" s="15">
        <v>110</v>
      </c>
      <c r="AM114" s="15">
        <v>95</v>
      </c>
      <c r="AN114" s="15">
        <v>90</v>
      </c>
      <c r="AO114" s="15">
        <v>85</v>
      </c>
      <c r="AP114" s="15">
        <v>80</v>
      </c>
      <c r="AQ114" s="15">
        <v>75</v>
      </c>
      <c r="AR114" s="15">
        <v>70</v>
      </c>
      <c r="AS114" s="15">
        <v>65</v>
      </c>
      <c r="AT114" s="15">
        <v>60</v>
      </c>
      <c r="AU114" s="15">
        <v>40</v>
      </c>
    </row>
    <row r="115" spans="14:49" x14ac:dyDescent="0.25">
      <c r="N115" s="17"/>
      <c r="Q115">
        <v>65</v>
      </c>
      <c r="R115">
        <f t="shared" ref="R115:R140" si="97">$P$53</f>
        <v>97</v>
      </c>
      <c r="S115" t="e" cm="1">
        <f t="array" ref="S115">IF(INDEX($P$51:$P$62,IF(MOD($A$2,12)=0,12,MOD($A$2,12)))=R115,R115,NA())</f>
        <v>#N/A</v>
      </c>
      <c r="U115" s="14"/>
      <c r="V115" s="14"/>
      <c r="W115" s="14"/>
      <c r="X115" s="14"/>
      <c r="Y115" s="14"/>
      <c r="Z115" s="14"/>
      <c r="AA115" s="14"/>
      <c r="AB115" s="14"/>
      <c r="AC115" s="14"/>
      <c r="AD115" s="14">
        <v>50</v>
      </c>
      <c r="AE115" s="14"/>
      <c r="AF115" s="14"/>
      <c r="AG115" s="14"/>
      <c r="AH115" s="14"/>
      <c r="AI115" s="14"/>
      <c r="AJ115" s="15">
        <v>250</v>
      </c>
      <c r="AK115" s="15">
        <v>200</v>
      </c>
      <c r="AL115" s="15">
        <v>110</v>
      </c>
      <c r="AM115" s="15">
        <v>95</v>
      </c>
      <c r="AN115" s="15">
        <v>90</v>
      </c>
      <c r="AO115" s="15">
        <v>85</v>
      </c>
      <c r="AP115" s="15">
        <v>80</v>
      </c>
      <c r="AQ115" s="15">
        <v>75</v>
      </c>
      <c r="AR115" s="15">
        <v>70</v>
      </c>
      <c r="AS115" s="15">
        <v>65</v>
      </c>
      <c r="AT115" s="15">
        <v>60</v>
      </c>
      <c r="AU115" s="15">
        <v>45</v>
      </c>
    </row>
    <row r="116" spans="14:49" x14ac:dyDescent="0.25">
      <c r="N116" s="17"/>
      <c r="Q116">
        <v>66</v>
      </c>
      <c r="R116">
        <f t="shared" si="97"/>
        <v>97</v>
      </c>
      <c r="S116" t="e" cm="1">
        <f t="array" ref="S116">IF(INDEX($P$51:$P$62,IF(MOD($A$2,12)=0,12,MOD($A$2,12)))=R116,R116,NA())</f>
        <v>#N/A</v>
      </c>
      <c r="U116" s="14"/>
      <c r="V116" s="14"/>
      <c r="W116" s="14"/>
      <c r="X116" s="14"/>
      <c r="Y116" s="14"/>
      <c r="Z116" s="14"/>
      <c r="AA116" s="14"/>
      <c r="AB116" s="14"/>
      <c r="AC116" s="14"/>
      <c r="AD116" s="14">
        <v>55</v>
      </c>
      <c r="AE116" s="14"/>
      <c r="AF116" s="14"/>
      <c r="AG116" s="14"/>
      <c r="AH116" s="14"/>
      <c r="AI116" s="14"/>
      <c r="AJ116" s="15">
        <v>250</v>
      </c>
      <c r="AK116" s="15">
        <v>200</v>
      </c>
      <c r="AL116" s="15">
        <v>110</v>
      </c>
      <c r="AM116" s="15">
        <v>95</v>
      </c>
      <c r="AN116" s="15">
        <v>90</v>
      </c>
      <c r="AO116" s="15">
        <v>85</v>
      </c>
      <c r="AP116" s="15">
        <v>80</v>
      </c>
      <c r="AQ116" s="15">
        <v>75</v>
      </c>
      <c r="AR116" s="15">
        <v>70</v>
      </c>
      <c r="AS116" s="15">
        <v>65</v>
      </c>
      <c r="AT116" s="15">
        <v>60</v>
      </c>
      <c r="AU116" s="15">
        <v>50</v>
      </c>
    </row>
    <row r="117" spans="14:49" x14ac:dyDescent="0.25">
      <c r="N117" s="17"/>
      <c r="Q117">
        <v>67</v>
      </c>
      <c r="R117">
        <f t="shared" si="97"/>
        <v>97</v>
      </c>
      <c r="S117" t="e" cm="1">
        <f t="array" ref="S117">IF(INDEX($P$51:$P$62,IF(MOD($A$2,12)=0,12,MOD($A$2,12)))=R117,R117,NA())</f>
        <v>#N/A</v>
      </c>
      <c r="U117" s="14"/>
      <c r="V117" s="14"/>
      <c r="W117" s="14"/>
      <c r="X117" s="14"/>
      <c r="Y117" s="14"/>
      <c r="Z117" s="14">
        <v>85</v>
      </c>
      <c r="AA117" s="14"/>
      <c r="AB117" s="14"/>
      <c r="AC117" s="14"/>
      <c r="AD117" s="14">
        <v>60</v>
      </c>
      <c r="AE117" s="14"/>
      <c r="AF117" s="14"/>
      <c r="AG117" s="14"/>
      <c r="AH117" s="14"/>
      <c r="AI117" s="14"/>
      <c r="AJ117" s="15">
        <v>250</v>
      </c>
      <c r="AK117" s="15">
        <v>200</v>
      </c>
      <c r="AL117" s="15">
        <v>110</v>
      </c>
      <c r="AM117" s="15">
        <v>95</v>
      </c>
      <c r="AN117" s="15">
        <v>90</v>
      </c>
      <c r="AO117" s="15">
        <v>85</v>
      </c>
      <c r="AP117" s="15">
        <v>80</v>
      </c>
      <c r="AQ117" s="15">
        <v>75</v>
      </c>
      <c r="AR117" s="15">
        <v>70</v>
      </c>
      <c r="AS117" s="15">
        <v>65</v>
      </c>
      <c r="AT117" s="15">
        <v>60</v>
      </c>
      <c r="AU117" s="15">
        <v>55</v>
      </c>
    </row>
    <row r="118" spans="14:49" x14ac:dyDescent="0.25">
      <c r="N118" s="17"/>
      <c r="Q118">
        <v>68</v>
      </c>
      <c r="R118">
        <f t="shared" si="97"/>
        <v>97</v>
      </c>
      <c r="S118" t="e" cm="1">
        <f t="array" ref="S118">IF(INDEX($P$51:$P$62,IF(MOD($A$2,12)=0,12,MOD($A$2,12)))=R118,R118,NA())</f>
        <v>#N/A</v>
      </c>
      <c r="U118" s="14"/>
      <c r="V118" s="14"/>
      <c r="W118" s="14">
        <v>110</v>
      </c>
      <c r="X118" s="14"/>
      <c r="Y118" s="14"/>
      <c r="Z118" s="14"/>
      <c r="AA118" s="14"/>
      <c r="AB118" s="14"/>
      <c r="AC118" s="14"/>
      <c r="AD118" s="14">
        <v>65</v>
      </c>
      <c r="AE118" s="14"/>
      <c r="AF118" s="14"/>
      <c r="AG118" s="14"/>
      <c r="AH118" s="14"/>
      <c r="AI118" s="14"/>
      <c r="AJ118" s="15">
        <v>250</v>
      </c>
      <c r="AK118" s="15">
        <v>200</v>
      </c>
      <c r="AL118" s="15">
        <v>110</v>
      </c>
      <c r="AM118" s="15">
        <v>95</v>
      </c>
      <c r="AN118" s="15">
        <v>90</v>
      </c>
      <c r="AO118" s="15">
        <v>85</v>
      </c>
      <c r="AP118" s="15">
        <v>80</v>
      </c>
      <c r="AQ118" s="15">
        <v>75</v>
      </c>
      <c r="AR118" s="15">
        <v>70</v>
      </c>
      <c r="AS118" s="15">
        <v>65</v>
      </c>
      <c r="AT118" s="15">
        <v>60</v>
      </c>
      <c r="AU118" s="15">
        <v>55</v>
      </c>
      <c r="AV118" s="15">
        <v>40</v>
      </c>
    </row>
    <row r="119" spans="14:49" x14ac:dyDescent="0.25">
      <c r="N119" s="17"/>
      <c r="Q119">
        <v>69</v>
      </c>
      <c r="R119">
        <f t="shared" si="97"/>
        <v>97</v>
      </c>
      <c r="S119" t="e" cm="1">
        <f t="array" ref="S119">IF(INDEX($P$51:$P$62,IF(MOD($A$2,12)=0,12,MOD($A$2,12)))=R119,R119,NA())</f>
        <v>#N/A</v>
      </c>
      <c r="U119" s="14"/>
      <c r="V119" s="14"/>
      <c r="W119" s="14"/>
      <c r="X119" s="14"/>
      <c r="Y119" s="14"/>
      <c r="Z119" s="14"/>
      <c r="AA119" s="14"/>
      <c r="AB119" s="14"/>
      <c r="AC119" s="14">
        <v>70</v>
      </c>
      <c r="AD119" s="14"/>
      <c r="AE119" s="14">
        <v>300</v>
      </c>
      <c r="AF119" s="14"/>
      <c r="AG119" s="14"/>
      <c r="AH119" s="14"/>
      <c r="AI119" s="14"/>
      <c r="AJ119" s="15">
        <v>250</v>
      </c>
      <c r="AK119" s="15">
        <v>200</v>
      </c>
      <c r="AL119" s="15">
        <v>110</v>
      </c>
      <c r="AM119" s="15">
        <v>95</v>
      </c>
      <c r="AN119" s="15">
        <v>90</v>
      </c>
      <c r="AO119" s="15">
        <v>85</v>
      </c>
      <c r="AP119" s="15">
        <v>80</v>
      </c>
      <c r="AQ119" s="15">
        <v>75</v>
      </c>
      <c r="AR119" s="15">
        <v>70</v>
      </c>
      <c r="AS119" s="15">
        <v>65</v>
      </c>
      <c r="AT119" s="15">
        <v>60</v>
      </c>
      <c r="AU119" s="15">
        <v>55</v>
      </c>
      <c r="AV119" s="15">
        <v>45</v>
      </c>
    </row>
    <row r="120" spans="14:49" x14ac:dyDescent="0.25">
      <c r="N120" s="17"/>
      <c r="Q120">
        <v>70</v>
      </c>
      <c r="R120">
        <f t="shared" si="97"/>
        <v>97</v>
      </c>
      <c r="S120" t="e" cm="1">
        <f t="array" ref="S120">IF(INDEX($P$51:$P$62,IF(MOD($A$2,12)=0,12,MOD($A$2,12)))=R120,R120,NA())</f>
        <v>#N/A</v>
      </c>
      <c r="U120" s="14"/>
      <c r="V120" s="14"/>
      <c r="W120" s="14"/>
      <c r="X120" s="14"/>
      <c r="Y120" s="14"/>
      <c r="Z120" s="14"/>
      <c r="AA120" s="14"/>
      <c r="AB120" s="14"/>
      <c r="AC120" s="14"/>
      <c r="AD120" s="14"/>
      <c r="AE120" s="14">
        <v>40</v>
      </c>
      <c r="AF120" s="14"/>
      <c r="AG120" s="14"/>
      <c r="AH120" s="14"/>
      <c r="AI120" s="14"/>
      <c r="AJ120" s="15">
        <v>250</v>
      </c>
      <c r="AK120" s="15">
        <v>200</v>
      </c>
      <c r="AL120" s="15">
        <v>110</v>
      </c>
      <c r="AM120" s="15">
        <v>95</v>
      </c>
      <c r="AN120" s="15">
        <v>90</v>
      </c>
      <c r="AO120" s="15">
        <v>85</v>
      </c>
      <c r="AP120" s="15">
        <v>80</v>
      </c>
      <c r="AQ120" s="15">
        <v>75</v>
      </c>
      <c r="AR120" s="15">
        <v>70</v>
      </c>
      <c r="AS120" s="15">
        <v>65</v>
      </c>
      <c r="AT120" s="15">
        <v>60</v>
      </c>
      <c r="AU120" s="15">
        <v>55</v>
      </c>
      <c r="AV120" s="15">
        <v>50</v>
      </c>
    </row>
    <row r="121" spans="14:49" x14ac:dyDescent="0.25">
      <c r="N121" s="17"/>
      <c r="Q121">
        <v>71</v>
      </c>
      <c r="R121">
        <f t="shared" si="97"/>
        <v>97</v>
      </c>
      <c r="S121" t="e" cm="1">
        <f t="array" ref="S121">IF(INDEX($P$51:$P$62,IF(MOD($A$2,12)=0,12,MOD($A$2,12)))=R121,R121,NA())</f>
        <v>#N/A</v>
      </c>
      <c r="U121" s="14"/>
      <c r="V121" s="14"/>
      <c r="W121" s="14"/>
      <c r="X121" s="14"/>
      <c r="Y121" s="14">
        <v>90</v>
      </c>
      <c r="Z121" s="14"/>
      <c r="AA121" s="14"/>
      <c r="AB121" s="14">
        <v>75</v>
      </c>
      <c r="AC121" s="14"/>
      <c r="AD121" s="14"/>
      <c r="AE121" s="14">
        <v>45</v>
      </c>
      <c r="AF121" s="14"/>
      <c r="AG121" s="14"/>
      <c r="AH121" s="14"/>
      <c r="AI121" s="14"/>
      <c r="AJ121" s="15">
        <v>250</v>
      </c>
      <c r="AK121" s="15">
        <v>200</v>
      </c>
      <c r="AL121" s="15">
        <v>110</v>
      </c>
      <c r="AM121" s="15">
        <v>95</v>
      </c>
      <c r="AN121" s="15">
        <v>90</v>
      </c>
      <c r="AO121" s="15">
        <v>85</v>
      </c>
      <c r="AP121" s="15">
        <v>80</v>
      </c>
      <c r="AQ121" s="15">
        <v>75</v>
      </c>
      <c r="AR121" s="15">
        <v>70</v>
      </c>
      <c r="AS121" s="15">
        <v>65</v>
      </c>
      <c r="AT121" s="15">
        <v>60</v>
      </c>
      <c r="AU121" s="15">
        <v>55</v>
      </c>
      <c r="AV121" s="15">
        <v>50</v>
      </c>
      <c r="AW121" s="15">
        <v>40</v>
      </c>
    </row>
    <row r="122" spans="14:49" x14ac:dyDescent="0.25">
      <c r="N122" s="17"/>
      <c r="Q122">
        <v>72</v>
      </c>
      <c r="R122">
        <f t="shared" si="97"/>
        <v>97</v>
      </c>
      <c r="S122" t="e" cm="1">
        <f t="array" ref="S122">IF(INDEX($P$51:$P$62,IF(MOD($A$2,12)=0,12,MOD($A$2,12)))=R122,R122,NA())</f>
        <v>#N/A</v>
      </c>
      <c r="U122" s="14"/>
      <c r="V122" s="14"/>
      <c r="W122" s="14"/>
      <c r="X122" s="14"/>
      <c r="Y122" s="14"/>
      <c r="Z122" s="14"/>
      <c r="AA122" s="14"/>
      <c r="AB122" s="14"/>
      <c r="AC122" s="14"/>
      <c r="AD122" s="14"/>
      <c r="AE122" s="14">
        <v>50</v>
      </c>
      <c r="AF122" s="14"/>
      <c r="AG122" s="14"/>
      <c r="AH122" s="14"/>
      <c r="AI122" s="14"/>
      <c r="AJ122" s="15">
        <v>250</v>
      </c>
      <c r="AK122" s="15">
        <v>200</v>
      </c>
      <c r="AL122" s="15">
        <v>110</v>
      </c>
      <c r="AM122" s="15">
        <v>95</v>
      </c>
      <c r="AN122" s="15">
        <v>90</v>
      </c>
      <c r="AO122" s="15">
        <v>85</v>
      </c>
      <c r="AP122" s="15">
        <v>80</v>
      </c>
      <c r="AQ122" s="15">
        <v>75</v>
      </c>
      <c r="AR122" s="15">
        <v>70</v>
      </c>
      <c r="AS122" s="15">
        <v>65</v>
      </c>
      <c r="AT122" s="15">
        <v>60</v>
      </c>
      <c r="AU122" s="15">
        <v>55</v>
      </c>
      <c r="AV122" s="15">
        <v>50</v>
      </c>
      <c r="AW122" s="15">
        <v>45</v>
      </c>
    </row>
    <row r="123" spans="14:49" x14ac:dyDescent="0.25">
      <c r="N123" s="17"/>
      <c r="Q123">
        <v>73</v>
      </c>
      <c r="R123">
        <f t="shared" si="97"/>
        <v>97</v>
      </c>
      <c r="S123" t="e" cm="1">
        <f t="array" ref="S123">IF(INDEX($P$51:$P$62,IF(MOD($A$2,12)=0,12,MOD($A$2,12)))=R123,R123,NA())</f>
        <v>#N/A</v>
      </c>
      <c r="U123" s="14"/>
      <c r="V123" s="14"/>
      <c r="W123" s="14"/>
      <c r="X123" s="14"/>
      <c r="Y123" s="14"/>
      <c r="Z123" s="14"/>
      <c r="AA123" s="14"/>
      <c r="AB123" s="14"/>
      <c r="AC123" s="14"/>
      <c r="AD123" s="14"/>
      <c r="AE123" s="14">
        <v>55</v>
      </c>
      <c r="AF123" s="14"/>
      <c r="AG123" s="14"/>
      <c r="AH123" s="14"/>
      <c r="AI123" s="14"/>
      <c r="AJ123" s="15">
        <v>250</v>
      </c>
      <c r="AK123" s="15">
        <v>200</v>
      </c>
      <c r="AL123" s="15">
        <v>110</v>
      </c>
      <c r="AM123" s="15">
        <v>95</v>
      </c>
      <c r="AN123" s="15">
        <v>90</v>
      </c>
      <c r="AO123" s="15">
        <v>85</v>
      </c>
      <c r="AP123" s="15">
        <v>80</v>
      </c>
      <c r="AQ123" s="15">
        <v>75</v>
      </c>
      <c r="AR123" s="15">
        <v>70</v>
      </c>
      <c r="AS123" s="15">
        <v>65</v>
      </c>
      <c r="AT123" s="15">
        <v>60</v>
      </c>
      <c r="AU123" s="15">
        <v>55</v>
      </c>
      <c r="AV123" s="15">
        <v>50</v>
      </c>
      <c r="AW123" s="15">
        <v>45</v>
      </c>
    </row>
    <row r="124" spans="14:49" x14ac:dyDescent="0.25">
      <c r="N124" s="17"/>
      <c r="Q124">
        <v>74</v>
      </c>
      <c r="R124">
        <f t="shared" si="97"/>
        <v>97</v>
      </c>
      <c r="S124" t="e" cm="1">
        <f t="array" ref="S124">IF(INDEX($P$51:$P$62,IF(MOD($A$2,12)=0,12,MOD($A$2,12)))=R124,R124,NA())</f>
        <v>#N/A</v>
      </c>
      <c r="U124" s="14">
        <v>250</v>
      </c>
      <c r="V124" s="14">
        <v>200</v>
      </c>
      <c r="W124" s="14"/>
      <c r="X124" s="14"/>
      <c r="Y124" s="14"/>
      <c r="Z124" s="14"/>
      <c r="AA124" s="14">
        <v>80</v>
      </c>
      <c r="AB124" s="14"/>
      <c r="AC124" s="14"/>
      <c r="AD124" s="14"/>
      <c r="AE124" s="14">
        <v>60</v>
      </c>
      <c r="AF124" s="14"/>
      <c r="AG124" s="14"/>
      <c r="AH124" s="14"/>
      <c r="AI124" s="14"/>
    </row>
    <row r="125" spans="14:49" x14ac:dyDescent="0.25">
      <c r="N125" s="17"/>
      <c r="Q125">
        <v>75</v>
      </c>
      <c r="R125">
        <f t="shared" si="97"/>
        <v>97</v>
      </c>
      <c r="S125" t="e" cm="1">
        <f t="array" ref="S125">IF(INDEX($P$51:$P$62,IF(MOD($A$2,12)=0,12,MOD($A$2,12)))=R125,R125,NA())</f>
        <v>#N/A</v>
      </c>
      <c r="U125" s="14"/>
      <c r="V125" s="14"/>
      <c r="W125" s="14"/>
      <c r="X125" s="14"/>
      <c r="Y125" s="14"/>
      <c r="Z125" s="14"/>
      <c r="AA125" s="14"/>
      <c r="AB125" s="14"/>
      <c r="AC125" s="14"/>
      <c r="AD125" s="14">
        <v>65</v>
      </c>
      <c r="AE125" s="14"/>
      <c r="AF125" s="14">
        <v>300</v>
      </c>
      <c r="AG125" s="14"/>
      <c r="AH125" s="14"/>
      <c r="AI125" s="14"/>
    </row>
    <row r="126" spans="14:49" x14ac:dyDescent="0.25">
      <c r="N126" s="17"/>
      <c r="Q126">
        <v>76</v>
      </c>
      <c r="R126">
        <f t="shared" si="97"/>
        <v>97</v>
      </c>
      <c r="S126" t="e" cm="1">
        <f t="array" ref="S126">IF(INDEX($P$51:$P$62,IF(MOD($A$2,12)=0,12,MOD($A$2,12)))=R126,R126,NA())</f>
        <v>#N/A</v>
      </c>
      <c r="U126" s="14"/>
      <c r="V126" s="14"/>
      <c r="W126" s="14"/>
      <c r="X126" s="14">
        <v>95</v>
      </c>
      <c r="Y126" s="14"/>
      <c r="Z126" s="14"/>
      <c r="AA126" s="14"/>
      <c r="AB126" s="14"/>
      <c r="AC126" s="14"/>
      <c r="AD126" s="14"/>
      <c r="AE126" s="14"/>
      <c r="AF126" s="14">
        <v>40</v>
      </c>
      <c r="AG126" s="14"/>
      <c r="AH126" s="14"/>
      <c r="AI126" s="14"/>
    </row>
    <row r="127" spans="14:49" x14ac:dyDescent="0.25">
      <c r="N127" s="17"/>
      <c r="Q127">
        <v>77</v>
      </c>
      <c r="R127">
        <f t="shared" si="97"/>
        <v>97</v>
      </c>
      <c r="S127" t="e" cm="1">
        <f t="array" ref="S127">IF(INDEX($P$51:$P$62,IF(MOD($A$2,12)=0,12,MOD($A$2,12)))=R127,R127,NA())</f>
        <v>#N/A</v>
      </c>
      <c r="U127" s="14"/>
      <c r="V127" s="14"/>
      <c r="W127" s="14"/>
      <c r="X127" s="14"/>
      <c r="Y127" s="14"/>
      <c r="Z127" s="14"/>
      <c r="AA127" s="14"/>
      <c r="AB127" s="14"/>
      <c r="AC127" s="14">
        <v>70</v>
      </c>
      <c r="AD127" s="14"/>
      <c r="AE127" s="14"/>
      <c r="AF127" s="14">
        <v>45</v>
      </c>
      <c r="AG127" s="14"/>
      <c r="AH127" s="14"/>
      <c r="AI127" s="14"/>
    </row>
    <row r="128" spans="14:49" x14ac:dyDescent="0.25">
      <c r="N128" s="17"/>
      <c r="Q128">
        <v>78</v>
      </c>
      <c r="R128">
        <f t="shared" si="97"/>
        <v>97</v>
      </c>
      <c r="S128" t="e" cm="1">
        <f t="array" ref="S128">IF(INDEX($P$51:$P$62,IF(MOD($A$2,12)=0,12,MOD($A$2,12)))=R128,R128,NA())</f>
        <v>#N/A</v>
      </c>
      <c r="U128" s="14"/>
      <c r="V128" s="14"/>
      <c r="W128" s="14"/>
      <c r="X128" s="14"/>
      <c r="Y128" s="14"/>
      <c r="Z128" s="14">
        <v>85</v>
      </c>
      <c r="AA128" s="14"/>
      <c r="AB128" s="14"/>
      <c r="AC128" s="14"/>
      <c r="AD128" s="14"/>
      <c r="AE128" s="14"/>
      <c r="AF128" s="14">
        <v>50</v>
      </c>
      <c r="AG128" s="14"/>
      <c r="AH128" s="14"/>
      <c r="AI128" s="14"/>
    </row>
    <row r="129" spans="14:35" x14ac:dyDescent="0.25">
      <c r="N129" s="17"/>
      <c r="Q129">
        <v>79</v>
      </c>
      <c r="R129">
        <f t="shared" si="97"/>
        <v>97</v>
      </c>
      <c r="S129" t="e" cm="1">
        <f t="array" ref="S129">IF(INDEX($P$51:$P$62,IF(MOD($A$2,12)=0,12,MOD($A$2,12)))=R129,R129,NA())</f>
        <v>#N/A</v>
      </c>
      <c r="U129" s="14"/>
      <c r="V129" s="14"/>
      <c r="W129" s="14"/>
      <c r="X129" s="14"/>
      <c r="Y129" s="14"/>
      <c r="Z129" s="14"/>
      <c r="AA129" s="14"/>
      <c r="AB129" s="14"/>
      <c r="AC129" s="14"/>
      <c r="AD129" s="14"/>
      <c r="AE129" s="14"/>
      <c r="AF129" s="14">
        <v>55</v>
      </c>
      <c r="AG129" s="14"/>
      <c r="AH129" s="14"/>
      <c r="AI129" s="14"/>
    </row>
    <row r="130" spans="14:35" x14ac:dyDescent="0.25">
      <c r="N130" s="17"/>
      <c r="Q130">
        <v>80</v>
      </c>
      <c r="R130">
        <f t="shared" si="97"/>
        <v>97</v>
      </c>
      <c r="S130" t="e" cm="1">
        <f t="array" ref="S130">IF(INDEX($P$51:$P$62,IF(MOD($A$2,12)=0,12,MOD($A$2,12)))=R130,R130,NA())</f>
        <v>#N/A</v>
      </c>
      <c r="U130" s="14"/>
      <c r="V130" s="14"/>
      <c r="W130" s="14"/>
      <c r="X130" s="14"/>
      <c r="Y130" s="14"/>
      <c r="Z130" s="14"/>
      <c r="AA130" s="14"/>
      <c r="AB130" s="14">
        <v>75</v>
      </c>
      <c r="AC130" s="14"/>
      <c r="AD130" s="14"/>
      <c r="AE130" s="14">
        <v>60</v>
      </c>
      <c r="AF130" s="14"/>
      <c r="AG130" s="14">
        <v>300</v>
      </c>
      <c r="AH130" s="14"/>
      <c r="AI130" s="14"/>
    </row>
    <row r="131" spans="14:35" x14ac:dyDescent="0.25">
      <c r="N131" s="17"/>
      <c r="Q131">
        <v>81</v>
      </c>
      <c r="R131">
        <f t="shared" si="97"/>
        <v>97</v>
      </c>
      <c r="S131" t="e" cm="1">
        <f t="array" ref="S131">IF(INDEX($P$51:$P$62,IF(MOD($A$2,12)=0,12,MOD($A$2,12)))=R131,R131,NA())</f>
        <v>#N/A</v>
      </c>
      <c r="U131" s="14"/>
      <c r="V131" s="14"/>
      <c r="W131" s="14"/>
      <c r="X131" s="14"/>
      <c r="Y131" s="14"/>
      <c r="Z131" s="14"/>
      <c r="AA131" s="14"/>
      <c r="AB131" s="14"/>
      <c r="AC131" s="14"/>
      <c r="AD131" s="14"/>
      <c r="AE131" s="14"/>
      <c r="AF131" s="14"/>
      <c r="AG131" s="14">
        <v>40</v>
      </c>
      <c r="AH131" s="14"/>
      <c r="AI131" s="14"/>
    </row>
    <row r="132" spans="14:35" x14ac:dyDescent="0.25">
      <c r="N132" s="17"/>
      <c r="Q132">
        <v>82</v>
      </c>
      <c r="R132">
        <f t="shared" si="97"/>
        <v>97</v>
      </c>
      <c r="S132" t="e" cm="1">
        <f t="array" ref="S132">IF(INDEX($P$51:$P$62,IF(MOD($A$2,12)=0,12,MOD($A$2,12)))=R132,R132,NA())</f>
        <v>#N/A</v>
      </c>
      <c r="U132" s="14"/>
      <c r="V132" s="14"/>
      <c r="W132" s="14">
        <v>110</v>
      </c>
      <c r="X132" s="14"/>
      <c r="Y132" s="14"/>
      <c r="Z132" s="14"/>
      <c r="AA132" s="14"/>
      <c r="AB132" s="14"/>
      <c r="AC132" s="14"/>
      <c r="AD132" s="14">
        <v>65</v>
      </c>
      <c r="AE132" s="14"/>
      <c r="AF132" s="14"/>
      <c r="AG132" s="14">
        <v>45</v>
      </c>
      <c r="AH132" s="14"/>
      <c r="AI132" s="14"/>
    </row>
    <row r="133" spans="14:35" x14ac:dyDescent="0.25">
      <c r="N133" s="17"/>
      <c r="Q133">
        <v>83</v>
      </c>
      <c r="R133">
        <f t="shared" si="97"/>
        <v>97</v>
      </c>
      <c r="S133" t="e" cm="1">
        <f t="array" ref="S133">IF(INDEX($P$51:$P$62,IF(MOD($A$2,12)=0,12,MOD($A$2,12)))=R133,R133,NA())</f>
        <v>#N/A</v>
      </c>
      <c r="U133" s="14"/>
      <c r="V133" s="14"/>
      <c r="W133" s="14"/>
      <c r="X133" s="14"/>
      <c r="Y133" s="14">
        <v>90</v>
      </c>
      <c r="Z133" s="14"/>
      <c r="AA133" s="14"/>
      <c r="AB133" s="14"/>
      <c r="AC133" s="14"/>
      <c r="AD133" s="14"/>
      <c r="AE133" s="14"/>
      <c r="AF133" s="14"/>
      <c r="AG133" s="14">
        <v>50</v>
      </c>
      <c r="AH133" s="14"/>
      <c r="AI133" s="14"/>
    </row>
    <row r="134" spans="14:35" x14ac:dyDescent="0.25">
      <c r="N134" s="17"/>
      <c r="Q134">
        <v>84</v>
      </c>
      <c r="R134">
        <f t="shared" si="97"/>
        <v>97</v>
      </c>
      <c r="S134" t="e" cm="1">
        <f t="array" ref="S134">IF(INDEX($P$51:$P$62,IF(MOD($A$2,12)=0,12,MOD($A$2,12)))=R134,R134,NA())</f>
        <v>#N/A</v>
      </c>
      <c r="U134" s="14"/>
      <c r="V134" s="14"/>
      <c r="W134" s="14"/>
      <c r="X134" s="14"/>
      <c r="Y134" s="14"/>
      <c r="Z134" s="14"/>
      <c r="AA134" s="14">
        <v>80</v>
      </c>
      <c r="AB134" s="14"/>
      <c r="AC134" s="14"/>
      <c r="AD134" s="14"/>
      <c r="AE134" s="14"/>
      <c r="AF134" s="14">
        <v>55</v>
      </c>
      <c r="AG134" s="14"/>
      <c r="AH134" s="14">
        <v>300</v>
      </c>
      <c r="AI134" s="14"/>
    </row>
    <row r="135" spans="14:35" x14ac:dyDescent="0.25">
      <c r="N135" s="17"/>
      <c r="Q135">
        <v>85</v>
      </c>
      <c r="R135">
        <f t="shared" si="97"/>
        <v>97</v>
      </c>
      <c r="S135" t="e" cm="1">
        <f t="array" ref="S135">IF(INDEX($P$51:$P$62,IF(MOD($A$2,12)=0,12,MOD($A$2,12)))=R135,R135,NA())</f>
        <v>#N/A</v>
      </c>
      <c r="U135" s="14"/>
      <c r="V135" s="14"/>
      <c r="W135" s="14"/>
      <c r="X135" s="14"/>
      <c r="Y135" s="14"/>
      <c r="Z135" s="14"/>
      <c r="AA135" s="14"/>
      <c r="AB135" s="14"/>
      <c r="AC135" s="14">
        <v>70</v>
      </c>
      <c r="AD135" s="14"/>
      <c r="AE135" s="14"/>
      <c r="AF135" s="14"/>
      <c r="AG135" s="14"/>
      <c r="AH135" s="14">
        <v>40</v>
      </c>
      <c r="AI135" s="14"/>
    </row>
    <row r="136" spans="14:35" x14ac:dyDescent="0.25">
      <c r="N136" s="17"/>
      <c r="Q136">
        <v>86</v>
      </c>
      <c r="R136">
        <f t="shared" si="97"/>
        <v>97</v>
      </c>
      <c r="S136" t="e" cm="1">
        <f t="array" ref="S136">IF(INDEX($P$51:$P$62,IF(MOD($A$2,12)=0,12,MOD($A$2,12)))=R136,R136,NA())</f>
        <v>#N/A</v>
      </c>
      <c r="U136" s="14"/>
      <c r="V136" s="14"/>
      <c r="W136" s="14"/>
      <c r="X136" s="14"/>
      <c r="Y136" s="14"/>
      <c r="Z136" s="14"/>
      <c r="AA136" s="14"/>
      <c r="AB136" s="14"/>
      <c r="AC136" s="14"/>
      <c r="AD136" s="14"/>
      <c r="AE136" s="14">
        <v>60</v>
      </c>
      <c r="AF136" s="14"/>
      <c r="AG136" s="14"/>
      <c r="AH136" s="14">
        <v>45</v>
      </c>
      <c r="AI136" s="14"/>
    </row>
    <row r="137" spans="14:35" x14ac:dyDescent="0.25">
      <c r="N137" s="17"/>
      <c r="Q137">
        <v>87</v>
      </c>
      <c r="R137">
        <f t="shared" si="97"/>
        <v>97</v>
      </c>
      <c r="S137" t="e" cm="1">
        <f t="array" ref="S137">IF(INDEX($P$51:$P$62,IF(MOD($A$2,12)=0,12,MOD($A$2,12)))=R137,R137,NA())</f>
        <v>#N/A</v>
      </c>
      <c r="U137" s="14"/>
      <c r="V137" s="14"/>
      <c r="W137" s="14"/>
      <c r="X137" s="14"/>
      <c r="Y137" s="14"/>
      <c r="Z137" s="14"/>
      <c r="AA137" s="14"/>
      <c r="AB137" s="14"/>
      <c r="AC137" s="14"/>
      <c r="AD137" s="14"/>
      <c r="AE137" s="14"/>
      <c r="AF137" s="14"/>
      <c r="AG137" s="14">
        <v>50</v>
      </c>
      <c r="AH137" s="14"/>
      <c r="AI137" s="14">
        <v>300</v>
      </c>
    </row>
    <row r="138" spans="14:35" x14ac:dyDescent="0.25">
      <c r="N138" s="17"/>
      <c r="Q138">
        <v>88</v>
      </c>
      <c r="R138">
        <f t="shared" si="97"/>
        <v>97</v>
      </c>
      <c r="S138" t="e" cm="1">
        <f t="array" ref="S138">IF(INDEX($P$51:$P$62,IF(MOD($A$2,12)=0,12,MOD($A$2,12)))=R138,R138,NA())</f>
        <v>#N/A</v>
      </c>
      <c r="U138" s="14"/>
      <c r="V138" s="14"/>
      <c r="W138" s="14"/>
      <c r="X138" s="14"/>
      <c r="Y138" s="14"/>
      <c r="Z138" s="14"/>
      <c r="AA138" s="14"/>
      <c r="AB138" s="14"/>
      <c r="AC138" s="14"/>
      <c r="AD138" s="14"/>
      <c r="AE138" s="14"/>
      <c r="AF138" s="14"/>
      <c r="AG138" s="14"/>
      <c r="AH138" s="14"/>
      <c r="AI138" s="14">
        <v>40</v>
      </c>
    </row>
    <row r="139" spans="14:35" x14ac:dyDescent="0.25">
      <c r="N139" s="17"/>
      <c r="Q139">
        <v>89</v>
      </c>
      <c r="R139">
        <f t="shared" si="97"/>
        <v>97</v>
      </c>
      <c r="S139" t="e" cm="1">
        <f t="array" ref="S139">IF(INDEX($P$51:$P$62,IF(MOD($A$2,12)=0,12,MOD($A$2,12)))=R139,R139,NA())</f>
        <v>#N/A</v>
      </c>
      <c r="U139" s="14">
        <v>250</v>
      </c>
      <c r="V139" s="14">
        <v>200</v>
      </c>
      <c r="W139" s="14"/>
      <c r="X139" s="14">
        <v>95</v>
      </c>
      <c r="Y139" s="14"/>
      <c r="Z139" s="14">
        <v>85</v>
      </c>
      <c r="AA139" s="14"/>
      <c r="AB139" s="14">
        <v>75</v>
      </c>
      <c r="AC139" s="14"/>
      <c r="AD139" s="14">
        <v>65</v>
      </c>
      <c r="AE139" s="14"/>
      <c r="AF139" s="14">
        <v>55</v>
      </c>
      <c r="AG139" s="14"/>
      <c r="AH139" s="14">
        <v>45</v>
      </c>
      <c r="AI139" s="14"/>
    </row>
    <row r="140" spans="14:35" x14ac:dyDescent="0.25">
      <c r="N140" s="17"/>
      <c r="Q140">
        <v>90</v>
      </c>
      <c r="R140">
        <f t="shared" si="97"/>
        <v>97</v>
      </c>
      <c r="S140" t="e" cm="1">
        <f t="array" ref="S140">IF(INDEX($P$51:$P$62,IF(MOD($A$2,12)=0,12,MOD($A$2,12)))=R140,R140,NA())</f>
        <v>#N/A</v>
      </c>
    </row>
    <row r="141" spans="14:35" x14ac:dyDescent="0.25">
      <c r="N141" s="17"/>
      <c r="Q141">
        <v>91</v>
      </c>
      <c r="R141">
        <v>0</v>
      </c>
      <c r="S141" t="e" cm="1">
        <f t="array" ref="S141">IF(INDEX($P$51:$P$62,IF(MOD($A$2,12)=0,12,MOD($A$2,12)))=R141,R141,NA())</f>
        <v>#N/A</v>
      </c>
    </row>
    <row r="142" spans="14:35" x14ac:dyDescent="0.25">
      <c r="N142" s="17"/>
      <c r="Q142">
        <v>92</v>
      </c>
      <c r="R142">
        <v>0</v>
      </c>
      <c r="S142" t="e" cm="1">
        <f t="array" ref="S142">IF(INDEX($P$51:$P$62,IF(MOD($A$2,12)=0,12,MOD($A$2,12)))=R142,R142,NA())</f>
        <v>#N/A</v>
      </c>
    </row>
    <row r="143" spans="14:35" x14ac:dyDescent="0.25">
      <c r="N143" s="17"/>
      <c r="Q143">
        <v>93</v>
      </c>
      <c r="R143">
        <v>0</v>
      </c>
      <c r="S143" t="e" cm="1">
        <f t="array" ref="S143">IF(INDEX($P$51:$P$62,IF(MOD($A$2,12)=0,12,MOD($A$2,12)))=R143,R143,NA())</f>
        <v>#N/A</v>
      </c>
    </row>
    <row r="144" spans="14:35" x14ac:dyDescent="0.25">
      <c r="N144" s="17"/>
      <c r="Q144">
        <v>94</v>
      </c>
      <c r="R144">
        <f>$P$54</f>
        <v>96</v>
      </c>
      <c r="S144" t="e" cm="1">
        <f t="array" ref="S144">IF(INDEX($P$51:$P$62,IF(MOD($A$2,12)=0,12,MOD($A$2,12)))=R144,R144,NA())</f>
        <v>#N/A</v>
      </c>
    </row>
    <row r="145" spans="14:19" x14ac:dyDescent="0.25">
      <c r="N145" s="17"/>
      <c r="Q145">
        <v>95</v>
      </c>
      <c r="R145">
        <f t="shared" ref="R145:R170" si="98">$P$54</f>
        <v>96</v>
      </c>
      <c r="S145" t="e" cm="1">
        <f t="array" ref="S145">IF(INDEX($P$51:$P$62,IF(MOD($A$2,12)=0,12,MOD($A$2,12)))=R145,R145,NA())</f>
        <v>#N/A</v>
      </c>
    </row>
    <row r="146" spans="14:19" x14ac:dyDescent="0.25">
      <c r="N146" s="17"/>
      <c r="Q146">
        <v>96</v>
      </c>
      <c r="R146">
        <f t="shared" si="98"/>
        <v>96</v>
      </c>
      <c r="S146" t="e" cm="1">
        <f t="array" ref="S146">IF(INDEX($P$51:$P$62,IF(MOD($A$2,12)=0,12,MOD($A$2,12)))=R146,R146,NA())</f>
        <v>#N/A</v>
      </c>
    </row>
    <row r="147" spans="14:19" x14ac:dyDescent="0.25">
      <c r="N147" s="17"/>
      <c r="Q147">
        <v>97</v>
      </c>
      <c r="R147">
        <f t="shared" si="98"/>
        <v>96</v>
      </c>
      <c r="S147" t="e" cm="1">
        <f t="array" ref="S147">IF(INDEX($P$51:$P$62,IF(MOD($A$2,12)=0,12,MOD($A$2,12)))=R147,R147,NA())</f>
        <v>#N/A</v>
      </c>
    </row>
    <row r="148" spans="14:19" x14ac:dyDescent="0.25">
      <c r="N148" s="17"/>
      <c r="Q148">
        <v>98</v>
      </c>
      <c r="R148">
        <f t="shared" si="98"/>
        <v>96</v>
      </c>
      <c r="S148" t="e" cm="1">
        <f t="array" ref="S148">IF(INDEX($P$51:$P$62,IF(MOD($A$2,12)=0,12,MOD($A$2,12)))=R148,R148,NA())</f>
        <v>#N/A</v>
      </c>
    </row>
    <row r="149" spans="14:19" x14ac:dyDescent="0.25">
      <c r="N149" s="17"/>
      <c r="Q149">
        <v>99</v>
      </c>
      <c r="R149">
        <f t="shared" si="98"/>
        <v>96</v>
      </c>
      <c r="S149" t="e" cm="1">
        <f t="array" ref="S149">IF(INDEX($P$51:$P$62,IF(MOD($A$2,12)=0,12,MOD($A$2,12)))=R149,R149,NA())</f>
        <v>#N/A</v>
      </c>
    </row>
    <row r="150" spans="14:19" x14ac:dyDescent="0.25">
      <c r="N150" s="17"/>
      <c r="Q150">
        <v>100</v>
      </c>
      <c r="R150">
        <f t="shared" si="98"/>
        <v>96</v>
      </c>
      <c r="S150" t="e" cm="1">
        <f t="array" ref="S150">IF(INDEX($P$51:$P$62,IF(MOD($A$2,12)=0,12,MOD($A$2,12)))=R150,R150,NA())</f>
        <v>#N/A</v>
      </c>
    </row>
    <row r="151" spans="14:19" x14ac:dyDescent="0.25">
      <c r="N151" s="17"/>
      <c r="Q151">
        <v>101</v>
      </c>
      <c r="R151">
        <f t="shared" si="98"/>
        <v>96</v>
      </c>
      <c r="S151" t="e" cm="1">
        <f t="array" ref="S151">IF(INDEX($P$51:$P$62,IF(MOD($A$2,12)=0,12,MOD($A$2,12)))=R151,R151,NA())</f>
        <v>#N/A</v>
      </c>
    </row>
    <row r="152" spans="14:19" x14ac:dyDescent="0.25">
      <c r="N152" s="17"/>
      <c r="Q152">
        <v>102</v>
      </c>
      <c r="R152">
        <f t="shared" si="98"/>
        <v>96</v>
      </c>
      <c r="S152" t="e" cm="1">
        <f t="array" ref="S152">IF(INDEX($P$51:$P$62,IF(MOD($A$2,12)=0,12,MOD($A$2,12)))=R152,R152,NA())</f>
        <v>#N/A</v>
      </c>
    </row>
    <row r="153" spans="14:19" x14ac:dyDescent="0.25">
      <c r="N153" s="17"/>
      <c r="Q153">
        <v>103</v>
      </c>
      <c r="R153">
        <f t="shared" si="98"/>
        <v>96</v>
      </c>
      <c r="S153" t="e" cm="1">
        <f t="array" ref="S153">IF(INDEX($P$51:$P$62,IF(MOD($A$2,12)=0,12,MOD($A$2,12)))=R153,R153,NA())</f>
        <v>#N/A</v>
      </c>
    </row>
    <row r="154" spans="14:19" x14ac:dyDescent="0.25">
      <c r="N154" s="17"/>
      <c r="Q154">
        <v>104</v>
      </c>
      <c r="R154">
        <f t="shared" si="98"/>
        <v>96</v>
      </c>
      <c r="S154" t="e" cm="1">
        <f t="array" ref="S154">IF(INDEX($P$51:$P$62,IF(MOD($A$2,12)=0,12,MOD($A$2,12)))=R154,R154,NA())</f>
        <v>#N/A</v>
      </c>
    </row>
    <row r="155" spans="14:19" x14ac:dyDescent="0.25">
      <c r="N155" s="17"/>
      <c r="Q155">
        <v>105</v>
      </c>
      <c r="R155">
        <f t="shared" si="98"/>
        <v>96</v>
      </c>
      <c r="S155" t="e" cm="1">
        <f t="array" ref="S155">IF(INDEX($P$51:$P$62,IF(MOD($A$2,12)=0,12,MOD($A$2,12)))=R155,R155,NA())</f>
        <v>#N/A</v>
      </c>
    </row>
    <row r="156" spans="14:19" x14ac:dyDescent="0.25">
      <c r="N156" s="17"/>
      <c r="Q156">
        <v>106</v>
      </c>
      <c r="R156">
        <f t="shared" si="98"/>
        <v>96</v>
      </c>
      <c r="S156" t="e" cm="1">
        <f t="array" ref="S156">IF(INDEX($P$51:$P$62,IF(MOD($A$2,12)=0,12,MOD($A$2,12)))=R156,R156,NA())</f>
        <v>#N/A</v>
      </c>
    </row>
    <row r="157" spans="14:19" x14ac:dyDescent="0.25">
      <c r="N157" s="17"/>
      <c r="Q157">
        <v>107</v>
      </c>
      <c r="R157">
        <f t="shared" si="98"/>
        <v>96</v>
      </c>
      <c r="S157" t="e" cm="1">
        <f t="array" ref="S157">IF(INDEX($P$51:$P$62,IF(MOD($A$2,12)=0,12,MOD($A$2,12)))=R157,R157,NA())</f>
        <v>#N/A</v>
      </c>
    </row>
    <row r="158" spans="14:19" x14ac:dyDescent="0.25">
      <c r="N158" s="17"/>
      <c r="Q158">
        <v>108</v>
      </c>
      <c r="R158">
        <f t="shared" si="98"/>
        <v>96</v>
      </c>
      <c r="S158" t="e" cm="1">
        <f t="array" ref="S158">IF(INDEX($P$51:$P$62,IF(MOD($A$2,12)=0,12,MOD($A$2,12)))=R158,R158,NA())</f>
        <v>#N/A</v>
      </c>
    </row>
    <row r="159" spans="14:19" x14ac:dyDescent="0.25">
      <c r="N159" s="17"/>
      <c r="Q159">
        <v>109</v>
      </c>
      <c r="R159">
        <f t="shared" si="98"/>
        <v>96</v>
      </c>
      <c r="S159" t="e" cm="1">
        <f t="array" ref="S159">IF(INDEX($P$51:$P$62,IF(MOD($A$2,12)=0,12,MOD($A$2,12)))=R159,R159,NA())</f>
        <v>#N/A</v>
      </c>
    </row>
    <row r="160" spans="14:19" x14ac:dyDescent="0.25">
      <c r="N160" s="17"/>
      <c r="Q160">
        <v>110</v>
      </c>
      <c r="R160">
        <f t="shared" si="98"/>
        <v>96</v>
      </c>
      <c r="S160" t="e" cm="1">
        <f t="array" ref="S160">IF(INDEX($P$51:$P$62,IF(MOD($A$2,12)=0,12,MOD($A$2,12)))=R160,R160,NA())</f>
        <v>#N/A</v>
      </c>
    </row>
    <row r="161" spans="14:19" x14ac:dyDescent="0.25">
      <c r="N161" s="17"/>
      <c r="Q161">
        <v>111</v>
      </c>
      <c r="R161">
        <f t="shared" si="98"/>
        <v>96</v>
      </c>
      <c r="S161" t="e" cm="1">
        <f t="array" ref="S161">IF(INDEX($P$51:$P$62,IF(MOD($A$2,12)=0,12,MOD($A$2,12)))=R161,R161,NA())</f>
        <v>#N/A</v>
      </c>
    </row>
    <row r="162" spans="14:19" x14ac:dyDescent="0.25">
      <c r="N162" s="17"/>
      <c r="Q162">
        <v>112</v>
      </c>
      <c r="R162">
        <f t="shared" si="98"/>
        <v>96</v>
      </c>
      <c r="S162" t="e" cm="1">
        <f t="array" ref="S162">IF(INDEX($P$51:$P$62,IF(MOD($A$2,12)=0,12,MOD($A$2,12)))=R162,R162,NA())</f>
        <v>#N/A</v>
      </c>
    </row>
    <row r="163" spans="14:19" x14ac:dyDescent="0.25">
      <c r="N163" s="17"/>
      <c r="Q163">
        <v>113</v>
      </c>
      <c r="R163">
        <f t="shared" si="98"/>
        <v>96</v>
      </c>
      <c r="S163" t="e" cm="1">
        <f t="array" ref="S163">IF(INDEX($P$51:$P$62,IF(MOD($A$2,12)=0,12,MOD($A$2,12)))=R163,R163,NA())</f>
        <v>#N/A</v>
      </c>
    </row>
    <row r="164" spans="14:19" x14ac:dyDescent="0.25">
      <c r="N164" s="17"/>
      <c r="Q164">
        <v>114</v>
      </c>
      <c r="R164">
        <f t="shared" si="98"/>
        <v>96</v>
      </c>
      <c r="S164" t="e" cm="1">
        <f t="array" ref="S164">IF(INDEX($P$51:$P$62,IF(MOD($A$2,12)=0,12,MOD($A$2,12)))=R164,R164,NA())</f>
        <v>#N/A</v>
      </c>
    </row>
    <row r="165" spans="14:19" x14ac:dyDescent="0.25">
      <c r="N165" s="17"/>
      <c r="Q165">
        <v>115</v>
      </c>
      <c r="R165">
        <f t="shared" si="98"/>
        <v>96</v>
      </c>
      <c r="S165" t="e" cm="1">
        <f t="array" ref="S165">IF(INDEX($P$51:$P$62,IF(MOD($A$2,12)=0,12,MOD($A$2,12)))=R165,R165,NA())</f>
        <v>#N/A</v>
      </c>
    </row>
    <row r="166" spans="14:19" x14ac:dyDescent="0.25">
      <c r="N166" s="17"/>
      <c r="Q166">
        <v>116</v>
      </c>
      <c r="R166">
        <f t="shared" si="98"/>
        <v>96</v>
      </c>
      <c r="S166" t="e" cm="1">
        <f t="array" ref="S166">IF(INDEX($P$51:$P$62,IF(MOD($A$2,12)=0,12,MOD($A$2,12)))=R166,R166,NA())</f>
        <v>#N/A</v>
      </c>
    </row>
    <row r="167" spans="14:19" x14ac:dyDescent="0.25">
      <c r="N167" s="17"/>
      <c r="Q167">
        <v>117</v>
      </c>
      <c r="R167">
        <f t="shared" si="98"/>
        <v>96</v>
      </c>
      <c r="S167" t="e" cm="1">
        <f t="array" ref="S167">IF(INDEX($P$51:$P$62,IF(MOD($A$2,12)=0,12,MOD($A$2,12)))=R167,R167,NA())</f>
        <v>#N/A</v>
      </c>
    </row>
    <row r="168" spans="14:19" x14ac:dyDescent="0.25">
      <c r="N168" s="17"/>
      <c r="Q168">
        <v>118</v>
      </c>
      <c r="R168">
        <f t="shared" si="98"/>
        <v>96</v>
      </c>
      <c r="S168" t="e" cm="1">
        <f t="array" ref="S168">IF(INDEX($P$51:$P$62,IF(MOD($A$2,12)=0,12,MOD($A$2,12)))=R168,R168,NA())</f>
        <v>#N/A</v>
      </c>
    </row>
    <row r="169" spans="14:19" x14ac:dyDescent="0.25">
      <c r="N169" s="17"/>
      <c r="Q169">
        <v>119</v>
      </c>
      <c r="R169">
        <f t="shared" si="98"/>
        <v>96</v>
      </c>
      <c r="S169" t="e" cm="1">
        <f t="array" ref="S169">IF(INDEX($P$51:$P$62,IF(MOD($A$2,12)=0,12,MOD($A$2,12)))=R169,R169,NA())</f>
        <v>#N/A</v>
      </c>
    </row>
    <row r="170" spans="14:19" x14ac:dyDescent="0.25">
      <c r="N170" s="17"/>
      <c r="Q170">
        <v>120</v>
      </c>
      <c r="R170">
        <f t="shared" si="98"/>
        <v>96</v>
      </c>
      <c r="S170" t="e" cm="1">
        <f t="array" ref="S170">IF(INDEX($P$51:$P$62,IF(MOD($A$2,12)=0,12,MOD($A$2,12)))=R170,R170,NA())</f>
        <v>#N/A</v>
      </c>
    </row>
    <row r="171" spans="14:19" x14ac:dyDescent="0.25">
      <c r="N171" s="17"/>
      <c r="Q171">
        <v>121</v>
      </c>
      <c r="R171">
        <v>0</v>
      </c>
      <c r="S171" t="e" cm="1">
        <f t="array" ref="S171">IF(INDEX($P$51:$P$62,IF(MOD($A$2,12)=0,12,MOD($A$2,12)))=R171,R171,NA())</f>
        <v>#N/A</v>
      </c>
    </row>
    <row r="172" spans="14:19" x14ac:dyDescent="0.25">
      <c r="N172" s="17"/>
      <c r="Q172">
        <v>122</v>
      </c>
      <c r="R172">
        <v>0</v>
      </c>
      <c r="S172" t="e" cm="1">
        <f t="array" ref="S172">IF(INDEX($P$51:$P$62,IF(MOD($A$2,12)=0,12,MOD($A$2,12)))=R172,R172,NA())</f>
        <v>#N/A</v>
      </c>
    </row>
    <row r="173" spans="14:19" x14ac:dyDescent="0.25">
      <c r="N173" s="17"/>
      <c r="Q173">
        <v>123</v>
      </c>
      <c r="R173">
        <v>0</v>
      </c>
      <c r="S173" t="e" cm="1">
        <f t="array" ref="S173">IF(INDEX($P$51:$P$62,IF(MOD($A$2,12)=0,12,MOD($A$2,12)))=R173,R173,NA())</f>
        <v>#N/A</v>
      </c>
    </row>
    <row r="174" spans="14:19" x14ac:dyDescent="0.25">
      <c r="N174" s="17"/>
      <c r="Q174">
        <v>124</v>
      </c>
      <c r="R174">
        <f>$P$55</f>
        <v>88</v>
      </c>
      <c r="S174" t="e" cm="1">
        <f t="array" ref="S174">IF(INDEX($P$51:$P$62,IF(MOD($A$2,12)=0,12,MOD($A$2,12)))=R174,R174,NA())</f>
        <v>#N/A</v>
      </c>
    </row>
    <row r="175" spans="14:19" x14ac:dyDescent="0.25">
      <c r="N175" s="17"/>
      <c r="Q175">
        <v>125</v>
      </c>
      <c r="R175">
        <f t="shared" ref="R175:R200" si="99">$P$55</f>
        <v>88</v>
      </c>
      <c r="S175" t="e" cm="1">
        <f t="array" ref="S175">IF(INDEX($P$51:$P$62,IF(MOD($A$2,12)=0,12,MOD($A$2,12)))=R175,R175,NA())</f>
        <v>#N/A</v>
      </c>
    </row>
    <row r="176" spans="14:19" x14ac:dyDescent="0.25">
      <c r="N176" s="17"/>
      <c r="Q176">
        <v>126</v>
      </c>
      <c r="R176">
        <f t="shared" si="99"/>
        <v>88</v>
      </c>
      <c r="S176" t="e" cm="1">
        <f t="array" ref="S176">IF(INDEX($P$51:$P$62,IF(MOD($A$2,12)=0,12,MOD($A$2,12)))=R176,R176,NA())</f>
        <v>#N/A</v>
      </c>
    </row>
    <row r="177" spans="14:19" x14ac:dyDescent="0.25">
      <c r="N177" s="17"/>
      <c r="Q177">
        <v>127</v>
      </c>
      <c r="R177">
        <f t="shared" si="99"/>
        <v>88</v>
      </c>
      <c r="S177" t="e" cm="1">
        <f t="array" ref="S177">IF(INDEX($P$51:$P$62,IF(MOD($A$2,12)=0,12,MOD($A$2,12)))=R177,R177,NA())</f>
        <v>#N/A</v>
      </c>
    </row>
    <row r="178" spans="14:19" x14ac:dyDescent="0.25">
      <c r="N178" s="17"/>
      <c r="Q178">
        <v>128</v>
      </c>
      <c r="R178">
        <f t="shared" si="99"/>
        <v>88</v>
      </c>
      <c r="S178" t="e" cm="1">
        <f t="array" ref="S178">IF(INDEX($P$51:$P$62,IF(MOD($A$2,12)=0,12,MOD($A$2,12)))=R178,R178,NA())</f>
        <v>#N/A</v>
      </c>
    </row>
    <row r="179" spans="14:19" x14ac:dyDescent="0.25">
      <c r="N179" s="17"/>
      <c r="Q179">
        <v>129</v>
      </c>
      <c r="R179">
        <f t="shared" si="99"/>
        <v>88</v>
      </c>
      <c r="S179" t="e" cm="1">
        <f t="array" ref="S179">IF(INDEX($P$51:$P$62,IF(MOD($A$2,12)=0,12,MOD($A$2,12)))=R179,R179,NA())</f>
        <v>#N/A</v>
      </c>
    </row>
    <row r="180" spans="14:19" x14ac:dyDescent="0.25">
      <c r="N180" s="17"/>
      <c r="Q180">
        <v>130</v>
      </c>
      <c r="R180">
        <f t="shared" si="99"/>
        <v>88</v>
      </c>
      <c r="S180" t="e" cm="1">
        <f t="array" ref="S180">IF(INDEX($P$51:$P$62,IF(MOD($A$2,12)=0,12,MOD($A$2,12)))=R180,R180,NA())</f>
        <v>#N/A</v>
      </c>
    </row>
    <row r="181" spans="14:19" x14ac:dyDescent="0.25">
      <c r="N181" s="17"/>
      <c r="Q181">
        <v>131</v>
      </c>
      <c r="R181">
        <f t="shared" si="99"/>
        <v>88</v>
      </c>
      <c r="S181" t="e" cm="1">
        <f t="array" ref="S181">IF(INDEX($P$51:$P$62,IF(MOD($A$2,12)=0,12,MOD($A$2,12)))=R181,R181,NA())</f>
        <v>#N/A</v>
      </c>
    </row>
    <row r="182" spans="14:19" x14ac:dyDescent="0.25">
      <c r="N182" s="17"/>
      <c r="Q182">
        <v>132</v>
      </c>
      <c r="R182">
        <f t="shared" si="99"/>
        <v>88</v>
      </c>
      <c r="S182" t="e" cm="1">
        <f t="array" ref="S182">IF(INDEX($P$51:$P$62,IF(MOD($A$2,12)=0,12,MOD($A$2,12)))=R182,R182,NA())</f>
        <v>#N/A</v>
      </c>
    </row>
    <row r="183" spans="14:19" x14ac:dyDescent="0.25">
      <c r="N183" s="17"/>
      <c r="Q183">
        <v>133</v>
      </c>
      <c r="R183">
        <f t="shared" si="99"/>
        <v>88</v>
      </c>
      <c r="S183" t="e" cm="1">
        <f t="array" ref="S183">IF(INDEX($P$51:$P$62,IF(MOD($A$2,12)=0,12,MOD($A$2,12)))=R183,R183,NA())</f>
        <v>#N/A</v>
      </c>
    </row>
    <row r="184" spans="14:19" x14ac:dyDescent="0.25">
      <c r="N184" s="17"/>
      <c r="Q184">
        <v>134</v>
      </c>
      <c r="R184">
        <f t="shared" si="99"/>
        <v>88</v>
      </c>
      <c r="S184" t="e" cm="1">
        <f t="array" ref="S184">IF(INDEX($P$51:$P$62,IF(MOD($A$2,12)=0,12,MOD($A$2,12)))=R184,R184,NA())</f>
        <v>#N/A</v>
      </c>
    </row>
    <row r="185" spans="14:19" x14ac:dyDescent="0.25">
      <c r="N185" s="17"/>
      <c r="Q185">
        <v>135</v>
      </c>
      <c r="R185">
        <f t="shared" si="99"/>
        <v>88</v>
      </c>
      <c r="S185" t="e" cm="1">
        <f t="array" ref="S185">IF(INDEX($P$51:$P$62,IF(MOD($A$2,12)=0,12,MOD($A$2,12)))=R185,R185,NA())</f>
        <v>#N/A</v>
      </c>
    </row>
    <row r="186" spans="14:19" x14ac:dyDescent="0.25">
      <c r="N186" s="17"/>
      <c r="Q186">
        <v>136</v>
      </c>
      <c r="R186">
        <f t="shared" si="99"/>
        <v>88</v>
      </c>
      <c r="S186" t="e" cm="1">
        <f t="array" ref="S186">IF(INDEX($P$51:$P$62,IF(MOD($A$2,12)=0,12,MOD($A$2,12)))=R186,R186,NA())</f>
        <v>#N/A</v>
      </c>
    </row>
    <row r="187" spans="14:19" x14ac:dyDescent="0.25">
      <c r="N187" s="17"/>
      <c r="Q187">
        <v>137</v>
      </c>
      <c r="R187">
        <f t="shared" si="99"/>
        <v>88</v>
      </c>
      <c r="S187" t="e" cm="1">
        <f t="array" ref="S187">IF(INDEX($P$51:$P$62,IF(MOD($A$2,12)=0,12,MOD($A$2,12)))=R187,R187,NA())</f>
        <v>#N/A</v>
      </c>
    </row>
    <row r="188" spans="14:19" x14ac:dyDescent="0.25">
      <c r="N188" s="17"/>
      <c r="Q188">
        <v>138</v>
      </c>
      <c r="R188">
        <f t="shared" si="99"/>
        <v>88</v>
      </c>
      <c r="S188" t="e" cm="1">
        <f t="array" ref="S188">IF(INDEX($P$51:$P$62,IF(MOD($A$2,12)=0,12,MOD($A$2,12)))=R188,R188,NA())</f>
        <v>#N/A</v>
      </c>
    </row>
    <row r="189" spans="14:19" x14ac:dyDescent="0.25">
      <c r="N189" s="17"/>
      <c r="Q189">
        <v>139</v>
      </c>
      <c r="R189">
        <f t="shared" si="99"/>
        <v>88</v>
      </c>
      <c r="S189" t="e" cm="1">
        <f t="array" ref="S189">IF(INDEX($P$51:$P$62,IF(MOD($A$2,12)=0,12,MOD($A$2,12)))=R189,R189,NA())</f>
        <v>#N/A</v>
      </c>
    </row>
    <row r="190" spans="14:19" x14ac:dyDescent="0.25">
      <c r="N190" s="17"/>
      <c r="Q190">
        <v>140</v>
      </c>
      <c r="R190">
        <f t="shared" si="99"/>
        <v>88</v>
      </c>
      <c r="S190" t="e" cm="1">
        <f t="array" ref="S190">IF(INDEX($P$51:$P$62,IF(MOD($A$2,12)=0,12,MOD($A$2,12)))=R190,R190,NA())</f>
        <v>#N/A</v>
      </c>
    </row>
    <row r="191" spans="14:19" x14ac:dyDescent="0.25">
      <c r="N191" s="17"/>
      <c r="Q191">
        <v>141</v>
      </c>
      <c r="R191">
        <f t="shared" si="99"/>
        <v>88</v>
      </c>
      <c r="S191" t="e" cm="1">
        <f t="array" ref="S191">IF(INDEX($P$51:$P$62,IF(MOD($A$2,12)=0,12,MOD($A$2,12)))=R191,R191,NA())</f>
        <v>#N/A</v>
      </c>
    </row>
    <row r="192" spans="14:19" x14ac:dyDescent="0.25">
      <c r="N192" s="17"/>
      <c r="Q192">
        <v>142</v>
      </c>
      <c r="R192">
        <f t="shared" si="99"/>
        <v>88</v>
      </c>
      <c r="S192" t="e" cm="1">
        <f t="array" ref="S192">IF(INDEX($P$51:$P$62,IF(MOD($A$2,12)=0,12,MOD($A$2,12)))=R192,R192,NA())</f>
        <v>#N/A</v>
      </c>
    </row>
    <row r="193" spans="14:19" x14ac:dyDescent="0.25">
      <c r="N193" s="17"/>
      <c r="Q193">
        <v>143</v>
      </c>
      <c r="R193">
        <f t="shared" si="99"/>
        <v>88</v>
      </c>
      <c r="S193" t="e" cm="1">
        <f t="array" ref="S193">IF(INDEX($P$51:$P$62,IF(MOD($A$2,12)=0,12,MOD($A$2,12)))=R193,R193,NA())</f>
        <v>#N/A</v>
      </c>
    </row>
    <row r="194" spans="14:19" x14ac:dyDescent="0.25">
      <c r="N194" s="17"/>
      <c r="Q194">
        <v>144</v>
      </c>
      <c r="R194">
        <f t="shared" si="99"/>
        <v>88</v>
      </c>
      <c r="S194" t="e" cm="1">
        <f t="array" ref="S194">IF(INDEX($P$51:$P$62,IF(MOD($A$2,12)=0,12,MOD($A$2,12)))=R194,R194,NA())</f>
        <v>#N/A</v>
      </c>
    </row>
    <row r="195" spans="14:19" x14ac:dyDescent="0.25">
      <c r="N195" s="17"/>
      <c r="Q195">
        <v>145</v>
      </c>
      <c r="R195">
        <f t="shared" si="99"/>
        <v>88</v>
      </c>
      <c r="S195" t="e" cm="1">
        <f t="array" ref="S195">IF(INDEX($P$51:$P$62,IF(MOD($A$2,12)=0,12,MOD($A$2,12)))=R195,R195,NA())</f>
        <v>#N/A</v>
      </c>
    </row>
    <row r="196" spans="14:19" x14ac:dyDescent="0.25">
      <c r="N196" s="17"/>
      <c r="Q196">
        <v>146</v>
      </c>
      <c r="R196">
        <f t="shared" si="99"/>
        <v>88</v>
      </c>
      <c r="S196" t="e" cm="1">
        <f t="array" ref="S196">IF(INDEX($P$51:$P$62,IF(MOD($A$2,12)=0,12,MOD($A$2,12)))=R196,R196,NA())</f>
        <v>#N/A</v>
      </c>
    </row>
    <row r="197" spans="14:19" x14ac:dyDescent="0.25">
      <c r="N197" s="17"/>
      <c r="Q197">
        <v>147</v>
      </c>
      <c r="R197">
        <f t="shared" si="99"/>
        <v>88</v>
      </c>
      <c r="S197" t="e" cm="1">
        <f t="array" ref="S197">IF(INDEX($P$51:$P$62,IF(MOD($A$2,12)=0,12,MOD($A$2,12)))=R197,R197,NA())</f>
        <v>#N/A</v>
      </c>
    </row>
    <row r="198" spans="14:19" x14ac:dyDescent="0.25">
      <c r="N198" s="17"/>
      <c r="Q198">
        <v>148</v>
      </c>
      <c r="R198">
        <f t="shared" si="99"/>
        <v>88</v>
      </c>
      <c r="S198" t="e" cm="1">
        <f t="array" ref="S198">IF(INDEX($P$51:$P$62,IF(MOD($A$2,12)=0,12,MOD($A$2,12)))=R198,R198,NA())</f>
        <v>#N/A</v>
      </c>
    </row>
    <row r="199" spans="14:19" x14ac:dyDescent="0.25">
      <c r="N199" s="17"/>
      <c r="Q199">
        <v>149</v>
      </c>
      <c r="R199">
        <f t="shared" si="99"/>
        <v>88</v>
      </c>
      <c r="S199" t="e" cm="1">
        <f t="array" ref="S199">IF(INDEX($P$51:$P$62,IF(MOD($A$2,12)=0,12,MOD($A$2,12)))=R199,R199,NA())</f>
        <v>#N/A</v>
      </c>
    </row>
    <row r="200" spans="14:19" x14ac:dyDescent="0.25">
      <c r="N200" s="17"/>
      <c r="Q200">
        <v>150</v>
      </c>
      <c r="R200">
        <f t="shared" si="99"/>
        <v>88</v>
      </c>
      <c r="S200" t="e" cm="1">
        <f t="array" ref="S200">IF(INDEX($P$51:$P$62,IF(MOD($A$2,12)=0,12,MOD($A$2,12)))=R200,R200,NA())</f>
        <v>#N/A</v>
      </c>
    </row>
    <row r="201" spans="14:19" x14ac:dyDescent="0.25">
      <c r="N201" s="17"/>
      <c r="Q201">
        <v>151</v>
      </c>
      <c r="R201">
        <v>0</v>
      </c>
      <c r="S201" t="e" cm="1">
        <f t="array" ref="S201">IF(INDEX($P$51:$P$62,IF(MOD($A$2,12)=0,12,MOD($A$2,12)))=R201,R201,NA())</f>
        <v>#N/A</v>
      </c>
    </row>
    <row r="202" spans="14:19" x14ac:dyDescent="0.25">
      <c r="N202" s="17"/>
      <c r="Q202">
        <v>152</v>
      </c>
      <c r="R202">
        <v>0</v>
      </c>
      <c r="S202" t="e" cm="1">
        <f t="array" ref="S202">IF(INDEX($P$51:$P$62,IF(MOD($A$2,12)=0,12,MOD($A$2,12)))=R202,R202,NA())</f>
        <v>#N/A</v>
      </c>
    </row>
    <row r="203" spans="14:19" x14ac:dyDescent="0.25">
      <c r="N203" s="17"/>
      <c r="Q203">
        <v>153</v>
      </c>
      <c r="R203">
        <v>0</v>
      </c>
      <c r="S203" t="e" cm="1">
        <f t="array" ref="S203">IF(INDEX($P$51:$P$62,IF(MOD($A$2,12)=0,12,MOD($A$2,12)))=R203,R203,NA())</f>
        <v>#N/A</v>
      </c>
    </row>
    <row r="204" spans="14:19" x14ac:dyDescent="0.25">
      <c r="N204" s="17"/>
      <c r="Q204">
        <v>154</v>
      </c>
      <c r="R204">
        <f t="shared" ref="R204:R230" si="100">$P$56</f>
        <v>86</v>
      </c>
      <c r="S204" cm="1">
        <f t="array" ref="S204">IF(INDEX($P$51:$P$62,IF(MOD($A$2,12)=0,12,MOD($A$2,12)))=R204,R204,NA())</f>
        <v>86</v>
      </c>
    </row>
    <row r="205" spans="14:19" x14ac:dyDescent="0.25">
      <c r="N205" s="17"/>
      <c r="Q205">
        <v>155</v>
      </c>
      <c r="R205">
        <f t="shared" si="100"/>
        <v>86</v>
      </c>
      <c r="S205" cm="1">
        <f t="array" ref="S205">IF(INDEX($P$51:$P$62,IF(MOD($A$2,12)=0,12,MOD($A$2,12)))=R205,R205,NA())</f>
        <v>86</v>
      </c>
    </row>
    <row r="206" spans="14:19" x14ac:dyDescent="0.25">
      <c r="N206" s="17"/>
      <c r="Q206">
        <v>156</v>
      </c>
      <c r="R206">
        <f t="shared" si="100"/>
        <v>86</v>
      </c>
      <c r="S206" cm="1">
        <f t="array" ref="S206">IF(INDEX($P$51:$P$62,IF(MOD($A$2,12)=0,12,MOD($A$2,12)))=R206,R206,NA())</f>
        <v>86</v>
      </c>
    </row>
    <row r="207" spans="14:19" x14ac:dyDescent="0.25">
      <c r="N207" s="17"/>
      <c r="Q207">
        <v>157</v>
      </c>
      <c r="R207">
        <f t="shared" si="100"/>
        <v>86</v>
      </c>
      <c r="S207" cm="1">
        <f t="array" ref="S207">IF(INDEX($P$51:$P$62,IF(MOD($A$2,12)=0,12,MOD($A$2,12)))=R207,R207,NA())</f>
        <v>86</v>
      </c>
    </row>
    <row r="208" spans="14:19" x14ac:dyDescent="0.25">
      <c r="N208" s="17"/>
      <c r="Q208">
        <v>158</v>
      </c>
      <c r="R208">
        <f t="shared" si="100"/>
        <v>86</v>
      </c>
      <c r="S208" cm="1">
        <f t="array" ref="S208">IF(INDEX($P$51:$P$62,IF(MOD($A$2,12)=0,12,MOD($A$2,12)))=R208,R208,NA())</f>
        <v>86</v>
      </c>
    </row>
    <row r="209" spans="14:19" x14ac:dyDescent="0.25">
      <c r="N209" s="17"/>
      <c r="Q209">
        <v>159</v>
      </c>
      <c r="R209">
        <f t="shared" si="100"/>
        <v>86</v>
      </c>
      <c r="S209" cm="1">
        <f t="array" ref="S209">IF(INDEX($P$51:$P$62,IF(MOD($A$2,12)=0,12,MOD($A$2,12)))=R209,R209,NA())</f>
        <v>86</v>
      </c>
    </row>
    <row r="210" spans="14:19" x14ac:dyDescent="0.25">
      <c r="N210" s="17"/>
      <c r="Q210">
        <v>160</v>
      </c>
      <c r="R210">
        <f t="shared" si="100"/>
        <v>86</v>
      </c>
      <c r="S210" cm="1">
        <f t="array" ref="S210">IF(INDEX($P$51:$P$62,IF(MOD($A$2,12)=0,12,MOD($A$2,12)))=R210,R210,NA())</f>
        <v>86</v>
      </c>
    </row>
    <row r="211" spans="14:19" x14ac:dyDescent="0.25">
      <c r="N211" s="17"/>
      <c r="Q211">
        <v>161</v>
      </c>
      <c r="R211">
        <f t="shared" si="100"/>
        <v>86</v>
      </c>
      <c r="S211" cm="1">
        <f t="array" ref="S211">IF(INDEX($P$51:$P$62,IF(MOD($A$2,12)=0,12,MOD($A$2,12)))=R211,R211,NA())</f>
        <v>86</v>
      </c>
    </row>
    <row r="212" spans="14:19" x14ac:dyDescent="0.25">
      <c r="N212" s="17"/>
      <c r="Q212">
        <v>162</v>
      </c>
      <c r="R212">
        <f t="shared" si="100"/>
        <v>86</v>
      </c>
      <c r="S212" cm="1">
        <f t="array" ref="S212">IF(INDEX($P$51:$P$62,IF(MOD($A$2,12)=0,12,MOD($A$2,12)))=R212,R212,NA())</f>
        <v>86</v>
      </c>
    </row>
    <row r="213" spans="14:19" x14ac:dyDescent="0.25">
      <c r="N213" s="17"/>
      <c r="Q213">
        <v>163</v>
      </c>
      <c r="R213">
        <f t="shared" si="100"/>
        <v>86</v>
      </c>
      <c r="S213" cm="1">
        <f t="array" ref="S213">IF(INDEX($P$51:$P$62,IF(MOD($A$2,12)=0,12,MOD($A$2,12)))=R213,R213,NA())</f>
        <v>86</v>
      </c>
    </row>
    <row r="214" spans="14:19" x14ac:dyDescent="0.25">
      <c r="N214" s="17"/>
      <c r="Q214">
        <v>164</v>
      </c>
      <c r="R214">
        <f t="shared" si="100"/>
        <v>86</v>
      </c>
      <c r="S214" cm="1">
        <f t="array" ref="S214">IF(INDEX($P$51:$P$62,IF(MOD($A$2,12)=0,12,MOD($A$2,12)))=R214,R214,NA())</f>
        <v>86</v>
      </c>
    </row>
    <row r="215" spans="14:19" x14ac:dyDescent="0.25">
      <c r="N215" s="17"/>
      <c r="Q215">
        <v>165</v>
      </c>
      <c r="R215">
        <f t="shared" si="100"/>
        <v>86</v>
      </c>
      <c r="S215" cm="1">
        <f t="array" ref="S215">IF(INDEX($P$51:$P$62,IF(MOD($A$2,12)=0,12,MOD($A$2,12)))=R215,R215,NA())</f>
        <v>86</v>
      </c>
    </row>
    <row r="216" spans="14:19" x14ac:dyDescent="0.25">
      <c r="N216" s="17"/>
      <c r="Q216">
        <v>166</v>
      </c>
      <c r="R216">
        <f t="shared" si="100"/>
        <v>86</v>
      </c>
      <c r="S216" cm="1">
        <f t="array" ref="S216">IF(INDEX($P$51:$P$62,IF(MOD($A$2,12)=0,12,MOD($A$2,12)))=R216,R216,NA())</f>
        <v>86</v>
      </c>
    </row>
    <row r="217" spans="14:19" x14ac:dyDescent="0.25">
      <c r="N217" s="17"/>
      <c r="Q217">
        <v>167</v>
      </c>
      <c r="R217">
        <f t="shared" si="100"/>
        <v>86</v>
      </c>
      <c r="S217" cm="1">
        <f t="array" ref="S217">IF(INDEX($P$51:$P$62,IF(MOD($A$2,12)=0,12,MOD($A$2,12)))=R217,R217,NA())</f>
        <v>86</v>
      </c>
    </row>
    <row r="218" spans="14:19" x14ac:dyDescent="0.25">
      <c r="N218" s="17"/>
      <c r="Q218">
        <v>168</v>
      </c>
      <c r="R218">
        <f t="shared" si="100"/>
        <v>86</v>
      </c>
      <c r="S218" cm="1">
        <f t="array" ref="S218">IF(INDEX($P$51:$P$62,IF(MOD($A$2,12)=0,12,MOD($A$2,12)))=R218,R218,NA())</f>
        <v>86</v>
      </c>
    </row>
    <row r="219" spans="14:19" x14ac:dyDescent="0.25">
      <c r="N219" s="17"/>
      <c r="Q219">
        <v>169</v>
      </c>
      <c r="R219">
        <f t="shared" si="100"/>
        <v>86</v>
      </c>
      <c r="S219" cm="1">
        <f t="array" ref="S219">IF(INDEX($P$51:$P$62,IF(MOD($A$2,12)=0,12,MOD($A$2,12)))=R219,R219,NA())</f>
        <v>86</v>
      </c>
    </row>
    <row r="220" spans="14:19" x14ac:dyDescent="0.25">
      <c r="N220" s="17"/>
      <c r="Q220">
        <v>170</v>
      </c>
      <c r="R220">
        <f t="shared" si="100"/>
        <v>86</v>
      </c>
      <c r="S220" cm="1">
        <f t="array" ref="S220">IF(INDEX($P$51:$P$62,IF(MOD($A$2,12)=0,12,MOD($A$2,12)))=R220,R220,NA())</f>
        <v>86</v>
      </c>
    </row>
    <row r="221" spans="14:19" x14ac:dyDescent="0.25">
      <c r="N221" s="17"/>
      <c r="Q221">
        <v>171</v>
      </c>
      <c r="R221">
        <f t="shared" si="100"/>
        <v>86</v>
      </c>
      <c r="S221" cm="1">
        <f t="array" ref="S221">IF(INDEX($P$51:$P$62,IF(MOD($A$2,12)=0,12,MOD($A$2,12)))=R221,R221,NA())</f>
        <v>86</v>
      </c>
    </row>
    <row r="222" spans="14:19" x14ac:dyDescent="0.25">
      <c r="N222" s="17"/>
      <c r="Q222">
        <v>172</v>
      </c>
      <c r="R222">
        <f t="shared" si="100"/>
        <v>86</v>
      </c>
      <c r="S222" cm="1">
        <f t="array" ref="S222">IF(INDEX($P$51:$P$62,IF(MOD($A$2,12)=0,12,MOD($A$2,12)))=R222,R222,NA())</f>
        <v>86</v>
      </c>
    </row>
    <row r="223" spans="14:19" x14ac:dyDescent="0.25">
      <c r="N223" s="17"/>
      <c r="Q223">
        <v>173</v>
      </c>
      <c r="R223">
        <f t="shared" si="100"/>
        <v>86</v>
      </c>
      <c r="S223" cm="1">
        <f t="array" ref="S223">IF(INDEX($P$51:$P$62,IF(MOD($A$2,12)=0,12,MOD($A$2,12)))=R223,R223,NA())</f>
        <v>86</v>
      </c>
    </row>
    <row r="224" spans="14:19" x14ac:dyDescent="0.25">
      <c r="N224" s="17"/>
      <c r="Q224">
        <v>174</v>
      </c>
      <c r="R224">
        <f t="shared" si="100"/>
        <v>86</v>
      </c>
      <c r="S224" cm="1">
        <f t="array" ref="S224">IF(INDEX($P$51:$P$62,IF(MOD($A$2,12)=0,12,MOD($A$2,12)))=R224,R224,NA())</f>
        <v>86</v>
      </c>
    </row>
    <row r="225" spans="14:19" x14ac:dyDescent="0.25">
      <c r="N225" s="17"/>
      <c r="Q225">
        <v>175</v>
      </c>
      <c r="R225">
        <f t="shared" si="100"/>
        <v>86</v>
      </c>
      <c r="S225" cm="1">
        <f t="array" ref="S225">IF(INDEX($P$51:$P$62,IF(MOD($A$2,12)=0,12,MOD($A$2,12)))=R225,R225,NA())</f>
        <v>86</v>
      </c>
    </row>
    <row r="226" spans="14:19" x14ac:dyDescent="0.25">
      <c r="N226" s="17"/>
      <c r="Q226">
        <v>176</v>
      </c>
      <c r="R226">
        <f t="shared" si="100"/>
        <v>86</v>
      </c>
      <c r="S226" cm="1">
        <f t="array" ref="S226">IF(INDEX($P$51:$P$62,IF(MOD($A$2,12)=0,12,MOD($A$2,12)))=R226,R226,NA())</f>
        <v>86</v>
      </c>
    </row>
    <row r="227" spans="14:19" x14ac:dyDescent="0.25">
      <c r="N227" s="17"/>
      <c r="Q227">
        <v>177</v>
      </c>
      <c r="R227">
        <f t="shared" si="100"/>
        <v>86</v>
      </c>
      <c r="S227" cm="1">
        <f t="array" ref="S227">IF(INDEX($P$51:$P$62,IF(MOD($A$2,12)=0,12,MOD($A$2,12)))=R227,R227,NA())</f>
        <v>86</v>
      </c>
    </row>
    <row r="228" spans="14:19" x14ac:dyDescent="0.25">
      <c r="N228" s="17"/>
      <c r="Q228">
        <v>178</v>
      </c>
      <c r="R228">
        <f t="shared" si="100"/>
        <v>86</v>
      </c>
      <c r="S228" cm="1">
        <f t="array" ref="S228">IF(INDEX($P$51:$P$62,IF(MOD($A$2,12)=0,12,MOD($A$2,12)))=R228,R228,NA())</f>
        <v>86</v>
      </c>
    </row>
    <row r="229" spans="14:19" x14ac:dyDescent="0.25">
      <c r="N229" s="17"/>
      <c r="Q229">
        <v>179</v>
      </c>
      <c r="R229">
        <f t="shared" si="100"/>
        <v>86</v>
      </c>
      <c r="S229" cm="1">
        <f t="array" ref="S229">IF(INDEX($P$51:$P$62,IF(MOD($A$2,12)=0,12,MOD($A$2,12)))=R229,R229,NA())</f>
        <v>86</v>
      </c>
    </row>
    <row r="230" spans="14:19" x14ac:dyDescent="0.25">
      <c r="N230" s="17"/>
      <c r="Q230">
        <v>180</v>
      </c>
      <c r="R230">
        <f t="shared" si="100"/>
        <v>86</v>
      </c>
      <c r="S230" cm="1">
        <f t="array" ref="S230">IF(INDEX($P$51:$P$62,IF(MOD($A$2,12)=0,12,MOD($A$2,12)))=R230,R230,NA())</f>
        <v>86</v>
      </c>
    </row>
    <row r="231" spans="14:19" x14ac:dyDescent="0.25">
      <c r="N231" s="17"/>
      <c r="Q231">
        <v>181</v>
      </c>
      <c r="R231">
        <v>0</v>
      </c>
      <c r="S231" t="e" cm="1">
        <f t="array" ref="S231">IF(INDEX($P$51:$P$62,IF(MOD($A$2,12)=0,12,MOD($A$2,12)))=R231,R231,NA())</f>
        <v>#N/A</v>
      </c>
    </row>
    <row r="232" spans="14:19" x14ac:dyDescent="0.25">
      <c r="N232" s="17"/>
      <c r="Q232">
        <v>182</v>
      </c>
      <c r="R232">
        <v>0</v>
      </c>
      <c r="S232" t="e" cm="1">
        <f t="array" ref="S232">IF(INDEX($P$51:$P$62,IF(MOD($A$2,12)=0,12,MOD($A$2,12)))=R232,R232,NA())</f>
        <v>#N/A</v>
      </c>
    </row>
    <row r="233" spans="14:19" x14ac:dyDescent="0.25">
      <c r="N233" s="17"/>
      <c r="Q233">
        <v>183</v>
      </c>
      <c r="R233">
        <v>0</v>
      </c>
      <c r="S233" t="e" cm="1">
        <f t="array" ref="S233">IF(INDEX($P$51:$P$62,IF(MOD($A$2,12)=0,12,MOD($A$2,12)))=R233,R233,NA())</f>
        <v>#N/A</v>
      </c>
    </row>
    <row r="234" spans="14:19" x14ac:dyDescent="0.25">
      <c r="N234" s="17"/>
      <c r="Q234">
        <v>184</v>
      </c>
      <c r="R234">
        <f>$P$57</f>
        <v>82</v>
      </c>
      <c r="S234" t="e" cm="1">
        <f t="array" ref="S234">IF(INDEX($P$51:$P$62,IF(MOD($A$2,12)=0,12,MOD($A$2,12)))=R234,R234,NA())</f>
        <v>#N/A</v>
      </c>
    </row>
    <row r="235" spans="14:19" x14ac:dyDescent="0.25">
      <c r="N235" s="17"/>
      <c r="Q235">
        <v>185</v>
      </c>
      <c r="R235">
        <f t="shared" ref="R235:R260" si="101">$P$57</f>
        <v>82</v>
      </c>
      <c r="S235" t="e" cm="1">
        <f t="array" ref="S235">IF(INDEX($P$51:$P$62,IF(MOD($A$2,12)=0,12,MOD($A$2,12)))=R235,R235,NA())</f>
        <v>#N/A</v>
      </c>
    </row>
    <row r="236" spans="14:19" x14ac:dyDescent="0.25">
      <c r="N236" s="17"/>
      <c r="Q236">
        <v>186</v>
      </c>
      <c r="R236">
        <f t="shared" si="101"/>
        <v>82</v>
      </c>
      <c r="S236" t="e" cm="1">
        <f t="array" ref="S236">IF(INDEX($P$51:$P$62,IF(MOD($A$2,12)=0,12,MOD($A$2,12)))=R236,R236,NA())</f>
        <v>#N/A</v>
      </c>
    </row>
    <row r="237" spans="14:19" x14ac:dyDescent="0.25">
      <c r="N237" s="17"/>
      <c r="Q237">
        <v>187</v>
      </c>
      <c r="R237">
        <f t="shared" si="101"/>
        <v>82</v>
      </c>
      <c r="S237" t="e" cm="1">
        <f t="array" ref="S237">IF(INDEX($P$51:$P$62,IF(MOD($A$2,12)=0,12,MOD($A$2,12)))=R237,R237,NA())</f>
        <v>#N/A</v>
      </c>
    </row>
    <row r="238" spans="14:19" x14ac:dyDescent="0.25">
      <c r="N238" s="17"/>
      <c r="Q238">
        <v>188</v>
      </c>
      <c r="R238">
        <f t="shared" si="101"/>
        <v>82</v>
      </c>
      <c r="S238" t="e" cm="1">
        <f t="array" ref="S238">IF(INDEX($P$51:$P$62,IF(MOD($A$2,12)=0,12,MOD($A$2,12)))=R238,R238,NA())</f>
        <v>#N/A</v>
      </c>
    </row>
    <row r="239" spans="14:19" x14ac:dyDescent="0.25">
      <c r="N239" s="17"/>
      <c r="Q239">
        <v>189</v>
      </c>
      <c r="R239">
        <f t="shared" si="101"/>
        <v>82</v>
      </c>
      <c r="S239" t="e" cm="1">
        <f t="array" ref="S239">IF(INDEX($P$51:$P$62,IF(MOD($A$2,12)=0,12,MOD($A$2,12)))=R239,R239,NA())</f>
        <v>#N/A</v>
      </c>
    </row>
    <row r="240" spans="14:19" x14ac:dyDescent="0.25">
      <c r="N240" s="17"/>
      <c r="Q240">
        <v>190</v>
      </c>
      <c r="R240">
        <f t="shared" si="101"/>
        <v>82</v>
      </c>
      <c r="S240" t="e" cm="1">
        <f t="array" ref="S240">IF(INDEX($P$51:$P$62,IF(MOD($A$2,12)=0,12,MOD($A$2,12)))=R240,R240,NA())</f>
        <v>#N/A</v>
      </c>
    </row>
    <row r="241" spans="14:19" x14ac:dyDescent="0.25">
      <c r="N241" s="17"/>
      <c r="Q241">
        <v>191</v>
      </c>
      <c r="R241">
        <f t="shared" si="101"/>
        <v>82</v>
      </c>
      <c r="S241" t="e" cm="1">
        <f t="array" ref="S241">IF(INDEX($P$51:$P$62,IF(MOD($A$2,12)=0,12,MOD($A$2,12)))=R241,R241,NA())</f>
        <v>#N/A</v>
      </c>
    </row>
    <row r="242" spans="14:19" x14ac:dyDescent="0.25">
      <c r="N242" s="17"/>
      <c r="Q242">
        <v>192</v>
      </c>
      <c r="R242">
        <f t="shared" si="101"/>
        <v>82</v>
      </c>
      <c r="S242" t="e" cm="1">
        <f t="array" ref="S242">IF(INDEX($P$51:$P$62,IF(MOD($A$2,12)=0,12,MOD($A$2,12)))=R242,R242,NA())</f>
        <v>#N/A</v>
      </c>
    </row>
    <row r="243" spans="14:19" x14ac:dyDescent="0.25">
      <c r="N243" s="17"/>
      <c r="Q243">
        <v>193</v>
      </c>
      <c r="R243">
        <f t="shared" si="101"/>
        <v>82</v>
      </c>
      <c r="S243" t="e" cm="1">
        <f t="array" ref="S243">IF(INDEX($P$51:$P$62,IF(MOD($A$2,12)=0,12,MOD($A$2,12)))=R243,R243,NA())</f>
        <v>#N/A</v>
      </c>
    </row>
    <row r="244" spans="14:19" x14ac:dyDescent="0.25">
      <c r="N244" s="17"/>
      <c r="Q244">
        <v>194</v>
      </c>
      <c r="R244">
        <f t="shared" si="101"/>
        <v>82</v>
      </c>
      <c r="S244" t="e" cm="1">
        <f t="array" ref="S244">IF(INDEX($P$51:$P$62,IF(MOD($A$2,12)=0,12,MOD($A$2,12)))=R244,R244,NA())</f>
        <v>#N/A</v>
      </c>
    </row>
    <row r="245" spans="14:19" x14ac:dyDescent="0.25">
      <c r="N245" s="17"/>
      <c r="Q245">
        <v>195</v>
      </c>
      <c r="R245">
        <f t="shared" si="101"/>
        <v>82</v>
      </c>
      <c r="S245" t="e" cm="1">
        <f t="array" ref="S245">IF(INDEX($P$51:$P$62,IF(MOD($A$2,12)=0,12,MOD($A$2,12)))=R245,R245,NA())</f>
        <v>#N/A</v>
      </c>
    </row>
    <row r="246" spans="14:19" x14ac:dyDescent="0.25">
      <c r="N246" s="17"/>
      <c r="Q246">
        <v>196</v>
      </c>
      <c r="R246">
        <f t="shared" si="101"/>
        <v>82</v>
      </c>
      <c r="S246" t="e" cm="1">
        <f t="array" ref="S246">IF(INDEX($P$51:$P$62,IF(MOD($A$2,12)=0,12,MOD($A$2,12)))=R246,R246,NA())</f>
        <v>#N/A</v>
      </c>
    </row>
    <row r="247" spans="14:19" x14ac:dyDescent="0.25">
      <c r="N247" s="17"/>
      <c r="Q247">
        <v>197</v>
      </c>
      <c r="R247">
        <f t="shared" si="101"/>
        <v>82</v>
      </c>
      <c r="S247" t="e" cm="1">
        <f t="array" ref="S247">IF(INDEX($P$51:$P$62,IF(MOD($A$2,12)=0,12,MOD($A$2,12)))=R247,R247,NA())</f>
        <v>#N/A</v>
      </c>
    </row>
    <row r="248" spans="14:19" x14ac:dyDescent="0.25">
      <c r="N248" s="17"/>
      <c r="Q248">
        <v>198</v>
      </c>
      <c r="R248">
        <f t="shared" si="101"/>
        <v>82</v>
      </c>
      <c r="S248" t="e" cm="1">
        <f t="array" ref="S248">IF(INDEX($P$51:$P$62,IF(MOD($A$2,12)=0,12,MOD($A$2,12)))=R248,R248,NA())</f>
        <v>#N/A</v>
      </c>
    </row>
    <row r="249" spans="14:19" x14ac:dyDescent="0.25">
      <c r="N249" s="17"/>
      <c r="Q249">
        <v>199</v>
      </c>
      <c r="R249">
        <f t="shared" si="101"/>
        <v>82</v>
      </c>
      <c r="S249" t="e" cm="1">
        <f t="array" ref="S249">IF(INDEX($P$51:$P$62,IF(MOD($A$2,12)=0,12,MOD($A$2,12)))=R249,R249,NA())</f>
        <v>#N/A</v>
      </c>
    </row>
    <row r="250" spans="14:19" x14ac:dyDescent="0.25">
      <c r="N250" s="17"/>
      <c r="Q250">
        <v>200</v>
      </c>
      <c r="R250">
        <f t="shared" si="101"/>
        <v>82</v>
      </c>
      <c r="S250" t="e" cm="1">
        <f t="array" ref="S250">IF(INDEX($P$51:$P$62,IF(MOD($A$2,12)=0,12,MOD($A$2,12)))=R250,R250,NA())</f>
        <v>#N/A</v>
      </c>
    </row>
    <row r="251" spans="14:19" x14ac:dyDescent="0.25">
      <c r="N251" s="17"/>
      <c r="Q251">
        <v>201</v>
      </c>
      <c r="R251">
        <f t="shared" si="101"/>
        <v>82</v>
      </c>
      <c r="S251" t="e" cm="1">
        <f t="array" ref="S251">IF(INDEX($P$51:$P$62,IF(MOD($A$2,12)=0,12,MOD($A$2,12)))=R251,R251,NA())</f>
        <v>#N/A</v>
      </c>
    </row>
    <row r="252" spans="14:19" x14ac:dyDescent="0.25">
      <c r="N252" s="17"/>
      <c r="Q252">
        <v>202</v>
      </c>
      <c r="R252">
        <f t="shared" si="101"/>
        <v>82</v>
      </c>
      <c r="S252" t="e" cm="1">
        <f t="array" ref="S252">IF(INDEX($P$51:$P$62,IF(MOD($A$2,12)=0,12,MOD($A$2,12)))=R252,R252,NA())</f>
        <v>#N/A</v>
      </c>
    </row>
    <row r="253" spans="14:19" x14ac:dyDescent="0.25">
      <c r="N253" s="17"/>
      <c r="Q253">
        <v>203</v>
      </c>
      <c r="R253">
        <f t="shared" si="101"/>
        <v>82</v>
      </c>
      <c r="S253" t="e" cm="1">
        <f t="array" ref="S253">IF(INDEX($P$51:$P$62,IF(MOD($A$2,12)=0,12,MOD($A$2,12)))=R253,R253,NA())</f>
        <v>#N/A</v>
      </c>
    </row>
    <row r="254" spans="14:19" x14ac:dyDescent="0.25">
      <c r="N254" s="17"/>
      <c r="Q254">
        <v>204</v>
      </c>
      <c r="R254">
        <f t="shared" si="101"/>
        <v>82</v>
      </c>
      <c r="S254" t="e" cm="1">
        <f t="array" ref="S254">IF(INDEX($P$51:$P$62,IF(MOD($A$2,12)=0,12,MOD($A$2,12)))=R254,R254,NA())</f>
        <v>#N/A</v>
      </c>
    </row>
    <row r="255" spans="14:19" x14ac:dyDescent="0.25">
      <c r="N255" s="17"/>
      <c r="Q255">
        <v>205</v>
      </c>
      <c r="R255">
        <f t="shared" si="101"/>
        <v>82</v>
      </c>
      <c r="S255" t="e" cm="1">
        <f t="array" ref="S255">IF(INDEX($P$51:$P$62,IF(MOD($A$2,12)=0,12,MOD($A$2,12)))=R255,R255,NA())</f>
        <v>#N/A</v>
      </c>
    </row>
    <row r="256" spans="14:19" x14ac:dyDescent="0.25">
      <c r="N256" s="17"/>
      <c r="Q256">
        <v>206</v>
      </c>
      <c r="R256">
        <f t="shared" si="101"/>
        <v>82</v>
      </c>
      <c r="S256" t="e" cm="1">
        <f t="array" ref="S256">IF(INDEX($P$51:$P$62,IF(MOD($A$2,12)=0,12,MOD($A$2,12)))=R256,R256,NA())</f>
        <v>#N/A</v>
      </c>
    </row>
    <row r="257" spans="14:19" x14ac:dyDescent="0.25">
      <c r="N257" s="17"/>
      <c r="Q257">
        <v>207</v>
      </c>
      <c r="R257">
        <f t="shared" si="101"/>
        <v>82</v>
      </c>
      <c r="S257" t="e" cm="1">
        <f t="array" ref="S257">IF(INDEX($P$51:$P$62,IF(MOD($A$2,12)=0,12,MOD($A$2,12)))=R257,R257,NA())</f>
        <v>#N/A</v>
      </c>
    </row>
    <row r="258" spans="14:19" x14ac:dyDescent="0.25">
      <c r="N258" s="17"/>
      <c r="Q258">
        <v>208</v>
      </c>
      <c r="R258">
        <f t="shared" si="101"/>
        <v>82</v>
      </c>
      <c r="S258" t="e" cm="1">
        <f t="array" ref="S258">IF(INDEX($P$51:$P$62,IF(MOD($A$2,12)=0,12,MOD($A$2,12)))=R258,R258,NA())</f>
        <v>#N/A</v>
      </c>
    </row>
    <row r="259" spans="14:19" x14ac:dyDescent="0.25">
      <c r="N259" s="17"/>
      <c r="Q259">
        <v>209</v>
      </c>
      <c r="R259">
        <f t="shared" si="101"/>
        <v>82</v>
      </c>
      <c r="S259" t="e" cm="1">
        <f t="array" ref="S259">IF(INDEX($P$51:$P$62,IF(MOD($A$2,12)=0,12,MOD($A$2,12)))=R259,R259,NA())</f>
        <v>#N/A</v>
      </c>
    </row>
    <row r="260" spans="14:19" x14ac:dyDescent="0.25">
      <c r="N260" s="17"/>
      <c r="Q260">
        <v>210</v>
      </c>
      <c r="R260">
        <f t="shared" si="101"/>
        <v>82</v>
      </c>
      <c r="S260" t="e" cm="1">
        <f t="array" ref="S260">IF(INDEX($P$51:$P$62,IF(MOD($A$2,12)=0,12,MOD($A$2,12)))=R260,R260,NA())</f>
        <v>#N/A</v>
      </c>
    </row>
    <row r="261" spans="14:19" x14ac:dyDescent="0.25">
      <c r="N261" s="17"/>
      <c r="Q261">
        <v>211</v>
      </c>
      <c r="R261">
        <v>0</v>
      </c>
      <c r="S261" t="e" cm="1">
        <f t="array" ref="S261">IF(INDEX($P$51:$P$62,IF(MOD($A$2,12)=0,12,MOD($A$2,12)))=R261,R261,NA())</f>
        <v>#N/A</v>
      </c>
    </row>
    <row r="262" spans="14:19" x14ac:dyDescent="0.25">
      <c r="N262" s="17"/>
      <c r="Q262">
        <v>212</v>
      </c>
      <c r="R262">
        <v>0</v>
      </c>
      <c r="S262" t="e" cm="1">
        <f t="array" ref="S262">IF(INDEX($P$51:$P$62,IF(MOD($A$2,12)=0,12,MOD($A$2,12)))=R262,R262,NA())</f>
        <v>#N/A</v>
      </c>
    </row>
    <row r="263" spans="14:19" x14ac:dyDescent="0.25">
      <c r="N263" s="17"/>
      <c r="Q263">
        <v>213</v>
      </c>
      <c r="R263">
        <v>0</v>
      </c>
      <c r="S263" t="e" cm="1">
        <f t="array" ref="S263">IF(INDEX($P$51:$P$62,IF(MOD($A$2,12)=0,12,MOD($A$2,12)))=R263,R263,NA())</f>
        <v>#N/A</v>
      </c>
    </row>
    <row r="264" spans="14:19" x14ac:dyDescent="0.25">
      <c r="N264" s="17"/>
      <c r="Q264">
        <v>214</v>
      </c>
      <c r="R264">
        <f>$P$58</f>
        <v>79</v>
      </c>
      <c r="S264" t="e" cm="1">
        <f t="array" ref="S264">IF(INDEX($P$51:$P$62,IF(MOD($A$2,12)=0,12,MOD($A$2,12)))=R264,R264,NA())</f>
        <v>#N/A</v>
      </c>
    </row>
    <row r="265" spans="14:19" x14ac:dyDescent="0.25">
      <c r="N265" s="17"/>
      <c r="Q265">
        <v>215</v>
      </c>
      <c r="R265">
        <f t="shared" ref="R265:R290" si="102">$P$58</f>
        <v>79</v>
      </c>
      <c r="S265" t="e" cm="1">
        <f t="array" ref="S265">IF(INDEX($P$51:$P$62,IF(MOD($A$2,12)=0,12,MOD($A$2,12)))=R265,R265,NA())</f>
        <v>#N/A</v>
      </c>
    </row>
    <row r="266" spans="14:19" x14ac:dyDescent="0.25">
      <c r="N266" s="17"/>
      <c r="Q266">
        <v>216</v>
      </c>
      <c r="R266">
        <f t="shared" si="102"/>
        <v>79</v>
      </c>
      <c r="S266" t="e" cm="1">
        <f t="array" ref="S266">IF(INDEX($P$51:$P$62,IF(MOD($A$2,12)=0,12,MOD($A$2,12)))=R266,R266,NA())</f>
        <v>#N/A</v>
      </c>
    </row>
    <row r="267" spans="14:19" x14ac:dyDescent="0.25">
      <c r="N267" s="17"/>
      <c r="Q267">
        <v>217</v>
      </c>
      <c r="R267">
        <f t="shared" si="102"/>
        <v>79</v>
      </c>
      <c r="S267" t="e" cm="1">
        <f t="array" ref="S267">IF(INDEX($P$51:$P$62,IF(MOD($A$2,12)=0,12,MOD($A$2,12)))=R267,R267,NA())</f>
        <v>#N/A</v>
      </c>
    </row>
    <row r="268" spans="14:19" x14ac:dyDescent="0.25">
      <c r="N268" s="17"/>
      <c r="Q268">
        <v>218</v>
      </c>
      <c r="R268">
        <f t="shared" si="102"/>
        <v>79</v>
      </c>
      <c r="S268" t="e" cm="1">
        <f t="array" ref="S268">IF(INDEX($P$51:$P$62,IF(MOD($A$2,12)=0,12,MOD($A$2,12)))=R268,R268,NA())</f>
        <v>#N/A</v>
      </c>
    </row>
    <row r="269" spans="14:19" x14ac:dyDescent="0.25">
      <c r="N269" s="17"/>
      <c r="Q269">
        <v>219</v>
      </c>
      <c r="R269">
        <f t="shared" si="102"/>
        <v>79</v>
      </c>
      <c r="S269" t="e" cm="1">
        <f t="array" ref="S269">IF(INDEX($P$51:$P$62,IF(MOD($A$2,12)=0,12,MOD($A$2,12)))=R269,R269,NA())</f>
        <v>#N/A</v>
      </c>
    </row>
    <row r="270" spans="14:19" x14ac:dyDescent="0.25">
      <c r="N270" s="17"/>
      <c r="Q270">
        <v>220</v>
      </c>
      <c r="R270">
        <f t="shared" si="102"/>
        <v>79</v>
      </c>
      <c r="S270" t="e" cm="1">
        <f t="array" ref="S270">IF(INDEX($P$51:$P$62,IF(MOD($A$2,12)=0,12,MOD($A$2,12)))=R270,R270,NA())</f>
        <v>#N/A</v>
      </c>
    </row>
    <row r="271" spans="14:19" x14ac:dyDescent="0.25">
      <c r="N271" s="17"/>
      <c r="Q271">
        <v>221</v>
      </c>
      <c r="R271">
        <f t="shared" si="102"/>
        <v>79</v>
      </c>
      <c r="S271" t="e" cm="1">
        <f t="array" ref="S271">IF(INDEX($P$51:$P$62,IF(MOD($A$2,12)=0,12,MOD($A$2,12)))=R271,R271,NA())</f>
        <v>#N/A</v>
      </c>
    </row>
    <row r="272" spans="14:19" x14ac:dyDescent="0.25">
      <c r="N272" s="17"/>
      <c r="Q272">
        <v>222</v>
      </c>
      <c r="R272">
        <f t="shared" si="102"/>
        <v>79</v>
      </c>
      <c r="S272" t="e" cm="1">
        <f t="array" ref="S272">IF(INDEX($P$51:$P$62,IF(MOD($A$2,12)=0,12,MOD($A$2,12)))=R272,R272,NA())</f>
        <v>#N/A</v>
      </c>
    </row>
    <row r="273" spans="14:19" x14ac:dyDescent="0.25">
      <c r="N273" s="17"/>
      <c r="Q273">
        <v>223</v>
      </c>
      <c r="R273">
        <f t="shared" si="102"/>
        <v>79</v>
      </c>
      <c r="S273" t="e" cm="1">
        <f t="array" ref="S273">IF(INDEX($P$51:$P$62,IF(MOD($A$2,12)=0,12,MOD($A$2,12)))=R273,R273,NA())</f>
        <v>#N/A</v>
      </c>
    </row>
    <row r="274" spans="14:19" x14ac:dyDescent="0.25">
      <c r="N274" s="17"/>
      <c r="Q274">
        <v>224</v>
      </c>
      <c r="R274">
        <f t="shared" si="102"/>
        <v>79</v>
      </c>
      <c r="S274" t="e" cm="1">
        <f t="array" ref="S274">IF(INDEX($P$51:$P$62,IF(MOD($A$2,12)=0,12,MOD($A$2,12)))=R274,R274,NA())</f>
        <v>#N/A</v>
      </c>
    </row>
    <row r="275" spans="14:19" x14ac:dyDescent="0.25">
      <c r="N275" s="17"/>
      <c r="Q275">
        <v>225</v>
      </c>
      <c r="R275">
        <f t="shared" si="102"/>
        <v>79</v>
      </c>
      <c r="S275" t="e" cm="1">
        <f t="array" ref="S275">IF(INDEX($P$51:$P$62,IF(MOD($A$2,12)=0,12,MOD($A$2,12)))=R275,R275,NA())</f>
        <v>#N/A</v>
      </c>
    </row>
    <row r="276" spans="14:19" x14ac:dyDescent="0.25">
      <c r="N276" s="17"/>
      <c r="Q276">
        <v>226</v>
      </c>
      <c r="R276">
        <f t="shared" si="102"/>
        <v>79</v>
      </c>
      <c r="S276" t="e" cm="1">
        <f t="array" ref="S276">IF(INDEX($P$51:$P$62,IF(MOD($A$2,12)=0,12,MOD($A$2,12)))=R276,R276,NA())</f>
        <v>#N/A</v>
      </c>
    </row>
    <row r="277" spans="14:19" x14ac:dyDescent="0.25">
      <c r="N277" s="17"/>
      <c r="Q277">
        <v>227</v>
      </c>
      <c r="R277">
        <f t="shared" si="102"/>
        <v>79</v>
      </c>
      <c r="S277" t="e" cm="1">
        <f t="array" ref="S277">IF(INDEX($P$51:$P$62,IF(MOD($A$2,12)=0,12,MOD($A$2,12)))=R277,R277,NA())</f>
        <v>#N/A</v>
      </c>
    </row>
    <row r="278" spans="14:19" x14ac:dyDescent="0.25">
      <c r="N278" s="17"/>
      <c r="Q278">
        <v>228</v>
      </c>
      <c r="R278">
        <f t="shared" si="102"/>
        <v>79</v>
      </c>
      <c r="S278" t="e" cm="1">
        <f t="array" ref="S278">IF(INDEX($P$51:$P$62,IF(MOD($A$2,12)=0,12,MOD($A$2,12)))=R278,R278,NA())</f>
        <v>#N/A</v>
      </c>
    </row>
    <row r="279" spans="14:19" x14ac:dyDescent="0.25">
      <c r="N279" s="17"/>
      <c r="Q279">
        <v>229</v>
      </c>
      <c r="R279">
        <f t="shared" si="102"/>
        <v>79</v>
      </c>
      <c r="S279" t="e" cm="1">
        <f t="array" ref="S279">IF(INDEX($P$51:$P$62,IF(MOD($A$2,12)=0,12,MOD($A$2,12)))=R279,R279,NA())</f>
        <v>#N/A</v>
      </c>
    </row>
    <row r="280" spans="14:19" x14ac:dyDescent="0.25">
      <c r="N280" s="17"/>
      <c r="Q280">
        <v>230</v>
      </c>
      <c r="R280">
        <f t="shared" si="102"/>
        <v>79</v>
      </c>
      <c r="S280" t="e" cm="1">
        <f t="array" ref="S280">IF(INDEX($P$51:$P$62,IF(MOD($A$2,12)=0,12,MOD($A$2,12)))=R280,R280,NA())</f>
        <v>#N/A</v>
      </c>
    </row>
    <row r="281" spans="14:19" x14ac:dyDescent="0.25">
      <c r="N281" s="17"/>
      <c r="Q281">
        <v>231</v>
      </c>
      <c r="R281">
        <f t="shared" si="102"/>
        <v>79</v>
      </c>
      <c r="S281" t="e" cm="1">
        <f t="array" ref="S281">IF(INDEX($P$51:$P$62,IF(MOD($A$2,12)=0,12,MOD($A$2,12)))=R281,R281,NA())</f>
        <v>#N/A</v>
      </c>
    </row>
    <row r="282" spans="14:19" x14ac:dyDescent="0.25">
      <c r="N282" s="17"/>
      <c r="Q282">
        <v>232</v>
      </c>
      <c r="R282">
        <f t="shared" si="102"/>
        <v>79</v>
      </c>
      <c r="S282" t="e" cm="1">
        <f t="array" ref="S282">IF(INDEX($P$51:$P$62,IF(MOD($A$2,12)=0,12,MOD($A$2,12)))=R282,R282,NA())</f>
        <v>#N/A</v>
      </c>
    </row>
    <row r="283" spans="14:19" x14ac:dyDescent="0.25">
      <c r="N283" s="17"/>
      <c r="Q283">
        <v>233</v>
      </c>
      <c r="R283">
        <f t="shared" si="102"/>
        <v>79</v>
      </c>
      <c r="S283" t="e" cm="1">
        <f t="array" ref="S283">IF(INDEX($P$51:$P$62,IF(MOD($A$2,12)=0,12,MOD($A$2,12)))=R283,R283,NA())</f>
        <v>#N/A</v>
      </c>
    </row>
    <row r="284" spans="14:19" x14ac:dyDescent="0.25">
      <c r="N284" s="17"/>
      <c r="Q284">
        <v>234</v>
      </c>
      <c r="R284">
        <f t="shared" si="102"/>
        <v>79</v>
      </c>
      <c r="S284" t="e" cm="1">
        <f t="array" ref="S284">IF(INDEX($P$51:$P$62,IF(MOD($A$2,12)=0,12,MOD($A$2,12)))=R284,R284,NA())</f>
        <v>#N/A</v>
      </c>
    </row>
    <row r="285" spans="14:19" x14ac:dyDescent="0.25">
      <c r="N285" s="17"/>
      <c r="Q285">
        <v>235</v>
      </c>
      <c r="R285">
        <f t="shared" si="102"/>
        <v>79</v>
      </c>
      <c r="S285" t="e" cm="1">
        <f t="array" ref="S285">IF(INDEX($P$51:$P$62,IF(MOD($A$2,12)=0,12,MOD($A$2,12)))=R285,R285,NA())</f>
        <v>#N/A</v>
      </c>
    </row>
    <row r="286" spans="14:19" x14ac:dyDescent="0.25">
      <c r="N286" s="17"/>
      <c r="Q286">
        <v>236</v>
      </c>
      <c r="R286">
        <f t="shared" si="102"/>
        <v>79</v>
      </c>
      <c r="S286" t="e" cm="1">
        <f t="array" ref="S286">IF(INDEX($P$51:$P$62,IF(MOD($A$2,12)=0,12,MOD($A$2,12)))=R286,R286,NA())</f>
        <v>#N/A</v>
      </c>
    </row>
    <row r="287" spans="14:19" x14ac:dyDescent="0.25">
      <c r="N287" s="17"/>
      <c r="Q287">
        <v>237</v>
      </c>
      <c r="R287">
        <f t="shared" si="102"/>
        <v>79</v>
      </c>
      <c r="S287" t="e" cm="1">
        <f t="array" ref="S287">IF(INDEX($P$51:$P$62,IF(MOD($A$2,12)=0,12,MOD($A$2,12)))=R287,R287,NA())</f>
        <v>#N/A</v>
      </c>
    </row>
    <row r="288" spans="14:19" x14ac:dyDescent="0.25">
      <c r="N288" s="17"/>
      <c r="Q288">
        <v>238</v>
      </c>
      <c r="R288">
        <f t="shared" si="102"/>
        <v>79</v>
      </c>
      <c r="S288" t="e" cm="1">
        <f t="array" ref="S288">IF(INDEX($P$51:$P$62,IF(MOD($A$2,12)=0,12,MOD($A$2,12)))=R288,R288,NA())</f>
        <v>#N/A</v>
      </c>
    </row>
    <row r="289" spans="14:19" x14ac:dyDescent="0.25">
      <c r="N289" s="17"/>
      <c r="Q289">
        <v>239</v>
      </c>
      <c r="R289">
        <f t="shared" si="102"/>
        <v>79</v>
      </c>
      <c r="S289" t="e" cm="1">
        <f t="array" ref="S289">IF(INDEX($P$51:$P$62,IF(MOD($A$2,12)=0,12,MOD($A$2,12)))=R289,R289,NA())</f>
        <v>#N/A</v>
      </c>
    </row>
    <row r="290" spans="14:19" x14ac:dyDescent="0.25">
      <c r="N290" s="17"/>
      <c r="Q290">
        <v>240</v>
      </c>
      <c r="R290">
        <f t="shared" si="102"/>
        <v>79</v>
      </c>
      <c r="S290" t="e" cm="1">
        <f t="array" ref="S290">IF(INDEX($P$51:$P$62,IF(MOD($A$2,12)=0,12,MOD($A$2,12)))=R290,R290,NA())</f>
        <v>#N/A</v>
      </c>
    </row>
    <row r="291" spans="14:19" x14ac:dyDescent="0.25">
      <c r="N291" s="17"/>
      <c r="Q291">
        <v>241</v>
      </c>
      <c r="R291">
        <v>0</v>
      </c>
      <c r="S291" t="e" cm="1">
        <f t="array" ref="S291">IF(INDEX($P$51:$P$62,IF(MOD($A$2,12)=0,12,MOD($A$2,12)))=R291,R291,NA())</f>
        <v>#N/A</v>
      </c>
    </row>
    <row r="292" spans="14:19" x14ac:dyDescent="0.25">
      <c r="N292" s="17"/>
      <c r="Q292">
        <v>242</v>
      </c>
      <c r="R292">
        <v>0</v>
      </c>
      <c r="S292" t="e" cm="1">
        <f t="array" ref="S292">IF(INDEX($P$51:$P$62,IF(MOD($A$2,12)=0,12,MOD($A$2,12)))=R292,R292,NA())</f>
        <v>#N/A</v>
      </c>
    </row>
    <row r="293" spans="14:19" x14ac:dyDescent="0.25">
      <c r="N293" s="17"/>
      <c r="Q293">
        <v>243</v>
      </c>
      <c r="R293">
        <v>0</v>
      </c>
      <c r="S293" t="e" cm="1">
        <f t="array" ref="S293">IF(INDEX($P$51:$P$62,IF(MOD($A$2,12)=0,12,MOD($A$2,12)))=R293,R293,NA())</f>
        <v>#N/A</v>
      </c>
    </row>
    <row r="294" spans="14:19" x14ac:dyDescent="0.25">
      <c r="N294" s="17"/>
      <c r="Q294">
        <v>244</v>
      </c>
      <c r="R294">
        <f>$P$59</f>
        <v>75</v>
      </c>
      <c r="S294" t="e" cm="1">
        <f t="array" ref="S294">IF(INDEX($P$51:$P$62,IF(MOD($A$2,12)=0,12,MOD($A$2,12)))=R294,R294,NA())</f>
        <v>#N/A</v>
      </c>
    </row>
    <row r="295" spans="14:19" x14ac:dyDescent="0.25">
      <c r="N295" s="17"/>
      <c r="Q295">
        <v>245</v>
      </c>
      <c r="R295">
        <f t="shared" ref="R295:R320" si="103">$P$59</f>
        <v>75</v>
      </c>
      <c r="S295" t="e" cm="1">
        <f t="array" ref="S295">IF(INDEX($P$51:$P$62,IF(MOD($A$2,12)=0,12,MOD($A$2,12)))=R295,R295,NA())</f>
        <v>#N/A</v>
      </c>
    </row>
    <row r="296" spans="14:19" x14ac:dyDescent="0.25">
      <c r="N296" s="17"/>
      <c r="Q296">
        <v>246</v>
      </c>
      <c r="R296">
        <f t="shared" si="103"/>
        <v>75</v>
      </c>
      <c r="S296" t="e" cm="1">
        <f t="array" ref="S296">IF(INDEX($P$51:$P$62,IF(MOD($A$2,12)=0,12,MOD($A$2,12)))=R296,R296,NA())</f>
        <v>#N/A</v>
      </c>
    </row>
    <row r="297" spans="14:19" x14ac:dyDescent="0.25">
      <c r="N297" s="17"/>
      <c r="Q297">
        <v>247</v>
      </c>
      <c r="R297">
        <f t="shared" si="103"/>
        <v>75</v>
      </c>
      <c r="S297" t="e" cm="1">
        <f t="array" ref="S297">IF(INDEX($P$51:$P$62,IF(MOD($A$2,12)=0,12,MOD($A$2,12)))=R297,R297,NA())</f>
        <v>#N/A</v>
      </c>
    </row>
    <row r="298" spans="14:19" x14ac:dyDescent="0.25">
      <c r="N298" s="17"/>
      <c r="Q298">
        <v>248</v>
      </c>
      <c r="R298">
        <f t="shared" si="103"/>
        <v>75</v>
      </c>
      <c r="S298" t="e" cm="1">
        <f t="array" ref="S298">IF(INDEX($P$51:$P$62,IF(MOD($A$2,12)=0,12,MOD($A$2,12)))=R298,R298,NA())</f>
        <v>#N/A</v>
      </c>
    </row>
    <row r="299" spans="14:19" x14ac:dyDescent="0.25">
      <c r="N299" s="17"/>
      <c r="Q299">
        <v>249</v>
      </c>
      <c r="R299">
        <f t="shared" si="103"/>
        <v>75</v>
      </c>
      <c r="S299" t="e" cm="1">
        <f t="array" ref="S299">IF(INDEX($P$51:$P$62,IF(MOD($A$2,12)=0,12,MOD($A$2,12)))=R299,R299,NA())</f>
        <v>#N/A</v>
      </c>
    </row>
    <row r="300" spans="14:19" x14ac:dyDescent="0.25">
      <c r="N300" s="17"/>
      <c r="Q300">
        <v>250</v>
      </c>
      <c r="R300">
        <f t="shared" si="103"/>
        <v>75</v>
      </c>
      <c r="S300" t="e" cm="1">
        <f t="array" ref="S300">IF(INDEX($P$51:$P$62,IF(MOD($A$2,12)=0,12,MOD($A$2,12)))=R300,R300,NA())</f>
        <v>#N/A</v>
      </c>
    </row>
    <row r="301" spans="14:19" x14ac:dyDescent="0.25">
      <c r="N301" s="17"/>
      <c r="Q301">
        <v>251</v>
      </c>
      <c r="R301">
        <f t="shared" si="103"/>
        <v>75</v>
      </c>
      <c r="S301" t="e" cm="1">
        <f t="array" ref="S301">IF(INDEX($P$51:$P$62,IF(MOD($A$2,12)=0,12,MOD($A$2,12)))=R301,R301,NA())</f>
        <v>#N/A</v>
      </c>
    </row>
    <row r="302" spans="14:19" x14ac:dyDescent="0.25">
      <c r="N302" s="17"/>
      <c r="Q302">
        <v>252</v>
      </c>
      <c r="R302">
        <f t="shared" si="103"/>
        <v>75</v>
      </c>
      <c r="S302" t="e" cm="1">
        <f t="array" ref="S302">IF(INDEX($P$51:$P$62,IF(MOD($A$2,12)=0,12,MOD($A$2,12)))=R302,R302,NA())</f>
        <v>#N/A</v>
      </c>
    </row>
    <row r="303" spans="14:19" x14ac:dyDescent="0.25">
      <c r="N303" s="17"/>
      <c r="Q303">
        <v>253</v>
      </c>
      <c r="R303">
        <f t="shared" si="103"/>
        <v>75</v>
      </c>
      <c r="S303" t="e" cm="1">
        <f t="array" ref="S303">IF(INDEX($P$51:$P$62,IF(MOD($A$2,12)=0,12,MOD($A$2,12)))=R303,R303,NA())</f>
        <v>#N/A</v>
      </c>
    </row>
    <row r="304" spans="14:19" x14ac:dyDescent="0.25">
      <c r="N304" s="17"/>
      <c r="Q304">
        <v>254</v>
      </c>
      <c r="R304">
        <f t="shared" si="103"/>
        <v>75</v>
      </c>
      <c r="S304" t="e" cm="1">
        <f t="array" ref="S304">IF(INDEX($P$51:$P$62,IF(MOD($A$2,12)=0,12,MOD($A$2,12)))=R304,R304,NA())</f>
        <v>#N/A</v>
      </c>
    </row>
    <row r="305" spans="14:19" x14ac:dyDescent="0.25">
      <c r="N305" s="17"/>
      <c r="Q305">
        <v>255</v>
      </c>
      <c r="R305">
        <f t="shared" si="103"/>
        <v>75</v>
      </c>
      <c r="S305" t="e" cm="1">
        <f t="array" ref="S305">IF(INDEX($P$51:$P$62,IF(MOD($A$2,12)=0,12,MOD($A$2,12)))=R305,R305,NA())</f>
        <v>#N/A</v>
      </c>
    </row>
    <row r="306" spans="14:19" x14ac:dyDescent="0.25">
      <c r="N306" s="17"/>
      <c r="Q306">
        <v>256</v>
      </c>
      <c r="R306">
        <f t="shared" si="103"/>
        <v>75</v>
      </c>
      <c r="S306" t="e" cm="1">
        <f t="array" ref="S306">IF(INDEX($P$51:$P$62,IF(MOD($A$2,12)=0,12,MOD($A$2,12)))=R306,R306,NA())</f>
        <v>#N/A</v>
      </c>
    </row>
    <row r="307" spans="14:19" x14ac:dyDescent="0.25">
      <c r="N307" s="17"/>
      <c r="Q307">
        <v>257</v>
      </c>
      <c r="R307">
        <f t="shared" si="103"/>
        <v>75</v>
      </c>
      <c r="S307" t="e" cm="1">
        <f t="array" ref="S307">IF(INDEX($P$51:$P$62,IF(MOD($A$2,12)=0,12,MOD($A$2,12)))=R307,R307,NA())</f>
        <v>#N/A</v>
      </c>
    </row>
    <row r="308" spans="14:19" x14ac:dyDescent="0.25">
      <c r="N308" s="17"/>
      <c r="Q308">
        <v>258</v>
      </c>
      <c r="R308">
        <f t="shared" si="103"/>
        <v>75</v>
      </c>
      <c r="S308" t="e" cm="1">
        <f t="array" ref="S308">IF(INDEX($P$51:$P$62,IF(MOD($A$2,12)=0,12,MOD($A$2,12)))=R308,R308,NA())</f>
        <v>#N/A</v>
      </c>
    </row>
    <row r="309" spans="14:19" x14ac:dyDescent="0.25">
      <c r="N309" s="17"/>
      <c r="Q309">
        <v>259</v>
      </c>
      <c r="R309">
        <f t="shared" si="103"/>
        <v>75</v>
      </c>
      <c r="S309" t="e" cm="1">
        <f t="array" ref="S309">IF(INDEX($P$51:$P$62,IF(MOD($A$2,12)=0,12,MOD($A$2,12)))=R309,R309,NA())</f>
        <v>#N/A</v>
      </c>
    </row>
    <row r="310" spans="14:19" x14ac:dyDescent="0.25">
      <c r="N310" s="17"/>
      <c r="Q310">
        <v>260</v>
      </c>
      <c r="R310">
        <f t="shared" si="103"/>
        <v>75</v>
      </c>
      <c r="S310" t="e" cm="1">
        <f t="array" ref="S310">IF(INDEX($P$51:$P$62,IF(MOD($A$2,12)=0,12,MOD($A$2,12)))=R310,R310,NA())</f>
        <v>#N/A</v>
      </c>
    </row>
    <row r="311" spans="14:19" x14ac:dyDescent="0.25">
      <c r="N311" s="17"/>
      <c r="Q311">
        <v>261</v>
      </c>
      <c r="R311">
        <f t="shared" si="103"/>
        <v>75</v>
      </c>
      <c r="S311" t="e" cm="1">
        <f t="array" ref="S311">IF(INDEX($P$51:$P$62,IF(MOD($A$2,12)=0,12,MOD($A$2,12)))=R311,R311,NA())</f>
        <v>#N/A</v>
      </c>
    </row>
    <row r="312" spans="14:19" x14ac:dyDescent="0.25">
      <c r="N312" s="17"/>
      <c r="Q312">
        <v>262</v>
      </c>
      <c r="R312">
        <f t="shared" si="103"/>
        <v>75</v>
      </c>
      <c r="S312" t="e" cm="1">
        <f t="array" ref="S312">IF(INDEX($P$51:$P$62,IF(MOD($A$2,12)=0,12,MOD($A$2,12)))=R312,R312,NA())</f>
        <v>#N/A</v>
      </c>
    </row>
    <row r="313" spans="14:19" x14ac:dyDescent="0.25">
      <c r="N313" s="17"/>
      <c r="Q313">
        <v>263</v>
      </c>
      <c r="R313">
        <f t="shared" si="103"/>
        <v>75</v>
      </c>
      <c r="S313" t="e" cm="1">
        <f t="array" ref="S313">IF(INDEX($P$51:$P$62,IF(MOD($A$2,12)=0,12,MOD($A$2,12)))=R313,R313,NA())</f>
        <v>#N/A</v>
      </c>
    </row>
    <row r="314" spans="14:19" x14ac:dyDescent="0.25">
      <c r="N314" s="17"/>
      <c r="Q314">
        <v>264</v>
      </c>
      <c r="R314">
        <f t="shared" si="103"/>
        <v>75</v>
      </c>
      <c r="S314" t="e" cm="1">
        <f t="array" ref="S314">IF(INDEX($P$51:$P$62,IF(MOD($A$2,12)=0,12,MOD($A$2,12)))=R314,R314,NA())</f>
        <v>#N/A</v>
      </c>
    </row>
    <row r="315" spans="14:19" x14ac:dyDescent="0.25">
      <c r="N315" s="17"/>
      <c r="Q315">
        <v>265</v>
      </c>
      <c r="R315">
        <f t="shared" si="103"/>
        <v>75</v>
      </c>
      <c r="S315" t="e" cm="1">
        <f t="array" ref="S315">IF(INDEX($P$51:$P$62,IF(MOD($A$2,12)=0,12,MOD($A$2,12)))=R315,R315,NA())</f>
        <v>#N/A</v>
      </c>
    </row>
    <row r="316" spans="14:19" x14ac:dyDescent="0.25">
      <c r="N316" s="17"/>
      <c r="Q316">
        <v>266</v>
      </c>
      <c r="R316">
        <f t="shared" si="103"/>
        <v>75</v>
      </c>
      <c r="S316" t="e" cm="1">
        <f t="array" ref="S316">IF(INDEX($P$51:$P$62,IF(MOD($A$2,12)=0,12,MOD($A$2,12)))=R316,R316,NA())</f>
        <v>#N/A</v>
      </c>
    </row>
    <row r="317" spans="14:19" x14ac:dyDescent="0.25">
      <c r="N317" s="17"/>
      <c r="Q317">
        <v>267</v>
      </c>
      <c r="R317">
        <f t="shared" si="103"/>
        <v>75</v>
      </c>
      <c r="S317" t="e" cm="1">
        <f t="array" ref="S317">IF(INDEX($P$51:$P$62,IF(MOD($A$2,12)=0,12,MOD($A$2,12)))=R317,R317,NA())</f>
        <v>#N/A</v>
      </c>
    </row>
    <row r="318" spans="14:19" x14ac:dyDescent="0.25">
      <c r="N318" s="17"/>
      <c r="Q318">
        <v>268</v>
      </c>
      <c r="R318">
        <f t="shared" si="103"/>
        <v>75</v>
      </c>
      <c r="S318" t="e" cm="1">
        <f t="array" ref="S318">IF(INDEX($P$51:$P$62,IF(MOD($A$2,12)=0,12,MOD($A$2,12)))=R318,R318,NA())</f>
        <v>#N/A</v>
      </c>
    </row>
    <row r="319" spans="14:19" x14ac:dyDescent="0.25">
      <c r="N319" s="17"/>
      <c r="Q319">
        <v>269</v>
      </c>
      <c r="R319">
        <f t="shared" si="103"/>
        <v>75</v>
      </c>
      <c r="S319" t="e" cm="1">
        <f t="array" ref="S319">IF(INDEX($P$51:$P$62,IF(MOD($A$2,12)=0,12,MOD($A$2,12)))=R319,R319,NA())</f>
        <v>#N/A</v>
      </c>
    </row>
    <row r="320" spans="14:19" x14ac:dyDescent="0.25">
      <c r="N320" s="17"/>
      <c r="Q320">
        <v>270</v>
      </c>
      <c r="R320">
        <f t="shared" si="103"/>
        <v>75</v>
      </c>
      <c r="S320" t="e" cm="1">
        <f t="array" ref="S320">IF(INDEX($P$51:$P$62,IF(MOD($A$2,12)=0,12,MOD($A$2,12)))=R320,R320,NA())</f>
        <v>#N/A</v>
      </c>
    </row>
    <row r="321" spans="14:19" x14ac:dyDescent="0.25">
      <c r="N321" s="17"/>
      <c r="Q321">
        <v>271</v>
      </c>
      <c r="R321">
        <v>0</v>
      </c>
      <c r="S321" t="e" cm="1">
        <f t="array" ref="S321">IF(INDEX($P$51:$P$62,IF(MOD($A$2,12)=0,12,MOD($A$2,12)))=R321,R321,NA())</f>
        <v>#N/A</v>
      </c>
    </row>
    <row r="322" spans="14:19" x14ac:dyDescent="0.25">
      <c r="N322" s="17"/>
      <c r="Q322">
        <v>272</v>
      </c>
      <c r="R322">
        <v>0</v>
      </c>
      <c r="S322" t="e" cm="1">
        <f t="array" ref="S322">IF(INDEX($P$51:$P$62,IF(MOD($A$2,12)=0,12,MOD($A$2,12)))=R322,R322,NA())</f>
        <v>#N/A</v>
      </c>
    </row>
    <row r="323" spans="14:19" x14ac:dyDescent="0.25">
      <c r="N323" s="17"/>
      <c r="Q323">
        <v>273</v>
      </c>
      <c r="R323">
        <v>0</v>
      </c>
      <c r="S323" t="e" cm="1">
        <f t="array" ref="S323">IF(INDEX($P$51:$P$62,IF(MOD($A$2,12)=0,12,MOD($A$2,12)))=R323,R323,NA())</f>
        <v>#N/A</v>
      </c>
    </row>
    <row r="324" spans="14:19" x14ac:dyDescent="0.25">
      <c r="N324" s="17"/>
      <c r="Q324">
        <v>274</v>
      </c>
      <c r="R324">
        <f>$P$60</f>
        <v>74</v>
      </c>
      <c r="S324" t="e" cm="1">
        <f t="array" ref="S324">IF(INDEX($P$51:$P$62,IF(MOD($A$2,12)=0,12,MOD($A$2,12)))=R324,R324,NA())</f>
        <v>#N/A</v>
      </c>
    </row>
    <row r="325" spans="14:19" x14ac:dyDescent="0.25">
      <c r="N325" s="17"/>
      <c r="Q325">
        <v>275</v>
      </c>
      <c r="R325">
        <f t="shared" ref="R325:R350" si="104">$P$60</f>
        <v>74</v>
      </c>
      <c r="S325" t="e" cm="1">
        <f t="array" ref="S325">IF(INDEX($P$51:$P$62,IF(MOD($A$2,12)=0,12,MOD($A$2,12)))=R325,R325,NA())</f>
        <v>#N/A</v>
      </c>
    </row>
    <row r="326" spans="14:19" x14ac:dyDescent="0.25">
      <c r="N326" s="17"/>
      <c r="Q326">
        <v>276</v>
      </c>
      <c r="R326">
        <f t="shared" si="104"/>
        <v>74</v>
      </c>
      <c r="S326" t="e" cm="1">
        <f t="array" ref="S326">IF(INDEX($P$51:$P$62,IF(MOD($A$2,12)=0,12,MOD($A$2,12)))=R326,R326,NA())</f>
        <v>#N/A</v>
      </c>
    </row>
    <row r="327" spans="14:19" x14ac:dyDescent="0.25">
      <c r="N327" s="17"/>
      <c r="Q327">
        <v>277</v>
      </c>
      <c r="R327">
        <f t="shared" si="104"/>
        <v>74</v>
      </c>
      <c r="S327" t="e" cm="1">
        <f t="array" ref="S327">IF(INDEX($P$51:$P$62,IF(MOD($A$2,12)=0,12,MOD($A$2,12)))=R327,R327,NA())</f>
        <v>#N/A</v>
      </c>
    </row>
    <row r="328" spans="14:19" x14ac:dyDescent="0.25">
      <c r="N328" s="17"/>
      <c r="Q328">
        <v>278</v>
      </c>
      <c r="R328">
        <f t="shared" si="104"/>
        <v>74</v>
      </c>
      <c r="S328" t="e" cm="1">
        <f t="array" ref="S328">IF(INDEX($P$51:$P$62,IF(MOD($A$2,12)=0,12,MOD($A$2,12)))=R328,R328,NA())</f>
        <v>#N/A</v>
      </c>
    </row>
    <row r="329" spans="14:19" x14ac:dyDescent="0.25">
      <c r="N329" s="17"/>
      <c r="Q329">
        <v>279</v>
      </c>
      <c r="R329">
        <f t="shared" si="104"/>
        <v>74</v>
      </c>
      <c r="S329" t="e" cm="1">
        <f t="array" ref="S329">IF(INDEX($P$51:$P$62,IF(MOD($A$2,12)=0,12,MOD($A$2,12)))=R329,R329,NA())</f>
        <v>#N/A</v>
      </c>
    </row>
    <row r="330" spans="14:19" x14ac:dyDescent="0.25">
      <c r="N330" s="17"/>
      <c r="Q330">
        <v>280</v>
      </c>
      <c r="R330">
        <f t="shared" si="104"/>
        <v>74</v>
      </c>
      <c r="S330" t="e" cm="1">
        <f t="array" ref="S330">IF(INDEX($P$51:$P$62,IF(MOD($A$2,12)=0,12,MOD($A$2,12)))=R330,R330,NA())</f>
        <v>#N/A</v>
      </c>
    </row>
    <row r="331" spans="14:19" x14ac:dyDescent="0.25">
      <c r="N331" s="17"/>
      <c r="Q331">
        <v>281</v>
      </c>
      <c r="R331">
        <f t="shared" si="104"/>
        <v>74</v>
      </c>
      <c r="S331" t="e" cm="1">
        <f t="array" ref="S331">IF(INDEX($P$51:$P$62,IF(MOD($A$2,12)=0,12,MOD($A$2,12)))=R331,R331,NA())</f>
        <v>#N/A</v>
      </c>
    </row>
    <row r="332" spans="14:19" x14ac:dyDescent="0.25">
      <c r="N332" s="17"/>
      <c r="Q332">
        <v>282</v>
      </c>
      <c r="R332">
        <f t="shared" si="104"/>
        <v>74</v>
      </c>
      <c r="S332" t="e" cm="1">
        <f t="array" ref="S332">IF(INDEX($P$51:$P$62,IF(MOD($A$2,12)=0,12,MOD($A$2,12)))=R332,R332,NA())</f>
        <v>#N/A</v>
      </c>
    </row>
    <row r="333" spans="14:19" x14ac:dyDescent="0.25">
      <c r="N333" s="17"/>
      <c r="Q333">
        <v>283</v>
      </c>
      <c r="R333">
        <f t="shared" si="104"/>
        <v>74</v>
      </c>
      <c r="S333" t="e" cm="1">
        <f t="array" ref="S333">IF(INDEX($P$51:$P$62,IF(MOD($A$2,12)=0,12,MOD($A$2,12)))=R333,R333,NA())</f>
        <v>#N/A</v>
      </c>
    </row>
    <row r="334" spans="14:19" x14ac:dyDescent="0.25">
      <c r="N334" s="17"/>
      <c r="Q334">
        <v>284</v>
      </c>
      <c r="R334">
        <f t="shared" si="104"/>
        <v>74</v>
      </c>
      <c r="S334" t="e" cm="1">
        <f t="array" ref="S334">IF(INDEX($P$51:$P$62,IF(MOD($A$2,12)=0,12,MOD($A$2,12)))=R334,R334,NA())</f>
        <v>#N/A</v>
      </c>
    </row>
    <row r="335" spans="14:19" x14ac:dyDescent="0.25">
      <c r="N335" s="17"/>
      <c r="Q335">
        <v>285</v>
      </c>
      <c r="R335">
        <f t="shared" si="104"/>
        <v>74</v>
      </c>
      <c r="S335" t="e" cm="1">
        <f t="array" ref="S335">IF(INDEX($P$51:$P$62,IF(MOD($A$2,12)=0,12,MOD($A$2,12)))=R335,R335,NA())</f>
        <v>#N/A</v>
      </c>
    </row>
    <row r="336" spans="14:19" x14ac:dyDescent="0.25">
      <c r="N336" s="17"/>
      <c r="Q336">
        <v>286</v>
      </c>
      <c r="R336">
        <f t="shared" si="104"/>
        <v>74</v>
      </c>
      <c r="S336" t="e" cm="1">
        <f t="array" ref="S336">IF(INDEX($P$51:$P$62,IF(MOD($A$2,12)=0,12,MOD($A$2,12)))=R336,R336,NA())</f>
        <v>#N/A</v>
      </c>
    </row>
    <row r="337" spans="14:19" x14ac:dyDescent="0.25">
      <c r="N337" s="17"/>
      <c r="Q337">
        <v>287</v>
      </c>
      <c r="R337">
        <f t="shared" si="104"/>
        <v>74</v>
      </c>
      <c r="S337" t="e" cm="1">
        <f t="array" ref="S337">IF(INDEX($P$51:$P$62,IF(MOD($A$2,12)=0,12,MOD($A$2,12)))=R337,R337,NA())</f>
        <v>#N/A</v>
      </c>
    </row>
    <row r="338" spans="14:19" x14ac:dyDescent="0.25">
      <c r="N338" s="17"/>
      <c r="Q338">
        <v>288</v>
      </c>
      <c r="R338">
        <f t="shared" si="104"/>
        <v>74</v>
      </c>
      <c r="S338" t="e" cm="1">
        <f t="array" ref="S338">IF(INDEX($P$51:$P$62,IF(MOD($A$2,12)=0,12,MOD($A$2,12)))=R338,R338,NA())</f>
        <v>#N/A</v>
      </c>
    </row>
    <row r="339" spans="14:19" x14ac:dyDescent="0.25">
      <c r="N339" s="17"/>
      <c r="Q339">
        <v>289</v>
      </c>
      <c r="R339">
        <f t="shared" si="104"/>
        <v>74</v>
      </c>
      <c r="S339" t="e" cm="1">
        <f t="array" ref="S339">IF(INDEX($P$51:$P$62,IF(MOD($A$2,12)=0,12,MOD($A$2,12)))=R339,R339,NA())</f>
        <v>#N/A</v>
      </c>
    </row>
    <row r="340" spans="14:19" x14ac:dyDescent="0.25">
      <c r="N340" s="17"/>
      <c r="Q340">
        <v>290</v>
      </c>
      <c r="R340">
        <f t="shared" si="104"/>
        <v>74</v>
      </c>
      <c r="S340" t="e" cm="1">
        <f t="array" ref="S340">IF(INDEX($P$51:$P$62,IF(MOD($A$2,12)=0,12,MOD($A$2,12)))=R340,R340,NA())</f>
        <v>#N/A</v>
      </c>
    </row>
    <row r="341" spans="14:19" x14ac:dyDescent="0.25">
      <c r="N341" s="17"/>
      <c r="Q341">
        <v>291</v>
      </c>
      <c r="R341">
        <f t="shared" si="104"/>
        <v>74</v>
      </c>
      <c r="S341" t="e" cm="1">
        <f t="array" ref="S341">IF(INDEX($P$51:$P$62,IF(MOD($A$2,12)=0,12,MOD($A$2,12)))=R341,R341,NA())</f>
        <v>#N/A</v>
      </c>
    </row>
    <row r="342" spans="14:19" x14ac:dyDescent="0.25">
      <c r="N342" s="17"/>
      <c r="Q342">
        <v>292</v>
      </c>
      <c r="R342">
        <f t="shared" si="104"/>
        <v>74</v>
      </c>
      <c r="S342" t="e" cm="1">
        <f t="array" ref="S342">IF(INDEX($P$51:$P$62,IF(MOD($A$2,12)=0,12,MOD($A$2,12)))=R342,R342,NA())</f>
        <v>#N/A</v>
      </c>
    </row>
    <row r="343" spans="14:19" x14ac:dyDescent="0.25">
      <c r="N343" s="17"/>
      <c r="Q343">
        <v>293</v>
      </c>
      <c r="R343">
        <f t="shared" si="104"/>
        <v>74</v>
      </c>
      <c r="S343" t="e" cm="1">
        <f t="array" ref="S343">IF(INDEX($P$51:$P$62,IF(MOD($A$2,12)=0,12,MOD($A$2,12)))=R343,R343,NA())</f>
        <v>#N/A</v>
      </c>
    </row>
    <row r="344" spans="14:19" x14ac:dyDescent="0.25">
      <c r="N344" s="17"/>
      <c r="Q344">
        <v>294</v>
      </c>
      <c r="R344">
        <f t="shared" si="104"/>
        <v>74</v>
      </c>
      <c r="S344" t="e" cm="1">
        <f t="array" ref="S344">IF(INDEX($P$51:$P$62,IF(MOD($A$2,12)=0,12,MOD($A$2,12)))=R344,R344,NA())</f>
        <v>#N/A</v>
      </c>
    </row>
    <row r="345" spans="14:19" x14ac:dyDescent="0.25">
      <c r="N345" s="17"/>
      <c r="Q345">
        <v>295</v>
      </c>
      <c r="R345">
        <f t="shared" si="104"/>
        <v>74</v>
      </c>
      <c r="S345" t="e" cm="1">
        <f t="array" ref="S345">IF(INDEX($P$51:$P$62,IF(MOD($A$2,12)=0,12,MOD($A$2,12)))=R345,R345,NA())</f>
        <v>#N/A</v>
      </c>
    </row>
    <row r="346" spans="14:19" x14ac:dyDescent="0.25">
      <c r="N346" s="17"/>
      <c r="Q346">
        <v>296</v>
      </c>
      <c r="R346">
        <f t="shared" si="104"/>
        <v>74</v>
      </c>
      <c r="S346" t="e" cm="1">
        <f t="array" ref="S346">IF(INDEX($P$51:$P$62,IF(MOD($A$2,12)=0,12,MOD($A$2,12)))=R346,R346,NA())</f>
        <v>#N/A</v>
      </c>
    </row>
    <row r="347" spans="14:19" x14ac:dyDescent="0.25">
      <c r="N347" s="17"/>
      <c r="Q347">
        <v>297</v>
      </c>
      <c r="R347">
        <f t="shared" si="104"/>
        <v>74</v>
      </c>
      <c r="S347" t="e" cm="1">
        <f t="array" ref="S347">IF(INDEX($P$51:$P$62,IF(MOD($A$2,12)=0,12,MOD($A$2,12)))=R347,R347,NA())</f>
        <v>#N/A</v>
      </c>
    </row>
    <row r="348" spans="14:19" x14ac:dyDescent="0.25">
      <c r="N348" s="17"/>
      <c r="Q348">
        <v>298</v>
      </c>
      <c r="R348">
        <f t="shared" si="104"/>
        <v>74</v>
      </c>
      <c r="S348" t="e" cm="1">
        <f t="array" ref="S348">IF(INDEX($P$51:$P$62,IF(MOD($A$2,12)=0,12,MOD($A$2,12)))=R348,R348,NA())</f>
        <v>#N/A</v>
      </c>
    </row>
    <row r="349" spans="14:19" x14ac:dyDescent="0.25">
      <c r="N349" s="17"/>
      <c r="Q349">
        <v>299</v>
      </c>
      <c r="R349">
        <f t="shared" si="104"/>
        <v>74</v>
      </c>
      <c r="S349" t="e" cm="1">
        <f t="array" ref="S349">IF(INDEX($P$51:$P$62,IF(MOD($A$2,12)=0,12,MOD($A$2,12)))=R349,R349,NA())</f>
        <v>#N/A</v>
      </c>
    </row>
    <row r="350" spans="14:19" x14ac:dyDescent="0.25">
      <c r="N350" s="17"/>
      <c r="Q350">
        <v>300</v>
      </c>
      <c r="R350">
        <f t="shared" si="104"/>
        <v>74</v>
      </c>
      <c r="S350" t="e" cm="1">
        <f t="array" ref="S350">IF(INDEX($P$51:$P$62,IF(MOD($A$2,12)=0,12,MOD($A$2,12)))=R350,R350,NA())</f>
        <v>#N/A</v>
      </c>
    </row>
    <row r="351" spans="14:19" x14ac:dyDescent="0.25">
      <c r="N351" s="17"/>
      <c r="Q351">
        <v>301</v>
      </c>
      <c r="R351">
        <v>0</v>
      </c>
      <c r="S351" t="e" cm="1">
        <f t="array" ref="S351">IF(INDEX($P$51:$P$62,IF(MOD($A$2,12)=0,12,MOD($A$2,12)))=R351,R351,NA())</f>
        <v>#N/A</v>
      </c>
    </row>
    <row r="352" spans="14:19" x14ac:dyDescent="0.25">
      <c r="N352" s="17"/>
      <c r="Q352">
        <v>302</v>
      </c>
      <c r="R352">
        <v>0</v>
      </c>
      <c r="S352" t="e" cm="1">
        <f t="array" ref="S352">IF(INDEX($P$51:$P$62,IF(MOD($A$2,12)=0,12,MOD($A$2,12)))=R352,R352,NA())</f>
        <v>#N/A</v>
      </c>
    </row>
    <row r="353" spans="14:19" x14ac:dyDescent="0.25">
      <c r="N353" s="17"/>
      <c r="Q353">
        <v>303</v>
      </c>
      <c r="R353">
        <v>0</v>
      </c>
      <c r="S353" t="e" cm="1">
        <f t="array" ref="S353">IF(INDEX($P$51:$P$62,IF(MOD($A$2,12)=0,12,MOD($A$2,12)))=R353,R353,NA())</f>
        <v>#N/A</v>
      </c>
    </row>
    <row r="354" spans="14:19" x14ac:dyDescent="0.25">
      <c r="N354" s="17"/>
      <c r="Q354">
        <v>304</v>
      </c>
      <c r="R354">
        <f>$P$61</f>
        <v>72</v>
      </c>
      <c r="S354" t="e" cm="1">
        <f t="array" ref="S354">IF(INDEX($P$51:$P$62,IF(MOD($A$2,12)=0,12,MOD($A$2,12)))=R354,R354,NA())</f>
        <v>#N/A</v>
      </c>
    </row>
    <row r="355" spans="14:19" x14ac:dyDescent="0.25">
      <c r="N355" s="17"/>
      <c r="Q355">
        <v>305</v>
      </c>
      <c r="R355">
        <f t="shared" ref="R355:R380" si="105">$P$61</f>
        <v>72</v>
      </c>
      <c r="S355" t="e" cm="1">
        <f t="array" ref="S355">IF(INDEX($P$51:$P$62,IF(MOD($A$2,12)=0,12,MOD($A$2,12)))=R355,R355,NA())</f>
        <v>#N/A</v>
      </c>
    </row>
    <row r="356" spans="14:19" x14ac:dyDescent="0.25">
      <c r="N356" s="17"/>
      <c r="Q356">
        <v>306</v>
      </c>
      <c r="R356">
        <f t="shared" si="105"/>
        <v>72</v>
      </c>
      <c r="S356" t="e" cm="1">
        <f t="array" ref="S356">IF(INDEX($P$51:$P$62,IF(MOD($A$2,12)=0,12,MOD($A$2,12)))=R356,R356,NA())</f>
        <v>#N/A</v>
      </c>
    </row>
    <row r="357" spans="14:19" x14ac:dyDescent="0.25">
      <c r="N357" s="17"/>
      <c r="Q357">
        <v>307</v>
      </c>
      <c r="R357">
        <f t="shared" si="105"/>
        <v>72</v>
      </c>
      <c r="S357" t="e" cm="1">
        <f t="array" ref="S357">IF(INDEX($P$51:$P$62,IF(MOD($A$2,12)=0,12,MOD($A$2,12)))=R357,R357,NA())</f>
        <v>#N/A</v>
      </c>
    </row>
    <row r="358" spans="14:19" x14ac:dyDescent="0.25">
      <c r="N358" s="17"/>
      <c r="Q358">
        <v>308</v>
      </c>
      <c r="R358">
        <f t="shared" si="105"/>
        <v>72</v>
      </c>
      <c r="S358" t="e" cm="1">
        <f t="array" ref="S358">IF(INDEX($P$51:$P$62,IF(MOD($A$2,12)=0,12,MOD($A$2,12)))=R358,R358,NA())</f>
        <v>#N/A</v>
      </c>
    </row>
    <row r="359" spans="14:19" x14ac:dyDescent="0.25">
      <c r="N359" s="17"/>
      <c r="Q359">
        <v>309</v>
      </c>
      <c r="R359">
        <f t="shared" si="105"/>
        <v>72</v>
      </c>
      <c r="S359" t="e" cm="1">
        <f t="array" ref="S359">IF(INDEX($P$51:$P$62,IF(MOD($A$2,12)=0,12,MOD($A$2,12)))=R359,R359,NA())</f>
        <v>#N/A</v>
      </c>
    </row>
    <row r="360" spans="14:19" x14ac:dyDescent="0.25">
      <c r="N360" s="17"/>
      <c r="Q360">
        <v>310</v>
      </c>
      <c r="R360">
        <f t="shared" si="105"/>
        <v>72</v>
      </c>
      <c r="S360" t="e" cm="1">
        <f t="array" ref="S360">IF(INDEX($P$51:$P$62,IF(MOD($A$2,12)=0,12,MOD($A$2,12)))=R360,R360,NA())</f>
        <v>#N/A</v>
      </c>
    </row>
    <row r="361" spans="14:19" x14ac:dyDescent="0.25">
      <c r="N361" s="17"/>
      <c r="Q361">
        <v>311</v>
      </c>
      <c r="R361">
        <f t="shared" si="105"/>
        <v>72</v>
      </c>
      <c r="S361" t="e" cm="1">
        <f t="array" ref="S361">IF(INDEX($P$51:$P$62,IF(MOD($A$2,12)=0,12,MOD($A$2,12)))=R361,R361,NA())</f>
        <v>#N/A</v>
      </c>
    </row>
    <row r="362" spans="14:19" x14ac:dyDescent="0.25">
      <c r="N362" s="17"/>
      <c r="Q362">
        <v>312</v>
      </c>
      <c r="R362">
        <f t="shared" si="105"/>
        <v>72</v>
      </c>
      <c r="S362" t="e" cm="1">
        <f t="array" ref="S362">IF(INDEX($P$51:$P$62,IF(MOD($A$2,12)=0,12,MOD($A$2,12)))=R362,R362,NA())</f>
        <v>#N/A</v>
      </c>
    </row>
    <row r="363" spans="14:19" x14ac:dyDescent="0.25">
      <c r="N363" s="17"/>
      <c r="Q363">
        <v>313</v>
      </c>
      <c r="R363">
        <f t="shared" si="105"/>
        <v>72</v>
      </c>
      <c r="S363" t="e" cm="1">
        <f t="array" ref="S363">IF(INDEX($P$51:$P$62,IF(MOD($A$2,12)=0,12,MOD($A$2,12)))=R363,R363,NA())</f>
        <v>#N/A</v>
      </c>
    </row>
    <row r="364" spans="14:19" x14ac:dyDescent="0.25">
      <c r="N364" s="17"/>
      <c r="Q364">
        <v>314</v>
      </c>
      <c r="R364">
        <f t="shared" si="105"/>
        <v>72</v>
      </c>
      <c r="S364" t="e" cm="1">
        <f t="array" ref="S364">IF(INDEX($P$51:$P$62,IF(MOD($A$2,12)=0,12,MOD($A$2,12)))=R364,R364,NA())</f>
        <v>#N/A</v>
      </c>
    </row>
    <row r="365" spans="14:19" x14ac:dyDescent="0.25">
      <c r="N365" s="17"/>
      <c r="Q365">
        <v>315</v>
      </c>
      <c r="R365">
        <f t="shared" si="105"/>
        <v>72</v>
      </c>
      <c r="S365" t="e" cm="1">
        <f t="array" ref="S365">IF(INDEX($P$51:$P$62,IF(MOD($A$2,12)=0,12,MOD($A$2,12)))=R365,R365,NA())</f>
        <v>#N/A</v>
      </c>
    </row>
    <row r="366" spans="14:19" x14ac:dyDescent="0.25">
      <c r="N366" s="17"/>
      <c r="Q366">
        <v>316</v>
      </c>
      <c r="R366">
        <f t="shared" si="105"/>
        <v>72</v>
      </c>
      <c r="S366" t="e" cm="1">
        <f t="array" ref="S366">IF(INDEX($P$51:$P$62,IF(MOD($A$2,12)=0,12,MOD($A$2,12)))=R366,R366,NA())</f>
        <v>#N/A</v>
      </c>
    </row>
    <row r="367" spans="14:19" x14ac:dyDescent="0.25">
      <c r="N367" s="17"/>
      <c r="Q367">
        <v>317</v>
      </c>
      <c r="R367">
        <f t="shared" si="105"/>
        <v>72</v>
      </c>
      <c r="S367" t="e" cm="1">
        <f t="array" ref="S367">IF(INDEX($P$51:$P$62,IF(MOD($A$2,12)=0,12,MOD($A$2,12)))=R367,R367,NA())</f>
        <v>#N/A</v>
      </c>
    </row>
    <row r="368" spans="14:19" x14ac:dyDescent="0.25">
      <c r="N368" s="17"/>
      <c r="Q368">
        <v>318</v>
      </c>
      <c r="R368">
        <f t="shared" si="105"/>
        <v>72</v>
      </c>
      <c r="S368" t="e" cm="1">
        <f t="array" ref="S368">IF(INDEX($P$51:$P$62,IF(MOD($A$2,12)=0,12,MOD($A$2,12)))=R368,R368,NA())</f>
        <v>#N/A</v>
      </c>
    </row>
    <row r="369" spans="14:19" x14ac:dyDescent="0.25">
      <c r="N369" s="17"/>
      <c r="Q369">
        <v>319</v>
      </c>
      <c r="R369">
        <f t="shared" si="105"/>
        <v>72</v>
      </c>
      <c r="S369" t="e" cm="1">
        <f t="array" ref="S369">IF(INDEX($P$51:$P$62,IF(MOD($A$2,12)=0,12,MOD($A$2,12)))=R369,R369,NA())</f>
        <v>#N/A</v>
      </c>
    </row>
    <row r="370" spans="14:19" x14ac:dyDescent="0.25">
      <c r="N370" s="17"/>
      <c r="Q370">
        <v>320</v>
      </c>
      <c r="R370">
        <f t="shared" si="105"/>
        <v>72</v>
      </c>
      <c r="S370" t="e" cm="1">
        <f t="array" ref="S370">IF(INDEX($P$51:$P$62,IF(MOD($A$2,12)=0,12,MOD($A$2,12)))=R370,R370,NA())</f>
        <v>#N/A</v>
      </c>
    </row>
    <row r="371" spans="14:19" x14ac:dyDescent="0.25">
      <c r="N371" s="17"/>
      <c r="Q371">
        <v>321</v>
      </c>
      <c r="R371">
        <f t="shared" si="105"/>
        <v>72</v>
      </c>
      <c r="S371" t="e" cm="1">
        <f t="array" ref="S371">IF(INDEX($P$51:$P$62,IF(MOD($A$2,12)=0,12,MOD($A$2,12)))=R371,R371,NA())</f>
        <v>#N/A</v>
      </c>
    </row>
    <row r="372" spans="14:19" x14ac:dyDescent="0.25">
      <c r="N372" s="17"/>
      <c r="Q372">
        <v>322</v>
      </c>
      <c r="R372">
        <f t="shared" si="105"/>
        <v>72</v>
      </c>
      <c r="S372" t="e" cm="1">
        <f t="array" ref="S372">IF(INDEX($P$51:$P$62,IF(MOD($A$2,12)=0,12,MOD($A$2,12)))=R372,R372,NA())</f>
        <v>#N/A</v>
      </c>
    </row>
    <row r="373" spans="14:19" x14ac:dyDescent="0.25">
      <c r="N373" s="17"/>
      <c r="Q373">
        <v>323</v>
      </c>
      <c r="R373">
        <f t="shared" si="105"/>
        <v>72</v>
      </c>
      <c r="S373" t="e" cm="1">
        <f t="array" ref="S373">IF(INDEX($P$51:$P$62,IF(MOD($A$2,12)=0,12,MOD($A$2,12)))=R373,R373,NA())</f>
        <v>#N/A</v>
      </c>
    </row>
    <row r="374" spans="14:19" x14ac:dyDescent="0.25">
      <c r="N374" s="17"/>
      <c r="Q374">
        <v>324</v>
      </c>
      <c r="R374">
        <f t="shared" si="105"/>
        <v>72</v>
      </c>
      <c r="S374" t="e" cm="1">
        <f t="array" ref="S374">IF(INDEX($P$51:$P$62,IF(MOD($A$2,12)=0,12,MOD($A$2,12)))=R374,R374,NA())</f>
        <v>#N/A</v>
      </c>
    </row>
    <row r="375" spans="14:19" x14ac:dyDescent="0.25">
      <c r="N375" s="17"/>
      <c r="Q375">
        <v>325</v>
      </c>
      <c r="R375">
        <f t="shared" si="105"/>
        <v>72</v>
      </c>
      <c r="S375" t="e" cm="1">
        <f t="array" ref="S375">IF(INDEX($P$51:$P$62,IF(MOD($A$2,12)=0,12,MOD($A$2,12)))=R375,R375,NA())</f>
        <v>#N/A</v>
      </c>
    </row>
    <row r="376" spans="14:19" x14ac:dyDescent="0.25">
      <c r="N376" s="17"/>
      <c r="Q376">
        <v>326</v>
      </c>
      <c r="R376">
        <f t="shared" si="105"/>
        <v>72</v>
      </c>
      <c r="S376" t="e" cm="1">
        <f t="array" ref="S376">IF(INDEX($P$51:$P$62,IF(MOD($A$2,12)=0,12,MOD($A$2,12)))=R376,R376,NA())</f>
        <v>#N/A</v>
      </c>
    </row>
    <row r="377" spans="14:19" x14ac:dyDescent="0.25">
      <c r="N377" s="17"/>
      <c r="Q377">
        <v>327</v>
      </c>
      <c r="R377">
        <f t="shared" si="105"/>
        <v>72</v>
      </c>
      <c r="S377" t="e" cm="1">
        <f t="array" ref="S377">IF(INDEX($P$51:$P$62,IF(MOD($A$2,12)=0,12,MOD($A$2,12)))=R377,R377,NA())</f>
        <v>#N/A</v>
      </c>
    </row>
    <row r="378" spans="14:19" x14ac:dyDescent="0.25">
      <c r="N378" s="17"/>
      <c r="Q378">
        <v>328</v>
      </c>
      <c r="R378">
        <f t="shared" si="105"/>
        <v>72</v>
      </c>
      <c r="S378" t="e" cm="1">
        <f t="array" ref="S378">IF(INDEX($P$51:$P$62,IF(MOD($A$2,12)=0,12,MOD($A$2,12)))=R378,R378,NA())</f>
        <v>#N/A</v>
      </c>
    </row>
    <row r="379" spans="14:19" x14ac:dyDescent="0.25">
      <c r="N379" s="17"/>
      <c r="Q379">
        <v>329</v>
      </c>
      <c r="R379">
        <f t="shared" si="105"/>
        <v>72</v>
      </c>
      <c r="S379" t="e" cm="1">
        <f t="array" ref="S379">IF(INDEX($P$51:$P$62,IF(MOD($A$2,12)=0,12,MOD($A$2,12)))=R379,R379,NA())</f>
        <v>#N/A</v>
      </c>
    </row>
    <row r="380" spans="14:19" x14ac:dyDescent="0.25">
      <c r="N380" s="17"/>
      <c r="Q380">
        <v>330</v>
      </c>
      <c r="R380">
        <f t="shared" si="105"/>
        <v>72</v>
      </c>
      <c r="S380" t="e" cm="1">
        <f t="array" ref="S380">IF(INDEX($P$51:$P$62,IF(MOD($A$2,12)=0,12,MOD($A$2,12)))=R380,R380,NA())</f>
        <v>#N/A</v>
      </c>
    </row>
    <row r="381" spans="14:19" x14ac:dyDescent="0.25">
      <c r="N381" s="17"/>
      <c r="Q381">
        <v>331</v>
      </c>
      <c r="R381">
        <v>0</v>
      </c>
      <c r="S381" t="e" cm="1">
        <f t="array" ref="S381">IF(INDEX($P$51:$P$62,IF(MOD($A$2,12)=0,12,MOD($A$2,12)))=R381,R381,NA())</f>
        <v>#N/A</v>
      </c>
    </row>
    <row r="382" spans="14:19" x14ac:dyDescent="0.25">
      <c r="N382" s="17"/>
      <c r="Q382">
        <v>332</v>
      </c>
      <c r="R382">
        <v>0</v>
      </c>
      <c r="S382" t="e" cm="1">
        <f t="array" ref="S382">IF(INDEX($P$51:$P$62,IF(MOD($A$2,12)=0,12,MOD($A$2,12)))=R382,R382,NA())</f>
        <v>#N/A</v>
      </c>
    </row>
    <row r="383" spans="14:19" x14ac:dyDescent="0.25">
      <c r="N383" s="17"/>
      <c r="Q383">
        <v>333</v>
      </c>
      <c r="R383">
        <v>0</v>
      </c>
      <c r="S383" t="e" cm="1">
        <f t="array" ref="S383">IF(INDEX($P$51:$P$62,IF(MOD($A$2,12)=0,12,MOD($A$2,12)))=R383,R383,NA())</f>
        <v>#N/A</v>
      </c>
    </row>
    <row r="384" spans="14:19" x14ac:dyDescent="0.25">
      <c r="N384" s="17"/>
      <c r="Q384">
        <v>334</v>
      </c>
      <c r="R384">
        <f>$Q$62</f>
        <v>12</v>
      </c>
      <c r="S384" t="e" cm="1">
        <f t="array" ref="S384">IF(INDEX($P$51:$P$62,IF(MOD($A$2,12)=0,12,MOD($A$2,12)))=R384,R384,NA())</f>
        <v>#N/A</v>
      </c>
    </row>
    <row r="385" spans="14:19" x14ac:dyDescent="0.25">
      <c r="N385" s="17"/>
      <c r="Q385">
        <v>335</v>
      </c>
      <c r="R385">
        <f t="shared" ref="R385:R410" si="106">$Q$62</f>
        <v>12</v>
      </c>
      <c r="S385" t="e" cm="1">
        <f t="array" ref="S385">IF(INDEX($P$51:$P$62,IF(MOD($A$2,12)=0,12,MOD($A$2,12)))=R385,R385,NA())</f>
        <v>#N/A</v>
      </c>
    </row>
    <row r="386" spans="14:19" x14ac:dyDescent="0.25">
      <c r="N386" s="17"/>
      <c r="Q386">
        <v>336</v>
      </c>
      <c r="R386">
        <f t="shared" si="106"/>
        <v>12</v>
      </c>
      <c r="S386" t="e" cm="1">
        <f t="array" ref="S386">IF(INDEX($P$51:$P$62,IF(MOD($A$2,12)=0,12,MOD($A$2,12)))=R386,R386,NA())</f>
        <v>#N/A</v>
      </c>
    </row>
    <row r="387" spans="14:19" x14ac:dyDescent="0.25">
      <c r="N387" s="17"/>
      <c r="Q387">
        <v>337</v>
      </c>
      <c r="R387">
        <f t="shared" si="106"/>
        <v>12</v>
      </c>
      <c r="S387" t="e" cm="1">
        <f t="array" ref="S387">IF(INDEX($P$51:$P$62,IF(MOD($A$2,12)=0,12,MOD($A$2,12)))=R387,R387,NA())</f>
        <v>#N/A</v>
      </c>
    </row>
    <row r="388" spans="14:19" x14ac:dyDescent="0.25">
      <c r="N388" s="17"/>
      <c r="Q388">
        <v>338</v>
      </c>
      <c r="R388">
        <f t="shared" si="106"/>
        <v>12</v>
      </c>
      <c r="S388" t="e" cm="1">
        <f t="array" ref="S388">IF(INDEX($P$51:$P$62,IF(MOD($A$2,12)=0,12,MOD($A$2,12)))=R388,R388,NA())</f>
        <v>#N/A</v>
      </c>
    </row>
    <row r="389" spans="14:19" x14ac:dyDescent="0.25">
      <c r="N389" s="17"/>
      <c r="Q389">
        <v>339</v>
      </c>
      <c r="R389">
        <f t="shared" si="106"/>
        <v>12</v>
      </c>
      <c r="S389" t="e" cm="1">
        <f t="array" ref="S389">IF(INDEX($P$51:$P$62,IF(MOD($A$2,12)=0,12,MOD($A$2,12)))=R389,R389,NA())</f>
        <v>#N/A</v>
      </c>
    </row>
    <row r="390" spans="14:19" x14ac:dyDescent="0.25">
      <c r="N390" s="17"/>
      <c r="Q390">
        <v>340</v>
      </c>
      <c r="R390">
        <f t="shared" si="106"/>
        <v>12</v>
      </c>
      <c r="S390" t="e" cm="1">
        <f t="array" ref="S390">IF(INDEX($P$51:$P$62,IF(MOD($A$2,12)=0,12,MOD($A$2,12)))=R390,R390,NA())</f>
        <v>#N/A</v>
      </c>
    </row>
    <row r="391" spans="14:19" x14ac:dyDescent="0.25">
      <c r="N391" s="17"/>
      <c r="Q391">
        <v>341</v>
      </c>
      <c r="R391">
        <f t="shared" si="106"/>
        <v>12</v>
      </c>
      <c r="S391" t="e" cm="1">
        <f t="array" ref="S391">IF(INDEX($P$51:$P$62,IF(MOD($A$2,12)=0,12,MOD($A$2,12)))=R391,R391,NA())</f>
        <v>#N/A</v>
      </c>
    </row>
    <row r="392" spans="14:19" x14ac:dyDescent="0.25">
      <c r="N392" s="17"/>
      <c r="Q392">
        <v>342</v>
      </c>
      <c r="R392">
        <f t="shared" si="106"/>
        <v>12</v>
      </c>
      <c r="S392" t="e" cm="1">
        <f t="array" ref="S392">IF(INDEX($P$51:$P$62,IF(MOD($A$2,12)=0,12,MOD($A$2,12)))=R392,R392,NA())</f>
        <v>#N/A</v>
      </c>
    </row>
    <row r="393" spans="14:19" x14ac:dyDescent="0.25">
      <c r="N393" s="17"/>
      <c r="Q393">
        <v>343</v>
      </c>
      <c r="R393">
        <f t="shared" si="106"/>
        <v>12</v>
      </c>
      <c r="S393" t="e" cm="1">
        <f t="array" ref="S393">IF(INDEX($P$51:$P$62,IF(MOD($A$2,12)=0,12,MOD($A$2,12)))=R393,R393,NA())</f>
        <v>#N/A</v>
      </c>
    </row>
    <row r="394" spans="14:19" x14ac:dyDescent="0.25">
      <c r="N394" s="17"/>
      <c r="Q394">
        <v>344</v>
      </c>
      <c r="R394">
        <f t="shared" si="106"/>
        <v>12</v>
      </c>
      <c r="S394" t="e" cm="1">
        <f t="array" ref="S394">IF(INDEX($P$51:$P$62,IF(MOD($A$2,12)=0,12,MOD($A$2,12)))=R394,R394,NA())</f>
        <v>#N/A</v>
      </c>
    </row>
    <row r="395" spans="14:19" x14ac:dyDescent="0.25">
      <c r="N395" s="17"/>
      <c r="Q395">
        <v>345</v>
      </c>
      <c r="R395">
        <f t="shared" si="106"/>
        <v>12</v>
      </c>
      <c r="S395" t="e" cm="1">
        <f t="array" ref="S395">IF(INDEX($P$51:$P$62,IF(MOD($A$2,12)=0,12,MOD($A$2,12)))=R395,R395,NA())</f>
        <v>#N/A</v>
      </c>
    </row>
    <row r="396" spans="14:19" x14ac:dyDescent="0.25">
      <c r="N396" s="17"/>
      <c r="Q396">
        <v>346</v>
      </c>
      <c r="R396">
        <f t="shared" si="106"/>
        <v>12</v>
      </c>
      <c r="S396" t="e" cm="1">
        <f t="array" ref="S396">IF(INDEX($P$51:$P$62,IF(MOD($A$2,12)=0,12,MOD($A$2,12)))=R396,R396,NA())</f>
        <v>#N/A</v>
      </c>
    </row>
    <row r="397" spans="14:19" x14ac:dyDescent="0.25">
      <c r="N397" s="17"/>
      <c r="Q397">
        <v>347</v>
      </c>
      <c r="R397">
        <f t="shared" si="106"/>
        <v>12</v>
      </c>
      <c r="S397" t="e" cm="1">
        <f t="array" ref="S397">IF(INDEX($P$51:$P$62,IF(MOD($A$2,12)=0,12,MOD($A$2,12)))=R397,R397,NA())</f>
        <v>#N/A</v>
      </c>
    </row>
    <row r="398" spans="14:19" x14ac:dyDescent="0.25">
      <c r="N398" s="17"/>
      <c r="Q398">
        <v>348</v>
      </c>
      <c r="R398">
        <f t="shared" si="106"/>
        <v>12</v>
      </c>
      <c r="S398" t="e" cm="1">
        <f t="array" ref="S398">IF(INDEX($P$51:$P$62,IF(MOD($A$2,12)=0,12,MOD($A$2,12)))=R398,R398,NA())</f>
        <v>#N/A</v>
      </c>
    </row>
    <row r="399" spans="14:19" x14ac:dyDescent="0.25">
      <c r="N399" s="17"/>
      <c r="Q399">
        <v>349</v>
      </c>
      <c r="R399">
        <f t="shared" si="106"/>
        <v>12</v>
      </c>
      <c r="S399" t="e" cm="1">
        <f t="array" ref="S399">IF(INDEX($P$51:$P$62,IF(MOD($A$2,12)=0,12,MOD($A$2,12)))=R399,R399,NA())</f>
        <v>#N/A</v>
      </c>
    </row>
    <row r="400" spans="14:19" x14ac:dyDescent="0.25">
      <c r="N400" s="17"/>
      <c r="Q400">
        <v>350</v>
      </c>
      <c r="R400">
        <f t="shared" si="106"/>
        <v>12</v>
      </c>
      <c r="S400" t="e" cm="1">
        <f t="array" ref="S400">IF(INDEX($P$51:$P$62,IF(MOD($A$2,12)=0,12,MOD($A$2,12)))=R400,R400,NA())</f>
        <v>#N/A</v>
      </c>
    </row>
    <row r="401" spans="14:19" x14ac:dyDescent="0.25">
      <c r="N401" s="17"/>
      <c r="Q401">
        <v>351</v>
      </c>
      <c r="R401">
        <f t="shared" si="106"/>
        <v>12</v>
      </c>
      <c r="S401" t="e" cm="1">
        <f t="array" ref="S401">IF(INDEX($P$51:$P$62,IF(MOD($A$2,12)=0,12,MOD($A$2,12)))=R401,R401,NA())</f>
        <v>#N/A</v>
      </c>
    </row>
    <row r="402" spans="14:19" x14ac:dyDescent="0.25">
      <c r="N402" s="17"/>
      <c r="Q402">
        <v>352</v>
      </c>
      <c r="R402">
        <f t="shared" si="106"/>
        <v>12</v>
      </c>
      <c r="S402" t="e" cm="1">
        <f t="array" ref="S402">IF(INDEX($P$51:$P$62,IF(MOD($A$2,12)=0,12,MOD($A$2,12)))=R402,R402,NA())</f>
        <v>#N/A</v>
      </c>
    </row>
    <row r="403" spans="14:19" x14ac:dyDescent="0.25">
      <c r="N403" s="17"/>
      <c r="Q403">
        <v>353</v>
      </c>
      <c r="R403">
        <f t="shared" si="106"/>
        <v>12</v>
      </c>
      <c r="S403" t="e" cm="1">
        <f t="array" ref="S403">IF(INDEX($P$51:$P$62,IF(MOD($A$2,12)=0,12,MOD($A$2,12)))=R403,R403,NA())</f>
        <v>#N/A</v>
      </c>
    </row>
    <row r="404" spans="14:19" x14ac:dyDescent="0.25">
      <c r="N404" s="17"/>
      <c r="Q404">
        <v>354</v>
      </c>
      <c r="R404">
        <f t="shared" si="106"/>
        <v>12</v>
      </c>
      <c r="S404" t="e" cm="1">
        <f t="array" ref="S404">IF(INDEX($P$51:$P$62,IF(MOD($A$2,12)=0,12,MOD($A$2,12)))=R404,R404,NA())</f>
        <v>#N/A</v>
      </c>
    </row>
    <row r="405" spans="14:19" x14ac:dyDescent="0.25">
      <c r="N405" s="17"/>
      <c r="Q405">
        <v>355</v>
      </c>
      <c r="R405">
        <f t="shared" si="106"/>
        <v>12</v>
      </c>
      <c r="S405" t="e" cm="1">
        <f t="array" ref="S405">IF(INDEX($P$51:$P$62,IF(MOD($A$2,12)=0,12,MOD($A$2,12)))=R405,R405,NA())</f>
        <v>#N/A</v>
      </c>
    </row>
    <row r="406" spans="14:19" x14ac:dyDescent="0.25">
      <c r="N406" s="17"/>
      <c r="Q406">
        <v>356</v>
      </c>
      <c r="R406">
        <f t="shared" si="106"/>
        <v>12</v>
      </c>
      <c r="S406" t="e" cm="1">
        <f t="array" ref="S406">IF(INDEX($P$51:$P$62,IF(MOD($A$2,12)=0,12,MOD($A$2,12)))=R406,R406,NA())</f>
        <v>#N/A</v>
      </c>
    </row>
    <row r="407" spans="14:19" x14ac:dyDescent="0.25">
      <c r="N407" s="17"/>
      <c r="Q407">
        <v>357</v>
      </c>
      <c r="R407">
        <f t="shared" si="106"/>
        <v>12</v>
      </c>
      <c r="S407" t="e" cm="1">
        <f t="array" ref="S407">IF(INDEX($P$51:$P$62,IF(MOD($A$2,12)=0,12,MOD($A$2,12)))=R407,R407,NA())</f>
        <v>#N/A</v>
      </c>
    </row>
    <row r="408" spans="14:19" x14ac:dyDescent="0.25">
      <c r="N408" s="17"/>
      <c r="Q408">
        <v>358</v>
      </c>
      <c r="R408">
        <f t="shared" si="106"/>
        <v>12</v>
      </c>
      <c r="S408" t="e" cm="1">
        <f t="array" ref="S408">IF(INDEX($P$51:$P$62,IF(MOD($A$2,12)=0,12,MOD($A$2,12)))=R408,R408,NA())</f>
        <v>#N/A</v>
      </c>
    </row>
    <row r="409" spans="14:19" x14ac:dyDescent="0.25">
      <c r="N409" s="17"/>
      <c r="Q409">
        <v>359</v>
      </c>
      <c r="R409">
        <f t="shared" si="106"/>
        <v>12</v>
      </c>
      <c r="S409" t="e" cm="1">
        <f t="array" ref="S409">IF(INDEX($P$51:$P$62,IF(MOD($A$2,12)=0,12,MOD($A$2,12)))=R409,R409,NA())</f>
        <v>#N/A</v>
      </c>
    </row>
    <row r="410" spans="14:19" x14ac:dyDescent="0.25">
      <c r="N410" s="17"/>
      <c r="Q410">
        <v>360</v>
      </c>
      <c r="R410">
        <f t="shared" si="106"/>
        <v>12</v>
      </c>
      <c r="S410" t="e" cm="1">
        <f t="array" ref="S410">IF(INDEX($P$51:$P$62,IF(MOD($A$2,12)=0,12,MOD($A$2,12)))=R410,R410,NA())</f>
        <v>#N/A</v>
      </c>
    </row>
  </sheetData>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pinner 1">
              <controlPr defaultSize="0" autoPict="0">
                <anchor moveWithCells="1" sizeWithCells="1">
                  <from>
                    <xdr:col>7</xdr:col>
                    <xdr:colOff>57150</xdr:colOff>
                    <xdr:row>3</xdr:row>
                    <xdr:rowOff>38100</xdr:rowOff>
                  </from>
                  <to>
                    <xdr:col>7</xdr:col>
                    <xdr:colOff>495300</xdr:colOff>
                    <xdr:row>5</xdr:row>
                    <xdr:rowOff>161925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I12"/>
  <sheetViews>
    <sheetView workbookViewId="0"/>
  </sheetViews>
  <sheetFormatPr defaultRowHeight="15" x14ac:dyDescent="0.25"/>
  <cols>
    <col min="1" max="1" width="13.42578125" bestFit="1" customWidth="1"/>
    <col min="2" max="2" width="12.28515625" bestFit="1" customWidth="1"/>
  </cols>
  <sheetData>
    <row r="1" spans="1:9" ht="15" customHeight="1" x14ac:dyDescent="0.25">
      <c r="A1" t="s">
        <v>87</v>
      </c>
      <c r="B1" t="s">
        <v>88</v>
      </c>
      <c r="D1" s="17"/>
      <c r="E1" s="17"/>
      <c r="F1" s="17"/>
      <c r="G1" s="17"/>
      <c r="H1" s="17"/>
      <c r="I1" s="17"/>
    </row>
    <row r="2" spans="1:9" ht="15" customHeight="1" x14ac:dyDescent="0.25">
      <c r="A2" s="9" t="s">
        <v>89</v>
      </c>
      <c r="B2">
        <v>1</v>
      </c>
      <c r="E2" s="17"/>
      <c r="F2" s="17"/>
      <c r="G2" s="17"/>
      <c r="H2" s="17"/>
      <c r="I2" s="17"/>
    </row>
    <row r="3" spans="1:9" x14ac:dyDescent="0.25">
      <c r="A3" s="9" t="s">
        <v>90</v>
      </c>
      <c r="B3">
        <v>2</v>
      </c>
    </row>
    <row r="4" spans="1:9" x14ac:dyDescent="0.25">
      <c r="A4" s="9" t="s">
        <v>91</v>
      </c>
      <c r="B4">
        <v>3</v>
      </c>
    </row>
    <row r="5" spans="1:9" x14ac:dyDescent="0.25">
      <c r="A5" s="9" t="s">
        <v>92</v>
      </c>
      <c r="B5">
        <v>4</v>
      </c>
    </row>
    <row r="10" spans="1:9" x14ac:dyDescent="0.25">
      <c r="A10" s="21" t="s">
        <v>93</v>
      </c>
      <c r="B10" t="s">
        <v>95</v>
      </c>
    </row>
    <row r="11" spans="1:9" x14ac:dyDescent="0.25">
      <c r="A11" s="3" t="s">
        <v>92</v>
      </c>
      <c r="B11" s="27">
        <v>4</v>
      </c>
    </row>
    <row r="12" spans="1:9" x14ac:dyDescent="0.25">
      <c r="A12" s="3" t="s">
        <v>94</v>
      </c>
      <c r="B12" s="27">
        <v>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X194"/>
  <sheetViews>
    <sheetView workbookViewId="0">
      <selection sqref="A1:A2"/>
    </sheetView>
  </sheetViews>
  <sheetFormatPr defaultRowHeight="15" x14ac:dyDescent="0.25"/>
  <cols>
    <col min="1" max="1" width="11.28515625" customWidth="1"/>
    <col min="5" max="5" width="11.7109375" bestFit="1" customWidth="1"/>
    <col min="6" max="6" width="10.140625" bestFit="1" customWidth="1"/>
    <col min="7" max="7" width="14.140625" bestFit="1" customWidth="1"/>
    <col min="8" max="8" width="14.7109375" bestFit="1" customWidth="1"/>
    <col min="9" max="9" width="11.140625" customWidth="1"/>
    <col min="12" max="12" width="10" bestFit="1" customWidth="1"/>
    <col min="15" max="15" width="10.85546875" bestFit="1" customWidth="1"/>
    <col min="16" max="16" width="10.28515625" bestFit="1" customWidth="1"/>
    <col min="17" max="17" width="9.5703125" bestFit="1" customWidth="1"/>
    <col min="18" max="18" width="11.7109375" customWidth="1"/>
    <col min="19" max="19" width="10.5703125" customWidth="1"/>
  </cols>
  <sheetData>
    <row r="1" spans="1:24" ht="15" customHeight="1" x14ac:dyDescent="0.25">
      <c r="A1" s="25" t="s">
        <v>62</v>
      </c>
      <c r="B1" s="24" t="s">
        <v>63</v>
      </c>
      <c r="C1" s="24"/>
      <c r="D1" s="24"/>
      <c r="E1" s="26" t="s">
        <v>64</v>
      </c>
      <c r="F1" s="26"/>
      <c r="G1" s="26"/>
      <c r="H1" s="26"/>
      <c r="I1" s="25" t="s">
        <v>61</v>
      </c>
      <c r="J1" s="26" t="s">
        <v>53</v>
      </c>
      <c r="K1" s="26"/>
      <c r="L1" s="26"/>
      <c r="M1" s="24" t="s">
        <v>65</v>
      </c>
      <c r="N1" s="24"/>
      <c r="O1" s="24"/>
      <c r="P1" s="24"/>
      <c r="Q1" s="24"/>
      <c r="R1" s="25" t="s">
        <v>84</v>
      </c>
      <c r="S1" s="24"/>
      <c r="T1" s="24"/>
      <c r="U1" s="24"/>
      <c r="V1" s="24"/>
      <c r="W1" s="24"/>
      <c r="X1" s="24"/>
    </row>
    <row r="2" spans="1:24" ht="18.600000000000001" customHeight="1" x14ac:dyDescent="0.25">
      <c r="A2" s="25"/>
      <c r="B2" s="6" t="s">
        <v>86</v>
      </c>
      <c r="C2" s="6" t="s">
        <v>56</v>
      </c>
      <c r="D2" s="6" t="s">
        <v>54</v>
      </c>
      <c r="E2" s="9" t="s">
        <v>58</v>
      </c>
      <c r="F2" s="16" t="s">
        <v>57</v>
      </c>
      <c r="G2" s="16" t="s">
        <v>60</v>
      </c>
      <c r="H2" s="16" t="s">
        <v>59</v>
      </c>
      <c r="I2" s="25"/>
      <c r="J2" s="6" t="s">
        <v>66</v>
      </c>
      <c r="K2" s="6" t="s">
        <v>67</v>
      </c>
      <c r="L2" s="6" t="s">
        <v>96</v>
      </c>
      <c r="M2" s="6" t="s">
        <v>74</v>
      </c>
      <c r="N2" s="6" t="s">
        <v>76</v>
      </c>
      <c r="O2" s="6" t="s">
        <v>77</v>
      </c>
      <c r="P2" s="6" t="s">
        <v>75</v>
      </c>
      <c r="Q2" s="6" t="s">
        <v>78</v>
      </c>
      <c r="R2" s="25"/>
      <c r="S2" s="24"/>
      <c r="T2" s="24"/>
      <c r="U2" s="24"/>
      <c r="V2" s="24"/>
      <c r="W2" s="24"/>
      <c r="X2" s="24"/>
    </row>
    <row r="3" spans="1:24" x14ac:dyDescent="0.25">
      <c r="A3">
        <v>1</v>
      </c>
      <c r="B3" s="17">
        <v>0.317</v>
      </c>
      <c r="C3" s="17">
        <v>0.41199999999999998</v>
      </c>
      <c r="D3" s="17">
        <v>0.21799999999999997</v>
      </c>
      <c r="E3" s="17">
        <v>0.89</v>
      </c>
      <c r="F3" s="17">
        <v>0.25</v>
      </c>
      <c r="G3" s="17">
        <v>0.21799999999999997</v>
      </c>
      <c r="H3" s="17">
        <v>0.17</v>
      </c>
      <c r="I3" s="19">
        <v>0.2</v>
      </c>
      <c r="J3" s="4">
        <v>0.84</v>
      </c>
      <c r="K3" s="4">
        <v>0.16</v>
      </c>
      <c r="L3">
        <v>0</v>
      </c>
      <c r="M3">
        <v>662</v>
      </c>
      <c r="N3">
        <v>599</v>
      </c>
      <c r="O3">
        <v>521</v>
      </c>
      <c r="P3">
        <v>408</v>
      </c>
      <c r="Q3">
        <v>379</v>
      </c>
      <c r="R3">
        <v>98</v>
      </c>
    </row>
    <row r="4" spans="1:24" x14ac:dyDescent="0.25">
      <c r="A4">
        <v>2</v>
      </c>
      <c r="B4" s="17">
        <v>0.32200000000000001</v>
      </c>
      <c r="C4" s="17">
        <v>0.42499999999999999</v>
      </c>
      <c r="D4" s="17">
        <v>0.23700000000000002</v>
      </c>
      <c r="E4" s="17">
        <v>0.87</v>
      </c>
      <c r="F4" s="17">
        <v>0.28000000000000003</v>
      </c>
      <c r="G4" s="17">
        <v>0.23700000000000002</v>
      </c>
      <c r="H4" s="17">
        <v>0.22999999999999998</v>
      </c>
      <c r="I4" s="19">
        <v>0.21899999999999997</v>
      </c>
      <c r="J4" s="4">
        <v>0.78</v>
      </c>
      <c r="K4" s="4">
        <v>0.21999999999999997</v>
      </c>
      <c r="L4">
        <v>0</v>
      </c>
      <c r="M4">
        <v>170</v>
      </c>
      <c r="N4">
        <v>217.99999999999997</v>
      </c>
      <c r="O4">
        <v>237.00000000000003</v>
      </c>
      <c r="P4">
        <v>229.99999999999997</v>
      </c>
      <c r="Q4">
        <v>85</v>
      </c>
      <c r="R4">
        <v>95</v>
      </c>
    </row>
    <row r="5" spans="1:24" x14ac:dyDescent="0.25">
      <c r="A5">
        <v>3</v>
      </c>
      <c r="B5" s="17">
        <v>0.34</v>
      </c>
      <c r="C5" s="17">
        <v>0.441</v>
      </c>
      <c r="D5" s="17">
        <v>0.26799999999999996</v>
      </c>
      <c r="E5" s="17">
        <v>0.86</v>
      </c>
      <c r="F5" s="17">
        <v>0.3</v>
      </c>
      <c r="G5" s="17">
        <v>0.26799999999999996</v>
      </c>
      <c r="H5" s="17">
        <v>0.30000000000000004</v>
      </c>
      <c r="I5" s="19">
        <v>0.249</v>
      </c>
      <c r="J5" s="4">
        <v>0.71</v>
      </c>
      <c r="K5" s="4">
        <v>0.29000000000000004</v>
      </c>
      <c r="L5">
        <v>0</v>
      </c>
      <c r="M5">
        <v>229.99999999999997</v>
      </c>
      <c r="N5">
        <v>237.00000000000003</v>
      </c>
      <c r="O5">
        <v>267.99999999999994</v>
      </c>
      <c r="P5">
        <v>300.00000000000006</v>
      </c>
      <c r="Q5">
        <v>115</v>
      </c>
      <c r="R5">
        <v>90</v>
      </c>
    </row>
    <row r="6" spans="1:24" x14ac:dyDescent="0.25">
      <c r="A6">
        <v>4</v>
      </c>
      <c r="B6" s="17">
        <v>0.36899999999999999</v>
      </c>
      <c r="C6" s="17">
        <v>0.46</v>
      </c>
      <c r="D6" s="17">
        <v>0.30300000000000005</v>
      </c>
      <c r="E6" s="17">
        <v>0.83000000000000007</v>
      </c>
      <c r="F6" s="17">
        <v>0.38</v>
      </c>
      <c r="G6" s="17">
        <v>0.30300000000000005</v>
      </c>
      <c r="H6" s="17">
        <v>0.36799999999999999</v>
      </c>
      <c r="I6" s="19">
        <v>0.29399999999999998</v>
      </c>
      <c r="J6" s="4">
        <v>0.64200000000000002</v>
      </c>
      <c r="K6" s="4">
        <v>0.35799999999999998</v>
      </c>
      <c r="L6">
        <v>0</v>
      </c>
      <c r="M6">
        <v>300.00000000000006</v>
      </c>
      <c r="N6">
        <v>267.99999999999994</v>
      </c>
      <c r="O6">
        <v>303.00000000000006</v>
      </c>
      <c r="P6">
        <v>368</v>
      </c>
      <c r="Q6">
        <v>150</v>
      </c>
      <c r="R6">
        <v>85</v>
      </c>
    </row>
    <row r="7" spans="1:24" x14ac:dyDescent="0.25">
      <c r="A7">
        <v>5</v>
      </c>
      <c r="B7" s="17">
        <v>0.40899999999999997</v>
      </c>
      <c r="C7" s="17">
        <v>0.48199999999999998</v>
      </c>
      <c r="D7" s="17">
        <v>0.34900000000000003</v>
      </c>
      <c r="E7" s="17">
        <v>0.83000000000000007</v>
      </c>
      <c r="F7" s="17">
        <v>0.43</v>
      </c>
      <c r="G7" s="17">
        <v>0.34900000000000003</v>
      </c>
      <c r="H7" s="17">
        <v>0.43599999999999994</v>
      </c>
      <c r="I7" s="19">
        <v>0.35</v>
      </c>
      <c r="J7" s="4">
        <v>0.57400000000000007</v>
      </c>
      <c r="K7" s="4">
        <v>0.42599999999999993</v>
      </c>
      <c r="L7">
        <v>0</v>
      </c>
      <c r="M7">
        <v>368</v>
      </c>
      <c r="N7">
        <v>303.00000000000006</v>
      </c>
      <c r="O7">
        <v>349.00000000000006</v>
      </c>
      <c r="P7">
        <v>435.99999999999994</v>
      </c>
      <c r="Q7">
        <v>184</v>
      </c>
      <c r="R7">
        <v>80</v>
      </c>
    </row>
    <row r="8" spans="1:24" x14ac:dyDescent="0.25">
      <c r="A8">
        <v>6</v>
      </c>
      <c r="B8" s="17">
        <v>0.45800000000000002</v>
      </c>
      <c r="C8" s="17">
        <v>0.504</v>
      </c>
      <c r="D8" s="17">
        <v>0.4</v>
      </c>
      <c r="E8" s="17">
        <v>0.83000000000000007</v>
      </c>
      <c r="F8" s="17">
        <v>0.43</v>
      </c>
      <c r="G8" s="17">
        <v>0.4</v>
      </c>
      <c r="H8" s="17">
        <v>0.4880000000000001</v>
      </c>
      <c r="I8" s="19">
        <v>0.41200000000000003</v>
      </c>
      <c r="J8" s="4">
        <v>0.52199999999999991</v>
      </c>
      <c r="K8" s="4">
        <v>0.47800000000000009</v>
      </c>
      <c r="L8">
        <v>0</v>
      </c>
      <c r="M8">
        <v>435.99999999999994</v>
      </c>
      <c r="N8">
        <v>349.00000000000006</v>
      </c>
      <c r="O8">
        <v>400</v>
      </c>
      <c r="P8">
        <v>488.00000000000011</v>
      </c>
      <c r="Q8">
        <v>218</v>
      </c>
      <c r="R8">
        <v>75</v>
      </c>
    </row>
    <row r="9" spans="1:24" x14ac:dyDescent="0.25">
      <c r="A9">
        <v>7</v>
      </c>
      <c r="B9" s="17">
        <v>0.502</v>
      </c>
      <c r="C9" s="17">
        <v>0.52300000000000002</v>
      </c>
      <c r="D9" s="17">
        <v>0.44900000000000007</v>
      </c>
      <c r="E9" s="17">
        <v>0.82000000000000006</v>
      </c>
      <c r="F9" s="17">
        <v>0.44</v>
      </c>
      <c r="G9" s="17">
        <v>0.44900000000000007</v>
      </c>
      <c r="H9" s="17">
        <v>0.53100000000000003</v>
      </c>
      <c r="I9" s="19">
        <v>0.48</v>
      </c>
      <c r="J9" s="4">
        <v>0.47899999999999998</v>
      </c>
      <c r="K9" s="4">
        <v>0.52100000000000002</v>
      </c>
      <c r="L9">
        <v>0</v>
      </c>
      <c r="M9">
        <v>488.00000000000011</v>
      </c>
      <c r="N9">
        <v>400</v>
      </c>
      <c r="O9">
        <v>449.00000000000006</v>
      </c>
      <c r="P9">
        <v>531</v>
      </c>
      <c r="Q9">
        <v>244</v>
      </c>
      <c r="R9">
        <v>70</v>
      </c>
    </row>
    <row r="10" spans="1:24" x14ac:dyDescent="0.25">
      <c r="A10">
        <v>8</v>
      </c>
      <c r="B10" s="17">
        <v>0.54</v>
      </c>
      <c r="C10" s="17">
        <v>0.54</v>
      </c>
      <c r="D10" s="17">
        <v>0.4880000000000001</v>
      </c>
      <c r="E10" s="17">
        <v>0.82000000000000006</v>
      </c>
      <c r="F10" s="17">
        <v>0.45</v>
      </c>
      <c r="G10" s="17">
        <v>0.4880000000000001</v>
      </c>
      <c r="H10" s="17">
        <v>0.56400000000000006</v>
      </c>
      <c r="I10" s="19">
        <v>0.54700000000000004</v>
      </c>
      <c r="J10" s="4">
        <v>0.44599999999999995</v>
      </c>
      <c r="K10" s="4">
        <v>0.55400000000000005</v>
      </c>
      <c r="L10">
        <v>4</v>
      </c>
      <c r="M10">
        <v>531</v>
      </c>
      <c r="N10">
        <v>449.00000000000006</v>
      </c>
      <c r="O10">
        <v>488.00000000000011</v>
      </c>
      <c r="P10">
        <v>564</v>
      </c>
      <c r="Q10">
        <v>266</v>
      </c>
      <c r="R10">
        <v>65</v>
      </c>
    </row>
    <row r="11" spans="1:24" x14ac:dyDescent="0.25">
      <c r="A11">
        <v>9</v>
      </c>
      <c r="B11" s="17">
        <v>0.57199999999999995</v>
      </c>
      <c r="C11" s="17">
        <v>0.55500000000000005</v>
      </c>
      <c r="D11" s="17">
        <v>0.52100000000000013</v>
      </c>
      <c r="E11" s="17">
        <v>0.8</v>
      </c>
      <c r="F11" s="17">
        <v>0.46</v>
      </c>
      <c r="G11" s="17">
        <v>0.52100000000000013</v>
      </c>
      <c r="H11" s="17">
        <v>0.59100000000000008</v>
      </c>
      <c r="I11" s="19">
        <v>0.59799999999999998</v>
      </c>
      <c r="J11" s="4">
        <v>0.41899999999999993</v>
      </c>
      <c r="K11" s="4">
        <v>0.58100000000000007</v>
      </c>
      <c r="L11">
        <v>4</v>
      </c>
      <c r="M11">
        <v>564</v>
      </c>
      <c r="N11">
        <v>488.00000000000011</v>
      </c>
      <c r="O11">
        <v>521.00000000000011</v>
      </c>
      <c r="P11">
        <v>591.00000000000011</v>
      </c>
      <c r="Q11">
        <v>282</v>
      </c>
      <c r="R11">
        <v>60</v>
      </c>
    </row>
    <row r="12" spans="1:24" x14ac:dyDescent="0.25">
      <c r="A12">
        <v>10</v>
      </c>
      <c r="B12" s="17">
        <v>0.59699999999999998</v>
      </c>
      <c r="C12" s="17">
        <v>0.56799999999999995</v>
      </c>
      <c r="D12" s="17">
        <v>0.55199999999999994</v>
      </c>
      <c r="E12" s="17">
        <v>0.79</v>
      </c>
      <c r="F12" s="17">
        <v>0.49</v>
      </c>
      <c r="G12" s="17">
        <v>0.55199999999999994</v>
      </c>
      <c r="H12" s="17">
        <v>0.61199999999999999</v>
      </c>
      <c r="I12" s="19">
        <v>0.63300000000000001</v>
      </c>
      <c r="J12" s="4">
        <v>0.39800000000000002</v>
      </c>
      <c r="K12" s="4">
        <v>0.60199999999999998</v>
      </c>
      <c r="L12">
        <v>10</v>
      </c>
      <c r="M12">
        <v>591.00000000000011</v>
      </c>
      <c r="N12">
        <v>521.00000000000011</v>
      </c>
      <c r="O12">
        <v>551.99999999999989</v>
      </c>
      <c r="P12">
        <v>612</v>
      </c>
      <c r="Q12">
        <v>296</v>
      </c>
      <c r="R12">
        <v>55</v>
      </c>
    </row>
    <row r="13" spans="1:24" x14ac:dyDescent="0.25">
      <c r="A13">
        <v>11</v>
      </c>
      <c r="B13" s="17">
        <v>0.61699999999999999</v>
      </c>
      <c r="C13" s="17">
        <v>0.57999999999999996</v>
      </c>
      <c r="D13" s="17">
        <v>0.57799999999999996</v>
      </c>
      <c r="E13" s="17">
        <v>0.79</v>
      </c>
      <c r="F13" s="17">
        <v>0.5</v>
      </c>
      <c r="G13" s="17">
        <v>0.57799999999999996</v>
      </c>
      <c r="H13" s="17">
        <v>0.63000000000000012</v>
      </c>
      <c r="I13" s="19">
        <v>0.64500000000000002</v>
      </c>
      <c r="J13" s="4">
        <v>0.37999999999999989</v>
      </c>
      <c r="K13" s="4">
        <v>0.62000000000000011</v>
      </c>
      <c r="L13">
        <v>10</v>
      </c>
      <c r="M13">
        <v>612</v>
      </c>
      <c r="N13">
        <v>551.99999999999989</v>
      </c>
      <c r="O13">
        <v>578</v>
      </c>
      <c r="P13">
        <v>630.00000000000011</v>
      </c>
      <c r="Q13">
        <v>306</v>
      </c>
      <c r="R13">
        <v>50</v>
      </c>
    </row>
    <row r="14" spans="1:24" x14ac:dyDescent="0.25">
      <c r="A14">
        <v>12</v>
      </c>
      <c r="B14" s="17">
        <v>0.63200000000000001</v>
      </c>
      <c r="C14" s="17">
        <v>0.59</v>
      </c>
      <c r="D14" s="17">
        <v>0.60299999999999998</v>
      </c>
      <c r="E14" s="17">
        <v>0.76</v>
      </c>
      <c r="F14" s="17">
        <v>0.51</v>
      </c>
      <c r="G14" s="17">
        <v>0.60299999999999998</v>
      </c>
      <c r="H14" s="17">
        <v>0.64400000000000002</v>
      </c>
      <c r="I14" s="19">
        <v>0.65400000000000003</v>
      </c>
      <c r="J14" s="4">
        <v>0.36599999999999999</v>
      </c>
      <c r="K14" s="4">
        <v>0.63400000000000001</v>
      </c>
      <c r="L14">
        <v>18</v>
      </c>
      <c r="M14">
        <v>630.00000000000011</v>
      </c>
      <c r="N14">
        <v>578</v>
      </c>
      <c r="O14">
        <v>603</v>
      </c>
      <c r="P14">
        <v>644</v>
      </c>
      <c r="Q14">
        <v>315</v>
      </c>
      <c r="R14">
        <v>45</v>
      </c>
    </row>
    <row r="15" spans="1:24" x14ac:dyDescent="0.25">
      <c r="A15">
        <v>13</v>
      </c>
      <c r="B15" s="17">
        <v>0.64300000000000002</v>
      </c>
      <c r="C15" s="17">
        <v>0.59799999999999998</v>
      </c>
      <c r="D15" s="17">
        <v>0.626</v>
      </c>
      <c r="E15" s="17">
        <v>0.67</v>
      </c>
      <c r="F15" s="17">
        <v>0.55000000000000004</v>
      </c>
      <c r="G15" s="17">
        <v>0.626</v>
      </c>
      <c r="H15" s="17">
        <v>0.65500000000000014</v>
      </c>
      <c r="I15" s="19">
        <v>0.66799999999999993</v>
      </c>
      <c r="J15" s="4">
        <v>0.35499999999999987</v>
      </c>
      <c r="K15" s="4">
        <v>0.64500000000000013</v>
      </c>
      <c r="L15">
        <v>18</v>
      </c>
      <c r="M15">
        <v>644</v>
      </c>
      <c r="N15">
        <v>603</v>
      </c>
      <c r="O15">
        <v>626</v>
      </c>
      <c r="P15">
        <v>655.00000000000011</v>
      </c>
      <c r="Q15">
        <v>322</v>
      </c>
      <c r="R15">
        <v>97</v>
      </c>
      <c r="S15" s="20"/>
    </row>
    <row r="16" spans="1:24" x14ac:dyDescent="0.25">
      <c r="A16">
        <v>14</v>
      </c>
      <c r="B16" s="17">
        <v>0.65</v>
      </c>
      <c r="C16" s="17">
        <v>0.60499999999999998</v>
      </c>
      <c r="D16" s="17">
        <v>0.64100000000000001</v>
      </c>
      <c r="E16" s="17">
        <v>0.65</v>
      </c>
      <c r="F16" s="17">
        <v>0.56000000000000005</v>
      </c>
      <c r="G16" s="17">
        <v>0.64100000000000001</v>
      </c>
      <c r="H16" s="17">
        <v>0.66199999999999992</v>
      </c>
      <c r="I16" s="19">
        <v>0.68599999999999994</v>
      </c>
      <c r="J16" s="4">
        <v>0.34800000000000009</v>
      </c>
      <c r="K16" s="4">
        <v>0.65199999999999991</v>
      </c>
      <c r="L16">
        <v>26</v>
      </c>
      <c r="M16">
        <v>655.00000000000011</v>
      </c>
      <c r="N16">
        <v>626</v>
      </c>
      <c r="O16">
        <v>641</v>
      </c>
      <c r="P16">
        <v>661.99999999999989</v>
      </c>
      <c r="Q16">
        <v>328</v>
      </c>
      <c r="R16">
        <v>91</v>
      </c>
      <c r="S16" s="20"/>
    </row>
    <row r="17" spans="1:19" x14ac:dyDescent="0.25">
      <c r="A17">
        <v>15</v>
      </c>
      <c r="B17" s="17">
        <v>0.65300000000000002</v>
      </c>
      <c r="C17" s="17">
        <v>0.60899999999999999</v>
      </c>
      <c r="D17" s="17">
        <v>0.65100000000000002</v>
      </c>
      <c r="E17" s="17">
        <v>0.64</v>
      </c>
      <c r="F17" s="17">
        <v>0.57000000000000006</v>
      </c>
      <c r="G17" s="17">
        <v>0.65100000000000002</v>
      </c>
      <c r="H17" s="17">
        <v>0.66700000000000004</v>
      </c>
      <c r="I17" s="19">
        <v>0.70400000000000007</v>
      </c>
      <c r="J17" s="4">
        <v>0.34299999999999997</v>
      </c>
      <c r="K17" s="4">
        <v>0.65700000000000003</v>
      </c>
      <c r="L17">
        <v>26</v>
      </c>
      <c r="M17">
        <v>661.99999999999989</v>
      </c>
      <c r="N17">
        <v>641</v>
      </c>
      <c r="O17">
        <v>651</v>
      </c>
      <c r="P17">
        <v>667</v>
      </c>
      <c r="Q17">
        <v>331</v>
      </c>
      <c r="R17">
        <v>85</v>
      </c>
      <c r="S17" s="20"/>
    </row>
    <row r="18" spans="1:19" x14ac:dyDescent="0.25">
      <c r="A18">
        <v>16</v>
      </c>
      <c r="B18" s="17">
        <v>0.65300000000000002</v>
      </c>
      <c r="C18" s="17">
        <v>0.61</v>
      </c>
      <c r="D18" s="17">
        <v>0.66100000000000003</v>
      </c>
      <c r="E18" s="17">
        <v>0.64</v>
      </c>
      <c r="F18" s="17">
        <v>0.6</v>
      </c>
      <c r="G18" s="17">
        <v>0.66100000000000003</v>
      </c>
      <c r="H18" s="17">
        <v>0.66700000000000004</v>
      </c>
      <c r="I18" s="19">
        <v>0.72599999999999998</v>
      </c>
      <c r="J18" s="4">
        <v>0.34299999999999997</v>
      </c>
      <c r="K18" s="4">
        <v>0.65700000000000003</v>
      </c>
      <c r="L18">
        <v>18</v>
      </c>
      <c r="M18">
        <v>667</v>
      </c>
      <c r="N18">
        <v>651</v>
      </c>
      <c r="O18">
        <v>661</v>
      </c>
      <c r="P18">
        <v>667</v>
      </c>
      <c r="Q18">
        <v>334</v>
      </c>
      <c r="R18">
        <v>82</v>
      </c>
      <c r="S18" s="20"/>
    </row>
    <row r="19" spans="1:19" x14ac:dyDescent="0.25">
      <c r="A19">
        <v>17</v>
      </c>
      <c r="B19" s="17">
        <v>0.64900000000000002</v>
      </c>
      <c r="C19" s="17">
        <v>0.60799999999999998</v>
      </c>
      <c r="D19" s="17">
        <v>0.66700000000000004</v>
      </c>
      <c r="E19" s="17">
        <v>0.6</v>
      </c>
      <c r="F19" s="17">
        <v>0.63</v>
      </c>
      <c r="G19" s="17">
        <v>0.66700000000000004</v>
      </c>
      <c r="H19" s="17">
        <v>0.66100000000000003</v>
      </c>
      <c r="I19" s="19">
        <v>0.752</v>
      </c>
      <c r="J19" s="4">
        <v>0.34899999999999998</v>
      </c>
      <c r="K19" s="4">
        <v>0.65100000000000002</v>
      </c>
      <c r="L19">
        <v>18</v>
      </c>
      <c r="M19">
        <v>667</v>
      </c>
      <c r="N19">
        <v>661</v>
      </c>
      <c r="O19">
        <v>667</v>
      </c>
      <c r="P19">
        <v>661</v>
      </c>
      <c r="Q19">
        <v>334</v>
      </c>
      <c r="R19">
        <v>79</v>
      </c>
      <c r="S19" s="20"/>
    </row>
    <row r="20" spans="1:19" x14ac:dyDescent="0.25">
      <c r="A20">
        <v>18</v>
      </c>
      <c r="B20" s="17">
        <v>0.64</v>
      </c>
      <c r="C20" s="17">
        <v>0.60299999999999998</v>
      </c>
      <c r="D20" s="17">
        <v>0.66700000000000004</v>
      </c>
      <c r="E20" s="17">
        <v>0.51</v>
      </c>
      <c r="F20" s="17">
        <v>0.66</v>
      </c>
      <c r="G20" s="17">
        <v>0.66700000000000004</v>
      </c>
      <c r="H20" s="17">
        <v>0.65100000000000002</v>
      </c>
      <c r="I20" s="19">
        <v>0.78</v>
      </c>
      <c r="J20" s="4">
        <v>0.35899999999999999</v>
      </c>
      <c r="K20" s="4">
        <v>0.64100000000000001</v>
      </c>
      <c r="L20">
        <v>10</v>
      </c>
      <c r="M20">
        <v>661</v>
      </c>
      <c r="N20">
        <v>667</v>
      </c>
      <c r="O20">
        <v>667</v>
      </c>
      <c r="P20">
        <v>651</v>
      </c>
      <c r="Q20">
        <v>331</v>
      </c>
      <c r="R20">
        <v>71</v>
      </c>
      <c r="S20" s="20"/>
    </row>
    <row r="21" spans="1:19" x14ac:dyDescent="0.25">
      <c r="A21">
        <v>19</v>
      </c>
      <c r="B21" s="17">
        <v>0.628</v>
      </c>
      <c r="C21" s="17">
        <v>0.59399999999999997</v>
      </c>
      <c r="D21" s="17">
        <v>0.66199999999999992</v>
      </c>
      <c r="E21" s="17">
        <v>0.48</v>
      </c>
      <c r="F21" s="17">
        <v>0.69000000000000006</v>
      </c>
      <c r="G21" s="17">
        <v>0.66199999999999992</v>
      </c>
      <c r="H21" s="17">
        <v>0.64100000000000001</v>
      </c>
      <c r="I21" s="19">
        <v>0.80500000000000005</v>
      </c>
      <c r="J21" s="4">
        <v>0.36899999999999999</v>
      </c>
      <c r="K21" s="4">
        <v>0.63100000000000001</v>
      </c>
      <c r="L21">
        <v>10</v>
      </c>
      <c r="M21">
        <v>651</v>
      </c>
      <c r="N21">
        <v>667</v>
      </c>
      <c r="O21">
        <v>661.99999999999989</v>
      </c>
      <c r="P21">
        <v>641</v>
      </c>
      <c r="Q21">
        <v>326</v>
      </c>
      <c r="R21">
        <v>68</v>
      </c>
      <c r="S21" s="20"/>
    </row>
    <row r="22" spans="1:19" x14ac:dyDescent="0.25">
      <c r="A22">
        <v>20</v>
      </c>
      <c r="B22" s="17">
        <v>0.61099999999999999</v>
      </c>
      <c r="C22" s="17">
        <v>0.58099999999999996</v>
      </c>
      <c r="D22" s="17">
        <v>0.65500000000000014</v>
      </c>
      <c r="E22" s="17">
        <v>0.48</v>
      </c>
      <c r="F22" s="17">
        <v>0.72</v>
      </c>
      <c r="G22" s="17">
        <v>0.65500000000000014</v>
      </c>
      <c r="H22" s="17">
        <v>0.626</v>
      </c>
      <c r="I22" s="19">
        <v>0.81200000000000006</v>
      </c>
      <c r="J22" s="4">
        <v>0.38400000000000001</v>
      </c>
      <c r="K22" s="4">
        <v>0.61599999999999999</v>
      </c>
      <c r="L22">
        <v>4</v>
      </c>
      <c r="M22">
        <v>641</v>
      </c>
      <c r="N22">
        <v>661.99999999999989</v>
      </c>
      <c r="O22">
        <v>655.00000000000011</v>
      </c>
      <c r="P22">
        <v>626</v>
      </c>
      <c r="Q22">
        <v>321</v>
      </c>
      <c r="R22">
        <v>61</v>
      </c>
      <c r="S22" s="20"/>
    </row>
    <row r="23" spans="1:19" x14ac:dyDescent="0.25">
      <c r="A23">
        <v>21</v>
      </c>
      <c r="B23" s="17">
        <v>0.58899999999999997</v>
      </c>
      <c r="C23" s="17">
        <v>0.56499999999999995</v>
      </c>
      <c r="D23" s="17">
        <v>0.64400000000000002</v>
      </c>
      <c r="E23" s="17">
        <v>0.45</v>
      </c>
      <c r="F23" s="17">
        <v>0.74</v>
      </c>
      <c r="G23" s="17">
        <v>0.64400000000000002</v>
      </c>
      <c r="H23" s="17">
        <v>0.60299999999999998</v>
      </c>
      <c r="I23" s="19">
        <v>0.80799999999999994</v>
      </c>
      <c r="J23" s="4">
        <v>0.40700000000000003</v>
      </c>
      <c r="K23" s="4">
        <v>0.59299999999999997</v>
      </c>
      <c r="L23">
        <v>4</v>
      </c>
      <c r="M23">
        <v>626</v>
      </c>
      <c r="N23">
        <v>655.00000000000011</v>
      </c>
      <c r="O23">
        <v>644</v>
      </c>
      <c r="P23">
        <v>603</v>
      </c>
      <c r="Q23">
        <v>313</v>
      </c>
      <c r="R23">
        <v>59</v>
      </c>
      <c r="S23" s="20"/>
    </row>
    <row r="24" spans="1:19" x14ac:dyDescent="0.25">
      <c r="A24">
        <v>22</v>
      </c>
      <c r="B24" s="17">
        <v>0.56399999999999995</v>
      </c>
      <c r="C24" s="17">
        <v>0.54400000000000004</v>
      </c>
      <c r="D24" s="17">
        <v>0.63000000000000012</v>
      </c>
      <c r="E24" s="17">
        <v>0.44</v>
      </c>
      <c r="F24" s="17">
        <v>0.75</v>
      </c>
      <c r="G24" s="17">
        <v>0.63000000000000012</v>
      </c>
      <c r="H24" s="17">
        <v>0.57799999999999996</v>
      </c>
      <c r="I24" s="19">
        <v>0.79099999999999993</v>
      </c>
      <c r="J24" s="4">
        <v>0.43200000000000005</v>
      </c>
      <c r="K24" s="4">
        <v>0.56799999999999995</v>
      </c>
      <c r="L24">
        <v>0</v>
      </c>
      <c r="M24">
        <v>603</v>
      </c>
      <c r="N24">
        <v>644</v>
      </c>
      <c r="O24">
        <v>630.00000000000011</v>
      </c>
      <c r="P24">
        <v>578</v>
      </c>
      <c r="Q24">
        <v>302</v>
      </c>
      <c r="R24">
        <v>52</v>
      </c>
      <c r="S24" s="20"/>
    </row>
    <row r="25" spans="1:19" x14ac:dyDescent="0.25">
      <c r="A25">
        <v>23</v>
      </c>
      <c r="B25" s="17">
        <v>0.53600000000000003</v>
      </c>
      <c r="C25" s="17">
        <v>0.51900000000000002</v>
      </c>
      <c r="D25" s="17">
        <v>0.61199999999999999</v>
      </c>
      <c r="E25" s="17">
        <v>0.38</v>
      </c>
      <c r="F25" s="17">
        <v>0.82000000000000006</v>
      </c>
      <c r="G25" s="17">
        <v>0.61199999999999999</v>
      </c>
      <c r="H25" s="17">
        <v>0.55199999999999994</v>
      </c>
      <c r="I25" s="19">
        <v>0.75700000000000001</v>
      </c>
      <c r="J25" s="4">
        <v>0.45800000000000007</v>
      </c>
      <c r="K25" s="4">
        <v>0.54199999999999993</v>
      </c>
      <c r="L25">
        <v>0</v>
      </c>
      <c r="M25">
        <v>578</v>
      </c>
      <c r="N25">
        <v>630.00000000000011</v>
      </c>
      <c r="O25">
        <v>612</v>
      </c>
      <c r="P25">
        <v>551.99999999999989</v>
      </c>
      <c r="Q25">
        <v>289</v>
      </c>
      <c r="R25">
        <v>48</v>
      </c>
      <c r="S25" s="20"/>
    </row>
    <row r="26" spans="1:19" x14ac:dyDescent="0.25">
      <c r="A26">
        <v>24</v>
      </c>
      <c r="B26" s="17">
        <v>0.504</v>
      </c>
      <c r="C26" s="17">
        <v>0.49</v>
      </c>
      <c r="D26" s="17">
        <v>0.59100000000000008</v>
      </c>
      <c r="E26" s="17">
        <v>0.36</v>
      </c>
      <c r="F26" s="17">
        <v>0.84</v>
      </c>
      <c r="G26" s="17">
        <v>0.59100000000000008</v>
      </c>
      <c r="H26" s="17">
        <v>0.52100000000000013</v>
      </c>
      <c r="I26" s="19">
        <v>0.7</v>
      </c>
      <c r="J26" s="4">
        <v>0.48899999999999988</v>
      </c>
      <c r="K26" s="4">
        <v>0.51100000000000012</v>
      </c>
      <c r="L26">
        <v>0</v>
      </c>
      <c r="M26">
        <v>551.99999999999989</v>
      </c>
      <c r="N26">
        <v>612</v>
      </c>
      <c r="O26">
        <v>591.00000000000011</v>
      </c>
      <c r="P26">
        <v>521.00000000000011</v>
      </c>
      <c r="Q26">
        <v>276</v>
      </c>
      <c r="R26">
        <v>39</v>
      </c>
      <c r="S26" s="20"/>
    </row>
    <row r="27" spans="1:19" x14ac:dyDescent="0.25">
      <c r="A27">
        <v>25</v>
      </c>
      <c r="B27" s="17">
        <v>0.46800000000000003</v>
      </c>
      <c r="C27" s="17">
        <v>0.45700000000000002</v>
      </c>
      <c r="D27" s="17">
        <v>0.56400000000000006</v>
      </c>
      <c r="E27" s="17">
        <v>0.34</v>
      </c>
      <c r="F27" s="17">
        <v>0.84</v>
      </c>
      <c r="G27" s="17">
        <v>0.56400000000000006</v>
      </c>
      <c r="H27" s="17">
        <v>0.4880000000000001</v>
      </c>
      <c r="I27" s="19">
        <v>0.61499999999999999</v>
      </c>
      <c r="J27" s="4">
        <v>0.52199999999999991</v>
      </c>
      <c r="K27" s="4">
        <v>0.47800000000000009</v>
      </c>
      <c r="L27">
        <v>0</v>
      </c>
      <c r="M27">
        <v>521.00000000000011</v>
      </c>
      <c r="N27">
        <v>591.00000000000011</v>
      </c>
      <c r="O27">
        <v>564</v>
      </c>
      <c r="P27">
        <v>488.00000000000011</v>
      </c>
      <c r="Q27">
        <v>261</v>
      </c>
      <c r="R27">
        <v>95</v>
      </c>
      <c r="S27" s="20"/>
    </row>
    <row r="28" spans="1:19" x14ac:dyDescent="0.25">
      <c r="A28">
        <v>26</v>
      </c>
      <c r="B28" s="17">
        <v>0.432</v>
      </c>
      <c r="C28" s="17">
        <v>0.42099999999999999</v>
      </c>
      <c r="D28" s="17">
        <v>0.53100000000000003</v>
      </c>
      <c r="E28" s="17">
        <v>0.31</v>
      </c>
      <c r="F28" s="17">
        <v>0.87</v>
      </c>
      <c r="G28" s="17">
        <v>0.53100000000000003</v>
      </c>
      <c r="H28" s="17">
        <v>0.44900000000000007</v>
      </c>
      <c r="I28" s="19">
        <v>0.48899999999999999</v>
      </c>
      <c r="J28" s="4">
        <v>0.56099999999999994</v>
      </c>
      <c r="K28" s="4">
        <v>0.43900000000000006</v>
      </c>
      <c r="L28">
        <v>0</v>
      </c>
      <c r="M28">
        <v>488.00000000000011</v>
      </c>
      <c r="N28">
        <v>564</v>
      </c>
      <c r="O28">
        <v>531</v>
      </c>
      <c r="P28">
        <v>449.00000000000006</v>
      </c>
      <c r="Q28">
        <v>244</v>
      </c>
      <c r="R28">
        <v>90</v>
      </c>
      <c r="S28" s="20"/>
    </row>
    <row r="29" spans="1:19" x14ac:dyDescent="0.25">
      <c r="A29">
        <v>27</v>
      </c>
      <c r="B29" s="17">
        <v>0.39200000000000002</v>
      </c>
      <c r="C29" s="17">
        <v>0.38400000000000001</v>
      </c>
      <c r="D29" s="17">
        <v>0.4880000000000001</v>
      </c>
      <c r="E29" s="17">
        <v>0.3</v>
      </c>
      <c r="F29" s="17">
        <v>0.88</v>
      </c>
      <c r="G29" s="17">
        <v>0.4880000000000001</v>
      </c>
      <c r="H29" s="17">
        <v>0.4</v>
      </c>
      <c r="I29" s="19">
        <v>0.375</v>
      </c>
      <c r="J29" s="4">
        <v>0.61</v>
      </c>
      <c r="K29" s="4">
        <v>0.39</v>
      </c>
      <c r="L29">
        <v>0</v>
      </c>
      <c r="M29">
        <v>449.00000000000006</v>
      </c>
      <c r="N29">
        <v>531</v>
      </c>
      <c r="O29">
        <v>488.00000000000011</v>
      </c>
      <c r="P29">
        <v>400</v>
      </c>
      <c r="Q29">
        <v>225</v>
      </c>
      <c r="R29">
        <v>85</v>
      </c>
      <c r="S29" s="20"/>
    </row>
    <row r="30" spans="1:19" x14ac:dyDescent="0.25">
      <c r="A30">
        <v>28</v>
      </c>
      <c r="B30" s="17">
        <v>0.35</v>
      </c>
      <c r="C30" s="17">
        <v>0.34899999999999998</v>
      </c>
      <c r="D30" s="17">
        <v>0.43599999999999994</v>
      </c>
      <c r="E30" s="17">
        <v>0.3</v>
      </c>
      <c r="F30" s="17">
        <v>0.91</v>
      </c>
      <c r="G30" s="17">
        <v>0.43599999999999994</v>
      </c>
      <c r="H30" s="17">
        <v>0.34900000000000003</v>
      </c>
      <c r="I30" s="19">
        <v>0.28499999999999998</v>
      </c>
      <c r="J30" s="4">
        <v>0.66100000000000003</v>
      </c>
      <c r="K30" s="4">
        <v>0.33900000000000002</v>
      </c>
      <c r="L30">
        <v>0</v>
      </c>
      <c r="M30">
        <v>400</v>
      </c>
      <c r="N30">
        <v>488.00000000000011</v>
      </c>
      <c r="O30">
        <v>435.99999999999994</v>
      </c>
      <c r="P30">
        <v>349.00000000000006</v>
      </c>
      <c r="Q30">
        <v>200</v>
      </c>
      <c r="R30">
        <v>83</v>
      </c>
      <c r="S30" s="20"/>
    </row>
    <row r="31" spans="1:19" x14ac:dyDescent="0.25">
      <c r="A31">
        <v>29</v>
      </c>
      <c r="B31" s="17">
        <v>0.312</v>
      </c>
      <c r="C31" s="17">
        <v>0.318</v>
      </c>
      <c r="D31" s="17">
        <v>0.36799999999999999</v>
      </c>
      <c r="E31" s="17">
        <v>0.27</v>
      </c>
      <c r="F31" s="17">
        <v>0.92</v>
      </c>
      <c r="G31" s="17">
        <v>0.36799999999999999</v>
      </c>
      <c r="H31" s="17">
        <v>0.30300000000000005</v>
      </c>
      <c r="I31" s="19">
        <v>0.21899999999999997</v>
      </c>
      <c r="J31" s="4">
        <v>0.70699999999999996</v>
      </c>
      <c r="K31" s="4">
        <v>0.29300000000000004</v>
      </c>
      <c r="L31">
        <v>0</v>
      </c>
      <c r="M31">
        <v>349.00000000000006</v>
      </c>
      <c r="N31">
        <v>435.99999999999994</v>
      </c>
      <c r="O31">
        <v>368</v>
      </c>
      <c r="P31">
        <v>303.00000000000006</v>
      </c>
      <c r="Q31">
        <v>175</v>
      </c>
      <c r="R31">
        <v>70</v>
      </c>
      <c r="S31" s="20"/>
    </row>
    <row r="32" spans="1:19" x14ac:dyDescent="0.25">
      <c r="A32">
        <v>30</v>
      </c>
      <c r="B32" s="17">
        <v>0.28100000000000003</v>
      </c>
      <c r="C32" s="17">
        <v>0.29199999999999998</v>
      </c>
      <c r="D32" s="17">
        <v>0.30000000000000004</v>
      </c>
      <c r="E32" s="17">
        <v>0.26</v>
      </c>
      <c r="F32" s="17">
        <v>0.93</v>
      </c>
      <c r="G32" s="17">
        <v>0.30000000000000004</v>
      </c>
      <c r="H32" s="17">
        <v>0.26799999999999996</v>
      </c>
      <c r="I32" s="19">
        <v>0.17499999999999999</v>
      </c>
      <c r="J32" s="4">
        <v>0.74199999999999999</v>
      </c>
      <c r="K32" s="4">
        <v>0.25799999999999995</v>
      </c>
      <c r="L32">
        <v>0</v>
      </c>
      <c r="M32">
        <v>303.00000000000006</v>
      </c>
      <c r="N32">
        <v>368</v>
      </c>
      <c r="O32">
        <v>300.00000000000006</v>
      </c>
      <c r="P32">
        <v>267.99999999999994</v>
      </c>
      <c r="Q32">
        <v>152</v>
      </c>
      <c r="R32">
        <v>68</v>
      </c>
      <c r="S32" s="20"/>
    </row>
    <row r="33" spans="1:19" x14ac:dyDescent="0.25">
      <c r="A33">
        <v>31</v>
      </c>
      <c r="B33" s="17">
        <v>0.254</v>
      </c>
      <c r="C33" s="17">
        <v>0.27100000000000002</v>
      </c>
      <c r="D33" s="17">
        <v>0.22999999999999998</v>
      </c>
      <c r="E33" s="17">
        <v>0.94000000000000006</v>
      </c>
      <c r="F33" s="17">
        <v>0.25</v>
      </c>
      <c r="G33" s="17">
        <v>0.22999999999999998</v>
      </c>
      <c r="H33" s="17">
        <v>0.23700000000000002</v>
      </c>
      <c r="I33" s="19">
        <v>0.17</v>
      </c>
      <c r="J33" s="4">
        <v>0.77300000000000002</v>
      </c>
      <c r="K33" s="4">
        <v>0.22700000000000001</v>
      </c>
      <c r="L33">
        <v>0</v>
      </c>
      <c r="M33">
        <v>267.99999999999994</v>
      </c>
      <c r="N33">
        <v>300.00000000000006</v>
      </c>
      <c r="O33">
        <v>229.99999999999997</v>
      </c>
      <c r="P33">
        <v>237.00000000000003</v>
      </c>
      <c r="Q33">
        <v>134</v>
      </c>
      <c r="R33">
        <v>62</v>
      </c>
      <c r="S33" s="20"/>
    </row>
    <row r="34" spans="1:19" x14ac:dyDescent="0.25">
      <c r="A34">
        <v>32</v>
      </c>
      <c r="B34" s="17">
        <v>0.23200000000000001</v>
      </c>
      <c r="C34" s="17">
        <v>0.255</v>
      </c>
      <c r="D34" s="17">
        <v>0.17</v>
      </c>
      <c r="E34" s="17">
        <v>0.92</v>
      </c>
      <c r="F34" s="17">
        <v>0.27</v>
      </c>
      <c r="G34" s="17">
        <v>0.17</v>
      </c>
      <c r="H34" s="17">
        <v>0.21799999999999997</v>
      </c>
      <c r="I34" s="19">
        <v>0.22999999999999998</v>
      </c>
      <c r="J34" s="4">
        <v>0.79200000000000004</v>
      </c>
      <c r="K34" s="4">
        <v>0.20799999999999996</v>
      </c>
      <c r="L34">
        <v>0</v>
      </c>
      <c r="M34">
        <v>237.00000000000003</v>
      </c>
      <c r="N34">
        <v>229.99999999999997</v>
      </c>
      <c r="O34">
        <v>170</v>
      </c>
      <c r="P34">
        <v>217.99999999999997</v>
      </c>
      <c r="Q34">
        <v>119</v>
      </c>
      <c r="R34">
        <v>58</v>
      </c>
      <c r="S34" s="20"/>
    </row>
    <row r="35" spans="1:19" x14ac:dyDescent="0.25">
      <c r="A35">
        <v>33</v>
      </c>
      <c r="B35" s="17">
        <v>0.216</v>
      </c>
      <c r="C35" s="17">
        <v>0.24399999999999999</v>
      </c>
      <c r="D35" s="17">
        <v>0.13500000000000001</v>
      </c>
      <c r="E35" s="17">
        <v>0.89</v>
      </c>
      <c r="F35" s="17">
        <v>0.28999999999999998</v>
      </c>
      <c r="G35" s="17">
        <v>0.13500000000000001</v>
      </c>
      <c r="H35" s="17">
        <v>0.21100000000000005</v>
      </c>
      <c r="I35" s="19">
        <v>0.30000000000000004</v>
      </c>
      <c r="J35" s="4">
        <v>0.79899999999999993</v>
      </c>
      <c r="K35" s="4">
        <v>0.20100000000000004</v>
      </c>
      <c r="L35">
        <v>0</v>
      </c>
      <c r="M35">
        <v>217.99999999999997</v>
      </c>
      <c r="N35">
        <v>170</v>
      </c>
      <c r="O35">
        <v>135</v>
      </c>
      <c r="P35">
        <v>211.00000000000006</v>
      </c>
      <c r="Q35">
        <v>109</v>
      </c>
      <c r="R35">
        <v>55</v>
      </c>
      <c r="S35" s="20"/>
    </row>
    <row r="36" spans="1:19" x14ac:dyDescent="0.25">
      <c r="A36">
        <v>34</v>
      </c>
      <c r="B36" s="17">
        <v>0.20599999999999999</v>
      </c>
      <c r="C36" s="17">
        <v>0.23799999999999999</v>
      </c>
      <c r="D36" s="17">
        <v>0.11499999999999999</v>
      </c>
      <c r="E36" s="17">
        <v>0.85</v>
      </c>
      <c r="F36" s="17">
        <v>0.38</v>
      </c>
      <c r="G36" s="17">
        <v>0.11499999999999999</v>
      </c>
      <c r="H36" s="17">
        <v>0.21299999999999999</v>
      </c>
      <c r="I36" s="19">
        <v>0.36799999999999999</v>
      </c>
      <c r="J36" s="4">
        <v>0.79700000000000004</v>
      </c>
      <c r="K36" s="4">
        <v>0.20299999999999999</v>
      </c>
      <c r="L36">
        <v>0</v>
      </c>
      <c r="M36">
        <v>211.00000000000006</v>
      </c>
      <c r="N36">
        <v>135</v>
      </c>
      <c r="O36">
        <v>114.99999999999999</v>
      </c>
      <c r="P36">
        <v>213</v>
      </c>
      <c r="Q36">
        <v>106</v>
      </c>
      <c r="R36">
        <v>51</v>
      </c>
      <c r="S36" s="20"/>
    </row>
    <row r="37" spans="1:19" x14ac:dyDescent="0.25">
      <c r="A37">
        <v>35</v>
      </c>
      <c r="B37" s="17">
        <v>0.20200000000000001</v>
      </c>
      <c r="C37" s="17">
        <v>0.23699999999999999</v>
      </c>
      <c r="D37" s="17">
        <v>0.11000000000000001</v>
      </c>
      <c r="E37" s="17">
        <v>0.84</v>
      </c>
      <c r="F37" s="17">
        <v>0.41000000000000003</v>
      </c>
      <c r="G37" s="17">
        <v>0.11000000000000001</v>
      </c>
      <c r="H37" s="17">
        <v>0.22300000000000006</v>
      </c>
      <c r="I37" s="19">
        <v>0.43599999999999994</v>
      </c>
      <c r="J37" s="4">
        <v>0.78699999999999992</v>
      </c>
      <c r="K37" s="4">
        <v>0.21300000000000005</v>
      </c>
      <c r="L37">
        <v>0</v>
      </c>
      <c r="M37">
        <v>213</v>
      </c>
      <c r="N37">
        <v>114.99999999999999</v>
      </c>
      <c r="O37">
        <v>110.00000000000001</v>
      </c>
      <c r="P37">
        <v>223.00000000000006</v>
      </c>
      <c r="Q37">
        <v>107</v>
      </c>
      <c r="R37">
        <v>47</v>
      </c>
      <c r="S37" s="20"/>
    </row>
    <row r="38" spans="1:19" x14ac:dyDescent="0.25">
      <c r="A38">
        <v>36</v>
      </c>
      <c r="B38" s="17">
        <v>0.20399999999999999</v>
      </c>
      <c r="C38" s="17">
        <v>0.24099999999999999</v>
      </c>
      <c r="D38" s="17">
        <v>0.11100000000000002</v>
      </c>
      <c r="E38" s="17">
        <v>0.83000000000000007</v>
      </c>
      <c r="F38" s="17">
        <v>0.44</v>
      </c>
      <c r="G38" s="17">
        <v>0.11100000000000002</v>
      </c>
      <c r="H38" s="17">
        <v>0.24000000000000005</v>
      </c>
      <c r="I38" s="19">
        <v>0.4880000000000001</v>
      </c>
      <c r="J38" s="4">
        <v>0.77</v>
      </c>
      <c r="K38" s="4">
        <v>0.23000000000000004</v>
      </c>
      <c r="L38">
        <v>4</v>
      </c>
      <c r="M38">
        <v>223.00000000000006</v>
      </c>
      <c r="N38">
        <v>110.00000000000001</v>
      </c>
      <c r="O38">
        <v>111.00000000000001</v>
      </c>
      <c r="P38">
        <v>240.00000000000006</v>
      </c>
      <c r="Q38">
        <v>112</v>
      </c>
      <c r="R38">
        <v>39</v>
      </c>
      <c r="S38" s="20"/>
    </row>
    <row r="39" spans="1:19" x14ac:dyDescent="0.25">
      <c r="A39">
        <v>37</v>
      </c>
      <c r="B39" s="17">
        <v>0.21299999999999999</v>
      </c>
      <c r="C39" s="17">
        <v>0.25</v>
      </c>
      <c r="D39" s="17">
        <v>0.11299999999999999</v>
      </c>
      <c r="E39" s="17">
        <v>0.82000000000000006</v>
      </c>
      <c r="F39" s="17">
        <v>0.44</v>
      </c>
      <c r="G39" s="17">
        <v>0.11299999999999999</v>
      </c>
      <c r="H39" s="17">
        <v>0.26900000000000007</v>
      </c>
      <c r="I39" s="19">
        <v>0.53100000000000003</v>
      </c>
      <c r="J39" s="4">
        <v>0.74099999999999988</v>
      </c>
      <c r="K39" s="4">
        <v>0.25900000000000006</v>
      </c>
      <c r="L39">
        <v>4</v>
      </c>
      <c r="M39">
        <v>240.00000000000006</v>
      </c>
      <c r="N39">
        <v>111.00000000000001</v>
      </c>
      <c r="O39">
        <v>112.99999999999999</v>
      </c>
      <c r="P39">
        <v>269.00000000000006</v>
      </c>
      <c r="Q39">
        <v>120</v>
      </c>
      <c r="R39">
        <v>99</v>
      </c>
      <c r="S39" s="20"/>
    </row>
    <row r="40" spans="1:19" x14ac:dyDescent="0.25">
      <c r="A40">
        <v>38</v>
      </c>
      <c r="B40" s="17">
        <v>0.22800000000000001</v>
      </c>
      <c r="C40" s="17">
        <v>0.26500000000000001</v>
      </c>
      <c r="D40" s="17">
        <v>0.11799999999999999</v>
      </c>
      <c r="E40" s="17">
        <v>0.81</v>
      </c>
      <c r="F40" s="17">
        <v>0.44</v>
      </c>
      <c r="G40" s="17">
        <v>0.11799999999999999</v>
      </c>
      <c r="H40" s="17">
        <v>0.30000000000000004</v>
      </c>
      <c r="I40" s="19">
        <v>0.56400000000000006</v>
      </c>
      <c r="J40" s="4">
        <v>0.71</v>
      </c>
      <c r="K40" s="4">
        <v>0.29000000000000004</v>
      </c>
      <c r="L40">
        <v>10</v>
      </c>
      <c r="M40">
        <v>269.00000000000006</v>
      </c>
      <c r="N40">
        <v>112.99999999999999</v>
      </c>
      <c r="O40">
        <v>118</v>
      </c>
      <c r="P40">
        <v>300.00000000000006</v>
      </c>
      <c r="Q40">
        <v>135</v>
      </c>
      <c r="R40">
        <v>97</v>
      </c>
      <c r="S40" s="20"/>
    </row>
    <row r="41" spans="1:19" x14ac:dyDescent="0.25">
      <c r="A41">
        <v>39</v>
      </c>
      <c r="B41" s="17">
        <v>0.25800000000000001</v>
      </c>
      <c r="C41" s="17">
        <v>0.28699999999999998</v>
      </c>
      <c r="D41" s="17">
        <v>0.13500000000000001</v>
      </c>
      <c r="E41" s="17">
        <v>0.81</v>
      </c>
      <c r="F41" s="17">
        <v>0.5</v>
      </c>
      <c r="G41" s="17">
        <v>0.13500000000000001</v>
      </c>
      <c r="H41" s="17">
        <v>0.33600000000000008</v>
      </c>
      <c r="I41" s="19">
        <v>0.59100000000000008</v>
      </c>
      <c r="J41" s="4">
        <v>0.67399999999999993</v>
      </c>
      <c r="K41" s="4">
        <v>0.32600000000000007</v>
      </c>
      <c r="L41">
        <v>10</v>
      </c>
      <c r="M41">
        <v>300.00000000000006</v>
      </c>
      <c r="N41">
        <v>118</v>
      </c>
      <c r="O41">
        <v>135</v>
      </c>
      <c r="P41">
        <v>336.00000000000006</v>
      </c>
      <c r="Q41">
        <v>150</v>
      </c>
      <c r="R41">
        <v>92</v>
      </c>
      <c r="S41" s="20"/>
    </row>
    <row r="42" spans="1:19" x14ac:dyDescent="0.25">
      <c r="A42">
        <v>40</v>
      </c>
      <c r="B42" s="17">
        <v>0.307</v>
      </c>
      <c r="C42" s="17">
        <v>0.32100000000000001</v>
      </c>
      <c r="D42" s="17">
        <v>0.15100000000000002</v>
      </c>
      <c r="E42" s="17">
        <v>0.78</v>
      </c>
      <c r="F42" s="17">
        <v>0.5</v>
      </c>
      <c r="G42" s="17">
        <v>0.15100000000000002</v>
      </c>
      <c r="H42" s="17">
        <v>0.38100000000000001</v>
      </c>
      <c r="I42" s="19">
        <v>0.61199999999999999</v>
      </c>
      <c r="J42" s="4">
        <v>0.629</v>
      </c>
      <c r="K42" s="4">
        <v>0.371</v>
      </c>
      <c r="L42">
        <v>18</v>
      </c>
      <c r="M42">
        <v>336.00000000000006</v>
      </c>
      <c r="N42">
        <v>135</v>
      </c>
      <c r="O42">
        <v>151.00000000000003</v>
      </c>
      <c r="P42">
        <v>381</v>
      </c>
      <c r="Q42">
        <v>168</v>
      </c>
      <c r="R42">
        <v>88</v>
      </c>
      <c r="S42" s="20"/>
    </row>
    <row r="43" spans="1:19" x14ac:dyDescent="0.25">
      <c r="A43">
        <v>41</v>
      </c>
      <c r="B43" s="17">
        <v>0.36099999999999999</v>
      </c>
      <c r="C43" s="17">
        <v>0.36</v>
      </c>
      <c r="D43" s="17">
        <v>0.17700000000000002</v>
      </c>
      <c r="E43" s="17">
        <v>0.78</v>
      </c>
      <c r="F43" s="17">
        <v>0.5</v>
      </c>
      <c r="G43" s="17">
        <v>0.17700000000000002</v>
      </c>
      <c r="H43" s="17">
        <v>0.43699999999999994</v>
      </c>
      <c r="I43" s="19">
        <v>0.63000000000000012</v>
      </c>
      <c r="J43" s="4">
        <v>0.57300000000000006</v>
      </c>
      <c r="K43" s="4">
        <v>0.42699999999999994</v>
      </c>
      <c r="L43">
        <v>18</v>
      </c>
      <c r="M43">
        <v>381</v>
      </c>
      <c r="N43">
        <v>151.00000000000003</v>
      </c>
      <c r="O43">
        <v>177.00000000000003</v>
      </c>
      <c r="P43">
        <v>436.99999999999994</v>
      </c>
      <c r="Q43">
        <v>191</v>
      </c>
      <c r="R43">
        <v>85</v>
      </c>
      <c r="S43" s="20"/>
    </row>
    <row r="44" spans="1:19" x14ac:dyDescent="0.25">
      <c r="A44">
        <v>42</v>
      </c>
      <c r="B44" s="17">
        <v>0.42199999999999999</v>
      </c>
      <c r="C44" s="17">
        <v>0.40200000000000002</v>
      </c>
      <c r="D44" s="17">
        <v>0.21000000000000002</v>
      </c>
      <c r="E44" s="17">
        <v>0.76</v>
      </c>
      <c r="F44" s="17">
        <v>0.52</v>
      </c>
      <c r="G44" s="17">
        <v>0.21000000000000002</v>
      </c>
      <c r="H44" s="17">
        <v>0.49100000000000005</v>
      </c>
      <c r="I44" s="19">
        <v>0.64400000000000002</v>
      </c>
      <c r="J44" s="4">
        <v>0.51899999999999991</v>
      </c>
      <c r="K44" s="4">
        <v>0.48100000000000004</v>
      </c>
      <c r="L44">
        <v>26</v>
      </c>
      <c r="M44">
        <v>436.99999999999994</v>
      </c>
      <c r="N44">
        <v>177.00000000000003</v>
      </c>
      <c r="O44">
        <v>210.00000000000003</v>
      </c>
      <c r="P44">
        <v>491.00000000000006</v>
      </c>
      <c r="Q44">
        <v>219</v>
      </c>
      <c r="R44">
        <v>79</v>
      </c>
      <c r="S44" s="20"/>
    </row>
    <row r="45" spans="1:19" x14ac:dyDescent="0.25">
      <c r="A45">
        <v>43</v>
      </c>
      <c r="B45" s="17">
        <v>0.48399999999999999</v>
      </c>
      <c r="C45" s="17">
        <v>0.44700000000000001</v>
      </c>
      <c r="D45" s="17">
        <v>0.25</v>
      </c>
      <c r="E45" s="17">
        <v>0.73</v>
      </c>
      <c r="F45" s="17">
        <v>0.52</v>
      </c>
      <c r="G45" s="17">
        <v>0.25</v>
      </c>
      <c r="H45" s="17">
        <v>0.55100000000000005</v>
      </c>
      <c r="I45" s="19">
        <v>0.65500000000000014</v>
      </c>
      <c r="J45" s="4">
        <v>0.45899999999999996</v>
      </c>
      <c r="K45" s="4">
        <v>0.54100000000000004</v>
      </c>
      <c r="L45">
        <v>26</v>
      </c>
      <c r="M45">
        <v>491.00000000000006</v>
      </c>
      <c r="N45">
        <v>210.00000000000003</v>
      </c>
      <c r="O45">
        <v>250</v>
      </c>
      <c r="P45">
        <v>551</v>
      </c>
      <c r="Q45">
        <v>246</v>
      </c>
      <c r="R45">
        <v>71</v>
      </c>
      <c r="S45" s="20"/>
    </row>
    <row r="46" spans="1:19" x14ac:dyDescent="0.25">
      <c r="A46">
        <v>44</v>
      </c>
      <c r="B46" s="17">
        <v>0.54500000000000004</v>
      </c>
      <c r="C46" s="17">
        <v>0.48799999999999999</v>
      </c>
      <c r="D46" s="17">
        <v>0.30000000000000004</v>
      </c>
      <c r="E46" s="17">
        <v>0.66</v>
      </c>
      <c r="F46" s="17">
        <v>0.57000000000000006</v>
      </c>
      <c r="G46" s="17">
        <v>0.30000000000000004</v>
      </c>
      <c r="H46" s="17">
        <v>0.60299999999999998</v>
      </c>
      <c r="I46" s="19">
        <v>0.66199999999999992</v>
      </c>
      <c r="J46" s="4">
        <v>0.40700000000000003</v>
      </c>
      <c r="K46" s="4">
        <v>0.59299999999999997</v>
      </c>
      <c r="L46">
        <v>18</v>
      </c>
      <c r="M46">
        <v>551</v>
      </c>
      <c r="N46">
        <v>250</v>
      </c>
      <c r="O46">
        <v>300.00000000000006</v>
      </c>
      <c r="P46">
        <v>603</v>
      </c>
      <c r="Q46">
        <v>276</v>
      </c>
      <c r="R46">
        <v>68</v>
      </c>
      <c r="S46" s="20"/>
    </row>
    <row r="47" spans="1:19" x14ac:dyDescent="0.25">
      <c r="A47">
        <v>45</v>
      </c>
      <c r="B47" s="17">
        <v>0.59699999999999998</v>
      </c>
      <c r="C47" s="17">
        <v>0.52300000000000002</v>
      </c>
      <c r="D47" s="17">
        <v>0.36000000000000004</v>
      </c>
      <c r="E47" s="17">
        <v>0.66</v>
      </c>
      <c r="F47" s="17">
        <v>0.57999999999999996</v>
      </c>
      <c r="G47" s="17">
        <v>0.36000000000000004</v>
      </c>
      <c r="H47" s="17">
        <v>0.65100000000000002</v>
      </c>
      <c r="I47" s="19">
        <v>0.66700000000000004</v>
      </c>
      <c r="J47" s="4">
        <v>0.35899999999999999</v>
      </c>
      <c r="K47" s="4">
        <v>0.64100000000000001</v>
      </c>
      <c r="L47">
        <v>18</v>
      </c>
      <c r="M47">
        <v>603</v>
      </c>
      <c r="N47">
        <v>300.00000000000006</v>
      </c>
      <c r="O47">
        <v>360.00000000000006</v>
      </c>
      <c r="P47">
        <v>651</v>
      </c>
      <c r="Q47">
        <v>302</v>
      </c>
      <c r="R47">
        <v>65</v>
      </c>
      <c r="S47" s="20"/>
    </row>
    <row r="48" spans="1:19" x14ac:dyDescent="0.25">
      <c r="A48">
        <v>46</v>
      </c>
      <c r="B48" s="17">
        <v>0.63700000000000001</v>
      </c>
      <c r="C48" s="17">
        <v>0.55100000000000005</v>
      </c>
      <c r="D48" s="17">
        <v>0.42899999999999994</v>
      </c>
      <c r="E48" s="17">
        <v>0.65</v>
      </c>
      <c r="F48" s="17">
        <v>0.57999999999999996</v>
      </c>
      <c r="G48" s="17">
        <v>0.42899999999999994</v>
      </c>
      <c r="H48" s="17">
        <v>0.69100000000000006</v>
      </c>
      <c r="I48" s="19">
        <v>0.66700000000000004</v>
      </c>
      <c r="J48" s="4">
        <v>0.31899999999999995</v>
      </c>
      <c r="K48" s="4">
        <v>0.68100000000000005</v>
      </c>
      <c r="L48">
        <v>10</v>
      </c>
      <c r="M48">
        <v>651</v>
      </c>
      <c r="N48">
        <v>360.00000000000006</v>
      </c>
      <c r="O48">
        <v>428.99999999999994</v>
      </c>
      <c r="P48">
        <v>691.00000000000011</v>
      </c>
      <c r="Q48">
        <v>326</v>
      </c>
      <c r="R48">
        <v>59</v>
      </c>
      <c r="S48" s="20"/>
    </row>
    <row r="49" spans="1:19" x14ac:dyDescent="0.25">
      <c r="A49">
        <v>47</v>
      </c>
      <c r="B49" s="17">
        <v>0.66300000000000003</v>
      </c>
      <c r="C49" s="17">
        <v>0.57299999999999995</v>
      </c>
      <c r="D49" s="17">
        <v>0.51400000000000012</v>
      </c>
      <c r="E49" s="17">
        <v>0.62</v>
      </c>
      <c r="F49" s="17">
        <v>0.63</v>
      </c>
      <c r="G49" s="17">
        <v>0.51400000000000012</v>
      </c>
      <c r="H49" s="17">
        <v>0.71799999999999997</v>
      </c>
      <c r="I49" s="19">
        <v>0.66100000000000003</v>
      </c>
      <c r="J49" s="4">
        <v>0.29200000000000004</v>
      </c>
      <c r="K49" s="4">
        <v>0.70799999999999996</v>
      </c>
      <c r="L49">
        <v>10</v>
      </c>
      <c r="M49">
        <v>691.00000000000011</v>
      </c>
      <c r="N49">
        <v>428.99999999999994</v>
      </c>
      <c r="O49">
        <v>514.00000000000011</v>
      </c>
      <c r="P49">
        <v>718</v>
      </c>
      <c r="Q49">
        <v>346</v>
      </c>
      <c r="R49">
        <v>53</v>
      </c>
      <c r="S49" s="20"/>
    </row>
    <row r="50" spans="1:19" x14ac:dyDescent="0.25">
      <c r="A50">
        <v>48</v>
      </c>
      <c r="B50" s="17">
        <v>0.68</v>
      </c>
      <c r="C50" s="17">
        <v>0.58899999999999997</v>
      </c>
      <c r="D50" s="17">
        <v>0.58100000000000007</v>
      </c>
      <c r="E50" s="17">
        <v>0.6</v>
      </c>
      <c r="F50" s="17">
        <v>0.64</v>
      </c>
      <c r="G50" s="17">
        <v>0.58100000000000007</v>
      </c>
      <c r="H50" s="17">
        <v>0.73499999999999999</v>
      </c>
      <c r="I50" s="19">
        <v>0.65100000000000002</v>
      </c>
      <c r="J50" s="4">
        <v>0.27500000000000002</v>
      </c>
      <c r="K50" s="4">
        <v>0.72499999999999998</v>
      </c>
      <c r="L50">
        <v>4</v>
      </c>
      <c r="M50">
        <v>718</v>
      </c>
      <c r="N50">
        <v>514.00000000000011</v>
      </c>
      <c r="O50">
        <v>581.00000000000011</v>
      </c>
      <c r="P50">
        <v>735</v>
      </c>
      <c r="Q50">
        <v>359</v>
      </c>
      <c r="R50">
        <v>48</v>
      </c>
      <c r="S50" s="20"/>
    </row>
    <row r="51" spans="1:19" x14ac:dyDescent="0.25">
      <c r="A51">
        <v>49</v>
      </c>
      <c r="B51" s="17">
        <v>0.68700000000000006</v>
      </c>
      <c r="C51" s="17">
        <v>0.60199999999999998</v>
      </c>
      <c r="D51" s="17">
        <v>0.63200000000000012</v>
      </c>
      <c r="E51" s="17">
        <v>0.57999999999999996</v>
      </c>
      <c r="F51" s="17">
        <v>0.68</v>
      </c>
      <c r="G51" s="17">
        <v>0.63200000000000012</v>
      </c>
      <c r="H51" s="17">
        <v>0.754</v>
      </c>
      <c r="I51" s="19">
        <v>0.64100000000000001</v>
      </c>
      <c r="J51" s="4">
        <v>0.25600000000000001</v>
      </c>
      <c r="K51" s="4">
        <v>0.74399999999999999</v>
      </c>
      <c r="L51">
        <v>4</v>
      </c>
      <c r="M51">
        <v>735</v>
      </c>
      <c r="N51">
        <v>581.00000000000011</v>
      </c>
      <c r="O51">
        <v>632.00000000000011</v>
      </c>
      <c r="P51">
        <v>754</v>
      </c>
      <c r="Q51">
        <v>368</v>
      </c>
      <c r="R51">
        <v>98</v>
      </c>
      <c r="S51" s="20"/>
    </row>
    <row r="52" spans="1:19" x14ac:dyDescent="0.25">
      <c r="A52">
        <v>50</v>
      </c>
      <c r="B52" s="17">
        <v>0.69199999999999995</v>
      </c>
      <c r="C52" s="17">
        <v>0.61199999999999999</v>
      </c>
      <c r="D52" s="17">
        <v>0.66999999999999993</v>
      </c>
      <c r="E52" s="17">
        <v>0.56000000000000005</v>
      </c>
      <c r="F52" s="17">
        <v>0.70000000000000007</v>
      </c>
      <c r="G52" s="17">
        <v>0.66999999999999993</v>
      </c>
      <c r="H52" s="17">
        <v>0.76200000000000001</v>
      </c>
      <c r="I52" s="19">
        <v>0.626</v>
      </c>
      <c r="J52" s="4">
        <v>0.248</v>
      </c>
      <c r="K52" s="4">
        <v>0.752</v>
      </c>
      <c r="L52">
        <v>0</v>
      </c>
      <c r="M52">
        <v>754</v>
      </c>
      <c r="N52">
        <v>632.00000000000011</v>
      </c>
      <c r="O52">
        <v>669.99999999999989</v>
      </c>
      <c r="P52">
        <v>762</v>
      </c>
      <c r="Q52">
        <v>377</v>
      </c>
      <c r="R52">
        <v>95</v>
      </c>
      <c r="S52" s="20"/>
    </row>
    <row r="53" spans="1:19" x14ac:dyDescent="0.25">
      <c r="A53">
        <v>51</v>
      </c>
      <c r="B53" s="17">
        <v>0.69</v>
      </c>
      <c r="C53" s="17">
        <v>0.62</v>
      </c>
      <c r="D53" s="17">
        <v>0.70399999999999996</v>
      </c>
      <c r="E53" s="17">
        <v>0.52</v>
      </c>
      <c r="F53" s="17">
        <v>0.70000000000000007</v>
      </c>
      <c r="G53" s="17">
        <v>0.70399999999999996</v>
      </c>
      <c r="H53" s="17">
        <v>0.76700000000000002</v>
      </c>
      <c r="I53" s="19">
        <v>0.60299999999999998</v>
      </c>
      <c r="J53" s="4">
        <v>0.24299999999999999</v>
      </c>
      <c r="K53" s="4">
        <v>0.75700000000000001</v>
      </c>
      <c r="L53">
        <v>0</v>
      </c>
      <c r="M53">
        <v>762</v>
      </c>
      <c r="N53">
        <v>669.99999999999989</v>
      </c>
      <c r="O53">
        <v>704</v>
      </c>
      <c r="P53">
        <v>767</v>
      </c>
      <c r="Q53">
        <v>381</v>
      </c>
      <c r="R53">
        <v>90</v>
      </c>
      <c r="S53" s="20"/>
    </row>
    <row r="54" spans="1:19" x14ac:dyDescent="0.25">
      <c r="A54">
        <v>52</v>
      </c>
      <c r="B54" s="17">
        <v>0.68799999999999994</v>
      </c>
      <c r="C54" s="17">
        <v>0.626</v>
      </c>
      <c r="D54" s="17">
        <v>0.72500000000000009</v>
      </c>
      <c r="E54" s="17">
        <v>0.5</v>
      </c>
      <c r="F54" s="17">
        <v>0.74</v>
      </c>
      <c r="G54" s="17">
        <v>0.72500000000000009</v>
      </c>
      <c r="H54" s="17">
        <v>0.76400000000000012</v>
      </c>
      <c r="I54" s="19">
        <v>0.57799999999999996</v>
      </c>
      <c r="J54" s="4">
        <v>0.24599999999999989</v>
      </c>
      <c r="K54" s="4">
        <v>0.75400000000000011</v>
      </c>
      <c r="L54">
        <v>0</v>
      </c>
      <c r="M54">
        <v>767</v>
      </c>
      <c r="N54">
        <v>704</v>
      </c>
      <c r="O54">
        <v>725.00000000000011</v>
      </c>
      <c r="P54">
        <v>764.00000000000011</v>
      </c>
      <c r="Q54">
        <v>384</v>
      </c>
      <c r="R54">
        <v>85</v>
      </c>
      <c r="S54" s="20"/>
    </row>
    <row r="55" spans="1:19" x14ac:dyDescent="0.25">
      <c r="A55">
        <v>53</v>
      </c>
      <c r="B55" s="17">
        <v>0.68100000000000005</v>
      </c>
      <c r="C55" s="17">
        <v>0.63100000000000001</v>
      </c>
      <c r="D55" s="17">
        <v>0.74600000000000011</v>
      </c>
      <c r="E55" s="17">
        <v>0.47000000000000003</v>
      </c>
      <c r="F55" s="17">
        <v>0.74</v>
      </c>
      <c r="G55" s="17">
        <v>0.74600000000000011</v>
      </c>
      <c r="H55" s="17">
        <v>0.75700000000000012</v>
      </c>
      <c r="I55" s="19">
        <v>0.55199999999999994</v>
      </c>
      <c r="J55" s="4">
        <v>0.25299999999999989</v>
      </c>
      <c r="K55" s="4">
        <v>0.74700000000000011</v>
      </c>
      <c r="L55">
        <v>0</v>
      </c>
      <c r="M55">
        <v>764.00000000000011</v>
      </c>
      <c r="N55">
        <v>725.00000000000011</v>
      </c>
      <c r="O55">
        <v>746.00000000000011</v>
      </c>
      <c r="P55">
        <v>757.00000000000011</v>
      </c>
      <c r="Q55">
        <v>382</v>
      </c>
      <c r="R55">
        <v>80</v>
      </c>
      <c r="S55" s="20"/>
    </row>
    <row r="56" spans="1:19" x14ac:dyDescent="0.25">
      <c r="A56">
        <v>54</v>
      </c>
      <c r="B56" s="17">
        <v>0.66700000000000004</v>
      </c>
      <c r="C56" s="17">
        <v>0.63400000000000001</v>
      </c>
      <c r="D56" s="17">
        <v>0.75700000000000012</v>
      </c>
      <c r="E56" s="17">
        <v>0.46</v>
      </c>
      <c r="F56" s="17">
        <v>0.75</v>
      </c>
      <c r="G56" s="17">
        <v>0.75700000000000012</v>
      </c>
      <c r="H56" s="17">
        <v>0.74600000000000011</v>
      </c>
      <c r="I56" s="19">
        <v>0.52100000000000013</v>
      </c>
      <c r="J56" s="4">
        <v>0.2639999999999999</v>
      </c>
      <c r="K56" s="4">
        <v>0.7360000000000001</v>
      </c>
      <c r="L56">
        <v>0</v>
      </c>
      <c r="M56">
        <v>757.00000000000011</v>
      </c>
      <c r="N56">
        <v>746.00000000000011</v>
      </c>
      <c r="O56">
        <v>757.00000000000011</v>
      </c>
      <c r="P56">
        <v>746.00000000000011</v>
      </c>
      <c r="Q56">
        <v>379</v>
      </c>
      <c r="R56">
        <v>55</v>
      </c>
      <c r="S56" s="20"/>
    </row>
    <row r="57" spans="1:19" x14ac:dyDescent="0.25">
      <c r="A57">
        <v>55</v>
      </c>
      <c r="B57" s="17">
        <v>0.64700000000000002</v>
      </c>
      <c r="C57" s="17">
        <v>0.63600000000000001</v>
      </c>
      <c r="D57" s="17">
        <v>0.76400000000000012</v>
      </c>
      <c r="E57" s="17">
        <v>0.41000000000000003</v>
      </c>
      <c r="F57" s="17">
        <v>0.76</v>
      </c>
      <c r="G57" s="17">
        <v>0.76400000000000012</v>
      </c>
      <c r="H57" s="17">
        <v>0.72500000000000009</v>
      </c>
      <c r="I57" s="19">
        <v>0.4880000000000001</v>
      </c>
      <c r="J57" s="4">
        <v>0.28499999999999992</v>
      </c>
      <c r="K57" s="4">
        <v>0.71500000000000008</v>
      </c>
      <c r="L57">
        <v>0</v>
      </c>
      <c r="M57">
        <v>746.00000000000011</v>
      </c>
      <c r="N57">
        <v>757.00000000000011</v>
      </c>
      <c r="O57">
        <v>764.00000000000011</v>
      </c>
      <c r="P57">
        <v>725.00000000000011</v>
      </c>
      <c r="Q57">
        <v>373</v>
      </c>
      <c r="R57">
        <v>50</v>
      </c>
      <c r="S57" s="20"/>
    </row>
    <row r="58" spans="1:19" x14ac:dyDescent="0.25">
      <c r="A58">
        <v>56</v>
      </c>
      <c r="B58" s="17">
        <v>0.62</v>
      </c>
      <c r="C58" s="17">
        <v>0.63700000000000001</v>
      </c>
      <c r="D58" s="17">
        <v>0.76700000000000002</v>
      </c>
      <c r="E58" s="17">
        <v>0.37</v>
      </c>
      <c r="F58" s="17">
        <v>0.8</v>
      </c>
      <c r="G58" s="17">
        <v>0.76700000000000002</v>
      </c>
      <c r="H58" s="17">
        <v>0.70399999999999996</v>
      </c>
      <c r="I58" s="19">
        <v>0.44900000000000007</v>
      </c>
      <c r="J58" s="4">
        <v>0.30600000000000005</v>
      </c>
      <c r="K58" s="4">
        <v>0.69399999999999995</v>
      </c>
      <c r="L58">
        <v>0</v>
      </c>
      <c r="M58">
        <v>725.00000000000011</v>
      </c>
      <c r="N58">
        <v>764.00000000000011</v>
      </c>
      <c r="O58">
        <v>767</v>
      </c>
      <c r="P58">
        <v>704</v>
      </c>
      <c r="Q58">
        <v>363</v>
      </c>
      <c r="R58">
        <v>45</v>
      </c>
      <c r="S58" s="20"/>
    </row>
    <row r="59" spans="1:19" x14ac:dyDescent="0.25">
      <c r="A59">
        <v>57</v>
      </c>
      <c r="B59" s="17">
        <v>0.58599999999999997</v>
      </c>
      <c r="C59" s="17">
        <v>0.63600000000000001</v>
      </c>
      <c r="D59" s="17">
        <v>0.76200000000000001</v>
      </c>
      <c r="E59" s="17">
        <v>0.34</v>
      </c>
      <c r="F59" s="17">
        <v>0.82000000000000006</v>
      </c>
      <c r="G59" s="17">
        <v>0.76200000000000001</v>
      </c>
      <c r="H59" s="17">
        <v>0.66999999999999993</v>
      </c>
      <c r="I59" s="19">
        <v>0.4</v>
      </c>
      <c r="J59" s="4">
        <v>0.34000000000000008</v>
      </c>
      <c r="K59" s="4">
        <v>0.65999999999999992</v>
      </c>
      <c r="L59">
        <v>0</v>
      </c>
      <c r="M59">
        <v>704</v>
      </c>
      <c r="N59">
        <v>767</v>
      </c>
      <c r="O59">
        <v>762</v>
      </c>
      <c r="P59">
        <v>669.99999999999989</v>
      </c>
      <c r="Q59">
        <v>352</v>
      </c>
      <c r="R59">
        <v>40</v>
      </c>
      <c r="S59" s="20"/>
    </row>
    <row r="60" spans="1:19" x14ac:dyDescent="0.25">
      <c r="A60">
        <v>58</v>
      </c>
      <c r="B60" s="17">
        <v>0.54800000000000004</v>
      </c>
      <c r="C60" s="17">
        <v>0.63300000000000001</v>
      </c>
      <c r="D60" s="17">
        <v>0.754</v>
      </c>
      <c r="E60" s="17">
        <v>0.28999999999999998</v>
      </c>
      <c r="F60" s="17">
        <v>0.85</v>
      </c>
      <c r="G60" s="17">
        <v>0.754</v>
      </c>
      <c r="H60" s="17">
        <v>0.63200000000000012</v>
      </c>
      <c r="I60" s="19">
        <v>0.34900000000000003</v>
      </c>
      <c r="J60" s="4">
        <v>0.37799999999999989</v>
      </c>
      <c r="K60" s="4">
        <v>0.62200000000000011</v>
      </c>
      <c r="L60">
        <v>0</v>
      </c>
      <c r="M60">
        <v>669.99999999999989</v>
      </c>
      <c r="N60">
        <v>762</v>
      </c>
      <c r="O60">
        <v>754</v>
      </c>
      <c r="P60">
        <v>632.00000000000011</v>
      </c>
      <c r="Q60">
        <v>335</v>
      </c>
      <c r="R60">
        <v>35</v>
      </c>
      <c r="S60" s="20"/>
    </row>
    <row r="61" spans="1:19" x14ac:dyDescent="0.25">
      <c r="A61">
        <v>59</v>
      </c>
      <c r="B61" s="17">
        <v>0.503</v>
      </c>
      <c r="C61" s="17">
        <v>0.627</v>
      </c>
      <c r="D61" s="17">
        <v>0.73499999999999999</v>
      </c>
      <c r="E61" s="17">
        <v>0.28999999999999998</v>
      </c>
      <c r="F61" s="17">
        <v>0.88</v>
      </c>
      <c r="G61" s="17">
        <v>0.73499999999999999</v>
      </c>
      <c r="H61" s="17">
        <v>0.58100000000000007</v>
      </c>
      <c r="I61" s="19">
        <v>0.30300000000000005</v>
      </c>
      <c r="J61" s="4">
        <v>0.42899999999999994</v>
      </c>
      <c r="K61" s="4">
        <v>0.57100000000000006</v>
      </c>
      <c r="L61">
        <v>0</v>
      </c>
      <c r="M61">
        <v>632.00000000000011</v>
      </c>
      <c r="N61">
        <v>754</v>
      </c>
      <c r="O61">
        <v>735</v>
      </c>
      <c r="P61">
        <v>581.00000000000011</v>
      </c>
      <c r="Q61">
        <v>316</v>
      </c>
      <c r="R61">
        <v>30</v>
      </c>
      <c r="S61" s="20"/>
    </row>
    <row r="62" spans="1:19" x14ac:dyDescent="0.25">
      <c r="A62">
        <v>60</v>
      </c>
      <c r="B62" s="17">
        <v>0.45300000000000001</v>
      </c>
      <c r="C62" s="17">
        <v>0.61799999999999999</v>
      </c>
      <c r="D62" s="17">
        <v>0.71799999999999997</v>
      </c>
      <c r="E62" s="17">
        <v>0.26</v>
      </c>
      <c r="F62" s="17">
        <v>0.88</v>
      </c>
      <c r="G62" s="17">
        <v>0.71799999999999997</v>
      </c>
      <c r="H62" s="17">
        <v>0.51400000000000012</v>
      </c>
      <c r="I62" s="19">
        <v>0.26799999999999996</v>
      </c>
      <c r="J62" s="4">
        <v>0.49599999999999989</v>
      </c>
      <c r="K62" s="4">
        <v>0.50400000000000011</v>
      </c>
      <c r="L62">
        <v>0</v>
      </c>
      <c r="M62">
        <v>581.00000000000011</v>
      </c>
      <c r="N62">
        <v>735</v>
      </c>
      <c r="O62">
        <v>718</v>
      </c>
      <c r="P62">
        <v>514.00000000000011</v>
      </c>
      <c r="Q62">
        <v>291</v>
      </c>
      <c r="R62">
        <v>25</v>
      </c>
      <c r="S62" s="20"/>
    </row>
    <row r="63" spans="1:19" x14ac:dyDescent="0.25">
      <c r="A63">
        <v>61</v>
      </c>
      <c r="B63" s="17">
        <v>0.39900000000000002</v>
      </c>
      <c r="C63" s="17">
        <v>0.60499999999999998</v>
      </c>
      <c r="D63" s="17">
        <v>0.69100000000000006</v>
      </c>
      <c r="E63" s="17">
        <v>0.9</v>
      </c>
      <c r="F63" s="17">
        <v>0.3</v>
      </c>
      <c r="G63" s="17">
        <v>0.69100000000000006</v>
      </c>
      <c r="H63" s="17">
        <v>0.42899999999999994</v>
      </c>
      <c r="I63" s="19">
        <v>0.22300000000000006</v>
      </c>
      <c r="J63" s="4">
        <v>0.58100000000000007</v>
      </c>
      <c r="K63" s="4">
        <v>0.41899999999999993</v>
      </c>
      <c r="L63">
        <v>0</v>
      </c>
      <c r="M63">
        <v>514.00000000000011</v>
      </c>
      <c r="N63">
        <v>718</v>
      </c>
      <c r="O63">
        <v>691.00000000000011</v>
      </c>
      <c r="P63">
        <v>428.99999999999994</v>
      </c>
      <c r="Q63">
        <v>257</v>
      </c>
      <c r="R63">
        <v>98</v>
      </c>
      <c r="S63" s="20"/>
    </row>
    <row r="64" spans="1:19" x14ac:dyDescent="0.25">
      <c r="A64">
        <v>62</v>
      </c>
      <c r="B64" s="17">
        <v>0.34300000000000003</v>
      </c>
      <c r="C64" s="17">
        <v>0.58799999999999997</v>
      </c>
      <c r="D64" s="17">
        <v>0.65100000000000002</v>
      </c>
      <c r="E64" s="17">
        <v>0.89</v>
      </c>
      <c r="F64" s="17">
        <v>0.3</v>
      </c>
      <c r="G64" s="17">
        <v>0.65100000000000002</v>
      </c>
      <c r="H64" s="17">
        <v>0.36000000000000004</v>
      </c>
      <c r="I64" s="19">
        <v>0.24000000000000005</v>
      </c>
      <c r="J64" s="4">
        <v>0.64999999999999991</v>
      </c>
      <c r="K64" s="4">
        <v>0.35000000000000003</v>
      </c>
      <c r="L64">
        <v>0</v>
      </c>
      <c r="M64">
        <v>428.99999999999994</v>
      </c>
      <c r="N64">
        <v>691.00000000000011</v>
      </c>
      <c r="O64">
        <v>651</v>
      </c>
      <c r="P64">
        <v>360.00000000000006</v>
      </c>
      <c r="Q64">
        <v>215</v>
      </c>
      <c r="R64">
        <v>90</v>
      </c>
      <c r="S64" s="20"/>
    </row>
    <row r="65" spans="1:19" x14ac:dyDescent="0.25">
      <c r="A65">
        <v>63</v>
      </c>
      <c r="B65" s="17">
        <v>0.29299999999999998</v>
      </c>
      <c r="C65" s="17">
        <v>0.56699999999999995</v>
      </c>
      <c r="D65" s="17">
        <v>0.60299999999999998</v>
      </c>
      <c r="E65" s="17">
        <v>0.87</v>
      </c>
      <c r="F65" s="17">
        <v>0.31</v>
      </c>
      <c r="G65" s="17">
        <v>0.60299999999999998</v>
      </c>
      <c r="H65" s="17">
        <v>0.30000000000000004</v>
      </c>
      <c r="I65" s="19">
        <v>0.26900000000000007</v>
      </c>
      <c r="J65" s="4">
        <v>0.71</v>
      </c>
      <c r="K65" s="4">
        <v>0.29000000000000004</v>
      </c>
      <c r="L65">
        <v>0</v>
      </c>
      <c r="M65">
        <v>360.00000000000006</v>
      </c>
      <c r="N65">
        <v>651</v>
      </c>
      <c r="O65">
        <v>603</v>
      </c>
      <c r="P65">
        <v>300.00000000000006</v>
      </c>
      <c r="Q65">
        <v>180</v>
      </c>
      <c r="R65">
        <v>88</v>
      </c>
      <c r="S65" s="20"/>
    </row>
    <row r="66" spans="1:19" x14ac:dyDescent="0.25">
      <c r="A66">
        <v>64</v>
      </c>
      <c r="B66" s="17">
        <v>0.253</v>
      </c>
      <c r="C66" s="17">
        <v>0.54200000000000004</v>
      </c>
      <c r="D66" s="17">
        <v>0.55100000000000005</v>
      </c>
      <c r="E66" s="17">
        <v>0.86</v>
      </c>
      <c r="F66" s="17">
        <v>0.33</v>
      </c>
      <c r="G66" s="17">
        <v>0.55100000000000005</v>
      </c>
      <c r="H66" s="17">
        <v>0.25</v>
      </c>
      <c r="I66" s="19">
        <v>0.30000000000000004</v>
      </c>
      <c r="J66" s="4">
        <v>0.76</v>
      </c>
      <c r="K66" s="4">
        <v>0.24</v>
      </c>
      <c r="L66">
        <v>4</v>
      </c>
      <c r="M66">
        <v>300.00000000000006</v>
      </c>
      <c r="N66">
        <v>603</v>
      </c>
      <c r="O66">
        <v>551</v>
      </c>
      <c r="P66">
        <v>250</v>
      </c>
      <c r="Q66">
        <v>150</v>
      </c>
      <c r="R66">
        <v>77</v>
      </c>
      <c r="S66" s="20"/>
    </row>
    <row r="67" spans="1:19" x14ac:dyDescent="0.25">
      <c r="A67">
        <v>65</v>
      </c>
      <c r="B67" s="17">
        <v>0.221</v>
      </c>
      <c r="C67" s="17">
        <v>0.51400000000000001</v>
      </c>
      <c r="D67" s="17">
        <v>0.49100000000000005</v>
      </c>
      <c r="E67" s="17">
        <v>0.82000000000000006</v>
      </c>
      <c r="F67" s="17">
        <v>0.35000000000000003</v>
      </c>
      <c r="G67" s="17">
        <v>0.49100000000000005</v>
      </c>
      <c r="H67" s="17">
        <v>0.21000000000000002</v>
      </c>
      <c r="I67" s="19">
        <v>0.33600000000000008</v>
      </c>
      <c r="J67" s="4">
        <v>0.8</v>
      </c>
      <c r="K67" s="4">
        <v>0.2</v>
      </c>
      <c r="L67">
        <v>4</v>
      </c>
      <c r="M67">
        <v>250</v>
      </c>
      <c r="N67">
        <v>551</v>
      </c>
      <c r="O67">
        <v>491.00000000000006</v>
      </c>
      <c r="P67">
        <v>210.00000000000003</v>
      </c>
      <c r="Q67">
        <v>125</v>
      </c>
      <c r="R67">
        <v>67</v>
      </c>
      <c r="S67" s="20"/>
    </row>
    <row r="68" spans="1:19" x14ac:dyDescent="0.25">
      <c r="A68">
        <v>66</v>
      </c>
      <c r="B68" s="17">
        <v>0.19500000000000001</v>
      </c>
      <c r="C68" s="17">
        <v>0.48399999999999999</v>
      </c>
      <c r="D68" s="17">
        <v>0.43699999999999994</v>
      </c>
      <c r="E68" s="17">
        <v>0.78</v>
      </c>
      <c r="F68" s="17">
        <v>0.35000000000000003</v>
      </c>
      <c r="G68" s="17">
        <v>0.43699999999999994</v>
      </c>
      <c r="H68" s="17">
        <v>0.17700000000000002</v>
      </c>
      <c r="I68" s="19">
        <v>0.38100000000000001</v>
      </c>
      <c r="J68" s="4">
        <v>0.83299999999999996</v>
      </c>
      <c r="K68" s="4">
        <v>0.16700000000000001</v>
      </c>
      <c r="L68">
        <v>10</v>
      </c>
      <c r="M68">
        <v>210.00000000000003</v>
      </c>
      <c r="N68">
        <v>491.00000000000006</v>
      </c>
      <c r="O68">
        <v>436.99999999999994</v>
      </c>
      <c r="P68">
        <v>177.00000000000003</v>
      </c>
      <c r="Q68">
        <v>105</v>
      </c>
      <c r="R68">
        <v>63</v>
      </c>
      <c r="S68" s="20"/>
    </row>
    <row r="69" spans="1:19" x14ac:dyDescent="0.25">
      <c r="A69">
        <v>67</v>
      </c>
      <c r="B69" s="17">
        <v>0.17499999999999999</v>
      </c>
      <c r="C69" s="17">
        <v>0.45300000000000001</v>
      </c>
      <c r="D69" s="17">
        <v>0.38100000000000001</v>
      </c>
      <c r="E69" s="17">
        <v>0.76</v>
      </c>
      <c r="F69" s="17">
        <v>0.47000000000000003</v>
      </c>
      <c r="G69" s="17">
        <v>0.38100000000000001</v>
      </c>
      <c r="H69" s="17">
        <v>0.15100000000000002</v>
      </c>
      <c r="I69" s="19">
        <v>0.43699999999999994</v>
      </c>
      <c r="J69" s="4">
        <v>0.85899999999999999</v>
      </c>
      <c r="K69" s="4">
        <v>0.14100000000000001</v>
      </c>
      <c r="L69">
        <v>10</v>
      </c>
      <c r="M69">
        <v>177.00000000000003</v>
      </c>
      <c r="N69">
        <v>436.99999999999994</v>
      </c>
      <c r="O69">
        <v>381</v>
      </c>
      <c r="P69">
        <v>151.00000000000003</v>
      </c>
      <c r="Q69">
        <v>89</v>
      </c>
      <c r="R69">
        <v>57</v>
      </c>
      <c r="S69" s="20"/>
    </row>
    <row r="70" spans="1:19" x14ac:dyDescent="0.25">
      <c r="A70">
        <v>68</v>
      </c>
      <c r="B70" s="17">
        <v>0.159</v>
      </c>
      <c r="C70" s="17">
        <v>0.42099999999999999</v>
      </c>
      <c r="D70" s="17">
        <v>0.33600000000000008</v>
      </c>
      <c r="E70" s="17">
        <v>0.75</v>
      </c>
      <c r="F70" s="17">
        <v>0.48</v>
      </c>
      <c r="G70" s="17">
        <v>0.33600000000000008</v>
      </c>
      <c r="H70" s="17">
        <v>0.13500000000000001</v>
      </c>
      <c r="I70" s="19">
        <v>0.49100000000000005</v>
      </c>
      <c r="J70" s="4">
        <v>0.875</v>
      </c>
      <c r="K70" s="4">
        <v>0.125</v>
      </c>
      <c r="L70">
        <v>18</v>
      </c>
      <c r="M70">
        <v>151.00000000000003</v>
      </c>
      <c r="N70">
        <v>381</v>
      </c>
      <c r="O70">
        <v>336.00000000000006</v>
      </c>
      <c r="P70">
        <v>135</v>
      </c>
      <c r="Q70">
        <v>76</v>
      </c>
      <c r="R70">
        <v>51</v>
      </c>
      <c r="S70" s="20"/>
    </row>
    <row r="71" spans="1:19" x14ac:dyDescent="0.25">
      <c r="A71">
        <v>69</v>
      </c>
      <c r="B71" s="17">
        <v>0.14699999999999999</v>
      </c>
      <c r="C71" s="17">
        <v>0.38900000000000001</v>
      </c>
      <c r="D71" s="17">
        <v>0.30000000000000004</v>
      </c>
      <c r="E71" s="17">
        <v>0.73</v>
      </c>
      <c r="F71" s="17">
        <v>0.52</v>
      </c>
      <c r="G71" s="17">
        <v>0.30000000000000004</v>
      </c>
      <c r="H71" s="17">
        <v>0.11799999999999999</v>
      </c>
      <c r="I71" s="19">
        <v>0.55100000000000005</v>
      </c>
      <c r="J71" s="4">
        <v>0.89200000000000002</v>
      </c>
      <c r="K71" s="4">
        <v>0.108</v>
      </c>
      <c r="L71">
        <v>18</v>
      </c>
      <c r="M71">
        <v>135</v>
      </c>
      <c r="N71">
        <v>336.00000000000006</v>
      </c>
      <c r="O71">
        <v>300.00000000000006</v>
      </c>
      <c r="P71">
        <v>118</v>
      </c>
      <c r="Q71">
        <v>68</v>
      </c>
      <c r="R71">
        <v>48</v>
      </c>
      <c r="S71" s="20"/>
    </row>
    <row r="72" spans="1:19" x14ac:dyDescent="0.25">
      <c r="A72">
        <v>70</v>
      </c>
      <c r="B72" s="17">
        <v>0.13900000000000001</v>
      </c>
      <c r="C72" s="17">
        <v>0.35799999999999998</v>
      </c>
      <c r="D72" s="17">
        <v>0.26900000000000007</v>
      </c>
      <c r="E72" s="17">
        <v>0.67</v>
      </c>
      <c r="F72" s="17">
        <v>0.55000000000000004</v>
      </c>
      <c r="G72" s="17">
        <v>0.26900000000000007</v>
      </c>
      <c r="H72" s="17">
        <v>0.11299999999999999</v>
      </c>
      <c r="I72" s="19">
        <v>0.60299999999999998</v>
      </c>
      <c r="J72" s="4">
        <v>0.89700000000000002</v>
      </c>
      <c r="K72" s="4">
        <v>0.10299999999999999</v>
      </c>
      <c r="L72">
        <v>26</v>
      </c>
      <c r="M72">
        <v>118</v>
      </c>
      <c r="N72">
        <v>300.00000000000006</v>
      </c>
      <c r="O72">
        <v>269.00000000000006</v>
      </c>
      <c r="P72">
        <v>112.99999999999999</v>
      </c>
      <c r="Q72">
        <v>59</v>
      </c>
      <c r="R72">
        <v>45</v>
      </c>
      <c r="S72" s="20"/>
    </row>
    <row r="73" spans="1:19" x14ac:dyDescent="0.25">
      <c r="A73">
        <v>71</v>
      </c>
      <c r="B73" s="17">
        <v>0.13600000000000001</v>
      </c>
      <c r="C73" s="17">
        <v>0.32900000000000001</v>
      </c>
      <c r="D73" s="17">
        <v>0.24000000000000005</v>
      </c>
      <c r="E73" s="17">
        <v>0.66</v>
      </c>
      <c r="F73" s="17">
        <v>0.57000000000000006</v>
      </c>
      <c r="G73" s="17">
        <v>0.24000000000000005</v>
      </c>
      <c r="H73" s="17">
        <v>0.11100000000000002</v>
      </c>
      <c r="I73" s="19">
        <v>0.65100000000000002</v>
      </c>
      <c r="J73" s="4">
        <v>0.89900000000000002</v>
      </c>
      <c r="K73" s="4">
        <v>0.10100000000000002</v>
      </c>
      <c r="L73">
        <v>26</v>
      </c>
      <c r="M73">
        <v>112.99999999999999</v>
      </c>
      <c r="N73">
        <v>269.00000000000006</v>
      </c>
      <c r="O73">
        <v>240.00000000000006</v>
      </c>
      <c r="P73">
        <v>111.00000000000001</v>
      </c>
      <c r="Q73">
        <v>57</v>
      </c>
      <c r="R73">
        <v>40</v>
      </c>
      <c r="S73" s="20"/>
    </row>
    <row r="74" spans="1:19" x14ac:dyDescent="0.25">
      <c r="A74">
        <v>72</v>
      </c>
      <c r="B74" s="17">
        <v>0.13700000000000001</v>
      </c>
      <c r="C74" s="17">
        <v>0.30199999999999999</v>
      </c>
      <c r="D74" s="17">
        <v>0.22300000000000006</v>
      </c>
      <c r="E74" s="17">
        <v>0.64</v>
      </c>
      <c r="F74" s="17">
        <v>0.57999999999999996</v>
      </c>
      <c r="G74" s="17">
        <v>0.22300000000000006</v>
      </c>
      <c r="H74" s="17">
        <v>0.11000000000000001</v>
      </c>
      <c r="I74" s="19">
        <v>0.69100000000000006</v>
      </c>
      <c r="J74" s="4">
        <v>0.9</v>
      </c>
      <c r="K74" s="4">
        <v>0.10000000000000002</v>
      </c>
      <c r="L74">
        <v>18</v>
      </c>
      <c r="M74">
        <v>111.00000000000001</v>
      </c>
      <c r="N74">
        <v>240.00000000000006</v>
      </c>
      <c r="O74">
        <v>223.00000000000006</v>
      </c>
      <c r="P74">
        <v>110.00000000000001</v>
      </c>
      <c r="Q74">
        <v>56</v>
      </c>
      <c r="R74">
        <v>38</v>
      </c>
      <c r="S74" s="20"/>
    </row>
    <row r="75" spans="1:19" x14ac:dyDescent="0.25">
      <c r="A75">
        <v>73</v>
      </c>
      <c r="B75" s="17">
        <v>0.14299999999999999</v>
      </c>
      <c r="C75" s="17">
        <v>0.27800000000000002</v>
      </c>
      <c r="D75" s="17">
        <v>0.21299999999999999</v>
      </c>
      <c r="E75" s="17">
        <v>0.54</v>
      </c>
      <c r="F75" s="17">
        <v>0.59</v>
      </c>
      <c r="G75" s="17">
        <v>0.21299999999999999</v>
      </c>
      <c r="H75" s="17">
        <v>0.11499999999999999</v>
      </c>
      <c r="I75" s="19">
        <v>0.71799999999999997</v>
      </c>
      <c r="J75" s="4">
        <v>0.89500000000000002</v>
      </c>
      <c r="K75" s="4">
        <v>0.105</v>
      </c>
      <c r="L75">
        <v>18</v>
      </c>
      <c r="M75">
        <v>110.00000000000001</v>
      </c>
      <c r="N75">
        <v>223.00000000000006</v>
      </c>
      <c r="O75">
        <v>213</v>
      </c>
      <c r="P75">
        <v>114.99999999999999</v>
      </c>
      <c r="Q75">
        <v>55</v>
      </c>
      <c r="R75">
        <v>99</v>
      </c>
      <c r="S75" s="20"/>
    </row>
    <row r="76" spans="1:19" x14ac:dyDescent="0.25">
      <c r="A76">
        <v>74</v>
      </c>
      <c r="B76" s="17">
        <v>0.153</v>
      </c>
      <c r="C76" s="17">
        <v>0.25800000000000001</v>
      </c>
      <c r="D76" s="17">
        <v>0.21100000000000005</v>
      </c>
      <c r="E76" s="17">
        <v>0.54</v>
      </c>
      <c r="F76" s="17">
        <v>0.6</v>
      </c>
      <c r="G76" s="17">
        <v>0.21100000000000005</v>
      </c>
      <c r="H76" s="17">
        <v>0.13500000000000001</v>
      </c>
      <c r="I76" s="19">
        <v>0.73499999999999999</v>
      </c>
      <c r="J76" s="4">
        <v>0.875</v>
      </c>
      <c r="K76" s="4">
        <v>0.125</v>
      </c>
      <c r="L76">
        <v>10</v>
      </c>
      <c r="M76">
        <v>114.99999999999999</v>
      </c>
      <c r="N76">
        <v>213</v>
      </c>
      <c r="O76">
        <v>211.00000000000006</v>
      </c>
      <c r="P76">
        <v>135</v>
      </c>
      <c r="Q76">
        <v>58</v>
      </c>
      <c r="R76">
        <v>98</v>
      </c>
      <c r="S76" s="20"/>
    </row>
    <row r="77" spans="1:19" x14ac:dyDescent="0.25">
      <c r="A77">
        <v>75</v>
      </c>
      <c r="B77" s="17">
        <v>0.17399999999999999</v>
      </c>
      <c r="C77" s="17">
        <v>0.24299999999999999</v>
      </c>
      <c r="D77" s="17">
        <v>0.21799999999999997</v>
      </c>
      <c r="E77" s="17">
        <v>0.52</v>
      </c>
      <c r="F77" s="17">
        <v>0.62</v>
      </c>
      <c r="G77" s="17">
        <v>0.21799999999999997</v>
      </c>
      <c r="H77" s="17">
        <v>0.17</v>
      </c>
      <c r="I77" s="19">
        <v>0.754</v>
      </c>
      <c r="J77" s="4">
        <v>0.84</v>
      </c>
      <c r="K77" s="4">
        <v>0.16</v>
      </c>
      <c r="L77">
        <v>10</v>
      </c>
      <c r="M77">
        <v>135</v>
      </c>
      <c r="N77">
        <v>211.00000000000006</v>
      </c>
      <c r="O77">
        <v>217.99999999999997</v>
      </c>
      <c r="P77">
        <v>170</v>
      </c>
      <c r="Q77">
        <v>68</v>
      </c>
      <c r="R77">
        <v>97</v>
      </c>
      <c r="S77" s="20"/>
    </row>
    <row r="78" spans="1:19" x14ac:dyDescent="0.25">
      <c r="A78">
        <v>76</v>
      </c>
      <c r="B78" s="17">
        <v>0.22700000000000001</v>
      </c>
      <c r="C78" s="17">
        <v>0.23400000000000001</v>
      </c>
      <c r="D78" s="17">
        <v>0.23700000000000002</v>
      </c>
      <c r="E78" s="17">
        <v>0.52</v>
      </c>
      <c r="F78" s="17">
        <v>0.64</v>
      </c>
      <c r="G78" s="17">
        <v>0.23700000000000002</v>
      </c>
      <c r="H78" s="17">
        <v>0.22999999999999998</v>
      </c>
      <c r="I78" s="19">
        <v>0.76200000000000001</v>
      </c>
      <c r="J78" s="4">
        <v>0.78</v>
      </c>
      <c r="K78" s="4">
        <v>0.21999999999999997</v>
      </c>
      <c r="L78">
        <v>4</v>
      </c>
      <c r="M78">
        <v>170</v>
      </c>
      <c r="N78">
        <v>217.99999999999997</v>
      </c>
      <c r="O78">
        <v>237.00000000000003</v>
      </c>
      <c r="P78">
        <v>229.99999999999997</v>
      </c>
      <c r="Q78">
        <v>85</v>
      </c>
      <c r="R78">
        <v>96</v>
      </c>
      <c r="S78" s="20"/>
    </row>
    <row r="79" spans="1:19" x14ac:dyDescent="0.25">
      <c r="A79">
        <v>77</v>
      </c>
      <c r="B79" s="17">
        <v>0.3</v>
      </c>
      <c r="C79" s="17">
        <v>0.23</v>
      </c>
      <c r="D79" s="17">
        <v>0.26799999999999996</v>
      </c>
      <c r="E79" s="17">
        <v>0.49</v>
      </c>
      <c r="F79" s="17">
        <v>0.74</v>
      </c>
      <c r="G79" s="17">
        <v>0.26799999999999996</v>
      </c>
      <c r="H79" s="17">
        <v>0.30000000000000004</v>
      </c>
      <c r="I79" s="19">
        <v>0.76700000000000002</v>
      </c>
      <c r="J79" s="4">
        <v>0.71</v>
      </c>
      <c r="K79" s="4">
        <v>0.29000000000000004</v>
      </c>
      <c r="L79">
        <v>4</v>
      </c>
      <c r="M79">
        <v>229.99999999999997</v>
      </c>
      <c r="N79">
        <v>237.00000000000003</v>
      </c>
      <c r="O79">
        <v>267.99999999999994</v>
      </c>
      <c r="P79">
        <v>300.00000000000006</v>
      </c>
      <c r="Q79">
        <v>115</v>
      </c>
      <c r="R79">
        <v>88</v>
      </c>
      <c r="S79" s="20"/>
    </row>
    <row r="80" spans="1:19" x14ac:dyDescent="0.25">
      <c r="A80">
        <v>78</v>
      </c>
      <c r="B80" s="17">
        <v>0.373</v>
      </c>
      <c r="C80" s="17">
        <v>0.23100000000000001</v>
      </c>
      <c r="D80" s="17">
        <v>0.30300000000000005</v>
      </c>
      <c r="E80" s="17">
        <v>0.49</v>
      </c>
      <c r="F80" s="17">
        <v>0.76</v>
      </c>
      <c r="G80" s="17">
        <v>0.30300000000000005</v>
      </c>
      <c r="H80" s="17">
        <v>0.36799999999999999</v>
      </c>
      <c r="I80" s="19">
        <v>0.76400000000000012</v>
      </c>
      <c r="J80" s="4">
        <v>0.64200000000000002</v>
      </c>
      <c r="K80" s="4">
        <v>0.35799999999999998</v>
      </c>
      <c r="L80">
        <v>0</v>
      </c>
      <c r="M80">
        <v>300.00000000000006</v>
      </c>
      <c r="N80">
        <v>267.99999999999994</v>
      </c>
      <c r="O80">
        <v>303.00000000000006</v>
      </c>
      <c r="P80">
        <v>368</v>
      </c>
      <c r="Q80">
        <v>150</v>
      </c>
      <c r="R80">
        <v>86</v>
      </c>
      <c r="S80" s="20"/>
    </row>
    <row r="81" spans="1:19" x14ac:dyDescent="0.25">
      <c r="A81">
        <v>79</v>
      </c>
      <c r="B81" s="17">
        <v>0.441</v>
      </c>
      <c r="C81" s="17">
        <v>0.23799999999999999</v>
      </c>
      <c r="D81" s="17">
        <v>0.34900000000000003</v>
      </c>
      <c r="E81" s="17">
        <v>0.48</v>
      </c>
      <c r="F81" s="17">
        <v>0.79</v>
      </c>
      <c r="G81" s="17">
        <v>0.34900000000000003</v>
      </c>
      <c r="H81" s="17">
        <v>0.43599999999999994</v>
      </c>
      <c r="I81" s="19">
        <v>0.75700000000000012</v>
      </c>
      <c r="J81" s="4">
        <v>0.57400000000000007</v>
      </c>
      <c r="K81" s="4">
        <v>0.42599999999999993</v>
      </c>
      <c r="L81">
        <v>0</v>
      </c>
      <c r="M81">
        <v>368</v>
      </c>
      <c r="N81">
        <v>303.00000000000006</v>
      </c>
      <c r="O81">
        <v>349.00000000000006</v>
      </c>
      <c r="P81">
        <v>435.99999999999994</v>
      </c>
      <c r="Q81">
        <v>184</v>
      </c>
      <c r="R81">
        <v>82</v>
      </c>
      <c r="S81" s="20"/>
    </row>
    <row r="82" spans="1:19" x14ac:dyDescent="0.25">
      <c r="A82">
        <v>80</v>
      </c>
      <c r="B82" s="17">
        <v>0.503</v>
      </c>
      <c r="C82" s="17">
        <v>0.249</v>
      </c>
      <c r="D82" s="17">
        <v>0.4</v>
      </c>
      <c r="E82" s="17">
        <v>0.47000000000000003</v>
      </c>
      <c r="F82" s="17">
        <v>0.81</v>
      </c>
      <c r="G82" s="17">
        <v>0.4</v>
      </c>
      <c r="H82" s="17">
        <v>0.4880000000000001</v>
      </c>
      <c r="I82" s="19">
        <v>0.74600000000000011</v>
      </c>
      <c r="J82" s="4">
        <v>0.52199999999999991</v>
      </c>
      <c r="K82" s="4">
        <v>0.47800000000000009</v>
      </c>
      <c r="L82">
        <v>0</v>
      </c>
      <c r="M82">
        <v>435.99999999999994</v>
      </c>
      <c r="N82">
        <v>349.00000000000006</v>
      </c>
      <c r="O82">
        <v>400</v>
      </c>
      <c r="P82">
        <v>488.00000000000011</v>
      </c>
      <c r="Q82">
        <v>218</v>
      </c>
      <c r="R82">
        <v>79</v>
      </c>
      <c r="S82" s="20"/>
    </row>
    <row r="83" spans="1:19" x14ac:dyDescent="0.25">
      <c r="A83">
        <v>81</v>
      </c>
      <c r="B83" s="17">
        <v>0.55900000000000005</v>
      </c>
      <c r="C83" s="17">
        <v>0.26500000000000001</v>
      </c>
      <c r="D83" s="17">
        <v>0.44900000000000007</v>
      </c>
      <c r="E83" s="17">
        <v>0.45</v>
      </c>
      <c r="F83" s="17">
        <v>0.81</v>
      </c>
      <c r="G83" s="17">
        <v>0.44900000000000007</v>
      </c>
      <c r="H83" s="17">
        <v>0.53100000000000003</v>
      </c>
      <c r="I83" s="19">
        <v>0.72500000000000009</v>
      </c>
      <c r="J83" s="4">
        <v>0.47899999999999998</v>
      </c>
      <c r="K83" s="4">
        <v>0.52100000000000002</v>
      </c>
      <c r="L83">
        <v>0</v>
      </c>
      <c r="M83">
        <v>488.00000000000011</v>
      </c>
      <c r="N83">
        <v>400</v>
      </c>
      <c r="O83">
        <v>449.00000000000006</v>
      </c>
      <c r="P83">
        <v>531</v>
      </c>
      <c r="Q83">
        <v>244</v>
      </c>
      <c r="R83">
        <v>77</v>
      </c>
      <c r="S83" s="20"/>
    </row>
    <row r="84" spans="1:19" x14ac:dyDescent="0.25">
      <c r="A84">
        <v>82</v>
      </c>
      <c r="B84" s="17">
        <v>0.60199999999999998</v>
      </c>
      <c r="C84" s="17">
        <v>0.28799999999999998</v>
      </c>
      <c r="D84" s="17">
        <v>0.4880000000000001</v>
      </c>
      <c r="E84" s="17">
        <v>0.4</v>
      </c>
      <c r="F84" s="17">
        <v>0.83000000000000007</v>
      </c>
      <c r="G84" s="17">
        <v>0.4880000000000001</v>
      </c>
      <c r="H84" s="17">
        <v>0.56400000000000006</v>
      </c>
      <c r="I84" s="19">
        <v>0.70399999999999996</v>
      </c>
      <c r="J84" s="4">
        <v>0.44599999999999995</v>
      </c>
      <c r="K84" s="4">
        <v>0.55400000000000005</v>
      </c>
      <c r="L84">
        <v>0</v>
      </c>
      <c r="M84">
        <v>531</v>
      </c>
      <c r="N84">
        <v>449.00000000000006</v>
      </c>
      <c r="O84">
        <v>488.00000000000011</v>
      </c>
      <c r="P84">
        <v>564</v>
      </c>
      <c r="Q84">
        <v>266</v>
      </c>
      <c r="R84">
        <v>74</v>
      </c>
      <c r="S84" s="20"/>
    </row>
    <row r="85" spans="1:19" x14ac:dyDescent="0.25">
      <c r="A85">
        <v>83</v>
      </c>
      <c r="B85" s="17">
        <v>0.63100000000000001</v>
      </c>
      <c r="C85" s="17">
        <v>0.317</v>
      </c>
      <c r="D85" s="17">
        <v>0.52100000000000013</v>
      </c>
      <c r="E85" s="17">
        <v>0.39</v>
      </c>
      <c r="F85" s="17">
        <v>0.83000000000000007</v>
      </c>
      <c r="G85" s="17">
        <v>0.52100000000000013</v>
      </c>
      <c r="H85" s="17">
        <v>0.59100000000000008</v>
      </c>
      <c r="I85" s="19">
        <v>0.66999999999999993</v>
      </c>
      <c r="J85" s="4">
        <v>0.41899999999999993</v>
      </c>
      <c r="K85" s="4">
        <v>0.58100000000000007</v>
      </c>
      <c r="L85">
        <v>0</v>
      </c>
      <c r="M85">
        <v>564</v>
      </c>
      <c r="N85">
        <v>488.00000000000011</v>
      </c>
      <c r="O85">
        <v>521.00000000000011</v>
      </c>
      <c r="P85">
        <v>591.00000000000011</v>
      </c>
      <c r="Q85">
        <v>282</v>
      </c>
      <c r="R85">
        <v>72</v>
      </c>
      <c r="S85" s="20"/>
    </row>
    <row r="86" spans="1:19" x14ac:dyDescent="0.25">
      <c r="A86">
        <v>84</v>
      </c>
      <c r="B86" s="17">
        <v>0.65200000000000002</v>
      </c>
      <c r="C86" s="17">
        <v>0.35199999999999998</v>
      </c>
      <c r="D86" s="17">
        <v>0.55199999999999994</v>
      </c>
      <c r="E86" s="17">
        <v>0.38</v>
      </c>
      <c r="F86" s="17">
        <v>0.83000000000000007</v>
      </c>
      <c r="G86" s="17">
        <v>0.55199999999999994</v>
      </c>
      <c r="H86" s="17">
        <v>0.61199999999999999</v>
      </c>
      <c r="I86" s="19">
        <v>0.63200000000000012</v>
      </c>
      <c r="J86" s="4">
        <v>0.39800000000000002</v>
      </c>
      <c r="K86" s="4">
        <v>0.60199999999999998</v>
      </c>
      <c r="L86">
        <v>0</v>
      </c>
      <c r="M86">
        <v>591.00000000000011</v>
      </c>
      <c r="N86">
        <v>521.00000000000011</v>
      </c>
      <c r="O86">
        <v>551.99999999999989</v>
      </c>
      <c r="P86">
        <v>612</v>
      </c>
      <c r="Q86">
        <v>296</v>
      </c>
      <c r="R86">
        <v>70</v>
      </c>
      <c r="S86" s="20"/>
    </row>
    <row r="87" spans="1:19" x14ac:dyDescent="0.25">
      <c r="A87">
        <v>85</v>
      </c>
      <c r="B87" s="17">
        <v>0.66300000000000003</v>
      </c>
      <c r="C87" s="17">
        <v>0.39200000000000002</v>
      </c>
      <c r="D87" s="17">
        <v>0.57799999999999996</v>
      </c>
      <c r="E87" s="17">
        <v>0.38</v>
      </c>
      <c r="F87" s="17">
        <v>0.85</v>
      </c>
      <c r="G87" s="17">
        <v>0.57799999999999996</v>
      </c>
      <c r="H87" s="17">
        <v>0.63000000000000012</v>
      </c>
      <c r="I87" s="19">
        <v>0.58100000000000007</v>
      </c>
      <c r="J87" s="4">
        <v>0.37999999999999989</v>
      </c>
      <c r="K87" s="4">
        <v>0.62000000000000011</v>
      </c>
      <c r="L87">
        <v>0</v>
      </c>
      <c r="M87">
        <v>612</v>
      </c>
      <c r="N87">
        <v>551.99999999999989</v>
      </c>
      <c r="O87">
        <v>578</v>
      </c>
      <c r="P87">
        <v>630.00000000000011</v>
      </c>
      <c r="Q87">
        <v>306</v>
      </c>
      <c r="R87">
        <v>97</v>
      </c>
      <c r="S87" s="20"/>
    </row>
    <row r="88" spans="1:19" x14ac:dyDescent="0.25">
      <c r="A88">
        <v>86</v>
      </c>
      <c r="B88" s="17">
        <v>0.66900000000000004</v>
      </c>
      <c r="C88" s="17">
        <v>0.434</v>
      </c>
      <c r="D88" s="17">
        <v>0.60299999999999998</v>
      </c>
      <c r="E88" s="17">
        <v>0.36</v>
      </c>
      <c r="F88" s="17">
        <v>0.86</v>
      </c>
      <c r="G88" s="17">
        <v>0.60299999999999998</v>
      </c>
      <c r="H88" s="17">
        <v>0.64400000000000002</v>
      </c>
      <c r="I88" s="19">
        <v>0.51400000000000012</v>
      </c>
      <c r="J88" s="4">
        <v>0.36599999999999999</v>
      </c>
      <c r="K88" s="4">
        <v>0.63400000000000001</v>
      </c>
      <c r="L88">
        <v>0</v>
      </c>
      <c r="M88">
        <v>630.00000000000011</v>
      </c>
      <c r="N88">
        <v>578</v>
      </c>
      <c r="O88">
        <v>603</v>
      </c>
      <c r="P88">
        <v>644</v>
      </c>
      <c r="Q88">
        <v>315</v>
      </c>
      <c r="R88">
        <v>95</v>
      </c>
      <c r="S88" s="20"/>
    </row>
    <row r="89" spans="1:19" x14ac:dyDescent="0.25">
      <c r="A89">
        <v>87</v>
      </c>
      <c r="B89" s="17">
        <v>0.67400000000000004</v>
      </c>
      <c r="C89" s="17">
        <v>0.47399999999999998</v>
      </c>
      <c r="D89" s="17">
        <v>0.626</v>
      </c>
      <c r="E89" s="17">
        <v>0.33</v>
      </c>
      <c r="F89" s="17">
        <v>0.93</v>
      </c>
      <c r="G89" s="17">
        <v>0.626</v>
      </c>
      <c r="H89" s="17">
        <v>0.65500000000000014</v>
      </c>
      <c r="I89" s="19">
        <v>0.42899999999999994</v>
      </c>
      <c r="J89" s="4">
        <v>0.35499999999999987</v>
      </c>
      <c r="K89" s="4">
        <v>0.64500000000000013</v>
      </c>
      <c r="L89">
        <v>0</v>
      </c>
      <c r="M89">
        <v>644</v>
      </c>
      <c r="N89">
        <v>603</v>
      </c>
      <c r="O89">
        <v>626</v>
      </c>
      <c r="P89">
        <v>655.00000000000011</v>
      </c>
      <c r="Q89">
        <v>322</v>
      </c>
      <c r="R89">
        <v>90</v>
      </c>
      <c r="S89" s="20"/>
    </row>
    <row r="90" spans="1:19" x14ac:dyDescent="0.25">
      <c r="A90">
        <v>88</v>
      </c>
      <c r="B90" s="17">
        <v>0.67600000000000005</v>
      </c>
      <c r="C90" s="17">
        <v>0.51</v>
      </c>
      <c r="D90" s="17">
        <v>0.64100000000000001</v>
      </c>
      <c r="E90" s="17">
        <v>0.3</v>
      </c>
      <c r="F90" s="17">
        <v>0.93</v>
      </c>
      <c r="G90" s="17">
        <v>0.64100000000000001</v>
      </c>
      <c r="H90" s="17">
        <v>0.66199999999999992</v>
      </c>
      <c r="I90" s="19">
        <v>0.36000000000000004</v>
      </c>
      <c r="J90" s="4">
        <v>0.34800000000000009</v>
      </c>
      <c r="K90" s="4">
        <v>0.65199999999999991</v>
      </c>
      <c r="L90">
        <v>0</v>
      </c>
      <c r="M90">
        <v>655.00000000000011</v>
      </c>
      <c r="N90">
        <v>626</v>
      </c>
      <c r="O90">
        <v>641</v>
      </c>
      <c r="P90">
        <v>661.99999999999989</v>
      </c>
      <c r="Q90">
        <v>328</v>
      </c>
      <c r="R90">
        <v>85</v>
      </c>
      <c r="S90" s="20"/>
    </row>
    <row r="91" spans="1:19" x14ac:dyDescent="0.25">
      <c r="A91">
        <v>89</v>
      </c>
      <c r="B91" s="17">
        <v>0.67200000000000004</v>
      </c>
      <c r="C91" s="17">
        <v>0.54200000000000004</v>
      </c>
      <c r="D91" s="17">
        <v>0.65100000000000002</v>
      </c>
      <c r="E91" s="17">
        <v>0.3</v>
      </c>
      <c r="F91" s="17">
        <v>0.94000000000000006</v>
      </c>
      <c r="G91" s="17">
        <v>0.65100000000000002</v>
      </c>
      <c r="H91" s="17">
        <v>0.66700000000000004</v>
      </c>
      <c r="I91" s="19">
        <v>0.30000000000000004</v>
      </c>
      <c r="J91" s="4">
        <v>0.34299999999999997</v>
      </c>
      <c r="K91" s="4">
        <v>0.65700000000000003</v>
      </c>
      <c r="L91">
        <v>0</v>
      </c>
      <c r="M91">
        <v>661.99999999999989</v>
      </c>
      <c r="N91">
        <v>641</v>
      </c>
      <c r="O91">
        <v>651</v>
      </c>
      <c r="P91">
        <v>667</v>
      </c>
      <c r="Q91">
        <v>331</v>
      </c>
      <c r="R91">
        <v>80</v>
      </c>
      <c r="S91" s="20"/>
    </row>
    <row r="92" spans="1:19" x14ac:dyDescent="0.25">
      <c r="A92">
        <v>90</v>
      </c>
      <c r="B92" s="17">
        <v>0.66600000000000004</v>
      </c>
      <c r="C92" s="17">
        <v>0.56999999999999995</v>
      </c>
      <c r="D92" s="17">
        <v>0.66100000000000003</v>
      </c>
      <c r="E92" s="17">
        <v>0.27</v>
      </c>
      <c r="F92" s="17">
        <v>0.95000000000000007</v>
      </c>
      <c r="G92" s="17">
        <v>0.66100000000000003</v>
      </c>
      <c r="H92" s="17">
        <v>0.66700000000000004</v>
      </c>
      <c r="I92" s="19">
        <v>0.25</v>
      </c>
      <c r="J92" s="4">
        <v>0.34299999999999997</v>
      </c>
      <c r="K92" s="4">
        <v>0.65700000000000003</v>
      </c>
      <c r="L92">
        <v>0</v>
      </c>
      <c r="M92">
        <v>667</v>
      </c>
      <c r="N92">
        <v>651</v>
      </c>
      <c r="O92">
        <v>661</v>
      </c>
      <c r="P92">
        <v>667</v>
      </c>
      <c r="Q92">
        <v>334</v>
      </c>
      <c r="R92">
        <v>75</v>
      </c>
      <c r="S92" s="20"/>
    </row>
    <row r="93" spans="1:19" x14ac:dyDescent="0.25">
      <c r="A93">
        <v>91</v>
      </c>
      <c r="B93" s="17">
        <v>0.65500000000000003</v>
      </c>
      <c r="C93" s="17">
        <v>0.59299999999999997</v>
      </c>
      <c r="D93" s="17">
        <v>0.66700000000000004</v>
      </c>
      <c r="E93" s="17">
        <v>0.95000000000000007</v>
      </c>
      <c r="F93" s="17">
        <v>0.27</v>
      </c>
      <c r="G93" s="17">
        <v>0.66700000000000004</v>
      </c>
      <c r="H93" s="17">
        <v>0.66100000000000003</v>
      </c>
      <c r="I93" s="19">
        <v>0.25</v>
      </c>
      <c r="J93" s="4">
        <v>0.34899999999999998</v>
      </c>
      <c r="K93" s="4">
        <v>0.65100000000000002</v>
      </c>
      <c r="L93">
        <v>0</v>
      </c>
      <c r="M93">
        <v>667</v>
      </c>
      <c r="N93">
        <v>661</v>
      </c>
      <c r="O93">
        <v>667</v>
      </c>
      <c r="P93">
        <v>661</v>
      </c>
      <c r="Q93">
        <v>334</v>
      </c>
      <c r="R93">
        <v>70</v>
      </c>
      <c r="S93" s="20"/>
    </row>
    <row r="94" spans="1:19" x14ac:dyDescent="0.25">
      <c r="A94">
        <v>92</v>
      </c>
      <c r="B94" s="17">
        <v>0.63800000000000001</v>
      </c>
      <c r="C94" s="17">
        <v>0.61199999999999999</v>
      </c>
      <c r="D94" s="17">
        <v>0.66700000000000004</v>
      </c>
      <c r="E94" s="17">
        <v>0.94000000000000006</v>
      </c>
      <c r="F94" s="17">
        <v>0.3</v>
      </c>
      <c r="G94" s="17">
        <v>0.66700000000000004</v>
      </c>
      <c r="H94" s="17">
        <v>0.65100000000000002</v>
      </c>
      <c r="I94" s="19">
        <v>0.30000000000000004</v>
      </c>
      <c r="J94" s="4">
        <v>0.35899999999999999</v>
      </c>
      <c r="K94" s="4">
        <v>0.64100000000000001</v>
      </c>
      <c r="L94">
        <v>4</v>
      </c>
      <c r="M94">
        <v>661</v>
      </c>
      <c r="N94">
        <v>667</v>
      </c>
      <c r="O94">
        <v>667</v>
      </c>
      <c r="P94">
        <v>651</v>
      </c>
      <c r="Q94">
        <v>331</v>
      </c>
      <c r="R94">
        <v>65</v>
      </c>
      <c r="S94" s="20"/>
    </row>
    <row r="95" spans="1:19" x14ac:dyDescent="0.25">
      <c r="A95">
        <v>93</v>
      </c>
      <c r="B95" s="17">
        <v>0.61699999999999999</v>
      </c>
      <c r="C95" s="17">
        <v>0.627</v>
      </c>
      <c r="D95" s="17">
        <v>0.66199999999999992</v>
      </c>
      <c r="E95" s="17">
        <v>0.93</v>
      </c>
      <c r="F95" s="17">
        <v>0.3</v>
      </c>
      <c r="G95" s="17">
        <v>0.66199999999999992</v>
      </c>
      <c r="H95" s="17">
        <v>0.64100000000000001</v>
      </c>
      <c r="I95" s="19">
        <v>0.36000000000000004</v>
      </c>
      <c r="J95" s="4">
        <v>0.36899999999999999</v>
      </c>
      <c r="K95" s="4">
        <v>0.63100000000000001</v>
      </c>
      <c r="L95">
        <v>4</v>
      </c>
      <c r="M95">
        <v>651</v>
      </c>
      <c r="N95">
        <v>667</v>
      </c>
      <c r="O95">
        <v>661.99999999999989</v>
      </c>
      <c r="P95">
        <v>641</v>
      </c>
      <c r="Q95">
        <v>326</v>
      </c>
      <c r="R95">
        <v>60</v>
      </c>
      <c r="S95" s="20"/>
    </row>
    <row r="96" spans="1:19" x14ac:dyDescent="0.25">
      <c r="A96">
        <v>94</v>
      </c>
      <c r="B96" s="17">
        <v>0.58799999999999997</v>
      </c>
      <c r="C96" s="17">
        <v>0.63900000000000001</v>
      </c>
      <c r="D96" s="17">
        <v>0.65500000000000014</v>
      </c>
      <c r="E96" s="17">
        <v>0.93</v>
      </c>
      <c r="F96" s="17">
        <v>0.33</v>
      </c>
      <c r="G96" s="17">
        <v>0.65500000000000014</v>
      </c>
      <c r="H96" s="17">
        <v>0.626</v>
      </c>
      <c r="I96" s="19">
        <v>0.42899999999999994</v>
      </c>
      <c r="J96" s="4">
        <v>0.38400000000000001</v>
      </c>
      <c r="K96" s="4">
        <v>0.61599999999999999</v>
      </c>
      <c r="L96">
        <v>10</v>
      </c>
      <c r="M96">
        <v>641</v>
      </c>
      <c r="N96">
        <v>661.99999999999989</v>
      </c>
      <c r="O96">
        <v>655.00000000000011</v>
      </c>
      <c r="P96">
        <v>626</v>
      </c>
      <c r="Q96">
        <v>321</v>
      </c>
      <c r="R96">
        <v>55</v>
      </c>
      <c r="S96" s="20"/>
    </row>
    <row r="97" spans="1:19" x14ac:dyDescent="0.25">
      <c r="A97">
        <v>95</v>
      </c>
      <c r="B97" s="17">
        <v>0.55500000000000005</v>
      </c>
      <c r="C97" s="17">
        <v>0.64700000000000002</v>
      </c>
      <c r="D97" s="17">
        <v>0.64400000000000002</v>
      </c>
      <c r="E97" s="17">
        <v>0.86</v>
      </c>
      <c r="F97" s="17">
        <v>0.36</v>
      </c>
      <c r="G97" s="17">
        <v>0.64400000000000002</v>
      </c>
      <c r="H97" s="17">
        <v>0.60299999999999998</v>
      </c>
      <c r="I97" s="19">
        <v>0.51400000000000012</v>
      </c>
      <c r="J97" s="4">
        <v>0.40700000000000003</v>
      </c>
      <c r="K97" s="4">
        <v>0.59299999999999997</v>
      </c>
      <c r="L97">
        <v>10</v>
      </c>
      <c r="M97">
        <v>626</v>
      </c>
      <c r="N97">
        <v>655.00000000000011</v>
      </c>
      <c r="O97">
        <v>644</v>
      </c>
      <c r="P97">
        <v>603</v>
      </c>
      <c r="Q97">
        <v>313</v>
      </c>
      <c r="R97">
        <v>50</v>
      </c>
      <c r="S97" s="20"/>
    </row>
    <row r="98" spans="1:19" x14ac:dyDescent="0.25">
      <c r="A98">
        <v>96</v>
      </c>
      <c r="B98" s="17">
        <v>0.51600000000000001</v>
      </c>
      <c r="C98" s="17">
        <v>0.65200000000000002</v>
      </c>
      <c r="D98" s="17">
        <v>0.63000000000000012</v>
      </c>
      <c r="E98" s="17">
        <v>0.85</v>
      </c>
      <c r="F98" s="17">
        <v>0.38</v>
      </c>
      <c r="G98" s="17">
        <v>0.63000000000000012</v>
      </c>
      <c r="H98" s="17">
        <v>0.57799999999999996</v>
      </c>
      <c r="I98" s="19">
        <v>0.58100000000000007</v>
      </c>
      <c r="J98" s="4">
        <v>0.43200000000000005</v>
      </c>
      <c r="K98" s="4">
        <v>0.56799999999999995</v>
      </c>
      <c r="L98">
        <v>18</v>
      </c>
      <c r="M98">
        <v>603</v>
      </c>
      <c r="N98">
        <v>644</v>
      </c>
      <c r="O98">
        <v>630.00000000000011</v>
      </c>
      <c r="P98">
        <v>578</v>
      </c>
      <c r="Q98">
        <v>302</v>
      </c>
      <c r="R98">
        <v>45</v>
      </c>
      <c r="S98" s="20"/>
    </row>
    <row r="99" spans="1:19" x14ac:dyDescent="0.25">
      <c r="A99">
        <v>97</v>
      </c>
      <c r="B99" s="17">
        <v>0.47299999999999998</v>
      </c>
      <c r="C99" s="17">
        <v>0.65500000000000003</v>
      </c>
      <c r="D99" s="17">
        <v>0.61199999999999999</v>
      </c>
      <c r="E99" s="17">
        <v>0.83000000000000007</v>
      </c>
      <c r="F99" s="17">
        <v>0.38</v>
      </c>
      <c r="G99" s="17">
        <v>0.61199999999999999</v>
      </c>
      <c r="H99" s="17">
        <v>0.55199999999999994</v>
      </c>
      <c r="I99" s="19">
        <v>0.63200000000000012</v>
      </c>
      <c r="J99" s="4">
        <v>0.45800000000000007</v>
      </c>
      <c r="K99" s="4">
        <v>0.54199999999999993</v>
      </c>
      <c r="L99">
        <v>18</v>
      </c>
      <c r="M99">
        <v>578</v>
      </c>
      <c r="N99">
        <v>630.00000000000011</v>
      </c>
      <c r="O99">
        <v>612</v>
      </c>
      <c r="P99">
        <v>551.99999999999989</v>
      </c>
      <c r="Q99">
        <v>289</v>
      </c>
      <c r="R99">
        <v>97</v>
      </c>
      <c r="S99" s="20"/>
    </row>
    <row r="100" spans="1:19" x14ac:dyDescent="0.25">
      <c r="A100">
        <v>98</v>
      </c>
      <c r="B100" s="17">
        <v>0.42699999999999999</v>
      </c>
      <c r="C100" s="17">
        <v>0.65600000000000003</v>
      </c>
      <c r="D100" s="17">
        <v>0.59100000000000008</v>
      </c>
      <c r="E100" s="17">
        <v>0.83000000000000007</v>
      </c>
      <c r="F100" s="17">
        <v>0.39</v>
      </c>
      <c r="G100" s="17">
        <v>0.59100000000000008</v>
      </c>
      <c r="H100" s="17">
        <v>0.52100000000000013</v>
      </c>
      <c r="I100" s="19">
        <v>0.66999999999999993</v>
      </c>
      <c r="J100" s="4">
        <v>0.48899999999999988</v>
      </c>
      <c r="K100" s="4">
        <v>0.51100000000000012</v>
      </c>
      <c r="L100">
        <v>26</v>
      </c>
      <c r="M100">
        <v>551.99999999999989</v>
      </c>
      <c r="N100">
        <v>612</v>
      </c>
      <c r="O100">
        <v>591.00000000000011</v>
      </c>
      <c r="P100">
        <v>521.00000000000011</v>
      </c>
      <c r="Q100">
        <v>276</v>
      </c>
      <c r="R100">
        <v>91</v>
      </c>
      <c r="S100" s="20"/>
    </row>
    <row r="101" spans="1:19" x14ac:dyDescent="0.25">
      <c r="A101">
        <v>99</v>
      </c>
      <c r="B101" s="17">
        <v>0.38100000000000001</v>
      </c>
      <c r="C101" s="17">
        <v>0.65500000000000003</v>
      </c>
      <c r="D101" s="17">
        <v>0.56400000000000006</v>
      </c>
      <c r="E101" s="17">
        <v>0.83000000000000007</v>
      </c>
      <c r="F101" s="17">
        <v>0.4</v>
      </c>
      <c r="G101" s="17">
        <v>0.56400000000000006</v>
      </c>
      <c r="H101" s="17">
        <v>0.4880000000000001</v>
      </c>
      <c r="I101" s="19">
        <v>0.70399999999999996</v>
      </c>
      <c r="J101" s="4">
        <v>0.52199999999999991</v>
      </c>
      <c r="K101" s="4">
        <v>0.47800000000000009</v>
      </c>
      <c r="L101">
        <v>26</v>
      </c>
      <c r="M101">
        <v>521.00000000000011</v>
      </c>
      <c r="N101">
        <v>591.00000000000011</v>
      </c>
      <c r="O101">
        <v>564</v>
      </c>
      <c r="P101">
        <v>488.00000000000011</v>
      </c>
      <c r="Q101">
        <v>261</v>
      </c>
      <c r="R101">
        <v>85</v>
      </c>
      <c r="S101" s="20"/>
    </row>
    <row r="102" spans="1:19" x14ac:dyDescent="0.25">
      <c r="A102">
        <v>100</v>
      </c>
      <c r="B102" s="17">
        <v>0.33800000000000002</v>
      </c>
      <c r="C102" s="17">
        <v>0.65100000000000002</v>
      </c>
      <c r="D102" s="17">
        <v>0.53100000000000003</v>
      </c>
      <c r="E102" s="17">
        <v>0.81</v>
      </c>
      <c r="F102" s="17">
        <v>0.45</v>
      </c>
      <c r="G102" s="17">
        <v>0.53100000000000003</v>
      </c>
      <c r="H102" s="17">
        <v>0.44900000000000007</v>
      </c>
      <c r="I102" s="19">
        <v>0.72500000000000009</v>
      </c>
      <c r="J102" s="4">
        <v>0.56099999999999994</v>
      </c>
      <c r="K102" s="4">
        <v>0.43900000000000006</v>
      </c>
      <c r="L102">
        <v>18</v>
      </c>
      <c r="M102">
        <v>488.00000000000011</v>
      </c>
      <c r="N102">
        <v>564</v>
      </c>
      <c r="O102">
        <v>531</v>
      </c>
      <c r="P102">
        <v>449.00000000000006</v>
      </c>
      <c r="Q102">
        <v>244</v>
      </c>
      <c r="R102">
        <v>82</v>
      </c>
      <c r="S102" s="20"/>
    </row>
    <row r="103" spans="1:19" x14ac:dyDescent="0.25">
      <c r="A103">
        <v>101</v>
      </c>
      <c r="B103" s="17">
        <v>0.30099999999999999</v>
      </c>
      <c r="C103" s="17">
        <v>0.64400000000000002</v>
      </c>
      <c r="D103" s="17">
        <v>0.4880000000000001</v>
      </c>
      <c r="E103" s="17">
        <v>0.81</v>
      </c>
      <c r="F103" s="17">
        <v>0.47000000000000003</v>
      </c>
      <c r="G103" s="17">
        <v>0.4880000000000001</v>
      </c>
      <c r="H103" s="17">
        <v>0.4</v>
      </c>
      <c r="I103" s="19">
        <v>0.74600000000000011</v>
      </c>
      <c r="J103" s="4">
        <v>0.61</v>
      </c>
      <c r="K103" s="4">
        <v>0.39</v>
      </c>
      <c r="L103">
        <v>18</v>
      </c>
      <c r="M103">
        <v>449.00000000000006</v>
      </c>
      <c r="N103">
        <v>531</v>
      </c>
      <c r="O103">
        <v>488.00000000000011</v>
      </c>
      <c r="P103">
        <v>400</v>
      </c>
      <c r="Q103">
        <v>225</v>
      </c>
      <c r="R103">
        <v>79</v>
      </c>
      <c r="S103" s="20"/>
    </row>
    <row r="104" spans="1:19" x14ac:dyDescent="0.25">
      <c r="A104">
        <v>102</v>
      </c>
      <c r="B104" s="17">
        <v>0.27</v>
      </c>
      <c r="C104" s="17">
        <v>0.63300000000000001</v>
      </c>
      <c r="D104" s="17">
        <v>0.43599999999999994</v>
      </c>
      <c r="E104" s="17">
        <v>0.79</v>
      </c>
      <c r="F104" s="17">
        <v>0.48</v>
      </c>
      <c r="G104" s="17">
        <v>0.43599999999999994</v>
      </c>
      <c r="H104" s="17">
        <v>0.34900000000000003</v>
      </c>
      <c r="I104" s="19">
        <v>0.75700000000000012</v>
      </c>
      <c r="J104" s="4">
        <v>0.66100000000000003</v>
      </c>
      <c r="K104" s="4">
        <v>0.33900000000000002</v>
      </c>
      <c r="L104">
        <v>10</v>
      </c>
      <c r="M104">
        <v>400</v>
      </c>
      <c r="N104">
        <v>488.00000000000011</v>
      </c>
      <c r="O104">
        <v>435.99999999999994</v>
      </c>
      <c r="P104">
        <v>349.00000000000006</v>
      </c>
      <c r="Q104">
        <v>200</v>
      </c>
      <c r="R104">
        <v>71</v>
      </c>
      <c r="S104" s="20"/>
    </row>
    <row r="105" spans="1:19" x14ac:dyDescent="0.25">
      <c r="A105">
        <v>103</v>
      </c>
      <c r="B105" s="17">
        <v>0.245</v>
      </c>
      <c r="C105" s="17">
        <v>0.61899999999999999</v>
      </c>
      <c r="D105" s="17">
        <v>0.36799999999999999</v>
      </c>
      <c r="E105" s="17">
        <v>0.76</v>
      </c>
      <c r="F105" s="17">
        <v>0.49</v>
      </c>
      <c r="G105" s="17">
        <v>0.36799999999999999</v>
      </c>
      <c r="H105" s="17">
        <v>0.30300000000000005</v>
      </c>
      <c r="I105" s="19">
        <v>0.76400000000000012</v>
      </c>
      <c r="J105" s="4">
        <v>0.70699999999999996</v>
      </c>
      <c r="K105" s="4">
        <v>0.29300000000000004</v>
      </c>
      <c r="L105">
        <v>10</v>
      </c>
      <c r="M105">
        <v>349.00000000000006</v>
      </c>
      <c r="N105">
        <v>435.99999999999994</v>
      </c>
      <c r="O105">
        <v>368</v>
      </c>
      <c r="P105">
        <v>303.00000000000006</v>
      </c>
      <c r="Q105">
        <v>175</v>
      </c>
      <c r="R105">
        <v>68</v>
      </c>
      <c r="S105" s="20"/>
    </row>
    <row r="106" spans="1:19" x14ac:dyDescent="0.25">
      <c r="A106">
        <v>104</v>
      </c>
      <c r="B106" s="17">
        <v>0.223</v>
      </c>
      <c r="C106" s="17">
        <v>0.60099999999999998</v>
      </c>
      <c r="D106" s="17">
        <v>0.30000000000000004</v>
      </c>
      <c r="E106" s="17">
        <v>0.74</v>
      </c>
      <c r="F106" s="17">
        <v>0.49</v>
      </c>
      <c r="G106" s="17">
        <v>0.30000000000000004</v>
      </c>
      <c r="H106" s="17">
        <v>0.26799999999999996</v>
      </c>
      <c r="I106" s="19">
        <v>0.76700000000000002</v>
      </c>
      <c r="J106" s="4">
        <v>0.74199999999999999</v>
      </c>
      <c r="K106" s="4">
        <v>0.25799999999999995</v>
      </c>
      <c r="L106">
        <v>4</v>
      </c>
      <c r="M106">
        <v>303.00000000000006</v>
      </c>
      <c r="N106">
        <v>368</v>
      </c>
      <c r="O106">
        <v>300.00000000000006</v>
      </c>
      <c r="P106">
        <v>267.99999999999994</v>
      </c>
      <c r="Q106">
        <v>152</v>
      </c>
      <c r="R106">
        <v>61</v>
      </c>
      <c r="S106" s="20"/>
    </row>
    <row r="107" spans="1:19" x14ac:dyDescent="0.25">
      <c r="A107">
        <v>105</v>
      </c>
      <c r="B107" s="17">
        <v>0.20399999999999999</v>
      </c>
      <c r="C107" s="17">
        <v>0.57999999999999996</v>
      </c>
      <c r="D107" s="17">
        <v>0.22999999999999998</v>
      </c>
      <c r="E107" s="17">
        <v>0.64</v>
      </c>
      <c r="F107" s="17">
        <v>0.52</v>
      </c>
      <c r="G107" s="17">
        <v>0.22999999999999998</v>
      </c>
      <c r="H107" s="17">
        <v>0.23700000000000002</v>
      </c>
      <c r="I107" s="19">
        <v>0.76200000000000001</v>
      </c>
      <c r="J107" s="4">
        <v>0.77300000000000002</v>
      </c>
      <c r="K107" s="4">
        <v>0.22700000000000001</v>
      </c>
      <c r="L107">
        <v>4</v>
      </c>
      <c r="M107">
        <v>267.99999999999994</v>
      </c>
      <c r="N107">
        <v>300.00000000000006</v>
      </c>
      <c r="O107">
        <v>229.99999999999997</v>
      </c>
      <c r="P107">
        <v>237.00000000000003</v>
      </c>
      <c r="Q107">
        <v>134</v>
      </c>
      <c r="R107">
        <v>59</v>
      </c>
      <c r="S107" s="20"/>
    </row>
    <row r="108" spans="1:19" x14ac:dyDescent="0.25">
      <c r="A108">
        <v>106</v>
      </c>
      <c r="B108" s="17">
        <v>0.189</v>
      </c>
      <c r="C108" s="17">
        <v>0.55600000000000005</v>
      </c>
      <c r="D108" s="17">
        <v>0.17</v>
      </c>
      <c r="E108" s="17">
        <v>0.62</v>
      </c>
      <c r="F108" s="17">
        <v>0.52</v>
      </c>
      <c r="G108" s="17">
        <v>0.17</v>
      </c>
      <c r="H108" s="17">
        <v>0.21799999999999997</v>
      </c>
      <c r="I108" s="19">
        <v>0.754</v>
      </c>
      <c r="J108" s="4">
        <v>0.79200000000000004</v>
      </c>
      <c r="K108" s="4">
        <v>0.20799999999999996</v>
      </c>
      <c r="L108">
        <v>0</v>
      </c>
      <c r="M108">
        <v>237.00000000000003</v>
      </c>
      <c r="N108">
        <v>229.99999999999997</v>
      </c>
      <c r="O108">
        <v>170</v>
      </c>
      <c r="P108">
        <v>217.99999999999997</v>
      </c>
      <c r="Q108">
        <v>119</v>
      </c>
      <c r="R108">
        <v>52</v>
      </c>
      <c r="S108" s="20"/>
    </row>
    <row r="109" spans="1:19" x14ac:dyDescent="0.25">
      <c r="A109">
        <v>107</v>
      </c>
      <c r="B109" s="17">
        <v>0.17899999999999999</v>
      </c>
      <c r="C109" s="17">
        <v>0.52900000000000003</v>
      </c>
      <c r="D109" s="17">
        <v>0.13500000000000001</v>
      </c>
      <c r="E109" s="17">
        <v>0.6</v>
      </c>
      <c r="F109" s="17">
        <v>0.54</v>
      </c>
      <c r="G109" s="17">
        <v>0.13500000000000001</v>
      </c>
      <c r="H109" s="17">
        <v>0.21100000000000005</v>
      </c>
      <c r="I109" s="19">
        <v>0.73499999999999999</v>
      </c>
      <c r="J109" s="4">
        <v>0.79899999999999993</v>
      </c>
      <c r="K109" s="4">
        <v>0.20100000000000004</v>
      </c>
      <c r="L109">
        <v>0</v>
      </c>
      <c r="M109">
        <v>217.99999999999997</v>
      </c>
      <c r="N109">
        <v>170</v>
      </c>
      <c r="O109">
        <v>135</v>
      </c>
      <c r="P109">
        <v>211.00000000000006</v>
      </c>
      <c r="Q109">
        <v>109</v>
      </c>
      <c r="R109">
        <v>48</v>
      </c>
      <c r="S109" s="20"/>
    </row>
    <row r="110" spans="1:19" x14ac:dyDescent="0.25">
      <c r="A110">
        <v>108</v>
      </c>
      <c r="B110" s="17">
        <v>0.17299999999999999</v>
      </c>
      <c r="C110" s="17">
        <v>0.499</v>
      </c>
      <c r="D110" s="17">
        <v>0.11499999999999999</v>
      </c>
      <c r="E110" s="17">
        <v>0.59</v>
      </c>
      <c r="F110" s="17">
        <v>0.54</v>
      </c>
      <c r="G110" s="17">
        <v>0.11499999999999999</v>
      </c>
      <c r="H110" s="17">
        <v>0.21299999999999999</v>
      </c>
      <c r="I110" s="19">
        <v>0.71799999999999997</v>
      </c>
      <c r="J110" s="4">
        <v>0.79700000000000004</v>
      </c>
      <c r="K110" s="4">
        <v>0.20299999999999999</v>
      </c>
      <c r="L110">
        <v>0</v>
      </c>
      <c r="M110">
        <v>211.00000000000006</v>
      </c>
      <c r="N110">
        <v>135</v>
      </c>
      <c r="O110">
        <v>114.99999999999999</v>
      </c>
      <c r="P110">
        <v>213</v>
      </c>
      <c r="Q110">
        <v>106</v>
      </c>
      <c r="R110">
        <v>39</v>
      </c>
      <c r="S110" s="20"/>
    </row>
    <row r="111" spans="1:19" x14ac:dyDescent="0.25">
      <c r="A111">
        <v>109</v>
      </c>
      <c r="B111" s="17">
        <v>0.17100000000000001</v>
      </c>
      <c r="C111" s="17">
        <v>0.46800000000000003</v>
      </c>
      <c r="D111" s="17">
        <v>0.11000000000000001</v>
      </c>
      <c r="E111" s="17">
        <v>0.57999999999999996</v>
      </c>
      <c r="F111" s="17">
        <v>0.64</v>
      </c>
      <c r="G111" s="17">
        <v>0.11000000000000001</v>
      </c>
      <c r="H111" s="17">
        <v>0.22300000000000006</v>
      </c>
      <c r="I111" s="19">
        <v>0.69100000000000006</v>
      </c>
      <c r="J111" s="4">
        <v>0.78699999999999992</v>
      </c>
      <c r="K111" s="4">
        <v>0.21300000000000005</v>
      </c>
      <c r="L111">
        <v>0</v>
      </c>
      <c r="M111">
        <v>213</v>
      </c>
      <c r="N111">
        <v>114.99999999999999</v>
      </c>
      <c r="O111">
        <v>110.00000000000001</v>
      </c>
      <c r="P111">
        <v>223.00000000000006</v>
      </c>
      <c r="Q111">
        <v>107</v>
      </c>
      <c r="R111">
        <v>99</v>
      </c>
      <c r="S111" s="20"/>
    </row>
    <row r="112" spans="1:19" x14ac:dyDescent="0.25">
      <c r="A112">
        <v>110</v>
      </c>
      <c r="B112" s="17">
        <v>0.17399999999999999</v>
      </c>
      <c r="C112" s="17">
        <v>0.437</v>
      </c>
      <c r="D112" s="17">
        <v>0.11100000000000002</v>
      </c>
      <c r="E112" s="17">
        <v>0.57000000000000006</v>
      </c>
      <c r="F112" s="17">
        <v>0.66</v>
      </c>
      <c r="G112" s="17">
        <v>0.11100000000000002</v>
      </c>
      <c r="H112" s="17">
        <v>0.24000000000000005</v>
      </c>
      <c r="I112" s="19">
        <v>0.65100000000000002</v>
      </c>
      <c r="J112" s="4">
        <v>0.77</v>
      </c>
      <c r="K112" s="4">
        <v>0.23000000000000004</v>
      </c>
      <c r="L112">
        <v>0</v>
      </c>
      <c r="M112">
        <v>223.00000000000006</v>
      </c>
      <c r="N112">
        <v>110.00000000000001</v>
      </c>
      <c r="O112">
        <v>111.00000000000001</v>
      </c>
      <c r="P112">
        <v>240.00000000000006</v>
      </c>
      <c r="Q112">
        <v>112</v>
      </c>
      <c r="R112">
        <v>97</v>
      </c>
      <c r="S112" s="20"/>
    </row>
    <row r="113" spans="1:19" x14ac:dyDescent="0.25">
      <c r="A113">
        <v>111</v>
      </c>
      <c r="B113" s="17">
        <v>0.182</v>
      </c>
      <c r="C113" s="17">
        <v>0.40600000000000003</v>
      </c>
      <c r="D113" s="17">
        <v>0.11299999999999999</v>
      </c>
      <c r="E113" s="17">
        <v>0.55000000000000004</v>
      </c>
      <c r="F113" s="17">
        <v>0.67</v>
      </c>
      <c r="G113" s="17">
        <v>0.11299999999999999</v>
      </c>
      <c r="H113" s="17">
        <v>0.26900000000000007</v>
      </c>
      <c r="I113" s="19">
        <v>0.60299999999999998</v>
      </c>
      <c r="J113" s="4">
        <v>0.74099999999999988</v>
      </c>
      <c r="K113" s="4">
        <v>0.25900000000000006</v>
      </c>
      <c r="L113">
        <v>0</v>
      </c>
      <c r="M113">
        <v>240.00000000000006</v>
      </c>
      <c r="N113">
        <v>111.00000000000001</v>
      </c>
      <c r="O113">
        <v>112.99999999999999</v>
      </c>
      <c r="P113">
        <v>269.00000000000006</v>
      </c>
      <c r="Q113">
        <v>120</v>
      </c>
      <c r="R113">
        <v>94</v>
      </c>
      <c r="S113" s="20"/>
    </row>
    <row r="114" spans="1:19" x14ac:dyDescent="0.25">
      <c r="A114">
        <v>112</v>
      </c>
      <c r="B114" s="17">
        <v>0.19600000000000001</v>
      </c>
      <c r="C114" s="17">
        <v>0.376</v>
      </c>
      <c r="D114" s="17">
        <v>0.11799999999999999</v>
      </c>
      <c r="E114" s="17">
        <v>0.52</v>
      </c>
      <c r="F114" s="17">
        <v>0.73</v>
      </c>
      <c r="G114" s="17">
        <v>0.11799999999999999</v>
      </c>
      <c r="H114" s="17">
        <v>0.30000000000000004</v>
      </c>
      <c r="I114" s="19">
        <v>0.55100000000000005</v>
      </c>
      <c r="J114" s="4">
        <v>0.71</v>
      </c>
      <c r="K114" s="4">
        <v>0.29000000000000004</v>
      </c>
      <c r="L114">
        <v>0</v>
      </c>
      <c r="M114">
        <v>269.00000000000006</v>
      </c>
      <c r="N114">
        <v>112.99999999999999</v>
      </c>
      <c r="O114">
        <v>118</v>
      </c>
      <c r="P114">
        <v>300.00000000000006</v>
      </c>
      <c r="Q114">
        <v>135</v>
      </c>
      <c r="R114">
        <v>91</v>
      </c>
      <c r="S114" s="20"/>
    </row>
    <row r="115" spans="1:19" x14ac:dyDescent="0.25">
      <c r="A115">
        <v>113</v>
      </c>
      <c r="B115" s="17">
        <v>0.224</v>
      </c>
      <c r="C115" s="17">
        <v>0.34799999999999998</v>
      </c>
      <c r="D115" s="17">
        <v>0.13500000000000001</v>
      </c>
      <c r="E115" s="17">
        <v>0.48</v>
      </c>
      <c r="F115" s="17">
        <v>0.75</v>
      </c>
      <c r="G115" s="17">
        <v>0.13500000000000001</v>
      </c>
      <c r="H115" s="17">
        <v>0.33600000000000008</v>
      </c>
      <c r="I115" s="19">
        <v>0.49100000000000005</v>
      </c>
      <c r="J115" s="4">
        <v>0.67399999999999993</v>
      </c>
      <c r="K115" s="4">
        <v>0.32600000000000007</v>
      </c>
      <c r="L115">
        <v>0</v>
      </c>
      <c r="M115">
        <v>300.00000000000006</v>
      </c>
      <c r="N115">
        <v>118</v>
      </c>
      <c r="O115">
        <v>135</v>
      </c>
      <c r="P115">
        <v>336.00000000000006</v>
      </c>
      <c r="Q115">
        <v>150</v>
      </c>
      <c r="R115">
        <v>88</v>
      </c>
      <c r="S115" s="20"/>
    </row>
    <row r="116" spans="1:19" x14ac:dyDescent="0.25">
      <c r="A116">
        <v>114</v>
      </c>
      <c r="B116" s="17">
        <v>0.27600000000000002</v>
      </c>
      <c r="C116" s="17">
        <v>0.32300000000000001</v>
      </c>
      <c r="D116" s="17">
        <v>0.15100000000000002</v>
      </c>
      <c r="E116" s="17">
        <v>0.47000000000000003</v>
      </c>
      <c r="F116" s="17">
        <v>0.76</v>
      </c>
      <c r="G116" s="17">
        <v>0.15100000000000002</v>
      </c>
      <c r="H116" s="17">
        <v>0.38100000000000001</v>
      </c>
      <c r="I116" s="19">
        <v>0.43699999999999994</v>
      </c>
      <c r="J116" s="4">
        <v>0.629</v>
      </c>
      <c r="K116" s="4">
        <v>0.371</v>
      </c>
      <c r="L116">
        <v>0</v>
      </c>
      <c r="M116">
        <v>336.00000000000006</v>
      </c>
      <c r="N116">
        <v>135</v>
      </c>
      <c r="O116">
        <v>151.00000000000003</v>
      </c>
      <c r="P116">
        <v>381</v>
      </c>
      <c r="Q116">
        <v>168</v>
      </c>
      <c r="R116">
        <v>85</v>
      </c>
      <c r="S116" s="20"/>
    </row>
    <row r="117" spans="1:19" x14ac:dyDescent="0.25">
      <c r="A117">
        <v>115</v>
      </c>
      <c r="B117" s="17">
        <v>0.33200000000000002</v>
      </c>
      <c r="C117" s="17">
        <v>0.30099999999999999</v>
      </c>
      <c r="D117" s="17">
        <v>0.17700000000000002</v>
      </c>
      <c r="E117" s="17">
        <v>0.35000000000000003</v>
      </c>
      <c r="F117" s="17">
        <v>0.78</v>
      </c>
      <c r="G117" s="17">
        <v>0.17700000000000002</v>
      </c>
      <c r="H117" s="17">
        <v>0.43699999999999994</v>
      </c>
      <c r="I117" s="19">
        <v>0.38100000000000001</v>
      </c>
      <c r="J117" s="4">
        <v>0.57300000000000006</v>
      </c>
      <c r="K117" s="4">
        <v>0.42699999999999994</v>
      </c>
      <c r="L117">
        <v>0</v>
      </c>
      <c r="M117">
        <v>381</v>
      </c>
      <c r="N117">
        <v>151.00000000000003</v>
      </c>
      <c r="O117">
        <v>177.00000000000003</v>
      </c>
      <c r="P117">
        <v>436.99999999999994</v>
      </c>
      <c r="Q117">
        <v>191</v>
      </c>
      <c r="R117">
        <v>82</v>
      </c>
      <c r="S117" s="20"/>
    </row>
    <row r="118" spans="1:19" x14ac:dyDescent="0.25">
      <c r="A118">
        <v>116</v>
      </c>
      <c r="B118" s="17">
        <v>0.39200000000000002</v>
      </c>
      <c r="C118" s="17">
        <v>0.28199999999999997</v>
      </c>
      <c r="D118" s="17">
        <v>0.21000000000000002</v>
      </c>
      <c r="E118" s="17">
        <v>0.35000000000000003</v>
      </c>
      <c r="F118" s="17">
        <v>0.82000000000000006</v>
      </c>
      <c r="G118" s="17">
        <v>0.21000000000000002</v>
      </c>
      <c r="H118" s="17">
        <v>0.49100000000000005</v>
      </c>
      <c r="I118" s="19">
        <v>0.33600000000000008</v>
      </c>
      <c r="J118" s="4">
        <v>0.51899999999999991</v>
      </c>
      <c r="K118" s="4">
        <v>0.48100000000000004</v>
      </c>
      <c r="L118">
        <v>0</v>
      </c>
      <c r="M118">
        <v>436.99999999999994</v>
      </c>
      <c r="N118">
        <v>177.00000000000003</v>
      </c>
      <c r="O118">
        <v>210.00000000000003</v>
      </c>
      <c r="P118">
        <v>491.00000000000006</v>
      </c>
      <c r="Q118">
        <v>219</v>
      </c>
      <c r="R118">
        <v>77</v>
      </c>
      <c r="S118" s="20"/>
    </row>
    <row r="119" spans="1:19" x14ac:dyDescent="0.25">
      <c r="A119">
        <v>117</v>
      </c>
      <c r="B119" s="17">
        <v>0.44700000000000001</v>
      </c>
      <c r="C119" s="17">
        <v>0.26700000000000002</v>
      </c>
      <c r="D119" s="17">
        <v>0.25</v>
      </c>
      <c r="E119" s="17">
        <v>0.33</v>
      </c>
      <c r="F119" s="17">
        <v>0.86</v>
      </c>
      <c r="G119" s="17">
        <v>0.25</v>
      </c>
      <c r="H119" s="17">
        <v>0.55100000000000005</v>
      </c>
      <c r="I119" s="19">
        <v>0.30000000000000004</v>
      </c>
      <c r="J119" s="4">
        <v>0.45899999999999996</v>
      </c>
      <c r="K119" s="4">
        <v>0.54100000000000004</v>
      </c>
      <c r="L119">
        <v>0</v>
      </c>
      <c r="M119">
        <v>491.00000000000006</v>
      </c>
      <c r="N119">
        <v>210.00000000000003</v>
      </c>
      <c r="O119">
        <v>250</v>
      </c>
      <c r="P119">
        <v>551</v>
      </c>
      <c r="Q119">
        <v>246</v>
      </c>
      <c r="R119">
        <v>75</v>
      </c>
      <c r="S119" s="20"/>
    </row>
    <row r="120" spans="1:19" x14ac:dyDescent="0.25">
      <c r="A120">
        <v>118</v>
      </c>
      <c r="B120" s="17">
        <v>0.49399999999999999</v>
      </c>
      <c r="C120" s="17">
        <v>0.25700000000000001</v>
      </c>
      <c r="D120" s="17">
        <v>0.30000000000000004</v>
      </c>
      <c r="E120" s="17">
        <v>0.31</v>
      </c>
      <c r="F120" s="17">
        <v>0.87</v>
      </c>
      <c r="G120" s="17">
        <v>0.30000000000000004</v>
      </c>
      <c r="H120" s="17">
        <v>0.60299999999999998</v>
      </c>
      <c r="I120" s="19">
        <v>0.26900000000000007</v>
      </c>
      <c r="J120" s="4">
        <v>0.40700000000000003</v>
      </c>
      <c r="K120" s="4">
        <v>0.59299999999999997</v>
      </c>
      <c r="L120">
        <v>0</v>
      </c>
      <c r="M120">
        <v>551</v>
      </c>
      <c r="N120">
        <v>250</v>
      </c>
      <c r="O120">
        <v>300.00000000000006</v>
      </c>
      <c r="P120">
        <v>603</v>
      </c>
      <c r="Q120">
        <v>276</v>
      </c>
      <c r="R120">
        <v>73</v>
      </c>
      <c r="S120" s="20"/>
    </row>
    <row r="121" spans="1:19" x14ac:dyDescent="0.25">
      <c r="A121">
        <v>119</v>
      </c>
      <c r="B121" s="17">
        <v>0.53200000000000003</v>
      </c>
      <c r="C121" s="17">
        <v>0.252</v>
      </c>
      <c r="D121" s="17">
        <v>0.36000000000000004</v>
      </c>
      <c r="E121" s="17">
        <v>0.3</v>
      </c>
      <c r="F121" s="17">
        <v>0.89</v>
      </c>
      <c r="G121" s="17">
        <v>0.36000000000000004</v>
      </c>
      <c r="H121" s="17">
        <v>0.65100000000000002</v>
      </c>
      <c r="I121" s="19">
        <v>0.24000000000000005</v>
      </c>
      <c r="J121" s="4">
        <v>0.35899999999999999</v>
      </c>
      <c r="K121" s="4">
        <v>0.64100000000000001</v>
      </c>
      <c r="L121">
        <v>0</v>
      </c>
      <c r="M121">
        <v>603</v>
      </c>
      <c r="N121">
        <v>300.00000000000006</v>
      </c>
      <c r="O121">
        <v>360.00000000000006</v>
      </c>
      <c r="P121">
        <v>651</v>
      </c>
      <c r="Q121">
        <v>302</v>
      </c>
      <c r="R121">
        <v>67</v>
      </c>
      <c r="S121" s="20"/>
    </row>
    <row r="122" spans="1:19" x14ac:dyDescent="0.25">
      <c r="A122">
        <v>120</v>
      </c>
      <c r="B122" s="17">
        <v>0.56100000000000005</v>
      </c>
      <c r="C122" s="17">
        <v>0.252</v>
      </c>
      <c r="D122" s="17">
        <v>0.42899999999999994</v>
      </c>
      <c r="E122" s="17">
        <v>0.3</v>
      </c>
      <c r="F122" s="17">
        <v>0.9</v>
      </c>
      <c r="G122" s="17">
        <v>0.42899999999999994</v>
      </c>
      <c r="H122" s="17">
        <v>0.69100000000000006</v>
      </c>
      <c r="I122" s="19">
        <v>0.22300000000000006</v>
      </c>
      <c r="J122" s="4">
        <v>0.31899999999999995</v>
      </c>
      <c r="K122" s="4">
        <v>0.68100000000000005</v>
      </c>
      <c r="L122">
        <v>4</v>
      </c>
      <c r="M122">
        <v>651</v>
      </c>
      <c r="N122">
        <v>360.00000000000006</v>
      </c>
      <c r="O122">
        <v>428.99999999999994</v>
      </c>
      <c r="P122">
        <v>691.00000000000011</v>
      </c>
      <c r="Q122">
        <v>326</v>
      </c>
      <c r="R122">
        <v>55</v>
      </c>
      <c r="S122" s="20"/>
    </row>
    <row r="123" spans="1:19" x14ac:dyDescent="0.25">
      <c r="A123">
        <v>121</v>
      </c>
      <c r="B123" s="17">
        <v>0.58299999999999996</v>
      </c>
      <c r="C123" s="17">
        <v>0.25800000000000001</v>
      </c>
      <c r="D123" s="17">
        <v>0.51400000000000012</v>
      </c>
      <c r="E123" s="17">
        <v>0.88</v>
      </c>
      <c r="F123" s="17">
        <v>0.26</v>
      </c>
      <c r="G123" s="17">
        <v>0.51400000000000012</v>
      </c>
      <c r="H123" s="17">
        <v>0.71799999999999997</v>
      </c>
      <c r="I123" s="19">
        <v>0.26799999999999996</v>
      </c>
      <c r="J123" s="4">
        <v>0.29200000000000004</v>
      </c>
      <c r="K123" s="4">
        <v>0.70799999999999996</v>
      </c>
      <c r="L123">
        <v>4</v>
      </c>
      <c r="M123">
        <v>691.00000000000011</v>
      </c>
      <c r="N123">
        <v>428.99999999999994</v>
      </c>
      <c r="O123">
        <v>514.00000000000011</v>
      </c>
      <c r="P123">
        <v>718</v>
      </c>
      <c r="Q123">
        <v>346</v>
      </c>
      <c r="R123">
        <v>98</v>
      </c>
      <c r="S123" s="20"/>
    </row>
    <row r="124" spans="1:19" x14ac:dyDescent="0.25">
      <c r="A124">
        <v>122</v>
      </c>
      <c r="B124" s="17">
        <v>0.6</v>
      </c>
      <c r="C124" s="17">
        <v>0.26900000000000002</v>
      </c>
      <c r="D124" s="17">
        <v>0.58100000000000007</v>
      </c>
      <c r="E124" s="17">
        <v>0.88</v>
      </c>
      <c r="F124" s="17">
        <v>0.28999999999999998</v>
      </c>
      <c r="G124" s="17">
        <v>0.58100000000000007</v>
      </c>
      <c r="H124" s="17">
        <v>0.73499999999999999</v>
      </c>
      <c r="I124" s="19">
        <v>0.30300000000000005</v>
      </c>
      <c r="J124" s="4">
        <v>0.27500000000000002</v>
      </c>
      <c r="K124" s="4">
        <v>0.72499999999999998</v>
      </c>
      <c r="L124">
        <v>10</v>
      </c>
      <c r="M124">
        <v>718</v>
      </c>
      <c r="N124">
        <v>514.00000000000011</v>
      </c>
      <c r="O124">
        <v>581.00000000000011</v>
      </c>
      <c r="P124">
        <v>735</v>
      </c>
      <c r="Q124">
        <v>359</v>
      </c>
      <c r="R124">
        <v>97</v>
      </c>
      <c r="S124" s="20"/>
    </row>
    <row r="125" spans="1:19" x14ac:dyDescent="0.25">
      <c r="A125">
        <v>123</v>
      </c>
      <c r="B125" s="17">
        <v>0.61099999999999999</v>
      </c>
      <c r="C125" s="17">
        <v>0.28499999999999998</v>
      </c>
      <c r="D125" s="17">
        <v>0.63200000000000012</v>
      </c>
      <c r="E125" s="17">
        <v>0.85</v>
      </c>
      <c r="F125" s="17">
        <v>0.28999999999999998</v>
      </c>
      <c r="G125" s="17">
        <v>0.63200000000000012</v>
      </c>
      <c r="H125" s="17">
        <v>0.754</v>
      </c>
      <c r="I125" s="19">
        <v>0.34900000000000003</v>
      </c>
      <c r="J125" s="4">
        <v>0.25600000000000001</v>
      </c>
      <c r="K125" s="4">
        <v>0.74399999999999999</v>
      </c>
      <c r="L125">
        <v>10</v>
      </c>
      <c r="M125">
        <v>735</v>
      </c>
      <c r="N125">
        <v>581.00000000000011</v>
      </c>
      <c r="O125">
        <v>632.00000000000011</v>
      </c>
      <c r="P125">
        <v>754</v>
      </c>
      <c r="Q125">
        <v>368</v>
      </c>
      <c r="R125">
        <v>92</v>
      </c>
      <c r="S125" s="20"/>
    </row>
    <row r="126" spans="1:19" x14ac:dyDescent="0.25">
      <c r="A126">
        <v>124</v>
      </c>
      <c r="B126" s="17">
        <v>0.621</v>
      </c>
      <c r="C126" s="17">
        <v>0.308</v>
      </c>
      <c r="D126" s="17">
        <v>0.66999999999999993</v>
      </c>
      <c r="E126" s="17">
        <v>0.82000000000000006</v>
      </c>
      <c r="F126" s="17">
        <v>0.34</v>
      </c>
      <c r="G126" s="17">
        <v>0.66999999999999993</v>
      </c>
      <c r="H126" s="17">
        <v>0.76200000000000001</v>
      </c>
      <c r="I126" s="19">
        <v>0.4</v>
      </c>
      <c r="J126" s="4">
        <v>0.248</v>
      </c>
      <c r="K126" s="4">
        <v>0.752</v>
      </c>
      <c r="L126">
        <v>18</v>
      </c>
      <c r="M126">
        <v>754</v>
      </c>
      <c r="N126">
        <v>632.00000000000011</v>
      </c>
      <c r="O126">
        <v>669.99999999999989</v>
      </c>
      <c r="P126">
        <v>762</v>
      </c>
      <c r="Q126">
        <v>377</v>
      </c>
      <c r="R126">
        <v>88</v>
      </c>
      <c r="S126" s="20"/>
    </row>
    <row r="127" spans="1:19" x14ac:dyDescent="0.25">
      <c r="A127">
        <v>125</v>
      </c>
      <c r="B127" s="17">
        <v>0.628</v>
      </c>
      <c r="C127" s="17">
        <v>0.33900000000000002</v>
      </c>
      <c r="D127" s="17">
        <v>0.70399999999999996</v>
      </c>
      <c r="E127" s="17">
        <v>0.8</v>
      </c>
      <c r="F127" s="17">
        <v>0.37</v>
      </c>
      <c r="G127" s="17">
        <v>0.70399999999999996</v>
      </c>
      <c r="H127" s="17">
        <v>0.76700000000000002</v>
      </c>
      <c r="I127" s="19">
        <v>0.44900000000000007</v>
      </c>
      <c r="J127" s="4">
        <v>0.24299999999999999</v>
      </c>
      <c r="K127" s="4">
        <v>0.75700000000000001</v>
      </c>
      <c r="L127">
        <v>18</v>
      </c>
      <c r="M127">
        <v>762</v>
      </c>
      <c r="N127">
        <v>669.99999999999989</v>
      </c>
      <c r="O127">
        <v>704</v>
      </c>
      <c r="P127">
        <v>767</v>
      </c>
      <c r="Q127">
        <v>381</v>
      </c>
      <c r="R127">
        <v>85</v>
      </c>
      <c r="S127" s="20"/>
    </row>
    <row r="128" spans="1:19" x14ac:dyDescent="0.25">
      <c r="A128">
        <v>126</v>
      </c>
      <c r="B128" s="17">
        <v>0.63</v>
      </c>
      <c r="C128" s="17">
        <v>0.376</v>
      </c>
      <c r="D128" s="17">
        <v>0.72500000000000009</v>
      </c>
      <c r="E128" s="17">
        <v>0.76</v>
      </c>
      <c r="F128" s="17">
        <v>0.41000000000000003</v>
      </c>
      <c r="G128" s="17">
        <v>0.72500000000000009</v>
      </c>
      <c r="H128" s="17">
        <v>0.76400000000000012</v>
      </c>
      <c r="I128" s="19">
        <v>0.4880000000000001</v>
      </c>
      <c r="J128" s="4">
        <v>0.24599999999999989</v>
      </c>
      <c r="K128" s="4">
        <v>0.75400000000000011</v>
      </c>
      <c r="L128">
        <v>26</v>
      </c>
      <c r="M128">
        <v>767</v>
      </c>
      <c r="N128">
        <v>704</v>
      </c>
      <c r="O128">
        <v>725.00000000000011</v>
      </c>
      <c r="P128">
        <v>764.00000000000011</v>
      </c>
      <c r="Q128">
        <v>384</v>
      </c>
      <c r="R128">
        <v>79</v>
      </c>
      <c r="S128" s="20"/>
    </row>
    <row r="129" spans="1:19" x14ac:dyDescent="0.25">
      <c r="A129">
        <v>127</v>
      </c>
      <c r="B129" s="17">
        <v>0.629</v>
      </c>
      <c r="C129" s="17">
        <v>0.41599999999999998</v>
      </c>
      <c r="D129" s="17">
        <v>0.74600000000000011</v>
      </c>
      <c r="E129" s="17">
        <v>0.75</v>
      </c>
      <c r="F129" s="17">
        <v>0.46</v>
      </c>
      <c r="G129" s="17">
        <v>0.74600000000000011</v>
      </c>
      <c r="H129" s="17">
        <v>0.75700000000000012</v>
      </c>
      <c r="I129" s="19">
        <v>0.52100000000000013</v>
      </c>
      <c r="J129" s="4">
        <v>0.25299999999999989</v>
      </c>
      <c r="K129" s="4">
        <v>0.74700000000000011</v>
      </c>
      <c r="L129">
        <v>26</v>
      </c>
      <c r="M129">
        <v>764.00000000000011</v>
      </c>
      <c r="N129">
        <v>725.00000000000011</v>
      </c>
      <c r="O129">
        <v>746.00000000000011</v>
      </c>
      <c r="P129">
        <v>757.00000000000011</v>
      </c>
      <c r="Q129">
        <v>382</v>
      </c>
      <c r="R129">
        <v>71</v>
      </c>
      <c r="S129" s="20"/>
    </row>
    <row r="130" spans="1:19" x14ac:dyDescent="0.25">
      <c r="A130">
        <v>128</v>
      </c>
      <c r="B130" s="17">
        <v>0.624</v>
      </c>
      <c r="C130" s="17">
        <v>0.45600000000000002</v>
      </c>
      <c r="D130" s="17">
        <v>0.75700000000000012</v>
      </c>
      <c r="E130" s="17">
        <v>0.74</v>
      </c>
      <c r="F130" s="17">
        <v>0.47000000000000003</v>
      </c>
      <c r="G130" s="17">
        <v>0.75700000000000012</v>
      </c>
      <c r="H130" s="17">
        <v>0.74600000000000011</v>
      </c>
      <c r="I130" s="19">
        <v>0.55199999999999994</v>
      </c>
      <c r="J130" s="4">
        <v>0.2639999999999999</v>
      </c>
      <c r="K130" s="4">
        <v>0.7360000000000001</v>
      </c>
      <c r="L130">
        <v>18</v>
      </c>
      <c r="M130">
        <v>757.00000000000011</v>
      </c>
      <c r="N130">
        <v>746.00000000000011</v>
      </c>
      <c r="O130">
        <v>757.00000000000011</v>
      </c>
      <c r="P130">
        <v>746.00000000000011</v>
      </c>
      <c r="Q130">
        <v>379</v>
      </c>
      <c r="R130">
        <v>68</v>
      </c>
      <c r="S130" s="20"/>
    </row>
    <row r="131" spans="1:19" x14ac:dyDescent="0.25">
      <c r="A131">
        <v>129</v>
      </c>
      <c r="B131" s="17">
        <v>0.61399999999999999</v>
      </c>
      <c r="C131" s="17">
        <v>0.49399999999999999</v>
      </c>
      <c r="D131" s="17">
        <v>0.76400000000000012</v>
      </c>
      <c r="E131" s="17">
        <v>0.74</v>
      </c>
      <c r="F131" s="17">
        <v>0.5</v>
      </c>
      <c r="G131" s="17">
        <v>0.76400000000000012</v>
      </c>
      <c r="H131" s="17">
        <v>0.72500000000000009</v>
      </c>
      <c r="I131" s="19">
        <v>0.57799999999999996</v>
      </c>
      <c r="J131" s="4">
        <v>0.28499999999999992</v>
      </c>
      <c r="K131" s="4">
        <v>0.71500000000000008</v>
      </c>
      <c r="L131">
        <v>18</v>
      </c>
      <c r="M131">
        <v>746.00000000000011</v>
      </c>
      <c r="N131">
        <v>757.00000000000011</v>
      </c>
      <c r="O131">
        <v>764.00000000000011</v>
      </c>
      <c r="P131">
        <v>725.00000000000011</v>
      </c>
      <c r="Q131">
        <v>373</v>
      </c>
      <c r="R131">
        <v>65</v>
      </c>
      <c r="S131" s="20"/>
    </row>
    <row r="132" spans="1:19" x14ac:dyDescent="0.25">
      <c r="A132">
        <v>130</v>
      </c>
      <c r="B132" s="17">
        <v>0.6</v>
      </c>
      <c r="C132" s="17">
        <v>0.52600000000000002</v>
      </c>
      <c r="D132" s="17">
        <v>0.76700000000000002</v>
      </c>
      <c r="E132" s="17">
        <v>0.70000000000000007</v>
      </c>
      <c r="F132" s="17">
        <v>0.52</v>
      </c>
      <c r="G132" s="17">
        <v>0.76700000000000002</v>
      </c>
      <c r="H132" s="17">
        <v>0.70399999999999996</v>
      </c>
      <c r="I132" s="19">
        <v>0.60299999999999998</v>
      </c>
      <c r="J132" s="4">
        <v>0.30600000000000005</v>
      </c>
      <c r="K132" s="4">
        <v>0.69399999999999995</v>
      </c>
      <c r="L132">
        <v>10</v>
      </c>
      <c r="M132">
        <v>725.00000000000011</v>
      </c>
      <c r="N132">
        <v>764.00000000000011</v>
      </c>
      <c r="O132">
        <v>767</v>
      </c>
      <c r="P132">
        <v>704</v>
      </c>
      <c r="Q132">
        <v>363</v>
      </c>
      <c r="R132">
        <v>59</v>
      </c>
      <c r="S132" s="20"/>
    </row>
    <row r="133" spans="1:19" x14ac:dyDescent="0.25">
      <c r="A133">
        <v>131</v>
      </c>
      <c r="B133" s="17">
        <v>0.57999999999999996</v>
      </c>
      <c r="C133" s="17">
        <v>0.55400000000000005</v>
      </c>
      <c r="D133" s="17">
        <v>0.76200000000000001</v>
      </c>
      <c r="E133" s="17">
        <v>0.70000000000000007</v>
      </c>
      <c r="F133" s="17">
        <v>0.56000000000000005</v>
      </c>
      <c r="G133" s="17">
        <v>0.76200000000000001</v>
      </c>
      <c r="H133" s="17">
        <v>0.66999999999999993</v>
      </c>
      <c r="I133" s="19">
        <v>0.626</v>
      </c>
      <c r="J133" s="4">
        <v>0.34000000000000008</v>
      </c>
      <c r="K133" s="4">
        <v>0.65999999999999992</v>
      </c>
      <c r="L133">
        <v>10</v>
      </c>
      <c r="M133">
        <v>704</v>
      </c>
      <c r="N133">
        <v>767</v>
      </c>
      <c r="O133">
        <v>762</v>
      </c>
      <c r="P133">
        <v>669.99999999999989</v>
      </c>
      <c r="Q133">
        <v>352</v>
      </c>
      <c r="R133">
        <v>53</v>
      </c>
      <c r="S133" s="20"/>
    </row>
    <row r="134" spans="1:19" x14ac:dyDescent="0.25">
      <c r="A134">
        <v>132</v>
      </c>
      <c r="B134" s="17">
        <v>0.55500000000000005</v>
      </c>
      <c r="C134" s="17">
        <v>0.57699999999999996</v>
      </c>
      <c r="D134" s="17">
        <v>0.754</v>
      </c>
      <c r="E134" s="17">
        <v>0.68</v>
      </c>
      <c r="F134" s="17">
        <v>0.57999999999999996</v>
      </c>
      <c r="G134" s="17">
        <v>0.754</v>
      </c>
      <c r="H134" s="17">
        <v>0.63200000000000012</v>
      </c>
      <c r="I134" s="19">
        <v>0.64100000000000001</v>
      </c>
      <c r="J134" s="4">
        <v>0.37799999999999989</v>
      </c>
      <c r="K134" s="4">
        <v>0.62200000000000011</v>
      </c>
      <c r="L134">
        <v>4</v>
      </c>
      <c r="M134">
        <v>669.99999999999989</v>
      </c>
      <c r="N134">
        <v>762</v>
      </c>
      <c r="O134">
        <v>754</v>
      </c>
      <c r="P134">
        <v>632.00000000000011</v>
      </c>
      <c r="Q134">
        <v>335</v>
      </c>
      <c r="R134">
        <v>48</v>
      </c>
      <c r="S134" s="20"/>
    </row>
    <row r="135" spans="1:19" x14ac:dyDescent="0.25">
      <c r="A135">
        <v>133</v>
      </c>
      <c r="B135" s="17">
        <v>0.52600000000000002</v>
      </c>
      <c r="C135" s="17">
        <v>0.59599999999999997</v>
      </c>
      <c r="D135" s="17">
        <v>0.73499999999999999</v>
      </c>
      <c r="E135" s="17">
        <v>0.64</v>
      </c>
      <c r="F135" s="17">
        <v>0.6</v>
      </c>
      <c r="G135" s="17">
        <v>0.73499999999999999</v>
      </c>
      <c r="H135" s="17">
        <v>0.58100000000000007</v>
      </c>
      <c r="I135" s="19">
        <v>0.65100000000000002</v>
      </c>
      <c r="J135" s="4">
        <v>0.42899999999999994</v>
      </c>
      <c r="K135" s="4">
        <v>0.57100000000000006</v>
      </c>
      <c r="L135">
        <v>4</v>
      </c>
      <c r="M135">
        <v>632.00000000000011</v>
      </c>
      <c r="N135">
        <v>754</v>
      </c>
      <c r="O135">
        <v>735</v>
      </c>
      <c r="P135">
        <v>581.00000000000011</v>
      </c>
      <c r="Q135">
        <v>316</v>
      </c>
      <c r="R135">
        <v>97</v>
      </c>
      <c r="S135" s="20"/>
    </row>
    <row r="136" spans="1:19" x14ac:dyDescent="0.25">
      <c r="A136">
        <v>134</v>
      </c>
      <c r="B136" s="17">
        <v>0.49199999999999999</v>
      </c>
      <c r="C136" s="17">
        <v>0.61099999999999999</v>
      </c>
      <c r="D136" s="17">
        <v>0.71799999999999997</v>
      </c>
      <c r="E136" s="17">
        <v>0.63</v>
      </c>
      <c r="F136" s="17">
        <v>0.62</v>
      </c>
      <c r="G136" s="17">
        <v>0.71799999999999997</v>
      </c>
      <c r="H136" s="17">
        <v>0.51400000000000012</v>
      </c>
      <c r="I136" s="19">
        <v>0.66100000000000003</v>
      </c>
      <c r="J136" s="4">
        <v>0.49599999999999989</v>
      </c>
      <c r="K136" s="4">
        <v>0.50400000000000011</v>
      </c>
      <c r="L136">
        <v>0</v>
      </c>
      <c r="M136">
        <v>581.00000000000011</v>
      </c>
      <c r="N136">
        <v>735</v>
      </c>
      <c r="O136">
        <v>718</v>
      </c>
      <c r="P136">
        <v>514.00000000000011</v>
      </c>
      <c r="Q136">
        <v>291</v>
      </c>
      <c r="R136">
        <v>95</v>
      </c>
      <c r="S136" s="20"/>
    </row>
    <row r="137" spans="1:19" x14ac:dyDescent="0.25">
      <c r="A137">
        <v>135</v>
      </c>
      <c r="B137" s="17">
        <v>0.45400000000000001</v>
      </c>
      <c r="C137" s="17">
        <v>0.622</v>
      </c>
      <c r="D137" s="17">
        <v>0.69100000000000006</v>
      </c>
      <c r="E137" s="17">
        <v>0.57999999999999996</v>
      </c>
      <c r="F137" s="17">
        <v>0.65</v>
      </c>
      <c r="G137" s="17">
        <v>0.69100000000000006</v>
      </c>
      <c r="H137" s="17">
        <v>0.42899999999999994</v>
      </c>
      <c r="I137" s="19">
        <v>0.66700000000000004</v>
      </c>
      <c r="J137" s="4">
        <v>0.58100000000000007</v>
      </c>
      <c r="K137" s="4">
        <v>0.41899999999999993</v>
      </c>
      <c r="L137">
        <v>0</v>
      </c>
      <c r="M137">
        <v>514.00000000000011</v>
      </c>
      <c r="N137">
        <v>718</v>
      </c>
      <c r="O137">
        <v>691.00000000000011</v>
      </c>
      <c r="P137">
        <v>428.99999999999994</v>
      </c>
      <c r="Q137">
        <v>257</v>
      </c>
      <c r="R137">
        <v>90</v>
      </c>
      <c r="S137" s="20"/>
    </row>
    <row r="138" spans="1:19" x14ac:dyDescent="0.25">
      <c r="A138">
        <v>136</v>
      </c>
      <c r="B138" s="17">
        <v>0.41199999999999998</v>
      </c>
      <c r="C138" s="17">
        <v>0.63</v>
      </c>
      <c r="D138" s="17">
        <v>0.65100000000000002</v>
      </c>
      <c r="E138" s="17">
        <v>0.57999999999999996</v>
      </c>
      <c r="F138" s="17">
        <v>0.66</v>
      </c>
      <c r="G138" s="17">
        <v>0.65100000000000002</v>
      </c>
      <c r="H138" s="17">
        <v>0.36000000000000004</v>
      </c>
      <c r="I138" s="19">
        <v>0.66700000000000004</v>
      </c>
      <c r="J138" s="4">
        <v>0.64999999999999991</v>
      </c>
      <c r="K138" s="4">
        <v>0.35000000000000003</v>
      </c>
      <c r="L138">
        <v>0</v>
      </c>
      <c r="M138">
        <v>428.99999999999994</v>
      </c>
      <c r="N138">
        <v>691.00000000000011</v>
      </c>
      <c r="O138">
        <v>651</v>
      </c>
      <c r="P138">
        <v>360.00000000000006</v>
      </c>
      <c r="Q138">
        <v>215</v>
      </c>
      <c r="R138">
        <v>85</v>
      </c>
      <c r="S138" s="20"/>
    </row>
    <row r="139" spans="1:19" x14ac:dyDescent="0.25">
      <c r="A139">
        <v>137</v>
      </c>
      <c r="B139" s="17">
        <v>0.36899999999999999</v>
      </c>
      <c r="C139" s="17">
        <v>0.63500000000000001</v>
      </c>
      <c r="D139" s="17">
        <v>0.60299999999999998</v>
      </c>
      <c r="E139" s="17">
        <v>0.57000000000000006</v>
      </c>
      <c r="F139" s="17">
        <v>0.66</v>
      </c>
      <c r="G139" s="17">
        <v>0.60299999999999998</v>
      </c>
      <c r="H139" s="17">
        <v>0.30000000000000004</v>
      </c>
      <c r="I139" s="19">
        <v>0.66199999999999992</v>
      </c>
      <c r="J139" s="4">
        <v>0.71</v>
      </c>
      <c r="K139" s="4">
        <v>0.29000000000000004</v>
      </c>
      <c r="L139">
        <v>0</v>
      </c>
      <c r="M139">
        <v>360.00000000000006</v>
      </c>
      <c r="N139">
        <v>651</v>
      </c>
      <c r="O139">
        <v>603</v>
      </c>
      <c r="P139">
        <v>300.00000000000006</v>
      </c>
      <c r="Q139">
        <v>180</v>
      </c>
      <c r="R139">
        <v>80</v>
      </c>
      <c r="S139" s="20"/>
    </row>
    <row r="140" spans="1:19" x14ac:dyDescent="0.25">
      <c r="A140">
        <v>138</v>
      </c>
      <c r="B140" s="17">
        <v>0.32700000000000001</v>
      </c>
      <c r="C140" s="17">
        <v>0.63700000000000001</v>
      </c>
      <c r="D140" s="17">
        <v>0.55100000000000005</v>
      </c>
      <c r="E140" s="17">
        <v>0.52</v>
      </c>
      <c r="F140" s="17">
        <v>0.73</v>
      </c>
      <c r="G140" s="17">
        <v>0.55100000000000005</v>
      </c>
      <c r="H140" s="17">
        <v>0.25</v>
      </c>
      <c r="I140" s="19">
        <v>0.65500000000000014</v>
      </c>
      <c r="J140" s="4">
        <v>0.76</v>
      </c>
      <c r="K140" s="4">
        <v>0.24</v>
      </c>
      <c r="L140">
        <v>0</v>
      </c>
      <c r="M140">
        <v>300.00000000000006</v>
      </c>
      <c r="N140">
        <v>603</v>
      </c>
      <c r="O140">
        <v>551</v>
      </c>
      <c r="P140">
        <v>250</v>
      </c>
      <c r="Q140">
        <v>150</v>
      </c>
      <c r="R140">
        <v>55</v>
      </c>
      <c r="S140" s="20"/>
    </row>
    <row r="141" spans="1:19" x14ac:dyDescent="0.25">
      <c r="A141">
        <v>139</v>
      </c>
      <c r="B141" s="17">
        <v>0.28899999999999998</v>
      </c>
      <c r="C141" s="17">
        <v>0.63700000000000001</v>
      </c>
      <c r="D141" s="17">
        <v>0.49100000000000005</v>
      </c>
      <c r="E141" s="17">
        <v>0.52</v>
      </c>
      <c r="F141" s="17">
        <v>0.76</v>
      </c>
      <c r="G141" s="17">
        <v>0.49100000000000005</v>
      </c>
      <c r="H141" s="17">
        <v>0.21000000000000002</v>
      </c>
      <c r="I141" s="19">
        <v>0.64400000000000002</v>
      </c>
      <c r="J141" s="4">
        <v>0.8</v>
      </c>
      <c r="K141" s="4">
        <v>0.2</v>
      </c>
      <c r="L141">
        <v>0</v>
      </c>
      <c r="M141">
        <v>250</v>
      </c>
      <c r="N141">
        <v>551</v>
      </c>
      <c r="O141">
        <v>491.00000000000006</v>
      </c>
      <c r="P141">
        <v>210.00000000000003</v>
      </c>
      <c r="Q141">
        <v>125</v>
      </c>
      <c r="R141">
        <v>50</v>
      </c>
      <c r="S141" s="20"/>
    </row>
    <row r="142" spans="1:19" x14ac:dyDescent="0.25">
      <c r="A142">
        <v>140</v>
      </c>
      <c r="B142" s="17">
        <v>0.25700000000000001</v>
      </c>
      <c r="C142" s="17">
        <v>0.63400000000000001</v>
      </c>
      <c r="D142" s="17">
        <v>0.43699999999999994</v>
      </c>
      <c r="E142" s="17">
        <v>0.5</v>
      </c>
      <c r="F142" s="17">
        <v>0.78</v>
      </c>
      <c r="G142" s="17">
        <v>0.43699999999999994</v>
      </c>
      <c r="H142" s="17">
        <v>0.17700000000000002</v>
      </c>
      <c r="I142" s="19">
        <v>0.63000000000000012</v>
      </c>
      <c r="J142" s="4">
        <v>0.83299999999999996</v>
      </c>
      <c r="K142" s="4">
        <v>0.16700000000000001</v>
      </c>
      <c r="L142">
        <v>0</v>
      </c>
      <c r="M142">
        <v>210.00000000000003</v>
      </c>
      <c r="N142">
        <v>491.00000000000006</v>
      </c>
      <c r="O142">
        <v>436.99999999999994</v>
      </c>
      <c r="P142">
        <v>177.00000000000003</v>
      </c>
      <c r="Q142">
        <v>105</v>
      </c>
      <c r="R142">
        <v>45</v>
      </c>
      <c r="S142" s="20"/>
    </row>
    <row r="143" spans="1:19" x14ac:dyDescent="0.25">
      <c r="A143">
        <v>141</v>
      </c>
      <c r="B143" s="17">
        <v>0.23</v>
      </c>
      <c r="C143" s="17">
        <v>0.628</v>
      </c>
      <c r="D143" s="17">
        <v>0.38100000000000001</v>
      </c>
      <c r="E143" s="17">
        <v>0.5</v>
      </c>
      <c r="F143" s="17">
        <v>0.78</v>
      </c>
      <c r="G143" s="17">
        <v>0.38100000000000001</v>
      </c>
      <c r="H143" s="17">
        <v>0.15100000000000002</v>
      </c>
      <c r="I143" s="19">
        <v>0.61199999999999999</v>
      </c>
      <c r="J143" s="4">
        <v>0.85899999999999999</v>
      </c>
      <c r="K143" s="4">
        <v>0.14100000000000001</v>
      </c>
      <c r="L143">
        <v>0</v>
      </c>
      <c r="M143">
        <v>177.00000000000003</v>
      </c>
      <c r="N143">
        <v>436.99999999999994</v>
      </c>
      <c r="O143">
        <v>381</v>
      </c>
      <c r="P143">
        <v>151.00000000000003</v>
      </c>
      <c r="Q143">
        <v>89</v>
      </c>
      <c r="R143">
        <v>40</v>
      </c>
      <c r="S143" s="20"/>
    </row>
    <row r="144" spans="1:19" x14ac:dyDescent="0.25">
      <c r="A144">
        <v>142</v>
      </c>
      <c r="B144" s="17">
        <v>0.20799999999999999</v>
      </c>
      <c r="C144" s="17">
        <v>0.61899999999999999</v>
      </c>
      <c r="D144" s="17">
        <v>0.33600000000000008</v>
      </c>
      <c r="E144" s="17">
        <v>0.5</v>
      </c>
      <c r="F144" s="17">
        <v>0.81</v>
      </c>
      <c r="G144" s="17">
        <v>0.33600000000000008</v>
      </c>
      <c r="H144" s="17">
        <v>0.13500000000000001</v>
      </c>
      <c r="I144" s="19">
        <v>0.59100000000000008</v>
      </c>
      <c r="J144" s="4">
        <v>0.875</v>
      </c>
      <c r="K144" s="4">
        <v>0.125</v>
      </c>
      <c r="L144">
        <v>0</v>
      </c>
      <c r="M144">
        <v>151.00000000000003</v>
      </c>
      <c r="N144">
        <v>381</v>
      </c>
      <c r="O144">
        <v>336.00000000000006</v>
      </c>
      <c r="P144">
        <v>135</v>
      </c>
      <c r="Q144">
        <v>76</v>
      </c>
      <c r="R144">
        <v>35</v>
      </c>
      <c r="S144" s="20"/>
    </row>
    <row r="145" spans="1:19" x14ac:dyDescent="0.25">
      <c r="A145">
        <v>143</v>
      </c>
      <c r="B145" s="17">
        <v>0.19</v>
      </c>
      <c r="C145" s="17">
        <v>0.60599999999999998</v>
      </c>
      <c r="D145" s="17">
        <v>0.30000000000000004</v>
      </c>
      <c r="E145" s="17">
        <v>0.44</v>
      </c>
      <c r="F145" s="17">
        <v>0.81</v>
      </c>
      <c r="G145" s="17">
        <v>0.30000000000000004</v>
      </c>
      <c r="H145" s="17">
        <v>0.11799999999999999</v>
      </c>
      <c r="I145" s="19">
        <v>0.56400000000000006</v>
      </c>
      <c r="J145" s="4">
        <v>0.89200000000000002</v>
      </c>
      <c r="K145" s="4">
        <v>0.108</v>
      </c>
      <c r="L145">
        <v>0</v>
      </c>
      <c r="M145">
        <v>135</v>
      </c>
      <c r="N145">
        <v>336.00000000000006</v>
      </c>
      <c r="O145">
        <v>300.00000000000006</v>
      </c>
      <c r="P145">
        <v>118</v>
      </c>
      <c r="Q145">
        <v>68</v>
      </c>
      <c r="R145">
        <v>30</v>
      </c>
      <c r="S145" s="20"/>
    </row>
    <row r="146" spans="1:19" x14ac:dyDescent="0.25">
      <c r="A146">
        <v>144</v>
      </c>
      <c r="B146" s="17">
        <v>0.17699999999999999</v>
      </c>
      <c r="C146" s="17">
        <v>0.59</v>
      </c>
      <c r="D146" s="17">
        <v>0.26900000000000007</v>
      </c>
      <c r="E146" s="17">
        <v>0.44</v>
      </c>
      <c r="F146" s="17">
        <v>0.82000000000000006</v>
      </c>
      <c r="G146" s="17">
        <v>0.26900000000000007</v>
      </c>
      <c r="H146" s="17">
        <v>0.11299999999999999</v>
      </c>
      <c r="I146" s="19">
        <v>0.53100000000000003</v>
      </c>
      <c r="J146" s="4">
        <v>0.89700000000000002</v>
      </c>
      <c r="K146" s="4">
        <v>0.10299999999999999</v>
      </c>
      <c r="L146">
        <v>0</v>
      </c>
      <c r="M146">
        <v>118</v>
      </c>
      <c r="N146">
        <v>300.00000000000006</v>
      </c>
      <c r="O146">
        <v>269.00000000000006</v>
      </c>
      <c r="P146">
        <v>112.99999999999999</v>
      </c>
      <c r="Q146">
        <v>59</v>
      </c>
      <c r="R146">
        <v>25</v>
      </c>
      <c r="S146" s="20"/>
    </row>
    <row r="147" spans="1:19" x14ac:dyDescent="0.25">
      <c r="A147">
        <v>145</v>
      </c>
      <c r="B147" s="17">
        <v>0.16900000000000001</v>
      </c>
      <c r="C147" s="17">
        <v>0.56999999999999995</v>
      </c>
      <c r="D147" s="17">
        <v>0.24000000000000005</v>
      </c>
      <c r="E147" s="17">
        <v>0.44</v>
      </c>
      <c r="F147" s="17">
        <v>0.83000000000000007</v>
      </c>
      <c r="G147" s="17">
        <v>0.24000000000000005</v>
      </c>
      <c r="H147" s="17">
        <v>0.11100000000000002</v>
      </c>
      <c r="I147" s="19">
        <v>0.4880000000000001</v>
      </c>
      <c r="J147" s="4">
        <v>0.89900000000000002</v>
      </c>
      <c r="K147" s="4">
        <v>0.10100000000000002</v>
      </c>
      <c r="L147">
        <v>0</v>
      </c>
      <c r="M147">
        <v>112.99999999999999</v>
      </c>
      <c r="N147">
        <v>269.00000000000006</v>
      </c>
      <c r="O147">
        <v>240.00000000000006</v>
      </c>
      <c r="P147">
        <v>111.00000000000001</v>
      </c>
      <c r="Q147">
        <v>57</v>
      </c>
      <c r="R147">
        <v>98</v>
      </c>
      <c r="S147" s="20"/>
    </row>
    <row r="148" spans="1:19" x14ac:dyDescent="0.25">
      <c r="A148">
        <v>146</v>
      </c>
      <c r="B148" s="17">
        <v>0.16500000000000001</v>
      </c>
      <c r="C148" s="17">
        <v>0.54700000000000004</v>
      </c>
      <c r="D148" s="17">
        <v>0.22300000000000006</v>
      </c>
      <c r="E148" s="17">
        <v>0.41000000000000003</v>
      </c>
      <c r="F148" s="17">
        <v>0.84</v>
      </c>
      <c r="G148" s="17">
        <v>0.22300000000000006</v>
      </c>
      <c r="H148" s="17">
        <v>0.11000000000000001</v>
      </c>
      <c r="I148" s="19">
        <v>0.43599999999999994</v>
      </c>
      <c r="J148" s="4">
        <v>0.9</v>
      </c>
      <c r="K148" s="4">
        <v>0.10000000000000002</v>
      </c>
      <c r="L148">
        <v>0</v>
      </c>
      <c r="M148">
        <v>111.00000000000001</v>
      </c>
      <c r="N148">
        <v>240.00000000000006</v>
      </c>
      <c r="O148">
        <v>223.00000000000006</v>
      </c>
      <c r="P148">
        <v>110.00000000000001</v>
      </c>
      <c r="Q148">
        <v>56</v>
      </c>
      <c r="R148">
        <v>88</v>
      </c>
      <c r="S148" s="20"/>
    </row>
    <row r="149" spans="1:19" x14ac:dyDescent="0.25">
      <c r="A149">
        <v>147</v>
      </c>
      <c r="B149" s="17">
        <v>0.16500000000000001</v>
      </c>
      <c r="C149" s="17">
        <v>0.52100000000000002</v>
      </c>
      <c r="D149" s="17">
        <v>0.21299999999999999</v>
      </c>
      <c r="E149" s="17">
        <v>0.38</v>
      </c>
      <c r="F149" s="17">
        <v>0.85</v>
      </c>
      <c r="G149" s="17">
        <v>0.21299999999999999</v>
      </c>
      <c r="H149" s="17">
        <v>0.11499999999999999</v>
      </c>
      <c r="I149" s="19">
        <v>0.36799999999999999</v>
      </c>
      <c r="J149" s="4">
        <v>0.89500000000000002</v>
      </c>
      <c r="K149" s="4">
        <v>0.105</v>
      </c>
      <c r="L149">
        <v>0</v>
      </c>
      <c r="M149">
        <v>110.00000000000001</v>
      </c>
      <c r="N149">
        <v>223.00000000000006</v>
      </c>
      <c r="O149">
        <v>213</v>
      </c>
      <c r="P149">
        <v>114.99999999999999</v>
      </c>
      <c r="Q149">
        <v>55</v>
      </c>
      <c r="R149">
        <v>79</v>
      </c>
      <c r="S149" s="20"/>
    </row>
    <row r="150" spans="1:19" x14ac:dyDescent="0.25">
      <c r="A150">
        <v>148</v>
      </c>
      <c r="B150" s="17">
        <v>0.17</v>
      </c>
      <c r="C150" s="17">
        <v>0.49199999999999999</v>
      </c>
      <c r="D150" s="17">
        <v>0.21100000000000005</v>
      </c>
      <c r="E150" s="17">
        <v>0.28999999999999998</v>
      </c>
      <c r="F150" s="17">
        <v>0.89</v>
      </c>
      <c r="G150" s="17">
        <v>0.21100000000000005</v>
      </c>
      <c r="H150" s="17">
        <v>0.13500000000000001</v>
      </c>
      <c r="I150" s="19">
        <v>0.30000000000000004</v>
      </c>
      <c r="J150" s="4">
        <v>0.875</v>
      </c>
      <c r="K150" s="4">
        <v>0.125</v>
      </c>
      <c r="L150">
        <v>4</v>
      </c>
      <c r="M150">
        <v>114.99999999999999</v>
      </c>
      <c r="N150">
        <v>213</v>
      </c>
      <c r="O150">
        <v>211.00000000000006</v>
      </c>
      <c r="P150">
        <v>135</v>
      </c>
      <c r="Q150">
        <v>58</v>
      </c>
      <c r="R150">
        <v>69</v>
      </c>
      <c r="S150" s="20"/>
    </row>
    <row r="151" spans="1:19" x14ac:dyDescent="0.25">
      <c r="A151">
        <v>149</v>
      </c>
      <c r="B151" s="17">
        <v>0.17899999999999999</v>
      </c>
      <c r="C151" s="17">
        <v>0.46200000000000002</v>
      </c>
      <c r="D151" s="17">
        <v>0.21799999999999997</v>
      </c>
      <c r="E151" s="17">
        <v>0.27</v>
      </c>
      <c r="F151" s="17">
        <v>0.92</v>
      </c>
      <c r="G151" s="17">
        <v>0.21799999999999997</v>
      </c>
      <c r="H151" s="17">
        <v>0.17</v>
      </c>
      <c r="I151" s="19">
        <v>0.22999999999999998</v>
      </c>
      <c r="J151" s="4">
        <v>0.84</v>
      </c>
      <c r="K151" s="4">
        <v>0.16</v>
      </c>
      <c r="L151">
        <v>4</v>
      </c>
      <c r="M151">
        <v>135</v>
      </c>
      <c r="N151">
        <v>211.00000000000006</v>
      </c>
      <c r="O151">
        <v>217.99999999999997</v>
      </c>
      <c r="P151">
        <v>170</v>
      </c>
      <c r="Q151">
        <v>68</v>
      </c>
      <c r="R151">
        <v>62</v>
      </c>
      <c r="S151" s="20"/>
    </row>
    <row r="152" spans="1:19" x14ac:dyDescent="0.25">
      <c r="A152">
        <v>150</v>
      </c>
      <c r="B152" s="17">
        <v>0.19500000000000001</v>
      </c>
      <c r="C152" s="17">
        <v>0.432</v>
      </c>
      <c r="D152" s="17">
        <v>0.23700000000000002</v>
      </c>
      <c r="E152" s="17">
        <v>0.25</v>
      </c>
      <c r="F152" s="17">
        <v>0.94000000000000006</v>
      </c>
      <c r="G152" s="17">
        <v>0.23700000000000002</v>
      </c>
      <c r="H152" s="17">
        <v>0.22999999999999998</v>
      </c>
      <c r="I152" s="19">
        <v>0.17</v>
      </c>
      <c r="J152" s="4">
        <v>0.78</v>
      </c>
      <c r="K152" s="4">
        <v>0.21999999999999997</v>
      </c>
      <c r="L152">
        <v>10</v>
      </c>
      <c r="M152">
        <v>170</v>
      </c>
      <c r="N152">
        <v>217.99999999999997</v>
      </c>
      <c r="O152">
        <v>237.00000000000003</v>
      </c>
      <c r="P152">
        <v>229.99999999999997</v>
      </c>
      <c r="Q152">
        <v>85</v>
      </c>
      <c r="R152">
        <v>57</v>
      </c>
      <c r="S152" s="20"/>
    </row>
    <row r="153" spans="1:19" x14ac:dyDescent="0.25">
      <c r="A153">
        <v>151</v>
      </c>
      <c r="B153" s="17">
        <v>0.22900000000000001</v>
      </c>
      <c r="C153" s="17">
        <v>0.40300000000000002</v>
      </c>
      <c r="D153" s="17">
        <v>0.26799999999999996</v>
      </c>
      <c r="E153" s="17">
        <v>0.93</v>
      </c>
      <c r="F153" s="17">
        <v>0.26</v>
      </c>
      <c r="G153" s="17">
        <v>0.26799999999999996</v>
      </c>
      <c r="H153" s="17">
        <v>0.30000000000000004</v>
      </c>
      <c r="I153" s="19">
        <v>0.17499999999999999</v>
      </c>
      <c r="J153" s="4">
        <v>0.71</v>
      </c>
      <c r="K153" s="4">
        <v>0.29000000000000004</v>
      </c>
      <c r="L153">
        <v>10</v>
      </c>
      <c r="M153">
        <v>229.99999999999997</v>
      </c>
      <c r="N153">
        <v>237.00000000000003</v>
      </c>
      <c r="O153">
        <v>267.99999999999994</v>
      </c>
      <c r="P153">
        <v>300.00000000000006</v>
      </c>
      <c r="Q153">
        <v>115</v>
      </c>
      <c r="R153">
        <v>49</v>
      </c>
      <c r="S153" s="20"/>
    </row>
    <row r="154" spans="1:19" x14ac:dyDescent="0.25">
      <c r="A154">
        <v>152</v>
      </c>
      <c r="B154" s="17">
        <v>0.28599999999999998</v>
      </c>
      <c r="C154" s="17">
        <v>0.376</v>
      </c>
      <c r="D154" s="17">
        <v>0.30300000000000005</v>
      </c>
      <c r="E154" s="17">
        <v>0.92</v>
      </c>
      <c r="F154" s="17">
        <v>0.27</v>
      </c>
      <c r="G154" s="17">
        <v>0.30300000000000005</v>
      </c>
      <c r="H154" s="17">
        <v>0.36799999999999999</v>
      </c>
      <c r="I154" s="19">
        <v>0.21899999999999997</v>
      </c>
      <c r="J154" s="4">
        <v>0.64200000000000002</v>
      </c>
      <c r="K154" s="4">
        <v>0.35799999999999998</v>
      </c>
      <c r="L154">
        <v>18</v>
      </c>
      <c r="M154">
        <v>300.00000000000006</v>
      </c>
      <c r="N154">
        <v>267.99999999999994</v>
      </c>
      <c r="O154">
        <v>303.00000000000006</v>
      </c>
      <c r="P154">
        <v>368</v>
      </c>
      <c r="Q154">
        <v>150</v>
      </c>
      <c r="R154">
        <v>45</v>
      </c>
      <c r="S154" s="20"/>
    </row>
    <row r="155" spans="1:19" x14ac:dyDescent="0.25">
      <c r="A155">
        <v>153</v>
      </c>
      <c r="B155" s="17">
        <v>0.34699999999999998</v>
      </c>
      <c r="C155" s="17">
        <v>0.35099999999999998</v>
      </c>
      <c r="D155" s="17">
        <v>0.34900000000000003</v>
      </c>
      <c r="E155" s="17">
        <v>0.91</v>
      </c>
      <c r="F155" s="17">
        <v>0.3</v>
      </c>
      <c r="G155" s="17">
        <v>0.34900000000000003</v>
      </c>
      <c r="H155" s="17">
        <v>0.43599999999999994</v>
      </c>
      <c r="I155" s="19">
        <v>0.28499999999999998</v>
      </c>
      <c r="J155" s="4">
        <v>0.57400000000000007</v>
      </c>
      <c r="K155" s="4">
        <v>0.42599999999999993</v>
      </c>
      <c r="L155">
        <v>18</v>
      </c>
      <c r="M155">
        <v>368</v>
      </c>
      <c r="N155">
        <v>303.00000000000006</v>
      </c>
      <c r="O155">
        <v>349.00000000000006</v>
      </c>
      <c r="P155">
        <v>435.99999999999994</v>
      </c>
      <c r="Q155">
        <v>184</v>
      </c>
      <c r="R155">
        <v>41</v>
      </c>
      <c r="S155" s="20"/>
    </row>
    <row r="156" spans="1:19" x14ac:dyDescent="0.25">
      <c r="A156">
        <v>154</v>
      </c>
      <c r="B156" s="17">
        <v>0.40500000000000003</v>
      </c>
      <c r="C156" s="17">
        <v>0.32900000000000001</v>
      </c>
      <c r="D156" s="17">
        <v>0.4</v>
      </c>
      <c r="E156" s="17">
        <v>0.88</v>
      </c>
      <c r="F156" s="17">
        <v>0.3</v>
      </c>
      <c r="G156" s="17">
        <v>0.4</v>
      </c>
      <c r="H156" s="17">
        <v>0.4880000000000001</v>
      </c>
      <c r="I156" s="19">
        <v>0.375</v>
      </c>
      <c r="J156" s="4">
        <v>0.52199999999999991</v>
      </c>
      <c r="K156" s="4">
        <v>0.47800000000000009</v>
      </c>
      <c r="L156">
        <v>26</v>
      </c>
      <c r="M156">
        <v>435.99999999999994</v>
      </c>
      <c r="N156">
        <v>349.00000000000006</v>
      </c>
      <c r="O156">
        <v>400</v>
      </c>
      <c r="P156">
        <v>488.00000000000011</v>
      </c>
      <c r="Q156">
        <v>218</v>
      </c>
      <c r="R156">
        <v>38</v>
      </c>
      <c r="S156" s="20"/>
    </row>
    <row r="157" spans="1:19" x14ac:dyDescent="0.25">
      <c r="A157">
        <v>155</v>
      </c>
      <c r="B157" s="17">
        <v>0.45600000000000002</v>
      </c>
      <c r="C157" s="17">
        <v>0.309</v>
      </c>
      <c r="D157" s="17">
        <v>0.44900000000000007</v>
      </c>
      <c r="E157" s="17">
        <v>0.87</v>
      </c>
      <c r="F157" s="17">
        <v>0.31</v>
      </c>
      <c r="G157" s="17">
        <v>0.44900000000000007</v>
      </c>
      <c r="H157" s="17">
        <v>0.53100000000000003</v>
      </c>
      <c r="I157" s="19">
        <v>0.48899999999999999</v>
      </c>
      <c r="J157" s="4">
        <v>0.47899999999999998</v>
      </c>
      <c r="K157" s="4">
        <v>0.52100000000000002</v>
      </c>
      <c r="L157">
        <v>26</v>
      </c>
      <c r="M157">
        <v>488.00000000000011</v>
      </c>
      <c r="N157">
        <v>400</v>
      </c>
      <c r="O157">
        <v>449.00000000000006</v>
      </c>
      <c r="P157">
        <v>531</v>
      </c>
      <c r="Q157">
        <v>244</v>
      </c>
      <c r="R157">
        <v>35</v>
      </c>
      <c r="S157" s="20"/>
    </row>
    <row r="158" spans="1:19" x14ac:dyDescent="0.25">
      <c r="A158">
        <v>156</v>
      </c>
      <c r="B158" s="17">
        <v>0.498</v>
      </c>
      <c r="C158" s="17">
        <v>0.29299999999999998</v>
      </c>
      <c r="D158" s="17">
        <v>0.4880000000000001</v>
      </c>
      <c r="E158" s="17">
        <v>0.84</v>
      </c>
      <c r="F158" s="17">
        <v>0.34</v>
      </c>
      <c r="G158" s="17">
        <v>0.4880000000000001</v>
      </c>
      <c r="H158" s="17">
        <v>0.56400000000000006</v>
      </c>
      <c r="I158" s="19">
        <v>0.61499999999999999</v>
      </c>
      <c r="J158" s="4">
        <v>0.44599999999999995</v>
      </c>
      <c r="K158" s="4">
        <v>0.55400000000000005</v>
      </c>
      <c r="L158">
        <v>18</v>
      </c>
      <c r="M158">
        <v>531</v>
      </c>
      <c r="N158">
        <v>449.00000000000006</v>
      </c>
      <c r="O158">
        <v>488.00000000000011</v>
      </c>
      <c r="P158">
        <v>564</v>
      </c>
      <c r="Q158">
        <v>266</v>
      </c>
      <c r="R158">
        <v>33</v>
      </c>
      <c r="S158" s="20"/>
    </row>
    <row r="159" spans="1:19" x14ac:dyDescent="0.25">
      <c r="A159">
        <v>157</v>
      </c>
      <c r="B159" s="17">
        <v>0.53100000000000003</v>
      </c>
      <c r="C159" s="17">
        <v>0.28100000000000003</v>
      </c>
      <c r="D159" s="17">
        <v>0.52100000000000013</v>
      </c>
      <c r="E159" s="17">
        <v>0.84</v>
      </c>
      <c r="F159" s="17">
        <v>0.36</v>
      </c>
      <c r="G159" s="17">
        <v>0.52100000000000013</v>
      </c>
      <c r="H159" s="17">
        <v>0.59100000000000008</v>
      </c>
      <c r="I159" s="19">
        <v>0.7</v>
      </c>
      <c r="J159" s="4">
        <v>0.41899999999999993</v>
      </c>
      <c r="K159" s="4">
        <v>0.58100000000000007</v>
      </c>
      <c r="L159">
        <v>18</v>
      </c>
      <c r="M159">
        <v>564</v>
      </c>
      <c r="N159">
        <v>488.00000000000011</v>
      </c>
      <c r="O159">
        <v>521.00000000000011</v>
      </c>
      <c r="P159">
        <v>591.00000000000011</v>
      </c>
      <c r="Q159">
        <v>282</v>
      </c>
      <c r="R159">
        <v>99</v>
      </c>
      <c r="S159" s="20"/>
    </row>
    <row r="160" spans="1:19" x14ac:dyDescent="0.25">
      <c r="A160">
        <v>158</v>
      </c>
      <c r="B160" s="17">
        <v>0.55700000000000005</v>
      </c>
      <c r="C160" s="17">
        <v>0.27400000000000002</v>
      </c>
      <c r="D160" s="17">
        <v>0.55199999999999994</v>
      </c>
      <c r="E160" s="17">
        <v>0.82000000000000006</v>
      </c>
      <c r="F160" s="17">
        <v>0.38</v>
      </c>
      <c r="G160" s="17">
        <v>0.55199999999999994</v>
      </c>
      <c r="H160" s="17">
        <v>0.61199999999999999</v>
      </c>
      <c r="I160" s="19">
        <v>0.75700000000000001</v>
      </c>
      <c r="J160" s="4">
        <v>0.39800000000000002</v>
      </c>
      <c r="K160" s="4">
        <v>0.60199999999999998</v>
      </c>
      <c r="L160">
        <v>10</v>
      </c>
      <c r="M160">
        <v>591.00000000000011</v>
      </c>
      <c r="N160">
        <v>521.00000000000011</v>
      </c>
      <c r="O160">
        <v>551.99999999999989</v>
      </c>
      <c r="P160">
        <v>612</v>
      </c>
      <c r="Q160">
        <v>296</v>
      </c>
      <c r="R160">
        <v>98</v>
      </c>
      <c r="S160" s="20"/>
    </row>
    <row r="161" spans="1:19" x14ac:dyDescent="0.25">
      <c r="A161">
        <v>159</v>
      </c>
      <c r="B161" s="17">
        <v>0.57699999999999996</v>
      </c>
      <c r="C161" s="17">
        <v>0.27200000000000002</v>
      </c>
      <c r="D161" s="17">
        <v>0.57799999999999996</v>
      </c>
      <c r="E161" s="17">
        <v>0.75</v>
      </c>
      <c r="F161" s="17">
        <v>0.44</v>
      </c>
      <c r="G161" s="17">
        <v>0.57799999999999996</v>
      </c>
      <c r="H161" s="17">
        <v>0.63000000000000012</v>
      </c>
      <c r="I161" s="19">
        <v>0.79099999999999993</v>
      </c>
      <c r="J161" s="4">
        <v>0.37999999999999989</v>
      </c>
      <c r="K161" s="4">
        <v>0.62000000000000011</v>
      </c>
      <c r="L161">
        <v>10</v>
      </c>
      <c r="M161">
        <v>612</v>
      </c>
      <c r="N161">
        <v>551.99999999999989</v>
      </c>
      <c r="O161">
        <v>578</v>
      </c>
      <c r="P161">
        <v>630.00000000000011</v>
      </c>
      <c r="Q161">
        <v>306</v>
      </c>
      <c r="R161">
        <v>97</v>
      </c>
      <c r="S161" s="20"/>
    </row>
    <row r="162" spans="1:19" x14ac:dyDescent="0.25">
      <c r="A162">
        <v>160</v>
      </c>
      <c r="B162" s="17">
        <v>0.59299999999999997</v>
      </c>
      <c r="C162" s="17">
        <v>0.27600000000000002</v>
      </c>
      <c r="D162" s="17">
        <v>0.60299999999999998</v>
      </c>
      <c r="E162" s="17">
        <v>0.74</v>
      </c>
      <c r="F162" s="17">
        <v>0.45</v>
      </c>
      <c r="G162" s="17">
        <v>0.60299999999999998</v>
      </c>
      <c r="H162" s="17">
        <v>0.64400000000000002</v>
      </c>
      <c r="I162" s="19">
        <v>0.80799999999999994</v>
      </c>
      <c r="J162" s="4">
        <v>0.36599999999999999</v>
      </c>
      <c r="K162" s="4">
        <v>0.63400000000000001</v>
      </c>
      <c r="L162">
        <v>4</v>
      </c>
      <c r="M162">
        <v>630.00000000000011</v>
      </c>
      <c r="N162">
        <v>578</v>
      </c>
      <c r="O162">
        <v>603</v>
      </c>
      <c r="P162">
        <v>644</v>
      </c>
      <c r="Q162">
        <v>315</v>
      </c>
      <c r="R162">
        <v>96</v>
      </c>
      <c r="S162" s="20"/>
    </row>
    <row r="163" spans="1:19" x14ac:dyDescent="0.25">
      <c r="A163">
        <v>161</v>
      </c>
      <c r="B163" s="17">
        <v>0.60699999999999998</v>
      </c>
      <c r="C163" s="17">
        <v>0.28599999999999998</v>
      </c>
      <c r="D163" s="17">
        <v>0.626</v>
      </c>
      <c r="E163" s="17">
        <v>0.72</v>
      </c>
      <c r="F163" s="17">
        <v>0.48</v>
      </c>
      <c r="G163" s="17">
        <v>0.626</v>
      </c>
      <c r="H163" s="17">
        <v>0.65500000000000014</v>
      </c>
      <c r="I163" s="19">
        <v>0.81200000000000006</v>
      </c>
      <c r="J163" s="4">
        <v>0.35499999999999987</v>
      </c>
      <c r="K163" s="4">
        <v>0.64500000000000013</v>
      </c>
      <c r="L163">
        <v>4</v>
      </c>
      <c r="M163">
        <v>644</v>
      </c>
      <c r="N163">
        <v>603</v>
      </c>
      <c r="O163">
        <v>626</v>
      </c>
      <c r="P163">
        <v>655.00000000000011</v>
      </c>
      <c r="Q163">
        <v>322</v>
      </c>
      <c r="R163">
        <v>88</v>
      </c>
      <c r="S163" s="20"/>
    </row>
    <row r="164" spans="1:19" x14ac:dyDescent="0.25">
      <c r="A164">
        <v>162</v>
      </c>
      <c r="B164" s="17">
        <v>0.61799999999999999</v>
      </c>
      <c r="C164" s="17">
        <v>0.30199999999999999</v>
      </c>
      <c r="D164" s="17">
        <v>0.64100000000000001</v>
      </c>
      <c r="E164" s="17">
        <v>0.69000000000000006</v>
      </c>
      <c r="F164" s="17">
        <v>0.48</v>
      </c>
      <c r="G164" s="17">
        <v>0.64100000000000001</v>
      </c>
      <c r="H164" s="17">
        <v>0.66199999999999992</v>
      </c>
      <c r="I164" s="19">
        <v>0.80500000000000005</v>
      </c>
      <c r="J164" s="4">
        <v>0.34800000000000009</v>
      </c>
      <c r="K164" s="4">
        <v>0.65199999999999991</v>
      </c>
      <c r="L164">
        <v>0</v>
      </c>
      <c r="M164">
        <v>655.00000000000011</v>
      </c>
      <c r="N164">
        <v>626</v>
      </c>
      <c r="O164">
        <v>641</v>
      </c>
      <c r="P164">
        <v>661.99999999999989</v>
      </c>
      <c r="Q164">
        <v>328</v>
      </c>
      <c r="R164">
        <v>86</v>
      </c>
      <c r="S164" s="20"/>
    </row>
    <row r="165" spans="1:19" x14ac:dyDescent="0.25">
      <c r="A165">
        <v>163</v>
      </c>
      <c r="B165" s="17">
        <v>0.625</v>
      </c>
      <c r="C165" s="17">
        <v>0.32500000000000001</v>
      </c>
      <c r="D165" s="17">
        <v>0.65100000000000002</v>
      </c>
      <c r="E165" s="17">
        <v>0.66</v>
      </c>
      <c r="F165" s="17">
        <v>0.51</v>
      </c>
      <c r="G165" s="17">
        <v>0.65100000000000002</v>
      </c>
      <c r="H165" s="17">
        <v>0.66700000000000004</v>
      </c>
      <c r="I165" s="19">
        <v>0.78</v>
      </c>
      <c r="J165" s="4">
        <v>0.34299999999999997</v>
      </c>
      <c r="K165" s="4">
        <v>0.65700000000000003</v>
      </c>
      <c r="L165">
        <v>0</v>
      </c>
      <c r="M165">
        <v>661.99999999999989</v>
      </c>
      <c r="N165">
        <v>641</v>
      </c>
      <c r="O165">
        <v>651</v>
      </c>
      <c r="P165">
        <v>667</v>
      </c>
      <c r="Q165">
        <v>331</v>
      </c>
      <c r="R165">
        <v>82</v>
      </c>
      <c r="S165" s="20"/>
    </row>
    <row r="166" spans="1:19" x14ac:dyDescent="0.25">
      <c r="A166">
        <v>164</v>
      </c>
      <c r="B166" s="17">
        <v>0.627</v>
      </c>
      <c r="C166" s="17">
        <v>0.35599999999999998</v>
      </c>
      <c r="D166" s="17">
        <v>0.66100000000000003</v>
      </c>
      <c r="E166" s="17">
        <v>0.63</v>
      </c>
      <c r="F166" s="17">
        <v>0.6</v>
      </c>
      <c r="G166" s="17">
        <v>0.66100000000000003</v>
      </c>
      <c r="H166" s="17">
        <v>0.66700000000000004</v>
      </c>
      <c r="I166" s="19">
        <v>0.752</v>
      </c>
      <c r="J166" s="4">
        <v>0.34299999999999997</v>
      </c>
      <c r="K166" s="4">
        <v>0.65700000000000003</v>
      </c>
      <c r="L166">
        <v>0</v>
      </c>
      <c r="M166">
        <v>667</v>
      </c>
      <c r="N166">
        <v>651</v>
      </c>
      <c r="O166">
        <v>661</v>
      </c>
      <c r="P166">
        <v>667</v>
      </c>
      <c r="Q166">
        <v>334</v>
      </c>
      <c r="R166">
        <v>79</v>
      </c>
      <c r="S166" s="20"/>
    </row>
    <row r="167" spans="1:19" x14ac:dyDescent="0.25">
      <c r="A167">
        <v>165</v>
      </c>
      <c r="B167" s="17">
        <v>0.626</v>
      </c>
      <c r="C167" s="17">
        <v>0.39200000000000002</v>
      </c>
      <c r="D167" s="17">
        <v>0.66700000000000004</v>
      </c>
      <c r="E167" s="17">
        <v>0.6</v>
      </c>
      <c r="F167" s="17">
        <v>0.64</v>
      </c>
      <c r="G167" s="17">
        <v>0.66700000000000004</v>
      </c>
      <c r="H167" s="17">
        <v>0.66100000000000003</v>
      </c>
      <c r="I167" s="19">
        <v>0.72599999999999998</v>
      </c>
      <c r="J167" s="4">
        <v>0.34899999999999998</v>
      </c>
      <c r="K167" s="4">
        <v>0.65100000000000002</v>
      </c>
      <c r="L167">
        <v>0</v>
      </c>
      <c r="M167">
        <v>667</v>
      </c>
      <c r="N167">
        <v>661</v>
      </c>
      <c r="O167">
        <v>667</v>
      </c>
      <c r="P167">
        <v>661</v>
      </c>
      <c r="Q167">
        <v>334</v>
      </c>
      <c r="R167">
        <v>75</v>
      </c>
      <c r="S167" s="20"/>
    </row>
    <row r="168" spans="1:19" x14ac:dyDescent="0.25">
      <c r="A168">
        <v>166</v>
      </c>
      <c r="B168" s="17">
        <v>0.621</v>
      </c>
      <c r="C168" s="17">
        <v>0.43099999999999999</v>
      </c>
      <c r="D168" s="17">
        <v>0.66700000000000004</v>
      </c>
      <c r="E168" s="17">
        <v>0.57000000000000006</v>
      </c>
      <c r="F168" s="17">
        <v>0.64</v>
      </c>
      <c r="G168" s="17">
        <v>0.66700000000000004</v>
      </c>
      <c r="H168" s="17">
        <v>0.65100000000000002</v>
      </c>
      <c r="I168" s="19">
        <v>0.70400000000000007</v>
      </c>
      <c r="J168" s="4">
        <v>0.35899999999999999</v>
      </c>
      <c r="K168" s="4">
        <v>0.64100000000000001</v>
      </c>
      <c r="L168">
        <v>0</v>
      </c>
      <c r="M168">
        <v>661</v>
      </c>
      <c r="N168">
        <v>667</v>
      </c>
      <c r="O168">
        <v>667</v>
      </c>
      <c r="P168">
        <v>651</v>
      </c>
      <c r="Q168">
        <v>331</v>
      </c>
      <c r="R168">
        <v>74</v>
      </c>
      <c r="S168" s="20"/>
    </row>
    <row r="169" spans="1:19" x14ac:dyDescent="0.25">
      <c r="A169">
        <v>167</v>
      </c>
      <c r="B169" s="17">
        <v>0.61199999999999999</v>
      </c>
      <c r="C169" s="17">
        <v>0.46899999999999997</v>
      </c>
      <c r="D169" s="17">
        <v>0.66199999999999992</v>
      </c>
      <c r="E169" s="17">
        <v>0.56000000000000005</v>
      </c>
      <c r="F169" s="17">
        <v>0.65</v>
      </c>
      <c r="G169" s="17">
        <v>0.66199999999999992</v>
      </c>
      <c r="H169" s="17">
        <v>0.64100000000000001</v>
      </c>
      <c r="I169" s="19">
        <v>0.68599999999999994</v>
      </c>
      <c r="J169" s="4">
        <v>0.36899999999999999</v>
      </c>
      <c r="K169" s="4">
        <v>0.63100000000000001</v>
      </c>
      <c r="L169">
        <v>0</v>
      </c>
      <c r="M169">
        <v>651</v>
      </c>
      <c r="N169">
        <v>667</v>
      </c>
      <c r="O169">
        <v>661.99999999999989</v>
      </c>
      <c r="P169">
        <v>641</v>
      </c>
      <c r="Q169">
        <v>326</v>
      </c>
      <c r="R169">
        <v>72</v>
      </c>
      <c r="S169" s="20"/>
    </row>
    <row r="170" spans="1:19" x14ac:dyDescent="0.25">
      <c r="A170">
        <v>168</v>
      </c>
      <c r="B170" s="17">
        <v>0.59899999999999998</v>
      </c>
      <c r="C170" s="17">
        <v>0.505</v>
      </c>
      <c r="D170" s="17">
        <v>0.65500000000000014</v>
      </c>
      <c r="E170" s="17">
        <v>0.55000000000000004</v>
      </c>
      <c r="F170" s="17">
        <v>0.67</v>
      </c>
      <c r="G170" s="17">
        <v>0.65500000000000014</v>
      </c>
      <c r="H170" s="17">
        <v>0.626</v>
      </c>
      <c r="I170" s="19">
        <v>0.66799999999999993</v>
      </c>
      <c r="J170" s="4">
        <v>0.38400000000000001</v>
      </c>
      <c r="K170" s="4">
        <v>0.61599999999999999</v>
      </c>
      <c r="L170">
        <v>0</v>
      </c>
      <c r="M170">
        <v>641</v>
      </c>
      <c r="N170">
        <v>661.99999999999989</v>
      </c>
      <c r="O170">
        <v>655.00000000000011</v>
      </c>
      <c r="P170">
        <v>626</v>
      </c>
      <c r="Q170">
        <v>321</v>
      </c>
      <c r="R170">
        <v>70</v>
      </c>
      <c r="S170" s="20"/>
    </row>
    <row r="171" spans="1:19" x14ac:dyDescent="0.25">
      <c r="A171">
        <v>169</v>
      </c>
      <c r="B171" s="17">
        <v>0.58099999999999996</v>
      </c>
      <c r="C171" s="17">
        <v>0.53500000000000003</v>
      </c>
      <c r="D171" s="17">
        <v>0.64400000000000002</v>
      </c>
      <c r="E171" s="17">
        <v>0.51</v>
      </c>
      <c r="F171" s="17">
        <v>0.76</v>
      </c>
      <c r="G171" s="17">
        <v>0.64400000000000002</v>
      </c>
      <c r="H171" s="17">
        <v>0.60299999999999998</v>
      </c>
      <c r="I171" s="19">
        <v>0.65400000000000003</v>
      </c>
      <c r="J171" s="4">
        <v>0.40700000000000003</v>
      </c>
      <c r="K171" s="4">
        <v>0.59299999999999997</v>
      </c>
      <c r="L171">
        <v>0</v>
      </c>
      <c r="M171">
        <v>626</v>
      </c>
      <c r="N171">
        <v>655.00000000000011</v>
      </c>
      <c r="O171">
        <v>644</v>
      </c>
      <c r="P171">
        <v>603</v>
      </c>
      <c r="Q171">
        <v>313</v>
      </c>
      <c r="R171">
        <v>88</v>
      </c>
      <c r="S171" s="20"/>
    </row>
    <row r="172" spans="1:19" x14ac:dyDescent="0.25">
      <c r="A172">
        <v>170</v>
      </c>
      <c r="B172" s="17">
        <v>0.55900000000000005</v>
      </c>
      <c r="C172" s="17">
        <v>0.56100000000000005</v>
      </c>
      <c r="D172" s="17">
        <v>0.63000000000000012</v>
      </c>
      <c r="E172" s="17">
        <v>0.5</v>
      </c>
      <c r="F172" s="17">
        <v>0.79</v>
      </c>
      <c r="G172" s="17">
        <v>0.63000000000000012</v>
      </c>
      <c r="H172" s="17">
        <v>0.57799999999999996</v>
      </c>
      <c r="I172" s="19">
        <v>0.64500000000000002</v>
      </c>
      <c r="J172" s="4">
        <v>0.43200000000000005</v>
      </c>
      <c r="K172" s="4">
        <v>0.56799999999999995</v>
      </c>
      <c r="L172">
        <v>0</v>
      </c>
      <c r="M172">
        <v>603</v>
      </c>
      <c r="N172">
        <v>644</v>
      </c>
      <c r="O172">
        <v>630.00000000000011</v>
      </c>
      <c r="P172">
        <v>578</v>
      </c>
      <c r="Q172">
        <v>302</v>
      </c>
      <c r="R172">
        <v>91</v>
      </c>
      <c r="S172" s="20"/>
    </row>
    <row r="173" spans="1:19" x14ac:dyDescent="0.25">
      <c r="A173">
        <v>171</v>
      </c>
      <c r="B173" s="17">
        <v>0.53200000000000003</v>
      </c>
      <c r="C173" s="17">
        <v>0.58199999999999996</v>
      </c>
      <c r="D173" s="17">
        <v>0.61199999999999999</v>
      </c>
      <c r="E173" s="17">
        <v>0.49</v>
      </c>
      <c r="F173" s="17">
        <v>0.79</v>
      </c>
      <c r="G173" s="17">
        <v>0.61199999999999999</v>
      </c>
      <c r="H173" s="17">
        <v>0.55199999999999994</v>
      </c>
      <c r="I173" s="19">
        <v>0.63300000000000001</v>
      </c>
      <c r="J173" s="4">
        <v>0.45800000000000007</v>
      </c>
      <c r="K173" s="4">
        <v>0.54199999999999993</v>
      </c>
      <c r="L173">
        <v>0</v>
      </c>
      <c r="M173">
        <v>578</v>
      </c>
      <c r="N173">
        <v>630.00000000000011</v>
      </c>
      <c r="O173">
        <v>612</v>
      </c>
      <c r="P173">
        <v>551.99999999999989</v>
      </c>
      <c r="Q173">
        <v>289</v>
      </c>
      <c r="R173">
        <v>81</v>
      </c>
      <c r="S173" s="20"/>
    </row>
    <row r="174" spans="1:19" x14ac:dyDescent="0.25">
      <c r="A174">
        <v>172</v>
      </c>
      <c r="B174" s="17">
        <v>0.5</v>
      </c>
      <c r="C174" s="17">
        <v>0.59899999999999998</v>
      </c>
      <c r="D174" s="17">
        <v>0.59100000000000008</v>
      </c>
      <c r="E174" s="17">
        <v>0.46</v>
      </c>
      <c r="F174" s="17">
        <v>0.8</v>
      </c>
      <c r="G174" s="17">
        <v>0.59100000000000008</v>
      </c>
      <c r="H174" s="17">
        <v>0.52100000000000013</v>
      </c>
      <c r="I174" s="19">
        <v>0.59799999999999998</v>
      </c>
      <c r="J174" s="4">
        <v>0.48899999999999988</v>
      </c>
      <c r="K174" s="4">
        <v>0.51100000000000012</v>
      </c>
      <c r="L174">
        <v>0</v>
      </c>
      <c r="M174">
        <v>551.99999999999989</v>
      </c>
      <c r="N174">
        <v>612</v>
      </c>
      <c r="O174">
        <v>591.00000000000011</v>
      </c>
      <c r="P174">
        <v>521.00000000000011</v>
      </c>
      <c r="Q174">
        <v>276</v>
      </c>
      <c r="R174">
        <v>67</v>
      </c>
      <c r="S174" s="20"/>
    </row>
    <row r="175" spans="1:19" x14ac:dyDescent="0.25">
      <c r="A175">
        <v>173</v>
      </c>
      <c r="B175" s="17">
        <v>0.46400000000000002</v>
      </c>
      <c r="C175" s="17">
        <v>0.61099999999999999</v>
      </c>
      <c r="D175" s="17">
        <v>0.56400000000000006</v>
      </c>
      <c r="E175" s="17">
        <v>0.45</v>
      </c>
      <c r="F175" s="17">
        <v>0.82000000000000006</v>
      </c>
      <c r="G175" s="17">
        <v>0.56400000000000006</v>
      </c>
      <c r="H175" s="17">
        <v>0.4880000000000001</v>
      </c>
      <c r="I175" s="19">
        <v>0.54700000000000004</v>
      </c>
      <c r="J175" s="4">
        <v>0.52199999999999991</v>
      </c>
      <c r="K175" s="4">
        <v>0.47800000000000009</v>
      </c>
      <c r="L175">
        <v>0</v>
      </c>
      <c r="M175">
        <v>521.00000000000011</v>
      </c>
      <c r="N175">
        <v>591.00000000000011</v>
      </c>
      <c r="O175">
        <v>564</v>
      </c>
      <c r="P175">
        <v>488.00000000000011</v>
      </c>
      <c r="Q175">
        <v>261</v>
      </c>
      <c r="R175">
        <v>97</v>
      </c>
      <c r="S175" s="20"/>
    </row>
    <row r="176" spans="1:19" x14ac:dyDescent="0.25">
      <c r="A176">
        <v>174</v>
      </c>
      <c r="B176" s="17">
        <v>0.42499999999999999</v>
      </c>
      <c r="C176" s="17">
        <v>0.62</v>
      </c>
      <c r="D176" s="17">
        <v>0.53100000000000003</v>
      </c>
      <c r="E176" s="17">
        <v>0.44</v>
      </c>
      <c r="F176" s="17">
        <v>0.82000000000000006</v>
      </c>
      <c r="G176" s="17">
        <v>0.53100000000000003</v>
      </c>
      <c r="H176" s="17">
        <v>0.44900000000000007</v>
      </c>
      <c r="I176" s="19">
        <v>0.48</v>
      </c>
      <c r="J176" s="4">
        <v>0.56099999999999994</v>
      </c>
      <c r="K176" s="4">
        <v>0.43900000000000006</v>
      </c>
      <c r="L176">
        <v>0</v>
      </c>
      <c r="M176">
        <v>488.00000000000011</v>
      </c>
      <c r="N176">
        <v>564</v>
      </c>
      <c r="O176">
        <v>531</v>
      </c>
      <c r="P176">
        <v>449.00000000000006</v>
      </c>
      <c r="Q176">
        <v>244</v>
      </c>
      <c r="R176">
        <v>80</v>
      </c>
      <c r="S176" s="20"/>
    </row>
    <row r="177" spans="1:19" x14ac:dyDescent="0.25">
      <c r="A177">
        <v>175</v>
      </c>
      <c r="B177" s="17">
        <v>0.38600000000000001</v>
      </c>
      <c r="C177" s="17">
        <v>0.625</v>
      </c>
      <c r="D177" s="17">
        <v>0.4880000000000001</v>
      </c>
      <c r="E177" s="17">
        <v>0.43</v>
      </c>
      <c r="F177" s="17">
        <v>0.83000000000000007</v>
      </c>
      <c r="G177" s="17">
        <v>0.4880000000000001</v>
      </c>
      <c r="H177" s="17">
        <v>0.4</v>
      </c>
      <c r="I177" s="19">
        <v>0.41200000000000003</v>
      </c>
      <c r="J177" s="4">
        <v>0.61</v>
      </c>
      <c r="K177" s="4">
        <v>0.39</v>
      </c>
      <c r="L177">
        <v>0</v>
      </c>
      <c r="M177">
        <v>449.00000000000006</v>
      </c>
      <c r="N177">
        <v>531</v>
      </c>
      <c r="O177">
        <v>488.00000000000011</v>
      </c>
      <c r="P177">
        <v>400</v>
      </c>
      <c r="Q177">
        <v>225</v>
      </c>
      <c r="R177">
        <v>99</v>
      </c>
      <c r="S177" s="20"/>
    </row>
    <row r="178" spans="1:19" x14ac:dyDescent="0.25">
      <c r="A178">
        <v>176</v>
      </c>
      <c r="B178" s="17">
        <v>0.34899999999999998</v>
      </c>
      <c r="C178" s="17">
        <v>0.627</v>
      </c>
      <c r="D178" s="17">
        <v>0.43599999999999994</v>
      </c>
      <c r="E178" s="17">
        <v>0.43</v>
      </c>
      <c r="F178" s="17">
        <v>0.83000000000000007</v>
      </c>
      <c r="G178" s="17">
        <v>0.43599999999999994</v>
      </c>
      <c r="H178" s="17">
        <v>0.34900000000000003</v>
      </c>
      <c r="I178" s="19">
        <v>0.35</v>
      </c>
      <c r="J178" s="4">
        <v>0.66100000000000003</v>
      </c>
      <c r="K178" s="4">
        <v>0.33900000000000002</v>
      </c>
      <c r="L178">
        <v>0</v>
      </c>
      <c r="M178">
        <v>400</v>
      </c>
      <c r="N178">
        <v>488.00000000000011</v>
      </c>
      <c r="O178">
        <v>435.99999999999994</v>
      </c>
      <c r="P178">
        <v>349.00000000000006</v>
      </c>
      <c r="Q178">
        <v>200</v>
      </c>
      <c r="R178">
        <v>88</v>
      </c>
      <c r="S178" s="20"/>
    </row>
    <row r="179" spans="1:19" x14ac:dyDescent="0.25">
      <c r="A179">
        <v>177</v>
      </c>
      <c r="B179" s="17">
        <v>0.314</v>
      </c>
      <c r="C179" s="17">
        <v>0.626</v>
      </c>
      <c r="D179" s="17">
        <v>0.36799999999999999</v>
      </c>
      <c r="E179" s="17">
        <v>0.38</v>
      </c>
      <c r="F179" s="17">
        <v>0.83000000000000007</v>
      </c>
      <c r="G179" s="17">
        <v>0.36799999999999999</v>
      </c>
      <c r="H179" s="17">
        <v>0.30300000000000005</v>
      </c>
      <c r="I179" s="19">
        <v>0.29399999999999998</v>
      </c>
      <c r="J179" s="4">
        <v>0.70699999999999996</v>
      </c>
      <c r="K179" s="4">
        <v>0.29300000000000004</v>
      </c>
      <c r="L179">
        <v>0</v>
      </c>
      <c r="M179">
        <v>349.00000000000006</v>
      </c>
      <c r="N179">
        <v>435.99999999999994</v>
      </c>
      <c r="O179">
        <v>368</v>
      </c>
      <c r="P179">
        <v>303.00000000000006</v>
      </c>
      <c r="Q179">
        <v>175</v>
      </c>
      <c r="R179">
        <v>68</v>
      </c>
      <c r="S179" s="20"/>
    </row>
    <row r="180" spans="1:19" x14ac:dyDescent="0.25">
      <c r="A180">
        <v>178</v>
      </c>
      <c r="B180" s="17">
        <v>0.28299999999999997</v>
      </c>
      <c r="C180" s="17">
        <v>0.622</v>
      </c>
      <c r="D180" s="17">
        <v>0.30000000000000004</v>
      </c>
      <c r="E180" s="17">
        <v>0.3</v>
      </c>
      <c r="F180" s="17">
        <v>0.86</v>
      </c>
      <c r="G180" s="17">
        <v>0.30000000000000004</v>
      </c>
      <c r="H180" s="17">
        <v>0.26799999999999996</v>
      </c>
      <c r="I180" s="19">
        <v>0.249</v>
      </c>
      <c r="J180" s="4">
        <v>0.74199999999999999</v>
      </c>
      <c r="K180" s="4">
        <v>0.25799999999999995</v>
      </c>
      <c r="L180">
        <v>0</v>
      </c>
      <c r="M180">
        <v>303.00000000000006</v>
      </c>
      <c r="N180">
        <v>368</v>
      </c>
      <c r="O180">
        <v>300.00000000000006</v>
      </c>
      <c r="P180">
        <v>267.99999999999994</v>
      </c>
      <c r="Q180">
        <v>152</v>
      </c>
      <c r="R180">
        <v>94</v>
      </c>
      <c r="S180" s="20"/>
    </row>
    <row r="181" spans="1:19" x14ac:dyDescent="0.25">
      <c r="A181">
        <v>179</v>
      </c>
      <c r="B181" s="17">
        <v>0.255</v>
      </c>
      <c r="C181" s="17">
        <v>0.61599999999999999</v>
      </c>
      <c r="D181" s="17">
        <v>0.22999999999999998</v>
      </c>
      <c r="E181" s="17">
        <v>0.28000000000000003</v>
      </c>
      <c r="F181" s="17">
        <v>0.87</v>
      </c>
      <c r="G181" s="17">
        <v>0.22999999999999998</v>
      </c>
      <c r="H181" s="17">
        <v>0.23700000000000002</v>
      </c>
      <c r="I181" s="19">
        <v>0.21899999999999997</v>
      </c>
      <c r="J181" s="4">
        <v>0.77300000000000002</v>
      </c>
      <c r="K181" s="4">
        <v>0.22700000000000001</v>
      </c>
      <c r="L181">
        <v>0</v>
      </c>
      <c r="M181">
        <v>267.99999999999994</v>
      </c>
      <c r="N181">
        <v>300.00000000000006</v>
      </c>
      <c r="O181">
        <v>229.99999999999997</v>
      </c>
      <c r="P181">
        <v>237.00000000000003</v>
      </c>
      <c r="Q181">
        <v>134</v>
      </c>
      <c r="R181">
        <v>60</v>
      </c>
      <c r="S181" s="20"/>
    </row>
    <row r="182" spans="1:19" x14ac:dyDescent="0.25">
      <c r="A182">
        <v>180</v>
      </c>
      <c r="B182" s="17">
        <v>0.23100000000000001</v>
      </c>
      <c r="C182" s="17">
        <v>0.60699999999999998</v>
      </c>
      <c r="D182" s="17">
        <v>0.17</v>
      </c>
      <c r="E182" s="17">
        <v>0.25</v>
      </c>
      <c r="F182" s="17">
        <v>0.89</v>
      </c>
      <c r="G182" s="17">
        <v>0.17</v>
      </c>
      <c r="H182" s="17">
        <v>0.21799999999999997</v>
      </c>
      <c r="I182" s="19">
        <v>0.2</v>
      </c>
      <c r="J182" s="4">
        <v>0.79200000000000004</v>
      </c>
      <c r="K182" s="4">
        <v>0.20799999999999996</v>
      </c>
      <c r="L182">
        <v>0</v>
      </c>
      <c r="M182">
        <v>237.00000000000003</v>
      </c>
      <c r="N182">
        <v>229.99999999999997</v>
      </c>
      <c r="O182">
        <v>170</v>
      </c>
      <c r="P182">
        <v>217.99999999999997</v>
      </c>
      <c r="Q182">
        <v>119</v>
      </c>
      <c r="R182">
        <v>55</v>
      </c>
      <c r="S182" s="20"/>
    </row>
    <row r="183" spans="1:19" x14ac:dyDescent="0.25">
      <c r="S183" s="20"/>
    </row>
    <row r="184" spans="1:19" x14ac:dyDescent="0.25">
      <c r="S184" s="20"/>
    </row>
    <row r="185" spans="1:19" x14ac:dyDescent="0.25">
      <c r="S185" s="20"/>
    </row>
    <row r="186" spans="1:19" x14ac:dyDescent="0.25">
      <c r="S186" s="20"/>
    </row>
    <row r="187" spans="1:19" x14ac:dyDescent="0.25">
      <c r="S187" s="20"/>
    </row>
    <row r="188" spans="1:19" x14ac:dyDescent="0.25">
      <c r="S188" s="20"/>
    </row>
    <row r="189" spans="1:19" x14ac:dyDescent="0.25">
      <c r="S189" s="20"/>
    </row>
    <row r="190" spans="1:19" x14ac:dyDescent="0.25">
      <c r="S190" s="20"/>
    </row>
    <row r="191" spans="1:19" x14ac:dyDescent="0.25">
      <c r="S191" s="20"/>
    </row>
    <row r="192" spans="1:19" x14ac:dyDescent="0.25">
      <c r="S192" s="20"/>
    </row>
    <row r="193" spans="19:19" x14ac:dyDescent="0.25">
      <c r="S193" s="20"/>
    </row>
    <row r="194" spans="19:19" x14ac:dyDescent="0.25">
      <c r="S194" s="20"/>
    </row>
  </sheetData>
  <mergeCells count="13">
    <mergeCell ref="M1:Q1"/>
    <mergeCell ref="R1:R2"/>
    <mergeCell ref="S1:S2"/>
    <mergeCell ref="A1:A2"/>
    <mergeCell ref="B1:D1"/>
    <mergeCell ref="E1:H1"/>
    <mergeCell ref="I1:I2"/>
    <mergeCell ref="J1:L1"/>
    <mergeCell ref="T1:T2"/>
    <mergeCell ref="U1:U2"/>
    <mergeCell ref="V1:V2"/>
    <mergeCell ref="W1:W2"/>
    <mergeCell ref="X1:X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6"/>
  <sheetViews>
    <sheetView zoomScaleNormal="100" workbookViewId="0">
      <pane ySplit="1" topLeftCell="A2" activePane="bottomLeft" state="frozen"/>
      <selection pane="bottomLeft"/>
    </sheetView>
  </sheetViews>
  <sheetFormatPr defaultRowHeight="15" x14ac:dyDescent="0.25"/>
  <sheetData>
    <row r="1" spans="2:18" x14ac:dyDescent="0.25">
      <c r="B1" s="1" t="s">
        <v>0</v>
      </c>
      <c r="C1" s="2" t="s">
        <v>1</v>
      </c>
      <c r="D1" s="2" t="s">
        <v>2</v>
      </c>
      <c r="E1" s="3" t="s">
        <v>3</v>
      </c>
      <c r="G1" s="2" t="s">
        <v>4</v>
      </c>
      <c r="H1" s="4"/>
      <c r="O1" t="s">
        <v>6</v>
      </c>
      <c r="R1" t="s">
        <v>5</v>
      </c>
    </row>
    <row r="2" spans="2:18" x14ac:dyDescent="0.25">
      <c r="G2" s="2"/>
      <c r="H2" s="4"/>
    </row>
    <row r="3" spans="2:18" x14ac:dyDescent="0.25">
      <c r="G3" s="2"/>
      <c r="H3" s="4"/>
    </row>
    <row r="5" spans="2:18" ht="15" customHeight="1" x14ac:dyDescent="0.25"/>
    <row r="6" spans="2:18" ht="1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2026-09-18T09:16:34Z</dcterms:modified>
</cp:coreProperties>
</file>