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c6e5fe5563ab6cfd/Desktop/Dashboard Projects/Dashboard/Chart64/"/>
    </mc:Choice>
  </mc:AlternateContent>
  <xr:revisionPtr revIDLastSave="1" documentId="13_ncr:1_{F70A0219-8DD5-459C-9C59-10FD887159FC}" xr6:coauthVersionLast="47" xr6:coauthVersionMax="47" xr10:uidLastSave="{B06AB0C0-7C07-4F0B-9EB3-CFE9D1F60B9C}"/>
  <bookViews>
    <workbookView xWindow="-120" yWindow="-120" windowWidth="20730" windowHeight="11310" activeTab="4" xr2:uid="{01A518E1-96F2-4C90-8E8D-0E964D20210F}"/>
  </bookViews>
  <sheets>
    <sheet name="DASHBOARD" sheetId="1" r:id="rId1"/>
    <sheet name="Processing" sheetId="2" r:id="rId2"/>
    <sheet name="Control" sheetId="5" r:id="rId3"/>
    <sheet name="Data" sheetId="3" r:id="rId4"/>
    <sheet name="HOTMAP-DATA" sheetId="6" r:id="rId5"/>
    <sheet name="R" sheetId="4" r:id="rId6"/>
  </sheets>
  <definedNames>
    <definedName name="mydata">Data!$A$3:$BA$51</definedName>
    <definedName name="Slicer_Month">#N/A</definedName>
    <definedName name="Slicer_Year">#N/A</definedName>
  </definedNames>
  <calcPr calcId="191029"/>
  <pivotCaches>
    <pivotCache cacheId="1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3" l="1"/>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N27" i="2"/>
  <c r="O27" i="2" a="1"/>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B13" i="2"/>
  <c r="B19" i="2"/>
  <c r="B21" i="2"/>
  <c r="B16" i="2"/>
  <c r="B22" i="2"/>
  <c r="B15" i="2"/>
  <c r="B24" i="2"/>
  <c r="B14" i="2"/>
  <c r="B17" i="2"/>
  <c r="C11" i="2"/>
  <c r="B18" i="2"/>
  <c r="B20" i="2"/>
  <c r="B23" i="2"/>
  <c r="C2" i="2"/>
  <c r="D2" i="2"/>
  <c r="E2" i="2"/>
  <c r="F2" i="2"/>
  <c r="B2" i="2"/>
  <c r="N13" i="2"/>
  <c r="M12" i="2"/>
  <c r="Q24" i="2"/>
  <c r="Q23" i="2"/>
  <c r="G12" i="2"/>
  <c r="G13" i="2"/>
  <c r="G14" i="2"/>
  <c r="G11" i="2"/>
  <c r="Q22" i="2"/>
  <c r="R2" i="2"/>
  <c r="G15" i="2"/>
  <c r="R20" i="2"/>
  <c r="R3" i="2"/>
  <c r="D21" i="2"/>
  <c r="D22" i="2"/>
  <c r="D23" i="2"/>
  <c r="M14" i="2"/>
  <c r="D18" i="2"/>
  <c r="D19" i="2"/>
  <c r="D13" i="2"/>
  <c r="D15" i="2"/>
  <c r="N16" i="2"/>
  <c r="M13" i="2"/>
  <c r="M15" i="2"/>
  <c r="D24" i="2"/>
  <c r="R22" i="2"/>
  <c r="R24" i="2"/>
  <c r="D16" i="2"/>
  <c r="R21" i="2"/>
  <c r="M16" i="2"/>
  <c r="D14" i="2"/>
  <c r="D20" i="2"/>
  <c r="D17" i="2"/>
  <c r="N12" i="2"/>
  <c r="N15" i="2"/>
  <c r="R23" i="2"/>
  <c r="Q21" i="2"/>
  <c r="N14" i="2"/>
  <c r="Q20" i="2"/>
  <c r="J39" i="2" l="1" a="1"/>
  <c r="L30" i="2" a="1"/>
  <c r="K51" i="2" a="1"/>
  <c r="J35" i="2" a="1"/>
  <c r="K30" i="2" a="1"/>
  <c r="K54" i="2" a="1"/>
  <c r="K50" i="2" a="1"/>
  <c r="K46" i="2" a="1"/>
  <c r="K42" i="2" a="1"/>
  <c r="K40" i="2" a="1"/>
  <c r="K36" i="2" a="1"/>
  <c r="K34" i="2" a="1"/>
  <c r="K28" i="2" a="1"/>
  <c r="J54" i="2" a="1"/>
  <c r="J52" i="2" a="1"/>
  <c r="J50" i="2" a="1"/>
  <c r="J48" i="2" a="1"/>
  <c r="J46" i="2" a="1"/>
  <c r="J44" i="2" a="1"/>
  <c r="J42" i="2" a="1"/>
  <c r="J40" i="2" a="1"/>
  <c r="J38" i="2" a="1"/>
  <c r="J36" i="2" a="1"/>
  <c r="J34" i="2" a="1"/>
  <c r="J32" i="2" a="1"/>
  <c r="J30" i="2" a="1"/>
  <c r="L49" i="2" a="1"/>
  <c r="L39" i="2" a="1"/>
  <c r="L33" i="2" a="1"/>
  <c r="K45" i="2" a="1"/>
  <c r="J51" i="2" a="1"/>
  <c r="J45" i="2" a="1"/>
  <c r="J37" i="2" a="1"/>
  <c r="M28" i="2" a="1"/>
  <c r="L54" i="2" a="1"/>
  <c r="L52" i="2" a="1"/>
  <c r="L50" i="2" a="1"/>
  <c r="L48" i="2" a="1"/>
  <c r="L46" i="2" a="1"/>
  <c r="L44" i="2" a="1"/>
  <c r="L42" i="2" a="1"/>
  <c r="L40" i="2" a="1"/>
  <c r="L38" i="2" a="1"/>
  <c r="L36" i="2" a="1"/>
  <c r="L34" i="2" a="1"/>
  <c r="L32" i="2" a="1"/>
  <c r="L28" i="2" a="1"/>
  <c r="K52" i="2" a="1"/>
  <c r="K48" i="2" a="1"/>
  <c r="K44" i="2" a="1"/>
  <c r="K38" i="2" a="1"/>
  <c r="K32" i="2" a="1"/>
  <c r="M55" i="2" a="1"/>
  <c r="M53" i="2" a="1"/>
  <c r="M51" i="2" a="1"/>
  <c r="M49" i="2" a="1"/>
  <c r="M47" i="2" a="1"/>
  <c r="M45" i="2" a="1"/>
  <c r="M43" i="2" a="1"/>
  <c r="M41" i="2" a="1"/>
  <c r="M39" i="2" a="1"/>
  <c r="M37" i="2" a="1"/>
  <c r="M35" i="2" a="1"/>
  <c r="M33" i="2" a="1"/>
  <c r="M31" i="2" a="1"/>
  <c r="M29" i="2" a="1"/>
  <c r="L29" i="2" a="1"/>
  <c r="L47" i="2" a="1"/>
  <c r="K55" i="2" a="1"/>
  <c r="K49" i="2" a="1"/>
  <c r="K43" i="2" a="1"/>
  <c r="K41" i="2" a="1"/>
  <c r="K39" i="2" a="1"/>
  <c r="K37" i="2" a="1"/>
  <c r="K35" i="2" a="1"/>
  <c r="K33" i="2" a="1"/>
  <c r="K31" i="2" a="1"/>
  <c r="K29" i="2" a="1"/>
  <c r="L53" i="2" a="1"/>
  <c r="L43" i="2" a="1"/>
  <c r="L37" i="2" a="1"/>
  <c r="K47" i="2" a="1"/>
  <c r="J55" i="2" a="1"/>
  <c r="J49" i="2" a="1"/>
  <c r="J43" i="2" a="1"/>
  <c r="J31" i="2" a="1"/>
  <c r="J29" i="2" a="1"/>
  <c r="L51" i="2" a="1"/>
  <c r="L41" i="2" a="1"/>
  <c r="L35" i="2" a="1"/>
  <c r="J53" i="2" a="1"/>
  <c r="J47" i="2" a="1"/>
  <c r="J41" i="2" a="1"/>
  <c r="J33" i="2" a="1"/>
  <c r="J28" i="2" a="1"/>
  <c r="M54" i="2" a="1"/>
  <c r="M52" i="2" a="1"/>
  <c r="M50" i="2" a="1"/>
  <c r="M48" i="2" a="1"/>
  <c r="M46" i="2" a="1"/>
  <c r="M44" i="2" a="1"/>
  <c r="M42" i="2" a="1"/>
  <c r="M40" i="2" a="1"/>
  <c r="M38" i="2" a="1"/>
  <c r="M36" i="2" a="1"/>
  <c r="M34" i="2" a="1"/>
  <c r="M32" i="2" a="1"/>
  <c r="M30" i="2" a="1"/>
  <c r="L55" i="2" a="1"/>
  <c r="L45" i="2" a="1"/>
  <c r="L31" i="2" a="1"/>
  <c r="K53" i="2" a="1"/>
  <c r="P20" i="2"/>
  <c r="P24" i="2"/>
  <c r="P23" i="2"/>
  <c r="P22" i="2"/>
  <c r="P21" i="2"/>
  <c r="K20" i="2" l="1" a="1"/>
  <c r="K23" i="2" s="1"/>
  <c r="G23" i="2" s="1"/>
  <c r="L24" i="2" l="1"/>
  <c r="M21" i="2"/>
  <c r="K24" i="2"/>
  <c r="G24" i="2" s="1"/>
  <c r="K22" i="2"/>
  <c r="G22" i="2" s="1"/>
  <c r="M23" i="2"/>
  <c r="L21" i="2"/>
  <c r="M20" i="2"/>
  <c r="M22" i="2"/>
  <c r="N24" i="2"/>
  <c r="L20" i="2"/>
  <c r="L22" i="2"/>
  <c r="N21" i="2"/>
  <c r="N23" i="2"/>
  <c r="M24" i="2"/>
  <c r="K20" i="2"/>
  <c r="G20" i="2" s="1"/>
  <c r="L23" i="2"/>
  <c r="K21" i="2"/>
  <c r="G21" i="2" s="1"/>
  <c r="N22" i="2"/>
  <c r="N20" i="2"/>
  <c r="J21" i="2" l="1"/>
  <c r="I21" i="2"/>
  <c r="J23" i="2"/>
  <c r="I23" i="2"/>
  <c r="I20" i="2"/>
  <c r="J20" i="2"/>
  <c r="J22" i="2"/>
  <c r="I22" i="2"/>
  <c r="I24" i="2"/>
  <c r="J24" i="2"/>
  <c r="K4" i="3" l="1"/>
  <c r="O4" i="2"/>
  <c r="N3" i="2"/>
  <c r="N5" i="2"/>
  <c r="O6" i="2"/>
  <c r="N6" i="2"/>
  <c r="O7" i="2"/>
  <c r="J3" i="2"/>
  <c r="N8" i="2"/>
  <c r="N4" i="2"/>
  <c r="J2" i="2"/>
  <c r="J4" i="2"/>
  <c r="O5" i="2"/>
  <c r="O8" i="2"/>
  <c r="O3" i="2"/>
  <c r="N7" i="2"/>
  <c r="O2" i="2"/>
  <c r="N2" i="2"/>
  <c r="B3" i="2" l="1"/>
  <c r="B4" i="2"/>
  <c r="C4" i="2" s="1"/>
  <c r="E3" i="2"/>
  <c r="D3" i="2"/>
  <c r="F3" i="2"/>
  <c r="C3" i="2"/>
  <c r="D29" i="2" a="1"/>
  <c r="G30" i="2" a="1"/>
  <c r="D31" i="2" a="1"/>
  <c r="F32" i="2" a="1"/>
  <c r="D33" i="2" a="1"/>
  <c r="F34" i="2" a="1"/>
  <c r="G35" i="2" a="1"/>
  <c r="D36" i="2" a="1"/>
  <c r="F37" i="2" a="1"/>
  <c r="D38" i="2" a="1"/>
  <c r="G39" i="2" a="1"/>
  <c r="D40" i="2" a="1"/>
  <c r="F41" i="2" a="1"/>
  <c r="D42" i="2" a="1"/>
  <c r="E43" i="2" a="1"/>
  <c r="D44" i="2" a="1"/>
  <c r="D45" i="2" a="1"/>
  <c r="G46" i="2" a="1"/>
  <c r="D47" i="2" a="1"/>
  <c r="F48" i="2" a="1"/>
  <c r="D49" i="2" a="1"/>
  <c r="F50" i="2" a="1"/>
  <c r="G51" i="2" a="1"/>
  <c r="D52" i="2" a="1"/>
  <c r="D53" i="2" a="1"/>
  <c r="D54" i="2" a="1"/>
  <c r="G55" i="2" a="1"/>
  <c r="D56" i="2" a="1"/>
  <c r="F57" i="2" a="1"/>
  <c r="D58" i="2" a="1"/>
  <c r="D59" i="2" a="1"/>
  <c r="G60" i="2" a="1"/>
  <c r="D61" i="2" a="1"/>
  <c r="F62" i="2" a="1"/>
  <c r="D63" i="2" a="1"/>
  <c r="E64" i="2" a="1"/>
  <c r="E65" i="2" a="1"/>
  <c r="D66" i="2" a="1"/>
  <c r="D67" i="2" a="1"/>
  <c r="F68" i="2" a="1"/>
  <c r="D69" i="2" a="1"/>
  <c r="E70" i="2" a="1"/>
  <c r="D71" i="2" a="1"/>
  <c r="D72" i="2" a="1"/>
  <c r="D73" i="2" a="1"/>
  <c r="D74" i="2" a="1"/>
  <c r="F75" i="2" a="1"/>
  <c r="F76" i="2" a="1"/>
  <c r="F77" i="2" a="1"/>
  <c r="D78" i="2" a="1"/>
  <c r="G79" i="2" a="1"/>
  <c r="D80" i="2" a="1"/>
  <c r="F81" i="2" a="1"/>
  <c r="D82" i="2" a="1"/>
  <c r="D83" i="2" a="1"/>
  <c r="G84" i="2" a="1"/>
  <c r="D85" i="2" a="1"/>
  <c r="F86" i="2" a="1"/>
  <c r="D87" i="2" a="1"/>
  <c r="F88" i="2" a="1"/>
  <c r="D89" i="2" a="1"/>
  <c r="E90" i="2" a="1"/>
  <c r="E91" i="2" a="1"/>
  <c r="D92" i="2" a="1"/>
  <c r="G93" i="2" a="1"/>
  <c r="D94" i="2" a="1"/>
  <c r="F95" i="2" a="1"/>
  <c r="D96" i="2" a="1"/>
  <c r="E97" i="2" a="1"/>
  <c r="D98" i="2" a="1"/>
  <c r="D99" i="2" a="1"/>
  <c r="F100" i="2" a="1"/>
  <c r="D101" i="2" a="1"/>
  <c r="E102" i="2" a="1"/>
  <c r="D103" i="2" a="1"/>
  <c r="D104" i="2" a="1"/>
  <c r="D105" i="2" a="1"/>
  <c r="D106" i="2" a="1"/>
  <c r="F107" i="2" a="1"/>
  <c r="D108" i="2" a="1"/>
  <c r="E109" i="2" a="1"/>
  <c r="D110" i="2" a="1"/>
  <c r="D111" i="2" a="1"/>
  <c r="G112" i="2" a="1"/>
  <c r="D113" i="2" a="1"/>
  <c r="E114" i="2" a="1"/>
  <c r="D115" i="2" a="1"/>
  <c r="G116" i="2" a="1"/>
  <c r="E117" i="2" a="1"/>
  <c r="D118" i="2" a="1"/>
  <c r="F119" i="2" a="1"/>
  <c r="D120" i="2" a="1"/>
  <c r="D121" i="2" a="1"/>
  <c r="G122" i="2" a="1"/>
  <c r="D123" i="2" a="1"/>
  <c r="E124" i="2" a="1"/>
  <c r="G125" i="2" a="1"/>
  <c r="D126" i="2" a="1"/>
  <c r="G127" i="2" a="1"/>
  <c r="E128" i="2" a="1"/>
  <c r="D129" i="2" a="1"/>
  <c r="F130" i="2" a="1"/>
  <c r="E131" i="2" a="1"/>
  <c r="D132" i="2" a="1"/>
  <c r="D133" i="2" a="1"/>
  <c r="G134" i="2" a="1"/>
  <c r="D135" i="2" a="1"/>
  <c r="E136" i="2" a="1"/>
  <c r="G137" i="2" a="1"/>
  <c r="D138" i="2" a="1"/>
  <c r="E139" i="2" a="1"/>
  <c r="C28" i="2"/>
  <c r="E28" i="2" s="1" a="1"/>
  <c r="G89" i="2" l="1" a="1"/>
  <c r="G98" i="2" a="1"/>
  <c r="E88" i="2" a="1"/>
  <c r="G71" i="2" a="1"/>
  <c r="G132" i="2" a="1"/>
  <c r="D68" i="2" a="1"/>
  <c r="F132" i="2" a="1"/>
  <c r="F44" i="2" a="1"/>
  <c r="E119" i="2" a="1"/>
  <c r="D41" i="2" a="1"/>
  <c r="E100" i="2" a="1"/>
  <c r="G118" i="2" a="1"/>
  <c r="D134" i="2" a="1"/>
  <c r="F120" i="2" a="1"/>
  <c r="D102" i="2" a="1"/>
  <c r="D90" i="2" a="1"/>
  <c r="F73" i="2" a="1"/>
  <c r="E46" i="2" a="1"/>
  <c r="G28" i="2" a="1"/>
  <c r="G126" i="2" a="1"/>
  <c r="E116" i="2" a="1"/>
  <c r="E98" i="2" a="1"/>
  <c r="D86" i="2" a="1"/>
  <c r="F66" i="2" a="1"/>
  <c r="E39" i="2" a="1"/>
  <c r="G138" i="2" a="1"/>
  <c r="D124" i="2" a="1"/>
  <c r="F108" i="2" a="1"/>
  <c r="D97" i="2" a="1"/>
  <c r="E84" i="2" a="1"/>
  <c r="D62" i="2" a="1"/>
  <c r="D34" i="2" a="1"/>
  <c r="E137" i="2" a="1"/>
  <c r="F122" i="2" a="1"/>
  <c r="G105" i="2" a="1"/>
  <c r="F96" i="2" a="1"/>
  <c r="G82" i="2" a="1"/>
  <c r="E55" i="2" a="1"/>
  <c r="D32" i="2" a="1"/>
  <c r="D136" i="2" a="1"/>
  <c r="D122" i="2" a="1"/>
  <c r="E105" i="2" a="1"/>
  <c r="E95" i="2" a="1"/>
  <c r="D81" i="2" a="1"/>
  <c r="D50" i="2" a="1"/>
  <c r="E30" i="2" a="1"/>
  <c r="F134" i="2" a="1"/>
  <c r="G120" i="2" a="1"/>
  <c r="F103" i="2" a="1"/>
  <c r="G94" i="2" a="1"/>
  <c r="E79" i="2" a="1"/>
  <c r="D48" i="2" a="1"/>
  <c r="E60" i="2" a="1"/>
  <c r="D112" i="2" a="1"/>
  <c r="F112" i="2" a="1"/>
  <c r="G58" i="2" a="1"/>
  <c r="D57" i="2" a="1"/>
  <c r="E110" i="2" a="1"/>
  <c r="G110" i="2" a="1"/>
  <c r="E115" i="2" a="1"/>
  <c r="D109" i="2" a="1"/>
  <c r="E107" i="2" a="1"/>
  <c r="F93" i="2" a="1"/>
  <c r="G91" i="2" a="1"/>
  <c r="D28" i="2" a="1"/>
  <c r="D139" i="2" a="1"/>
  <c r="F137" i="2" a="1"/>
  <c r="G135" i="2" a="1"/>
  <c r="E134" i="2" a="1"/>
  <c r="D131" i="2" a="1"/>
  <c r="F125" i="2" a="1"/>
  <c r="G123" i="2" a="1"/>
  <c r="E122" i="2" a="1"/>
  <c r="D119" i="2" a="1"/>
  <c r="F116" i="2" a="1"/>
  <c r="D114" i="2" a="1"/>
  <c r="E112" i="2" a="1"/>
  <c r="F110" i="2" a="1"/>
  <c r="G108" i="2" a="1"/>
  <c r="D107" i="2" a="1"/>
  <c r="F105" i="2" a="1"/>
  <c r="G103" i="2" a="1"/>
  <c r="D100" i="2" a="1"/>
  <c r="F98" i="2" a="1"/>
  <c r="G96" i="2" a="1"/>
  <c r="D95" i="2" a="1"/>
  <c r="E93" i="2" a="1"/>
  <c r="F91" i="2" a="1"/>
  <c r="D88" i="2" a="1"/>
  <c r="E86" i="2" a="1"/>
  <c r="F84" i="2" a="1"/>
  <c r="E81" i="2" a="1"/>
  <c r="F79" i="2" a="1"/>
  <c r="G73" i="2" a="1"/>
  <c r="D70" i="2" a="1"/>
  <c r="E68" i="2" a="1"/>
  <c r="G66" i="2" a="1"/>
  <c r="D65" i="2" a="1"/>
  <c r="E62" i="2" a="1"/>
  <c r="F60" i="2" a="1"/>
  <c r="E57" i="2" a="1"/>
  <c r="F55" i="2" a="1"/>
  <c r="G53" i="2" a="1"/>
  <c r="E50" i="2" a="1"/>
  <c r="E48" i="2" a="1"/>
  <c r="F46" i="2" a="1"/>
  <c r="G44" i="2" a="1"/>
  <c r="D43" i="2" a="1"/>
  <c r="E41" i="2" a="1"/>
  <c r="F39" i="2" a="1"/>
  <c r="G37" i="2" a="1"/>
  <c r="E34" i="2" a="1"/>
  <c r="E32" i="2" a="1"/>
  <c r="F30" i="2" a="1"/>
  <c r="G101" i="2" a="1"/>
  <c r="F28" i="2" a="1"/>
  <c r="D137" i="2" a="1"/>
  <c r="F135" i="2" a="1"/>
  <c r="G133" i="2" a="1"/>
  <c r="E132" i="2" a="1"/>
  <c r="D125" i="2" a="1"/>
  <c r="F123" i="2" a="1"/>
  <c r="G121" i="2" a="1"/>
  <c r="E120" i="2" a="1"/>
  <c r="D116" i="2" a="1"/>
  <c r="G114" i="2" a="1"/>
  <c r="G113" i="2" a="1"/>
  <c r="E108" i="2" a="1"/>
  <c r="G106" i="2" a="1"/>
  <c r="E103" i="2" a="1"/>
  <c r="F101" i="2" a="1"/>
  <c r="G99" i="2" a="1"/>
  <c r="E96" i="2" a="1"/>
  <c r="F94" i="2" a="1"/>
  <c r="G92" i="2" a="1"/>
  <c r="D91" i="2" a="1"/>
  <c r="F89" i="2" a="1"/>
  <c r="G87" i="2" a="1"/>
  <c r="D84" i="2" a="1"/>
  <c r="F82" i="2" a="1"/>
  <c r="G80" i="2" a="1"/>
  <c r="D79" i="2" a="1"/>
  <c r="E73" i="2" a="1"/>
  <c r="F71" i="2" a="1"/>
  <c r="G69" i="2" a="1"/>
  <c r="E66" i="2" a="1"/>
  <c r="G63" i="2" a="1"/>
  <c r="D60" i="2" a="1"/>
  <c r="F58" i="2" a="1"/>
  <c r="G56" i="2" a="1"/>
  <c r="D55" i="2" a="1"/>
  <c r="E53" i="2" a="1"/>
  <c r="F51" i="2" a="1"/>
  <c r="G49" i="2" a="1"/>
  <c r="D46" i="2" a="1"/>
  <c r="E44" i="2" a="1"/>
  <c r="G42" i="2" a="1"/>
  <c r="G40" i="2" a="1"/>
  <c r="D39" i="2" a="1"/>
  <c r="E37" i="2" a="1"/>
  <c r="F35" i="2" a="1"/>
  <c r="G33" i="2" a="1"/>
  <c r="D30" i="2" a="1"/>
  <c r="E125" i="2" a="1"/>
  <c r="F53" i="2" a="1"/>
  <c r="F138" i="2" a="1"/>
  <c r="G136" i="2" a="1"/>
  <c r="E135" i="2" a="1"/>
  <c r="F126" i="2" a="1"/>
  <c r="G124" i="2" a="1"/>
  <c r="E123" i="2" a="1"/>
  <c r="F118" i="2" a="1"/>
  <c r="G115" i="2" a="1"/>
  <c r="F113" i="2" a="1"/>
  <c r="G111" i="2" a="1"/>
  <c r="F106" i="2" a="1"/>
  <c r="G104" i="2" a="1"/>
  <c r="E101" i="2" a="1"/>
  <c r="F99" i="2" a="1"/>
  <c r="E94" i="2" a="1"/>
  <c r="F92" i="2" a="1"/>
  <c r="E89" i="2" a="1"/>
  <c r="F87" i="2" a="1"/>
  <c r="G85" i="2" a="1"/>
  <c r="E82" i="2" a="1"/>
  <c r="F80" i="2" a="1"/>
  <c r="G78" i="2" a="1"/>
  <c r="E71" i="2" a="1"/>
  <c r="F69" i="2" a="1"/>
  <c r="G67" i="2" a="1"/>
  <c r="F63" i="2" a="1"/>
  <c r="G61" i="2" a="1"/>
  <c r="E58" i="2" a="1"/>
  <c r="F56" i="2" a="1"/>
  <c r="G54" i="2" a="1"/>
  <c r="E51" i="2" a="1"/>
  <c r="F49" i="2" a="1"/>
  <c r="G47" i="2" a="1"/>
  <c r="F42" i="2" a="1"/>
  <c r="F40" i="2" a="1"/>
  <c r="G38" i="2" a="1"/>
  <c r="D37" i="2" a="1"/>
  <c r="E35" i="2" a="1"/>
  <c r="F33" i="2" a="1"/>
  <c r="G31" i="2" a="1"/>
  <c r="G29" i="2" a="1"/>
  <c r="G139" i="2" a="1"/>
  <c r="E138" i="2" a="1"/>
  <c r="F133" i="2" a="1"/>
  <c r="G131" i="2" a="1"/>
  <c r="E126" i="2" a="1"/>
  <c r="F121" i="2" a="1"/>
  <c r="G119" i="2" a="1"/>
  <c r="E118" i="2" a="1"/>
  <c r="F114" i="2" a="1"/>
  <c r="E113" i="2" a="1"/>
  <c r="F111" i="2" a="1"/>
  <c r="G109" i="2" a="1"/>
  <c r="E106" i="2" a="1"/>
  <c r="F104" i="2" a="1"/>
  <c r="G102" i="2" a="1"/>
  <c r="E99" i="2" a="1"/>
  <c r="G97" i="2" a="1"/>
  <c r="E92" i="2" a="1"/>
  <c r="G90" i="2" a="1"/>
  <c r="E87" i="2" a="1"/>
  <c r="F85" i="2" a="1"/>
  <c r="G83" i="2" a="1"/>
  <c r="E80" i="2" a="1"/>
  <c r="F78" i="2" a="1"/>
  <c r="G72" i="2" a="1"/>
  <c r="E69" i="2" a="1"/>
  <c r="F67" i="2" a="1"/>
  <c r="E63" i="2" a="1"/>
  <c r="F61" i="2" a="1"/>
  <c r="G59" i="2" a="1"/>
  <c r="E56" i="2" a="1"/>
  <c r="F54" i="2" a="1"/>
  <c r="G52" i="2" a="1"/>
  <c r="D51" i="2" a="1"/>
  <c r="E49" i="2" a="1"/>
  <c r="F47" i="2" a="1"/>
  <c r="G45" i="2" a="1"/>
  <c r="E42" i="2" a="1"/>
  <c r="E40" i="2" a="1"/>
  <c r="F38" i="2" a="1"/>
  <c r="G36" i="2" a="1"/>
  <c r="D35" i="2" a="1"/>
  <c r="E33" i="2" a="1"/>
  <c r="F31" i="2" a="1"/>
  <c r="F29" i="2" a="1"/>
  <c r="D93" i="2" a="1"/>
  <c r="F136" i="2" a="1"/>
  <c r="E133" i="2" a="1"/>
  <c r="F124" i="2" a="1"/>
  <c r="E121" i="2" a="1"/>
  <c r="F115" i="2" a="1"/>
  <c r="E111" i="2" a="1"/>
  <c r="F109" i="2" a="1"/>
  <c r="G107" i="2" a="1"/>
  <c r="E104" i="2" a="1"/>
  <c r="F102" i="2" a="1"/>
  <c r="G100" i="2" a="1"/>
  <c r="F97" i="2" a="1"/>
  <c r="G95" i="2" a="1"/>
  <c r="F90" i="2" a="1"/>
  <c r="G88" i="2" a="1"/>
  <c r="E85" i="2" a="1"/>
  <c r="F83" i="2" a="1"/>
  <c r="E78" i="2" a="1"/>
  <c r="F72" i="2" a="1"/>
  <c r="G70" i="2" a="1"/>
  <c r="E67" i="2" a="1"/>
  <c r="G65" i="2" a="1"/>
  <c r="E61" i="2" a="1"/>
  <c r="F59" i="2" a="1"/>
  <c r="E54" i="2" a="1"/>
  <c r="F52" i="2" a="1"/>
  <c r="E47" i="2" a="1"/>
  <c r="F45" i="2" a="1"/>
  <c r="G43" i="2" a="1"/>
  <c r="E38" i="2" a="1"/>
  <c r="F36" i="2" a="1"/>
  <c r="E31" i="2" a="1"/>
  <c r="E29" i="2" a="1"/>
  <c r="F139" i="2" a="1"/>
  <c r="F131" i="2" a="1"/>
  <c r="G86" i="2" a="1"/>
  <c r="E83" i="2" a="1"/>
  <c r="G81" i="2" a="1"/>
  <c r="E72" i="2" a="1"/>
  <c r="F70" i="2" a="1"/>
  <c r="G68" i="2" a="1"/>
  <c r="F65" i="2" a="1"/>
  <c r="G62" i="2" a="1"/>
  <c r="E59" i="2" a="1"/>
  <c r="G57" i="2" a="1"/>
  <c r="E52" i="2" a="1"/>
  <c r="G50" i="2" a="1"/>
  <c r="G48" i="2" a="1"/>
  <c r="E45" i="2" a="1"/>
  <c r="F43" i="2" a="1"/>
  <c r="G41" i="2" a="1"/>
  <c r="E36" i="2" a="1"/>
  <c r="G34" i="2" a="1"/>
  <c r="G32" i="2" a="1"/>
  <c r="F127" i="2" a="1"/>
  <c r="E127" i="2" a="1"/>
  <c r="G74" i="2" a="1"/>
  <c r="F74" i="2" a="1"/>
  <c r="E74" i="2" a="1"/>
  <c r="D127" i="2" a="1"/>
  <c r="D77" i="2" a="1"/>
  <c r="E130" i="2" a="1"/>
  <c r="D130" i="2" a="1"/>
  <c r="E77" i="2" a="1"/>
  <c r="G130" i="2" a="1"/>
  <c r="G77" i="2" a="1"/>
  <c r="G129" i="2" a="1"/>
  <c r="D76" i="2" a="1"/>
  <c r="E76" i="2" a="1"/>
  <c r="F129" i="2" a="1"/>
  <c r="E129" i="2" a="1"/>
  <c r="G76" i="2" a="1"/>
  <c r="D75" i="2" a="1"/>
  <c r="G128" i="2" a="1"/>
  <c r="E75" i="2" a="1"/>
  <c r="F128" i="2" a="1"/>
  <c r="G75" i="2" a="1"/>
  <c r="D128" i="2" a="1"/>
  <c r="D64" i="2" a="1"/>
  <c r="D117" i="2" a="1"/>
  <c r="G117" i="2" a="1"/>
  <c r="F117" i="2" a="1"/>
  <c r="G64" i="2" a="1"/>
  <c r="F64" i="2" a="1"/>
  <c r="K3" i="2"/>
  <c r="K4" i="2"/>
  <c r="K2" i="2"/>
  <c r="K8" i="2"/>
  <c r="C8" i="2" s="1"/>
  <c r="C6" i="2" s="1" a="1"/>
  <c r="H8" i="2" l="1"/>
  <c r="H6" i="2" s="1" a="1"/>
  <c r="H7" i="2" s="1"/>
  <c r="J8" i="2"/>
  <c r="J6" i="2" s="1" a="1"/>
  <c r="J7" i="2" s="1"/>
  <c r="I8" i="2"/>
  <c r="I6" i="2" s="1" a="1"/>
  <c r="I7" i="2" s="1"/>
  <c r="G8" i="2"/>
  <c r="G6" i="2" s="1" a="1"/>
  <c r="G7" i="2" s="1"/>
  <c r="F8" i="2"/>
  <c r="F6" i="2" s="1" a="1"/>
  <c r="F7" i="2" s="1"/>
  <c r="E8" i="2"/>
  <c r="E6" i="2" s="1" a="1"/>
  <c r="E7" i="2" s="1"/>
  <c r="D8" i="2"/>
  <c r="D6" i="2" s="1" a="1"/>
  <c r="D7" i="2" s="1"/>
  <c r="B8" i="2"/>
  <c r="B6" i="2" s="1" a="1"/>
  <c r="C7" i="2"/>
  <c r="B7" i="2" l="1"/>
  <c r="H12" i="2" l="1"/>
  <c r="I12" i="2" s="1"/>
  <c r="J12" i="2" s="1"/>
  <c r="H13" i="2"/>
  <c r="I13" i="2" s="1"/>
  <c r="J13" i="2" s="1"/>
  <c r="H14" i="2"/>
  <c r="I14" i="2" s="1"/>
  <c r="J14" i="2" s="1"/>
  <c r="H15" i="2"/>
  <c r="I15" i="2" s="1"/>
  <c r="J15" i="2" s="1"/>
  <c r="H11" i="2"/>
  <c r="I11" i="2" s="1"/>
  <c r="J11" i="2" s="1"/>
  <c r="H21" i="2"/>
  <c r="H22" i="2"/>
  <c r="H23" i="2"/>
  <c r="H24" i="2"/>
  <c r="H20" i="2"/>
  <c r="C25" i="2"/>
  <c r="C12" i="2"/>
  <c r="C14" i="2"/>
  <c r="C15" i="2"/>
  <c r="C16" i="2"/>
  <c r="C17" i="2"/>
  <c r="C18" i="2"/>
  <c r="C19" i="2"/>
  <c r="C20" i="2"/>
  <c r="C21" i="2"/>
  <c r="C22" i="2"/>
  <c r="C23" i="2"/>
  <c r="C24" i="2"/>
  <c r="C13" i="2"/>
  <c r="S3" i="2"/>
  <c r="S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<sst xmlns="http://schemas.openxmlformats.org/spreadsheetml/2006/main" count="1654" uniqueCount="159">
  <si>
    <t>JAN</t>
  </si>
  <si>
    <t>FEB</t>
  </si>
  <si>
    <t>MAR</t>
  </si>
  <si>
    <t>APR</t>
  </si>
  <si>
    <t>MAY</t>
  </si>
  <si>
    <t>JUN</t>
  </si>
  <si>
    <t>JUL</t>
  </si>
  <si>
    <t>AUG</t>
  </si>
  <si>
    <t>SEP</t>
  </si>
  <si>
    <t>OCT</t>
  </si>
  <si>
    <t>NOV</t>
  </si>
  <si>
    <t>DEC</t>
  </si>
  <si>
    <t>SU</t>
  </si>
  <si>
    <t>MO</t>
  </si>
  <si>
    <t>TU</t>
  </si>
  <si>
    <t>WE</t>
  </si>
  <si>
    <t>TH</t>
  </si>
  <si>
    <t>FR</t>
  </si>
  <si>
    <t>SA</t>
  </si>
  <si>
    <t>Asset 5</t>
  </si>
  <si>
    <t>Asset 4</t>
  </si>
  <si>
    <t>Asset 3</t>
  </si>
  <si>
    <t>Asset 2</t>
  </si>
  <si>
    <t>Asset 1</t>
  </si>
  <si>
    <t>Sectors</t>
  </si>
  <si>
    <t>Done</t>
  </si>
  <si>
    <t>Running</t>
  </si>
  <si>
    <t>Management</t>
  </si>
  <si>
    <t>Administrative staff</t>
  </si>
  <si>
    <t>Sales department</t>
  </si>
  <si>
    <t>Production department</t>
  </si>
  <si>
    <t>Logistics department</t>
  </si>
  <si>
    <t>Employee Categories</t>
  </si>
  <si>
    <t>Bonuses and Prizes</t>
  </si>
  <si>
    <t>Basic Payroll</t>
  </si>
  <si>
    <t>Payroll Taxes &amp; Insurance</t>
  </si>
  <si>
    <t>Payroll Cost Breakdown</t>
  </si>
  <si>
    <t>Planned Payroll</t>
  </si>
  <si>
    <t>Actual Payroll</t>
  </si>
  <si>
    <t>Payroll Forecast</t>
  </si>
  <si>
    <t>Head Office</t>
  </si>
  <si>
    <t>Regional Offices</t>
  </si>
  <si>
    <t>Regional Branches</t>
  </si>
  <si>
    <t>Remote Employees</t>
  </si>
  <si>
    <t>Outsourcing</t>
  </si>
  <si>
    <t>Working Time Heat Map</t>
  </si>
  <si>
    <t>Underwork</t>
  </si>
  <si>
    <t>Overtime</t>
  </si>
  <si>
    <t>Excessive Overtime</t>
  </si>
  <si>
    <t>Standard Hours</t>
  </si>
  <si>
    <t>Payroll WHR</t>
  </si>
  <si>
    <t>(Payroll Work Hour Representation)</t>
  </si>
  <si>
    <t>Actual Hours</t>
  </si>
  <si>
    <t>Standard Hours Completed as a Percentage of Total Work Hours</t>
  </si>
  <si>
    <t>Payment Based on Actual Work Hours as a Percentage of Total Payroll Fund</t>
  </si>
  <si>
    <t>Payroll Fund</t>
  </si>
  <si>
    <t>Annual Payroll Plan</t>
  </si>
  <si>
    <t>Top 5 Employees Payroll</t>
  </si>
  <si>
    <t>Bonus</t>
  </si>
  <si>
    <t>Base Salary</t>
  </si>
  <si>
    <t>Employee1</t>
  </si>
  <si>
    <t>Employee2</t>
  </si>
  <si>
    <t>Employee3</t>
  </si>
  <si>
    <t>Employee4</t>
  </si>
  <si>
    <t>Employee5</t>
  </si>
  <si>
    <t>KPI</t>
  </si>
  <si>
    <t>Compensation</t>
  </si>
  <si>
    <t>A</t>
  </si>
  <si>
    <t>E</t>
  </si>
  <si>
    <t>C</t>
  </si>
  <si>
    <t>B</t>
  </si>
  <si>
    <t>D</t>
  </si>
  <si>
    <t>Year</t>
  </si>
  <si>
    <t>Month</t>
  </si>
  <si>
    <t>Administrative Staff</t>
  </si>
  <si>
    <t>Sales Department</t>
  </si>
  <si>
    <t>Production Department</t>
  </si>
  <si>
    <t>Logistics Department</t>
  </si>
  <si>
    <t>PDL</t>
  </si>
  <si>
    <t>Payroll Distribution by Location</t>
  </si>
  <si>
    <t>Payroll</t>
  </si>
  <si>
    <t>Employee Performance</t>
  </si>
  <si>
    <t>Row Labels</t>
  </si>
  <si>
    <t>Grand Total</t>
  </si>
  <si>
    <t>Sum of Management</t>
  </si>
  <si>
    <t>Sum of Administrative Staff</t>
  </si>
  <si>
    <t>Sum of Sales Department</t>
  </si>
  <si>
    <t>Sum of Production Department</t>
  </si>
  <si>
    <t>Sum of Logistics Department</t>
  </si>
  <si>
    <t>Average of Basic Payroll</t>
  </si>
  <si>
    <t>Average of Bonuses and Prizes</t>
  </si>
  <si>
    <t>Average of Payroll Taxes &amp; Insurance</t>
  </si>
  <si>
    <t>Sum of SU</t>
  </si>
  <si>
    <t>Sum of MO</t>
  </si>
  <si>
    <t>Sum of TU</t>
  </si>
  <si>
    <t>Sum of WE</t>
  </si>
  <si>
    <t>Sum of TH</t>
  </si>
  <si>
    <t>Sum of FR</t>
  </si>
  <si>
    <t>Sum of SA</t>
  </si>
  <si>
    <t>Sum of SU2</t>
  </si>
  <si>
    <t>Sum of MO2</t>
  </si>
  <si>
    <t>Sum of TU2</t>
  </si>
  <si>
    <t>Sum of WE2</t>
  </si>
  <si>
    <t>Sum of TH2</t>
  </si>
  <si>
    <t>Sum of FR2</t>
  </si>
  <si>
    <t>Sum of SA2</t>
  </si>
  <si>
    <t>Average of Head Office</t>
  </si>
  <si>
    <t>Average of Regional Offices</t>
  </si>
  <si>
    <t>Average of Regional Branches</t>
  </si>
  <si>
    <t>Average of Remote Employees</t>
  </si>
  <si>
    <t>Average of Outsourcing</t>
  </si>
  <si>
    <t>Average of Standard Hours</t>
  </si>
  <si>
    <t>Average of Actual Hours</t>
  </si>
  <si>
    <t>Sum of Payroll</t>
  </si>
  <si>
    <t>Average of Annual Payroll Plan</t>
  </si>
  <si>
    <t>Total</t>
  </si>
  <si>
    <t>Sum of Employee1</t>
  </si>
  <si>
    <t>Sum of Employee2</t>
  </si>
  <si>
    <t>Sum of Employee3</t>
  </si>
  <si>
    <t>Sum of Employee4</t>
  </si>
  <si>
    <t>Sum of Employee5</t>
  </si>
  <si>
    <t>Sum of Employee12</t>
  </si>
  <si>
    <t>Sum of Employee22</t>
  </si>
  <si>
    <t>Sum of Employee32</t>
  </si>
  <si>
    <t>Sum of Employee42</t>
  </si>
  <si>
    <t>Sum of Employee52</t>
  </si>
  <si>
    <t>SORT</t>
  </si>
  <si>
    <t>DATA</t>
  </si>
  <si>
    <t>VALUE</t>
  </si>
  <si>
    <t>Salary</t>
  </si>
  <si>
    <t>Empls</t>
  </si>
  <si>
    <t>Average of A</t>
  </si>
  <si>
    <t>Average of B</t>
  </si>
  <si>
    <t>Average of C</t>
  </si>
  <si>
    <t>Average of D</t>
  </si>
  <si>
    <t>Average of E</t>
  </si>
  <si>
    <t>Average of A2</t>
  </si>
  <si>
    <t>Average of B2</t>
  </si>
  <si>
    <t>Average of C2</t>
  </si>
  <si>
    <t>Average of D2</t>
  </si>
  <si>
    <t>Average of E2</t>
  </si>
  <si>
    <t>Day</t>
  </si>
  <si>
    <t>Shift 1</t>
  </si>
  <si>
    <t>Shift 2</t>
  </si>
  <si>
    <t>Shift 3</t>
  </si>
  <si>
    <t>Shift 4</t>
  </si>
  <si>
    <t>#8F72FF</t>
  </si>
  <si>
    <t>#673FFF</t>
  </si>
  <si>
    <t>#178BFF</t>
  </si>
  <si>
    <t>#4AA5FF</t>
  </si>
  <si>
    <t>#1AFFD5</t>
  </si>
  <si>
    <t>#00E5BB</t>
  </si>
  <si>
    <t>#73F46A</t>
  </si>
  <si>
    <t>#00C74D</t>
  </si>
  <si>
    <t>#F9F871</t>
  </si>
  <si>
    <t>#E34F10</t>
  </si>
  <si>
    <t>#F631B5</t>
  </si>
  <si>
    <t>Value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</si>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</sst>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gt;=1000000]#,##0,,\ &quot;M&quot;;[&gt;=1000]#,##0,\ &quot;K&quot;;0"/>
  </numFmts>
  <fonts count="5"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sz val="8"/>
      <color theme="1"/>
      <name val="Aptos Narrow"/>
      <family val="2"/>
      <scheme val="minor"/>
    </font>
  </fonts>
  <fills count="15">
    <fill>
      <patternFill patternType="none"/>
    </fill>
    <fill>
      <patternFill patternType="gray125"/>
    </fill>
    <fill>
      <patternFill patternType="solid">
        <fgColor theme="1"/>
        <bgColor indexed="64"/>
      </patternFill>
    </fill>
    <fill>
      <patternFill patternType="solid">
        <fgColor rgb="FF8F72FF"/>
        <bgColor indexed="64"/>
      </patternFill>
    </fill>
    <fill>
      <patternFill patternType="solid">
        <fgColor rgb="FF673FFF"/>
        <bgColor indexed="64"/>
      </patternFill>
    </fill>
    <fill>
      <patternFill patternType="solid">
        <fgColor rgb="FF178BFF"/>
        <bgColor indexed="64"/>
      </patternFill>
    </fill>
    <fill>
      <patternFill patternType="solid">
        <fgColor rgb="FF4AA5FF"/>
        <bgColor indexed="64"/>
      </patternFill>
    </fill>
    <fill>
      <patternFill patternType="solid">
        <fgColor rgb="FF1AFFD5"/>
        <bgColor indexed="64"/>
      </patternFill>
    </fill>
    <fill>
      <patternFill patternType="solid">
        <fgColor rgb="FF00E5BB"/>
        <bgColor indexed="64"/>
      </patternFill>
    </fill>
    <fill>
      <patternFill patternType="solid">
        <fgColor rgb="FF73F46A"/>
        <bgColor indexed="64"/>
      </patternFill>
    </fill>
    <fill>
      <patternFill patternType="solid">
        <fgColor rgb="FF00C74D"/>
        <bgColor indexed="64"/>
      </patternFill>
    </fill>
    <fill>
      <patternFill patternType="solid">
        <fgColor rgb="FFF9F871"/>
        <bgColor indexed="64"/>
      </patternFill>
    </fill>
    <fill>
      <patternFill patternType="solid">
        <fgColor rgb="FFE34F10"/>
        <bgColor indexed="64"/>
      </patternFill>
    </fill>
    <fill>
      <patternFill patternType="solid">
        <fgColor rgb="FFF631B5"/>
        <bgColor indexed="64"/>
      </patternFill>
    </fill>
    <fill>
      <patternFill patternType="solid">
        <fgColor rgb="FF322664"/>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40">
    <xf numFmtId="0" fontId="0" fillId="0" borderId="0" xfId="0"/>
    <xf numFmtId="0" fontId="0" fillId="2" borderId="0" xfId="0" applyFill="1"/>
    <xf numFmtId="9" fontId="0" fillId="0" borderId="0" xfId="0" applyNumberFormat="1" applyAlignment="1">
      <alignment horizontal="center" vertical="center"/>
    </xf>
    <xf numFmtId="9" fontId="0" fillId="0" borderId="0" xfId="1" applyFont="1" applyAlignment="1">
      <alignment horizontal="center" vertical="center"/>
    </xf>
    <xf numFmtId="0" fontId="0" fillId="0" borderId="0" xfId="0" applyAlignment="1">
      <alignment horizontal="center" vertical="center"/>
    </xf>
    <xf numFmtId="9" fontId="0" fillId="0" borderId="0" xfId="1" applyFont="1" applyAlignment="1">
      <alignment horizontal="center"/>
    </xf>
    <xf numFmtId="10" fontId="0" fillId="0" borderId="0" xfId="1" applyNumberFormat="1" applyFont="1" applyAlignment="1">
      <alignment horizontal="center"/>
    </xf>
    <xf numFmtId="10" fontId="0" fillId="0" borderId="0" xfId="0" applyNumberFormat="1" applyAlignment="1">
      <alignment horizontal="center"/>
    </xf>
    <xf numFmtId="0" fontId="0" fillId="0" borderId="0" xfId="0" applyAlignment="1">
      <alignment horizontal="left" vertical="center"/>
    </xf>
    <xf numFmtId="0" fontId="3" fillId="0" borderId="0" xfId="0" applyFont="1"/>
    <xf numFmtId="0" fontId="0" fillId="0" borderId="0" xfId="0" applyAlignment="1">
      <alignment horizontal="right" vertical="center"/>
    </xf>
    <xf numFmtId="0" fontId="0" fillId="0" borderId="0" xfId="0" applyAlignment="1">
      <alignment horizontal="center"/>
    </xf>
    <xf numFmtId="0" fontId="3" fillId="0" borderId="0" xfId="0" applyFont="1" applyAlignment="1">
      <alignment horizontal="center"/>
    </xf>
    <xf numFmtId="0" fontId="3"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right"/>
    </xf>
    <xf numFmtId="0" fontId="0" fillId="0" borderId="0" xfId="0" applyAlignment="1">
      <alignment horizontal="left"/>
    </xf>
    <xf numFmtId="0" fontId="0" fillId="0" borderId="0" xfId="0" pivotButton="1"/>
    <xf numFmtId="9" fontId="0" fillId="0" borderId="0" xfId="0" applyNumberFormat="1"/>
    <xf numFmtId="0" fontId="0" fillId="0" borderId="0" xfId="0" applyAlignment="1">
      <alignment vertical="center"/>
    </xf>
    <xf numFmtId="164" fontId="0" fillId="0" borderId="0" xfId="2" applyNumberFormat="1" applyFont="1" applyAlignment="1">
      <alignment horizontal="center" vertical="center"/>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4" fillId="0" borderId="0" xfId="0" applyFont="1"/>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3" fillId="0" borderId="0" xfId="0" applyFont="1" applyAlignment="1">
      <alignment horizontal="center"/>
    </xf>
    <xf numFmtId="0" fontId="3" fillId="0" borderId="0" xfId="0" applyFont="1" applyAlignment="1">
      <alignment horizontal="center" vertical="center"/>
    </xf>
    <xf numFmtId="0" fontId="0" fillId="0" borderId="0" xfId="0" applyNumberFormat="1"/>
  </cellXfs>
  <cellStyles count="3">
    <cellStyle name="Currency" xfId="2" builtinId="4"/>
    <cellStyle name="Normal" xfId="0" builtinId="0"/>
    <cellStyle name="Percent" xfId="1" builtinId="5"/>
  </cellStyles>
  <dxfs count="2">
    <dxf>
      <font>
        <b/>
        <color theme="1"/>
      </font>
      <border>
        <bottom style="thin">
          <color theme="4"/>
        </bottom>
        <vertical/>
        <horizontal/>
      </border>
    </dxf>
    <dxf>
      <font>
        <color theme="1"/>
      </font>
      <fill>
        <patternFill>
          <bgColor rgb="FF1B1B21"/>
        </patternFill>
      </fill>
      <border diagonalUp="0" diagonalDown="0">
        <left/>
        <right/>
        <top/>
        <bottom/>
        <vertical/>
        <horizontal/>
      </border>
    </dxf>
  </dxfs>
  <tableStyles count="1" defaultTableStyle="TableStyleMedium2" defaultPivotStyle="PivotStyleLight16">
    <tableStyle name="SlicerStyleLight1 2" pivot="0" table="0" count="10" xr9:uid="{0B9551B1-1B8C-4B35-A4F2-2B8BBD87D7E6}">
      <tableStyleElement type="wholeTable" dxfId="1"/>
      <tableStyleElement type="headerRow" dxfId="0"/>
    </tableStyle>
  </tableStyles>
  <colors>
    <mruColors>
      <color rgb="FF322664"/>
      <color rgb="FFF631B5"/>
      <color rgb="FFE34F10"/>
      <color rgb="FFF9F871"/>
      <color rgb="FF00C74D"/>
      <color rgb="FF73F46A"/>
      <color rgb="FF00E5BB"/>
      <color rgb="FF1AFFD5"/>
      <color rgb="FF4AA5FF"/>
      <color rgb="FF178B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rgb="FF000000"/>
          </font>
          <fill>
            <patternFill patternType="solid">
              <fgColor theme="4" tint="0.59999389629810485"/>
              <bgColor rgb="FF00E5B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1" tint="0.499984740745262"/>
          </font>
          <fill>
            <patternFill patternType="solid">
              <fgColor rgb="FFFFFFFF"/>
              <bgColor rgb="FF1B1B21"/>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178BFF"/>
            </a:solidFill>
            <a:ln>
              <a:noFill/>
            </a:ln>
          </c:spPr>
          <c:dPt>
            <c:idx val="0"/>
            <c:bubble3D val="0"/>
            <c:spPr>
              <a:gradFill>
                <a:gsLst>
                  <a:gs pos="0">
                    <a:srgbClr val="178BFF"/>
                  </a:gs>
                  <a:gs pos="100000">
                    <a:srgbClr val="4AA5FF"/>
                  </a:gs>
                </a:gsLst>
                <a:path path="circle">
                  <a:fillToRect l="100000" t="100000"/>
                </a:path>
              </a:gradFill>
              <a:ln w="19050">
                <a:noFill/>
              </a:ln>
              <a:effectLst/>
            </c:spPr>
            <c:extLst>
              <c:ext xmlns:c16="http://schemas.microsoft.com/office/drawing/2014/chart" uri="{C3380CC4-5D6E-409C-BE32-E72D297353CC}">
                <c16:uniqueId val="{00000001-B1C3-4F0E-BFD2-775DF53961AF}"/>
              </c:ext>
            </c:extLst>
          </c:dPt>
          <c:dPt>
            <c:idx val="1"/>
            <c:bubble3D val="0"/>
            <c:spPr>
              <a:solidFill>
                <a:srgbClr val="178BFF">
                  <a:alpha val="20000"/>
                </a:srgbClr>
              </a:solidFill>
              <a:ln w="19050">
                <a:noFill/>
              </a:ln>
              <a:effectLst/>
            </c:spPr>
            <c:extLst>
              <c:ext xmlns:c16="http://schemas.microsoft.com/office/drawing/2014/chart" uri="{C3380CC4-5D6E-409C-BE32-E72D297353CC}">
                <c16:uniqueId val="{00000003-B1C3-4F0E-BFD2-775DF53961AF}"/>
              </c:ext>
            </c:extLst>
          </c:dPt>
          <c:val>
            <c:numRef>
              <c:f>Processing!$R$2:$S$2</c:f>
              <c:numCache>
                <c:formatCode>0%</c:formatCode>
                <c:ptCount val="2"/>
                <c:pt idx="0">
                  <c:v>0.4</c:v>
                </c:pt>
                <c:pt idx="1">
                  <c:v>0.6</c:v>
                </c:pt>
              </c:numCache>
            </c:numRef>
          </c:val>
          <c:extLst>
            <c:ext xmlns:c16="http://schemas.microsoft.com/office/drawing/2014/chart" uri="{C3380CC4-5D6E-409C-BE32-E72D297353CC}">
              <c16:uniqueId val="{00000004-B1C3-4F0E-BFD2-775DF53961A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E5BB"/>
            </a:solidFill>
            <a:ln>
              <a:noFill/>
            </a:ln>
          </c:spPr>
          <c:dPt>
            <c:idx val="0"/>
            <c:bubble3D val="0"/>
            <c:spPr>
              <a:gradFill>
                <a:gsLst>
                  <a:gs pos="0">
                    <a:srgbClr val="1AFFD5"/>
                  </a:gs>
                  <a:gs pos="100000">
                    <a:srgbClr val="00E5BB"/>
                  </a:gs>
                </a:gsLst>
                <a:path path="circle">
                  <a:fillToRect r="100000" b="100000"/>
                </a:path>
              </a:gradFill>
              <a:ln w="19050">
                <a:noFill/>
              </a:ln>
              <a:effectLst/>
            </c:spPr>
            <c:extLst>
              <c:ext xmlns:c16="http://schemas.microsoft.com/office/drawing/2014/chart" uri="{C3380CC4-5D6E-409C-BE32-E72D297353CC}">
                <c16:uniqueId val="{00000001-B1C3-4F0E-BFD2-775DF53961AF}"/>
              </c:ext>
            </c:extLst>
          </c:dPt>
          <c:dPt>
            <c:idx val="1"/>
            <c:bubble3D val="0"/>
            <c:spPr>
              <a:solidFill>
                <a:srgbClr val="00E5BB">
                  <a:alpha val="20000"/>
                </a:srgbClr>
              </a:solidFill>
              <a:ln w="19050">
                <a:noFill/>
              </a:ln>
              <a:effectLst/>
            </c:spPr>
            <c:extLst>
              <c:ext xmlns:c16="http://schemas.microsoft.com/office/drawing/2014/chart" uri="{C3380CC4-5D6E-409C-BE32-E72D297353CC}">
                <c16:uniqueId val="{00000003-B1C3-4F0E-BFD2-775DF53961AF}"/>
              </c:ext>
            </c:extLst>
          </c:dPt>
          <c:val>
            <c:numRef>
              <c:f>Processing!$R$3:$S$3</c:f>
              <c:numCache>
                <c:formatCode>0%</c:formatCode>
                <c:ptCount val="2"/>
                <c:pt idx="0">
                  <c:v>0.24</c:v>
                </c:pt>
                <c:pt idx="1">
                  <c:v>0.76</c:v>
                </c:pt>
              </c:numCache>
            </c:numRef>
          </c:val>
          <c:extLst>
            <c:ext xmlns:c16="http://schemas.microsoft.com/office/drawing/2014/chart" uri="{C3380CC4-5D6E-409C-BE32-E72D297353CC}">
              <c16:uniqueId val="{00000004-B1C3-4F0E-BFD2-775DF53961A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1"/>
          <c:spPr>
            <a:gradFill>
              <a:gsLst>
                <a:gs pos="0">
                  <a:srgbClr val="178BFF"/>
                </a:gs>
                <a:gs pos="92000">
                  <a:srgbClr val="178BFF">
                    <a:alpha val="6000"/>
                  </a:srgbClr>
                </a:gs>
              </a:gsLst>
              <a:lin ang="5400000" scaled="1"/>
            </a:gradFill>
            <a:ln>
              <a:noFill/>
            </a:ln>
            <a:effectLst/>
          </c:spPr>
          <c:val>
            <c:numRef>
              <c:f>Processing!$C$12:$C$25</c:f>
              <c:numCache>
                <c:formatCode>General</c:formatCode>
                <c:ptCount val="14"/>
                <c:pt idx="0">
                  <c:v>120000</c:v>
                </c:pt>
                <c:pt idx="1">
                  <c:v>120000</c:v>
                </c:pt>
                <c:pt idx="2">
                  <c:v>120000</c:v>
                </c:pt>
                <c:pt idx="3">
                  <c:v>120000</c:v>
                </c:pt>
                <c:pt idx="4">
                  <c:v>120000</c:v>
                </c:pt>
                <c:pt idx="5">
                  <c:v>120000</c:v>
                </c:pt>
                <c:pt idx="6">
                  <c:v>120000</c:v>
                </c:pt>
                <c:pt idx="7">
                  <c:v>120000</c:v>
                </c:pt>
                <c:pt idx="8">
                  <c:v>120000</c:v>
                </c:pt>
                <c:pt idx="9">
                  <c:v>120000</c:v>
                </c:pt>
                <c:pt idx="10">
                  <c:v>120000</c:v>
                </c:pt>
                <c:pt idx="11">
                  <c:v>120000</c:v>
                </c:pt>
                <c:pt idx="12">
                  <c:v>120000</c:v>
                </c:pt>
                <c:pt idx="13">
                  <c:v>120000</c:v>
                </c:pt>
              </c:numCache>
            </c:numRef>
          </c:val>
          <c:extLst>
            <c:ext xmlns:c16="http://schemas.microsoft.com/office/drawing/2014/chart" uri="{C3380CC4-5D6E-409C-BE32-E72D297353CC}">
              <c16:uniqueId val="{00000000-92B2-4C53-8EDE-7596EB5C4942}"/>
            </c:ext>
          </c:extLst>
        </c:ser>
        <c:dLbls>
          <c:showLegendKey val="0"/>
          <c:showVal val="0"/>
          <c:showCatName val="0"/>
          <c:showSerName val="0"/>
          <c:showPercent val="0"/>
          <c:showBubbleSize val="0"/>
        </c:dLbls>
        <c:axId val="129444495"/>
        <c:axId val="129453615"/>
      </c:areaChart>
      <c:barChart>
        <c:barDir val="col"/>
        <c:grouping val="clustered"/>
        <c:varyColors val="0"/>
        <c:ser>
          <c:idx val="0"/>
          <c:order val="0"/>
          <c:spPr>
            <a:gradFill>
              <a:gsLst>
                <a:gs pos="13000">
                  <a:srgbClr val="00E5BB"/>
                </a:gs>
                <a:gs pos="100000">
                  <a:srgbClr val="00E5BB">
                    <a:alpha val="30000"/>
                  </a:srgbClr>
                </a:gs>
              </a:gsLst>
              <a:lin ang="5400000" scaled="1"/>
            </a:gradFill>
            <a:ln>
              <a:noFill/>
            </a:ln>
            <a:effectLst/>
          </c:spPr>
          <c:invertIfNegative val="0"/>
          <c:cat>
            <c:strRef>
              <c:f>Processing!$A$12:$A$25</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Processing!$B$12:$B$25</c:f>
              <c:numCache>
                <c:formatCode>General</c:formatCode>
                <c:ptCount val="14"/>
                <c:pt idx="1">
                  <c:v>107635</c:v>
                </c:pt>
                <c:pt idx="2">
                  <c:v>153595</c:v>
                </c:pt>
                <c:pt idx="3">
                  <c:v>156760</c:v>
                </c:pt>
                <c:pt idx="4">
                  <c:v>160805</c:v>
                </c:pt>
                <c:pt idx="5">
                  <c:v>220180</c:v>
                </c:pt>
                <c:pt idx="6">
                  <c:v>254540</c:v>
                </c:pt>
                <c:pt idx="7">
                  <c:v>254180</c:v>
                </c:pt>
                <c:pt idx="8">
                  <c:v>253290</c:v>
                </c:pt>
                <c:pt idx="9">
                  <c:v>242850</c:v>
                </c:pt>
                <c:pt idx="10">
                  <c:v>237680</c:v>
                </c:pt>
                <c:pt idx="11">
                  <c:v>197370</c:v>
                </c:pt>
                <c:pt idx="12">
                  <c:v>98395</c:v>
                </c:pt>
              </c:numCache>
            </c:numRef>
          </c:val>
          <c:extLst>
            <c:ext xmlns:c16="http://schemas.microsoft.com/office/drawing/2014/chart" uri="{C3380CC4-5D6E-409C-BE32-E72D297353CC}">
              <c16:uniqueId val="{00000001-92B2-4C53-8EDE-7596EB5C4942}"/>
            </c:ext>
          </c:extLst>
        </c:ser>
        <c:ser>
          <c:idx val="3"/>
          <c:order val="3"/>
          <c:tx>
            <c:v>cursor</c:v>
          </c:tx>
          <c:spPr>
            <a:gradFill>
              <a:gsLst>
                <a:gs pos="0">
                  <a:srgbClr val="F9F871"/>
                </a:gs>
                <a:gs pos="100000">
                  <a:srgbClr val="E34F10"/>
                </a:gs>
              </a:gsLst>
              <a:path path="circle">
                <a:fillToRect l="100000" b="100000"/>
              </a:path>
            </a:gradFill>
            <a:ln>
              <a:noFill/>
            </a:ln>
            <a:effectLst/>
          </c:spPr>
          <c:invertIfNegative val="0"/>
          <c:dLbls>
            <c:numFmt formatCode="[&gt;=1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Processing!$D$12:$D$25</c:f>
              <c:numCache>
                <c:formatCode>General</c:formatCode>
                <c:ptCount val="14"/>
                <c:pt idx="1">
                  <c:v>#N/A</c:v>
                </c:pt>
                <c:pt idx="2">
                  <c:v>#N/A</c:v>
                </c:pt>
                <c:pt idx="3">
                  <c:v>#N/A</c:v>
                </c:pt>
                <c:pt idx="4">
                  <c:v>160805</c:v>
                </c:pt>
                <c:pt idx="5">
                  <c:v>#N/A</c:v>
                </c:pt>
                <c:pt idx="6">
                  <c:v>#N/A</c:v>
                </c:pt>
                <c:pt idx="7">
                  <c:v>#N/A</c:v>
                </c:pt>
                <c:pt idx="8">
                  <c:v>#N/A</c:v>
                </c:pt>
                <c:pt idx="9">
                  <c:v>#N/A</c:v>
                </c:pt>
                <c:pt idx="10">
                  <c:v>#N/A</c:v>
                </c:pt>
                <c:pt idx="11">
                  <c:v>#N/A</c:v>
                </c:pt>
                <c:pt idx="12">
                  <c:v>#N/A</c:v>
                </c:pt>
              </c:numCache>
            </c:numRef>
          </c:val>
          <c:extLst>
            <c:ext xmlns:c16="http://schemas.microsoft.com/office/drawing/2014/chart" uri="{C3380CC4-5D6E-409C-BE32-E72D297353CC}">
              <c16:uniqueId val="{00000000-C518-49DE-A675-90F33F188FE6}"/>
            </c:ext>
          </c:extLst>
        </c:ser>
        <c:dLbls>
          <c:showLegendKey val="0"/>
          <c:showVal val="0"/>
          <c:showCatName val="0"/>
          <c:showSerName val="0"/>
          <c:showPercent val="0"/>
          <c:showBubbleSize val="0"/>
        </c:dLbls>
        <c:gapWidth val="50"/>
        <c:overlap val="100"/>
        <c:axId val="129444495"/>
        <c:axId val="129453615"/>
      </c:barChart>
      <c:lineChart>
        <c:grouping val="standard"/>
        <c:varyColors val="0"/>
        <c:ser>
          <c:idx val="1"/>
          <c:order val="2"/>
          <c:spPr>
            <a:ln w="9525" cap="rnd">
              <a:solidFill>
                <a:schemeClr val="bg1"/>
              </a:solidFill>
              <a:round/>
            </a:ln>
            <a:effectLst/>
          </c:spPr>
          <c:marker>
            <c:symbol val="none"/>
          </c:marker>
          <c:val>
            <c:numRef>
              <c:f>Processing!$C$12:$C$25</c:f>
              <c:numCache>
                <c:formatCode>General</c:formatCode>
                <c:ptCount val="14"/>
                <c:pt idx="0">
                  <c:v>120000</c:v>
                </c:pt>
                <c:pt idx="1">
                  <c:v>120000</c:v>
                </c:pt>
                <c:pt idx="2">
                  <c:v>120000</c:v>
                </c:pt>
                <c:pt idx="3">
                  <c:v>120000</c:v>
                </c:pt>
                <c:pt idx="4">
                  <c:v>120000</c:v>
                </c:pt>
                <c:pt idx="5">
                  <c:v>120000</c:v>
                </c:pt>
                <c:pt idx="6">
                  <c:v>120000</c:v>
                </c:pt>
                <c:pt idx="7">
                  <c:v>120000</c:v>
                </c:pt>
                <c:pt idx="8">
                  <c:v>120000</c:v>
                </c:pt>
                <c:pt idx="9">
                  <c:v>120000</c:v>
                </c:pt>
                <c:pt idx="10">
                  <c:v>120000</c:v>
                </c:pt>
                <c:pt idx="11">
                  <c:v>120000</c:v>
                </c:pt>
                <c:pt idx="12">
                  <c:v>120000</c:v>
                </c:pt>
                <c:pt idx="13">
                  <c:v>120000</c:v>
                </c:pt>
              </c:numCache>
            </c:numRef>
          </c:val>
          <c:smooth val="0"/>
          <c:extLst>
            <c:ext xmlns:c16="http://schemas.microsoft.com/office/drawing/2014/chart" uri="{C3380CC4-5D6E-409C-BE32-E72D297353CC}">
              <c16:uniqueId val="{00000002-92B2-4C53-8EDE-7596EB5C4942}"/>
            </c:ext>
          </c:extLst>
        </c:ser>
        <c:dLbls>
          <c:showLegendKey val="0"/>
          <c:showVal val="0"/>
          <c:showCatName val="0"/>
          <c:showSerName val="0"/>
          <c:showPercent val="0"/>
          <c:showBubbleSize val="0"/>
        </c:dLbls>
        <c:marker val="1"/>
        <c:smooth val="0"/>
        <c:axId val="129444495"/>
        <c:axId val="129453615"/>
      </c:lineChart>
      <c:catAx>
        <c:axId val="129444495"/>
        <c:scaling>
          <c:orientation val="minMax"/>
        </c:scaling>
        <c:delete val="0"/>
        <c:axPos val="b"/>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ru-RU"/>
          </a:p>
        </c:txPr>
        <c:crossAx val="129453615"/>
        <c:crosses val="autoZero"/>
        <c:auto val="1"/>
        <c:lblAlgn val="ctr"/>
        <c:lblOffset val="100"/>
        <c:noMultiLvlLbl val="0"/>
      </c:catAx>
      <c:valAx>
        <c:axId val="129453615"/>
        <c:scaling>
          <c:orientation val="minMax"/>
        </c:scaling>
        <c:delete val="1"/>
        <c:axPos val="l"/>
        <c:numFmt formatCode="General" sourceLinked="1"/>
        <c:majorTickMark val="none"/>
        <c:minorTickMark val="none"/>
        <c:tickLblPos val="nextTo"/>
        <c:crossAx val="12944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solidFill>
            <a:ln>
              <a:noFill/>
            </a:ln>
            <a:effectLst/>
          </c:spPr>
          <c:invertIfNegative val="0"/>
          <c:cat>
            <c:strRef>
              <c:f>Processing!$G$20:$G$24</c:f>
              <c:strCache>
                <c:ptCount val="5"/>
                <c:pt idx="0">
                  <c:v>Employee1</c:v>
                </c:pt>
                <c:pt idx="1">
                  <c:v>Employee2</c:v>
                </c:pt>
                <c:pt idx="2">
                  <c:v>Employee3</c:v>
                </c:pt>
                <c:pt idx="3">
                  <c:v>Employee5</c:v>
                </c:pt>
                <c:pt idx="4">
                  <c:v>Employee4</c:v>
                </c:pt>
              </c:strCache>
            </c:strRef>
          </c:cat>
          <c:val>
            <c:numRef>
              <c:f>Processing!$H$20:$H$24</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240F-4C35-9862-695DC29149E9}"/>
            </c:ext>
          </c:extLst>
        </c:ser>
        <c:ser>
          <c:idx val="1"/>
          <c:order val="1"/>
          <c:spPr>
            <a:gradFill>
              <a:gsLst>
                <a:gs pos="0">
                  <a:srgbClr val="1AFFD5"/>
                </a:gs>
                <a:gs pos="100000">
                  <a:srgbClr val="00E5BB"/>
                </a:gs>
              </a:gsLst>
              <a:path path="circle">
                <a:fillToRect r="100000" b="100000"/>
              </a:path>
            </a:gradFill>
            <a:ln>
              <a:noFill/>
            </a:ln>
            <a:effectLst/>
          </c:spPr>
          <c:invertIfNegative val="0"/>
          <c:cat>
            <c:strRef>
              <c:f>Processing!$G$20:$G$24</c:f>
              <c:strCache>
                <c:ptCount val="5"/>
                <c:pt idx="0">
                  <c:v>Employee1</c:v>
                </c:pt>
                <c:pt idx="1">
                  <c:v>Employee2</c:v>
                </c:pt>
                <c:pt idx="2">
                  <c:v>Employee3</c:v>
                </c:pt>
                <c:pt idx="3">
                  <c:v>Employee5</c:v>
                </c:pt>
                <c:pt idx="4">
                  <c:v>Employee4</c:v>
                </c:pt>
              </c:strCache>
            </c:strRef>
          </c:cat>
          <c:val>
            <c:numRef>
              <c:f>Processing!$I$20:$I$24</c:f>
              <c:numCache>
                <c:formatCode>0%</c:formatCode>
                <c:ptCount val="5"/>
                <c:pt idx="0">
                  <c:v>1</c:v>
                </c:pt>
                <c:pt idx="1">
                  <c:v>0.93650793650793651</c:v>
                </c:pt>
                <c:pt idx="2">
                  <c:v>0.79365079365079361</c:v>
                </c:pt>
                <c:pt idx="3">
                  <c:v>0.69841269841269837</c:v>
                </c:pt>
                <c:pt idx="4">
                  <c:v>0.67460317460317465</c:v>
                </c:pt>
              </c:numCache>
            </c:numRef>
          </c:val>
          <c:extLst>
            <c:ext xmlns:c16="http://schemas.microsoft.com/office/drawing/2014/chart" uri="{C3380CC4-5D6E-409C-BE32-E72D297353CC}">
              <c16:uniqueId val="{00000001-240F-4C35-9862-695DC29149E9}"/>
            </c:ext>
          </c:extLst>
        </c:ser>
        <c:ser>
          <c:idx val="2"/>
          <c:order val="2"/>
          <c:spPr>
            <a:gradFill>
              <a:gsLst>
                <a:gs pos="0">
                  <a:srgbClr val="F9F871"/>
                </a:gs>
                <a:gs pos="100000">
                  <a:srgbClr val="E34F10"/>
                </a:gs>
              </a:gsLst>
              <a:path path="circle">
                <a:fillToRect l="100000" b="100000"/>
              </a:path>
            </a:gradFill>
            <a:ln>
              <a:noFill/>
            </a:ln>
            <a:effectLst/>
          </c:spPr>
          <c:invertIfNegative val="0"/>
          <c:cat>
            <c:strRef>
              <c:f>Processing!$G$20:$G$24</c:f>
              <c:strCache>
                <c:ptCount val="5"/>
                <c:pt idx="0">
                  <c:v>Employee1</c:v>
                </c:pt>
                <c:pt idx="1">
                  <c:v>Employee2</c:v>
                </c:pt>
                <c:pt idx="2">
                  <c:v>Employee3</c:v>
                </c:pt>
                <c:pt idx="3">
                  <c:v>Employee5</c:v>
                </c:pt>
                <c:pt idx="4">
                  <c:v>Employee4</c:v>
                </c:pt>
              </c:strCache>
            </c:strRef>
          </c:cat>
          <c:val>
            <c:numRef>
              <c:f>Processing!$J$20:$J$24</c:f>
              <c:numCache>
                <c:formatCode>0%</c:formatCode>
                <c:ptCount val="5"/>
                <c:pt idx="0">
                  <c:v>0.53174603174603174</c:v>
                </c:pt>
                <c:pt idx="1">
                  <c:v>0.48305084745762711</c:v>
                </c:pt>
                <c:pt idx="2">
                  <c:v>0.45</c:v>
                </c:pt>
                <c:pt idx="3">
                  <c:v>0.30681818181818182</c:v>
                </c:pt>
                <c:pt idx="4">
                  <c:v>0.58823529411764708</c:v>
                </c:pt>
              </c:numCache>
            </c:numRef>
          </c:val>
          <c:extLst>
            <c:ext xmlns:c16="http://schemas.microsoft.com/office/drawing/2014/chart" uri="{C3380CC4-5D6E-409C-BE32-E72D297353CC}">
              <c16:uniqueId val="{00000002-240F-4C35-9862-695DC29149E9}"/>
            </c:ext>
          </c:extLst>
        </c:ser>
        <c:dLbls>
          <c:showLegendKey val="0"/>
          <c:showVal val="0"/>
          <c:showCatName val="0"/>
          <c:showSerName val="0"/>
          <c:showPercent val="0"/>
          <c:showBubbleSize val="0"/>
        </c:dLbls>
        <c:gapWidth val="333"/>
        <c:overlap val="100"/>
        <c:axId val="159147311"/>
        <c:axId val="159125231"/>
      </c:barChart>
      <c:catAx>
        <c:axId val="15914731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159125231"/>
        <c:crosses val="autoZero"/>
        <c:auto val="1"/>
        <c:lblAlgn val="ctr"/>
        <c:lblOffset val="100"/>
        <c:noMultiLvlLbl val="0"/>
      </c:catAx>
      <c:valAx>
        <c:axId val="159125231"/>
        <c:scaling>
          <c:orientation val="minMax"/>
        </c:scaling>
        <c:delete val="1"/>
        <c:axPos val="t"/>
        <c:numFmt formatCode="0%" sourceLinked="1"/>
        <c:majorTickMark val="none"/>
        <c:minorTickMark val="none"/>
        <c:tickLblPos val="nextTo"/>
        <c:crossAx val="1591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1AFFD5"/>
                  </a:gs>
                  <a:gs pos="100000">
                    <a:srgbClr val="00E5BB"/>
                  </a:gs>
                </a:gsLst>
                <a:path path="circle">
                  <a:fillToRect r="100000" b="100000"/>
                </a:path>
              </a:gradFill>
              <a:ln w="19050">
                <a:noFill/>
              </a:ln>
              <a:effectLst/>
            </c:spPr>
            <c:extLst>
              <c:ext xmlns:c16="http://schemas.microsoft.com/office/drawing/2014/chart" uri="{C3380CC4-5D6E-409C-BE32-E72D297353CC}">
                <c16:uniqueId val="{00000001-DF19-4F0C-9C5D-06636F8C5F14}"/>
              </c:ext>
            </c:extLst>
          </c:dPt>
          <c:dPt>
            <c:idx val="1"/>
            <c:bubble3D val="0"/>
            <c:spPr>
              <a:gradFill>
                <a:gsLst>
                  <a:gs pos="0">
                    <a:srgbClr val="73F46A"/>
                  </a:gs>
                  <a:gs pos="100000">
                    <a:srgbClr val="00C74D"/>
                  </a:gs>
                </a:gsLst>
                <a:path path="circle">
                  <a:fillToRect r="100000" b="100000"/>
                </a:path>
              </a:gradFill>
              <a:ln w="19050">
                <a:noFill/>
              </a:ln>
              <a:effectLst/>
            </c:spPr>
            <c:extLst>
              <c:ext xmlns:c16="http://schemas.microsoft.com/office/drawing/2014/chart" uri="{C3380CC4-5D6E-409C-BE32-E72D297353CC}">
                <c16:uniqueId val="{00000003-DF19-4F0C-9C5D-06636F8C5F14}"/>
              </c:ext>
            </c:extLst>
          </c:dPt>
          <c:dPt>
            <c:idx val="2"/>
            <c:bubble3D val="0"/>
            <c:spPr>
              <a:gradFill>
                <a:gsLst>
                  <a:gs pos="0">
                    <a:srgbClr val="8F72FF"/>
                  </a:gs>
                  <a:gs pos="100000">
                    <a:srgbClr val="673FFF"/>
                  </a:gs>
                </a:gsLst>
                <a:path path="circle">
                  <a:fillToRect l="100000" b="100000"/>
                </a:path>
              </a:gradFill>
              <a:ln w="19050">
                <a:noFill/>
              </a:ln>
              <a:effectLst/>
            </c:spPr>
            <c:extLst>
              <c:ext xmlns:c16="http://schemas.microsoft.com/office/drawing/2014/chart" uri="{C3380CC4-5D6E-409C-BE32-E72D297353CC}">
                <c16:uniqueId val="{00000005-DF19-4F0C-9C5D-06636F8C5F14}"/>
              </c:ext>
            </c:extLst>
          </c:dPt>
          <c:dPt>
            <c:idx val="3"/>
            <c:bubble3D val="0"/>
            <c:spPr>
              <a:noFill/>
              <a:ln w="19050">
                <a:noFill/>
              </a:ln>
              <a:effectLst/>
            </c:spPr>
            <c:extLst>
              <c:ext xmlns:c16="http://schemas.microsoft.com/office/drawing/2014/chart" uri="{C3380CC4-5D6E-409C-BE32-E72D297353CC}">
                <c16:uniqueId val="{00000007-DF19-4F0C-9C5D-06636F8C5F14}"/>
              </c:ext>
            </c:extLst>
          </c:dPt>
          <c:dPt>
            <c:idx val="4"/>
            <c:bubble3D val="0"/>
            <c:spPr>
              <a:gradFill>
                <a:gsLst>
                  <a:gs pos="0">
                    <a:srgbClr val="F9F871"/>
                  </a:gs>
                  <a:gs pos="100000">
                    <a:srgbClr val="E34F10"/>
                  </a:gs>
                </a:gsLst>
                <a:path path="circle">
                  <a:fillToRect l="100000" b="100000"/>
                </a:path>
              </a:gradFill>
              <a:ln w="19050">
                <a:noFill/>
              </a:ln>
              <a:effectLst/>
            </c:spPr>
            <c:extLst>
              <c:ext xmlns:c16="http://schemas.microsoft.com/office/drawing/2014/chart" uri="{C3380CC4-5D6E-409C-BE32-E72D297353CC}">
                <c16:uniqueId val="{00000009-DF19-4F0C-9C5D-06636F8C5F14}"/>
              </c:ext>
            </c:extLst>
          </c:dPt>
          <c:val>
            <c:numRef>
              <c:f>Processing!$H$11:$H$15</c:f>
              <c:numCache>
                <c:formatCode>0%</c:formatCode>
                <c:ptCount val="5"/>
                <c:pt idx="0">
                  <c:v>0.31</c:v>
                </c:pt>
                <c:pt idx="1">
                  <c:v>0.3</c:v>
                </c:pt>
                <c:pt idx="2">
                  <c:v>0.12</c:v>
                </c:pt>
                <c:pt idx="3">
                  <c:v>7.0000000000000007E-2</c:v>
                </c:pt>
                <c:pt idx="4">
                  <c:v>0.19999999999999996</c:v>
                </c:pt>
              </c:numCache>
            </c:numRef>
          </c:val>
          <c:extLst>
            <c:ext xmlns:c16="http://schemas.microsoft.com/office/drawing/2014/chart" uri="{C3380CC4-5D6E-409C-BE32-E72D297353CC}">
              <c16:uniqueId val="{0000000A-DF19-4F0C-9C5D-06636F8C5F14}"/>
            </c:ext>
          </c:extLst>
        </c:ser>
        <c:ser>
          <c:idx val="1"/>
          <c:order val="1"/>
          <c:spPr>
            <a:ln>
              <a:noFill/>
            </a:ln>
          </c:spPr>
          <c:dPt>
            <c:idx val="0"/>
            <c:bubble3D val="0"/>
            <c:spPr>
              <a:gradFill>
                <a:gsLst>
                  <a:gs pos="0">
                    <a:srgbClr val="1AFFD5"/>
                  </a:gs>
                  <a:gs pos="100000">
                    <a:srgbClr val="00E5BB"/>
                  </a:gs>
                </a:gsLst>
                <a:path path="circle">
                  <a:fillToRect r="100000" b="100000"/>
                </a:path>
              </a:gradFill>
              <a:ln w="19050">
                <a:noFill/>
              </a:ln>
              <a:effectLst/>
            </c:spPr>
            <c:extLst>
              <c:ext xmlns:c16="http://schemas.microsoft.com/office/drawing/2014/chart" uri="{C3380CC4-5D6E-409C-BE32-E72D297353CC}">
                <c16:uniqueId val="{0000000C-DF19-4F0C-9C5D-06636F8C5F14}"/>
              </c:ext>
            </c:extLst>
          </c:dPt>
          <c:dPt>
            <c:idx val="1"/>
            <c:bubble3D val="0"/>
            <c:spPr>
              <a:gradFill>
                <a:gsLst>
                  <a:gs pos="0">
                    <a:srgbClr val="73F46A"/>
                  </a:gs>
                  <a:gs pos="100000">
                    <a:srgbClr val="00C74D"/>
                  </a:gs>
                </a:gsLst>
                <a:path path="circle">
                  <a:fillToRect r="100000" b="100000"/>
                </a:path>
              </a:gradFill>
              <a:ln w="19050">
                <a:noFill/>
              </a:ln>
              <a:effectLst/>
            </c:spPr>
            <c:extLst>
              <c:ext xmlns:c16="http://schemas.microsoft.com/office/drawing/2014/chart" uri="{C3380CC4-5D6E-409C-BE32-E72D297353CC}">
                <c16:uniqueId val="{0000000E-DF19-4F0C-9C5D-06636F8C5F14}"/>
              </c:ext>
            </c:extLst>
          </c:dPt>
          <c:dPt>
            <c:idx val="2"/>
            <c:bubble3D val="0"/>
            <c:spPr>
              <a:gradFill>
                <a:gsLst>
                  <a:gs pos="0">
                    <a:srgbClr val="8F72FF"/>
                  </a:gs>
                  <a:gs pos="100000">
                    <a:srgbClr val="673FFF"/>
                  </a:gs>
                </a:gsLst>
                <a:path path="circle">
                  <a:fillToRect l="100000" b="100000"/>
                </a:path>
              </a:gradFill>
              <a:ln w="19050">
                <a:noFill/>
              </a:ln>
              <a:effectLst/>
            </c:spPr>
            <c:extLst>
              <c:ext xmlns:c16="http://schemas.microsoft.com/office/drawing/2014/chart" uri="{C3380CC4-5D6E-409C-BE32-E72D297353CC}">
                <c16:uniqueId val="{00000010-DF19-4F0C-9C5D-06636F8C5F14}"/>
              </c:ext>
            </c:extLst>
          </c:dPt>
          <c:dPt>
            <c:idx val="3"/>
            <c:bubble3D val="0"/>
            <c:spPr>
              <a:noFill/>
              <a:ln w="19050">
                <a:noFill/>
              </a:ln>
              <a:effectLst/>
            </c:spPr>
            <c:extLst>
              <c:ext xmlns:c16="http://schemas.microsoft.com/office/drawing/2014/chart" uri="{C3380CC4-5D6E-409C-BE32-E72D297353CC}">
                <c16:uniqueId val="{00000012-DF19-4F0C-9C5D-06636F8C5F14}"/>
              </c:ext>
            </c:extLst>
          </c:dPt>
          <c:dPt>
            <c:idx val="4"/>
            <c:bubble3D val="0"/>
            <c:spPr>
              <a:gradFill>
                <a:gsLst>
                  <a:gs pos="0">
                    <a:srgbClr val="F9F871"/>
                  </a:gs>
                  <a:gs pos="100000">
                    <a:srgbClr val="E34F10"/>
                  </a:gs>
                </a:gsLst>
                <a:path path="circle">
                  <a:fillToRect l="100000" b="100000"/>
                </a:path>
              </a:gradFill>
              <a:ln w="19050">
                <a:noFill/>
              </a:ln>
              <a:effectLst/>
            </c:spPr>
            <c:extLst>
              <c:ext xmlns:c16="http://schemas.microsoft.com/office/drawing/2014/chart" uri="{C3380CC4-5D6E-409C-BE32-E72D297353CC}">
                <c16:uniqueId val="{00000014-DF19-4F0C-9C5D-06636F8C5F14}"/>
              </c:ext>
            </c:extLst>
          </c:dPt>
          <c:val>
            <c:numRef>
              <c:f>Processing!$I$11:$I$15</c:f>
              <c:numCache>
                <c:formatCode>0%</c:formatCode>
                <c:ptCount val="5"/>
                <c:pt idx="0">
                  <c:v>0.31</c:v>
                </c:pt>
                <c:pt idx="1">
                  <c:v>0.3</c:v>
                </c:pt>
                <c:pt idx="2">
                  <c:v>0.12</c:v>
                </c:pt>
                <c:pt idx="3">
                  <c:v>7.0000000000000007E-2</c:v>
                </c:pt>
                <c:pt idx="4">
                  <c:v>0.19999999999999996</c:v>
                </c:pt>
              </c:numCache>
            </c:numRef>
          </c:val>
          <c:extLst>
            <c:ext xmlns:c16="http://schemas.microsoft.com/office/drawing/2014/chart" uri="{C3380CC4-5D6E-409C-BE32-E72D297353CC}">
              <c16:uniqueId val="{00000015-DF19-4F0C-9C5D-06636F8C5F14}"/>
            </c:ext>
          </c:extLst>
        </c:ser>
        <c:ser>
          <c:idx val="2"/>
          <c:order val="2"/>
          <c:spPr>
            <a:ln>
              <a:noFill/>
            </a:ln>
          </c:spPr>
          <c:dPt>
            <c:idx val="0"/>
            <c:bubble3D val="0"/>
            <c:spPr>
              <a:gradFill>
                <a:gsLst>
                  <a:gs pos="0">
                    <a:srgbClr val="1AFFD5"/>
                  </a:gs>
                  <a:gs pos="100000">
                    <a:srgbClr val="00E5BB"/>
                  </a:gs>
                </a:gsLst>
                <a:path path="circle">
                  <a:fillToRect r="100000" b="100000"/>
                </a:path>
              </a:gradFill>
              <a:ln w="19050">
                <a:noFill/>
              </a:ln>
              <a:effectLst/>
            </c:spPr>
            <c:extLst>
              <c:ext xmlns:c16="http://schemas.microsoft.com/office/drawing/2014/chart" uri="{C3380CC4-5D6E-409C-BE32-E72D297353CC}">
                <c16:uniqueId val="{00000017-DF19-4F0C-9C5D-06636F8C5F14}"/>
              </c:ext>
            </c:extLst>
          </c:dPt>
          <c:dPt>
            <c:idx val="1"/>
            <c:bubble3D val="0"/>
            <c:spPr>
              <a:noFill/>
              <a:ln w="19050">
                <a:noFill/>
              </a:ln>
              <a:effectLst/>
            </c:spPr>
            <c:extLst>
              <c:ext xmlns:c16="http://schemas.microsoft.com/office/drawing/2014/chart" uri="{C3380CC4-5D6E-409C-BE32-E72D297353CC}">
                <c16:uniqueId val="{00000019-DF19-4F0C-9C5D-06636F8C5F14}"/>
              </c:ext>
            </c:extLst>
          </c:dPt>
          <c:dPt>
            <c:idx val="2"/>
            <c:bubble3D val="0"/>
            <c:spPr>
              <a:gradFill>
                <a:gsLst>
                  <a:gs pos="0">
                    <a:srgbClr val="8F72FF"/>
                  </a:gs>
                  <a:gs pos="100000">
                    <a:srgbClr val="673FFF"/>
                  </a:gs>
                </a:gsLst>
                <a:path path="circle">
                  <a:fillToRect l="100000" b="100000"/>
                </a:path>
              </a:gradFill>
              <a:ln w="19050">
                <a:noFill/>
              </a:ln>
              <a:effectLst/>
            </c:spPr>
            <c:extLst>
              <c:ext xmlns:c16="http://schemas.microsoft.com/office/drawing/2014/chart" uri="{C3380CC4-5D6E-409C-BE32-E72D297353CC}">
                <c16:uniqueId val="{0000001B-DF19-4F0C-9C5D-06636F8C5F14}"/>
              </c:ext>
            </c:extLst>
          </c:dPt>
          <c:dPt>
            <c:idx val="3"/>
            <c:bubble3D val="0"/>
            <c:spPr>
              <a:noFill/>
              <a:ln w="19050">
                <a:noFill/>
              </a:ln>
              <a:effectLst/>
            </c:spPr>
            <c:extLst>
              <c:ext xmlns:c16="http://schemas.microsoft.com/office/drawing/2014/chart" uri="{C3380CC4-5D6E-409C-BE32-E72D297353CC}">
                <c16:uniqueId val="{0000001D-DF19-4F0C-9C5D-06636F8C5F14}"/>
              </c:ext>
            </c:extLst>
          </c:dPt>
          <c:dPt>
            <c:idx val="4"/>
            <c:bubble3D val="0"/>
            <c:spPr>
              <a:noFill/>
              <a:ln w="19050">
                <a:noFill/>
              </a:ln>
              <a:effectLst/>
            </c:spPr>
            <c:extLst>
              <c:ext xmlns:c16="http://schemas.microsoft.com/office/drawing/2014/chart" uri="{C3380CC4-5D6E-409C-BE32-E72D297353CC}">
                <c16:uniqueId val="{0000001F-DF19-4F0C-9C5D-06636F8C5F14}"/>
              </c:ext>
            </c:extLst>
          </c:dPt>
          <c:val>
            <c:numRef>
              <c:f>Processing!$J$11:$J$15</c:f>
              <c:numCache>
                <c:formatCode>0%</c:formatCode>
                <c:ptCount val="5"/>
                <c:pt idx="0">
                  <c:v>0.31</c:v>
                </c:pt>
                <c:pt idx="1">
                  <c:v>0.3</c:v>
                </c:pt>
                <c:pt idx="2">
                  <c:v>0.12</c:v>
                </c:pt>
                <c:pt idx="3">
                  <c:v>7.0000000000000007E-2</c:v>
                </c:pt>
                <c:pt idx="4">
                  <c:v>0.19999999999999996</c:v>
                </c:pt>
              </c:numCache>
            </c:numRef>
          </c:val>
          <c:extLst>
            <c:ext xmlns:c16="http://schemas.microsoft.com/office/drawing/2014/chart" uri="{C3380CC4-5D6E-409C-BE32-E72D297353CC}">
              <c16:uniqueId val="{00000020-DF19-4F0C-9C5D-06636F8C5F14}"/>
            </c:ext>
          </c:extLst>
        </c:ser>
        <c:dLbls>
          <c:showLegendKey val="0"/>
          <c:showVal val="0"/>
          <c:showCatName val="0"/>
          <c:showSerName val="0"/>
          <c:showPercent val="0"/>
          <c:showBubbleSize val="0"/>
          <c:showLeaderLines val="1"/>
        </c:dLbls>
        <c:firstSliceAng val="25"/>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48223580990923"/>
          <c:y val="8.7057747267059768E-2"/>
          <c:w val="0.84289579026085448"/>
          <c:h val="0.74459114017605976"/>
        </c:manualLayout>
      </c:layout>
      <c:areaChart>
        <c:grouping val="standard"/>
        <c:varyColors val="0"/>
        <c:ser>
          <c:idx val="2"/>
          <c:order val="2"/>
          <c:spPr>
            <a:gradFill>
              <a:gsLst>
                <a:gs pos="0">
                  <a:srgbClr val="00E5BB">
                    <a:alpha val="30000"/>
                  </a:srgbClr>
                </a:gs>
                <a:gs pos="100000">
                  <a:srgbClr val="00E5BB">
                    <a:alpha val="0"/>
                  </a:srgbClr>
                </a:gs>
              </a:gsLst>
              <a:lin ang="5400000" scaled="1"/>
            </a:gradFill>
            <a:ln>
              <a:noFill/>
            </a:ln>
            <a:effectLst/>
          </c:spPr>
          <c:val>
            <c:numRef>
              <c:f>Processing!$N$2:$N$8</c:f>
              <c:numCache>
                <c:formatCode>General</c:formatCode>
                <c:ptCount val="7"/>
                <c:pt idx="0">
                  <c:v>28363</c:v>
                </c:pt>
                <c:pt idx="1">
                  <c:v>32559</c:v>
                </c:pt>
                <c:pt idx="2">
                  <c:v>2859</c:v>
                </c:pt>
                <c:pt idx="3">
                  <c:v>44682</c:v>
                </c:pt>
                <c:pt idx="4">
                  <c:v>89111</c:v>
                </c:pt>
                <c:pt idx="5">
                  <c:v>8141</c:v>
                </c:pt>
                <c:pt idx="6">
                  <c:v>34285</c:v>
                </c:pt>
              </c:numCache>
            </c:numRef>
          </c:val>
          <c:extLst>
            <c:ext xmlns:c16="http://schemas.microsoft.com/office/drawing/2014/chart" uri="{C3380CC4-5D6E-409C-BE32-E72D297353CC}">
              <c16:uniqueId val="{00000000-EC2C-48DE-B43B-3C4950B26FD8}"/>
            </c:ext>
          </c:extLst>
        </c:ser>
        <c:dLbls>
          <c:showLegendKey val="0"/>
          <c:showVal val="0"/>
          <c:showCatName val="0"/>
          <c:showSerName val="0"/>
          <c:showPercent val="0"/>
          <c:showBubbleSize val="0"/>
        </c:dLbls>
        <c:axId val="2050887824"/>
        <c:axId val="2050891664"/>
      </c:areaChart>
      <c:lineChart>
        <c:grouping val="standard"/>
        <c:varyColors val="0"/>
        <c:ser>
          <c:idx val="0"/>
          <c:order val="0"/>
          <c:spPr>
            <a:ln w="19050" cap="rnd">
              <a:solidFill>
                <a:srgbClr val="00E5BB"/>
              </a:solidFill>
              <a:round/>
            </a:ln>
            <a:effectLst>
              <a:outerShdw blurRad="50800" dist="38100" dir="5400000" algn="t" rotWithShape="0">
                <a:prstClr val="black">
                  <a:alpha val="40000"/>
                </a:prstClr>
              </a:outerShdw>
            </a:effectLst>
          </c:spPr>
          <c:marker>
            <c:symbol val="circle"/>
            <c:size val="5"/>
            <c:spPr>
              <a:solidFill>
                <a:srgbClr val="00E5BB"/>
              </a:solidFill>
              <a:ln w="9525">
                <a:solidFill>
                  <a:schemeClr val="accent1"/>
                </a:solidFill>
              </a:ln>
              <a:effectLst>
                <a:outerShdw blurRad="50800" dist="38100" dir="5400000" algn="t" rotWithShape="0">
                  <a:prstClr val="black">
                    <a:alpha val="40000"/>
                  </a:prstClr>
                </a:outerShdw>
              </a:effectLst>
            </c:spPr>
          </c:marker>
          <c:cat>
            <c:strRef>
              <c:f>Processing!$M$2:$M$8</c:f>
              <c:strCache>
                <c:ptCount val="7"/>
                <c:pt idx="0">
                  <c:v>SU</c:v>
                </c:pt>
                <c:pt idx="1">
                  <c:v>MO</c:v>
                </c:pt>
                <c:pt idx="2">
                  <c:v>TU</c:v>
                </c:pt>
                <c:pt idx="3">
                  <c:v>WE</c:v>
                </c:pt>
                <c:pt idx="4">
                  <c:v>TH</c:v>
                </c:pt>
                <c:pt idx="5">
                  <c:v>FR</c:v>
                </c:pt>
                <c:pt idx="6">
                  <c:v>SA</c:v>
                </c:pt>
              </c:strCache>
            </c:strRef>
          </c:cat>
          <c:val>
            <c:numRef>
              <c:f>Processing!$N$2:$N$8</c:f>
              <c:numCache>
                <c:formatCode>General</c:formatCode>
                <c:ptCount val="7"/>
                <c:pt idx="0">
                  <c:v>28363</c:v>
                </c:pt>
                <c:pt idx="1">
                  <c:v>32559</c:v>
                </c:pt>
                <c:pt idx="2">
                  <c:v>2859</c:v>
                </c:pt>
                <c:pt idx="3">
                  <c:v>44682</c:v>
                </c:pt>
                <c:pt idx="4">
                  <c:v>89111</c:v>
                </c:pt>
                <c:pt idx="5">
                  <c:v>8141</c:v>
                </c:pt>
                <c:pt idx="6">
                  <c:v>34285</c:v>
                </c:pt>
              </c:numCache>
            </c:numRef>
          </c:val>
          <c:smooth val="0"/>
          <c:extLst>
            <c:ext xmlns:c16="http://schemas.microsoft.com/office/drawing/2014/chart" uri="{C3380CC4-5D6E-409C-BE32-E72D297353CC}">
              <c16:uniqueId val="{00000001-EC2C-48DE-B43B-3C4950B26FD8}"/>
            </c:ext>
          </c:extLst>
        </c:ser>
        <c:ser>
          <c:idx val="1"/>
          <c:order val="1"/>
          <c:spPr>
            <a:ln w="19050" cap="rnd">
              <a:solidFill>
                <a:srgbClr val="F9F871"/>
              </a:solidFill>
              <a:round/>
            </a:ln>
            <a:effectLst>
              <a:outerShdw blurRad="50800" dist="38100" dir="5400000" algn="t" rotWithShape="0">
                <a:prstClr val="black">
                  <a:alpha val="40000"/>
                </a:prstClr>
              </a:outerShdw>
            </a:effectLst>
          </c:spPr>
          <c:marker>
            <c:symbol val="circle"/>
            <c:size val="5"/>
            <c:spPr>
              <a:solidFill>
                <a:srgbClr val="F9F871"/>
              </a:solidFill>
              <a:ln w="9525">
                <a:noFill/>
              </a:ln>
              <a:effectLst>
                <a:outerShdw blurRad="50800" dist="38100" dir="5400000" algn="t" rotWithShape="0">
                  <a:prstClr val="black">
                    <a:alpha val="40000"/>
                  </a:prstClr>
                </a:outerShdw>
              </a:effectLst>
            </c:spPr>
          </c:marker>
          <c:cat>
            <c:strRef>
              <c:f>Processing!$M$2:$M$8</c:f>
              <c:strCache>
                <c:ptCount val="7"/>
                <c:pt idx="0">
                  <c:v>SU</c:v>
                </c:pt>
                <c:pt idx="1">
                  <c:v>MO</c:v>
                </c:pt>
                <c:pt idx="2">
                  <c:v>TU</c:v>
                </c:pt>
                <c:pt idx="3">
                  <c:v>WE</c:v>
                </c:pt>
                <c:pt idx="4">
                  <c:v>TH</c:v>
                </c:pt>
                <c:pt idx="5">
                  <c:v>FR</c:v>
                </c:pt>
                <c:pt idx="6">
                  <c:v>SA</c:v>
                </c:pt>
              </c:strCache>
            </c:strRef>
          </c:cat>
          <c:val>
            <c:numRef>
              <c:f>Processing!$O$2:$O$8</c:f>
              <c:numCache>
                <c:formatCode>General</c:formatCode>
                <c:ptCount val="7"/>
                <c:pt idx="0">
                  <c:v>19542</c:v>
                </c:pt>
                <c:pt idx="1">
                  <c:v>42659</c:v>
                </c:pt>
                <c:pt idx="2">
                  <c:v>40003</c:v>
                </c:pt>
                <c:pt idx="3">
                  <c:v>20115</c:v>
                </c:pt>
                <c:pt idx="4">
                  <c:v>40007</c:v>
                </c:pt>
                <c:pt idx="5">
                  <c:v>40200</c:v>
                </c:pt>
                <c:pt idx="6">
                  <c:v>33754</c:v>
                </c:pt>
              </c:numCache>
            </c:numRef>
          </c:val>
          <c:smooth val="0"/>
          <c:extLst>
            <c:ext xmlns:c16="http://schemas.microsoft.com/office/drawing/2014/chart" uri="{C3380CC4-5D6E-409C-BE32-E72D297353CC}">
              <c16:uniqueId val="{00000002-EC2C-48DE-B43B-3C4950B26FD8}"/>
            </c:ext>
          </c:extLst>
        </c:ser>
        <c:dLbls>
          <c:showLegendKey val="0"/>
          <c:showVal val="0"/>
          <c:showCatName val="0"/>
          <c:showSerName val="0"/>
          <c:showPercent val="0"/>
          <c:showBubbleSize val="0"/>
        </c:dLbls>
        <c:marker val="1"/>
        <c:smooth val="0"/>
        <c:axId val="2050887824"/>
        <c:axId val="2050891664"/>
      </c:lineChart>
      <c:catAx>
        <c:axId val="20508878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ru-RU"/>
          </a:p>
        </c:txPr>
        <c:crossAx val="2050891664"/>
        <c:crosses val="autoZero"/>
        <c:auto val="1"/>
        <c:lblAlgn val="ctr"/>
        <c:lblOffset val="100"/>
        <c:noMultiLvlLbl val="0"/>
      </c:catAx>
      <c:valAx>
        <c:axId val="2050891664"/>
        <c:scaling>
          <c:orientation val="minMax"/>
        </c:scaling>
        <c:delete val="0"/>
        <c:axPos val="l"/>
        <c:numFmt formatCode="[&gt;=1000]\ #.#,&quot;K&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ru-RU"/>
          </a:p>
        </c:txPr>
        <c:crossAx val="205088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F9F871"/>
                  </a:gs>
                  <a:gs pos="100000">
                    <a:srgbClr val="E34F10"/>
                  </a:gs>
                </a:gsLst>
                <a:path path="circle">
                  <a:fillToRect l="100000" b="100000"/>
                </a:path>
                <a:tileRect t="-100000" r="-100000"/>
              </a:gradFill>
              <a:ln w="19050">
                <a:noFill/>
              </a:ln>
              <a:effectLst/>
            </c:spPr>
            <c:extLst>
              <c:ext xmlns:c16="http://schemas.microsoft.com/office/drawing/2014/chart" uri="{C3380CC4-5D6E-409C-BE32-E72D297353CC}">
                <c16:uniqueId val="{00000089-A5B4-4101-B410-4947E46F481E}"/>
              </c:ext>
            </c:extLst>
          </c:dPt>
          <c:dPt>
            <c:idx val="1"/>
            <c:bubble3D val="0"/>
            <c:spPr>
              <a:solidFill>
                <a:schemeClr val="tx1"/>
              </a:solidFill>
              <a:ln w="19050">
                <a:noFill/>
              </a:ln>
              <a:effectLst/>
            </c:spPr>
            <c:extLst>
              <c:ext xmlns:c16="http://schemas.microsoft.com/office/drawing/2014/chart" uri="{C3380CC4-5D6E-409C-BE32-E72D297353CC}">
                <c16:uniqueId val="{0000008B-A5B4-4101-B410-4947E46F481E}"/>
              </c:ext>
            </c:extLst>
          </c:dPt>
          <c:dPt>
            <c:idx val="2"/>
            <c:bubble3D val="0"/>
            <c:spPr>
              <a:noFill/>
              <a:ln w="19050">
                <a:noFill/>
              </a:ln>
              <a:effectLst/>
            </c:spPr>
            <c:extLst>
              <c:ext xmlns:c16="http://schemas.microsoft.com/office/drawing/2014/chart" uri="{C3380CC4-5D6E-409C-BE32-E72D297353CC}">
                <c16:uniqueId val="{0000008D-A5B4-4101-B410-4947E46F481E}"/>
              </c:ext>
            </c:extLst>
          </c:dPt>
          <c:val>
            <c:numRef>
              <c:f>Processing!$B$6:$B$8</c:f>
              <c:numCache>
                <c:formatCode>0.00%</c:formatCode>
                <c:ptCount val="3"/>
                <c:pt idx="0">
                  <c:v>0.75</c:v>
                </c:pt>
                <c:pt idx="1">
                  <c:v>0</c:v>
                </c:pt>
                <c:pt idx="2">
                  <c:v>0.25</c:v>
                </c:pt>
              </c:numCache>
            </c:numRef>
          </c:val>
          <c:extLst>
            <c:ext xmlns:c16="http://schemas.microsoft.com/office/drawing/2014/chart" uri="{C3380CC4-5D6E-409C-BE32-E72D297353CC}">
              <c16:uniqueId val="{0000008E-A5B4-4101-B410-4947E46F481E}"/>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91-A5B4-4101-B410-4947E46F481E}"/>
              </c:ext>
            </c:extLst>
          </c:dPt>
          <c:dPt>
            <c:idx val="1"/>
            <c:bubble3D val="0"/>
            <c:spPr>
              <a:noFill/>
              <a:ln w="19050">
                <a:noFill/>
              </a:ln>
              <a:effectLst/>
            </c:spPr>
            <c:extLst>
              <c:ext xmlns:c16="http://schemas.microsoft.com/office/drawing/2014/chart" uri="{C3380CC4-5D6E-409C-BE32-E72D297353CC}">
                <c16:uniqueId val="{00000093-A5B4-4101-B410-4947E46F481E}"/>
              </c:ext>
            </c:extLst>
          </c:dPt>
          <c:dPt>
            <c:idx val="2"/>
            <c:bubble3D val="0"/>
            <c:spPr>
              <a:noFill/>
              <a:ln w="19050">
                <a:noFill/>
              </a:ln>
              <a:effectLst/>
            </c:spPr>
            <c:extLst>
              <c:ext xmlns:c16="http://schemas.microsoft.com/office/drawing/2014/chart" uri="{C3380CC4-5D6E-409C-BE32-E72D297353CC}">
                <c16:uniqueId val="{00000095-A5B4-4101-B410-4947E46F481E}"/>
              </c:ext>
            </c:extLst>
          </c:dPt>
          <c:val>
            <c:numRef>
              <c:f>Processing!$C$6:$C$8</c:f>
              <c:numCache>
                <c:formatCode>0.00%</c:formatCode>
                <c:ptCount val="3"/>
                <c:pt idx="0">
                  <c:v>0.75</c:v>
                </c:pt>
                <c:pt idx="1">
                  <c:v>0</c:v>
                </c:pt>
                <c:pt idx="2">
                  <c:v>0.25</c:v>
                </c:pt>
              </c:numCache>
            </c:numRef>
          </c:val>
          <c:extLst>
            <c:ext xmlns:c16="http://schemas.microsoft.com/office/drawing/2014/chart" uri="{C3380CC4-5D6E-409C-BE32-E72D297353CC}">
              <c16:uniqueId val="{00000096-A5B4-4101-B410-4947E46F481E}"/>
            </c:ext>
          </c:extLst>
        </c:ser>
        <c:ser>
          <c:idx val="2"/>
          <c:order val="2"/>
          <c:spPr>
            <a:ln>
              <a:noFill/>
            </a:ln>
          </c:spPr>
          <c:dPt>
            <c:idx val="0"/>
            <c:bubble3D val="0"/>
            <c:spPr>
              <a:gradFill>
                <a:gsLst>
                  <a:gs pos="0">
                    <a:srgbClr val="73F46A"/>
                  </a:gs>
                  <a:gs pos="100000">
                    <a:srgbClr val="00C74D"/>
                  </a:gs>
                </a:gsLst>
                <a:path path="circle">
                  <a:fillToRect r="100000" b="100000"/>
                </a:path>
              </a:gradFill>
              <a:ln w="19050">
                <a:noFill/>
              </a:ln>
              <a:effectLst/>
            </c:spPr>
            <c:extLst>
              <c:ext xmlns:c16="http://schemas.microsoft.com/office/drawing/2014/chart" uri="{C3380CC4-5D6E-409C-BE32-E72D297353CC}">
                <c16:uniqueId val="{00000099-A5B4-4101-B410-4947E46F481E}"/>
              </c:ext>
            </c:extLst>
          </c:dPt>
          <c:dPt>
            <c:idx val="1"/>
            <c:bubble3D val="0"/>
            <c:spPr>
              <a:solidFill>
                <a:schemeClr val="tx1"/>
              </a:solidFill>
              <a:ln w="19050">
                <a:noFill/>
              </a:ln>
              <a:effectLst/>
            </c:spPr>
            <c:extLst>
              <c:ext xmlns:c16="http://schemas.microsoft.com/office/drawing/2014/chart" uri="{C3380CC4-5D6E-409C-BE32-E72D297353CC}">
                <c16:uniqueId val="{0000009B-A5B4-4101-B410-4947E46F481E}"/>
              </c:ext>
            </c:extLst>
          </c:dPt>
          <c:dPt>
            <c:idx val="2"/>
            <c:bubble3D val="0"/>
            <c:spPr>
              <a:noFill/>
              <a:ln w="19050">
                <a:noFill/>
              </a:ln>
              <a:effectLst/>
            </c:spPr>
            <c:extLst>
              <c:ext xmlns:c16="http://schemas.microsoft.com/office/drawing/2014/chart" uri="{C3380CC4-5D6E-409C-BE32-E72D297353CC}">
                <c16:uniqueId val="{0000009D-A5B4-4101-B410-4947E46F481E}"/>
              </c:ext>
            </c:extLst>
          </c:dPt>
          <c:val>
            <c:numRef>
              <c:f>Processing!$D$6:$D$8</c:f>
              <c:numCache>
                <c:formatCode>0.00%</c:formatCode>
                <c:ptCount val="3"/>
                <c:pt idx="0">
                  <c:v>0.47516286644951133</c:v>
                </c:pt>
                <c:pt idx="1">
                  <c:v>0.27483713355048867</c:v>
                </c:pt>
                <c:pt idx="2">
                  <c:v>0.25</c:v>
                </c:pt>
              </c:numCache>
            </c:numRef>
          </c:val>
          <c:extLst>
            <c:ext xmlns:c16="http://schemas.microsoft.com/office/drawing/2014/chart" uri="{C3380CC4-5D6E-409C-BE32-E72D297353CC}">
              <c16:uniqueId val="{0000009E-A5B4-4101-B410-4947E46F481E}"/>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A1-A5B4-4101-B410-4947E46F481E}"/>
              </c:ext>
            </c:extLst>
          </c:dPt>
          <c:dPt>
            <c:idx val="1"/>
            <c:bubble3D val="0"/>
            <c:spPr>
              <a:noFill/>
              <a:ln w="19050">
                <a:noFill/>
              </a:ln>
              <a:effectLst/>
            </c:spPr>
            <c:extLst>
              <c:ext xmlns:c16="http://schemas.microsoft.com/office/drawing/2014/chart" uri="{C3380CC4-5D6E-409C-BE32-E72D297353CC}">
                <c16:uniqueId val="{000000A3-A5B4-4101-B410-4947E46F481E}"/>
              </c:ext>
            </c:extLst>
          </c:dPt>
          <c:dPt>
            <c:idx val="2"/>
            <c:bubble3D val="0"/>
            <c:spPr>
              <a:noFill/>
              <a:ln w="19050">
                <a:noFill/>
              </a:ln>
              <a:effectLst/>
            </c:spPr>
            <c:extLst>
              <c:ext xmlns:c16="http://schemas.microsoft.com/office/drawing/2014/chart" uri="{C3380CC4-5D6E-409C-BE32-E72D297353CC}">
                <c16:uniqueId val="{000000A5-A5B4-4101-B410-4947E46F481E}"/>
              </c:ext>
            </c:extLst>
          </c:dPt>
          <c:val>
            <c:numRef>
              <c:f>Processing!$E$6:$E$8</c:f>
              <c:numCache>
                <c:formatCode>0.00%</c:formatCode>
                <c:ptCount val="3"/>
                <c:pt idx="0">
                  <c:v>0.47516286644951133</c:v>
                </c:pt>
                <c:pt idx="1">
                  <c:v>0.27483713355048867</c:v>
                </c:pt>
                <c:pt idx="2">
                  <c:v>0.25</c:v>
                </c:pt>
              </c:numCache>
            </c:numRef>
          </c:val>
          <c:extLst>
            <c:ext xmlns:c16="http://schemas.microsoft.com/office/drawing/2014/chart" uri="{C3380CC4-5D6E-409C-BE32-E72D297353CC}">
              <c16:uniqueId val="{000000A6-A5B4-4101-B410-4947E46F481E}"/>
            </c:ext>
          </c:extLst>
        </c:ser>
        <c:ser>
          <c:idx val="4"/>
          <c:order val="4"/>
          <c:spPr>
            <a:ln>
              <a:noFill/>
            </a:ln>
          </c:spPr>
          <c:dPt>
            <c:idx val="0"/>
            <c:bubble3D val="0"/>
            <c:spPr>
              <a:gradFill flip="none" rotWithShape="1">
                <a:gsLst>
                  <a:gs pos="0">
                    <a:srgbClr val="1AFFD5"/>
                  </a:gs>
                  <a:gs pos="100000">
                    <a:srgbClr val="00E5BB"/>
                  </a:gs>
                </a:gsLst>
                <a:path path="circle">
                  <a:fillToRect r="100000" b="100000"/>
                </a:path>
                <a:tileRect l="-100000" t="-100000"/>
              </a:gradFill>
              <a:ln w="19050">
                <a:noFill/>
              </a:ln>
              <a:effectLst/>
            </c:spPr>
            <c:extLst>
              <c:ext xmlns:c16="http://schemas.microsoft.com/office/drawing/2014/chart" uri="{C3380CC4-5D6E-409C-BE32-E72D297353CC}">
                <c16:uniqueId val="{000000A9-A5B4-4101-B410-4947E46F481E}"/>
              </c:ext>
            </c:extLst>
          </c:dPt>
          <c:dPt>
            <c:idx val="1"/>
            <c:bubble3D val="0"/>
            <c:spPr>
              <a:solidFill>
                <a:schemeClr val="tx1"/>
              </a:solidFill>
              <a:ln w="19050">
                <a:noFill/>
              </a:ln>
              <a:effectLst/>
            </c:spPr>
            <c:extLst>
              <c:ext xmlns:c16="http://schemas.microsoft.com/office/drawing/2014/chart" uri="{C3380CC4-5D6E-409C-BE32-E72D297353CC}">
                <c16:uniqueId val="{000000AB-A5B4-4101-B410-4947E46F481E}"/>
              </c:ext>
            </c:extLst>
          </c:dPt>
          <c:dPt>
            <c:idx val="2"/>
            <c:bubble3D val="0"/>
            <c:spPr>
              <a:noFill/>
              <a:ln w="19050">
                <a:noFill/>
              </a:ln>
              <a:effectLst/>
            </c:spPr>
            <c:extLst>
              <c:ext xmlns:c16="http://schemas.microsoft.com/office/drawing/2014/chart" uri="{C3380CC4-5D6E-409C-BE32-E72D297353CC}">
                <c16:uniqueId val="{000000AD-A5B4-4101-B410-4947E46F481E}"/>
              </c:ext>
            </c:extLst>
          </c:dPt>
          <c:val>
            <c:numRef>
              <c:f>Processing!$F$6:$F$8</c:f>
              <c:numCache>
                <c:formatCode>0.00%</c:formatCode>
                <c:ptCount val="3"/>
                <c:pt idx="0">
                  <c:v>0.7415513029315961</c:v>
                </c:pt>
                <c:pt idx="1">
                  <c:v>8.4486970684038987E-3</c:v>
                </c:pt>
                <c:pt idx="2">
                  <c:v>0.25</c:v>
                </c:pt>
              </c:numCache>
            </c:numRef>
          </c:val>
          <c:extLst>
            <c:ext xmlns:c16="http://schemas.microsoft.com/office/drawing/2014/chart" uri="{C3380CC4-5D6E-409C-BE32-E72D297353CC}">
              <c16:uniqueId val="{000000AE-A5B4-4101-B410-4947E46F481E}"/>
            </c:ext>
          </c:extLst>
        </c:ser>
        <c:ser>
          <c:idx val="5"/>
          <c:order val="5"/>
          <c:spPr>
            <a:noFill/>
            <a:ln>
              <a:noFill/>
            </a:ln>
          </c:spPr>
          <c:dPt>
            <c:idx val="0"/>
            <c:bubble3D val="0"/>
            <c:spPr>
              <a:noFill/>
              <a:ln w="19050">
                <a:noFill/>
              </a:ln>
              <a:effectLst/>
            </c:spPr>
            <c:extLst>
              <c:ext xmlns:c16="http://schemas.microsoft.com/office/drawing/2014/chart" uri="{C3380CC4-5D6E-409C-BE32-E72D297353CC}">
                <c16:uniqueId val="{000000B1-A5B4-4101-B410-4947E46F481E}"/>
              </c:ext>
            </c:extLst>
          </c:dPt>
          <c:dPt>
            <c:idx val="1"/>
            <c:bubble3D val="0"/>
            <c:spPr>
              <a:noFill/>
              <a:ln w="19050">
                <a:noFill/>
              </a:ln>
              <a:effectLst/>
            </c:spPr>
            <c:extLst>
              <c:ext xmlns:c16="http://schemas.microsoft.com/office/drawing/2014/chart" uri="{C3380CC4-5D6E-409C-BE32-E72D297353CC}">
                <c16:uniqueId val="{000000B3-A5B4-4101-B410-4947E46F481E}"/>
              </c:ext>
            </c:extLst>
          </c:dPt>
          <c:dPt>
            <c:idx val="2"/>
            <c:bubble3D val="0"/>
            <c:spPr>
              <a:noFill/>
              <a:ln w="19050">
                <a:noFill/>
              </a:ln>
              <a:effectLst/>
            </c:spPr>
            <c:extLst>
              <c:ext xmlns:c16="http://schemas.microsoft.com/office/drawing/2014/chart" uri="{C3380CC4-5D6E-409C-BE32-E72D297353CC}">
                <c16:uniqueId val="{000000B5-A5B4-4101-B410-4947E46F481E}"/>
              </c:ext>
            </c:extLst>
          </c:dPt>
          <c:val>
            <c:numRef>
              <c:f>Processing!$G$6:$G$8</c:f>
              <c:numCache>
                <c:formatCode>0.00%</c:formatCode>
                <c:ptCount val="3"/>
                <c:pt idx="0">
                  <c:v>0.7415513029315961</c:v>
                </c:pt>
                <c:pt idx="1">
                  <c:v>8.4486970684038987E-3</c:v>
                </c:pt>
                <c:pt idx="2">
                  <c:v>0.25</c:v>
                </c:pt>
              </c:numCache>
            </c:numRef>
          </c:val>
          <c:extLst>
            <c:ext xmlns:c16="http://schemas.microsoft.com/office/drawing/2014/chart" uri="{C3380CC4-5D6E-409C-BE32-E72D297353CC}">
              <c16:uniqueId val="{000000B6-A5B4-4101-B410-4947E46F481E}"/>
            </c:ext>
          </c:extLst>
        </c:ser>
        <c:ser>
          <c:idx val="6"/>
          <c:order val="6"/>
          <c:spPr>
            <a:ln>
              <a:noFill/>
            </a:ln>
          </c:spPr>
          <c:dPt>
            <c:idx val="0"/>
            <c:bubble3D val="0"/>
            <c:spPr>
              <a:gradFill flip="none" rotWithShape="1">
                <a:gsLst>
                  <a:gs pos="0">
                    <a:srgbClr val="178BFF"/>
                  </a:gs>
                  <a:gs pos="100000">
                    <a:srgbClr val="4AA5FF"/>
                  </a:gs>
                </a:gsLst>
                <a:path path="circle">
                  <a:fillToRect l="100000" t="100000"/>
                </a:path>
                <a:tileRect r="-100000" b="-100000"/>
              </a:gradFill>
              <a:ln w="19050">
                <a:noFill/>
              </a:ln>
              <a:effectLst/>
            </c:spPr>
            <c:extLst>
              <c:ext xmlns:c16="http://schemas.microsoft.com/office/drawing/2014/chart" uri="{C3380CC4-5D6E-409C-BE32-E72D297353CC}">
                <c16:uniqueId val="{000000B9-A5B4-4101-B410-4947E46F481E}"/>
              </c:ext>
            </c:extLst>
          </c:dPt>
          <c:dPt>
            <c:idx val="1"/>
            <c:bubble3D val="0"/>
            <c:spPr>
              <a:solidFill>
                <a:schemeClr val="tx1"/>
              </a:solidFill>
              <a:ln w="19050">
                <a:noFill/>
              </a:ln>
              <a:effectLst/>
            </c:spPr>
            <c:extLst>
              <c:ext xmlns:c16="http://schemas.microsoft.com/office/drawing/2014/chart" uri="{C3380CC4-5D6E-409C-BE32-E72D297353CC}">
                <c16:uniqueId val="{000000BB-A5B4-4101-B410-4947E46F481E}"/>
              </c:ext>
            </c:extLst>
          </c:dPt>
          <c:dPt>
            <c:idx val="2"/>
            <c:bubble3D val="0"/>
            <c:spPr>
              <a:noFill/>
              <a:ln w="19050">
                <a:noFill/>
              </a:ln>
              <a:effectLst/>
            </c:spPr>
            <c:extLst>
              <c:ext xmlns:c16="http://schemas.microsoft.com/office/drawing/2014/chart" uri="{C3380CC4-5D6E-409C-BE32-E72D297353CC}">
                <c16:uniqueId val="{000000BD-A5B4-4101-B410-4947E46F481E}"/>
              </c:ext>
            </c:extLst>
          </c:dPt>
          <c:val>
            <c:numRef>
              <c:f>Processing!$H$6:$H$8</c:f>
              <c:numCache>
                <c:formatCode>0.00%</c:formatCode>
                <c:ptCount val="3"/>
                <c:pt idx="0">
                  <c:v>0.68139250814332242</c:v>
                </c:pt>
                <c:pt idx="1">
                  <c:v>6.8607491856677583E-2</c:v>
                </c:pt>
                <c:pt idx="2">
                  <c:v>0.25</c:v>
                </c:pt>
              </c:numCache>
            </c:numRef>
          </c:val>
          <c:extLst>
            <c:ext xmlns:c16="http://schemas.microsoft.com/office/drawing/2014/chart" uri="{C3380CC4-5D6E-409C-BE32-E72D297353CC}">
              <c16:uniqueId val="{000000BE-A5B4-4101-B410-4947E46F481E}"/>
            </c:ext>
          </c:extLst>
        </c:ser>
        <c:ser>
          <c:idx val="7"/>
          <c:order val="7"/>
          <c:spPr>
            <a:noFill/>
            <a:ln>
              <a:noFill/>
            </a:ln>
          </c:spPr>
          <c:dPt>
            <c:idx val="0"/>
            <c:bubble3D val="0"/>
            <c:spPr>
              <a:noFill/>
              <a:ln w="19050">
                <a:noFill/>
              </a:ln>
              <a:effectLst/>
            </c:spPr>
            <c:extLst>
              <c:ext xmlns:c16="http://schemas.microsoft.com/office/drawing/2014/chart" uri="{C3380CC4-5D6E-409C-BE32-E72D297353CC}">
                <c16:uniqueId val="{000000C1-A5B4-4101-B410-4947E46F481E}"/>
              </c:ext>
            </c:extLst>
          </c:dPt>
          <c:dPt>
            <c:idx val="1"/>
            <c:bubble3D val="0"/>
            <c:spPr>
              <a:noFill/>
              <a:ln w="19050">
                <a:noFill/>
              </a:ln>
              <a:effectLst/>
            </c:spPr>
            <c:extLst>
              <c:ext xmlns:c16="http://schemas.microsoft.com/office/drawing/2014/chart" uri="{C3380CC4-5D6E-409C-BE32-E72D297353CC}">
                <c16:uniqueId val="{000000C3-A5B4-4101-B410-4947E46F481E}"/>
              </c:ext>
            </c:extLst>
          </c:dPt>
          <c:dPt>
            <c:idx val="2"/>
            <c:bubble3D val="0"/>
            <c:spPr>
              <a:noFill/>
              <a:ln w="19050">
                <a:noFill/>
              </a:ln>
              <a:effectLst/>
            </c:spPr>
            <c:extLst>
              <c:ext xmlns:c16="http://schemas.microsoft.com/office/drawing/2014/chart" uri="{C3380CC4-5D6E-409C-BE32-E72D297353CC}">
                <c16:uniqueId val="{000000C5-A5B4-4101-B410-4947E46F481E}"/>
              </c:ext>
            </c:extLst>
          </c:dPt>
          <c:val>
            <c:numRef>
              <c:f>Processing!$I$6:$I$8</c:f>
              <c:numCache>
                <c:formatCode>0.00%</c:formatCode>
                <c:ptCount val="3"/>
                <c:pt idx="0">
                  <c:v>0.68139250814332242</c:v>
                </c:pt>
                <c:pt idx="1">
                  <c:v>6.8607491856677583E-2</c:v>
                </c:pt>
                <c:pt idx="2">
                  <c:v>0.25</c:v>
                </c:pt>
              </c:numCache>
            </c:numRef>
          </c:val>
          <c:extLst>
            <c:ext xmlns:c16="http://schemas.microsoft.com/office/drawing/2014/chart" uri="{C3380CC4-5D6E-409C-BE32-E72D297353CC}">
              <c16:uniqueId val="{000000C6-A5B4-4101-B410-4947E46F481E}"/>
            </c:ext>
          </c:extLst>
        </c:ser>
        <c:ser>
          <c:idx val="8"/>
          <c:order val="8"/>
          <c:spPr>
            <a:ln>
              <a:noFill/>
            </a:ln>
          </c:spPr>
          <c:dPt>
            <c:idx val="0"/>
            <c:bubble3D val="0"/>
            <c:spPr>
              <a:gradFill>
                <a:gsLst>
                  <a:gs pos="0">
                    <a:srgbClr val="8F72FF"/>
                  </a:gs>
                  <a:gs pos="100000">
                    <a:srgbClr val="673FFF"/>
                  </a:gs>
                </a:gsLst>
                <a:path path="circle">
                  <a:fillToRect l="100000" b="100000"/>
                </a:path>
              </a:gradFill>
              <a:ln w="22225" cap="rnd">
                <a:noFill/>
                <a:round/>
              </a:ln>
              <a:effectLst/>
            </c:spPr>
            <c:extLst>
              <c:ext xmlns:c16="http://schemas.microsoft.com/office/drawing/2014/chart" uri="{C3380CC4-5D6E-409C-BE32-E72D297353CC}">
                <c16:uniqueId val="{000000C9-A5B4-4101-B410-4947E46F481E}"/>
              </c:ext>
            </c:extLst>
          </c:dPt>
          <c:dPt>
            <c:idx val="1"/>
            <c:bubble3D val="0"/>
            <c:spPr>
              <a:solidFill>
                <a:schemeClr val="tx1"/>
              </a:solidFill>
              <a:ln w="19050">
                <a:noFill/>
              </a:ln>
              <a:effectLst/>
            </c:spPr>
            <c:extLst>
              <c:ext xmlns:c16="http://schemas.microsoft.com/office/drawing/2014/chart" uri="{C3380CC4-5D6E-409C-BE32-E72D297353CC}">
                <c16:uniqueId val="{000000CB-A5B4-4101-B410-4947E46F481E}"/>
              </c:ext>
            </c:extLst>
          </c:dPt>
          <c:dPt>
            <c:idx val="2"/>
            <c:bubble3D val="0"/>
            <c:spPr>
              <a:noFill/>
              <a:ln w="19050">
                <a:noFill/>
              </a:ln>
              <a:effectLst/>
            </c:spPr>
            <c:extLst>
              <c:ext xmlns:c16="http://schemas.microsoft.com/office/drawing/2014/chart" uri="{C3380CC4-5D6E-409C-BE32-E72D297353CC}">
                <c16:uniqueId val="{000000CD-A5B4-4101-B410-4947E46F481E}"/>
              </c:ext>
            </c:extLst>
          </c:dPt>
          <c:val>
            <c:numRef>
              <c:f>Processing!$J$6:$J$8</c:f>
              <c:numCache>
                <c:formatCode>0.00%</c:formatCode>
                <c:ptCount val="3"/>
                <c:pt idx="0">
                  <c:v>0.62561074918566772</c:v>
                </c:pt>
                <c:pt idx="1">
                  <c:v>0.12438925081433228</c:v>
                </c:pt>
                <c:pt idx="2">
                  <c:v>0.25</c:v>
                </c:pt>
              </c:numCache>
            </c:numRef>
          </c:val>
          <c:extLst>
            <c:ext xmlns:c16="http://schemas.microsoft.com/office/drawing/2014/chart" uri="{C3380CC4-5D6E-409C-BE32-E72D297353CC}">
              <c16:uniqueId val="{000000CE-A5B4-4101-B410-4947E46F481E}"/>
            </c:ext>
          </c:extLst>
        </c:ser>
        <c:dLbls>
          <c:showLegendKey val="0"/>
          <c:showVal val="0"/>
          <c:showCatName val="0"/>
          <c:showSerName val="0"/>
          <c:showPercent val="0"/>
          <c:showBubbleSize val="0"/>
          <c:showLeaderLines val="1"/>
        </c:dLbls>
        <c:firstSliceAng val="180"/>
        <c:holeSize val="5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gradFill>
                <a:gsLst>
                  <a:gs pos="0">
                    <a:srgbClr val="1AFFD5"/>
                  </a:gs>
                  <a:gs pos="100000">
                    <a:srgbClr val="00E5BB"/>
                  </a:gs>
                </a:gsLst>
                <a:path path="circle">
                  <a:fillToRect r="100000" b="100000"/>
                </a:path>
              </a:gradFill>
              <a:ln>
                <a:noFill/>
              </a:ln>
              <a:effectLst/>
            </c:spPr>
            <c:extLst>
              <c:ext xmlns:c16="http://schemas.microsoft.com/office/drawing/2014/chart" uri="{C3380CC4-5D6E-409C-BE32-E72D297353CC}">
                <c16:uniqueId val="{00000003-E715-4242-8536-B5D60250DF8F}"/>
              </c:ext>
            </c:extLst>
          </c:dPt>
          <c:dPt>
            <c:idx val="1"/>
            <c:invertIfNegative val="0"/>
            <c:bubble3D val="0"/>
            <c:spPr>
              <a:gradFill flip="none" rotWithShape="1">
                <a:gsLst>
                  <a:gs pos="0">
                    <a:srgbClr val="FF0000"/>
                  </a:gs>
                  <a:gs pos="100000">
                    <a:srgbClr val="F35737"/>
                  </a:gs>
                </a:gsLst>
                <a:lin ang="0" scaled="0"/>
                <a:tileRect/>
              </a:gradFill>
              <a:ln>
                <a:noFill/>
              </a:ln>
              <a:effectLst/>
            </c:spPr>
            <c:extLst>
              <c:ext xmlns:c16="http://schemas.microsoft.com/office/drawing/2014/chart" uri="{C3380CC4-5D6E-409C-BE32-E72D297353CC}">
                <c16:uniqueId val="{00000004-E715-4242-8536-B5D60250DF8F}"/>
              </c:ext>
            </c:extLst>
          </c:dPt>
          <c:dPt>
            <c:idx val="2"/>
            <c:invertIfNegative val="0"/>
            <c:bubble3D val="0"/>
            <c:spPr>
              <a:gradFill>
                <a:gsLst>
                  <a:gs pos="0">
                    <a:srgbClr val="8F72FF"/>
                  </a:gs>
                  <a:gs pos="100000">
                    <a:srgbClr val="673FFF"/>
                  </a:gs>
                </a:gsLst>
                <a:path path="circle">
                  <a:fillToRect l="100000" b="100000"/>
                </a:path>
              </a:gradFill>
              <a:ln>
                <a:noFill/>
              </a:ln>
              <a:effectLst/>
            </c:spPr>
            <c:extLst>
              <c:ext xmlns:c16="http://schemas.microsoft.com/office/drawing/2014/chart" uri="{C3380CC4-5D6E-409C-BE32-E72D297353CC}">
                <c16:uniqueId val="{00000002-E715-4242-8536-B5D60250DF8F}"/>
              </c:ext>
            </c:extLst>
          </c:dPt>
          <c:cat>
            <c:strRef>
              <c:f>Processing!$I$2:$I$4</c:f>
              <c:strCache>
                <c:ptCount val="3"/>
                <c:pt idx="0">
                  <c:v>Basic Payroll</c:v>
                </c:pt>
                <c:pt idx="1">
                  <c:v>Bonuses and Prizes</c:v>
                </c:pt>
                <c:pt idx="2">
                  <c:v>Payroll Taxes &amp; Insurance</c:v>
                </c:pt>
              </c:strCache>
            </c:strRef>
          </c:cat>
          <c:val>
            <c:numRef>
              <c:f>Processing!$J$2:$J$4</c:f>
              <c:numCache>
                <c:formatCode>0%</c:formatCode>
                <c:ptCount val="3"/>
                <c:pt idx="0">
                  <c:v>0.36</c:v>
                </c:pt>
                <c:pt idx="1">
                  <c:v>0.45</c:v>
                </c:pt>
                <c:pt idx="2">
                  <c:v>0.18999999999999995</c:v>
                </c:pt>
              </c:numCache>
            </c:numRef>
          </c:val>
          <c:extLst>
            <c:ext xmlns:c16="http://schemas.microsoft.com/office/drawing/2014/chart" uri="{C3380CC4-5D6E-409C-BE32-E72D297353CC}">
              <c16:uniqueId val="{00000000-E715-4242-8536-B5D60250DF8F}"/>
            </c:ext>
          </c:extLst>
        </c:ser>
        <c:ser>
          <c:idx val="1"/>
          <c:order val="1"/>
          <c:spPr>
            <a:solidFill>
              <a:schemeClr val="tx1"/>
            </a:solidFill>
            <a:ln>
              <a:noFill/>
            </a:ln>
            <a:effectLst/>
          </c:spPr>
          <c:invertIfNegative val="0"/>
          <c:cat>
            <c:strRef>
              <c:f>Processing!$I$2:$I$4</c:f>
              <c:strCache>
                <c:ptCount val="3"/>
                <c:pt idx="0">
                  <c:v>Basic Payroll</c:v>
                </c:pt>
                <c:pt idx="1">
                  <c:v>Bonuses and Prizes</c:v>
                </c:pt>
                <c:pt idx="2">
                  <c:v>Payroll Taxes &amp; Insurance</c:v>
                </c:pt>
              </c:strCache>
            </c:strRef>
          </c:cat>
          <c:val>
            <c:numRef>
              <c:f>Processing!$K$2:$K$4</c:f>
              <c:numCache>
                <c:formatCode>0%</c:formatCode>
                <c:ptCount val="3"/>
                <c:pt idx="0">
                  <c:v>0.64</c:v>
                </c:pt>
                <c:pt idx="1">
                  <c:v>0.55000000000000004</c:v>
                </c:pt>
                <c:pt idx="2">
                  <c:v>0.81</c:v>
                </c:pt>
              </c:numCache>
            </c:numRef>
          </c:val>
          <c:extLst>
            <c:ext xmlns:c16="http://schemas.microsoft.com/office/drawing/2014/chart" uri="{C3380CC4-5D6E-409C-BE32-E72D297353CC}">
              <c16:uniqueId val="{00000001-E715-4242-8536-B5D60250DF8F}"/>
            </c:ext>
          </c:extLst>
        </c:ser>
        <c:dLbls>
          <c:showLegendKey val="0"/>
          <c:showVal val="0"/>
          <c:showCatName val="0"/>
          <c:showSerName val="0"/>
          <c:showPercent val="0"/>
          <c:showBubbleSize val="0"/>
        </c:dLbls>
        <c:gapWidth val="500"/>
        <c:overlap val="100"/>
        <c:axId val="648895231"/>
        <c:axId val="648882751"/>
      </c:barChart>
      <c:catAx>
        <c:axId val="648895231"/>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648882751"/>
        <c:crosses val="autoZero"/>
        <c:auto val="1"/>
        <c:lblAlgn val="ctr"/>
        <c:lblOffset val="100"/>
        <c:noMultiLvlLbl val="0"/>
      </c:catAx>
      <c:valAx>
        <c:axId val="648882751"/>
        <c:scaling>
          <c:orientation val="minMax"/>
        </c:scaling>
        <c:delete val="1"/>
        <c:axPos val="t"/>
        <c:numFmt formatCode="0%" sourceLinked="1"/>
        <c:majorTickMark val="none"/>
        <c:minorTickMark val="none"/>
        <c:tickLblPos val="nextTo"/>
        <c:crossAx val="64889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322664"/>
            </a:solidFill>
            <a:ln w="12700">
              <a:solidFill>
                <a:srgbClr val="1B1B21"/>
              </a:solidFill>
            </a:ln>
            <a:effectLst/>
          </c:spPr>
          <c:invertIfNegative val="0"/>
          <c:val>
            <c:numRef>
              <c:f>Processing!$D$28:$G$28</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0-0B57-4B7C-94DF-B64A7F9298BE}"/>
            </c:ext>
          </c:extLst>
        </c:ser>
        <c:ser>
          <c:idx val="1"/>
          <c:order val="1"/>
          <c:spPr>
            <a:solidFill>
              <a:srgbClr val="673FFF"/>
            </a:solidFill>
            <a:ln w="12700">
              <a:solidFill>
                <a:srgbClr val="1B1B21"/>
              </a:solidFill>
            </a:ln>
            <a:effectLst/>
          </c:spPr>
          <c:invertIfNegative val="0"/>
          <c:val>
            <c:numRef>
              <c:f>Processing!$D$29:$G$29</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1-0B57-4B7C-94DF-B64A7F9298BE}"/>
            </c:ext>
          </c:extLst>
        </c:ser>
        <c:ser>
          <c:idx val="2"/>
          <c:order val="2"/>
          <c:spPr>
            <a:solidFill>
              <a:srgbClr val="178BFF"/>
            </a:solidFill>
            <a:ln w="12700">
              <a:solidFill>
                <a:srgbClr val="1B1B21"/>
              </a:solidFill>
            </a:ln>
            <a:effectLst/>
          </c:spPr>
          <c:invertIfNegative val="0"/>
          <c:val>
            <c:numRef>
              <c:f>Processing!$D$30:$G$30</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2-0B57-4B7C-94DF-B64A7F9298BE}"/>
            </c:ext>
          </c:extLst>
        </c:ser>
        <c:ser>
          <c:idx val="3"/>
          <c:order val="3"/>
          <c:spPr>
            <a:solidFill>
              <a:schemeClr val="bg1"/>
            </a:solidFill>
            <a:ln w="12700">
              <a:solidFill>
                <a:srgbClr val="1B1B21"/>
              </a:solidFill>
            </a:ln>
            <a:effectLst/>
          </c:spPr>
          <c:invertIfNegative val="0"/>
          <c:val>
            <c:numRef>
              <c:f>Processing!$D$31:$G$31</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3-0B57-4B7C-94DF-B64A7F9298BE}"/>
            </c:ext>
          </c:extLst>
        </c:ser>
        <c:ser>
          <c:idx val="4"/>
          <c:order val="4"/>
          <c:spPr>
            <a:solidFill>
              <a:srgbClr val="322664"/>
            </a:solidFill>
            <a:ln w="12700">
              <a:solidFill>
                <a:srgbClr val="1B1B21"/>
              </a:solidFill>
            </a:ln>
            <a:effectLst/>
          </c:spPr>
          <c:invertIfNegative val="0"/>
          <c:val>
            <c:numRef>
              <c:f>Processing!$D$32:$G$32</c:f>
              <c:numCache>
                <c:formatCode>General</c:formatCode>
                <c:ptCount val="4"/>
                <c:pt idx="0">
                  <c:v>0</c:v>
                </c:pt>
                <c:pt idx="1">
                  <c:v>1</c:v>
                </c:pt>
                <c:pt idx="2">
                  <c:v>1</c:v>
                </c:pt>
                <c:pt idx="3">
                  <c:v>0</c:v>
                </c:pt>
              </c:numCache>
            </c:numRef>
          </c:val>
          <c:extLst>
            <c:ext xmlns:c16="http://schemas.microsoft.com/office/drawing/2014/chart" uri="{C3380CC4-5D6E-409C-BE32-E72D297353CC}">
              <c16:uniqueId val="{00000004-0B57-4B7C-94DF-B64A7F9298BE}"/>
            </c:ext>
          </c:extLst>
        </c:ser>
        <c:ser>
          <c:idx val="5"/>
          <c:order val="5"/>
          <c:spPr>
            <a:solidFill>
              <a:srgbClr val="673FFF"/>
            </a:solidFill>
            <a:ln w="12700">
              <a:solidFill>
                <a:srgbClr val="1B1B21"/>
              </a:solidFill>
            </a:ln>
            <a:effectLst/>
          </c:spPr>
          <c:invertIfNegative val="0"/>
          <c:val>
            <c:numRef>
              <c:f>Processing!$D$33:$G$33</c:f>
              <c:numCache>
                <c:formatCode>General</c:formatCode>
                <c:ptCount val="4"/>
                <c:pt idx="0">
                  <c:v>1</c:v>
                </c:pt>
                <c:pt idx="1">
                  <c:v>0</c:v>
                </c:pt>
                <c:pt idx="2">
                  <c:v>0</c:v>
                </c:pt>
                <c:pt idx="3">
                  <c:v>1</c:v>
                </c:pt>
              </c:numCache>
            </c:numRef>
          </c:val>
          <c:extLst>
            <c:ext xmlns:c16="http://schemas.microsoft.com/office/drawing/2014/chart" uri="{C3380CC4-5D6E-409C-BE32-E72D297353CC}">
              <c16:uniqueId val="{00000005-0B57-4B7C-94DF-B64A7F9298BE}"/>
            </c:ext>
          </c:extLst>
        </c:ser>
        <c:ser>
          <c:idx val="6"/>
          <c:order val="6"/>
          <c:spPr>
            <a:solidFill>
              <a:srgbClr val="178BFF"/>
            </a:solidFill>
            <a:ln w="12700">
              <a:solidFill>
                <a:srgbClr val="1B1B21"/>
              </a:solidFill>
            </a:ln>
            <a:effectLst/>
          </c:spPr>
          <c:invertIfNegative val="0"/>
          <c:val>
            <c:numRef>
              <c:f>Processing!$D$34:$G$34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6-0B57-4B7C-94DF-B64A7F9298BE}"/>
            </c:ext>
          </c:extLst>
        </c:ser>
        <c:ser>
          <c:idx val="7"/>
          <c:order val="7"/>
          <c:spPr>
            <a:solidFill>
              <a:schemeClr val="bg1"/>
            </a:solidFill>
            <a:ln w="12700">
              <a:solidFill>
                <a:srgbClr val="1B1B21"/>
              </a:solidFill>
            </a:ln>
            <a:effectLst/>
          </c:spPr>
          <c:invertIfNegative val="0"/>
          <c:val>
            <c:numRef>
              <c:f>Processing!$D$35:$G$35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7-0B57-4B7C-94DF-B64A7F9298BE}"/>
            </c:ext>
          </c:extLst>
        </c:ser>
        <c:ser>
          <c:idx val="8"/>
          <c:order val="8"/>
          <c:spPr>
            <a:solidFill>
              <a:srgbClr val="322664"/>
            </a:solidFill>
            <a:ln w="12700">
              <a:solidFill>
                <a:srgbClr val="1B1B21"/>
              </a:solidFill>
            </a:ln>
            <a:effectLst/>
          </c:spPr>
          <c:invertIfNegative val="0"/>
          <c:val>
            <c:numRef>
              <c:f>Processing!$D$36:$G$36</c:f>
              <c:numCache>
                <c:formatCode>General</c:formatCode>
                <c:ptCount val="4"/>
                <c:pt idx="0">
                  <c:v>1</c:v>
                </c:pt>
                <c:pt idx="1">
                  <c:v>0</c:v>
                </c:pt>
                <c:pt idx="2">
                  <c:v>0</c:v>
                </c:pt>
                <c:pt idx="3">
                  <c:v>1</c:v>
                </c:pt>
              </c:numCache>
            </c:numRef>
          </c:val>
          <c:extLst>
            <c:ext xmlns:c16="http://schemas.microsoft.com/office/drawing/2014/chart" uri="{C3380CC4-5D6E-409C-BE32-E72D297353CC}">
              <c16:uniqueId val="{00000008-0B57-4B7C-94DF-B64A7F9298BE}"/>
            </c:ext>
          </c:extLst>
        </c:ser>
        <c:ser>
          <c:idx val="9"/>
          <c:order val="9"/>
          <c:spPr>
            <a:solidFill>
              <a:srgbClr val="673FFF"/>
            </a:solidFill>
            <a:ln w="12700">
              <a:solidFill>
                <a:srgbClr val="1B1B21"/>
              </a:solidFill>
            </a:ln>
            <a:effectLst/>
          </c:spPr>
          <c:invertIfNegative val="0"/>
          <c:val>
            <c:numRef>
              <c:f>Processing!$D$37:$G$37</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9-0B57-4B7C-94DF-B64A7F9298BE}"/>
            </c:ext>
          </c:extLst>
        </c:ser>
        <c:ser>
          <c:idx val="10"/>
          <c:order val="10"/>
          <c:spPr>
            <a:solidFill>
              <a:srgbClr val="178BFF"/>
            </a:solidFill>
            <a:ln w="12700">
              <a:solidFill>
                <a:srgbClr val="1B1B21"/>
              </a:solidFill>
            </a:ln>
            <a:effectLst/>
          </c:spPr>
          <c:invertIfNegative val="0"/>
          <c:val>
            <c:numRef>
              <c:f>Processing!$D$38:$G$38</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A-0B57-4B7C-94DF-B64A7F9298BE}"/>
            </c:ext>
          </c:extLst>
        </c:ser>
        <c:ser>
          <c:idx val="11"/>
          <c:order val="11"/>
          <c:spPr>
            <a:solidFill>
              <a:schemeClr val="bg1"/>
            </a:solidFill>
            <a:ln w="12700">
              <a:solidFill>
                <a:srgbClr val="1B1B21"/>
              </a:solidFill>
            </a:ln>
            <a:effectLst/>
          </c:spPr>
          <c:invertIfNegative val="0"/>
          <c:val>
            <c:numRef>
              <c:f>Processing!$D$39:$G$39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B-0B57-4B7C-94DF-B64A7F9298BE}"/>
            </c:ext>
          </c:extLst>
        </c:ser>
        <c:ser>
          <c:idx val="12"/>
          <c:order val="12"/>
          <c:spPr>
            <a:solidFill>
              <a:srgbClr val="322664"/>
            </a:solidFill>
            <a:ln w="12700">
              <a:solidFill>
                <a:srgbClr val="1B1B21"/>
              </a:solidFill>
            </a:ln>
            <a:effectLst/>
          </c:spPr>
          <c:invertIfNegative val="0"/>
          <c:val>
            <c:numRef>
              <c:f>Processing!$D$40:$G$40</c:f>
              <c:numCache>
                <c:formatCode>General</c:formatCode>
                <c:ptCount val="4"/>
                <c:pt idx="0">
                  <c:v>0</c:v>
                </c:pt>
                <c:pt idx="1">
                  <c:v>1</c:v>
                </c:pt>
                <c:pt idx="2">
                  <c:v>1</c:v>
                </c:pt>
                <c:pt idx="3">
                  <c:v>0</c:v>
                </c:pt>
              </c:numCache>
            </c:numRef>
          </c:val>
          <c:extLst>
            <c:ext xmlns:c16="http://schemas.microsoft.com/office/drawing/2014/chart" uri="{C3380CC4-5D6E-409C-BE32-E72D297353CC}">
              <c16:uniqueId val="{0000000C-0B57-4B7C-94DF-B64A7F9298BE}"/>
            </c:ext>
          </c:extLst>
        </c:ser>
        <c:ser>
          <c:idx val="13"/>
          <c:order val="13"/>
          <c:spPr>
            <a:solidFill>
              <a:srgbClr val="673FFF"/>
            </a:solidFill>
            <a:ln w="12700">
              <a:solidFill>
                <a:srgbClr val="1B1B21"/>
              </a:solidFill>
            </a:ln>
            <a:effectLst/>
          </c:spPr>
          <c:invertIfNegative val="0"/>
          <c:val>
            <c:numRef>
              <c:f>Processing!$D$41:$G$41</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D-0B57-4B7C-94DF-B64A7F9298BE}"/>
            </c:ext>
          </c:extLst>
        </c:ser>
        <c:ser>
          <c:idx val="14"/>
          <c:order val="14"/>
          <c:spPr>
            <a:solidFill>
              <a:srgbClr val="178BFF"/>
            </a:solidFill>
            <a:ln w="12700">
              <a:solidFill>
                <a:srgbClr val="1B1B21"/>
              </a:solidFill>
            </a:ln>
            <a:effectLst/>
          </c:spPr>
          <c:invertIfNegative val="0"/>
          <c:val>
            <c:numRef>
              <c:f>Processing!$D$42:$G$42</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0E-0B57-4B7C-94DF-B64A7F9298BE}"/>
            </c:ext>
          </c:extLst>
        </c:ser>
        <c:ser>
          <c:idx val="15"/>
          <c:order val="15"/>
          <c:spPr>
            <a:solidFill>
              <a:schemeClr val="bg1"/>
            </a:solidFill>
            <a:ln w="12700">
              <a:solidFill>
                <a:srgbClr val="1B1B21"/>
              </a:solidFill>
            </a:ln>
            <a:effectLst/>
          </c:spPr>
          <c:invertIfNegative val="0"/>
          <c:val>
            <c:numRef>
              <c:f>Processing!$D$43:$G$43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F-0B57-4B7C-94DF-B64A7F9298BE}"/>
            </c:ext>
          </c:extLst>
        </c:ser>
        <c:ser>
          <c:idx val="16"/>
          <c:order val="16"/>
          <c:spPr>
            <a:solidFill>
              <a:srgbClr val="322664"/>
            </a:solidFill>
            <a:ln w="12700">
              <a:solidFill>
                <a:srgbClr val="1B1B21"/>
              </a:solidFill>
            </a:ln>
            <a:effectLst/>
          </c:spPr>
          <c:invertIfNegative val="0"/>
          <c:val>
            <c:numRef>
              <c:f>Processing!$D$44:$G$44</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10-0B57-4B7C-94DF-B64A7F9298BE}"/>
            </c:ext>
          </c:extLst>
        </c:ser>
        <c:ser>
          <c:idx val="17"/>
          <c:order val="17"/>
          <c:spPr>
            <a:solidFill>
              <a:srgbClr val="673FFF"/>
            </a:solidFill>
            <a:ln w="12700">
              <a:solidFill>
                <a:srgbClr val="1B1B21"/>
              </a:solidFill>
            </a:ln>
            <a:effectLst/>
          </c:spPr>
          <c:invertIfNegative val="0"/>
          <c:val>
            <c:numRef>
              <c:f>Processing!$D$45:$G$45</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11-0B57-4B7C-94DF-B64A7F9298BE}"/>
            </c:ext>
          </c:extLst>
        </c:ser>
        <c:ser>
          <c:idx val="18"/>
          <c:order val="18"/>
          <c:spPr>
            <a:solidFill>
              <a:srgbClr val="178BFF"/>
            </a:solidFill>
            <a:ln w="12700">
              <a:solidFill>
                <a:srgbClr val="1B1B21"/>
              </a:solidFill>
            </a:ln>
            <a:effectLst/>
          </c:spPr>
          <c:invertIfNegative val="0"/>
          <c:val>
            <c:numRef>
              <c:f>Processing!$D$46:$G$46</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12-0B57-4B7C-94DF-B64A7F9298BE}"/>
            </c:ext>
          </c:extLst>
        </c:ser>
        <c:ser>
          <c:idx val="19"/>
          <c:order val="19"/>
          <c:spPr>
            <a:solidFill>
              <a:schemeClr val="bg1"/>
            </a:solidFill>
            <a:ln w="12700">
              <a:solidFill>
                <a:srgbClr val="1B1B21"/>
              </a:solidFill>
            </a:ln>
            <a:effectLst/>
          </c:spPr>
          <c:invertIfNegative val="0"/>
          <c:val>
            <c:numRef>
              <c:f>Processing!$D$47:$G$47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3-0B57-4B7C-94DF-B64A7F9298BE}"/>
            </c:ext>
          </c:extLst>
        </c:ser>
        <c:ser>
          <c:idx val="20"/>
          <c:order val="20"/>
          <c:spPr>
            <a:solidFill>
              <a:srgbClr val="322664"/>
            </a:solidFill>
            <a:ln w="12700">
              <a:solidFill>
                <a:srgbClr val="1B1B21"/>
              </a:solidFill>
            </a:ln>
            <a:effectLst/>
          </c:spPr>
          <c:invertIfNegative val="0"/>
          <c:val>
            <c:numRef>
              <c:f>Processing!$D$48:$G$48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4-0B57-4B7C-94DF-B64A7F9298BE}"/>
            </c:ext>
          </c:extLst>
        </c:ser>
        <c:ser>
          <c:idx val="21"/>
          <c:order val="21"/>
          <c:spPr>
            <a:solidFill>
              <a:srgbClr val="673FFF"/>
            </a:solidFill>
            <a:ln w="12700">
              <a:solidFill>
                <a:srgbClr val="1B1B21"/>
              </a:solidFill>
            </a:ln>
            <a:effectLst/>
          </c:spPr>
          <c:invertIfNegative val="0"/>
          <c:val>
            <c:numRef>
              <c:f>Processing!$D$49:$G$49</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15-0B57-4B7C-94DF-B64A7F9298BE}"/>
            </c:ext>
          </c:extLst>
        </c:ser>
        <c:ser>
          <c:idx val="22"/>
          <c:order val="22"/>
          <c:spPr>
            <a:solidFill>
              <a:srgbClr val="178BFF"/>
            </a:solidFill>
            <a:ln w="12700">
              <a:solidFill>
                <a:srgbClr val="1B1B21"/>
              </a:solidFill>
            </a:ln>
            <a:effectLst/>
          </c:spPr>
          <c:invertIfNegative val="0"/>
          <c:val>
            <c:numRef>
              <c:f>Processing!$D$50:$G$50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6-0B57-4B7C-94DF-B64A7F9298BE}"/>
            </c:ext>
          </c:extLst>
        </c:ser>
        <c:ser>
          <c:idx val="23"/>
          <c:order val="23"/>
          <c:spPr>
            <a:solidFill>
              <a:schemeClr val="bg1"/>
            </a:solidFill>
            <a:ln w="12700">
              <a:solidFill>
                <a:srgbClr val="1B1B21"/>
              </a:solidFill>
            </a:ln>
            <a:effectLst/>
          </c:spPr>
          <c:invertIfNegative val="0"/>
          <c:val>
            <c:numRef>
              <c:f>Processing!$D$51:$G$51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7-0B57-4B7C-94DF-B64A7F9298BE}"/>
            </c:ext>
          </c:extLst>
        </c:ser>
        <c:ser>
          <c:idx val="24"/>
          <c:order val="24"/>
          <c:spPr>
            <a:solidFill>
              <a:srgbClr val="322664"/>
            </a:solidFill>
            <a:ln w="12700">
              <a:solidFill>
                <a:srgbClr val="1B1B21"/>
              </a:solidFill>
            </a:ln>
            <a:effectLst/>
          </c:spPr>
          <c:invertIfNegative val="0"/>
          <c:val>
            <c:numRef>
              <c:f>Processing!$D$52:$G$52</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18-0B57-4B7C-94DF-B64A7F9298BE}"/>
            </c:ext>
          </c:extLst>
        </c:ser>
        <c:ser>
          <c:idx val="25"/>
          <c:order val="25"/>
          <c:spPr>
            <a:solidFill>
              <a:srgbClr val="673FFF"/>
            </a:solidFill>
            <a:ln w="12700">
              <a:solidFill>
                <a:srgbClr val="1B1B21"/>
              </a:solidFill>
            </a:ln>
            <a:effectLst/>
          </c:spPr>
          <c:invertIfNegative val="0"/>
          <c:val>
            <c:numRef>
              <c:f>Processing!$D$53:$G$53</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19-0B57-4B7C-94DF-B64A7F9298BE}"/>
            </c:ext>
          </c:extLst>
        </c:ser>
        <c:ser>
          <c:idx val="26"/>
          <c:order val="26"/>
          <c:spPr>
            <a:solidFill>
              <a:srgbClr val="178BFF"/>
            </a:solidFill>
            <a:ln w="12700">
              <a:solidFill>
                <a:srgbClr val="1B1B21"/>
              </a:solidFill>
            </a:ln>
            <a:effectLst/>
          </c:spPr>
          <c:invertIfNegative val="0"/>
          <c:val>
            <c:numRef>
              <c:f>Processing!$D$54:$G$54</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1A-0B57-4B7C-94DF-B64A7F9298BE}"/>
            </c:ext>
          </c:extLst>
        </c:ser>
        <c:ser>
          <c:idx val="27"/>
          <c:order val="27"/>
          <c:spPr>
            <a:solidFill>
              <a:schemeClr val="bg1"/>
            </a:solidFill>
            <a:ln w="12700">
              <a:solidFill>
                <a:srgbClr val="1B1B21"/>
              </a:solidFill>
            </a:ln>
            <a:effectLst/>
          </c:spPr>
          <c:invertIfNegative val="0"/>
          <c:val>
            <c:numRef>
              <c:f>Processing!$D$55:$G$55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B-0B57-4B7C-94DF-B64A7F9298BE}"/>
            </c:ext>
          </c:extLst>
        </c:ser>
        <c:ser>
          <c:idx val="28"/>
          <c:order val="28"/>
          <c:spPr>
            <a:solidFill>
              <a:srgbClr val="322664"/>
            </a:solidFill>
            <a:ln w="12700">
              <a:solidFill>
                <a:srgbClr val="1B1B21"/>
              </a:solidFill>
            </a:ln>
            <a:effectLst/>
          </c:spPr>
          <c:invertIfNegative val="0"/>
          <c:val>
            <c:numRef>
              <c:f>Processing!$D$56:$G$56</c:f>
              <c:numCache>
                <c:formatCode>General</c:formatCode>
                <c:ptCount val="4"/>
                <c:pt idx="0">
                  <c:v>1</c:v>
                </c:pt>
                <c:pt idx="1">
                  <c:v>0</c:v>
                </c:pt>
                <c:pt idx="2">
                  <c:v>1</c:v>
                </c:pt>
                <c:pt idx="3">
                  <c:v>0</c:v>
                </c:pt>
              </c:numCache>
            </c:numRef>
          </c:val>
          <c:extLst>
            <c:ext xmlns:c16="http://schemas.microsoft.com/office/drawing/2014/chart" uri="{C3380CC4-5D6E-409C-BE32-E72D297353CC}">
              <c16:uniqueId val="{0000001C-0B57-4B7C-94DF-B64A7F9298BE}"/>
            </c:ext>
          </c:extLst>
        </c:ser>
        <c:ser>
          <c:idx val="29"/>
          <c:order val="29"/>
          <c:spPr>
            <a:solidFill>
              <a:srgbClr val="673FFF"/>
            </a:solidFill>
            <a:ln w="12700">
              <a:solidFill>
                <a:srgbClr val="1B1B21"/>
              </a:solidFill>
            </a:ln>
            <a:effectLst/>
          </c:spPr>
          <c:invertIfNegative val="0"/>
          <c:val>
            <c:numRef>
              <c:f>Processing!$D$57:$G$57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D-0B57-4B7C-94DF-B64A7F9298BE}"/>
            </c:ext>
          </c:extLst>
        </c:ser>
        <c:ser>
          <c:idx val="30"/>
          <c:order val="30"/>
          <c:spPr>
            <a:solidFill>
              <a:srgbClr val="178BFF"/>
            </a:solidFill>
            <a:ln w="12700">
              <a:solidFill>
                <a:srgbClr val="1B1B21"/>
              </a:solidFill>
            </a:ln>
            <a:effectLst/>
          </c:spPr>
          <c:invertIfNegative val="0"/>
          <c:val>
            <c:numRef>
              <c:f>Processing!$D$58:$G$58</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1E-0B57-4B7C-94DF-B64A7F9298BE}"/>
            </c:ext>
          </c:extLst>
        </c:ser>
        <c:ser>
          <c:idx val="31"/>
          <c:order val="31"/>
          <c:spPr>
            <a:solidFill>
              <a:schemeClr val="bg1"/>
            </a:solidFill>
            <a:ln w="12700">
              <a:solidFill>
                <a:srgbClr val="1B1B21"/>
              </a:solidFill>
            </a:ln>
            <a:effectLst/>
          </c:spPr>
          <c:invertIfNegative val="0"/>
          <c:val>
            <c:numRef>
              <c:f>Processing!$D$59:$G$59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1F-0B57-4B7C-94DF-B64A7F9298BE}"/>
            </c:ext>
          </c:extLst>
        </c:ser>
        <c:ser>
          <c:idx val="32"/>
          <c:order val="32"/>
          <c:spPr>
            <a:solidFill>
              <a:srgbClr val="322664"/>
            </a:solidFill>
            <a:ln w="12700">
              <a:solidFill>
                <a:srgbClr val="1B1B21"/>
              </a:solidFill>
            </a:ln>
            <a:effectLst/>
          </c:spPr>
          <c:invertIfNegative val="0"/>
          <c:val>
            <c:numRef>
              <c:f>Processing!$D$60:$G$60</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20-0B57-4B7C-94DF-B64A7F9298BE}"/>
            </c:ext>
          </c:extLst>
        </c:ser>
        <c:ser>
          <c:idx val="33"/>
          <c:order val="33"/>
          <c:spPr>
            <a:solidFill>
              <a:srgbClr val="673FFF"/>
            </a:solidFill>
            <a:ln w="12700">
              <a:solidFill>
                <a:srgbClr val="1B1B21"/>
              </a:solidFill>
            </a:ln>
            <a:effectLst/>
          </c:spPr>
          <c:invertIfNegative val="0"/>
          <c:val>
            <c:numRef>
              <c:f>Processing!$D$61:$G$61</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21-0B57-4B7C-94DF-B64A7F9298BE}"/>
            </c:ext>
          </c:extLst>
        </c:ser>
        <c:ser>
          <c:idx val="34"/>
          <c:order val="34"/>
          <c:spPr>
            <a:solidFill>
              <a:srgbClr val="178BFF"/>
            </a:solidFill>
            <a:ln w="12700">
              <a:solidFill>
                <a:srgbClr val="1B1B21"/>
              </a:solidFill>
            </a:ln>
            <a:effectLst/>
          </c:spPr>
          <c:invertIfNegative val="0"/>
          <c:val>
            <c:numRef>
              <c:f>Processing!$D$62:$G$62</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22-0B57-4B7C-94DF-B64A7F9298BE}"/>
            </c:ext>
          </c:extLst>
        </c:ser>
        <c:ser>
          <c:idx val="35"/>
          <c:order val="35"/>
          <c:spPr>
            <a:solidFill>
              <a:schemeClr val="bg1"/>
            </a:solidFill>
            <a:ln w="12700">
              <a:solidFill>
                <a:srgbClr val="1B1B21"/>
              </a:solidFill>
            </a:ln>
            <a:effectLst/>
          </c:spPr>
          <c:invertIfNegative val="0"/>
          <c:val>
            <c:numRef>
              <c:f>Processing!$D$63:$G$63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3-0B57-4B7C-94DF-B64A7F9298BE}"/>
            </c:ext>
          </c:extLst>
        </c:ser>
        <c:ser>
          <c:idx val="36"/>
          <c:order val="36"/>
          <c:spPr>
            <a:solidFill>
              <a:srgbClr val="322664"/>
            </a:solidFill>
            <a:ln w="12700">
              <a:solidFill>
                <a:srgbClr val="1B1B21"/>
              </a:solidFill>
            </a:ln>
            <a:effectLst/>
          </c:spPr>
          <c:invertIfNegative val="0"/>
          <c:val>
            <c:numRef>
              <c:f>Processing!$D$64:$G$64</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24-0B57-4B7C-94DF-B64A7F9298BE}"/>
            </c:ext>
          </c:extLst>
        </c:ser>
        <c:ser>
          <c:idx val="37"/>
          <c:order val="37"/>
          <c:spPr>
            <a:solidFill>
              <a:srgbClr val="673FFF"/>
            </a:solidFill>
            <a:ln w="12700">
              <a:solidFill>
                <a:srgbClr val="1B1B21"/>
              </a:solidFill>
            </a:ln>
            <a:effectLst/>
          </c:spPr>
          <c:invertIfNegative val="0"/>
          <c:val>
            <c:numRef>
              <c:f>Processing!$D$65:$G$65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5-0B57-4B7C-94DF-B64A7F9298BE}"/>
            </c:ext>
          </c:extLst>
        </c:ser>
        <c:ser>
          <c:idx val="38"/>
          <c:order val="38"/>
          <c:spPr>
            <a:solidFill>
              <a:srgbClr val="178BFF"/>
            </a:solidFill>
            <a:ln w="12700">
              <a:solidFill>
                <a:srgbClr val="1B1B21"/>
              </a:solidFill>
            </a:ln>
            <a:effectLst/>
          </c:spPr>
          <c:invertIfNegative val="0"/>
          <c:val>
            <c:numRef>
              <c:f>Processing!$D$66:$G$66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6-0B57-4B7C-94DF-B64A7F9298BE}"/>
            </c:ext>
          </c:extLst>
        </c:ser>
        <c:ser>
          <c:idx val="39"/>
          <c:order val="39"/>
          <c:spPr>
            <a:solidFill>
              <a:schemeClr val="bg1"/>
            </a:solidFill>
            <a:ln w="12700">
              <a:solidFill>
                <a:srgbClr val="1B1B21"/>
              </a:solidFill>
            </a:ln>
            <a:effectLst/>
          </c:spPr>
          <c:invertIfNegative val="0"/>
          <c:val>
            <c:numRef>
              <c:f>Processing!$D$67:$G$67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7-0B57-4B7C-94DF-B64A7F9298BE}"/>
            </c:ext>
          </c:extLst>
        </c:ser>
        <c:ser>
          <c:idx val="40"/>
          <c:order val="40"/>
          <c:spPr>
            <a:solidFill>
              <a:srgbClr val="322664"/>
            </a:solidFill>
            <a:ln w="12700">
              <a:solidFill>
                <a:srgbClr val="1B1B21"/>
              </a:solidFill>
            </a:ln>
            <a:effectLst/>
          </c:spPr>
          <c:invertIfNegative val="0"/>
          <c:val>
            <c:numRef>
              <c:f>Processing!$D$68:$G$68</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28-0B57-4B7C-94DF-B64A7F9298BE}"/>
            </c:ext>
          </c:extLst>
        </c:ser>
        <c:ser>
          <c:idx val="41"/>
          <c:order val="41"/>
          <c:spPr>
            <a:solidFill>
              <a:srgbClr val="673FFF"/>
            </a:solidFill>
            <a:ln w="12700">
              <a:solidFill>
                <a:srgbClr val="1B1B21"/>
              </a:solidFill>
            </a:ln>
            <a:effectLst/>
          </c:spPr>
          <c:invertIfNegative val="0"/>
          <c:val>
            <c:numRef>
              <c:f>Processing!$D$69:$G$69</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29-0B57-4B7C-94DF-B64A7F9298BE}"/>
            </c:ext>
          </c:extLst>
        </c:ser>
        <c:ser>
          <c:idx val="42"/>
          <c:order val="42"/>
          <c:spPr>
            <a:solidFill>
              <a:srgbClr val="178BFF"/>
            </a:solidFill>
            <a:ln w="12700">
              <a:solidFill>
                <a:srgbClr val="1B1B21"/>
              </a:solidFill>
            </a:ln>
            <a:effectLst/>
          </c:spPr>
          <c:invertIfNegative val="0"/>
          <c:val>
            <c:numRef>
              <c:f>Processing!$D$70:$G$70</c:f>
              <c:numCache>
                <c:formatCode>General</c:formatCode>
                <c:ptCount val="4"/>
                <c:pt idx="0">
                  <c:v>0</c:v>
                </c:pt>
                <c:pt idx="1">
                  <c:v>0</c:v>
                </c:pt>
                <c:pt idx="2">
                  <c:v>1</c:v>
                </c:pt>
                <c:pt idx="3">
                  <c:v>1</c:v>
                </c:pt>
              </c:numCache>
            </c:numRef>
          </c:val>
          <c:extLst>
            <c:ext xmlns:c16="http://schemas.microsoft.com/office/drawing/2014/chart" uri="{C3380CC4-5D6E-409C-BE32-E72D297353CC}">
              <c16:uniqueId val="{0000002A-0B57-4B7C-94DF-B64A7F9298BE}"/>
            </c:ext>
          </c:extLst>
        </c:ser>
        <c:ser>
          <c:idx val="43"/>
          <c:order val="43"/>
          <c:spPr>
            <a:solidFill>
              <a:schemeClr val="bg1"/>
            </a:solidFill>
            <a:ln w="12700">
              <a:solidFill>
                <a:srgbClr val="1B1B21"/>
              </a:solidFill>
            </a:ln>
            <a:effectLst/>
          </c:spPr>
          <c:invertIfNegative val="0"/>
          <c:val>
            <c:numRef>
              <c:f>Processing!$D$71:$G$71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B-0B57-4B7C-94DF-B64A7F9298BE}"/>
            </c:ext>
          </c:extLst>
        </c:ser>
        <c:ser>
          <c:idx val="44"/>
          <c:order val="44"/>
          <c:spPr>
            <a:solidFill>
              <a:srgbClr val="322664"/>
            </a:solidFill>
            <a:ln w="12700">
              <a:solidFill>
                <a:srgbClr val="1B1B21"/>
              </a:solidFill>
            </a:ln>
            <a:effectLst/>
          </c:spPr>
          <c:invertIfNegative val="0"/>
          <c:val>
            <c:numRef>
              <c:f>Processing!$D$72:$G$72</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2C-0B57-4B7C-94DF-B64A7F9298BE}"/>
            </c:ext>
          </c:extLst>
        </c:ser>
        <c:ser>
          <c:idx val="45"/>
          <c:order val="45"/>
          <c:spPr>
            <a:solidFill>
              <a:srgbClr val="673FFF"/>
            </a:solidFill>
            <a:ln w="12700">
              <a:solidFill>
                <a:srgbClr val="1B1B21"/>
              </a:solidFill>
            </a:ln>
            <a:effectLst/>
          </c:spPr>
          <c:invertIfNegative val="0"/>
          <c:val>
            <c:numRef>
              <c:f>Processing!$D$73:$G$73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2D-0B57-4B7C-94DF-B64A7F9298BE}"/>
            </c:ext>
          </c:extLst>
        </c:ser>
        <c:ser>
          <c:idx val="46"/>
          <c:order val="46"/>
          <c:spPr>
            <a:solidFill>
              <a:srgbClr val="178BFF"/>
            </a:solidFill>
            <a:ln w="12700">
              <a:solidFill>
                <a:srgbClr val="1B1B21"/>
              </a:solidFill>
            </a:ln>
            <a:effectLst/>
          </c:spPr>
          <c:invertIfNegative val="0"/>
          <c:val>
            <c:numRef>
              <c:f>Processing!$D$74:$G$74</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2E-0B57-4B7C-94DF-B64A7F9298BE}"/>
            </c:ext>
          </c:extLst>
        </c:ser>
        <c:ser>
          <c:idx val="47"/>
          <c:order val="47"/>
          <c:spPr>
            <a:solidFill>
              <a:schemeClr val="bg1"/>
            </a:solidFill>
            <a:ln w="12700">
              <a:solidFill>
                <a:srgbClr val="1B1B21"/>
              </a:solidFill>
            </a:ln>
            <a:effectLst/>
          </c:spPr>
          <c:invertIfNegative val="0"/>
          <c:val>
            <c:numRef>
              <c:f>Processing!$D$75:$G$75</c:f>
              <c:numCache>
                <c:formatCode>General</c:formatCode>
                <c:ptCount val="4"/>
                <c:pt idx="0">
                  <c:v>0</c:v>
                </c:pt>
                <c:pt idx="1">
                  <c:v>0</c:v>
                </c:pt>
                <c:pt idx="2">
                  <c:v>1</c:v>
                </c:pt>
                <c:pt idx="3">
                  <c:v>1</c:v>
                </c:pt>
              </c:numCache>
            </c:numRef>
          </c:val>
          <c:extLst>
            <c:ext xmlns:c16="http://schemas.microsoft.com/office/drawing/2014/chart" uri="{C3380CC4-5D6E-409C-BE32-E72D297353CC}">
              <c16:uniqueId val="{0000002F-0B57-4B7C-94DF-B64A7F9298BE}"/>
            </c:ext>
          </c:extLst>
        </c:ser>
        <c:ser>
          <c:idx val="48"/>
          <c:order val="48"/>
          <c:spPr>
            <a:solidFill>
              <a:srgbClr val="322664"/>
            </a:solidFill>
            <a:ln w="12700">
              <a:solidFill>
                <a:srgbClr val="1B1B21"/>
              </a:solidFill>
            </a:ln>
            <a:effectLst/>
          </c:spPr>
          <c:invertIfNegative val="0"/>
          <c:val>
            <c:numRef>
              <c:f>Processing!$D$76:$G$76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30-0B57-4B7C-94DF-B64A7F9298BE}"/>
            </c:ext>
          </c:extLst>
        </c:ser>
        <c:ser>
          <c:idx val="49"/>
          <c:order val="49"/>
          <c:spPr>
            <a:solidFill>
              <a:srgbClr val="673FFF"/>
            </a:solidFill>
            <a:ln w="12700">
              <a:solidFill>
                <a:srgbClr val="1B1B21"/>
              </a:solidFill>
            </a:ln>
            <a:effectLst/>
          </c:spPr>
          <c:invertIfNegative val="0"/>
          <c:val>
            <c:numRef>
              <c:f>Processing!$D$77:$G$77</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31-0B57-4B7C-94DF-B64A7F9298BE}"/>
            </c:ext>
          </c:extLst>
        </c:ser>
        <c:ser>
          <c:idx val="50"/>
          <c:order val="50"/>
          <c:spPr>
            <a:solidFill>
              <a:srgbClr val="178BFF"/>
            </a:solidFill>
            <a:ln w="12700">
              <a:solidFill>
                <a:srgbClr val="1B1B21"/>
              </a:solidFill>
            </a:ln>
            <a:effectLst/>
          </c:spPr>
          <c:invertIfNegative val="0"/>
          <c:val>
            <c:numRef>
              <c:f>Processing!$D$78:$G$78</c:f>
              <c:numCache>
                <c:formatCode>General</c:formatCode>
                <c:ptCount val="4"/>
                <c:pt idx="0">
                  <c:v>0</c:v>
                </c:pt>
                <c:pt idx="1">
                  <c:v>1</c:v>
                </c:pt>
                <c:pt idx="2">
                  <c:v>1</c:v>
                </c:pt>
                <c:pt idx="3">
                  <c:v>0</c:v>
                </c:pt>
              </c:numCache>
            </c:numRef>
          </c:val>
          <c:extLst>
            <c:ext xmlns:c16="http://schemas.microsoft.com/office/drawing/2014/chart" uri="{C3380CC4-5D6E-409C-BE32-E72D297353CC}">
              <c16:uniqueId val="{00000032-0B57-4B7C-94DF-B64A7F9298BE}"/>
            </c:ext>
          </c:extLst>
        </c:ser>
        <c:ser>
          <c:idx val="51"/>
          <c:order val="51"/>
          <c:spPr>
            <a:solidFill>
              <a:schemeClr val="bg1"/>
            </a:solidFill>
            <a:ln w="12700">
              <a:solidFill>
                <a:srgbClr val="1B1B21"/>
              </a:solidFill>
            </a:ln>
            <a:effectLst/>
          </c:spPr>
          <c:invertIfNegative val="0"/>
          <c:val>
            <c:numRef>
              <c:f>Processing!$D$79:$G$79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3-0B57-4B7C-94DF-B64A7F9298BE}"/>
            </c:ext>
          </c:extLst>
        </c:ser>
        <c:ser>
          <c:idx val="52"/>
          <c:order val="52"/>
          <c:spPr>
            <a:solidFill>
              <a:srgbClr val="322664"/>
            </a:solidFill>
            <a:ln w="12700">
              <a:solidFill>
                <a:srgbClr val="1B1B21"/>
              </a:solidFill>
            </a:ln>
            <a:effectLst/>
          </c:spPr>
          <c:invertIfNegative val="0"/>
          <c:val>
            <c:numRef>
              <c:f>Processing!$D$80:$G$80</c:f>
              <c:numCache>
                <c:formatCode>General</c:formatCode>
                <c:ptCount val="4"/>
                <c:pt idx="0">
                  <c:v>0</c:v>
                </c:pt>
                <c:pt idx="1">
                  <c:v>1</c:v>
                </c:pt>
                <c:pt idx="2">
                  <c:v>1</c:v>
                </c:pt>
                <c:pt idx="3">
                  <c:v>1</c:v>
                </c:pt>
              </c:numCache>
            </c:numRef>
          </c:val>
          <c:extLst>
            <c:ext xmlns:c16="http://schemas.microsoft.com/office/drawing/2014/chart" uri="{C3380CC4-5D6E-409C-BE32-E72D297353CC}">
              <c16:uniqueId val="{00000034-0B57-4B7C-94DF-B64A7F9298BE}"/>
            </c:ext>
          </c:extLst>
        </c:ser>
        <c:ser>
          <c:idx val="53"/>
          <c:order val="53"/>
          <c:spPr>
            <a:solidFill>
              <a:srgbClr val="673FFF"/>
            </a:solidFill>
            <a:ln w="12700">
              <a:solidFill>
                <a:srgbClr val="1B1B21"/>
              </a:solidFill>
            </a:ln>
            <a:effectLst/>
          </c:spPr>
          <c:invertIfNegative val="0"/>
          <c:val>
            <c:numRef>
              <c:f>Processing!$D$81:$G$81</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35-0B57-4B7C-94DF-B64A7F9298BE}"/>
            </c:ext>
          </c:extLst>
        </c:ser>
        <c:ser>
          <c:idx val="54"/>
          <c:order val="54"/>
          <c:spPr>
            <a:solidFill>
              <a:srgbClr val="178BFF"/>
            </a:solidFill>
            <a:ln w="12700">
              <a:solidFill>
                <a:srgbClr val="1B1B21"/>
              </a:solidFill>
            </a:ln>
            <a:effectLst/>
          </c:spPr>
          <c:invertIfNegative val="0"/>
          <c:val>
            <c:numRef>
              <c:f>Processing!$D$82:$G$82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6-0B57-4B7C-94DF-B64A7F9298BE}"/>
            </c:ext>
          </c:extLst>
        </c:ser>
        <c:ser>
          <c:idx val="55"/>
          <c:order val="55"/>
          <c:spPr>
            <a:solidFill>
              <a:schemeClr val="bg1"/>
            </a:solidFill>
            <a:ln w="12700">
              <a:solidFill>
                <a:srgbClr val="1B1B21"/>
              </a:solidFill>
            </a:ln>
            <a:effectLst/>
          </c:spPr>
          <c:invertIfNegative val="0"/>
          <c:val>
            <c:numRef>
              <c:f>Processing!$D$83:$G$83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7-0B57-4B7C-94DF-B64A7F9298BE}"/>
            </c:ext>
          </c:extLst>
        </c:ser>
        <c:ser>
          <c:idx val="56"/>
          <c:order val="56"/>
          <c:spPr>
            <a:solidFill>
              <a:srgbClr val="322664"/>
            </a:solidFill>
            <a:ln w="12700">
              <a:solidFill>
                <a:srgbClr val="1B1B21"/>
              </a:solidFill>
            </a:ln>
            <a:effectLst/>
          </c:spPr>
          <c:invertIfNegative val="0"/>
          <c:val>
            <c:numRef>
              <c:f>Processing!$D$84:$G$84</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38-0B57-4B7C-94DF-B64A7F9298BE}"/>
            </c:ext>
          </c:extLst>
        </c:ser>
        <c:ser>
          <c:idx val="57"/>
          <c:order val="57"/>
          <c:spPr>
            <a:solidFill>
              <a:srgbClr val="673FFF"/>
            </a:solidFill>
            <a:ln w="12700">
              <a:solidFill>
                <a:srgbClr val="1B1B21"/>
              </a:solidFill>
            </a:ln>
            <a:effectLst/>
          </c:spPr>
          <c:invertIfNegative val="0"/>
          <c:val>
            <c:numRef>
              <c:f>Processing!$D$85:$G$85</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39-0B57-4B7C-94DF-B64A7F9298BE}"/>
            </c:ext>
          </c:extLst>
        </c:ser>
        <c:ser>
          <c:idx val="58"/>
          <c:order val="58"/>
          <c:spPr>
            <a:solidFill>
              <a:srgbClr val="178BFF"/>
            </a:solidFill>
            <a:ln w="12700">
              <a:solidFill>
                <a:srgbClr val="1B1B21"/>
              </a:solidFill>
            </a:ln>
            <a:effectLst/>
          </c:spPr>
          <c:invertIfNegative val="0"/>
          <c:val>
            <c:numRef>
              <c:f>Processing!$D$86:$G$86</c:f>
              <c:numCache>
                <c:formatCode>General</c:formatCode>
                <c:ptCount val="4"/>
                <c:pt idx="0">
                  <c:v>0</c:v>
                </c:pt>
                <c:pt idx="1">
                  <c:v>0</c:v>
                </c:pt>
                <c:pt idx="2">
                  <c:v>1</c:v>
                </c:pt>
                <c:pt idx="3">
                  <c:v>1</c:v>
                </c:pt>
              </c:numCache>
            </c:numRef>
          </c:val>
          <c:extLst>
            <c:ext xmlns:c16="http://schemas.microsoft.com/office/drawing/2014/chart" uri="{C3380CC4-5D6E-409C-BE32-E72D297353CC}">
              <c16:uniqueId val="{0000003A-0B57-4B7C-94DF-B64A7F9298BE}"/>
            </c:ext>
          </c:extLst>
        </c:ser>
        <c:ser>
          <c:idx val="59"/>
          <c:order val="59"/>
          <c:spPr>
            <a:solidFill>
              <a:schemeClr val="bg1"/>
            </a:solidFill>
            <a:ln w="12700">
              <a:solidFill>
                <a:srgbClr val="1B1B21"/>
              </a:solidFill>
            </a:ln>
            <a:effectLst/>
          </c:spPr>
          <c:invertIfNegative val="0"/>
          <c:val>
            <c:numRef>
              <c:f>Processing!$D$87:$G$87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B-0B57-4B7C-94DF-B64A7F9298BE}"/>
            </c:ext>
          </c:extLst>
        </c:ser>
        <c:ser>
          <c:idx val="60"/>
          <c:order val="60"/>
          <c:spPr>
            <a:solidFill>
              <a:srgbClr val="322664"/>
            </a:solidFill>
            <a:ln w="12700">
              <a:solidFill>
                <a:srgbClr val="1B1B21"/>
              </a:solidFill>
            </a:ln>
            <a:effectLst/>
          </c:spPr>
          <c:invertIfNegative val="0"/>
          <c:val>
            <c:numRef>
              <c:f>Processing!$D$88:$G$88</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3C-0B57-4B7C-94DF-B64A7F9298BE}"/>
            </c:ext>
          </c:extLst>
        </c:ser>
        <c:ser>
          <c:idx val="61"/>
          <c:order val="61"/>
          <c:spPr>
            <a:solidFill>
              <a:srgbClr val="673FFF"/>
            </a:solidFill>
            <a:ln w="12700">
              <a:solidFill>
                <a:srgbClr val="1B1B21"/>
              </a:solidFill>
            </a:ln>
            <a:effectLst/>
          </c:spPr>
          <c:invertIfNegative val="0"/>
          <c:val>
            <c:numRef>
              <c:f>Processing!$D$89:$G$89</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3D-0B57-4B7C-94DF-B64A7F9298BE}"/>
            </c:ext>
          </c:extLst>
        </c:ser>
        <c:ser>
          <c:idx val="62"/>
          <c:order val="62"/>
          <c:spPr>
            <a:solidFill>
              <a:srgbClr val="178BFF"/>
            </a:solidFill>
            <a:ln w="12700">
              <a:solidFill>
                <a:srgbClr val="1B1B21"/>
              </a:solidFill>
            </a:ln>
            <a:effectLst/>
          </c:spPr>
          <c:invertIfNegative val="0"/>
          <c:val>
            <c:numRef>
              <c:f>Processing!$D$90:$G$90</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3E-0B57-4B7C-94DF-B64A7F9298BE}"/>
            </c:ext>
          </c:extLst>
        </c:ser>
        <c:ser>
          <c:idx val="63"/>
          <c:order val="63"/>
          <c:spPr>
            <a:solidFill>
              <a:schemeClr val="bg1"/>
            </a:solidFill>
            <a:ln w="12700">
              <a:solidFill>
                <a:srgbClr val="1B1B21"/>
              </a:solidFill>
            </a:ln>
            <a:effectLst/>
          </c:spPr>
          <c:invertIfNegative val="0"/>
          <c:val>
            <c:numRef>
              <c:f>Processing!$D$91:$G$91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3F-0B57-4B7C-94DF-B64A7F9298BE}"/>
            </c:ext>
          </c:extLst>
        </c:ser>
        <c:ser>
          <c:idx val="64"/>
          <c:order val="64"/>
          <c:spPr>
            <a:solidFill>
              <a:srgbClr val="322664"/>
            </a:solidFill>
            <a:ln w="12700">
              <a:solidFill>
                <a:srgbClr val="1B1B21"/>
              </a:solidFill>
            </a:ln>
            <a:effectLst/>
          </c:spPr>
          <c:invertIfNegative val="0"/>
          <c:val>
            <c:numRef>
              <c:f>Processing!$D$92:$G$92</c:f>
              <c:numCache>
                <c:formatCode>General</c:formatCode>
                <c:ptCount val="4"/>
                <c:pt idx="0">
                  <c:v>1</c:v>
                </c:pt>
                <c:pt idx="1">
                  <c:v>0</c:v>
                </c:pt>
                <c:pt idx="2">
                  <c:v>1</c:v>
                </c:pt>
                <c:pt idx="3">
                  <c:v>0</c:v>
                </c:pt>
              </c:numCache>
            </c:numRef>
          </c:val>
          <c:extLst>
            <c:ext xmlns:c16="http://schemas.microsoft.com/office/drawing/2014/chart" uri="{C3380CC4-5D6E-409C-BE32-E72D297353CC}">
              <c16:uniqueId val="{00000040-0B57-4B7C-94DF-B64A7F9298BE}"/>
            </c:ext>
          </c:extLst>
        </c:ser>
        <c:ser>
          <c:idx val="65"/>
          <c:order val="65"/>
          <c:spPr>
            <a:solidFill>
              <a:srgbClr val="673FFF"/>
            </a:solidFill>
            <a:ln w="12700">
              <a:solidFill>
                <a:srgbClr val="1B1B21"/>
              </a:solidFill>
            </a:ln>
            <a:effectLst/>
          </c:spPr>
          <c:invertIfNegative val="0"/>
          <c:val>
            <c:numRef>
              <c:f>Processing!$D$93:$G$93</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41-0B57-4B7C-94DF-B64A7F9298BE}"/>
            </c:ext>
          </c:extLst>
        </c:ser>
        <c:ser>
          <c:idx val="66"/>
          <c:order val="66"/>
          <c:spPr>
            <a:solidFill>
              <a:srgbClr val="178BFF"/>
            </a:solidFill>
            <a:ln w="12700">
              <a:solidFill>
                <a:srgbClr val="1B1B21"/>
              </a:solidFill>
            </a:ln>
            <a:effectLst/>
          </c:spPr>
          <c:invertIfNegative val="0"/>
          <c:val>
            <c:numRef>
              <c:f>Processing!$D$94:$G$94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2-0B57-4B7C-94DF-B64A7F9298BE}"/>
            </c:ext>
          </c:extLst>
        </c:ser>
        <c:ser>
          <c:idx val="67"/>
          <c:order val="67"/>
          <c:spPr>
            <a:solidFill>
              <a:schemeClr val="bg1"/>
            </a:solidFill>
            <a:ln w="12700">
              <a:solidFill>
                <a:srgbClr val="1B1B21"/>
              </a:solidFill>
            </a:ln>
            <a:effectLst/>
          </c:spPr>
          <c:invertIfNegative val="0"/>
          <c:val>
            <c:numRef>
              <c:f>Processing!$D$95:$G$95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3-0B57-4B7C-94DF-B64A7F9298BE}"/>
            </c:ext>
          </c:extLst>
        </c:ser>
        <c:ser>
          <c:idx val="68"/>
          <c:order val="68"/>
          <c:spPr>
            <a:solidFill>
              <a:srgbClr val="322664"/>
            </a:solidFill>
            <a:ln w="12700">
              <a:solidFill>
                <a:srgbClr val="1B1B21"/>
              </a:solidFill>
            </a:ln>
            <a:effectLst/>
          </c:spPr>
          <c:invertIfNegative val="0"/>
          <c:val>
            <c:numRef>
              <c:f>Processing!$D$96:$G$96</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44-0B57-4B7C-94DF-B64A7F9298BE}"/>
            </c:ext>
          </c:extLst>
        </c:ser>
        <c:ser>
          <c:idx val="69"/>
          <c:order val="69"/>
          <c:spPr>
            <a:solidFill>
              <a:srgbClr val="673FFF"/>
            </a:solidFill>
            <a:ln w="12700">
              <a:solidFill>
                <a:srgbClr val="1B1B21"/>
              </a:solidFill>
            </a:ln>
            <a:effectLst/>
          </c:spPr>
          <c:invertIfNegative val="0"/>
          <c:val>
            <c:numRef>
              <c:f>Processing!$D$97:$G$97</c:f>
              <c:numCache>
                <c:formatCode>General</c:formatCode>
                <c:ptCount val="4"/>
                <c:pt idx="0">
                  <c:v>0</c:v>
                </c:pt>
                <c:pt idx="1">
                  <c:v>0</c:v>
                </c:pt>
                <c:pt idx="2">
                  <c:v>1</c:v>
                </c:pt>
                <c:pt idx="3">
                  <c:v>1</c:v>
                </c:pt>
              </c:numCache>
            </c:numRef>
          </c:val>
          <c:extLst>
            <c:ext xmlns:c16="http://schemas.microsoft.com/office/drawing/2014/chart" uri="{C3380CC4-5D6E-409C-BE32-E72D297353CC}">
              <c16:uniqueId val="{00000045-0B57-4B7C-94DF-B64A7F9298BE}"/>
            </c:ext>
          </c:extLst>
        </c:ser>
        <c:ser>
          <c:idx val="70"/>
          <c:order val="70"/>
          <c:spPr>
            <a:solidFill>
              <a:srgbClr val="178BFF"/>
            </a:solidFill>
            <a:ln w="12700">
              <a:solidFill>
                <a:srgbClr val="1B1B21"/>
              </a:solidFill>
            </a:ln>
            <a:effectLst/>
          </c:spPr>
          <c:invertIfNegative val="0"/>
          <c:val>
            <c:numRef>
              <c:f>Processing!$D$98:$G$98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6-0B57-4B7C-94DF-B64A7F9298BE}"/>
            </c:ext>
          </c:extLst>
        </c:ser>
        <c:ser>
          <c:idx val="71"/>
          <c:order val="71"/>
          <c:spPr>
            <a:solidFill>
              <a:schemeClr val="bg1"/>
            </a:solidFill>
            <a:ln w="12700">
              <a:solidFill>
                <a:srgbClr val="1B1B21"/>
              </a:solidFill>
            </a:ln>
            <a:effectLst/>
          </c:spPr>
          <c:invertIfNegative val="0"/>
          <c:val>
            <c:numRef>
              <c:f>Processing!$D$99:$G$99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7-0B57-4B7C-94DF-B64A7F9298BE}"/>
            </c:ext>
          </c:extLst>
        </c:ser>
        <c:ser>
          <c:idx val="72"/>
          <c:order val="72"/>
          <c:spPr>
            <a:solidFill>
              <a:srgbClr val="322664"/>
            </a:solidFill>
            <a:ln w="12700">
              <a:solidFill>
                <a:srgbClr val="1B1B21"/>
              </a:solidFill>
            </a:ln>
            <a:effectLst/>
          </c:spPr>
          <c:invertIfNegative val="0"/>
          <c:val>
            <c:numRef>
              <c:f>Processing!$D$100:$G$100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8-0B57-4B7C-94DF-B64A7F9298BE}"/>
            </c:ext>
          </c:extLst>
        </c:ser>
        <c:ser>
          <c:idx val="73"/>
          <c:order val="73"/>
          <c:spPr>
            <a:solidFill>
              <a:srgbClr val="673FFF"/>
            </a:solidFill>
            <a:ln w="12700">
              <a:solidFill>
                <a:srgbClr val="1B1B21"/>
              </a:solidFill>
            </a:ln>
            <a:effectLst/>
          </c:spPr>
          <c:invertIfNegative val="0"/>
          <c:val>
            <c:numRef>
              <c:f>Processing!$D$101:$G$101</c:f>
              <c:numCache>
                <c:formatCode>General</c:formatCode>
                <c:ptCount val="4"/>
                <c:pt idx="0">
                  <c:v>1</c:v>
                </c:pt>
                <c:pt idx="1">
                  <c:v>0</c:v>
                </c:pt>
                <c:pt idx="2">
                  <c:v>0</c:v>
                </c:pt>
                <c:pt idx="3">
                  <c:v>1</c:v>
                </c:pt>
              </c:numCache>
            </c:numRef>
          </c:val>
          <c:extLst>
            <c:ext xmlns:c16="http://schemas.microsoft.com/office/drawing/2014/chart" uri="{C3380CC4-5D6E-409C-BE32-E72D297353CC}">
              <c16:uniqueId val="{00000049-0B57-4B7C-94DF-B64A7F9298BE}"/>
            </c:ext>
          </c:extLst>
        </c:ser>
        <c:ser>
          <c:idx val="74"/>
          <c:order val="74"/>
          <c:spPr>
            <a:solidFill>
              <a:srgbClr val="178BFF"/>
            </a:solidFill>
            <a:ln w="12700">
              <a:solidFill>
                <a:srgbClr val="1B1B21"/>
              </a:solidFill>
            </a:ln>
            <a:effectLst/>
          </c:spPr>
          <c:invertIfNegative val="0"/>
          <c:val>
            <c:numRef>
              <c:f>Processing!$D$102:$G$102</c:f>
              <c:numCache>
                <c:formatCode>General</c:formatCode>
                <c:ptCount val="4"/>
                <c:pt idx="0">
                  <c:v>0</c:v>
                </c:pt>
                <c:pt idx="1">
                  <c:v>1</c:v>
                </c:pt>
                <c:pt idx="2">
                  <c:v>1</c:v>
                </c:pt>
                <c:pt idx="3">
                  <c:v>0</c:v>
                </c:pt>
              </c:numCache>
            </c:numRef>
          </c:val>
          <c:extLst>
            <c:ext xmlns:c16="http://schemas.microsoft.com/office/drawing/2014/chart" uri="{C3380CC4-5D6E-409C-BE32-E72D297353CC}">
              <c16:uniqueId val="{0000004A-0B57-4B7C-94DF-B64A7F9298BE}"/>
            </c:ext>
          </c:extLst>
        </c:ser>
        <c:ser>
          <c:idx val="75"/>
          <c:order val="75"/>
          <c:spPr>
            <a:solidFill>
              <a:schemeClr val="bg1"/>
            </a:solidFill>
            <a:ln w="12700">
              <a:solidFill>
                <a:srgbClr val="1B1B21"/>
              </a:solidFill>
            </a:ln>
            <a:effectLst/>
          </c:spPr>
          <c:invertIfNegative val="0"/>
          <c:val>
            <c:numRef>
              <c:f>Processing!$D$103:$G$103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B-0B57-4B7C-94DF-B64A7F9298BE}"/>
            </c:ext>
          </c:extLst>
        </c:ser>
        <c:ser>
          <c:idx val="76"/>
          <c:order val="76"/>
          <c:spPr>
            <a:solidFill>
              <a:srgbClr val="322664"/>
            </a:solidFill>
            <a:ln w="12700">
              <a:solidFill>
                <a:srgbClr val="1B1B21"/>
              </a:solidFill>
            </a:ln>
            <a:effectLst/>
          </c:spPr>
          <c:invertIfNegative val="0"/>
          <c:val>
            <c:numRef>
              <c:f>Processing!$D$104:$G$104</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4C-0B57-4B7C-94DF-B64A7F9298BE}"/>
            </c:ext>
          </c:extLst>
        </c:ser>
        <c:ser>
          <c:idx val="77"/>
          <c:order val="77"/>
          <c:spPr>
            <a:solidFill>
              <a:srgbClr val="673FFF"/>
            </a:solidFill>
            <a:ln w="12700">
              <a:solidFill>
                <a:srgbClr val="1B1B21"/>
              </a:solidFill>
            </a:ln>
            <a:effectLst/>
          </c:spPr>
          <c:invertIfNegative val="0"/>
          <c:val>
            <c:numRef>
              <c:f>Processing!$D$105:$G$105</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4D-0B57-4B7C-94DF-B64A7F9298BE}"/>
            </c:ext>
          </c:extLst>
        </c:ser>
        <c:ser>
          <c:idx val="78"/>
          <c:order val="78"/>
          <c:spPr>
            <a:solidFill>
              <a:srgbClr val="178BFF"/>
            </a:solidFill>
            <a:ln w="12700">
              <a:solidFill>
                <a:srgbClr val="1B1B21"/>
              </a:solidFill>
            </a:ln>
            <a:effectLst/>
          </c:spPr>
          <c:invertIfNegative val="0"/>
          <c:val>
            <c:numRef>
              <c:f>Processing!$D$106:$G$106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4E-0B57-4B7C-94DF-B64A7F9298BE}"/>
            </c:ext>
          </c:extLst>
        </c:ser>
        <c:ser>
          <c:idx val="79"/>
          <c:order val="79"/>
          <c:spPr>
            <a:solidFill>
              <a:schemeClr val="bg1"/>
            </a:solidFill>
            <a:ln w="12700">
              <a:solidFill>
                <a:srgbClr val="1B1B21"/>
              </a:solidFill>
            </a:ln>
            <a:effectLst/>
          </c:spPr>
          <c:invertIfNegative val="0"/>
          <c:val>
            <c:numRef>
              <c:f>Processing!$D$107:$G$107</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4F-0B57-4B7C-94DF-B64A7F9298BE}"/>
            </c:ext>
          </c:extLst>
        </c:ser>
        <c:ser>
          <c:idx val="80"/>
          <c:order val="80"/>
          <c:spPr>
            <a:solidFill>
              <a:srgbClr val="322664"/>
            </a:solidFill>
            <a:ln w="12700">
              <a:solidFill>
                <a:srgbClr val="1B1B21"/>
              </a:solidFill>
            </a:ln>
            <a:effectLst/>
          </c:spPr>
          <c:invertIfNegative val="0"/>
          <c:val>
            <c:numRef>
              <c:f>Processing!$D$108:$G$108</c:f>
              <c:numCache>
                <c:formatCode>General</c:formatCode>
                <c:ptCount val="4"/>
                <c:pt idx="0">
                  <c:v>1</c:v>
                </c:pt>
                <c:pt idx="1">
                  <c:v>0</c:v>
                </c:pt>
                <c:pt idx="2">
                  <c:v>1</c:v>
                </c:pt>
                <c:pt idx="3">
                  <c:v>1</c:v>
                </c:pt>
              </c:numCache>
            </c:numRef>
          </c:val>
          <c:extLst>
            <c:ext xmlns:c16="http://schemas.microsoft.com/office/drawing/2014/chart" uri="{C3380CC4-5D6E-409C-BE32-E72D297353CC}">
              <c16:uniqueId val="{00000050-0B57-4B7C-94DF-B64A7F9298BE}"/>
            </c:ext>
          </c:extLst>
        </c:ser>
        <c:ser>
          <c:idx val="81"/>
          <c:order val="81"/>
          <c:spPr>
            <a:solidFill>
              <a:srgbClr val="673FFF"/>
            </a:solidFill>
            <a:ln w="12700">
              <a:solidFill>
                <a:srgbClr val="1B1B21"/>
              </a:solidFill>
            </a:ln>
            <a:effectLst/>
          </c:spPr>
          <c:invertIfNegative val="0"/>
          <c:val>
            <c:numRef>
              <c:f>Processing!$D$109:$G$109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1-0B57-4B7C-94DF-B64A7F9298BE}"/>
            </c:ext>
          </c:extLst>
        </c:ser>
        <c:ser>
          <c:idx val="82"/>
          <c:order val="82"/>
          <c:spPr>
            <a:solidFill>
              <a:srgbClr val="178BFF"/>
            </a:solidFill>
            <a:ln w="12700">
              <a:solidFill>
                <a:srgbClr val="1B1B21"/>
              </a:solidFill>
            </a:ln>
            <a:effectLst/>
          </c:spPr>
          <c:invertIfNegative val="0"/>
          <c:val>
            <c:numRef>
              <c:f>Processing!$D$110:$G$110</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52-0B57-4B7C-94DF-B64A7F9298BE}"/>
            </c:ext>
          </c:extLst>
        </c:ser>
        <c:ser>
          <c:idx val="83"/>
          <c:order val="83"/>
          <c:spPr>
            <a:solidFill>
              <a:schemeClr val="bg1"/>
            </a:solidFill>
            <a:ln w="12700">
              <a:solidFill>
                <a:srgbClr val="1B1B21"/>
              </a:solidFill>
            </a:ln>
            <a:effectLst/>
          </c:spPr>
          <c:invertIfNegative val="0"/>
          <c:val>
            <c:numRef>
              <c:f>Processing!$D$111:$G$111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3-0B57-4B7C-94DF-B64A7F9298BE}"/>
            </c:ext>
          </c:extLst>
        </c:ser>
        <c:ser>
          <c:idx val="84"/>
          <c:order val="84"/>
          <c:spPr>
            <a:solidFill>
              <a:srgbClr val="322664"/>
            </a:solidFill>
            <a:ln w="12700">
              <a:solidFill>
                <a:srgbClr val="1B1B21"/>
              </a:solidFill>
            </a:ln>
            <a:effectLst/>
          </c:spPr>
          <c:invertIfNegative val="0"/>
          <c:val>
            <c:numRef>
              <c:f>Processing!$D$112:$G$112</c:f>
              <c:numCache>
                <c:formatCode>General</c:formatCode>
                <c:ptCount val="4"/>
                <c:pt idx="0">
                  <c:v>1</c:v>
                </c:pt>
                <c:pt idx="1">
                  <c:v>0</c:v>
                </c:pt>
                <c:pt idx="2">
                  <c:v>1</c:v>
                </c:pt>
                <c:pt idx="3">
                  <c:v>1</c:v>
                </c:pt>
              </c:numCache>
            </c:numRef>
          </c:val>
          <c:extLst>
            <c:ext xmlns:c16="http://schemas.microsoft.com/office/drawing/2014/chart" uri="{C3380CC4-5D6E-409C-BE32-E72D297353CC}">
              <c16:uniqueId val="{00000054-0B57-4B7C-94DF-B64A7F9298BE}"/>
            </c:ext>
          </c:extLst>
        </c:ser>
        <c:ser>
          <c:idx val="85"/>
          <c:order val="85"/>
          <c:spPr>
            <a:solidFill>
              <a:srgbClr val="673FFF"/>
            </a:solidFill>
            <a:ln w="12700">
              <a:solidFill>
                <a:srgbClr val="1B1B21"/>
              </a:solidFill>
            </a:ln>
            <a:effectLst/>
          </c:spPr>
          <c:invertIfNegative val="0"/>
          <c:val>
            <c:numRef>
              <c:f>Processing!$D$113:$G$113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5-0B57-4B7C-94DF-B64A7F9298BE}"/>
            </c:ext>
          </c:extLst>
        </c:ser>
        <c:ser>
          <c:idx val="86"/>
          <c:order val="86"/>
          <c:spPr>
            <a:solidFill>
              <a:srgbClr val="178BFF"/>
            </a:solidFill>
            <a:ln w="12700">
              <a:solidFill>
                <a:srgbClr val="1B1B21"/>
              </a:solidFill>
            </a:ln>
            <a:effectLst/>
          </c:spPr>
          <c:invertIfNegative val="0"/>
          <c:val>
            <c:numRef>
              <c:f>Processing!$D$114:$G$114</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56-0B57-4B7C-94DF-B64A7F9298BE}"/>
            </c:ext>
          </c:extLst>
        </c:ser>
        <c:ser>
          <c:idx val="87"/>
          <c:order val="87"/>
          <c:spPr>
            <a:solidFill>
              <a:schemeClr val="bg1"/>
            </a:solidFill>
            <a:ln w="12700">
              <a:solidFill>
                <a:srgbClr val="1B1B21"/>
              </a:solidFill>
            </a:ln>
            <a:effectLst/>
          </c:spPr>
          <c:invertIfNegative val="0"/>
          <c:val>
            <c:numRef>
              <c:f>Processing!$D$115:$G$115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7-0B57-4B7C-94DF-B64A7F9298BE}"/>
            </c:ext>
          </c:extLst>
        </c:ser>
        <c:ser>
          <c:idx val="88"/>
          <c:order val="88"/>
          <c:spPr>
            <a:solidFill>
              <a:srgbClr val="322664"/>
            </a:solidFill>
            <a:ln w="12700">
              <a:solidFill>
                <a:srgbClr val="1B1B21"/>
              </a:solidFill>
            </a:ln>
            <a:effectLst/>
          </c:spPr>
          <c:invertIfNegative val="0"/>
          <c:val>
            <c:numRef>
              <c:f>Processing!$D$116:$G$116</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58-0B57-4B7C-94DF-B64A7F9298BE}"/>
            </c:ext>
          </c:extLst>
        </c:ser>
        <c:ser>
          <c:idx val="89"/>
          <c:order val="89"/>
          <c:spPr>
            <a:solidFill>
              <a:srgbClr val="673FFF"/>
            </a:solidFill>
            <a:ln w="12700">
              <a:solidFill>
                <a:srgbClr val="1B1B21"/>
              </a:solidFill>
            </a:ln>
            <a:effectLst/>
          </c:spPr>
          <c:invertIfNegative val="0"/>
          <c:val>
            <c:numRef>
              <c:f>Processing!$D$117:$G$117</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59-0B57-4B7C-94DF-B64A7F9298BE}"/>
            </c:ext>
          </c:extLst>
        </c:ser>
        <c:ser>
          <c:idx val="90"/>
          <c:order val="90"/>
          <c:spPr>
            <a:solidFill>
              <a:srgbClr val="178BFF"/>
            </a:solidFill>
            <a:ln w="12700">
              <a:solidFill>
                <a:srgbClr val="1B1B21"/>
              </a:solidFill>
            </a:ln>
            <a:effectLst/>
          </c:spPr>
          <c:invertIfNegative val="0"/>
          <c:val>
            <c:numRef>
              <c:f>Processing!$D$118:$G$118</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5A-0B57-4B7C-94DF-B64A7F9298BE}"/>
            </c:ext>
          </c:extLst>
        </c:ser>
        <c:ser>
          <c:idx val="91"/>
          <c:order val="91"/>
          <c:spPr>
            <a:solidFill>
              <a:schemeClr val="bg1"/>
            </a:solidFill>
            <a:ln w="12700">
              <a:solidFill>
                <a:srgbClr val="1B1B21"/>
              </a:solidFill>
            </a:ln>
            <a:effectLst/>
          </c:spPr>
          <c:invertIfNegative val="0"/>
          <c:val>
            <c:numRef>
              <c:f>Processing!$D$119:$G$119</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5B-0B57-4B7C-94DF-B64A7F9298BE}"/>
            </c:ext>
          </c:extLst>
        </c:ser>
        <c:ser>
          <c:idx val="92"/>
          <c:order val="92"/>
          <c:spPr>
            <a:solidFill>
              <a:srgbClr val="322664"/>
            </a:solidFill>
            <a:ln w="12700">
              <a:solidFill>
                <a:srgbClr val="1B1B21"/>
              </a:solidFill>
            </a:ln>
            <a:effectLst/>
          </c:spPr>
          <c:invertIfNegative val="0"/>
          <c:val>
            <c:numRef>
              <c:f>Processing!$D$120:$G$120</c:f>
              <c:numCache>
                <c:formatCode>General</c:formatCode>
                <c:ptCount val="4"/>
                <c:pt idx="0">
                  <c:v>1</c:v>
                </c:pt>
                <c:pt idx="1">
                  <c:v>0</c:v>
                </c:pt>
                <c:pt idx="2">
                  <c:v>1</c:v>
                </c:pt>
                <c:pt idx="3">
                  <c:v>1</c:v>
                </c:pt>
              </c:numCache>
            </c:numRef>
          </c:val>
          <c:extLst>
            <c:ext xmlns:c16="http://schemas.microsoft.com/office/drawing/2014/chart" uri="{C3380CC4-5D6E-409C-BE32-E72D297353CC}">
              <c16:uniqueId val="{0000005C-0B57-4B7C-94DF-B64A7F9298BE}"/>
            </c:ext>
          </c:extLst>
        </c:ser>
        <c:ser>
          <c:idx val="93"/>
          <c:order val="93"/>
          <c:spPr>
            <a:solidFill>
              <a:srgbClr val="673FFF"/>
            </a:solidFill>
            <a:ln w="12700">
              <a:solidFill>
                <a:srgbClr val="1B1B21"/>
              </a:solidFill>
            </a:ln>
            <a:effectLst/>
          </c:spPr>
          <c:invertIfNegative val="0"/>
          <c:val>
            <c:numRef>
              <c:f>Processing!$D$121:$G$121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D-0B57-4B7C-94DF-B64A7F9298BE}"/>
            </c:ext>
          </c:extLst>
        </c:ser>
        <c:ser>
          <c:idx val="94"/>
          <c:order val="94"/>
          <c:spPr>
            <a:solidFill>
              <a:srgbClr val="178BFF"/>
            </a:solidFill>
            <a:ln w="12700">
              <a:solidFill>
                <a:srgbClr val="1B1B21"/>
              </a:solidFill>
            </a:ln>
            <a:effectLst/>
          </c:spPr>
          <c:invertIfNegative val="0"/>
          <c:val>
            <c:numRef>
              <c:f>Processing!$D$122:$G$122</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5E-0B57-4B7C-94DF-B64A7F9298BE}"/>
            </c:ext>
          </c:extLst>
        </c:ser>
        <c:ser>
          <c:idx val="95"/>
          <c:order val="95"/>
          <c:spPr>
            <a:solidFill>
              <a:schemeClr val="bg1"/>
            </a:solidFill>
            <a:ln w="12700">
              <a:solidFill>
                <a:srgbClr val="1B1B21"/>
              </a:solidFill>
            </a:ln>
            <a:effectLst/>
          </c:spPr>
          <c:invertIfNegative val="0"/>
          <c:val>
            <c:numRef>
              <c:f>Processing!$D$123:$G$123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5F-0B57-4B7C-94DF-B64A7F9298BE}"/>
            </c:ext>
          </c:extLst>
        </c:ser>
        <c:ser>
          <c:idx val="96"/>
          <c:order val="96"/>
          <c:spPr>
            <a:solidFill>
              <a:srgbClr val="322664"/>
            </a:solidFill>
            <a:ln w="12700">
              <a:solidFill>
                <a:srgbClr val="1B1B21"/>
              </a:solidFill>
            </a:ln>
            <a:effectLst/>
          </c:spPr>
          <c:invertIfNegative val="0"/>
          <c:val>
            <c:numRef>
              <c:f>Processing!$D$124:$G$124</c:f>
              <c:numCache>
                <c:formatCode>General</c:formatCode>
                <c:ptCount val="4"/>
                <c:pt idx="0">
                  <c:v>0</c:v>
                </c:pt>
                <c:pt idx="1">
                  <c:v>0</c:v>
                </c:pt>
                <c:pt idx="2">
                  <c:v>0</c:v>
                </c:pt>
                <c:pt idx="3">
                  <c:v>1</c:v>
                </c:pt>
              </c:numCache>
            </c:numRef>
          </c:val>
          <c:extLst>
            <c:ext xmlns:c16="http://schemas.microsoft.com/office/drawing/2014/chart" uri="{C3380CC4-5D6E-409C-BE32-E72D297353CC}">
              <c16:uniqueId val="{00000060-0B57-4B7C-94DF-B64A7F9298BE}"/>
            </c:ext>
          </c:extLst>
        </c:ser>
        <c:ser>
          <c:idx val="97"/>
          <c:order val="97"/>
          <c:spPr>
            <a:solidFill>
              <a:srgbClr val="673FFF"/>
            </a:solidFill>
            <a:ln w="12700">
              <a:solidFill>
                <a:srgbClr val="1B1B21"/>
              </a:solidFill>
            </a:ln>
            <a:effectLst/>
          </c:spPr>
          <c:invertIfNegative val="0"/>
          <c:val>
            <c:numRef>
              <c:f>Processing!$D$125:$G$125</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61-0B57-4B7C-94DF-B64A7F9298BE}"/>
            </c:ext>
          </c:extLst>
        </c:ser>
        <c:ser>
          <c:idx val="98"/>
          <c:order val="98"/>
          <c:spPr>
            <a:solidFill>
              <a:srgbClr val="178BFF"/>
            </a:solidFill>
            <a:ln w="12700">
              <a:solidFill>
                <a:srgbClr val="1B1B21"/>
              </a:solidFill>
            </a:ln>
            <a:effectLst/>
          </c:spPr>
          <c:invertIfNegative val="0"/>
          <c:val>
            <c:numRef>
              <c:f>Processing!$D$126:$G$126</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62-0B57-4B7C-94DF-B64A7F9298BE}"/>
            </c:ext>
          </c:extLst>
        </c:ser>
        <c:ser>
          <c:idx val="99"/>
          <c:order val="99"/>
          <c:spPr>
            <a:solidFill>
              <a:schemeClr val="bg1"/>
            </a:solidFill>
            <a:ln w="12700">
              <a:solidFill>
                <a:srgbClr val="1B1B21"/>
              </a:solidFill>
            </a:ln>
            <a:effectLst/>
          </c:spPr>
          <c:invertIfNegative val="0"/>
          <c:val>
            <c:numRef>
              <c:f>Processing!$D$127:$G$127</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63-0B57-4B7C-94DF-B64A7F9298BE}"/>
            </c:ext>
          </c:extLst>
        </c:ser>
        <c:ser>
          <c:idx val="100"/>
          <c:order val="100"/>
          <c:spPr>
            <a:solidFill>
              <a:srgbClr val="322664"/>
            </a:solidFill>
            <a:ln w="12700">
              <a:solidFill>
                <a:srgbClr val="1B1B21"/>
              </a:solidFill>
            </a:ln>
            <a:effectLst/>
          </c:spPr>
          <c:invertIfNegative val="0"/>
          <c:val>
            <c:numRef>
              <c:f>Processing!$D$128:$G$128</c:f>
              <c:numCache>
                <c:formatCode>General</c:formatCode>
                <c:ptCount val="4"/>
                <c:pt idx="0">
                  <c:v>0</c:v>
                </c:pt>
                <c:pt idx="1">
                  <c:v>1</c:v>
                </c:pt>
                <c:pt idx="2">
                  <c:v>1</c:v>
                </c:pt>
                <c:pt idx="3">
                  <c:v>0</c:v>
                </c:pt>
              </c:numCache>
            </c:numRef>
          </c:val>
          <c:extLst>
            <c:ext xmlns:c16="http://schemas.microsoft.com/office/drawing/2014/chart" uri="{C3380CC4-5D6E-409C-BE32-E72D297353CC}">
              <c16:uniqueId val="{00000064-0B57-4B7C-94DF-B64A7F9298BE}"/>
            </c:ext>
          </c:extLst>
        </c:ser>
        <c:ser>
          <c:idx val="101"/>
          <c:order val="101"/>
          <c:spPr>
            <a:solidFill>
              <a:srgbClr val="673FFF"/>
            </a:solidFill>
            <a:ln w="12700">
              <a:solidFill>
                <a:srgbClr val="1B1B21"/>
              </a:solidFill>
            </a:ln>
            <a:effectLst/>
          </c:spPr>
          <c:invertIfNegative val="0"/>
          <c:val>
            <c:numRef>
              <c:f>Processing!$D$129:$G$129</c:f>
              <c:numCache>
                <c:formatCode>General</c:formatCode>
                <c:ptCount val="4"/>
                <c:pt idx="0">
                  <c:v>1</c:v>
                </c:pt>
                <c:pt idx="1">
                  <c:v>0</c:v>
                </c:pt>
                <c:pt idx="2">
                  <c:v>0</c:v>
                </c:pt>
                <c:pt idx="3">
                  <c:v>1</c:v>
                </c:pt>
              </c:numCache>
            </c:numRef>
          </c:val>
          <c:extLst>
            <c:ext xmlns:c16="http://schemas.microsoft.com/office/drawing/2014/chart" uri="{C3380CC4-5D6E-409C-BE32-E72D297353CC}">
              <c16:uniqueId val="{00000065-0B57-4B7C-94DF-B64A7F9298BE}"/>
            </c:ext>
          </c:extLst>
        </c:ser>
        <c:ser>
          <c:idx val="102"/>
          <c:order val="102"/>
          <c:spPr>
            <a:solidFill>
              <a:srgbClr val="178BFF"/>
            </a:solidFill>
            <a:ln w="12700">
              <a:solidFill>
                <a:srgbClr val="1B1B21"/>
              </a:solidFill>
            </a:ln>
            <a:effectLst/>
          </c:spPr>
          <c:invertIfNegative val="0"/>
          <c:val>
            <c:numRef>
              <c:f>Processing!$D$130:$G$130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6-0B57-4B7C-94DF-B64A7F9298BE}"/>
            </c:ext>
          </c:extLst>
        </c:ser>
        <c:ser>
          <c:idx val="103"/>
          <c:order val="103"/>
          <c:spPr>
            <a:solidFill>
              <a:schemeClr val="bg1"/>
            </a:solidFill>
            <a:ln w="12700">
              <a:solidFill>
                <a:srgbClr val="1B1B21"/>
              </a:solidFill>
            </a:ln>
            <a:effectLst/>
          </c:spPr>
          <c:invertIfNegative val="0"/>
          <c:val>
            <c:numRef>
              <c:f>Processing!$D$131:$G$131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7-0B57-4B7C-94DF-B64A7F9298BE}"/>
            </c:ext>
          </c:extLst>
        </c:ser>
        <c:ser>
          <c:idx val="104"/>
          <c:order val="104"/>
          <c:spPr>
            <a:solidFill>
              <a:srgbClr val="322664"/>
            </a:solidFill>
            <a:ln w="12700">
              <a:solidFill>
                <a:srgbClr val="1B1B21"/>
              </a:solidFill>
            </a:ln>
            <a:effectLst/>
          </c:spPr>
          <c:invertIfNegative val="0"/>
          <c:val>
            <c:numRef>
              <c:f>Processing!$D$132:$G$132</c:f>
              <c:numCache>
                <c:formatCode>General</c:formatCode>
                <c:ptCount val="4"/>
                <c:pt idx="0">
                  <c:v>1</c:v>
                </c:pt>
                <c:pt idx="1">
                  <c:v>1</c:v>
                </c:pt>
                <c:pt idx="2">
                  <c:v>0</c:v>
                </c:pt>
                <c:pt idx="3">
                  <c:v>1</c:v>
                </c:pt>
              </c:numCache>
            </c:numRef>
          </c:val>
          <c:extLst>
            <c:ext xmlns:c16="http://schemas.microsoft.com/office/drawing/2014/chart" uri="{C3380CC4-5D6E-409C-BE32-E72D297353CC}">
              <c16:uniqueId val="{00000068-0B57-4B7C-94DF-B64A7F9298BE}"/>
            </c:ext>
          </c:extLst>
        </c:ser>
        <c:ser>
          <c:idx val="105"/>
          <c:order val="105"/>
          <c:spPr>
            <a:solidFill>
              <a:srgbClr val="673FFF"/>
            </a:solidFill>
            <a:ln w="12700">
              <a:solidFill>
                <a:srgbClr val="1B1B21"/>
              </a:solidFill>
            </a:ln>
            <a:effectLst/>
          </c:spPr>
          <c:invertIfNegative val="0"/>
          <c:val>
            <c:numRef>
              <c:f>Processing!$D$133:$G$133</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69-0B57-4B7C-94DF-B64A7F9298BE}"/>
            </c:ext>
          </c:extLst>
        </c:ser>
        <c:ser>
          <c:idx val="106"/>
          <c:order val="106"/>
          <c:spPr>
            <a:solidFill>
              <a:srgbClr val="178BFF"/>
            </a:solidFill>
            <a:ln w="12700">
              <a:solidFill>
                <a:srgbClr val="1B1B21"/>
              </a:solidFill>
            </a:ln>
            <a:effectLst/>
          </c:spPr>
          <c:invertIfNegative val="0"/>
          <c:val>
            <c:numRef>
              <c:f>Processing!$D$134:$G$134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A-0B57-4B7C-94DF-B64A7F9298BE}"/>
            </c:ext>
          </c:extLst>
        </c:ser>
        <c:ser>
          <c:idx val="107"/>
          <c:order val="107"/>
          <c:spPr>
            <a:solidFill>
              <a:schemeClr val="bg1"/>
            </a:solidFill>
            <a:ln w="12700">
              <a:solidFill>
                <a:srgbClr val="1B1B21"/>
              </a:solidFill>
            </a:ln>
            <a:effectLst/>
          </c:spPr>
          <c:invertIfNegative val="0"/>
          <c:val>
            <c:numRef>
              <c:f>Processing!$D$135:$G$135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B-0B57-4B7C-94DF-B64A7F9298BE}"/>
            </c:ext>
          </c:extLst>
        </c:ser>
        <c:ser>
          <c:idx val="108"/>
          <c:order val="108"/>
          <c:spPr>
            <a:solidFill>
              <a:srgbClr val="322664"/>
            </a:solidFill>
            <a:ln w="12700">
              <a:solidFill>
                <a:srgbClr val="1B1B21"/>
              </a:solidFill>
            </a:ln>
            <a:effectLst/>
          </c:spPr>
          <c:invertIfNegative val="0"/>
          <c:val>
            <c:numRef>
              <c:f>Processing!$D$136:$G$136</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6C-0B57-4B7C-94DF-B64A7F9298BE}"/>
            </c:ext>
          </c:extLst>
        </c:ser>
        <c:ser>
          <c:idx val="109"/>
          <c:order val="109"/>
          <c:spPr>
            <a:solidFill>
              <a:srgbClr val="673FFF"/>
            </a:solidFill>
            <a:ln w="12700">
              <a:solidFill>
                <a:srgbClr val="1B1B21"/>
              </a:solidFill>
            </a:ln>
            <a:effectLst/>
          </c:spPr>
          <c:invertIfNegative val="0"/>
          <c:val>
            <c:numRef>
              <c:f>Processing!$D$137:$G$137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D-0B57-4B7C-94DF-B64A7F9298BE}"/>
            </c:ext>
          </c:extLst>
        </c:ser>
        <c:ser>
          <c:idx val="110"/>
          <c:order val="110"/>
          <c:spPr>
            <a:solidFill>
              <a:srgbClr val="178BFF"/>
            </a:solidFill>
            <a:ln w="12700">
              <a:solidFill>
                <a:srgbClr val="1B1B21"/>
              </a:solidFill>
            </a:ln>
            <a:effectLst/>
          </c:spPr>
          <c:invertIfNegative val="0"/>
          <c:val>
            <c:numRef>
              <c:f>Processing!$D$138:$G$138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E-0B57-4B7C-94DF-B64A7F9298BE}"/>
            </c:ext>
          </c:extLst>
        </c:ser>
        <c:ser>
          <c:idx val="111"/>
          <c:order val="111"/>
          <c:spPr>
            <a:solidFill>
              <a:schemeClr val="bg1"/>
            </a:solidFill>
            <a:ln w="12700">
              <a:solidFill>
                <a:srgbClr val="1B1B21"/>
              </a:solidFill>
            </a:ln>
            <a:effectLst/>
          </c:spPr>
          <c:invertIfNegative val="0"/>
          <c:val>
            <c:numRef>
              <c:f>Processing!$D$139:$G$139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6F-0B57-4B7C-94DF-B64A7F9298BE}"/>
            </c:ext>
          </c:extLst>
        </c:ser>
        <c:dLbls>
          <c:showLegendKey val="0"/>
          <c:showVal val="0"/>
          <c:showCatName val="0"/>
          <c:showSerName val="0"/>
          <c:showPercent val="0"/>
          <c:showBubbleSize val="0"/>
        </c:dLbls>
        <c:gapWidth val="10"/>
        <c:overlap val="100"/>
        <c:axId val="648953791"/>
        <c:axId val="648991231"/>
      </c:barChart>
      <c:catAx>
        <c:axId val="648953791"/>
        <c:scaling>
          <c:orientation val="minMax"/>
        </c:scaling>
        <c:delete val="1"/>
        <c:axPos val="b"/>
        <c:majorTickMark val="out"/>
        <c:minorTickMark val="none"/>
        <c:tickLblPos val="nextTo"/>
        <c:crossAx val="648991231"/>
        <c:crosses val="autoZero"/>
        <c:auto val="1"/>
        <c:lblAlgn val="ctr"/>
        <c:lblOffset val="100"/>
        <c:noMultiLvlLbl val="0"/>
      </c:catAx>
      <c:valAx>
        <c:axId val="648991231"/>
        <c:scaling>
          <c:orientation val="minMax"/>
          <c:max val="28"/>
          <c:min val="0"/>
        </c:scaling>
        <c:delete val="1"/>
        <c:axPos val="l"/>
        <c:numFmt formatCode="General" sourceLinked="1"/>
        <c:majorTickMark val="out"/>
        <c:minorTickMark val="none"/>
        <c:tickLblPos val="nextTo"/>
        <c:crossAx val="64895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B2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solidFill>
              <a:srgbClr val="1AFFD5">
                <a:alpha val="30000"/>
              </a:srgbClr>
            </a:solidFill>
            <a:ln w="19050">
              <a:solidFill>
                <a:srgbClr val="1AFFD5"/>
              </a:solidFill>
            </a:ln>
            <a:effectLst>
              <a:outerShdw blurRad="50800" dist="38100" dir="5400000" algn="t" rotWithShape="0">
                <a:prstClr val="black">
                  <a:alpha val="40000"/>
                </a:prstClr>
              </a:outerShdw>
            </a:effectLst>
          </c:spPr>
          <c:val>
            <c:numRef>
              <c:f>Processing!$M$12:$M$16</c:f>
              <c:numCache>
                <c:formatCode>0%</c:formatCode>
                <c:ptCount val="5"/>
                <c:pt idx="0">
                  <c:v>1.24</c:v>
                </c:pt>
                <c:pt idx="1">
                  <c:v>1.06</c:v>
                </c:pt>
                <c:pt idx="2">
                  <c:v>1.08</c:v>
                </c:pt>
                <c:pt idx="3">
                  <c:v>0.91</c:v>
                </c:pt>
                <c:pt idx="4">
                  <c:v>1.07</c:v>
                </c:pt>
              </c:numCache>
            </c:numRef>
          </c:val>
          <c:extLst>
            <c:ext xmlns:c16="http://schemas.microsoft.com/office/drawing/2014/chart" uri="{C3380CC4-5D6E-409C-BE32-E72D297353CC}">
              <c16:uniqueId val="{00000000-44DA-4EF4-B637-D84C72918C67}"/>
            </c:ext>
          </c:extLst>
        </c:ser>
        <c:ser>
          <c:idx val="1"/>
          <c:order val="1"/>
          <c:spPr>
            <a:solidFill>
              <a:srgbClr val="F631B5">
                <a:alpha val="30000"/>
              </a:srgbClr>
            </a:solidFill>
            <a:ln w="19050">
              <a:solidFill>
                <a:srgbClr val="F631B5"/>
              </a:solidFill>
            </a:ln>
            <a:effectLst>
              <a:outerShdw blurRad="50800" dist="38100" dir="5400000" algn="t" rotWithShape="0">
                <a:prstClr val="black">
                  <a:alpha val="40000"/>
                </a:prstClr>
              </a:outerShdw>
            </a:effectLst>
          </c:spPr>
          <c:val>
            <c:numRef>
              <c:f>Processing!$N$12:$N$16</c:f>
              <c:numCache>
                <c:formatCode>0%</c:formatCode>
                <c:ptCount val="5"/>
                <c:pt idx="0">
                  <c:v>0.26</c:v>
                </c:pt>
                <c:pt idx="1">
                  <c:v>0.31</c:v>
                </c:pt>
                <c:pt idx="2">
                  <c:v>0.56000000000000005</c:v>
                </c:pt>
                <c:pt idx="3">
                  <c:v>0.7</c:v>
                </c:pt>
                <c:pt idx="4">
                  <c:v>0.3</c:v>
                </c:pt>
              </c:numCache>
            </c:numRef>
          </c:val>
          <c:extLst>
            <c:ext xmlns:c16="http://schemas.microsoft.com/office/drawing/2014/chart" uri="{C3380CC4-5D6E-409C-BE32-E72D297353CC}">
              <c16:uniqueId val="{00000001-44DA-4EF4-B637-D84C72918C67}"/>
            </c:ext>
          </c:extLst>
        </c:ser>
        <c:dLbls>
          <c:showLegendKey val="0"/>
          <c:showVal val="0"/>
          <c:showCatName val="0"/>
          <c:showSerName val="0"/>
          <c:showPercent val="0"/>
          <c:showBubbleSize val="0"/>
        </c:dLbls>
        <c:axId val="1805797359"/>
        <c:axId val="1805799759"/>
      </c:radarChart>
      <c:catAx>
        <c:axId val="1805797359"/>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1805799759"/>
        <c:crosses val="autoZero"/>
        <c:auto val="1"/>
        <c:lblAlgn val="ctr"/>
        <c:lblOffset val="100"/>
        <c:noMultiLvlLbl val="0"/>
      </c:catAx>
      <c:valAx>
        <c:axId val="1805799759"/>
        <c:scaling>
          <c:orientation val="minMax"/>
        </c:scaling>
        <c:delete val="1"/>
        <c:axPos val="l"/>
        <c:numFmt formatCode="0%" sourceLinked="1"/>
        <c:majorTickMark val="out"/>
        <c:minorTickMark val="none"/>
        <c:tickLblPos val="nextTo"/>
        <c:crossAx val="180579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114300</xdr:colOff>
      <xdr:row>1</xdr:row>
      <xdr:rowOff>502920</xdr:rowOff>
    </xdr:from>
    <xdr:to>
      <xdr:col>6</xdr:col>
      <xdr:colOff>388620</xdr:colOff>
      <xdr:row>34</xdr:row>
      <xdr:rowOff>0</xdr:rowOff>
    </xdr:to>
    <xdr:sp macro="" textlink="">
      <xdr:nvSpPr>
        <xdr:cNvPr id="3" name="Rectangle 2">
          <a:extLst>
            <a:ext uri="{FF2B5EF4-FFF2-40B4-BE49-F238E27FC236}">
              <a16:creationId xmlns:a16="http://schemas.microsoft.com/office/drawing/2014/main" id="{CDE4DD14-10AB-DE9D-BFD1-2995B2834ED0}"/>
            </a:ext>
          </a:extLst>
        </xdr:cNvPr>
        <xdr:cNvSpPr/>
      </xdr:nvSpPr>
      <xdr:spPr>
        <a:xfrm>
          <a:off x="114300" y="688450"/>
          <a:ext cx="3931920" cy="6030402"/>
        </a:xfrm>
        <a:prstGeom prst="rect">
          <a:avLst/>
        </a:prstGeom>
        <a:solidFill>
          <a:srgbClr val="1B1B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15240</xdr:colOff>
      <xdr:row>1</xdr:row>
      <xdr:rowOff>502920</xdr:rowOff>
    </xdr:from>
    <xdr:to>
      <xdr:col>23</xdr:col>
      <xdr:colOff>289560</xdr:colOff>
      <xdr:row>34</xdr:row>
      <xdr:rowOff>0</xdr:rowOff>
    </xdr:to>
    <xdr:sp macro="" textlink="">
      <xdr:nvSpPr>
        <xdr:cNvPr id="4" name="Rectangle 3">
          <a:extLst>
            <a:ext uri="{FF2B5EF4-FFF2-40B4-BE49-F238E27FC236}">
              <a16:creationId xmlns:a16="http://schemas.microsoft.com/office/drawing/2014/main" id="{3BB7C755-9554-963E-1A1F-A9C57F2396D9}"/>
            </a:ext>
          </a:extLst>
        </xdr:cNvPr>
        <xdr:cNvSpPr/>
      </xdr:nvSpPr>
      <xdr:spPr>
        <a:xfrm>
          <a:off x="10378440" y="688450"/>
          <a:ext cx="3931920" cy="6030402"/>
        </a:xfrm>
        <a:prstGeom prst="rect">
          <a:avLst/>
        </a:prstGeom>
        <a:gradFill flip="none" rotWithShape="1">
          <a:gsLst>
            <a:gs pos="0">
              <a:srgbClr val="1AFFD5">
                <a:alpha val="20000"/>
              </a:srgbClr>
            </a:gs>
            <a:gs pos="47000">
              <a:srgbClr val="1B1B21"/>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480060</xdr:colOff>
      <xdr:row>1</xdr:row>
      <xdr:rowOff>502920</xdr:rowOff>
    </xdr:from>
    <xdr:to>
      <xdr:col>11</xdr:col>
      <xdr:colOff>175260</xdr:colOff>
      <xdr:row>12</xdr:row>
      <xdr:rowOff>64008</xdr:rowOff>
    </xdr:to>
    <xdr:sp macro="" textlink="">
      <xdr:nvSpPr>
        <xdr:cNvPr id="5" name="Rectangle 4">
          <a:extLst>
            <a:ext uri="{FF2B5EF4-FFF2-40B4-BE49-F238E27FC236}">
              <a16:creationId xmlns:a16="http://schemas.microsoft.com/office/drawing/2014/main" id="{A352E5CD-4BC8-F358-4071-72CDB470A3EA}"/>
            </a:ext>
          </a:extLst>
        </xdr:cNvPr>
        <xdr:cNvSpPr/>
      </xdr:nvSpPr>
      <xdr:spPr>
        <a:xfrm>
          <a:off x="4137660" y="688450"/>
          <a:ext cx="2743200" cy="2012741"/>
        </a:xfrm>
        <a:prstGeom prst="rect">
          <a:avLst/>
        </a:prstGeom>
        <a:solidFill>
          <a:srgbClr val="1B1B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480060</xdr:colOff>
      <xdr:row>13</xdr:row>
      <xdr:rowOff>15240</xdr:rowOff>
    </xdr:from>
    <xdr:to>
      <xdr:col>11</xdr:col>
      <xdr:colOff>175260</xdr:colOff>
      <xdr:row>23</xdr:row>
      <xdr:rowOff>170688</xdr:rowOff>
    </xdr:to>
    <xdr:sp macro="" textlink="">
      <xdr:nvSpPr>
        <xdr:cNvPr id="6" name="Rectangle 5">
          <a:extLst>
            <a:ext uri="{FF2B5EF4-FFF2-40B4-BE49-F238E27FC236}">
              <a16:creationId xmlns:a16="http://schemas.microsoft.com/office/drawing/2014/main" id="{67EED500-7412-E5D6-BD0B-4D31FE3F5F67}"/>
            </a:ext>
          </a:extLst>
        </xdr:cNvPr>
        <xdr:cNvSpPr/>
      </xdr:nvSpPr>
      <xdr:spPr>
        <a:xfrm>
          <a:off x="4137660" y="2804160"/>
          <a:ext cx="2743200" cy="1984248"/>
        </a:xfrm>
        <a:prstGeom prst="rect">
          <a:avLst/>
        </a:prstGeom>
        <a:solidFill>
          <a:srgbClr val="1B1B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480060</xdr:colOff>
      <xdr:row>24</xdr:row>
      <xdr:rowOff>121920</xdr:rowOff>
    </xdr:from>
    <xdr:to>
      <xdr:col>11</xdr:col>
      <xdr:colOff>175260</xdr:colOff>
      <xdr:row>34</xdr:row>
      <xdr:rowOff>0</xdr:rowOff>
    </xdr:to>
    <xdr:sp macro="" textlink="">
      <xdr:nvSpPr>
        <xdr:cNvPr id="7" name="Rectangle 6">
          <a:extLst>
            <a:ext uri="{FF2B5EF4-FFF2-40B4-BE49-F238E27FC236}">
              <a16:creationId xmlns:a16="http://schemas.microsoft.com/office/drawing/2014/main" id="{91D15108-CD2E-4BCE-8366-69F1FFAA756D}"/>
            </a:ext>
          </a:extLst>
        </xdr:cNvPr>
        <xdr:cNvSpPr/>
      </xdr:nvSpPr>
      <xdr:spPr>
        <a:xfrm>
          <a:off x="4137660" y="4922520"/>
          <a:ext cx="2743200" cy="1706880"/>
        </a:xfrm>
        <a:prstGeom prst="rect">
          <a:avLst/>
        </a:prstGeom>
        <a:solidFill>
          <a:srgbClr val="1B1B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289560</xdr:colOff>
      <xdr:row>1</xdr:row>
      <xdr:rowOff>502920</xdr:rowOff>
    </xdr:from>
    <xdr:to>
      <xdr:col>16</xdr:col>
      <xdr:colOff>502920</xdr:colOff>
      <xdr:row>12</xdr:row>
      <xdr:rowOff>64008</xdr:rowOff>
    </xdr:to>
    <xdr:sp macro="" textlink="">
      <xdr:nvSpPr>
        <xdr:cNvPr id="8" name="Rectangle 7">
          <a:extLst>
            <a:ext uri="{FF2B5EF4-FFF2-40B4-BE49-F238E27FC236}">
              <a16:creationId xmlns:a16="http://schemas.microsoft.com/office/drawing/2014/main" id="{90304506-D41E-84CB-96DF-57B29A98603E}"/>
            </a:ext>
          </a:extLst>
        </xdr:cNvPr>
        <xdr:cNvSpPr/>
      </xdr:nvSpPr>
      <xdr:spPr>
        <a:xfrm>
          <a:off x="6995160" y="688450"/>
          <a:ext cx="3261360" cy="2012741"/>
        </a:xfrm>
        <a:prstGeom prst="rect">
          <a:avLst/>
        </a:prstGeom>
        <a:solidFill>
          <a:srgbClr val="1B1B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289560</xdr:colOff>
      <xdr:row>13</xdr:row>
      <xdr:rowOff>15240</xdr:rowOff>
    </xdr:from>
    <xdr:to>
      <xdr:col>16</xdr:col>
      <xdr:colOff>502920</xdr:colOff>
      <xdr:row>23</xdr:row>
      <xdr:rowOff>170688</xdr:rowOff>
    </xdr:to>
    <xdr:sp macro="" textlink="">
      <xdr:nvSpPr>
        <xdr:cNvPr id="9" name="Rectangle 8">
          <a:extLst>
            <a:ext uri="{FF2B5EF4-FFF2-40B4-BE49-F238E27FC236}">
              <a16:creationId xmlns:a16="http://schemas.microsoft.com/office/drawing/2014/main" id="{657139ED-F299-2577-046F-CC761F01D542}"/>
            </a:ext>
          </a:extLst>
        </xdr:cNvPr>
        <xdr:cNvSpPr/>
      </xdr:nvSpPr>
      <xdr:spPr>
        <a:xfrm>
          <a:off x="6995160" y="2837953"/>
          <a:ext cx="3261360" cy="2010752"/>
        </a:xfrm>
        <a:prstGeom prst="rect">
          <a:avLst/>
        </a:prstGeom>
        <a:solidFill>
          <a:srgbClr val="1B1B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289560</xdr:colOff>
      <xdr:row>24</xdr:row>
      <xdr:rowOff>121920</xdr:rowOff>
    </xdr:from>
    <xdr:to>
      <xdr:col>16</xdr:col>
      <xdr:colOff>502920</xdr:colOff>
      <xdr:row>34</xdr:row>
      <xdr:rowOff>0</xdr:rowOff>
    </xdr:to>
    <xdr:sp macro="" textlink="">
      <xdr:nvSpPr>
        <xdr:cNvPr id="10" name="Rectangle 9">
          <a:extLst>
            <a:ext uri="{FF2B5EF4-FFF2-40B4-BE49-F238E27FC236}">
              <a16:creationId xmlns:a16="http://schemas.microsoft.com/office/drawing/2014/main" id="{83A376D8-EF11-0A8A-4140-3EDCE23A9B65}"/>
            </a:ext>
          </a:extLst>
        </xdr:cNvPr>
        <xdr:cNvSpPr/>
      </xdr:nvSpPr>
      <xdr:spPr>
        <a:xfrm>
          <a:off x="6995160" y="4922520"/>
          <a:ext cx="3261360" cy="1706880"/>
        </a:xfrm>
        <a:prstGeom prst="rect">
          <a:avLst/>
        </a:prstGeom>
        <a:solidFill>
          <a:srgbClr val="1B1B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366606</xdr:colOff>
      <xdr:row>3</xdr:row>
      <xdr:rowOff>33584</xdr:rowOff>
    </xdr:from>
    <xdr:to>
      <xdr:col>14</xdr:col>
      <xdr:colOff>92286</xdr:colOff>
      <xdr:row>10</xdr:row>
      <xdr:rowOff>125024</xdr:rowOff>
    </xdr:to>
    <xdr:graphicFrame macro="">
      <xdr:nvGraphicFramePr>
        <xdr:cNvPr id="11" name="Chart 10">
          <a:extLst>
            <a:ext uri="{FF2B5EF4-FFF2-40B4-BE49-F238E27FC236}">
              <a16:creationId xmlns:a16="http://schemas.microsoft.com/office/drawing/2014/main" id="{A530C514-2911-4871-992E-F99EF10D8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99906</xdr:colOff>
      <xdr:row>3</xdr:row>
      <xdr:rowOff>33584</xdr:rowOff>
    </xdr:from>
    <xdr:to>
      <xdr:col>16</xdr:col>
      <xdr:colOff>435186</xdr:colOff>
      <xdr:row>10</xdr:row>
      <xdr:rowOff>125024</xdr:rowOff>
    </xdr:to>
    <xdr:graphicFrame macro="">
      <xdr:nvGraphicFramePr>
        <xdr:cNvPr id="12" name="Chart 11">
          <a:extLst>
            <a:ext uri="{FF2B5EF4-FFF2-40B4-BE49-F238E27FC236}">
              <a16:creationId xmlns:a16="http://schemas.microsoft.com/office/drawing/2014/main" id="{843238AA-0D1A-D67A-970E-D3769DC21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165908</xdr:colOff>
      <xdr:row>4</xdr:row>
      <xdr:rowOff>173528</xdr:rowOff>
    </xdr:from>
    <xdr:to>
      <xdr:col>13</xdr:col>
      <xdr:colOff>283672</xdr:colOff>
      <xdr:row>8</xdr:row>
      <xdr:rowOff>169372</xdr:rowOff>
    </xdr:to>
    <xdr:sp macro="" textlink="">
      <xdr:nvSpPr>
        <xdr:cNvPr id="13" name="Oval 12">
          <a:extLst>
            <a:ext uri="{FF2B5EF4-FFF2-40B4-BE49-F238E27FC236}">
              <a16:creationId xmlns:a16="http://schemas.microsoft.com/office/drawing/2014/main" id="{C4AE9571-2D9E-912F-F3A9-234D47DBD9F3}"/>
            </a:ext>
          </a:extLst>
        </xdr:cNvPr>
        <xdr:cNvSpPr/>
      </xdr:nvSpPr>
      <xdr:spPr>
        <a:xfrm>
          <a:off x="7481108" y="1316528"/>
          <a:ext cx="727364" cy="727364"/>
        </a:xfrm>
        <a:prstGeom prst="ellipse">
          <a:avLst/>
        </a:prstGeom>
        <a:noFill/>
        <a:ln>
          <a:solidFill>
            <a:srgbClr val="178B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508808</xdr:colOff>
      <xdr:row>4</xdr:row>
      <xdr:rowOff>173528</xdr:rowOff>
    </xdr:from>
    <xdr:to>
      <xdr:col>16</xdr:col>
      <xdr:colOff>16972</xdr:colOff>
      <xdr:row>8</xdr:row>
      <xdr:rowOff>169372</xdr:rowOff>
    </xdr:to>
    <xdr:sp macro="" textlink="">
      <xdr:nvSpPr>
        <xdr:cNvPr id="14" name="Oval 13">
          <a:extLst>
            <a:ext uri="{FF2B5EF4-FFF2-40B4-BE49-F238E27FC236}">
              <a16:creationId xmlns:a16="http://schemas.microsoft.com/office/drawing/2014/main" id="{5980911E-AB6A-F166-3F37-CE18CD0B7601}"/>
            </a:ext>
          </a:extLst>
        </xdr:cNvPr>
        <xdr:cNvSpPr/>
      </xdr:nvSpPr>
      <xdr:spPr>
        <a:xfrm>
          <a:off x="9043208" y="1316528"/>
          <a:ext cx="727364" cy="727364"/>
        </a:xfrm>
        <a:prstGeom prst="ellipse">
          <a:avLst/>
        </a:prstGeom>
        <a:noFill/>
        <a:ln>
          <a:solidFill>
            <a:srgbClr val="00E5B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243840</xdr:colOff>
      <xdr:row>13</xdr:row>
      <xdr:rowOff>167640</xdr:rowOff>
    </xdr:from>
    <xdr:to>
      <xdr:col>16</xdr:col>
      <xdr:colOff>533400</xdr:colOff>
      <xdr:row>23</xdr:row>
      <xdr:rowOff>76200</xdr:rowOff>
    </xdr:to>
    <xdr:graphicFrame macro="">
      <xdr:nvGraphicFramePr>
        <xdr:cNvPr id="15" name="Chart 14">
          <a:extLst>
            <a:ext uri="{FF2B5EF4-FFF2-40B4-BE49-F238E27FC236}">
              <a16:creationId xmlns:a16="http://schemas.microsoft.com/office/drawing/2014/main" id="{2506DB3C-14F6-4FD1-AECE-E1945E020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464820</xdr:colOff>
      <xdr:row>25</xdr:row>
      <xdr:rowOff>167640</xdr:rowOff>
    </xdr:from>
    <xdr:to>
      <xdr:col>17</xdr:col>
      <xdr:colOff>160020</xdr:colOff>
      <xdr:row>33</xdr:row>
      <xdr:rowOff>106680</xdr:rowOff>
    </xdr:to>
    <xdr:graphicFrame macro="">
      <xdr:nvGraphicFramePr>
        <xdr:cNvPr id="16" name="Chart 15">
          <a:extLst>
            <a:ext uri="{FF2B5EF4-FFF2-40B4-BE49-F238E27FC236}">
              <a16:creationId xmlns:a16="http://schemas.microsoft.com/office/drawing/2014/main" id="{39AC1005-D429-48F3-9A37-D234B280E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275323</xdr:colOff>
      <xdr:row>13</xdr:row>
      <xdr:rowOff>53340</xdr:rowOff>
    </xdr:from>
    <xdr:to>
      <xdr:col>10</xdr:col>
      <xdr:colOff>379997</xdr:colOff>
      <xdr:row>23</xdr:row>
      <xdr:rowOff>158014</xdr:rowOff>
    </xdr:to>
    <xdr:grpSp>
      <xdr:nvGrpSpPr>
        <xdr:cNvPr id="20" name="Group 19">
          <a:extLst>
            <a:ext uri="{FF2B5EF4-FFF2-40B4-BE49-F238E27FC236}">
              <a16:creationId xmlns:a16="http://schemas.microsoft.com/office/drawing/2014/main" id="{78462316-038D-44A0-B16A-A56CBE7BD312}"/>
            </a:ext>
          </a:extLst>
        </xdr:cNvPr>
        <xdr:cNvGrpSpPr/>
      </xdr:nvGrpSpPr>
      <xdr:grpSpPr>
        <a:xfrm>
          <a:off x="4423990" y="2932007"/>
          <a:ext cx="1882674" cy="2009674"/>
          <a:chOff x="4459604" y="2703094"/>
          <a:chExt cx="2194560" cy="2194560"/>
        </a:xfrm>
      </xdr:grpSpPr>
      <xdr:sp macro="" textlink="">
        <xdr:nvSpPr>
          <xdr:cNvPr id="17" name="Circle: Hollow 16">
            <a:extLst>
              <a:ext uri="{FF2B5EF4-FFF2-40B4-BE49-F238E27FC236}">
                <a16:creationId xmlns:a16="http://schemas.microsoft.com/office/drawing/2014/main" id="{F756587B-4C02-F503-CE0B-80EC26B7687F}"/>
              </a:ext>
            </a:extLst>
          </xdr:cNvPr>
          <xdr:cNvSpPr/>
        </xdr:nvSpPr>
        <xdr:spPr>
          <a:xfrm>
            <a:off x="4871084" y="3114574"/>
            <a:ext cx="1371600" cy="1371600"/>
          </a:xfrm>
          <a:prstGeom prst="donut">
            <a:avLst>
              <a:gd name="adj" fmla="val 22223"/>
            </a:avLst>
          </a:prstGeom>
          <a:gradFill>
            <a:gsLst>
              <a:gs pos="0">
                <a:srgbClr val="178BFF"/>
              </a:gs>
              <a:gs pos="100000">
                <a:srgbClr val="4AA5FF"/>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2" name="Chart 1">
            <a:extLst>
              <a:ext uri="{FF2B5EF4-FFF2-40B4-BE49-F238E27FC236}">
                <a16:creationId xmlns:a16="http://schemas.microsoft.com/office/drawing/2014/main" id="{5EB7C906-943B-4050-8924-D092C66A7BAF}"/>
              </a:ext>
            </a:extLst>
          </xdr:cNvPr>
          <xdr:cNvGraphicFramePr>
            <a:graphicFrameLocks/>
          </xdr:cNvGraphicFramePr>
        </xdr:nvGraphicFramePr>
        <xdr:xfrm>
          <a:off x="4459604" y="2703094"/>
          <a:ext cx="2194560" cy="21945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6</xdr:col>
      <xdr:colOff>525781</xdr:colOff>
      <xdr:row>3</xdr:row>
      <xdr:rowOff>56029</xdr:rowOff>
    </xdr:from>
    <xdr:to>
      <xdr:col>11</xdr:col>
      <xdr:colOff>205741</xdr:colOff>
      <xdr:row>12</xdr:row>
      <xdr:rowOff>14791</xdr:rowOff>
    </xdr:to>
    <xdr:graphicFrame macro="">
      <xdr:nvGraphicFramePr>
        <xdr:cNvPr id="21" name="Chart 20">
          <a:extLst>
            <a:ext uri="{FF2B5EF4-FFF2-40B4-BE49-F238E27FC236}">
              <a16:creationId xmlns:a16="http://schemas.microsoft.com/office/drawing/2014/main" id="{127A73F3-11C8-4A12-BC35-95AA7951B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259080</xdr:colOff>
      <xdr:row>5</xdr:row>
      <xdr:rowOff>167788</xdr:rowOff>
    </xdr:from>
    <xdr:to>
      <xdr:col>6</xdr:col>
      <xdr:colOff>190500</xdr:colOff>
      <xdr:row>26</xdr:row>
      <xdr:rowOff>122642</xdr:rowOff>
    </xdr:to>
    <xdr:graphicFrame macro="">
      <xdr:nvGraphicFramePr>
        <xdr:cNvPr id="18" name="Chart 17">
          <a:extLst>
            <a:ext uri="{FF2B5EF4-FFF2-40B4-BE49-F238E27FC236}">
              <a16:creationId xmlns:a16="http://schemas.microsoft.com/office/drawing/2014/main" id="{11CE5570-A55D-4794-9D73-7914E920A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304800</xdr:colOff>
      <xdr:row>27</xdr:row>
      <xdr:rowOff>121920</xdr:rowOff>
    </xdr:from>
    <xdr:to>
      <xdr:col>6</xdr:col>
      <xdr:colOff>182880</xdr:colOff>
      <xdr:row>33</xdr:row>
      <xdr:rowOff>129540</xdr:rowOff>
    </xdr:to>
    <xdr:graphicFrame macro="">
      <xdr:nvGraphicFramePr>
        <xdr:cNvPr id="66" name="Chart 65">
          <a:extLst>
            <a:ext uri="{FF2B5EF4-FFF2-40B4-BE49-F238E27FC236}">
              <a16:creationId xmlns:a16="http://schemas.microsoft.com/office/drawing/2014/main" id="{D191F6C8-B749-4186-8794-A6BFB376C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236220</xdr:colOff>
      <xdr:row>25</xdr:row>
      <xdr:rowOff>36112</xdr:rowOff>
    </xdr:from>
    <xdr:to>
      <xdr:col>10</xdr:col>
      <xdr:colOff>419100</xdr:colOff>
      <xdr:row>34</xdr:row>
      <xdr:rowOff>36112</xdr:rowOff>
    </xdr:to>
    <xdr:graphicFrame macro="">
      <xdr:nvGraphicFramePr>
        <xdr:cNvPr id="67" name="Chart 66">
          <a:extLst>
            <a:ext uri="{FF2B5EF4-FFF2-40B4-BE49-F238E27FC236}">
              <a16:creationId xmlns:a16="http://schemas.microsoft.com/office/drawing/2014/main" id="{883C70BA-8EA2-40EB-BFF9-1FA9A9489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426720</xdr:colOff>
      <xdr:row>8</xdr:row>
      <xdr:rowOff>106680</xdr:rowOff>
    </xdr:from>
    <xdr:to>
      <xdr:col>22</xdr:col>
      <xdr:colOff>495300</xdr:colOff>
      <xdr:row>25</xdr:row>
      <xdr:rowOff>169519</xdr:rowOff>
    </xdr:to>
    <xdr:grpSp>
      <xdr:nvGrpSpPr>
        <xdr:cNvPr id="90" name="Group 89">
          <a:extLst>
            <a:ext uri="{FF2B5EF4-FFF2-40B4-BE49-F238E27FC236}">
              <a16:creationId xmlns:a16="http://schemas.microsoft.com/office/drawing/2014/main" id="{8A325302-E775-5A12-B9CD-E2AFDD33019E}"/>
            </a:ext>
          </a:extLst>
        </xdr:cNvPr>
        <xdr:cNvGrpSpPr/>
      </xdr:nvGrpSpPr>
      <xdr:grpSpPr>
        <a:xfrm>
          <a:off x="10502053" y="2032847"/>
          <a:ext cx="3031914" cy="3301339"/>
          <a:chOff x="10789920" y="1752600"/>
          <a:chExt cx="3116580" cy="3171799"/>
        </a:xfrm>
      </xdr:grpSpPr>
      <xdr:sp macro="" textlink="">
        <xdr:nvSpPr>
          <xdr:cNvPr id="71" name="Oval 70">
            <a:extLst>
              <a:ext uri="{FF2B5EF4-FFF2-40B4-BE49-F238E27FC236}">
                <a16:creationId xmlns:a16="http://schemas.microsoft.com/office/drawing/2014/main" id="{281A42B5-4C92-3706-DB12-AFCD931C0CEC}"/>
              </a:ext>
            </a:extLst>
          </xdr:cNvPr>
          <xdr:cNvSpPr/>
        </xdr:nvSpPr>
        <xdr:spPr>
          <a:xfrm>
            <a:off x="11522570" y="2565526"/>
            <a:ext cx="1670771" cy="1733611"/>
          </a:xfrm>
          <a:prstGeom prst="ellipse">
            <a:avLst/>
          </a:prstGeom>
          <a:noFill/>
          <a:ln w="9525">
            <a:solidFill>
              <a:srgbClr val="00BC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9" name="Oval 68">
            <a:extLst>
              <a:ext uri="{FF2B5EF4-FFF2-40B4-BE49-F238E27FC236}">
                <a16:creationId xmlns:a16="http://schemas.microsoft.com/office/drawing/2014/main" id="{0E988BEB-5A3B-343D-921E-BD1096091386}"/>
              </a:ext>
            </a:extLst>
          </xdr:cNvPr>
          <xdr:cNvSpPr/>
        </xdr:nvSpPr>
        <xdr:spPr>
          <a:xfrm>
            <a:off x="10910549" y="1923235"/>
            <a:ext cx="2894812" cy="3001164"/>
          </a:xfrm>
          <a:prstGeom prst="ellipse">
            <a:avLst/>
          </a:prstGeom>
          <a:noFill/>
          <a:ln w="9525">
            <a:solidFill>
              <a:srgbClr val="00BC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0" name="Oval 69">
            <a:extLst>
              <a:ext uri="{FF2B5EF4-FFF2-40B4-BE49-F238E27FC236}">
                <a16:creationId xmlns:a16="http://schemas.microsoft.com/office/drawing/2014/main" id="{6ECE69FF-F5E7-1451-0361-30982AE3DBDB}"/>
              </a:ext>
            </a:extLst>
          </xdr:cNvPr>
          <xdr:cNvSpPr/>
        </xdr:nvSpPr>
        <xdr:spPr>
          <a:xfrm>
            <a:off x="11227728" y="2254175"/>
            <a:ext cx="2260455" cy="2342561"/>
          </a:xfrm>
          <a:prstGeom prst="ellipse">
            <a:avLst/>
          </a:prstGeom>
          <a:noFill/>
          <a:ln w="9525">
            <a:solidFill>
              <a:srgbClr val="00BC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2" name="Oval 71">
            <a:extLst>
              <a:ext uri="{FF2B5EF4-FFF2-40B4-BE49-F238E27FC236}">
                <a16:creationId xmlns:a16="http://schemas.microsoft.com/office/drawing/2014/main" id="{DD77BE3C-DFBE-5DF5-9326-169398D3337B}"/>
              </a:ext>
            </a:extLst>
          </xdr:cNvPr>
          <xdr:cNvSpPr/>
        </xdr:nvSpPr>
        <xdr:spPr>
          <a:xfrm>
            <a:off x="11821879" y="2922990"/>
            <a:ext cx="1072153" cy="1072389"/>
          </a:xfrm>
          <a:prstGeom prst="ellipse">
            <a:avLst/>
          </a:prstGeom>
          <a:noFill/>
          <a:ln w="9525">
            <a:solidFill>
              <a:srgbClr val="00BC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3" name="Oval 72">
            <a:extLst>
              <a:ext uri="{FF2B5EF4-FFF2-40B4-BE49-F238E27FC236}">
                <a16:creationId xmlns:a16="http://schemas.microsoft.com/office/drawing/2014/main" id="{CD12A89B-A078-0221-A336-104E2AE04FDF}"/>
              </a:ext>
            </a:extLst>
          </xdr:cNvPr>
          <xdr:cNvSpPr/>
        </xdr:nvSpPr>
        <xdr:spPr>
          <a:xfrm>
            <a:off x="12089917" y="3183199"/>
            <a:ext cx="536076" cy="536194"/>
          </a:xfrm>
          <a:prstGeom prst="ellipse">
            <a:avLst/>
          </a:prstGeom>
          <a:noFill/>
          <a:ln w="9525">
            <a:solidFill>
              <a:srgbClr val="00BC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74" name="Straight Connector 73">
            <a:extLst>
              <a:ext uri="{FF2B5EF4-FFF2-40B4-BE49-F238E27FC236}">
                <a16:creationId xmlns:a16="http://schemas.microsoft.com/office/drawing/2014/main" id="{5FBADBB8-14AD-9149-43AD-74FAB67484A8}"/>
              </a:ext>
            </a:extLst>
          </xdr:cNvPr>
          <xdr:cNvCxnSpPr/>
        </xdr:nvCxnSpPr>
        <xdr:spPr>
          <a:xfrm flipV="1">
            <a:off x="12357955" y="1752600"/>
            <a:ext cx="9305" cy="1706583"/>
          </a:xfrm>
          <a:prstGeom prst="line">
            <a:avLst/>
          </a:prstGeom>
          <a:ln w="9525">
            <a:solidFill>
              <a:srgbClr val="00BC98"/>
            </a:solidFill>
          </a:ln>
        </xdr:spPr>
        <xdr:style>
          <a:lnRef idx="2">
            <a:schemeClr val="accent1"/>
          </a:lnRef>
          <a:fillRef idx="0">
            <a:schemeClr val="accent1"/>
          </a:fillRef>
          <a:effectRef idx="1">
            <a:schemeClr val="accent1"/>
          </a:effectRef>
          <a:fontRef idx="minor">
            <a:schemeClr val="tx1"/>
          </a:fontRef>
        </xdr:style>
      </xdr:cxnSp>
      <xdr:cxnSp macro="">
        <xdr:nvCxnSpPr>
          <xdr:cNvPr id="75" name="Straight Connector 74">
            <a:extLst>
              <a:ext uri="{FF2B5EF4-FFF2-40B4-BE49-F238E27FC236}">
                <a16:creationId xmlns:a16="http://schemas.microsoft.com/office/drawing/2014/main" id="{9B9EC134-7342-C2B6-D2B3-C0CDF6238DEA}"/>
              </a:ext>
            </a:extLst>
          </xdr:cNvPr>
          <xdr:cNvCxnSpPr/>
        </xdr:nvCxnSpPr>
        <xdr:spPr>
          <a:xfrm flipV="1">
            <a:off x="11349038" y="3459183"/>
            <a:ext cx="1008917" cy="1355704"/>
          </a:xfrm>
          <a:prstGeom prst="line">
            <a:avLst/>
          </a:prstGeom>
          <a:ln w="9525">
            <a:solidFill>
              <a:srgbClr val="00BC98"/>
            </a:solidFill>
          </a:ln>
        </xdr:spPr>
        <xdr:style>
          <a:lnRef idx="2">
            <a:schemeClr val="accent1"/>
          </a:lnRef>
          <a:fillRef idx="0">
            <a:schemeClr val="accent1"/>
          </a:fillRef>
          <a:effectRef idx="1">
            <a:schemeClr val="accent1"/>
          </a:effectRef>
          <a:fontRef idx="minor">
            <a:schemeClr val="tx1"/>
          </a:fontRef>
        </xdr:style>
      </xdr:cxnSp>
      <xdr:cxnSp macro="">
        <xdr:nvCxnSpPr>
          <xdr:cNvPr id="76" name="Straight Connector 75">
            <a:extLst>
              <a:ext uri="{FF2B5EF4-FFF2-40B4-BE49-F238E27FC236}">
                <a16:creationId xmlns:a16="http://schemas.microsoft.com/office/drawing/2014/main" id="{AD50A782-8AD8-CC68-8C84-5682E8F5ED9E}"/>
              </a:ext>
            </a:extLst>
          </xdr:cNvPr>
          <xdr:cNvCxnSpPr/>
        </xdr:nvCxnSpPr>
        <xdr:spPr>
          <a:xfrm>
            <a:off x="12357955" y="3459183"/>
            <a:ext cx="1038958" cy="1369992"/>
          </a:xfrm>
          <a:prstGeom prst="line">
            <a:avLst/>
          </a:prstGeom>
          <a:ln w="9525">
            <a:solidFill>
              <a:srgbClr val="00BC98"/>
            </a:solidFill>
          </a:ln>
        </xdr:spPr>
        <xdr:style>
          <a:lnRef idx="2">
            <a:schemeClr val="accent1"/>
          </a:lnRef>
          <a:fillRef idx="0">
            <a:schemeClr val="accent1"/>
          </a:fillRef>
          <a:effectRef idx="1">
            <a:schemeClr val="accent1"/>
          </a:effectRef>
          <a:fontRef idx="minor">
            <a:schemeClr val="tx1"/>
          </a:fontRef>
        </xdr:style>
      </xdr:cxnSp>
      <xdr:cxnSp macro="">
        <xdr:nvCxnSpPr>
          <xdr:cNvPr id="77" name="Straight Connector 76">
            <a:extLst>
              <a:ext uri="{FF2B5EF4-FFF2-40B4-BE49-F238E27FC236}">
                <a16:creationId xmlns:a16="http://schemas.microsoft.com/office/drawing/2014/main" id="{E59E9F34-AF25-A0AC-922A-6D4E3E69F3AA}"/>
              </a:ext>
            </a:extLst>
          </xdr:cNvPr>
          <xdr:cNvCxnSpPr/>
        </xdr:nvCxnSpPr>
        <xdr:spPr>
          <a:xfrm flipV="1">
            <a:off x="12349021" y="2887980"/>
            <a:ext cx="1557479" cy="588885"/>
          </a:xfrm>
          <a:prstGeom prst="line">
            <a:avLst/>
          </a:prstGeom>
          <a:ln w="9525">
            <a:solidFill>
              <a:srgbClr val="00BC98"/>
            </a:solidFill>
          </a:ln>
        </xdr:spPr>
        <xdr:style>
          <a:lnRef idx="2">
            <a:schemeClr val="accent1"/>
          </a:lnRef>
          <a:fillRef idx="0">
            <a:schemeClr val="accent1"/>
          </a:fillRef>
          <a:effectRef idx="1">
            <a:schemeClr val="accent1"/>
          </a:effectRef>
          <a:fontRef idx="minor">
            <a:schemeClr val="tx1"/>
          </a:fontRef>
        </xdr:style>
      </xdr:cxnSp>
      <xdr:cxnSp macro="">
        <xdr:nvCxnSpPr>
          <xdr:cNvPr id="78" name="Straight Connector 77">
            <a:extLst>
              <a:ext uri="{FF2B5EF4-FFF2-40B4-BE49-F238E27FC236}">
                <a16:creationId xmlns:a16="http://schemas.microsoft.com/office/drawing/2014/main" id="{DB4346E0-01BA-6D02-99B1-83E929A0D8CE}"/>
              </a:ext>
            </a:extLst>
          </xdr:cNvPr>
          <xdr:cNvCxnSpPr/>
        </xdr:nvCxnSpPr>
        <xdr:spPr>
          <a:xfrm flipH="1" flipV="1">
            <a:off x="10789920" y="2902637"/>
            <a:ext cx="1576970" cy="574227"/>
          </a:xfrm>
          <a:prstGeom prst="line">
            <a:avLst/>
          </a:prstGeom>
          <a:ln w="9525">
            <a:solidFill>
              <a:srgbClr val="00BC98"/>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17</xdr:col>
      <xdr:colOff>302018</xdr:colOff>
      <xdr:row>8</xdr:row>
      <xdr:rowOff>173735</xdr:rowOff>
    </xdr:from>
    <xdr:to>
      <xdr:col>23</xdr:col>
      <xdr:colOff>48503</xdr:colOff>
      <xdr:row>26</xdr:row>
      <xdr:rowOff>99061</xdr:rowOff>
    </xdr:to>
    <xdr:graphicFrame macro="">
      <xdr:nvGraphicFramePr>
        <xdr:cNvPr id="79" name="Chart 78">
          <a:extLst>
            <a:ext uri="{FF2B5EF4-FFF2-40B4-BE49-F238E27FC236}">
              <a16:creationId xmlns:a16="http://schemas.microsoft.com/office/drawing/2014/main" id="{C2979809-D40A-146B-B251-F9B9EB44C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18</xdr:col>
      <xdr:colOff>137160</xdr:colOff>
      <xdr:row>28</xdr:row>
      <xdr:rowOff>45720</xdr:rowOff>
    </xdr:from>
    <xdr:to>
      <xdr:col>22</xdr:col>
      <xdr:colOff>281940</xdr:colOff>
      <xdr:row>30</xdr:row>
      <xdr:rowOff>129539</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DED2D9A6-1F12-400F-AEC5-91E7E5D9F5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09960" y="5577840"/>
              <a:ext cx="2583180" cy="44957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198120</xdr:colOff>
      <xdr:row>30</xdr:row>
      <xdr:rowOff>30480</xdr:rowOff>
    </xdr:from>
    <xdr:to>
      <xdr:col>23</xdr:col>
      <xdr:colOff>76200</xdr:colOff>
      <xdr:row>34</xdr:row>
      <xdr:rowOff>7620</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B912B7F0-94CD-4C5A-971A-3ED1A5F266D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61320" y="5928360"/>
              <a:ext cx="3535680" cy="7086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300446</xdr:colOff>
      <xdr:row>20</xdr:row>
      <xdr:rowOff>120548</xdr:rowOff>
    </xdr:from>
    <xdr:to>
      <xdr:col>3</xdr:col>
      <xdr:colOff>414746</xdr:colOff>
      <xdr:row>21</xdr:row>
      <xdr:rowOff>51968</xdr:rowOff>
    </xdr:to>
    <xdr:sp macro="" textlink="">
      <xdr:nvSpPr>
        <xdr:cNvPr id="24" name="Oval 23">
          <a:extLst>
            <a:ext uri="{FF2B5EF4-FFF2-40B4-BE49-F238E27FC236}">
              <a16:creationId xmlns:a16="http://schemas.microsoft.com/office/drawing/2014/main" id="{64AEAD02-2D86-0897-155E-EFE05ECAD88D}"/>
            </a:ext>
          </a:extLst>
        </xdr:cNvPr>
        <xdr:cNvSpPr/>
      </xdr:nvSpPr>
      <xdr:spPr>
        <a:xfrm>
          <a:off x="2129246" y="4241974"/>
          <a:ext cx="114300" cy="116951"/>
        </a:xfrm>
        <a:prstGeom prst="ellipse">
          <a:avLst/>
        </a:prstGeom>
        <a:noFill/>
        <a:ln>
          <a:solidFill>
            <a:srgbClr val="E34F1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300446</xdr:colOff>
      <xdr:row>21</xdr:row>
      <xdr:rowOff>129256</xdr:rowOff>
    </xdr:from>
    <xdr:to>
      <xdr:col>3</xdr:col>
      <xdr:colOff>414746</xdr:colOff>
      <xdr:row>22</xdr:row>
      <xdr:rowOff>60676</xdr:rowOff>
    </xdr:to>
    <xdr:sp macro="" textlink="">
      <xdr:nvSpPr>
        <xdr:cNvPr id="25" name="Oval 24">
          <a:extLst>
            <a:ext uri="{FF2B5EF4-FFF2-40B4-BE49-F238E27FC236}">
              <a16:creationId xmlns:a16="http://schemas.microsoft.com/office/drawing/2014/main" id="{E39809AB-772B-53A8-CCC2-4C5BE68C6270}"/>
            </a:ext>
          </a:extLst>
        </xdr:cNvPr>
        <xdr:cNvSpPr/>
      </xdr:nvSpPr>
      <xdr:spPr>
        <a:xfrm>
          <a:off x="2129246" y="4436213"/>
          <a:ext cx="114300" cy="116950"/>
        </a:xfrm>
        <a:prstGeom prst="ellipse">
          <a:avLst/>
        </a:prstGeom>
        <a:noFill/>
        <a:ln>
          <a:solidFill>
            <a:srgbClr val="00C74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300446</xdr:colOff>
      <xdr:row>22</xdr:row>
      <xdr:rowOff>124901</xdr:rowOff>
    </xdr:from>
    <xdr:to>
      <xdr:col>3</xdr:col>
      <xdr:colOff>414746</xdr:colOff>
      <xdr:row>23</xdr:row>
      <xdr:rowOff>56321</xdr:rowOff>
    </xdr:to>
    <xdr:sp macro="" textlink="">
      <xdr:nvSpPr>
        <xdr:cNvPr id="26" name="Oval 25">
          <a:extLst>
            <a:ext uri="{FF2B5EF4-FFF2-40B4-BE49-F238E27FC236}">
              <a16:creationId xmlns:a16="http://schemas.microsoft.com/office/drawing/2014/main" id="{26E8D017-E744-6316-D301-F906933AE87E}"/>
            </a:ext>
          </a:extLst>
        </xdr:cNvPr>
        <xdr:cNvSpPr/>
      </xdr:nvSpPr>
      <xdr:spPr>
        <a:xfrm>
          <a:off x="2129246" y="4617388"/>
          <a:ext cx="114300" cy="116950"/>
        </a:xfrm>
        <a:prstGeom prst="ellipse">
          <a:avLst/>
        </a:prstGeom>
        <a:noFill/>
        <a:ln>
          <a:solidFill>
            <a:srgbClr val="1AFFD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300446</xdr:colOff>
      <xdr:row>23</xdr:row>
      <xdr:rowOff>124901</xdr:rowOff>
    </xdr:from>
    <xdr:to>
      <xdr:col>3</xdr:col>
      <xdr:colOff>414746</xdr:colOff>
      <xdr:row>24</xdr:row>
      <xdr:rowOff>56321</xdr:rowOff>
    </xdr:to>
    <xdr:sp macro="" textlink="">
      <xdr:nvSpPr>
        <xdr:cNvPr id="27" name="Oval 26">
          <a:extLst>
            <a:ext uri="{FF2B5EF4-FFF2-40B4-BE49-F238E27FC236}">
              <a16:creationId xmlns:a16="http://schemas.microsoft.com/office/drawing/2014/main" id="{6407F4F7-4141-BA03-8E1E-1788FB1162F4}"/>
            </a:ext>
          </a:extLst>
        </xdr:cNvPr>
        <xdr:cNvSpPr/>
      </xdr:nvSpPr>
      <xdr:spPr>
        <a:xfrm>
          <a:off x="2129246" y="4802918"/>
          <a:ext cx="114300" cy="116951"/>
        </a:xfrm>
        <a:prstGeom prst="ellipse">
          <a:avLst/>
        </a:prstGeom>
        <a:noFill/>
        <a:ln>
          <a:solidFill>
            <a:srgbClr val="178B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300446</xdr:colOff>
      <xdr:row>24</xdr:row>
      <xdr:rowOff>129256</xdr:rowOff>
    </xdr:from>
    <xdr:to>
      <xdr:col>3</xdr:col>
      <xdr:colOff>414746</xdr:colOff>
      <xdr:row>25</xdr:row>
      <xdr:rowOff>60676</xdr:rowOff>
    </xdr:to>
    <xdr:sp macro="" textlink="">
      <xdr:nvSpPr>
        <xdr:cNvPr id="28" name="Oval 27">
          <a:extLst>
            <a:ext uri="{FF2B5EF4-FFF2-40B4-BE49-F238E27FC236}">
              <a16:creationId xmlns:a16="http://schemas.microsoft.com/office/drawing/2014/main" id="{64EBB903-C5D1-FE1D-541A-2362E2C7B319}"/>
            </a:ext>
          </a:extLst>
        </xdr:cNvPr>
        <xdr:cNvSpPr/>
      </xdr:nvSpPr>
      <xdr:spPr>
        <a:xfrm>
          <a:off x="2129246" y="4992804"/>
          <a:ext cx="114300" cy="116950"/>
        </a:xfrm>
        <a:prstGeom prst="ellipse">
          <a:avLst/>
        </a:prstGeom>
        <a:noFill/>
        <a:ln>
          <a:solidFill>
            <a:srgbClr val="673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437321</xdr:colOff>
      <xdr:row>20</xdr:row>
      <xdr:rowOff>39758</xdr:rowOff>
    </xdr:from>
    <xdr:to>
      <xdr:col>5</xdr:col>
      <xdr:colOff>477078</xdr:colOff>
      <xdr:row>21</xdr:row>
      <xdr:rowOff>79513</xdr:rowOff>
    </xdr:to>
    <xdr:sp macro="" textlink="Processing!B1">
      <xdr:nvSpPr>
        <xdr:cNvPr id="29" name="TextBox 28">
          <a:extLst>
            <a:ext uri="{FF2B5EF4-FFF2-40B4-BE49-F238E27FC236}">
              <a16:creationId xmlns:a16="http://schemas.microsoft.com/office/drawing/2014/main" id="{6FA77AF2-9A06-2B85-5728-54B765650572}"/>
            </a:ext>
          </a:extLst>
        </xdr:cNvPr>
        <xdr:cNvSpPr txBox="1"/>
      </xdr:nvSpPr>
      <xdr:spPr>
        <a:xfrm>
          <a:off x="2266121" y="4161184"/>
          <a:ext cx="1258957"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C40968-BDCD-4984-8271-1520AFEE1C25}" type="TxLink">
            <a:rPr lang="en-US" sz="1100" b="0" i="0" u="none" strike="noStrike">
              <a:solidFill>
                <a:schemeClr val="bg1">
                  <a:lumMod val="65000"/>
                </a:schemeClr>
              </a:solidFill>
              <a:latin typeface="Aptos Narrow"/>
            </a:rPr>
            <a:pPr/>
            <a:t>Management</a:t>
          </a:fld>
          <a:endParaRPr lang="ru-RU" sz="1100">
            <a:solidFill>
              <a:schemeClr val="bg1">
                <a:lumMod val="65000"/>
              </a:schemeClr>
            </a:solidFill>
          </a:endParaRPr>
        </a:p>
      </xdr:txBody>
    </xdr:sp>
    <xdr:clientData/>
  </xdr:twoCellAnchor>
  <xdr:twoCellAnchor>
    <xdr:from>
      <xdr:col>3</xdr:col>
      <xdr:colOff>437321</xdr:colOff>
      <xdr:row>21</xdr:row>
      <xdr:rowOff>46383</xdr:rowOff>
    </xdr:from>
    <xdr:to>
      <xdr:col>5</xdr:col>
      <xdr:colOff>477078</xdr:colOff>
      <xdr:row>22</xdr:row>
      <xdr:rowOff>86139</xdr:rowOff>
    </xdr:to>
    <xdr:sp macro="" textlink="Processing!C1">
      <xdr:nvSpPr>
        <xdr:cNvPr id="30" name="TextBox 29">
          <a:extLst>
            <a:ext uri="{FF2B5EF4-FFF2-40B4-BE49-F238E27FC236}">
              <a16:creationId xmlns:a16="http://schemas.microsoft.com/office/drawing/2014/main" id="{78B5295F-1441-1B52-37FE-9829D4179693}"/>
            </a:ext>
          </a:extLst>
        </xdr:cNvPr>
        <xdr:cNvSpPr txBox="1"/>
      </xdr:nvSpPr>
      <xdr:spPr>
        <a:xfrm>
          <a:off x="2266121" y="4353340"/>
          <a:ext cx="1258957"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FDAA9D-A3F8-4347-8987-B3F10245716C}" type="TxLink">
            <a:rPr lang="en-US" sz="1100" b="0" i="0" u="none" strike="noStrike">
              <a:solidFill>
                <a:schemeClr val="bg1">
                  <a:lumMod val="65000"/>
                </a:schemeClr>
              </a:solidFill>
              <a:latin typeface="Aptos Narrow"/>
            </a:rPr>
            <a:pPr/>
            <a:t>Administrative staff</a:t>
          </a:fld>
          <a:endParaRPr lang="ru-RU" sz="1100">
            <a:solidFill>
              <a:schemeClr val="bg1">
                <a:lumMod val="65000"/>
              </a:schemeClr>
            </a:solidFill>
          </a:endParaRPr>
        </a:p>
      </xdr:txBody>
    </xdr:sp>
    <xdr:clientData/>
  </xdr:twoCellAnchor>
  <xdr:twoCellAnchor>
    <xdr:from>
      <xdr:col>3</xdr:col>
      <xdr:colOff>437321</xdr:colOff>
      <xdr:row>22</xdr:row>
      <xdr:rowOff>53009</xdr:rowOff>
    </xdr:from>
    <xdr:to>
      <xdr:col>5</xdr:col>
      <xdr:colOff>477078</xdr:colOff>
      <xdr:row>23</xdr:row>
      <xdr:rowOff>92765</xdr:rowOff>
    </xdr:to>
    <xdr:sp macro="" textlink="Processing!D1">
      <xdr:nvSpPr>
        <xdr:cNvPr id="31" name="TextBox 30">
          <a:extLst>
            <a:ext uri="{FF2B5EF4-FFF2-40B4-BE49-F238E27FC236}">
              <a16:creationId xmlns:a16="http://schemas.microsoft.com/office/drawing/2014/main" id="{7FCD3948-004C-8737-A3BF-1FA70C68E217}"/>
            </a:ext>
          </a:extLst>
        </xdr:cNvPr>
        <xdr:cNvSpPr txBox="1"/>
      </xdr:nvSpPr>
      <xdr:spPr>
        <a:xfrm>
          <a:off x="2266121" y="4545496"/>
          <a:ext cx="1258957"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B534A5-4DBA-4440-88F2-7663EBC74243}" type="TxLink">
            <a:rPr lang="en-US" sz="1100" b="0" i="0" u="none" strike="noStrike">
              <a:solidFill>
                <a:schemeClr val="bg1">
                  <a:lumMod val="65000"/>
                </a:schemeClr>
              </a:solidFill>
              <a:latin typeface="Aptos Narrow"/>
            </a:rPr>
            <a:pPr/>
            <a:t>Sales department</a:t>
          </a:fld>
          <a:endParaRPr lang="ru-RU" sz="1100">
            <a:solidFill>
              <a:schemeClr val="bg1">
                <a:lumMod val="65000"/>
              </a:schemeClr>
            </a:solidFill>
          </a:endParaRPr>
        </a:p>
      </xdr:txBody>
    </xdr:sp>
    <xdr:clientData/>
  </xdr:twoCellAnchor>
  <xdr:twoCellAnchor>
    <xdr:from>
      <xdr:col>3</xdr:col>
      <xdr:colOff>437321</xdr:colOff>
      <xdr:row>23</xdr:row>
      <xdr:rowOff>59635</xdr:rowOff>
    </xdr:from>
    <xdr:to>
      <xdr:col>5</xdr:col>
      <xdr:colOff>477078</xdr:colOff>
      <xdr:row>24</xdr:row>
      <xdr:rowOff>99390</xdr:rowOff>
    </xdr:to>
    <xdr:sp macro="" textlink="Processing!E1">
      <xdr:nvSpPr>
        <xdr:cNvPr id="32" name="TextBox 31">
          <a:extLst>
            <a:ext uri="{FF2B5EF4-FFF2-40B4-BE49-F238E27FC236}">
              <a16:creationId xmlns:a16="http://schemas.microsoft.com/office/drawing/2014/main" id="{94803746-DED9-D6EB-BFC5-F59D89705AA5}"/>
            </a:ext>
          </a:extLst>
        </xdr:cNvPr>
        <xdr:cNvSpPr txBox="1"/>
      </xdr:nvSpPr>
      <xdr:spPr>
        <a:xfrm>
          <a:off x="2266121" y="4737652"/>
          <a:ext cx="1258957"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A8D0CC-DCD7-4D8B-B99A-ADA34F0D022E}" type="TxLink">
            <a:rPr lang="en-US" sz="1100" b="0" i="0" u="none" strike="noStrike">
              <a:solidFill>
                <a:schemeClr val="bg1">
                  <a:lumMod val="65000"/>
                </a:schemeClr>
              </a:solidFill>
              <a:latin typeface="Aptos Narrow"/>
            </a:rPr>
            <a:pPr/>
            <a:t>Production department</a:t>
          </a:fld>
          <a:endParaRPr lang="ru-RU" sz="1100">
            <a:solidFill>
              <a:schemeClr val="bg1">
                <a:lumMod val="65000"/>
              </a:schemeClr>
            </a:solidFill>
          </a:endParaRPr>
        </a:p>
      </xdr:txBody>
    </xdr:sp>
    <xdr:clientData/>
  </xdr:twoCellAnchor>
  <xdr:twoCellAnchor>
    <xdr:from>
      <xdr:col>3</xdr:col>
      <xdr:colOff>437321</xdr:colOff>
      <xdr:row>24</xdr:row>
      <xdr:rowOff>66262</xdr:rowOff>
    </xdr:from>
    <xdr:to>
      <xdr:col>5</xdr:col>
      <xdr:colOff>477078</xdr:colOff>
      <xdr:row>25</xdr:row>
      <xdr:rowOff>106018</xdr:rowOff>
    </xdr:to>
    <xdr:sp macro="" textlink="Processing!F1">
      <xdr:nvSpPr>
        <xdr:cNvPr id="33" name="TextBox 32">
          <a:extLst>
            <a:ext uri="{FF2B5EF4-FFF2-40B4-BE49-F238E27FC236}">
              <a16:creationId xmlns:a16="http://schemas.microsoft.com/office/drawing/2014/main" id="{06137B7E-956B-0838-31BA-2F1ACB8C9FF8}"/>
            </a:ext>
          </a:extLst>
        </xdr:cNvPr>
        <xdr:cNvSpPr txBox="1"/>
      </xdr:nvSpPr>
      <xdr:spPr>
        <a:xfrm>
          <a:off x="2266121" y="4929810"/>
          <a:ext cx="1258957"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2F3007-84C5-4F4D-8658-85E788268D5C}" type="TxLink">
            <a:rPr lang="en-US" sz="1100" b="0" i="0" u="none" strike="noStrike">
              <a:solidFill>
                <a:schemeClr val="bg1">
                  <a:lumMod val="65000"/>
                </a:schemeClr>
              </a:solidFill>
              <a:latin typeface="Aptos Narrow"/>
            </a:rPr>
            <a:pPr/>
            <a:t>Logistics department</a:t>
          </a:fld>
          <a:endParaRPr lang="ru-RU" sz="1100">
            <a:solidFill>
              <a:schemeClr val="bg1">
                <a:lumMod val="65000"/>
              </a:schemeClr>
            </a:solidFill>
          </a:endParaRPr>
        </a:p>
      </xdr:txBody>
    </xdr:sp>
    <xdr:clientData/>
  </xdr:twoCellAnchor>
  <xdr:twoCellAnchor>
    <xdr:from>
      <xdr:col>1</xdr:col>
      <xdr:colOff>599329</xdr:colOff>
      <xdr:row>2</xdr:row>
      <xdr:rowOff>39757</xdr:rowOff>
    </xdr:from>
    <xdr:to>
      <xdr:col>4</xdr:col>
      <xdr:colOff>513191</xdr:colOff>
      <xdr:row>3</xdr:row>
      <xdr:rowOff>178903</xdr:rowOff>
    </xdr:to>
    <xdr:sp macro="" textlink="Processing!A1">
      <xdr:nvSpPr>
        <xdr:cNvPr id="34" name="TextBox 33">
          <a:extLst>
            <a:ext uri="{FF2B5EF4-FFF2-40B4-BE49-F238E27FC236}">
              <a16:creationId xmlns:a16="http://schemas.microsoft.com/office/drawing/2014/main" id="{CC7E98B9-BD72-95CD-9BB0-B1060B5A07A0}"/>
            </a:ext>
          </a:extLst>
        </xdr:cNvPr>
        <xdr:cNvSpPr txBox="1"/>
      </xdr:nvSpPr>
      <xdr:spPr>
        <a:xfrm>
          <a:off x="1208929" y="821635"/>
          <a:ext cx="1742662" cy="324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223213-EC55-4A30-A21A-CA0C6C3064E8}" type="TxLink">
            <a:rPr lang="en-US" sz="1400" b="0" i="0" u="none" strike="noStrike">
              <a:solidFill>
                <a:schemeClr val="bg1"/>
              </a:solidFill>
              <a:latin typeface="Aptos Narrow"/>
            </a:rPr>
            <a:pPr/>
            <a:t>Employee Categories</a:t>
          </a:fld>
          <a:endParaRPr lang="ru-RU" sz="1400">
            <a:solidFill>
              <a:schemeClr val="bg1"/>
            </a:solidFill>
          </a:endParaRPr>
        </a:p>
      </xdr:txBody>
    </xdr:sp>
    <xdr:clientData/>
  </xdr:twoCellAnchor>
  <xdr:twoCellAnchor>
    <xdr:from>
      <xdr:col>7</xdr:col>
      <xdr:colOff>370729</xdr:colOff>
      <xdr:row>2</xdr:row>
      <xdr:rowOff>39757</xdr:rowOff>
    </xdr:from>
    <xdr:to>
      <xdr:col>10</xdr:col>
      <xdr:colOff>284591</xdr:colOff>
      <xdr:row>3</xdr:row>
      <xdr:rowOff>178903</xdr:rowOff>
    </xdr:to>
    <xdr:sp macro="" textlink="Processing!M1">
      <xdr:nvSpPr>
        <xdr:cNvPr id="35" name="TextBox 34">
          <a:extLst>
            <a:ext uri="{FF2B5EF4-FFF2-40B4-BE49-F238E27FC236}">
              <a16:creationId xmlns:a16="http://schemas.microsoft.com/office/drawing/2014/main" id="{CAF870FB-E561-426A-8E88-ADDF9FBAE905}"/>
            </a:ext>
          </a:extLst>
        </xdr:cNvPr>
        <xdr:cNvSpPr txBox="1"/>
      </xdr:nvSpPr>
      <xdr:spPr>
        <a:xfrm>
          <a:off x="4637929" y="821635"/>
          <a:ext cx="1742662" cy="324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D729903-8B46-41D0-A049-3A700BA33E4A}" type="TxLink">
            <a:rPr lang="en-US" sz="1400" b="0" i="0" u="none" strike="noStrike">
              <a:solidFill>
                <a:schemeClr val="bg1"/>
              </a:solidFill>
              <a:latin typeface="Aptos Narrow"/>
              <a:ea typeface="+mn-ea"/>
              <a:cs typeface="+mn-cs"/>
            </a:rPr>
            <a:pPr marL="0" indent="0" algn="ctr"/>
            <a:t>Payroll Forecast</a:t>
          </a:fld>
          <a:endParaRPr lang="ru-RU" sz="1400" b="0" i="0" u="none" strike="noStrike">
            <a:solidFill>
              <a:schemeClr val="bg1"/>
            </a:solidFill>
            <a:latin typeface="Aptos Narrow"/>
            <a:ea typeface="+mn-ea"/>
            <a:cs typeface="+mn-cs"/>
          </a:endParaRPr>
        </a:p>
      </xdr:txBody>
    </xdr:sp>
    <xdr:clientData/>
  </xdr:twoCellAnchor>
  <xdr:twoCellAnchor>
    <xdr:from>
      <xdr:col>12</xdr:col>
      <xdr:colOff>439309</xdr:colOff>
      <xdr:row>2</xdr:row>
      <xdr:rowOff>39757</xdr:rowOff>
    </xdr:from>
    <xdr:to>
      <xdr:col>15</xdr:col>
      <xdr:colOff>353171</xdr:colOff>
      <xdr:row>3</xdr:row>
      <xdr:rowOff>178903</xdr:rowOff>
    </xdr:to>
    <xdr:sp macro="" textlink="Processing!Q1">
      <xdr:nvSpPr>
        <xdr:cNvPr id="36" name="TextBox 35">
          <a:extLst>
            <a:ext uri="{FF2B5EF4-FFF2-40B4-BE49-F238E27FC236}">
              <a16:creationId xmlns:a16="http://schemas.microsoft.com/office/drawing/2014/main" id="{2DFC6B2C-F15B-B80A-009B-A696965C6301}"/>
            </a:ext>
          </a:extLst>
        </xdr:cNvPr>
        <xdr:cNvSpPr txBox="1"/>
      </xdr:nvSpPr>
      <xdr:spPr>
        <a:xfrm>
          <a:off x="7754509" y="821635"/>
          <a:ext cx="1742662" cy="324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04043E1-71DB-468B-A265-40C0BFA599F5}" type="TxLink">
            <a:rPr lang="en-US" sz="1400" b="0" i="0" u="none" strike="noStrike">
              <a:solidFill>
                <a:schemeClr val="bg1"/>
              </a:solidFill>
              <a:latin typeface="Aptos Narrow"/>
              <a:ea typeface="+mn-ea"/>
              <a:cs typeface="+mn-cs"/>
            </a:rPr>
            <a:pPr marL="0" indent="0" algn="ctr"/>
            <a:t>Payroll WHR</a:t>
          </a:fld>
          <a:endParaRPr lang="ru-RU" sz="1400" b="0" i="0" u="none" strike="noStrike">
            <a:solidFill>
              <a:schemeClr val="bg1"/>
            </a:solidFill>
            <a:latin typeface="Aptos Narrow"/>
            <a:ea typeface="+mn-ea"/>
            <a:cs typeface="+mn-cs"/>
          </a:endParaRPr>
        </a:p>
      </xdr:txBody>
    </xdr:sp>
    <xdr:clientData/>
  </xdr:twoCellAnchor>
  <xdr:twoCellAnchor>
    <xdr:from>
      <xdr:col>18</xdr:col>
      <xdr:colOff>317290</xdr:colOff>
      <xdr:row>2</xdr:row>
      <xdr:rowOff>39757</xdr:rowOff>
    </xdr:from>
    <xdr:to>
      <xdr:col>21</xdr:col>
      <xdr:colOff>597111</xdr:colOff>
      <xdr:row>3</xdr:row>
      <xdr:rowOff>178903</xdr:rowOff>
    </xdr:to>
    <xdr:sp macro="" textlink="Processing!M10">
      <xdr:nvSpPr>
        <xdr:cNvPr id="37" name="TextBox 36">
          <a:extLst>
            <a:ext uri="{FF2B5EF4-FFF2-40B4-BE49-F238E27FC236}">
              <a16:creationId xmlns:a16="http://schemas.microsoft.com/office/drawing/2014/main" id="{AF1C6B5C-2267-103B-B3F0-4E264BC31037}"/>
            </a:ext>
          </a:extLst>
        </xdr:cNvPr>
        <xdr:cNvSpPr txBox="1"/>
      </xdr:nvSpPr>
      <xdr:spPr>
        <a:xfrm>
          <a:off x="11290090" y="821635"/>
          <a:ext cx="2108621" cy="324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82D31ED-A35B-48C5-BABC-C0C9A9769E1D}" type="TxLink">
            <a:rPr lang="en-US" sz="1400" b="0" i="0" u="none" strike="noStrike">
              <a:solidFill>
                <a:schemeClr val="bg1"/>
              </a:solidFill>
              <a:latin typeface="Aptos Narrow"/>
              <a:ea typeface="+mn-ea"/>
              <a:cs typeface="+mn-cs"/>
            </a:rPr>
            <a:pPr marL="0" indent="0" algn="ctr"/>
            <a:t>Employee Performance</a:t>
          </a:fld>
          <a:endParaRPr lang="ru-RU" sz="1400" b="0" i="0" u="none" strike="noStrike">
            <a:solidFill>
              <a:schemeClr val="bg1"/>
            </a:solidFill>
            <a:latin typeface="Aptos Narrow"/>
            <a:ea typeface="+mn-ea"/>
            <a:cs typeface="+mn-cs"/>
          </a:endParaRPr>
        </a:p>
      </xdr:txBody>
    </xdr:sp>
    <xdr:clientData/>
  </xdr:twoCellAnchor>
  <xdr:twoCellAnchor>
    <xdr:from>
      <xdr:col>12</xdr:col>
      <xdr:colOff>439309</xdr:colOff>
      <xdr:row>13</xdr:row>
      <xdr:rowOff>33793</xdr:rowOff>
    </xdr:from>
    <xdr:to>
      <xdr:col>15</xdr:col>
      <xdr:colOff>353171</xdr:colOff>
      <xdr:row>14</xdr:row>
      <xdr:rowOff>170289</xdr:rowOff>
    </xdr:to>
    <xdr:sp macro="" textlink="Processing!A11">
      <xdr:nvSpPr>
        <xdr:cNvPr id="38" name="TextBox 37">
          <a:extLst>
            <a:ext uri="{FF2B5EF4-FFF2-40B4-BE49-F238E27FC236}">
              <a16:creationId xmlns:a16="http://schemas.microsoft.com/office/drawing/2014/main" id="{682D103A-629F-7EA5-58FF-6E31A7573C6A}"/>
            </a:ext>
          </a:extLst>
        </xdr:cNvPr>
        <xdr:cNvSpPr txBox="1"/>
      </xdr:nvSpPr>
      <xdr:spPr>
        <a:xfrm>
          <a:off x="7754509" y="2822713"/>
          <a:ext cx="1742662" cy="319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3BC3AE1-A423-41DD-A647-3426B3C1540E}" type="TxLink">
            <a:rPr lang="en-US" sz="1400" b="0" i="0" u="none" strike="noStrike">
              <a:solidFill>
                <a:schemeClr val="bg1"/>
              </a:solidFill>
              <a:latin typeface="Aptos Narrow"/>
              <a:ea typeface="+mn-ea"/>
              <a:cs typeface="+mn-cs"/>
            </a:rPr>
            <a:pPr marL="0" indent="0" algn="ctr"/>
            <a:t>Payroll Fund</a:t>
          </a:fld>
          <a:endParaRPr lang="ru-RU" sz="1400" b="0" i="0" u="none" strike="noStrike">
            <a:solidFill>
              <a:schemeClr val="bg1"/>
            </a:solidFill>
            <a:latin typeface="Aptos Narrow"/>
            <a:ea typeface="+mn-ea"/>
            <a:cs typeface="+mn-cs"/>
          </a:endParaRPr>
        </a:p>
      </xdr:txBody>
    </xdr:sp>
    <xdr:clientData/>
  </xdr:twoCellAnchor>
  <xdr:twoCellAnchor>
    <xdr:from>
      <xdr:col>12</xdr:col>
      <xdr:colOff>439309</xdr:colOff>
      <xdr:row>24</xdr:row>
      <xdr:rowOff>145774</xdr:rowOff>
    </xdr:from>
    <xdr:to>
      <xdr:col>15</xdr:col>
      <xdr:colOff>353171</xdr:colOff>
      <xdr:row>26</xdr:row>
      <xdr:rowOff>99390</xdr:rowOff>
    </xdr:to>
    <xdr:sp macro="" textlink="Processing!G19">
      <xdr:nvSpPr>
        <xdr:cNvPr id="39" name="TextBox 38">
          <a:extLst>
            <a:ext uri="{FF2B5EF4-FFF2-40B4-BE49-F238E27FC236}">
              <a16:creationId xmlns:a16="http://schemas.microsoft.com/office/drawing/2014/main" id="{60560B2D-F552-1901-945A-9797F34DF3E9}"/>
            </a:ext>
          </a:extLst>
        </xdr:cNvPr>
        <xdr:cNvSpPr txBox="1"/>
      </xdr:nvSpPr>
      <xdr:spPr>
        <a:xfrm>
          <a:off x="7754509" y="5009322"/>
          <a:ext cx="1742662" cy="324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0152CCE-A104-4FE9-B85C-36AB36E1B759}" type="TxLink">
            <a:rPr lang="en-US" sz="1400" b="0" i="0" u="none" strike="noStrike">
              <a:solidFill>
                <a:schemeClr val="bg1"/>
              </a:solidFill>
              <a:latin typeface="Aptos Narrow"/>
              <a:ea typeface="+mn-ea"/>
              <a:cs typeface="+mn-cs"/>
            </a:rPr>
            <a:pPr marL="0" indent="0" algn="ctr"/>
            <a:t>Top 5 Employees Payroll</a:t>
          </a:fld>
          <a:endParaRPr lang="ru-RU" sz="1400" b="0" i="0" u="none" strike="noStrike">
            <a:solidFill>
              <a:schemeClr val="bg1"/>
            </a:solidFill>
            <a:latin typeface="Aptos Narrow"/>
            <a:ea typeface="+mn-ea"/>
            <a:cs typeface="+mn-cs"/>
          </a:endParaRPr>
        </a:p>
      </xdr:txBody>
    </xdr:sp>
    <xdr:clientData/>
  </xdr:twoCellAnchor>
  <xdr:twoCellAnchor>
    <xdr:from>
      <xdr:col>6</xdr:col>
      <xdr:colOff>555931</xdr:colOff>
      <xdr:row>13</xdr:row>
      <xdr:rowOff>33793</xdr:rowOff>
    </xdr:from>
    <xdr:to>
      <xdr:col>7</xdr:col>
      <xdr:colOff>501596</xdr:colOff>
      <xdr:row>14</xdr:row>
      <xdr:rowOff>170289</xdr:rowOff>
    </xdr:to>
    <xdr:sp macro="" textlink="Processing!F10">
      <xdr:nvSpPr>
        <xdr:cNvPr id="40" name="TextBox 39">
          <a:extLst>
            <a:ext uri="{FF2B5EF4-FFF2-40B4-BE49-F238E27FC236}">
              <a16:creationId xmlns:a16="http://schemas.microsoft.com/office/drawing/2014/main" id="{859FE3DC-14E1-C4BF-EF02-A0ABAE29603F}"/>
            </a:ext>
          </a:extLst>
        </xdr:cNvPr>
        <xdr:cNvSpPr txBox="1"/>
      </xdr:nvSpPr>
      <xdr:spPr>
        <a:xfrm>
          <a:off x="4213531" y="2822713"/>
          <a:ext cx="555265" cy="319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96931B4-147B-439C-B809-64247BE912FE}" type="TxLink">
            <a:rPr lang="en-US" sz="1400" b="0" i="0" u="none" strike="noStrike">
              <a:solidFill>
                <a:schemeClr val="bg1"/>
              </a:solidFill>
              <a:latin typeface="Aptos Narrow"/>
              <a:ea typeface="+mn-ea"/>
              <a:cs typeface="+mn-cs"/>
            </a:rPr>
            <a:pPr marL="0" indent="0" algn="ctr"/>
            <a:t>PDL</a:t>
          </a:fld>
          <a:endParaRPr lang="ru-RU" sz="1800" b="0" i="0" u="none" strike="noStrike">
            <a:solidFill>
              <a:schemeClr val="bg1"/>
            </a:solidFill>
            <a:latin typeface="Aptos Narrow"/>
            <a:ea typeface="+mn-ea"/>
            <a:cs typeface="+mn-cs"/>
          </a:endParaRPr>
        </a:p>
      </xdr:txBody>
    </xdr:sp>
    <xdr:clientData/>
  </xdr:twoCellAnchor>
  <xdr:twoCellAnchor>
    <xdr:from>
      <xdr:col>6</xdr:col>
      <xdr:colOff>565206</xdr:colOff>
      <xdr:row>25</xdr:row>
      <xdr:rowOff>46082</xdr:rowOff>
    </xdr:from>
    <xdr:to>
      <xdr:col>7</xdr:col>
      <xdr:colOff>280283</xdr:colOff>
      <xdr:row>33</xdr:row>
      <xdr:rowOff>146076</xdr:rowOff>
    </xdr:to>
    <xdr:sp macro="" textlink="Processing!B27">
      <xdr:nvSpPr>
        <xdr:cNvPr id="41" name="TextBox 40">
          <a:extLst>
            <a:ext uri="{FF2B5EF4-FFF2-40B4-BE49-F238E27FC236}">
              <a16:creationId xmlns:a16="http://schemas.microsoft.com/office/drawing/2014/main" id="{8853AFB1-8181-7C24-92A0-CC9E663456EC}"/>
            </a:ext>
          </a:extLst>
        </xdr:cNvPr>
        <xdr:cNvSpPr txBox="1"/>
      </xdr:nvSpPr>
      <xdr:spPr>
        <a:xfrm rot="16200000">
          <a:off x="3593026" y="5724940"/>
          <a:ext cx="1584238" cy="324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2F8C86D-E775-474D-A333-0E41D9F7E386}" type="TxLink">
            <a:rPr lang="en-US" sz="1400" b="0" i="0" u="none" strike="noStrike">
              <a:solidFill>
                <a:schemeClr val="bg1"/>
              </a:solidFill>
              <a:latin typeface="Aptos Narrow"/>
              <a:ea typeface="+mn-ea"/>
              <a:cs typeface="+mn-cs"/>
            </a:rPr>
            <a:pPr marL="0" indent="0" algn="ctr"/>
            <a:t>Working Time Heat Map</a:t>
          </a:fld>
          <a:endParaRPr lang="ru-RU" sz="2400" b="0" i="0" u="none" strike="noStrike">
            <a:solidFill>
              <a:schemeClr val="bg1"/>
            </a:solidFill>
            <a:latin typeface="Aptos Narrow"/>
            <a:ea typeface="+mn-ea"/>
            <a:cs typeface="+mn-cs"/>
          </a:endParaRPr>
        </a:p>
      </xdr:txBody>
    </xdr:sp>
    <xdr:clientData/>
  </xdr:twoCellAnchor>
  <xdr:twoCellAnchor>
    <xdr:from>
      <xdr:col>7</xdr:col>
      <xdr:colOff>296068</xdr:colOff>
      <xdr:row>24</xdr:row>
      <xdr:rowOff>172278</xdr:rowOff>
    </xdr:from>
    <xdr:to>
      <xdr:col>8</xdr:col>
      <xdr:colOff>273782</xdr:colOff>
      <xdr:row>26</xdr:row>
      <xdr:rowOff>26503</xdr:rowOff>
    </xdr:to>
    <xdr:sp macro="" textlink="Processing!J27">
      <xdr:nvSpPr>
        <xdr:cNvPr id="42" name="TextBox 41">
          <a:extLst>
            <a:ext uri="{FF2B5EF4-FFF2-40B4-BE49-F238E27FC236}">
              <a16:creationId xmlns:a16="http://schemas.microsoft.com/office/drawing/2014/main" id="{FBA59D61-A152-6481-5344-344DD7066F95}"/>
            </a:ext>
          </a:extLst>
        </xdr:cNvPr>
        <xdr:cNvSpPr txBox="1"/>
      </xdr:nvSpPr>
      <xdr:spPr>
        <a:xfrm>
          <a:off x="4563268" y="5035826"/>
          <a:ext cx="587314"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225122-89D5-42A1-9334-837CF8D54F8D}" type="TxLink">
            <a:rPr lang="en-US" sz="800" b="0" i="0" u="none" strike="noStrike">
              <a:solidFill>
                <a:schemeClr val="tx1">
                  <a:lumMod val="50000"/>
                  <a:lumOff val="50000"/>
                </a:schemeClr>
              </a:solidFill>
              <a:latin typeface="Aptos Narrow"/>
            </a:rPr>
            <a:pPr algn="ctr"/>
            <a:t>Shift 1</a:t>
          </a:fld>
          <a:endParaRPr lang="ru-RU" sz="800">
            <a:solidFill>
              <a:schemeClr val="tx1">
                <a:lumMod val="50000"/>
                <a:lumOff val="50000"/>
              </a:schemeClr>
            </a:solidFill>
          </a:endParaRPr>
        </a:p>
      </xdr:txBody>
    </xdr:sp>
    <xdr:clientData/>
  </xdr:twoCellAnchor>
  <xdr:twoCellAnchor>
    <xdr:from>
      <xdr:col>8</xdr:col>
      <xdr:colOff>119372</xdr:colOff>
      <xdr:row>24</xdr:row>
      <xdr:rowOff>172278</xdr:rowOff>
    </xdr:from>
    <xdr:to>
      <xdr:col>9</xdr:col>
      <xdr:colOff>97086</xdr:colOff>
      <xdr:row>26</xdr:row>
      <xdr:rowOff>26503</xdr:rowOff>
    </xdr:to>
    <xdr:sp macro="" textlink="Processing!K27">
      <xdr:nvSpPr>
        <xdr:cNvPr id="43" name="TextBox 42">
          <a:extLst>
            <a:ext uri="{FF2B5EF4-FFF2-40B4-BE49-F238E27FC236}">
              <a16:creationId xmlns:a16="http://schemas.microsoft.com/office/drawing/2014/main" id="{2695AC9C-36DD-C59D-D12A-677A794C1832}"/>
            </a:ext>
          </a:extLst>
        </xdr:cNvPr>
        <xdr:cNvSpPr txBox="1"/>
      </xdr:nvSpPr>
      <xdr:spPr>
        <a:xfrm>
          <a:off x="4996172" y="5035826"/>
          <a:ext cx="587314"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68A47CF-F713-4893-8C4A-69F17BB0AAA9}" type="TxLink">
            <a:rPr lang="en-US" sz="800" b="0" i="0" u="none" strike="noStrike">
              <a:solidFill>
                <a:schemeClr val="tx1">
                  <a:lumMod val="50000"/>
                  <a:lumOff val="50000"/>
                </a:schemeClr>
              </a:solidFill>
              <a:latin typeface="Aptos Narrow"/>
              <a:ea typeface="+mn-ea"/>
              <a:cs typeface="+mn-cs"/>
            </a:rPr>
            <a:pPr marL="0" indent="0" algn="ctr"/>
            <a:t>Shift 2</a:t>
          </a:fld>
          <a:endParaRPr lang="ru-RU" sz="800" b="0" i="0" u="none" strike="noStrike">
            <a:solidFill>
              <a:schemeClr val="tx1">
                <a:lumMod val="50000"/>
                <a:lumOff val="50000"/>
              </a:schemeClr>
            </a:solidFill>
            <a:latin typeface="Aptos Narrow"/>
            <a:ea typeface="+mn-ea"/>
            <a:cs typeface="+mn-cs"/>
          </a:endParaRPr>
        </a:p>
      </xdr:txBody>
    </xdr:sp>
    <xdr:clientData/>
  </xdr:twoCellAnchor>
  <xdr:twoCellAnchor>
    <xdr:from>
      <xdr:col>8</xdr:col>
      <xdr:colOff>552276</xdr:colOff>
      <xdr:row>24</xdr:row>
      <xdr:rowOff>172278</xdr:rowOff>
    </xdr:from>
    <xdr:to>
      <xdr:col>9</xdr:col>
      <xdr:colOff>529990</xdr:colOff>
      <xdr:row>26</xdr:row>
      <xdr:rowOff>26503</xdr:rowOff>
    </xdr:to>
    <xdr:sp macro="" textlink="Processing!L27">
      <xdr:nvSpPr>
        <xdr:cNvPr id="44" name="TextBox 43">
          <a:extLst>
            <a:ext uri="{FF2B5EF4-FFF2-40B4-BE49-F238E27FC236}">
              <a16:creationId xmlns:a16="http://schemas.microsoft.com/office/drawing/2014/main" id="{B439DFA9-151E-5A64-47BB-B522554EA079}"/>
            </a:ext>
          </a:extLst>
        </xdr:cNvPr>
        <xdr:cNvSpPr txBox="1"/>
      </xdr:nvSpPr>
      <xdr:spPr>
        <a:xfrm>
          <a:off x="5429076" y="5035826"/>
          <a:ext cx="587314"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73AF670-F285-441C-AD00-C4787AFCFA3B}" type="TxLink">
            <a:rPr lang="en-US" sz="800" b="0" i="0" u="none" strike="noStrike">
              <a:solidFill>
                <a:schemeClr val="tx1">
                  <a:lumMod val="50000"/>
                  <a:lumOff val="50000"/>
                </a:schemeClr>
              </a:solidFill>
              <a:latin typeface="Aptos Narrow"/>
              <a:ea typeface="+mn-ea"/>
              <a:cs typeface="+mn-cs"/>
            </a:rPr>
            <a:pPr marL="0" indent="0" algn="ctr"/>
            <a:t>Shift 3</a:t>
          </a:fld>
          <a:endParaRPr lang="ru-RU" sz="800" b="0" i="0" u="none" strike="noStrike">
            <a:solidFill>
              <a:schemeClr val="tx1">
                <a:lumMod val="50000"/>
                <a:lumOff val="50000"/>
              </a:schemeClr>
            </a:solidFill>
            <a:latin typeface="Aptos Narrow"/>
            <a:ea typeface="+mn-ea"/>
            <a:cs typeface="+mn-cs"/>
          </a:endParaRPr>
        </a:p>
      </xdr:txBody>
    </xdr:sp>
    <xdr:clientData/>
  </xdr:twoCellAnchor>
  <xdr:twoCellAnchor>
    <xdr:from>
      <xdr:col>9</xdr:col>
      <xdr:colOff>375580</xdr:colOff>
      <xdr:row>24</xdr:row>
      <xdr:rowOff>172278</xdr:rowOff>
    </xdr:from>
    <xdr:to>
      <xdr:col>10</xdr:col>
      <xdr:colOff>353294</xdr:colOff>
      <xdr:row>26</xdr:row>
      <xdr:rowOff>26503</xdr:rowOff>
    </xdr:to>
    <xdr:sp macro="" textlink="Processing!M27">
      <xdr:nvSpPr>
        <xdr:cNvPr id="45" name="TextBox 44">
          <a:extLst>
            <a:ext uri="{FF2B5EF4-FFF2-40B4-BE49-F238E27FC236}">
              <a16:creationId xmlns:a16="http://schemas.microsoft.com/office/drawing/2014/main" id="{58DCD4A8-6018-635A-FD31-E0CCA0BCF94D}"/>
            </a:ext>
          </a:extLst>
        </xdr:cNvPr>
        <xdr:cNvSpPr txBox="1"/>
      </xdr:nvSpPr>
      <xdr:spPr>
        <a:xfrm>
          <a:off x="5861980" y="5035826"/>
          <a:ext cx="587314"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BE8124C-F7F8-4F9F-852B-87D5964A7E09}" type="TxLink">
            <a:rPr lang="en-US" sz="800" b="0" i="0" u="none" strike="noStrike">
              <a:solidFill>
                <a:schemeClr val="tx1">
                  <a:lumMod val="50000"/>
                  <a:lumOff val="50000"/>
                </a:schemeClr>
              </a:solidFill>
              <a:latin typeface="Aptos Narrow"/>
              <a:ea typeface="+mn-ea"/>
              <a:cs typeface="+mn-cs"/>
            </a:rPr>
            <a:pPr marL="0" indent="0" algn="ctr"/>
            <a:t>Shift 4</a:t>
          </a:fld>
          <a:endParaRPr lang="ru-RU" sz="800" b="0" i="0" u="none" strike="noStrike">
            <a:solidFill>
              <a:schemeClr val="tx1">
                <a:lumMod val="50000"/>
                <a:lumOff val="50000"/>
              </a:schemeClr>
            </a:solidFill>
            <a:latin typeface="Aptos Narrow"/>
            <a:ea typeface="+mn-ea"/>
            <a:cs typeface="+mn-cs"/>
          </a:endParaRPr>
        </a:p>
      </xdr:txBody>
    </xdr:sp>
    <xdr:clientData/>
  </xdr:twoCellAnchor>
  <xdr:twoCellAnchor>
    <xdr:from>
      <xdr:col>10</xdr:col>
      <xdr:colOff>191183</xdr:colOff>
      <xdr:row>32</xdr:row>
      <xdr:rowOff>112644</xdr:rowOff>
    </xdr:from>
    <xdr:to>
      <xdr:col>11</xdr:col>
      <xdr:colOff>168897</xdr:colOff>
      <xdr:row>33</xdr:row>
      <xdr:rowOff>152399</xdr:rowOff>
    </xdr:to>
    <xdr:sp macro="" textlink="">
      <xdr:nvSpPr>
        <xdr:cNvPr id="46" name="TextBox 45">
          <a:extLst>
            <a:ext uri="{FF2B5EF4-FFF2-40B4-BE49-F238E27FC236}">
              <a16:creationId xmlns:a16="http://schemas.microsoft.com/office/drawing/2014/main" id="{5CB5B022-B961-9E62-F688-54F946BD6C7D}"/>
            </a:ext>
          </a:extLst>
        </xdr:cNvPr>
        <xdr:cNvSpPr txBox="1"/>
      </xdr:nvSpPr>
      <xdr:spPr>
        <a:xfrm>
          <a:off x="6287183" y="6378461"/>
          <a:ext cx="587314" cy="222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l-PL" sz="800" b="0" i="0" u="none" strike="noStrike">
              <a:solidFill>
                <a:schemeClr val="tx1">
                  <a:lumMod val="50000"/>
                  <a:lumOff val="50000"/>
                </a:schemeClr>
              </a:solidFill>
              <a:latin typeface="Aptos Narrow"/>
              <a:ea typeface="+mn-ea"/>
              <a:cs typeface="+mn-cs"/>
            </a:rPr>
            <a:t>1</a:t>
          </a:r>
          <a:endParaRPr lang="en-US" sz="800" b="0" i="0" u="none" strike="noStrike">
            <a:solidFill>
              <a:schemeClr val="tx1">
                <a:lumMod val="50000"/>
                <a:lumOff val="50000"/>
              </a:schemeClr>
            </a:solidFill>
            <a:latin typeface="Aptos Narrow"/>
            <a:ea typeface="+mn-ea"/>
            <a:cs typeface="+mn-cs"/>
          </a:endParaRPr>
        </a:p>
      </xdr:txBody>
    </xdr:sp>
    <xdr:clientData/>
  </xdr:twoCellAnchor>
  <xdr:twoCellAnchor>
    <xdr:from>
      <xdr:col>10</xdr:col>
      <xdr:colOff>191183</xdr:colOff>
      <xdr:row>30</xdr:row>
      <xdr:rowOff>147761</xdr:rowOff>
    </xdr:from>
    <xdr:to>
      <xdr:col>11</xdr:col>
      <xdr:colOff>168897</xdr:colOff>
      <xdr:row>32</xdr:row>
      <xdr:rowOff>4636</xdr:rowOff>
    </xdr:to>
    <xdr:sp macro="" textlink="">
      <xdr:nvSpPr>
        <xdr:cNvPr id="47" name="TextBox 46">
          <a:extLst>
            <a:ext uri="{FF2B5EF4-FFF2-40B4-BE49-F238E27FC236}">
              <a16:creationId xmlns:a16="http://schemas.microsoft.com/office/drawing/2014/main" id="{AD9640B7-6108-EAB7-EBB2-07A5A662779C}"/>
            </a:ext>
          </a:extLst>
        </xdr:cNvPr>
        <xdr:cNvSpPr txBox="1"/>
      </xdr:nvSpPr>
      <xdr:spPr>
        <a:xfrm>
          <a:off x="6287183" y="6047818"/>
          <a:ext cx="587314" cy="222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l-PL" sz="800" b="0" i="0" u="none" strike="noStrike">
              <a:solidFill>
                <a:schemeClr val="tx1">
                  <a:lumMod val="50000"/>
                  <a:lumOff val="50000"/>
                </a:schemeClr>
              </a:solidFill>
              <a:latin typeface="Aptos Narrow"/>
              <a:ea typeface="+mn-ea"/>
              <a:cs typeface="+mn-cs"/>
            </a:rPr>
            <a:t>7</a:t>
          </a:r>
          <a:endParaRPr lang="en-US" sz="800" b="0" i="0" u="none" strike="noStrike">
            <a:solidFill>
              <a:schemeClr val="tx1">
                <a:lumMod val="50000"/>
                <a:lumOff val="50000"/>
              </a:schemeClr>
            </a:solidFill>
            <a:latin typeface="Aptos Narrow"/>
            <a:ea typeface="+mn-ea"/>
            <a:cs typeface="+mn-cs"/>
          </a:endParaRPr>
        </a:p>
      </xdr:txBody>
    </xdr:sp>
    <xdr:clientData/>
  </xdr:twoCellAnchor>
  <xdr:twoCellAnchor>
    <xdr:from>
      <xdr:col>10</xdr:col>
      <xdr:colOff>191183</xdr:colOff>
      <xdr:row>29</xdr:row>
      <xdr:rowOff>2650</xdr:rowOff>
    </xdr:from>
    <xdr:to>
      <xdr:col>11</xdr:col>
      <xdr:colOff>168897</xdr:colOff>
      <xdr:row>30</xdr:row>
      <xdr:rowOff>39755</xdr:rowOff>
    </xdr:to>
    <xdr:sp macro="" textlink="">
      <xdr:nvSpPr>
        <xdr:cNvPr id="48" name="TextBox 47">
          <a:extLst>
            <a:ext uri="{FF2B5EF4-FFF2-40B4-BE49-F238E27FC236}">
              <a16:creationId xmlns:a16="http://schemas.microsoft.com/office/drawing/2014/main" id="{29FD111F-EDE3-4137-925B-13148FC3394F}"/>
            </a:ext>
          </a:extLst>
        </xdr:cNvPr>
        <xdr:cNvSpPr txBox="1"/>
      </xdr:nvSpPr>
      <xdr:spPr>
        <a:xfrm>
          <a:off x="6287183" y="5719827"/>
          <a:ext cx="587314" cy="219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l-PL" sz="800" b="0" i="0" u="none" strike="noStrike">
              <a:solidFill>
                <a:schemeClr val="tx1">
                  <a:lumMod val="50000"/>
                  <a:lumOff val="50000"/>
                </a:schemeClr>
              </a:solidFill>
              <a:latin typeface="Aptos Narrow"/>
              <a:ea typeface="+mn-ea"/>
              <a:cs typeface="+mn-cs"/>
            </a:rPr>
            <a:t>14</a:t>
          </a:r>
          <a:endParaRPr lang="en-US" sz="800" b="0" i="0" u="none" strike="noStrike">
            <a:solidFill>
              <a:schemeClr val="tx1">
                <a:lumMod val="50000"/>
                <a:lumOff val="50000"/>
              </a:schemeClr>
            </a:solidFill>
            <a:latin typeface="Aptos Narrow"/>
            <a:ea typeface="+mn-ea"/>
            <a:cs typeface="+mn-cs"/>
          </a:endParaRPr>
        </a:p>
      </xdr:txBody>
    </xdr:sp>
    <xdr:clientData/>
  </xdr:twoCellAnchor>
  <xdr:twoCellAnchor>
    <xdr:from>
      <xdr:col>10</xdr:col>
      <xdr:colOff>191183</xdr:colOff>
      <xdr:row>27</xdr:row>
      <xdr:rowOff>37769</xdr:rowOff>
    </xdr:from>
    <xdr:to>
      <xdr:col>11</xdr:col>
      <xdr:colOff>168897</xdr:colOff>
      <xdr:row>28</xdr:row>
      <xdr:rowOff>77524</xdr:rowOff>
    </xdr:to>
    <xdr:sp macro="" textlink="">
      <xdr:nvSpPr>
        <xdr:cNvPr id="49" name="TextBox 48">
          <a:extLst>
            <a:ext uri="{FF2B5EF4-FFF2-40B4-BE49-F238E27FC236}">
              <a16:creationId xmlns:a16="http://schemas.microsoft.com/office/drawing/2014/main" id="{874B7D9C-F530-DB81-BC7A-5F80592AA1BD}"/>
            </a:ext>
          </a:extLst>
        </xdr:cNvPr>
        <xdr:cNvSpPr txBox="1"/>
      </xdr:nvSpPr>
      <xdr:spPr>
        <a:xfrm>
          <a:off x="6287183" y="5389186"/>
          <a:ext cx="587314" cy="222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l-PL" sz="800" b="0" i="0" u="none" strike="noStrike">
              <a:solidFill>
                <a:schemeClr val="tx1">
                  <a:lumMod val="50000"/>
                  <a:lumOff val="50000"/>
                </a:schemeClr>
              </a:solidFill>
              <a:latin typeface="Aptos Narrow"/>
              <a:ea typeface="+mn-ea"/>
              <a:cs typeface="+mn-cs"/>
            </a:rPr>
            <a:t>21</a:t>
          </a:r>
          <a:endParaRPr lang="en-US" sz="800" b="0" i="0" u="none" strike="noStrike">
            <a:solidFill>
              <a:schemeClr val="tx1">
                <a:lumMod val="50000"/>
                <a:lumOff val="50000"/>
              </a:schemeClr>
            </a:solidFill>
            <a:latin typeface="Aptos Narrow"/>
            <a:ea typeface="+mn-ea"/>
            <a:cs typeface="+mn-cs"/>
          </a:endParaRPr>
        </a:p>
      </xdr:txBody>
    </xdr:sp>
    <xdr:clientData/>
  </xdr:twoCellAnchor>
  <xdr:twoCellAnchor>
    <xdr:from>
      <xdr:col>10</xdr:col>
      <xdr:colOff>191183</xdr:colOff>
      <xdr:row>25</xdr:row>
      <xdr:rowOff>72888</xdr:rowOff>
    </xdr:from>
    <xdr:to>
      <xdr:col>11</xdr:col>
      <xdr:colOff>168897</xdr:colOff>
      <xdr:row>26</xdr:row>
      <xdr:rowOff>112643</xdr:rowOff>
    </xdr:to>
    <xdr:sp macro="" textlink="">
      <xdr:nvSpPr>
        <xdr:cNvPr id="50" name="TextBox 49">
          <a:extLst>
            <a:ext uri="{FF2B5EF4-FFF2-40B4-BE49-F238E27FC236}">
              <a16:creationId xmlns:a16="http://schemas.microsoft.com/office/drawing/2014/main" id="{1B45EB2E-99F1-FBDB-BBC3-530E4617E3E1}"/>
            </a:ext>
          </a:extLst>
        </xdr:cNvPr>
        <xdr:cNvSpPr txBox="1"/>
      </xdr:nvSpPr>
      <xdr:spPr>
        <a:xfrm>
          <a:off x="6287183" y="5058545"/>
          <a:ext cx="587314" cy="222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l-PL" sz="800" b="0" i="0" u="none" strike="noStrike">
              <a:solidFill>
                <a:schemeClr val="tx1">
                  <a:lumMod val="50000"/>
                  <a:lumOff val="50000"/>
                </a:schemeClr>
              </a:solidFill>
              <a:latin typeface="Aptos Narrow"/>
              <a:ea typeface="+mn-ea"/>
              <a:cs typeface="+mn-cs"/>
            </a:rPr>
            <a:t>28</a:t>
          </a:r>
          <a:endParaRPr lang="en-US" sz="800" b="0" i="0" u="none" strike="noStrike">
            <a:solidFill>
              <a:schemeClr val="tx1">
                <a:lumMod val="50000"/>
                <a:lumOff val="50000"/>
              </a:schemeClr>
            </a:solidFill>
            <a:latin typeface="Aptos Narrow"/>
            <a:ea typeface="+mn-ea"/>
            <a:cs typeface="+mn-cs"/>
          </a:endParaRPr>
        </a:p>
      </xdr:txBody>
    </xdr:sp>
    <xdr:clientData/>
  </xdr:twoCellAnchor>
  <xdr:twoCellAnchor>
    <xdr:from>
      <xdr:col>16</xdr:col>
      <xdr:colOff>587423</xdr:colOff>
      <xdr:row>13</xdr:row>
      <xdr:rowOff>110988</xdr:rowOff>
    </xdr:from>
    <xdr:to>
      <xdr:col>17</xdr:col>
      <xdr:colOff>565137</xdr:colOff>
      <xdr:row>15</xdr:row>
      <xdr:rowOff>0</xdr:rowOff>
    </xdr:to>
    <xdr:sp macro="" textlink="Processing!L16">
      <xdr:nvSpPr>
        <xdr:cNvPr id="51" name="TextBox 50">
          <a:extLst>
            <a:ext uri="{FF2B5EF4-FFF2-40B4-BE49-F238E27FC236}">
              <a16:creationId xmlns:a16="http://schemas.microsoft.com/office/drawing/2014/main" id="{1F379249-A83E-2700-2B4C-DC1CCF583484}"/>
            </a:ext>
          </a:extLst>
        </xdr:cNvPr>
        <xdr:cNvSpPr txBox="1"/>
      </xdr:nvSpPr>
      <xdr:spPr>
        <a:xfrm>
          <a:off x="10341023" y="2899908"/>
          <a:ext cx="587314" cy="254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0858CDC-F7BA-4005-88BB-D796322FC8AE}" type="TxLink">
            <a:rPr lang="en-US" sz="1400" b="0" i="0" u="none" strike="noStrike">
              <a:solidFill>
                <a:schemeClr val="tx1">
                  <a:lumMod val="50000"/>
                  <a:lumOff val="50000"/>
                </a:schemeClr>
              </a:solidFill>
              <a:latin typeface="Aptos Narrow"/>
              <a:ea typeface="+mn-ea"/>
              <a:cs typeface="+mn-cs"/>
            </a:rPr>
            <a:pPr marL="0" indent="0" algn="ctr"/>
            <a:t>E</a:t>
          </a:fld>
          <a:endParaRPr lang="en-US" sz="1000" b="0" i="0" u="none" strike="noStrike">
            <a:solidFill>
              <a:schemeClr val="tx1">
                <a:lumMod val="50000"/>
                <a:lumOff val="50000"/>
              </a:schemeClr>
            </a:solidFill>
            <a:latin typeface="Aptos Narrow"/>
            <a:ea typeface="+mn-ea"/>
            <a:cs typeface="+mn-cs"/>
          </a:endParaRPr>
        </a:p>
      </xdr:txBody>
    </xdr:sp>
    <xdr:clientData/>
  </xdr:twoCellAnchor>
  <xdr:twoCellAnchor>
    <xdr:from>
      <xdr:col>17</xdr:col>
      <xdr:colOff>556943</xdr:colOff>
      <xdr:row>25</xdr:row>
      <xdr:rowOff>53838</xdr:rowOff>
    </xdr:from>
    <xdr:to>
      <xdr:col>18</xdr:col>
      <xdr:colOff>534657</xdr:colOff>
      <xdr:row>26</xdr:row>
      <xdr:rowOff>125730</xdr:rowOff>
    </xdr:to>
    <xdr:sp macro="" textlink="Processing!L15">
      <xdr:nvSpPr>
        <xdr:cNvPr id="52" name="TextBox 51">
          <a:extLst>
            <a:ext uri="{FF2B5EF4-FFF2-40B4-BE49-F238E27FC236}">
              <a16:creationId xmlns:a16="http://schemas.microsoft.com/office/drawing/2014/main" id="{1B0FF240-5E72-3F9D-A2DD-C2B4EC85792E}"/>
            </a:ext>
          </a:extLst>
        </xdr:cNvPr>
        <xdr:cNvSpPr txBox="1"/>
      </xdr:nvSpPr>
      <xdr:spPr>
        <a:xfrm>
          <a:off x="10920143" y="5037318"/>
          <a:ext cx="587314" cy="254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3B5EEF1-937A-4B40-BAA1-91C9B02EBBAD}" type="TxLink">
            <a:rPr lang="en-US" sz="1400" b="0" i="0" u="none" strike="noStrike">
              <a:solidFill>
                <a:schemeClr val="tx1">
                  <a:lumMod val="50000"/>
                  <a:lumOff val="50000"/>
                </a:schemeClr>
              </a:solidFill>
              <a:latin typeface="Aptos Narrow"/>
              <a:ea typeface="+mn-ea"/>
              <a:cs typeface="+mn-cs"/>
            </a:rPr>
            <a:pPr marL="0" indent="0" algn="ctr"/>
            <a:t>D</a:t>
          </a:fld>
          <a:endParaRPr lang="en-US" sz="1400" b="0" i="0" u="none" strike="noStrike">
            <a:solidFill>
              <a:schemeClr val="tx1">
                <a:lumMod val="50000"/>
                <a:lumOff val="50000"/>
              </a:schemeClr>
            </a:solidFill>
            <a:latin typeface="Aptos Narrow"/>
            <a:ea typeface="+mn-ea"/>
            <a:cs typeface="+mn-cs"/>
          </a:endParaRPr>
        </a:p>
      </xdr:txBody>
    </xdr:sp>
    <xdr:clientData/>
  </xdr:twoCellAnchor>
  <xdr:twoCellAnchor>
    <xdr:from>
      <xdr:col>21</xdr:col>
      <xdr:colOff>412163</xdr:colOff>
      <xdr:row>25</xdr:row>
      <xdr:rowOff>53838</xdr:rowOff>
    </xdr:from>
    <xdr:to>
      <xdr:col>22</xdr:col>
      <xdr:colOff>389877</xdr:colOff>
      <xdr:row>26</xdr:row>
      <xdr:rowOff>125730</xdr:rowOff>
    </xdr:to>
    <xdr:sp macro="" textlink="Processing!L14">
      <xdr:nvSpPr>
        <xdr:cNvPr id="53" name="TextBox 52">
          <a:extLst>
            <a:ext uri="{FF2B5EF4-FFF2-40B4-BE49-F238E27FC236}">
              <a16:creationId xmlns:a16="http://schemas.microsoft.com/office/drawing/2014/main" id="{29A596F4-199D-4545-3F47-A813E66C1DB3}"/>
            </a:ext>
          </a:extLst>
        </xdr:cNvPr>
        <xdr:cNvSpPr txBox="1"/>
      </xdr:nvSpPr>
      <xdr:spPr>
        <a:xfrm>
          <a:off x="13213763" y="5037318"/>
          <a:ext cx="587314" cy="254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0B5A88F-EE29-4328-9FE6-6DDBA0F06195}" type="TxLink">
            <a:rPr lang="en-US" sz="1400" b="0" i="0" u="none" strike="noStrike">
              <a:solidFill>
                <a:schemeClr val="tx1">
                  <a:lumMod val="50000"/>
                  <a:lumOff val="50000"/>
                </a:schemeClr>
              </a:solidFill>
              <a:latin typeface="Aptos Narrow"/>
              <a:ea typeface="+mn-ea"/>
              <a:cs typeface="+mn-cs"/>
            </a:rPr>
            <a:pPr marL="0" indent="0" algn="ctr"/>
            <a:t>C</a:t>
          </a:fld>
          <a:endParaRPr lang="en-US" sz="1400" b="0" i="0" u="none" strike="noStrike">
            <a:solidFill>
              <a:schemeClr val="tx1">
                <a:lumMod val="50000"/>
                <a:lumOff val="50000"/>
              </a:schemeClr>
            </a:solidFill>
            <a:latin typeface="Aptos Narrow"/>
            <a:ea typeface="+mn-ea"/>
            <a:cs typeface="+mn-cs"/>
          </a:endParaRPr>
        </a:p>
      </xdr:txBody>
    </xdr:sp>
    <xdr:clientData/>
  </xdr:twoCellAnchor>
  <xdr:twoCellAnchor>
    <xdr:from>
      <xdr:col>22</xdr:col>
      <xdr:colOff>328343</xdr:colOff>
      <xdr:row>13</xdr:row>
      <xdr:rowOff>110988</xdr:rowOff>
    </xdr:from>
    <xdr:to>
      <xdr:col>23</xdr:col>
      <xdr:colOff>306057</xdr:colOff>
      <xdr:row>15</xdr:row>
      <xdr:rowOff>0</xdr:rowOff>
    </xdr:to>
    <xdr:sp macro="" textlink="Processing!L13">
      <xdr:nvSpPr>
        <xdr:cNvPr id="54" name="TextBox 53">
          <a:extLst>
            <a:ext uri="{FF2B5EF4-FFF2-40B4-BE49-F238E27FC236}">
              <a16:creationId xmlns:a16="http://schemas.microsoft.com/office/drawing/2014/main" id="{0294AD04-28C6-A8A7-E7C6-730ACD42F58E}"/>
            </a:ext>
          </a:extLst>
        </xdr:cNvPr>
        <xdr:cNvSpPr txBox="1"/>
      </xdr:nvSpPr>
      <xdr:spPr>
        <a:xfrm>
          <a:off x="13739543" y="2899908"/>
          <a:ext cx="587314" cy="254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6810057-A3D3-43E1-8E64-6A52011ED375}" type="TxLink">
            <a:rPr lang="en-US" sz="1400" b="0" i="0" u="none" strike="noStrike">
              <a:solidFill>
                <a:schemeClr val="tx1">
                  <a:lumMod val="50000"/>
                  <a:lumOff val="50000"/>
                </a:schemeClr>
              </a:solidFill>
              <a:latin typeface="Aptos Narrow"/>
              <a:ea typeface="+mn-ea"/>
              <a:cs typeface="+mn-cs"/>
            </a:rPr>
            <a:pPr marL="0" indent="0" algn="ctr"/>
            <a:t>B</a:t>
          </a:fld>
          <a:endParaRPr lang="en-US" sz="1100" b="0" i="0" u="none" strike="noStrike">
            <a:solidFill>
              <a:schemeClr val="tx1">
                <a:lumMod val="50000"/>
                <a:lumOff val="50000"/>
              </a:schemeClr>
            </a:solidFill>
            <a:latin typeface="Aptos Narrow"/>
            <a:ea typeface="+mn-ea"/>
            <a:cs typeface="+mn-cs"/>
          </a:endParaRPr>
        </a:p>
      </xdr:txBody>
    </xdr:sp>
    <xdr:clientData/>
  </xdr:twoCellAnchor>
  <xdr:twoCellAnchor>
    <xdr:from>
      <xdr:col>19</xdr:col>
      <xdr:colOff>503603</xdr:colOff>
      <xdr:row>6</xdr:row>
      <xdr:rowOff>164328</xdr:rowOff>
    </xdr:from>
    <xdr:to>
      <xdr:col>20</xdr:col>
      <xdr:colOff>481317</xdr:colOff>
      <xdr:row>8</xdr:row>
      <xdr:rowOff>53340</xdr:rowOff>
    </xdr:to>
    <xdr:sp macro="" textlink="Processing!L12">
      <xdr:nvSpPr>
        <xdr:cNvPr id="55" name="TextBox 54">
          <a:extLst>
            <a:ext uri="{FF2B5EF4-FFF2-40B4-BE49-F238E27FC236}">
              <a16:creationId xmlns:a16="http://schemas.microsoft.com/office/drawing/2014/main" id="{7067E5B9-6E39-3E3E-B39A-D596F8D67EC3}"/>
            </a:ext>
          </a:extLst>
        </xdr:cNvPr>
        <xdr:cNvSpPr txBox="1"/>
      </xdr:nvSpPr>
      <xdr:spPr>
        <a:xfrm>
          <a:off x="12086003" y="1673088"/>
          <a:ext cx="587314" cy="254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6D1D881-28F8-464D-965F-F3EF7EE3129F}" type="TxLink">
            <a:rPr lang="en-US" sz="1400" b="0" i="0" u="none" strike="noStrike">
              <a:solidFill>
                <a:schemeClr val="tx1">
                  <a:lumMod val="50000"/>
                  <a:lumOff val="50000"/>
                </a:schemeClr>
              </a:solidFill>
              <a:latin typeface="Aptos Narrow"/>
              <a:ea typeface="+mn-ea"/>
              <a:cs typeface="+mn-cs"/>
            </a:rPr>
            <a:pPr marL="0" indent="0" algn="ctr"/>
            <a:t>A</a:t>
          </a:fld>
          <a:endParaRPr lang="en-US" sz="1100" b="0" i="0" u="none" strike="noStrike">
            <a:solidFill>
              <a:schemeClr val="tx1">
                <a:lumMod val="50000"/>
                <a:lumOff val="50000"/>
              </a:schemeClr>
            </a:solidFill>
            <a:latin typeface="Aptos Narrow"/>
            <a:ea typeface="+mn-ea"/>
            <a:cs typeface="+mn-cs"/>
          </a:endParaRPr>
        </a:p>
      </xdr:txBody>
    </xdr:sp>
    <xdr:clientData/>
  </xdr:twoCellAnchor>
  <xdr:twoCellAnchor>
    <xdr:from>
      <xdr:col>17</xdr:col>
      <xdr:colOff>338546</xdr:colOff>
      <xdr:row>4</xdr:row>
      <xdr:rowOff>135788</xdr:rowOff>
    </xdr:from>
    <xdr:to>
      <xdr:col>17</xdr:col>
      <xdr:colOff>452846</xdr:colOff>
      <xdr:row>5</xdr:row>
      <xdr:rowOff>67208</xdr:rowOff>
    </xdr:to>
    <xdr:sp macro="" textlink="">
      <xdr:nvSpPr>
        <xdr:cNvPr id="56" name="Oval 55">
          <a:extLst>
            <a:ext uri="{FF2B5EF4-FFF2-40B4-BE49-F238E27FC236}">
              <a16:creationId xmlns:a16="http://schemas.microsoft.com/office/drawing/2014/main" id="{3821403F-5682-34E6-9229-40C67F8EEDA8}"/>
            </a:ext>
          </a:extLst>
        </xdr:cNvPr>
        <xdr:cNvSpPr/>
      </xdr:nvSpPr>
      <xdr:spPr>
        <a:xfrm>
          <a:off x="10701746" y="1278788"/>
          <a:ext cx="114300" cy="114300"/>
        </a:xfrm>
        <a:prstGeom prst="ellipse">
          <a:avLst/>
        </a:prstGeom>
        <a:noFill/>
        <a:ln>
          <a:solidFill>
            <a:srgbClr val="1AFFD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338546</xdr:colOff>
      <xdr:row>6</xdr:row>
      <xdr:rowOff>82448</xdr:rowOff>
    </xdr:from>
    <xdr:to>
      <xdr:col>17</xdr:col>
      <xdr:colOff>452846</xdr:colOff>
      <xdr:row>7</xdr:row>
      <xdr:rowOff>13868</xdr:rowOff>
    </xdr:to>
    <xdr:sp macro="" textlink="">
      <xdr:nvSpPr>
        <xdr:cNvPr id="57" name="Oval 56">
          <a:extLst>
            <a:ext uri="{FF2B5EF4-FFF2-40B4-BE49-F238E27FC236}">
              <a16:creationId xmlns:a16="http://schemas.microsoft.com/office/drawing/2014/main" id="{7ADB8D13-1645-D6FE-54CD-F2309E692C92}"/>
            </a:ext>
          </a:extLst>
        </xdr:cNvPr>
        <xdr:cNvSpPr/>
      </xdr:nvSpPr>
      <xdr:spPr>
        <a:xfrm>
          <a:off x="10701746" y="1591208"/>
          <a:ext cx="114300" cy="114300"/>
        </a:xfrm>
        <a:prstGeom prst="ellipse">
          <a:avLst/>
        </a:prstGeom>
        <a:noFill/>
        <a:ln>
          <a:solidFill>
            <a:srgbClr val="F631B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492649</xdr:colOff>
      <xdr:row>4</xdr:row>
      <xdr:rowOff>87133</xdr:rowOff>
    </xdr:from>
    <xdr:to>
      <xdr:col>20</xdr:col>
      <xdr:colOff>406511</xdr:colOff>
      <xdr:row>6</xdr:row>
      <xdr:rowOff>40749</xdr:rowOff>
    </xdr:to>
    <xdr:sp macro="" textlink="Processing!M11">
      <xdr:nvSpPr>
        <xdr:cNvPr id="58" name="TextBox 57">
          <a:extLst>
            <a:ext uri="{FF2B5EF4-FFF2-40B4-BE49-F238E27FC236}">
              <a16:creationId xmlns:a16="http://schemas.microsoft.com/office/drawing/2014/main" id="{CCB56710-1C40-A1C9-341E-6F61C34CCF07}"/>
            </a:ext>
          </a:extLst>
        </xdr:cNvPr>
        <xdr:cNvSpPr txBox="1"/>
      </xdr:nvSpPr>
      <xdr:spPr>
        <a:xfrm>
          <a:off x="10855849" y="1230133"/>
          <a:ext cx="1742662" cy="319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84CB24A-380C-4A64-B2F3-BFE95EF6A94A}" type="TxLink">
            <a:rPr lang="en-US" sz="1100" b="0" i="0" u="none" strike="noStrike">
              <a:solidFill>
                <a:schemeClr val="tx1">
                  <a:lumMod val="50000"/>
                  <a:lumOff val="50000"/>
                </a:schemeClr>
              </a:solidFill>
              <a:latin typeface="Aptos Narrow"/>
              <a:ea typeface="+mn-ea"/>
              <a:cs typeface="+mn-cs"/>
            </a:rPr>
            <a:pPr marL="0" indent="0" algn="l"/>
            <a:t>KPI</a:t>
          </a:fld>
          <a:endParaRPr lang="ru-RU" sz="1400" b="0" i="0" u="none" strike="noStrike">
            <a:solidFill>
              <a:schemeClr val="tx1">
                <a:lumMod val="50000"/>
                <a:lumOff val="50000"/>
              </a:schemeClr>
            </a:solidFill>
            <a:latin typeface="Aptos Narrow"/>
            <a:ea typeface="+mn-ea"/>
            <a:cs typeface="+mn-cs"/>
          </a:endParaRPr>
        </a:p>
      </xdr:txBody>
    </xdr:sp>
    <xdr:clientData/>
  </xdr:twoCellAnchor>
  <xdr:twoCellAnchor>
    <xdr:from>
      <xdr:col>17</xdr:col>
      <xdr:colOff>492649</xdr:colOff>
      <xdr:row>6</xdr:row>
      <xdr:rowOff>26173</xdr:rowOff>
    </xdr:from>
    <xdr:to>
      <xdr:col>20</xdr:col>
      <xdr:colOff>406511</xdr:colOff>
      <xdr:row>7</xdr:row>
      <xdr:rowOff>162669</xdr:rowOff>
    </xdr:to>
    <xdr:sp macro="" textlink="Processing!N11">
      <xdr:nvSpPr>
        <xdr:cNvPr id="59" name="TextBox 58">
          <a:extLst>
            <a:ext uri="{FF2B5EF4-FFF2-40B4-BE49-F238E27FC236}">
              <a16:creationId xmlns:a16="http://schemas.microsoft.com/office/drawing/2014/main" id="{D2D6DF99-E7E4-7096-3ED4-334C64B771BC}"/>
            </a:ext>
          </a:extLst>
        </xdr:cNvPr>
        <xdr:cNvSpPr txBox="1"/>
      </xdr:nvSpPr>
      <xdr:spPr>
        <a:xfrm>
          <a:off x="10855849" y="1534933"/>
          <a:ext cx="1742662" cy="319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0EABBB1-1F7F-4D6A-9897-1BD77949DBF1}" type="TxLink">
            <a:rPr lang="en-US" sz="1100" b="0" i="0" u="none" strike="noStrike">
              <a:solidFill>
                <a:schemeClr val="tx1">
                  <a:lumMod val="50000"/>
                  <a:lumOff val="50000"/>
                </a:schemeClr>
              </a:solidFill>
              <a:latin typeface="Aptos Narrow"/>
              <a:ea typeface="+mn-ea"/>
              <a:cs typeface="+mn-cs"/>
            </a:rPr>
            <a:pPr marL="0" indent="0" algn="l"/>
            <a:t>Compensation</a:t>
          </a:fld>
          <a:endParaRPr lang="ru-RU" sz="1400" b="0" i="0" u="none" strike="noStrike">
            <a:solidFill>
              <a:schemeClr val="tx1">
                <a:lumMod val="50000"/>
                <a:lumOff val="50000"/>
              </a:schemeClr>
            </a:solidFill>
            <a:latin typeface="Aptos Narrow"/>
            <a:ea typeface="+mn-ea"/>
            <a:cs typeface="+mn-cs"/>
          </a:endParaRPr>
        </a:p>
      </xdr:txBody>
    </xdr:sp>
    <xdr:clientData/>
  </xdr:twoCellAnchor>
  <xdr:twoCellAnchor>
    <xdr:from>
      <xdr:col>1</xdr:col>
      <xdr:colOff>568849</xdr:colOff>
      <xdr:row>15</xdr:row>
      <xdr:rowOff>93142</xdr:rowOff>
    </xdr:from>
    <xdr:to>
      <xdr:col>4</xdr:col>
      <xdr:colOff>482711</xdr:colOff>
      <xdr:row>17</xdr:row>
      <xdr:rowOff>155999</xdr:rowOff>
    </xdr:to>
    <xdr:sp macro="" textlink="Processing!B4">
      <xdr:nvSpPr>
        <xdr:cNvPr id="60" name="TextBox 59">
          <a:extLst>
            <a:ext uri="{FF2B5EF4-FFF2-40B4-BE49-F238E27FC236}">
              <a16:creationId xmlns:a16="http://schemas.microsoft.com/office/drawing/2014/main" id="{A7E62135-AF40-AA1C-CAEB-20F9A2436741}"/>
            </a:ext>
          </a:extLst>
        </xdr:cNvPr>
        <xdr:cNvSpPr txBox="1"/>
      </xdr:nvSpPr>
      <xdr:spPr>
        <a:xfrm>
          <a:off x="1178449" y="3247822"/>
          <a:ext cx="1742662" cy="428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04FA3B-A041-48B0-BF84-4CE8F23C7C7C}" type="TxLink">
            <a:rPr lang="en-US" sz="2400" b="0" i="0" u="none" strike="noStrike">
              <a:solidFill>
                <a:schemeClr val="bg1"/>
              </a:solidFill>
              <a:latin typeface="Aptos Narrow"/>
            </a:rPr>
            <a:pPr algn="ctr"/>
            <a:t> $1,60,805 </a:t>
          </a:fld>
          <a:endParaRPr lang="ru-RU" sz="3200">
            <a:solidFill>
              <a:schemeClr val="bg1"/>
            </a:solidFill>
          </a:endParaRPr>
        </a:p>
      </xdr:txBody>
    </xdr:sp>
    <xdr:clientData/>
  </xdr:twoCellAnchor>
  <xdr:twoCellAnchor>
    <xdr:from>
      <xdr:col>8</xdr:col>
      <xdr:colOff>284268</xdr:colOff>
      <xdr:row>17</xdr:row>
      <xdr:rowOff>91699</xdr:rowOff>
    </xdr:from>
    <xdr:to>
      <xdr:col>9</xdr:col>
      <xdr:colOff>346539</xdr:colOff>
      <xdr:row>19</xdr:row>
      <xdr:rowOff>112384</xdr:rowOff>
    </xdr:to>
    <xdr:sp macro="" textlink="Processing!C4">
      <xdr:nvSpPr>
        <xdr:cNvPr id="61" name="TextBox 60">
          <a:extLst>
            <a:ext uri="{FF2B5EF4-FFF2-40B4-BE49-F238E27FC236}">
              <a16:creationId xmlns:a16="http://schemas.microsoft.com/office/drawing/2014/main" id="{00DF88DE-2C16-C41C-84C7-14C01AB4D002}"/>
            </a:ext>
          </a:extLst>
        </xdr:cNvPr>
        <xdr:cNvSpPr txBox="1"/>
      </xdr:nvSpPr>
      <xdr:spPr>
        <a:xfrm>
          <a:off x="5161068" y="3612139"/>
          <a:ext cx="671871" cy="38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2AD3CC-9FED-4B1D-98BC-72A712EFF33C}" type="TxLink">
            <a:rPr lang="en-US" sz="1400" b="0" i="0" u="none" strike="noStrike">
              <a:solidFill>
                <a:schemeClr val="bg1"/>
              </a:solidFill>
              <a:latin typeface="Aptos Narrow"/>
              <a:ea typeface="+mn-ea"/>
              <a:cs typeface="+mn-cs"/>
            </a:rPr>
            <a:pPr marL="0" indent="0" algn="ctr"/>
            <a:t>161 K</a:t>
          </a:fld>
          <a:endParaRPr lang="ru-RU" sz="2400" b="0" i="0" u="none" strike="noStrike">
            <a:solidFill>
              <a:schemeClr val="bg1"/>
            </a:solidFill>
            <a:latin typeface="Aptos Narrow"/>
            <a:ea typeface="+mn-ea"/>
            <a:cs typeface="+mn-cs"/>
          </a:endParaRPr>
        </a:p>
      </xdr:txBody>
    </xdr:sp>
    <xdr:clientData/>
  </xdr:twoCellAnchor>
  <xdr:twoCellAnchor>
    <xdr:from>
      <xdr:col>12</xdr:col>
      <xdr:colOff>126918</xdr:colOff>
      <xdr:row>6</xdr:row>
      <xdr:rowOff>9277</xdr:rowOff>
    </xdr:from>
    <xdr:to>
      <xdr:col>13</xdr:col>
      <xdr:colOff>330282</xdr:colOff>
      <xdr:row>7</xdr:row>
      <xdr:rowOff>148423</xdr:rowOff>
    </xdr:to>
    <xdr:sp macro="" textlink="Processing!R2">
      <xdr:nvSpPr>
        <xdr:cNvPr id="62" name="TextBox 61">
          <a:extLst>
            <a:ext uri="{FF2B5EF4-FFF2-40B4-BE49-F238E27FC236}">
              <a16:creationId xmlns:a16="http://schemas.microsoft.com/office/drawing/2014/main" id="{E432ADC0-FACC-FABE-641C-D6333B53505D}"/>
            </a:ext>
          </a:extLst>
        </xdr:cNvPr>
        <xdr:cNvSpPr txBox="1"/>
      </xdr:nvSpPr>
      <xdr:spPr>
        <a:xfrm>
          <a:off x="7442118" y="1518037"/>
          <a:ext cx="812964" cy="322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A0EA84-44BA-4162-8411-BBAAC5C3D329}" type="TxLink">
            <a:rPr lang="en-US" sz="1400" b="0" i="0" u="none" strike="noStrike">
              <a:solidFill>
                <a:schemeClr val="bg1"/>
              </a:solidFill>
              <a:latin typeface="Aptos Narrow"/>
              <a:ea typeface="+mn-ea"/>
              <a:cs typeface="+mn-cs"/>
            </a:rPr>
            <a:pPr marL="0" indent="0" algn="ctr"/>
            <a:t>40%</a:t>
          </a:fld>
          <a:endParaRPr lang="ru-RU" sz="1800" b="0" i="0" u="none" strike="noStrike">
            <a:solidFill>
              <a:schemeClr val="bg1"/>
            </a:solidFill>
            <a:latin typeface="Aptos Narrow"/>
            <a:ea typeface="+mn-ea"/>
            <a:cs typeface="+mn-cs"/>
          </a:endParaRPr>
        </a:p>
      </xdr:txBody>
    </xdr:sp>
    <xdr:clientData/>
  </xdr:twoCellAnchor>
  <xdr:twoCellAnchor>
    <xdr:from>
      <xdr:col>14</xdr:col>
      <xdr:colOff>477438</xdr:colOff>
      <xdr:row>6</xdr:row>
      <xdr:rowOff>9277</xdr:rowOff>
    </xdr:from>
    <xdr:to>
      <xdr:col>16</xdr:col>
      <xdr:colOff>71202</xdr:colOff>
      <xdr:row>7</xdr:row>
      <xdr:rowOff>148423</xdr:rowOff>
    </xdr:to>
    <xdr:sp macro="" textlink="Processing!R3">
      <xdr:nvSpPr>
        <xdr:cNvPr id="63" name="TextBox 62">
          <a:extLst>
            <a:ext uri="{FF2B5EF4-FFF2-40B4-BE49-F238E27FC236}">
              <a16:creationId xmlns:a16="http://schemas.microsoft.com/office/drawing/2014/main" id="{E63DD8ED-4421-84E3-51D1-5C9E0F70A289}"/>
            </a:ext>
          </a:extLst>
        </xdr:cNvPr>
        <xdr:cNvSpPr txBox="1"/>
      </xdr:nvSpPr>
      <xdr:spPr>
        <a:xfrm>
          <a:off x="9011838" y="1518037"/>
          <a:ext cx="812964" cy="322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3B243D-E7FE-4C67-BEFC-CE71E17C8E08}" type="TxLink">
            <a:rPr lang="en-US" sz="1400" b="0" i="0" u="none" strike="noStrike">
              <a:solidFill>
                <a:schemeClr val="bg1"/>
              </a:solidFill>
              <a:latin typeface="Aptos Narrow"/>
              <a:ea typeface="+mn-ea"/>
              <a:cs typeface="+mn-cs"/>
            </a:rPr>
            <a:pPr marL="0" indent="0" algn="ctr"/>
            <a:t>24%</a:t>
          </a:fld>
          <a:endParaRPr lang="ru-RU" sz="2400" b="0" i="0" u="none" strike="noStrike">
            <a:solidFill>
              <a:schemeClr val="bg1"/>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33.941041319442" createdVersion="8" refreshedVersion="8" minRefreshableVersion="3" recordCount="48" xr:uid="{62B713AF-6768-44B5-B5E8-DE8FB934C144}">
  <cacheSource type="worksheet">
    <worksheetSource name="mydata"/>
  </cacheSource>
  <cacheFields count="53">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Management" numFmtId="0">
      <sharedItems containsSemiMixedTypes="0" containsString="0" containsNumber="1" containsInteger="1" minValue="20125" maxValue="194600"/>
    </cacheField>
    <cacheField name="Administrative Staff" numFmtId="0">
      <sharedItems containsSemiMixedTypes="0" containsString="0" containsNumber="1" containsInteger="1" minValue="14850" maxValue="135400"/>
    </cacheField>
    <cacheField name="Sales Department" numFmtId="0">
      <sharedItems containsSemiMixedTypes="0" containsString="0" containsNumber="1" containsInteger="1" minValue="11285" maxValue="145700"/>
    </cacheField>
    <cacheField name="Production Department" numFmtId="0">
      <sharedItems containsSemiMixedTypes="0" containsString="0" containsNumber="1" containsInteger="1" minValue="20270" maxValue="89950"/>
    </cacheField>
    <cacheField name="Logistics Department" numFmtId="0">
      <sharedItems containsSemiMixedTypes="0" containsString="0" containsNumber="1" containsInteger="1" minValue="20710" maxValue="68700"/>
    </cacheField>
    <cacheField name="Basic Payroll" numFmtId="9">
      <sharedItems containsSemiMixedTypes="0" containsString="0" containsNumber="1" minValue="0.35" maxValue="0.4"/>
    </cacheField>
    <cacheField name="Bonuses and Prizes" numFmtId="9">
      <sharedItems containsSemiMixedTypes="0" containsString="0" containsNumber="1" minValue="0.4" maxValue="0.55000000000000004"/>
    </cacheField>
    <cacheField name="Payroll Taxes &amp; Insurance" numFmtId="9">
      <sharedItems containsSemiMixedTypes="0" containsString="0" containsNumber="1" minValue="5.9999999999999942E-2" maxValue="0.24"/>
    </cacheField>
    <cacheField name="Payroll" numFmtId="0">
      <sharedItems containsSemiMixedTypes="0" containsString="0" containsNumber="1" containsInteger="1" minValue="98395" maxValue="580650"/>
    </cacheField>
    <cacheField name="Annual Payroll Plan" numFmtId="0">
      <sharedItems containsSemiMixedTypes="0" containsString="0" containsNumber="1" containsInteger="1" minValue="120000" maxValue="250000"/>
    </cacheField>
    <cacheField name="Standard Hours" numFmtId="9">
      <sharedItems containsSemiMixedTypes="0" containsString="0" containsNumber="1" minValue="0.16" maxValue="0.75"/>
    </cacheField>
    <cacheField name="Actual Hours" numFmtId="9">
      <sharedItems containsSemiMixedTypes="0" containsString="0" containsNumber="1" minValue="0.2" maxValue="0.75"/>
    </cacheField>
    <cacheField name="Head Office" numFmtId="9">
      <sharedItems containsSemiMixedTypes="0" containsString="0" containsNumber="1" minValue="0.25" maxValue="0.35"/>
    </cacheField>
    <cacheField name="Regional Offices" numFmtId="9">
      <sharedItems containsSemiMixedTypes="0" containsString="0" containsNumber="1" minValue="0.2" maxValue="0.3"/>
    </cacheField>
    <cacheField name="Regional Branches" numFmtId="9">
      <sharedItems containsSemiMixedTypes="0" containsString="0" containsNumber="1" minValue="0.11" maxValue="0.2"/>
    </cacheField>
    <cacheField name="Remote Employees" numFmtId="9">
      <sharedItems containsSemiMixedTypes="0" containsString="0" containsNumber="1" minValue="0.05" maxValue="0.15"/>
    </cacheField>
    <cacheField name="Outsourcing" numFmtId="9">
      <sharedItems containsSemiMixedTypes="0" containsString="0" containsNumber="1" minValue="5.9999999999999942E-2" maxValue="0.36"/>
    </cacheField>
    <cacheField name="A" numFmtId="9">
      <sharedItems containsSemiMixedTypes="0" containsString="0" containsNumber="1" minValue="0.35" maxValue="1.35"/>
    </cacheField>
    <cacheField name="B" numFmtId="9">
      <sharedItems containsSemiMixedTypes="0" containsString="0" containsNumber="1" minValue="0.35" maxValue="1.31"/>
    </cacheField>
    <cacheField name="C" numFmtId="9">
      <sharedItems containsSemiMixedTypes="0" containsString="0" containsNumber="1" minValue="0.35" maxValue="1.34"/>
    </cacheField>
    <cacheField name="D" numFmtId="9">
      <sharedItems containsSemiMixedTypes="0" containsString="0" containsNumber="1" minValue="0.36" maxValue="1.35"/>
    </cacheField>
    <cacheField name="E" numFmtId="9">
      <sharedItems containsSemiMixedTypes="0" containsString="0" containsNumber="1" minValue="0.36" maxValue="1.3"/>
    </cacheField>
    <cacheField name="A2" numFmtId="9">
      <sharedItems containsSemiMixedTypes="0" containsString="0" containsNumber="1" minValue="0.25" maxValue="0.75"/>
    </cacheField>
    <cacheField name="B2" numFmtId="9">
      <sharedItems containsSemiMixedTypes="0" containsString="0" containsNumber="1" minValue="0.27" maxValue="0.73"/>
    </cacheField>
    <cacheField name="C2" numFmtId="9">
      <sharedItems containsSemiMixedTypes="0" containsString="0" containsNumber="1" minValue="0.25" maxValue="0.74"/>
    </cacheField>
    <cacheField name="D2" numFmtId="9">
      <sharedItems containsSemiMixedTypes="0" containsString="0" containsNumber="1" minValue="0.25" maxValue="0.75"/>
    </cacheField>
    <cacheField name="E2" numFmtId="9">
      <sharedItems containsSemiMixedTypes="0" containsString="0" containsNumber="1" minValue="0.26" maxValue="0.75"/>
    </cacheField>
    <cacheField name="SU" numFmtId="0">
      <sharedItems containsSemiMixedTypes="0" containsString="0" containsNumber="1" containsInteger="1" minValue="21" maxValue="123513"/>
    </cacheField>
    <cacheField name="MO" numFmtId="0">
      <sharedItems containsSemiMixedTypes="0" containsString="0" containsNumber="1" containsInteger="1" minValue="1787" maxValue="138033"/>
    </cacheField>
    <cacheField name="TU" numFmtId="0">
      <sharedItems containsSemiMixedTypes="0" containsString="0" containsNumber="1" containsInteger="1" minValue="695" maxValue="118263"/>
    </cacheField>
    <cacheField name="WE" numFmtId="0">
      <sharedItems containsSemiMixedTypes="0" containsString="0" containsNumber="1" containsInteger="1" minValue="667" maxValue="122369"/>
    </cacheField>
    <cacheField name="TH" numFmtId="0">
      <sharedItems containsSemiMixedTypes="0" containsString="0" containsNumber="1" containsInteger="1" minValue="1397" maxValue="113601"/>
    </cacheField>
    <cacheField name="FR" numFmtId="0">
      <sharedItems containsSemiMixedTypes="0" containsString="0" containsNumber="1" containsInteger="1" minValue="6186" maxValue="123177"/>
    </cacheField>
    <cacheField name="SA" numFmtId="0">
      <sharedItems containsSemiMixedTypes="0" containsString="0" containsNumber="1" containsInteger="1" minValue="34285" maxValue="71429"/>
    </cacheField>
    <cacheField name="SU2" numFmtId="0">
      <sharedItems containsSemiMixedTypes="0" containsString="0" containsNumber="1" containsInteger="1" minValue="1758" maxValue="174450"/>
    </cacheField>
    <cacheField name="MO2" numFmtId="0">
      <sharedItems containsSemiMixedTypes="0" containsString="0" containsNumber="1" containsInteger="1" minValue="2750" maxValue="199342"/>
    </cacheField>
    <cacheField name="TU2" numFmtId="0">
      <sharedItems containsSemiMixedTypes="0" containsString="0" containsNumber="1" containsInteger="1" minValue="669" maxValue="154993"/>
    </cacheField>
    <cacheField name="WE2" numFmtId="0">
      <sharedItems containsSemiMixedTypes="0" containsString="0" containsNumber="1" containsInteger="1" minValue="184" maxValue="157462"/>
    </cacheField>
    <cacheField name="TH2" numFmtId="0">
      <sharedItems containsSemiMixedTypes="0" containsString="0" containsNumber="1" containsInteger="1" minValue="4345" maxValue="201287"/>
    </cacheField>
    <cacheField name="FR2" numFmtId="0">
      <sharedItems containsSemiMixedTypes="0" containsString="0" containsNumber="1" containsInteger="1" minValue="494" maxValue="155172"/>
    </cacheField>
    <cacheField name="SA2" numFmtId="0">
      <sharedItems containsSemiMixedTypes="0" containsString="0" containsNumber="1" containsInteger="1" minValue="30515" maxValue="82950"/>
    </cacheField>
    <cacheField name="Employee1" numFmtId="0">
      <sharedItems containsSemiMixedTypes="0" containsString="0" containsNumber="1" containsInteger="1" minValue="2800" maxValue="9700"/>
    </cacheField>
    <cacheField name="Employee2" numFmtId="0">
      <sharedItems containsSemiMixedTypes="0" containsString="0" containsNumber="1" containsInteger="1" minValue="2500" maxValue="7300"/>
    </cacheField>
    <cacheField name="Employee3" numFmtId="0">
      <sharedItems containsSemiMixedTypes="0" containsString="0" containsNumber="1" containsInteger="1" minValue="2300" maxValue="7100"/>
    </cacheField>
    <cacheField name="Employee4" numFmtId="0">
      <sharedItems containsSemiMixedTypes="0" containsString="0" containsNumber="1" containsInteger="1" minValue="2400" maxValue="8300"/>
    </cacheField>
    <cacheField name="Employee5" numFmtId="0">
      <sharedItems containsSemiMixedTypes="0" containsString="0" containsNumber="1" containsInteger="1" minValue="2700" maxValue="7600"/>
    </cacheField>
    <cacheField name="Employee12" numFmtId="0">
      <sharedItems containsSemiMixedTypes="0" containsString="0" containsNumber="1" containsInteger="1" minValue="2400" maxValue="7800"/>
    </cacheField>
    <cacheField name="Employee22" numFmtId="0">
      <sharedItems containsSemiMixedTypes="0" containsString="0" containsNumber="1" containsInteger="1" minValue="2300" maxValue="7300"/>
    </cacheField>
    <cacheField name="Employee32" numFmtId="0">
      <sharedItems containsSemiMixedTypes="0" containsString="0" containsNumber="1" containsInteger="1" minValue="2400" maxValue="8200"/>
    </cacheField>
    <cacheField name="Employee42" numFmtId="0">
      <sharedItems containsSemiMixedTypes="0" containsString="0" containsNumber="1" containsInteger="1" minValue="2200" maxValue="7900"/>
    </cacheField>
    <cacheField name="Employee52" numFmtId="0">
      <sharedItems containsSemiMixedTypes="0" containsString="0" containsNumber="1" containsInteger="1" minValue="2500" maxValue="7000"/>
    </cacheField>
  </cacheFields>
  <extLst>
    <ext xmlns:x14="http://schemas.microsoft.com/office/spreadsheetml/2009/9/main" uri="{725AE2AE-9491-48be-B2B4-4EB974FC3084}">
      <x14:pivotCacheDefinition pivotCacheId="868721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28340"/>
    <n v="18130"/>
    <n v="20185"/>
    <n v="20270"/>
    <n v="20710"/>
    <n v="0.4"/>
    <n v="0.41"/>
    <n v="0.18999999999999995"/>
    <n v="107635"/>
    <n v="120000"/>
    <n v="0.33"/>
    <n v="0.71"/>
    <n v="0.26"/>
    <n v="0.23"/>
    <n v="0.12"/>
    <n v="0.11"/>
    <n v="0.28000000000000003"/>
    <n v="1.08"/>
    <n v="0.47"/>
    <n v="1.34"/>
    <n v="0.47"/>
    <n v="0.5"/>
    <n v="0.46"/>
    <n v="0.39"/>
    <n v="0.59"/>
    <n v="0.48"/>
    <n v="0.7"/>
    <n v="59867"/>
    <n v="29705"/>
    <n v="695"/>
    <n v="88522"/>
    <n v="10928"/>
    <n v="15996"/>
    <n v="34287"/>
    <n v="33107"/>
    <n v="10047"/>
    <n v="37625"/>
    <n v="42413"/>
    <n v="37885"/>
    <n v="27649"/>
    <n v="31454"/>
    <n v="5200"/>
    <n v="3100"/>
    <n v="6300"/>
    <n v="6000"/>
    <n v="6600"/>
    <n v="7300"/>
    <n v="4300"/>
    <n v="4500"/>
    <n v="4100"/>
    <n v="4100"/>
  </r>
  <r>
    <x v="0"/>
    <x v="1"/>
    <n v="33090"/>
    <n v="19480"/>
    <n v="23855"/>
    <n v="43990"/>
    <n v="33180"/>
    <n v="0.37"/>
    <n v="0.43"/>
    <n v="0.19999999999999996"/>
    <n v="153595"/>
    <n v="120000"/>
    <n v="0.17"/>
    <n v="0.5"/>
    <n v="0.34"/>
    <n v="0.23"/>
    <n v="0.12"/>
    <n v="0.12"/>
    <n v="0.18999999999999995"/>
    <n v="0.91"/>
    <n v="0.54"/>
    <n v="1.32"/>
    <n v="0.52"/>
    <n v="1.1299999999999999"/>
    <n v="0.48"/>
    <n v="0.56000000000000005"/>
    <n v="0.56999999999999995"/>
    <n v="0.38"/>
    <n v="0.64"/>
    <n v="10456"/>
    <n v="27396"/>
    <n v="49816"/>
    <n v="34348"/>
    <n v="38205"/>
    <n v="45492"/>
    <n v="34287"/>
    <n v="42731"/>
    <n v="41459"/>
    <n v="21075"/>
    <n v="31812"/>
    <n v="21932"/>
    <n v="38151"/>
    <n v="32860"/>
    <n v="9300"/>
    <n v="2900"/>
    <n v="3800"/>
    <n v="4800"/>
    <n v="6100"/>
    <n v="3600"/>
    <n v="5700"/>
    <n v="5400"/>
    <n v="3300"/>
    <n v="3700"/>
  </r>
  <r>
    <x v="0"/>
    <x v="2"/>
    <n v="31685"/>
    <n v="33955"/>
    <n v="27270"/>
    <n v="34630"/>
    <n v="29220"/>
    <n v="0.35"/>
    <n v="0.48"/>
    <n v="0.17000000000000004"/>
    <n v="156760"/>
    <n v="120000"/>
    <n v="0.64"/>
    <n v="0.64"/>
    <n v="0.28000000000000003"/>
    <n v="0.21"/>
    <n v="0.16"/>
    <n v="0.11"/>
    <n v="0.24"/>
    <n v="0.91"/>
    <n v="0.35"/>
    <n v="1.21"/>
    <n v="0.98"/>
    <n v="0.81"/>
    <n v="0.56999999999999995"/>
    <n v="0.45"/>
    <n v="0.61"/>
    <n v="0.38"/>
    <n v="0.26"/>
    <n v="24662"/>
    <n v="37454"/>
    <n v="37903"/>
    <n v="47190"/>
    <n v="44974"/>
    <n v="13532"/>
    <n v="34285"/>
    <n v="53313"/>
    <n v="4272"/>
    <n v="27492"/>
    <n v="43898"/>
    <n v="38795"/>
    <n v="42932"/>
    <n v="35118"/>
    <n v="7000"/>
    <n v="3000"/>
    <n v="7000"/>
    <n v="8300"/>
    <n v="2800"/>
    <n v="3100"/>
    <n v="5500"/>
    <n v="4400"/>
    <n v="3500"/>
    <n v="5200"/>
  </r>
  <r>
    <x v="0"/>
    <x v="3"/>
    <n v="36840"/>
    <n v="23340"/>
    <n v="36425"/>
    <n v="33470"/>
    <n v="30730"/>
    <n v="0.36"/>
    <n v="0.45"/>
    <n v="0.18999999999999995"/>
    <n v="160805"/>
    <n v="120000"/>
    <n v="0.4"/>
    <n v="0.24"/>
    <n v="0.31"/>
    <n v="0.3"/>
    <n v="0.12"/>
    <n v="7.0000000000000007E-2"/>
    <n v="0.19999999999999996"/>
    <n v="1.24"/>
    <n v="1.06"/>
    <n v="1.08"/>
    <n v="0.91"/>
    <n v="1.07"/>
    <n v="0.26"/>
    <n v="0.31"/>
    <n v="0.56000000000000005"/>
    <n v="0.7"/>
    <n v="0.3"/>
    <n v="28363"/>
    <n v="32559"/>
    <n v="2859"/>
    <n v="44682"/>
    <n v="89111"/>
    <n v="8141"/>
    <n v="34285"/>
    <n v="19542"/>
    <n v="42659"/>
    <n v="40003"/>
    <n v="20115"/>
    <n v="40007"/>
    <n v="40200"/>
    <n v="33754"/>
    <n v="6700"/>
    <n v="5700"/>
    <n v="4500"/>
    <n v="5000"/>
    <n v="2700"/>
    <n v="5900"/>
    <n v="6100"/>
    <n v="5500"/>
    <n v="3500"/>
    <n v="6100"/>
  </r>
  <r>
    <x v="0"/>
    <x v="4"/>
    <n v="64590"/>
    <n v="41860"/>
    <n v="49940"/>
    <n v="34330"/>
    <n v="29460"/>
    <n v="0.36"/>
    <n v="0.4"/>
    <n v="0.24"/>
    <n v="220180"/>
    <n v="120000"/>
    <n v="0.2"/>
    <n v="0.25"/>
    <n v="0.31"/>
    <n v="0.22"/>
    <n v="0.13"/>
    <n v="0.14000000000000001"/>
    <n v="0.19999999999999996"/>
    <n v="0.94"/>
    <n v="0.99"/>
    <n v="0.77"/>
    <n v="1.02"/>
    <n v="0.76"/>
    <n v="0.3"/>
    <n v="0.59"/>
    <n v="0.31"/>
    <n v="0.73"/>
    <n v="0.55000000000000004"/>
    <n v="6097"/>
    <n v="46394"/>
    <n v="56704"/>
    <n v="18425"/>
    <n v="17854"/>
    <n v="60241"/>
    <n v="34285"/>
    <n v="48037"/>
    <n v="41586"/>
    <n v="31950"/>
    <n v="44847"/>
    <n v="8193"/>
    <n v="43737"/>
    <n v="36390"/>
    <n v="8900"/>
    <n v="3400"/>
    <n v="2900"/>
    <n v="4000"/>
    <n v="4500"/>
    <n v="3500"/>
    <n v="5400"/>
    <n v="4200"/>
    <n v="2900"/>
    <n v="6600"/>
  </r>
  <r>
    <x v="0"/>
    <x v="5"/>
    <n v="76530"/>
    <n v="54200"/>
    <n v="45950"/>
    <n v="42900"/>
    <n v="34960"/>
    <n v="0.38"/>
    <n v="0.5"/>
    <n v="0.12"/>
    <n v="254540"/>
    <n v="120000"/>
    <n v="0.44"/>
    <n v="0.69"/>
    <n v="0.35"/>
    <n v="0.21"/>
    <n v="0.16"/>
    <n v="0.08"/>
    <n v="0.20000000000000007"/>
    <n v="1.1000000000000001"/>
    <n v="1.25"/>
    <n v="0.85"/>
    <n v="1.31"/>
    <n v="0.94"/>
    <n v="0.59"/>
    <n v="0.56000000000000005"/>
    <n v="0.7"/>
    <n v="0.73"/>
    <n v="0.39"/>
    <n v="23965"/>
    <n v="47071"/>
    <n v="30345"/>
    <n v="36671"/>
    <n v="54945"/>
    <n v="12717"/>
    <n v="34286"/>
    <n v="31971"/>
    <n v="45318"/>
    <n v="39555"/>
    <n v="45223"/>
    <n v="16585"/>
    <n v="43065"/>
    <n v="36953"/>
    <n v="6200"/>
    <n v="3200"/>
    <n v="4200"/>
    <n v="3100"/>
    <n v="4900"/>
    <n v="4000"/>
    <n v="4600"/>
    <n v="5500"/>
    <n v="5200"/>
    <n v="3800"/>
  </r>
  <r>
    <x v="0"/>
    <x v="6"/>
    <n v="84020"/>
    <n v="53040"/>
    <n v="54240"/>
    <n v="32710"/>
    <n v="30170"/>
    <n v="0.37"/>
    <n v="0.48"/>
    <n v="0.15000000000000002"/>
    <n v="254180"/>
    <n v="120000"/>
    <n v="0.24"/>
    <n v="0.41"/>
    <n v="0.31"/>
    <n v="0.2"/>
    <n v="0.16"/>
    <n v="0.11"/>
    <n v="0.21999999999999997"/>
    <n v="0.37"/>
    <n v="0.46"/>
    <n v="0.68"/>
    <n v="1.24"/>
    <n v="0.88"/>
    <n v="0.52"/>
    <n v="0.61"/>
    <n v="0.34"/>
    <n v="0.48"/>
    <n v="0.33"/>
    <n v="33952"/>
    <n v="59758"/>
    <n v="23186"/>
    <n v="5088"/>
    <n v="15481"/>
    <n v="68250"/>
    <n v="34285"/>
    <n v="73225"/>
    <n v="82752"/>
    <n v="6957"/>
    <n v="11539"/>
    <n v="18644"/>
    <n v="7222"/>
    <n v="33391"/>
    <n v="4900"/>
    <n v="4800"/>
    <n v="2300"/>
    <n v="2700"/>
    <n v="4700"/>
    <n v="4100"/>
    <n v="3400"/>
    <n v="4700"/>
    <n v="4800"/>
    <n v="2500"/>
  </r>
  <r>
    <x v="0"/>
    <x v="7"/>
    <n v="84170"/>
    <n v="49190"/>
    <n v="50140"/>
    <n v="41480"/>
    <n v="28310"/>
    <n v="0.37"/>
    <n v="0.44"/>
    <n v="0.18999999999999995"/>
    <n v="253290"/>
    <n v="120000"/>
    <n v="0.75"/>
    <n v="0.6"/>
    <n v="0.34"/>
    <n v="0.26"/>
    <n v="0.17"/>
    <n v="0.12"/>
    <n v="0.10999999999999988"/>
    <n v="0.53"/>
    <n v="1.05"/>
    <n v="0.59"/>
    <n v="0.44"/>
    <n v="0.64"/>
    <n v="0.51"/>
    <n v="0.28999999999999998"/>
    <n v="0.3"/>
    <n v="0.41"/>
    <n v="0.32"/>
    <n v="44592"/>
    <n v="48774"/>
    <n v="27775"/>
    <n v="25626"/>
    <n v="32862"/>
    <n v="26085"/>
    <n v="34286"/>
    <n v="56058"/>
    <n v="49917"/>
    <n v="48765"/>
    <n v="42341"/>
    <n v="4345"/>
    <n v="13391"/>
    <n v="35803"/>
    <n v="7900"/>
    <n v="5400"/>
    <n v="5800"/>
    <n v="4800"/>
    <n v="3300"/>
    <n v="4300"/>
    <n v="5100"/>
    <n v="3000"/>
    <n v="2200"/>
    <n v="7000"/>
  </r>
  <r>
    <x v="0"/>
    <x v="8"/>
    <n v="78630"/>
    <n v="41370"/>
    <n v="53770"/>
    <n v="37090"/>
    <n v="31990"/>
    <n v="0.37"/>
    <n v="0.44"/>
    <n v="0.18999999999999995"/>
    <n v="242850"/>
    <n v="120000"/>
    <n v="0.73"/>
    <n v="0.5"/>
    <n v="0.33"/>
    <n v="0.21"/>
    <n v="0.17"/>
    <n v="0.11"/>
    <n v="0.17999999999999994"/>
    <n v="0.74"/>
    <n v="0.45"/>
    <n v="1.24"/>
    <n v="0.38"/>
    <n v="1.06"/>
    <n v="0.72"/>
    <n v="0.42"/>
    <n v="0.38"/>
    <n v="0.74"/>
    <n v="0.49"/>
    <n v="41608"/>
    <n v="38687"/>
    <n v="32685"/>
    <n v="40758"/>
    <n v="15259"/>
    <n v="36718"/>
    <n v="34285"/>
    <n v="17916"/>
    <n v="14439"/>
    <n v="6383"/>
    <n v="47775"/>
    <n v="68781"/>
    <n v="62626"/>
    <n v="36320"/>
    <n v="6900"/>
    <n v="5400"/>
    <n v="3400"/>
    <n v="4800"/>
    <n v="4500"/>
    <n v="4200"/>
    <n v="5400"/>
    <n v="6000"/>
    <n v="5200"/>
    <n v="5600"/>
  </r>
  <r>
    <x v="0"/>
    <x v="9"/>
    <n v="60760"/>
    <n v="50950"/>
    <n v="53140"/>
    <n v="38170"/>
    <n v="34660"/>
    <n v="0.39"/>
    <n v="0.54"/>
    <n v="6.9999999999999951E-2"/>
    <n v="237680"/>
    <n v="120000"/>
    <n v="0.72"/>
    <n v="0.47"/>
    <n v="0.28000000000000003"/>
    <n v="0.21"/>
    <n v="0.13"/>
    <n v="0.05"/>
    <n v="0.32999999999999996"/>
    <n v="0.62"/>
    <n v="0.87"/>
    <n v="1.18"/>
    <n v="0.38"/>
    <n v="0.36"/>
    <n v="0.35"/>
    <n v="0.45"/>
    <n v="0.63"/>
    <n v="0.61"/>
    <n v="0.53"/>
    <n v="55756"/>
    <n v="73802"/>
    <n v="10991"/>
    <n v="7018"/>
    <n v="46491"/>
    <n v="11657"/>
    <n v="34285"/>
    <n v="30546"/>
    <n v="14673"/>
    <n v="18630"/>
    <n v="49112"/>
    <n v="49019"/>
    <n v="29146"/>
    <n v="31854"/>
    <n v="9700"/>
    <n v="2900"/>
    <n v="4600"/>
    <n v="5300"/>
    <n v="6000"/>
    <n v="3500"/>
    <n v="6500"/>
    <n v="2400"/>
    <n v="5900"/>
    <n v="3000"/>
  </r>
  <r>
    <x v="0"/>
    <x v="10"/>
    <n v="44165"/>
    <n v="37275"/>
    <n v="37120"/>
    <n v="44480"/>
    <n v="34330"/>
    <n v="0.38"/>
    <n v="0.45"/>
    <n v="0.16999999999999993"/>
    <n v="197370"/>
    <n v="120000"/>
    <n v="0.73"/>
    <n v="0.75"/>
    <n v="0.25"/>
    <n v="0.22"/>
    <n v="0.15"/>
    <n v="7.0000000000000007E-2"/>
    <n v="0.31000000000000005"/>
    <n v="0.63"/>
    <n v="0.97"/>
    <n v="0.82"/>
    <n v="1.07"/>
    <n v="0.72"/>
    <n v="0.61"/>
    <n v="0.4"/>
    <n v="0.68"/>
    <n v="0.39"/>
    <n v="0.63"/>
    <n v="41610"/>
    <n v="2642"/>
    <n v="48284"/>
    <n v="17938"/>
    <n v="48687"/>
    <n v="46554"/>
    <n v="34285"/>
    <n v="58809"/>
    <n v="44756"/>
    <n v="6109"/>
    <n v="24468"/>
    <n v="33398"/>
    <n v="49565"/>
    <n v="36185"/>
    <n v="5400"/>
    <n v="4700"/>
    <n v="3500"/>
    <n v="6000"/>
    <n v="4900"/>
    <n v="4800"/>
    <n v="2600"/>
    <n v="7500"/>
    <n v="4300"/>
    <n v="6200"/>
  </r>
  <r>
    <x v="0"/>
    <x v="11"/>
    <n v="21930"/>
    <n v="14850"/>
    <n v="11285"/>
    <n v="27630"/>
    <n v="22700"/>
    <n v="0.4"/>
    <n v="0.54"/>
    <n v="5.9999999999999942E-2"/>
    <n v="98395"/>
    <n v="120000"/>
    <n v="0.36"/>
    <n v="0.28000000000000003"/>
    <n v="0.3"/>
    <n v="0.24"/>
    <n v="0.15"/>
    <n v="0.15"/>
    <n v="0.15999999999999992"/>
    <n v="0.71"/>
    <n v="0.8"/>
    <n v="0.56999999999999995"/>
    <n v="0.39"/>
    <n v="0.61"/>
    <n v="0.72"/>
    <n v="0.57999999999999996"/>
    <n v="0.65"/>
    <n v="0.49"/>
    <n v="0.56999999999999995"/>
    <n v="45691"/>
    <n v="60215"/>
    <n v="19839"/>
    <n v="13621"/>
    <n v="59767"/>
    <n v="6581"/>
    <n v="34286"/>
    <n v="42222"/>
    <n v="4090"/>
    <n v="39033"/>
    <n v="58269"/>
    <n v="68482"/>
    <n v="58702"/>
    <n v="45132"/>
    <n v="8700"/>
    <n v="3600"/>
    <n v="4700"/>
    <n v="6500"/>
    <n v="4500"/>
    <n v="4900"/>
    <n v="4700"/>
    <n v="6700"/>
    <n v="3600"/>
    <n v="3200"/>
  </r>
  <r>
    <x v="1"/>
    <x v="0"/>
    <n v="84200"/>
    <n v="40800"/>
    <n v="39350"/>
    <n v="36450"/>
    <n v="34950"/>
    <n v="0.4"/>
    <n v="0.54"/>
    <n v="5.9999999999999942E-2"/>
    <n v="235750"/>
    <n v="127500"/>
    <n v="0.6"/>
    <n v="0.75"/>
    <n v="0.25"/>
    <n v="0.23"/>
    <n v="0.11"/>
    <n v="0.05"/>
    <n v="0.36"/>
    <n v="0.35"/>
    <n v="1.1499999999999999"/>
    <n v="1.33"/>
    <n v="0.95"/>
    <n v="0.46"/>
    <n v="0.51"/>
    <n v="0.55000000000000004"/>
    <n v="0.28000000000000003"/>
    <n v="0.28999999999999998"/>
    <n v="0.46"/>
    <n v="81834"/>
    <n v="46341"/>
    <n v="27595"/>
    <n v="41420"/>
    <n v="2838"/>
    <n v="18543"/>
    <n v="36429"/>
    <n v="3805"/>
    <n v="29822"/>
    <n v="34730"/>
    <n v="31455"/>
    <n v="69701"/>
    <n v="32558"/>
    <n v="33679"/>
    <n v="5600"/>
    <n v="4500"/>
    <n v="3900"/>
    <n v="4100"/>
    <n v="6700"/>
    <n v="3300"/>
    <n v="3000"/>
    <n v="3100"/>
    <n v="3900"/>
    <n v="4800"/>
  </r>
  <r>
    <x v="1"/>
    <x v="1"/>
    <n v="87050"/>
    <n v="48050"/>
    <n v="42200"/>
    <n v="36950"/>
    <n v="32150"/>
    <n v="0.39"/>
    <n v="0.55000000000000004"/>
    <n v="5.9999999999999942E-2"/>
    <n v="246400"/>
    <n v="127500"/>
    <n v="0.18"/>
    <n v="0.72"/>
    <n v="0.31"/>
    <n v="0.3"/>
    <n v="0.13"/>
    <n v="0.05"/>
    <n v="0.20999999999999996"/>
    <n v="1.19"/>
    <n v="1.05"/>
    <n v="0.44"/>
    <n v="0.85"/>
    <n v="0.79"/>
    <n v="0.42"/>
    <n v="0.63"/>
    <n v="0.67"/>
    <n v="0.62"/>
    <n v="0.68"/>
    <n v="6373"/>
    <n v="4854"/>
    <n v="14992"/>
    <n v="42439"/>
    <n v="65703"/>
    <n v="84210"/>
    <n v="36429"/>
    <n v="1758"/>
    <n v="83659"/>
    <n v="5282"/>
    <n v="61073"/>
    <n v="27287"/>
    <n v="45555"/>
    <n v="37436"/>
    <n v="7200"/>
    <n v="3200"/>
    <n v="5000"/>
    <n v="2900"/>
    <n v="4200"/>
    <n v="4600"/>
    <n v="6400"/>
    <n v="5800"/>
    <n v="4800"/>
    <n v="4600"/>
  </r>
  <r>
    <x v="1"/>
    <x v="2"/>
    <n v="38325"/>
    <n v="27375"/>
    <n v="19375"/>
    <n v="35350"/>
    <n v="33400"/>
    <n v="0.37"/>
    <n v="0.54"/>
    <n v="8.9999999999999969E-2"/>
    <n v="153825"/>
    <n v="127500"/>
    <n v="0.47"/>
    <n v="0.75"/>
    <n v="0.27"/>
    <n v="0.3"/>
    <n v="0.12"/>
    <n v="0.06"/>
    <n v="0.25"/>
    <n v="0.89"/>
    <n v="0.65"/>
    <n v="0.4"/>
    <n v="0.49"/>
    <n v="0.57999999999999996"/>
    <n v="0.28000000000000003"/>
    <n v="0.63"/>
    <n v="0.47"/>
    <n v="0.56000000000000005"/>
    <n v="0.73"/>
    <n v="1817"/>
    <n v="45859"/>
    <n v="25110"/>
    <n v="64908"/>
    <n v="46144"/>
    <n v="34733"/>
    <n v="36429"/>
    <n v="31967"/>
    <n v="56170"/>
    <n v="8135"/>
    <n v="59017"/>
    <n v="29476"/>
    <n v="19963"/>
    <n v="34122"/>
    <n v="5600"/>
    <n v="6600"/>
    <n v="5800"/>
    <n v="3800"/>
    <n v="4500"/>
    <n v="3400"/>
    <n v="3500"/>
    <n v="3400"/>
    <n v="6600"/>
    <n v="3700"/>
  </r>
  <r>
    <x v="1"/>
    <x v="3"/>
    <n v="20125"/>
    <n v="20775"/>
    <n v="21100"/>
    <n v="28000"/>
    <n v="21400"/>
    <n v="0.35"/>
    <n v="0.41"/>
    <n v="0.24"/>
    <n v="111400"/>
    <n v="127500"/>
    <n v="0.68"/>
    <n v="0.69"/>
    <n v="0.28000000000000003"/>
    <n v="0.24"/>
    <n v="0.14000000000000001"/>
    <n v="0.14000000000000001"/>
    <n v="0.19999999999999996"/>
    <n v="0.44"/>
    <n v="0.38"/>
    <n v="0.35"/>
    <n v="0.67"/>
    <n v="0.46"/>
    <n v="0.6"/>
    <n v="0.64"/>
    <n v="0.68"/>
    <n v="0.44"/>
    <n v="0.51"/>
    <n v="36007"/>
    <n v="27171"/>
    <n v="21469"/>
    <n v="59608"/>
    <n v="22177"/>
    <n v="52139"/>
    <n v="36429"/>
    <n v="78666"/>
    <n v="6195"/>
    <n v="27356"/>
    <n v="30512"/>
    <n v="57968"/>
    <n v="1075"/>
    <n v="33628"/>
    <n v="5500"/>
    <n v="3700"/>
    <n v="3300"/>
    <n v="4000"/>
    <n v="7600"/>
    <n v="6500"/>
    <n v="5000"/>
    <n v="5800"/>
    <n v="3400"/>
    <n v="3200"/>
  </r>
  <r>
    <x v="1"/>
    <x v="4"/>
    <n v="98450"/>
    <n v="57350"/>
    <n v="55350"/>
    <n v="30450"/>
    <n v="34950"/>
    <n v="0.37"/>
    <n v="0.4"/>
    <n v="0.22999999999999998"/>
    <n v="276550"/>
    <n v="127500"/>
    <n v="0.16"/>
    <n v="0.37"/>
    <n v="0.35"/>
    <n v="0.3"/>
    <n v="0.16"/>
    <n v="0.09"/>
    <n v="0.10000000000000009"/>
    <n v="0.8"/>
    <n v="0.57999999999999996"/>
    <n v="0.55000000000000004"/>
    <n v="0.8"/>
    <n v="0.86"/>
    <n v="0.52"/>
    <n v="0.53"/>
    <n v="0.25"/>
    <n v="0.41"/>
    <n v="0.27"/>
    <n v="51759"/>
    <n v="45223"/>
    <n v="21923"/>
    <n v="41807"/>
    <n v="1397"/>
    <n v="56463"/>
    <n v="36428"/>
    <n v="73029"/>
    <n v="6135"/>
    <n v="669"/>
    <n v="14237"/>
    <n v="8003"/>
    <n v="109127"/>
    <n v="35200"/>
    <n v="7300"/>
    <n v="6500"/>
    <n v="4600"/>
    <n v="3900"/>
    <n v="3200"/>
    <n v="3300"/>
    <n v="5300"/>
    <n v="3400"/>
    <n v="7900"/>
    <n v="5400"/>
  </r>
  <r>
    <x v="1"/>
    <x v="5"/>
    <n v="38800"/>
    <n v="37050"/>
    <n v="36475"/>
    <n v="34350"/>
    <n v="32950"/>
    <n v="0.35"/>
    <n v="0.54"/>
    <n v="0.10999999999999999"/>
    <n v="179625"/>
    <n v="127500"/>
    <n v="0.38"/>
    <n v="0.35"/>
    <n v="0.28000000000000003"/>
    <n v="0.21"/>
    <n v="0.11"/>
    <n v="0.11"/>
    <n v="0.29000000000000004"/>
    <n v="0.4"/>
    <n v="0.4"/>
    <n v="0.39"/>
    <n v="0.46"/>
    <n v="0.83"/>
    <n v="0.54"/>
    <n v="0.55000000000000004"/>
    <n v="0.39"/>
    <n v="0.57999999999999996"/>
    <n v="0.46"/>
    <n v="51331"/>
    <n v="52532"/>
    <n v="44586"/>
    <n v="11914"/>
    <n v="52023"/>
    <n v="6186"/>
    <n v="36428"/>
    <n v="13722"/>
    <n v="44927"/>
    <n v="46092"/>
    <n v="35494"/>
    <n v="60920"/>
    <n v="49473"/>
    <n v="41772"/>
    <n v="5000"/>
    <n v="5100"/>
    <n v="4000"/>
    <n v="4900"/>
    <n v="3500"/>
    <n v="4900"/>
    <n v="6200"/>
    <n v="7900"/>
    <n v="2400"/>
    <n v="3600"/>
  </r>
  <r>
    <x v="1"/>
    <x v="6"/>
    <n v="65850"/>
    <n v="72750"/>
    <n v="64900"/>
    <n v="37750"/>
    <n v="29900"/>
    <n v="0.39"/>
    <n v="0.49"/>
    <n v="0.12"/>
    <n v="271150"/>
    <n v="127500"/>
    <n v="0.33"/>
    <n v="0.31"/>
    <n v="0.28999999999999998"/>
    <n v="0.24"/>
    <n v="0.12"/>
    <n v="0.12"/>
    <n v="0.22999999999999998"/>
    <n v="0.85"/>
    <n v="0.66"/>
    <n v="1.34"/>
    <n v="0.36"/>
    <n v="0.78"/>
    <n v="0.53"/>
    <n v="0.73"/>
    <n v="0.44"/>
    <n v="0.55000000000000004"/>
    <n v="0.44"/>
    <n v="49646"/>
    <n v="30891"/>
    <n v="56260"/>
    <n v="48065"/>
    <n v="23201"/>
    <n v="10508"/>
    <n v="36429"/>
    <n v="23589"/>
    <n v="62477"/>
    <n v="70659"/>
    <n v="24604"/>
    <n v="5782"/>
    <n v="46588"/>
    <n v="38951"/>
    <n v="6500"/>
    <n v="4800"/>
    <n v="6100"/>
    <n v="4800"/>
    <n v="3500"/>
    <n v="3400"/>
    <n v="3000"/>
    <n v="5400"/>
    <n v="6700"/>
    <n v="6100"/>
  </r>
  <r>
    <x v="1"/>
    <x v="7"/>
    <n v="36450"/>
    <n v="24875"/>
    <n v="31275"/>
    <n v="41900"/>
    <n v="31600"/>
    <n v="0.35"/>
    <n v="0.49"/>
    <n v="0.16000000000000003"/>
    <n v="166100"/>
    <n v="127500"/>
    <n v="0.5"/>
    <n v="0.53"/>
    <n v="0.32"/>
    <n v="0.28000000000000003"/>
    <n v="0.14000000000000001"/>
    <n v="0.1"/>
    <n v="0.15999999999999992"/>
    <n v="1.04"/>
    <n v="0.51"/>
    <n v="1.23"/>
    <n v="1.07"/>
    <n v="1.08"/>
    <n v="0.42"/>
    <n v="0.35"/>
    <n v="0.48"/>
    <n v="0.64"/>
    <n v="0.44"/>
    <n v="51962"/>
    <n v="48810"/>
    <n v="46925"/>
    <n v="24132"/>
    <n v="17268"/>
    <n v="29474"/>
    <n v="36429"/>
    <n v="39031"/>
    <n v="8783"/>
    <n v="3381"/>
    <n v="40277"/>
    <n v="41504"/>
    <n v="50109"/>
    <n v="30515"/>
    <n v="5800"/>
    <n v="4200"/>
    <n v="5000"/>
    <n v="6800"/>
    <n v="6200"/>
    <n v="6900"/>
    <n v="6400"/>
    <n v="3100"/>
    <n v="3600"/>
    <n v="4300"/>
  </r>
  <r>
    <x v="1"/>
    <x v="8"/>
    <n v="78950"/>
    <n v="39250"/>
    <n v="56800"/>
    <n v="30900"/>
    <n v="28150"/>
    <n v="0.4"/>
    <n v="0.53"/>
    <n v="6.9999999999999951E-2"/>
    <n v="234050"/>
    <n v="127500"/>
    <n v="0.75"/>
    <n v="0.57999999999999996"/>
    <n v="0.33"/>
    <n v="0.23"/>
    <n v="0.15"/>
    <n v="0.1"/>
    <n v="0.18999999999999995"/>
    <n v="0.45"/>
    <n v="0.47"/>
    <n v="0.5"/>
    <n v="1.23"/>
    <n v="1.1100000000000001"/>
    <n v="0.67"/>
    <n v="0.68"/>
    <n v="0.49"/>
    <n v="0.75"/>
    <n v="0.38"/>
    <n v="78132"/>
    <n v="22140"/>
    <n v="13463"/>
    <n v="22015"/>
    <n v="54712"/>
    <n v="28109"/>
    <n v="36429"/>
    <n v="21220"/>
    <n v="53914"/>
    <n v="62840"/>
    <n v="21613"/>
    <n v="16404"/>
    <n v="55224"/>
    <n v="38535"/>
    <n v="6200"/>
    <n v="3900"/>
    <n v="4300"/>
    <n v="3900"/>
    <n v="4200"/>
    <n v="4100"/>
    <n v="5300"/>
    <n v="5000"/>
    <n v="3000"/>
    <n v="4800"/>
  </r>
  <r>
    <x v="1"/>
    <x v="9"/>
    <n v="30725"/>
    <n v="34325"/>
    <n v="34100"/>
    <n v="30950"/>
    <n v="28950"/>
    <n v="0.36"/>
    <n v="0.43"/>
    <n v="0.20999999999999996"/>
    <n v="159050"/>
    <n v="127500"/>
    <n v="0.73"/>
    <n v="0.37"/>
    <n v="0.3"/>
    <n v="0.24"/>
    <n v="0.17"/>
    <n v="0.14000000000000001"/>
    <n v="0.14999999999999991"/>
    <n v="1.18"/>
    <n v="0.6"/>
    <n v="1.28"/>
    <n v="0.88"/>
    <n v="0.37"/>
    <n v="0.39"/>
    <n v="0.41"/>
    <n v="0.74"/>
    <n v="0.66"/>
    <n v="0.26"/>
    <n v="50589"/>
    <n v="31175"/>
    <n v="2231"/>
    <n v="44476"/>
    <n v="53495"/>
    <n v="36605"/>
    <n v="36429"/>
    <n v="33235"/>
    <n v="48630"/>
    <n v="44239"/>
    <n v="3952"/>
    <n v="48904"/>
    <n v="42354"/>
    <n v="36886"/>
    <n v="5000"/>
    <n v="3600"/>
    <n v="5700"/>
    <n v="3300"/>
    <n v="4800"/>
    <n v="4500"/>
    <n v="3600"/>
    <n v="6200"/>
    <n v="6700"/>
    <n v="4400"/>
  </r>
  <r>
    <x v="1"/>
    <x v="10"/>
    <n v="75100"/>
    <n v="71100"/>
    <n v="45700"/>
    <n v="44900"/>
    <n v="29200"/>
    <n v="0.37"/>
    <n v="0.4"/>
    <n v="0.22999999999999998"/>
    <n v="266000"/>
    <n v="127500"/>
    <n v="0.39"/>
    <n v="0.62"/>
    <n v="0.28999999999999998"/>
    <n v="0.21"/>
    <n v="0.2"/>
    <n v="0.1"/>
    <n v="0.20000000000000007"/>
    <n v="0.84"/>
    <n v="1.26"/>
    <n v="1.29"/>
    <n v="0.62"/>
    <n v="0.96"/>
    <n v="0.42"/>
    <n v="0.46"/>
    <n v="0.28000000000000003"/>
    <n v="0.57999999999999996"/>
    <n v="0.43"/>
    <n v="61297"/>
    <n v="11417"/>
    <n v="78401"/>
    <n v="23263"/>
    <n v="29757"/>
    <n v="14437"/>
    <n v="36428"/>
    <n v="15712"/>
    <n v="2750"/>
    <n v="17909"/>
    <n v="31908"/>
    <n v="76740"/>
    <n v="82980"/>
    <n v="38001"/>
    <n v="5900"/>
    <n v="5300"/>
    <n v="3600"/>
    <n v="2500"/>
    <n v="6200"/>
    <n v="4100"/>
    <n v="2300"/>
    <n v="8200"/>
    <n v="4600"/>
    <n v="3300"/>
  </r>
  <r>
    <x v="1"/>
    <x v="11"/>
    <n v="44150"/>
    <n v="33750"/>
    <n v="28400"/>
    <n v="34150"/>
    <n v="33050"/>
    <n v="0.38"/>
    <n v="0.4"/>
    <n v="0.21999999999999997"/>
    <n v="173500"/>
    <n v="127500"/>
    <n v="0.71"/>
    <n v="0.61"/>
    <n v="0.25"/>
    <n v="0.27"/>
    <n v="0.16"/>
    <n v="0.1"/>
    <n v="0.21999999999999997"/>
    <n v="0.92"/>
    <n v="1.28"/>
    <n v="0.87"/>
    <n v="0.66"/>
    <n v="0.68"/>
    <n v="0.44"/>
    <n v="0.39"/>
    <n v="0.61"/>
    <n v="0.25"/>
    <n v="0.43"/>
    <n v="27485"/>
    <n v="65155"/>
    <n v="49231"/>
    <n v="5709"/>
    <n v="30633"/>
    <n v="40359"/>
    <n v="36428"/>
    <n v="15509"/>
    <n v="54263"/>
    <n v="57668"/>
    <n v="26601"/>
    <n v="39834"/>
    <n v="45953"/>
    <n v="39972"/>
    <n v="9100"/>
    <n v="2900"/>
    <n v="3000"/>
    <n v="5400"/>
    <n v="3200"/>
    <n v="4000"/>
    <n v="5900"/>
    <n v="3900"/>
    <n v="2500"/>
    <n v="6400"/>
  </r>
  <r>
    <x v="2"/>
    <x v="0"/>
    <n v="50700"/>
    <n v="46000"/>
    <n v="48625"/>
    <n v="71300"/>
    <n v="59050"/>
    <n v="0.38"/>
    <n v="0.52"/>
    <n v="9.9999999999999978E-2"/>
    <n v="275675"/>
    <n v="200000"/>
    <n v="0.68"/>
    <n v="0.31"/>
    <n v="0.27"/>
    <n v="0.3"/>
    <n v="0.17"/>
    <n v="0.05"/>
    <n v="0.20999999999999985"/>
    <n v="0.71"/>
    <n v="0.57999999999999996"/>
    <n v="0.96"/>
    <n v="0.5"/>
    <n v="1.23"/>
    <n v="0.6"/>
    <n v="0.32"/>
    <n v="0.4"/>
    <n v="0.28000000000000003"/>
    <n v="0.71"/>
    <n v="49619"/>
    <n v="44997"/>
    <n v="90800"/>
    <n v="15868"/>
    <n v="63131"/>
    <n v="78442"/>
    <n v="57143"/>
    <n v="70508"/>
    <n v="73443"/>
    <n v="14200"/>
    <n v="136332"/>
    <n v="60125"/>
    <n v="25321"/>
    <n v="63321"/>
    <n v="5600"/>
    <n v="3200"/>
    <n v="5200"/>
    <n v="4700"/>
    <n v="6700"/>
    <n v="6500"/>
    <n v="6600"/>
    <n v="5600"/>
    <n v="6400"/>
    <n v="5200"/>
  </r>
  <r>
    <x v="2"/>
    <x v="1"/>
    <n v="100800"/>
    <n v="106300"/>
    <n v="101300"/>
    <n v="67150"/>
    <n v="67700"/>
    <n v="0.4"/>
    <n v="0.53"/>
    <n v="6.9999999999999951E-2"/>
    <n v="443250"/>
    <n v="200000"/>
    <n v="0.56000000000000005"/>
    <n v="0.75"/>
    <n v="0.31"/>
    <n v="0.26"/>
    <n v="0.16"/>
    <n v="0.13"/>
    <n v="0.1399999999999999"/>
    <n v="0.37"/>
    <n v="0.51"/>
    <n v="1.08"/>
    <n v="0.39"/>
    <n v="1.0900000000000001"/>
    <n v="0.42"/>
    <n v="0.68"/>
    <n v="0.37"/>
    <n v="0.66"/>
    <n v="0.75"/>
    <n v="56868"/>
    <n v="63148"/>
    <n v="23937"/>
    <n v="62350"/>
    <n v="56683"/>
    <n v="79871"/>
    <n v="57143"/>
    <n v="2277"/>
    <n v="26257"/>
    <n v="63238"/>
    <n v="115351"/>
    <n v="106186"/>
    <n v="57962"/>
    <n v="61879"/>
    <n v="2800"/>
    <n v="5700"/>
    <n v="3800"/>
    <n v="4500"/>
    <n v="6700"/>
    <n v="4300"/>
    <n v="6200"/>
    <n v="7200"/>
    <n v="3300"/>
    <n v="4200"/>
  </r>
  <r>
    <x v="2"/>
    <x v="2"/>
    <n v="100900"/>
    <n v="70850"/>
    <n v="71300"/>
    <n v="71950"/>
    <n v="59300"/>
    <n v="0.38"/>
    <n v="0.49"/>
    <n v="0.13"/>
    <n v="374300"/>
    <n v="200000"/>
    <n v="0.39"/>
    <n v="0.49"/>
    <n v="0.31"/>
    <n v="0.27"/>
    <n v="0.12"/>
    <n v="0.05"/>
    <n v="0.24999999999999989"/>
    <n v="1.02"/>
    <n v="0.76"/>
    <n v="0.61"/>
    <n v="0.92"/>
    <n v="1.3"/>
    <n v="0.52"/>
    <n v="0.71"/>
    <n v="0.6"/>
    <n v="0.71"/>
    <n v="0.34"/>
    <n v="30176"/>
    <n v="70871"/>
    <n v="43786"/>
    <n v="34502"/>
    <n v="113601"/>
    <n v="49922"/>
    <n v="57142"/>
    <n v="80972"/>
    <n v="70011"/>
    <n v="98601"/>
    <n v="184"/>
    <n v="97849"/>
    <n v="77398"/>
    <n v="70835"/>
    <n v="3600"/>
    <n v="5800"/>
    <n v="7100"/>
    <n v="5200"/>
    <n v="5000"/>
    <n v="5600"/>
    <n v="2800"/>
    <n v="3100"/>
    <n v="6300"/>
    <n v="4000"/>
  </r>
  <r>
    <x v="2"/>
    <x v="3"/>
    <n v="51000"/>
    <n v="66800"/>
    <n v="73150"/>
    <n v="83750"/>
    <n v="59950"/>
    <n v="0.38"/>
    <n v="0.45"/>
    <n v="0.16999999999999993"/>
    <n v="334650"/>
    <n v="200000"/>
    <n v="0.63"/>
    <n v="0.22"/>
    <n v="0.34"/>
    <n v="0.28999999999999998"/>
    <n v="0.17"/>
    <n v="0.14000000000000001"/>
    <n v="5.9999999999999942E-2"/>
    <n v="0.69"/>
    <n v="1"/>
    <n v="1.03"/>
    <n v="0.36"/>
    <n v="0.59"/>
    <n v="0.74"/>
    <n v="0.6"/>
    <n v="0.71"/>
    <n v="0.74"/>
    <n v="0.53"/>
    <n v="52957"/>
    <n v="41804"/>
    <n v="82527"/>
    <n v="14966"/>
    <n v="83661"/>
    <n v="66943"/>
    <n v="57142"/>
    <n v="89767"/>
    <n v="64887"/>
    <n v="3141"/>
    <n v="82237"/>
    <n v="55205"/>
    <n v="91420"/>
    <n v="64443"/>
    <n v="3600"/>
    <n v="6100"/>
    <n v="4000"/>
    <n v="5100"/>
    <n v="7300"/>
    <n v="6000"/>
    <n v="5200"/>
    <n v="6900"/>
    <n v="6400"/>
    <n v="3500"/>
  </r>
  <r>
    <x v="2"/>
    <x v="4"/>
    <n v="70600"/>
    <n v="51100"/>
    <n v="35125"/>
    <n v="89950"/>
    <n v="67000"/>
    <n v="0.36"/>
    <n v="0.51"/>
    <n v="0.13"/>
    <n v="313775"/>
    <n v="200000"/>
    <n v="0.51"/>
    <n v="0.65"/>
    <n v="0.33"/>
    <n v="0.24"/>
    <n v="0.11"/>
    <n v="0.09"/>
    <n v="0.22999999999999998"/>
    <n v="0.67"/>
    <n v="0.71"/>
    <n v="1.18"/>
    <n v="1.35"/>
    <n v="1.06"/>
    <n v="0.31"/>
    <n v="0.27"/>
    <n v="0.65"/>
    <n v="0.4"/>
    <n v="0.65"/>
    <n v="66993"/>
    <n v="80607"/>
    <n v="45268"/>
    <n v="19824"/>
    <n v="70101"/>
    <n v="60063"/>
    <n v="57144"/>
    <n v="3599"/>
    <n v="89239"/>
    <n v="53980"/>
    <n v="41530"/>
    <n v="55959"/>
    <n v="81707"/>
    <n v="54336"/>
    <n v="3400"/>
    <n v="5400"/>
    <n v="4200"/>
    <n v="3700"/>
    <n v="3400"/>
    <n v="4300"/>
    <n v="6000"/>
    <n v="7100"/>
    <n v="4100"/>
    <n v="6600"/>
  </r>
  <r>
    <x v="2"/>
    <x v="5"/>
    <n v="133300"/>
    <n v="119100"/>
    <n v="117550"/>
    <n v="87300"/>
    <n v="65350"/>
    <n v="0.39"/>
    <n v="0.43"/>
    <n v="0.17999999999999994"/>
    <n v="522600"/>
    <n v="200000"/>
    <n v="0.4"/>
    <n v="0.22"/>
    <n v="0.32"/>
    <n v="0.28999999999999998"/>
    <n v="0.16"/>
    <n v="0.1"/>
    <n v="0.13"/>
    <n v="0.64"/>
    <n v="0.9"/>
    <n v="0.89"/>
    <n v="1.31"/>
    <n v="0.61"/>
    <n v="0.26"/>
    <n v="0.28999999999999998"/>
    <n v="0.69"/>
    <n v="0.56999999999999995"/>
    <n v="0.55000000000000004"/>
    <n v="61731"/>
    <n v="70672"/>
    <n v="15210"/>
    <n v="43615"/>
    <n v="89928"/>
    <n v="61702"/>
    <n v="57142"/>
    <n v="44028"/>
    <n v="47609"/>
    <n v="121003"/>
    <n v="108350"/>
    <n v="29960"/>
    <n v="105094"/>
    <n v="76006"/>
    <n v="5100"/>
    <n v="5000"/>
    <n v="5600"/>
    <n v="2400"/>
    <n v="4500"/>
    <n v="4200"/>
    <n v="4600"/>
    <n v="4100"/>
    <n v="4800"/>
    <n v="2600"/>
  </r>
  <r>
    <x v="2"/>
    <x v="6"/>
    <n v="72850"/>
    <n v="60400"/>
    <n v="34650"/>
    <n v="37350"/>
    <n v="26100"/>
    <n v="0.4"/>
    <n v="0.49"/>
    <n v="0.10999999999999999"/>
    <n v="231350"/>
    <n v="200000"/>
    <n v="0.53"/>
    <n v="0.49"/>
    <n v="0.25"/>
    <n v="0.26"/>
    <n v="0.2"/>
    <n v="0.1"/>
    <n v="0.19000000000000006"/>
    <n v="0.49"/>
    <n v="0.52"/>
    <n v="0.74"/>
    <n v="0.42"/>
    <n v="0.6"/>
    <n v="0.63"/>
    <n v="0.41"/>
    <n v="0.35"/>
    <n v="0.27"/>
    <n v="0.32"/>
    <n v="85576"/>
    <n v="13692"/>
    <n v="81285"/>
    <n v="55531"/>
    <n v="54552"/>
    <n v="52220"/>
    <n v="57144"/>
    <n v="105360"/>
    <n v="41432"/>
    <n v="10472"/>
    <n v="70272"/>
    <n v="90437"/>
    <n v="124784"/>
    <n v="73793"/>
    <n v="4600"/>
    <n v="3700"/>
    <n v="3000"/>
    <n v="3800"/>
    <n v="6400"/>
    <n v="2500"/>
    <n v="5300"/>
    <n v="5300"/>
    <n v="5400"/>
    <n v="3600"/>
  </r>
  <r>
    <x v="2"/>
    <x v="7"/>
    <n v="103750"/>
    <n v="135400"/>
    <n v="144750"/>
    <n v="63700"/>
    <n v="60000"/>
    <n v="0.38"/>
    <n v="0.55000000000000004"/>
    <n v="6.9999999999999951E-2"/>
    <n v="507600"/>
    <n v="200000"/>
    <n v="0.16"/>
    <n v="0.39"/>
    <n v="0.3"/>
    <n v="0.26"/>
    <n v="0.13"/>
    <n v="0.14000000000000001"/>
    <n v="0.16999999999999993"/>
    <n v="0.79"/>
    <n v="0.43"/>
    <n v="0.95"/>
    <n v="1.06"/>
    <n v="1.1599999999999999"/>
    <n v="0.71"/>
    <n v="0.5"/>
    <n v="0.53"/>
    <n v="0.3"/>
    <n v="0.66"/>
    <n v="123513"/>
    <n v="28129"/>
    <n v="13569"/>
    <n v="112315"/>
    <n v="9984"/>
    <n v="55347"/>
    <n v="57143"/>
    <n v="88289"/>
    <n v="56527"/>
    <n v="28046"/>
    <n v="26284"/>
    <n v="169188"/>
    <n v="494"/>
    <n v="61472"/>
    <n v="5400"/>
    <n v="3700"/>
    <n v="2700"/>
    <n v="3200"/>
    <n v="4700"/>
    <n v="4900"/>
    <n v="5600"/>
    <n v="6500"/>
    <n v="4700"/>
    <n v="3500"/>
  </r>
  <r>
    <x v="2"/>
    <x v="8"/>
    <n v="131050"/>
    <n v="93550"/>
    <n v="135050"/>
    <n v="69000"/>
    <n v="60400"/>
    <n v="0.38"/>
    <n v="0.55000000000000004"/>
    <n v="6.9999999999999951E-2"/>
    <n v="489050"/>
    <n v="200000"/>
    <n v="0.44"/>
    <n v="0.74"/>
    <n v="0.28999999999999998"/>
    <n v="0.21"/>
    <n v="0.16"/>
    <n v="0.1"/>
    <n v="0.24"/>
    <n v="0.35"/>
    <n v="0.39"/>
    <n v="0.75"/>
    <n v="0.61"/>
    <n v="1.27"/>
    <n v="0.25"/>
    <n v="0.4"/>
    <n v="0.55000000000000004"/>
    <n v="0.74"/>
    <n v="0.71"/>
    <n v="21"/>
    <n v="91779"/>
    <n v="70530"/>
    <n v="23891"/>
    <n v="82162"/>
    <n v="74474"/>
    <n v="57143"/>
    <n v="124149"/>
    <n v="29359"/>
    <n v="47814"/>
    <n v="82936"/>
    <n v="38506"/>
    <n v="115536"/>
    <n v="73050"/>
    <n v="5100"/>
    <n v="3100"/>
    <n v="4800"/>
    <n v="2900"/>
    <n v="6900"/>
    <n v="5500"/>
    <n v="4200"/>
    <n v="3700"/>
    <n v="5300"/>
    <n v="5000"/>
  </r>
  <r>
    <x v="2"/>
    <x v="9"/>
    <n v="54600"/>
    <n v="55350"/>
    <n v="42200"/>
    <n v="64200"/>
    <n v="64650"/>
    <n v="0.38"/>
    <n v="0.46"/>
    <n v="0.15999999999999992"/>
    <n v="281000"/>
    <n v="200000"/>
    <n v="0.32"/>
    <n v="0.26"/>
    <n v="0.25"/>
    <n v="0.26"/>
    <n v="0.14000000000000001"/>
    <n v="0.1"/>
    <n v="0.25"/>
    <n v="1.1599999999999999"/>
    <n v="0.46"/>
    <n v="0.53"/>
    <n v="1.28"/>
    <n v="1.3"/>
    <n v="0.65"/>
    <n v="0.62"/>
    <n v="0.61"/>
    <n v="0.56000000000000005"/>
    <n v="0.57999999999999996"/>
    <n v="86308"/>
    <n v="58777"/>
    <n v="73329"/>
    <n v="58578"/>
    <n v="15113"/>
    <n v="50752"/>
    <n v="57143"/>
    <n v="90279"/>
    <n v="50719"/>
    <n v="57972"/>
    <n v="91074"/>
    <n v="15757"/>
    <n v="97570"/>
    <n v="67229"/>
    <n v="3100"/>
    <n v="4400"/>
    <n v="5100"/>
    <n v="7900"/>
    <n v="7100"/>
    <n v="4600"/>
    <n v="6000"/>
    <n v="4300"/>
    <n v="3400"/>
    <n v="3200"/>
  </r>
  <r>
    <x v="2"/>
    <x v="10"/>
    <n v="60500"/>
    <n v="46450"/>
    <n v="36550"/>
    <n v="82900"/>
    <n v="67200"/>
    <n v="0.35"/>
    <n v="0.42"/>
    <n v="0.22999999999999998"/>
    <n v="293600"/>
    <n v="200000"/>
    <n v="0.69"/>
    <n v="0.2"/>
    <n v="0.28000000000000003"/>
    <n v="0.22"/>
    <n v="0.17"/>
    <n v="7.0000000000000007E-2"/>
    <n v="0.26"/>
    <n v="1.35"/>
    <n v="1.3"/>
    <n v="0.83"/>
    <n v="0.75"/>
    <n v="0.97"/>
    <n v="0.6"/>
    <n v="0.56999999999999995"/>
    <n v="0.37"/>
    <n v="0.52"/>
    <n v="0.59"/>
    <n v="90128"/>
    <n v="54464"/>
    <n v="62081"/>
    <n v="80887"/>
    <n v="18097"/>
    <n v="37201"/>
    <n v="57142"/>
    <n v="59040"/>
    <n v="32599"/>
    <n v="24010"/>
    <n v="157462"/>
    <n v="6803"/>
    <n v="155172"/>
    <n v="72514"/>
    <n v="3200"/>
    <n v="3900"/>
    <n v="2800"/>
    <n v="6600"/>
    <n v="4300"/>
    <n v="4900"/>
    <n v="7300"/>
    <n v="4100"/>
    <n v="3200"/>
    <n v="6800"/>
  </r>
  <r>
    <x v="2"/>
    <x v="11"/>
    <n v="64025"/>
    <n v="44375"/>
    <n v="45100"/>
    <n v="84150"/>
    <n v="66400"/>
    <n v="0.4"/>
    <n v="0.49"/>
    <n v="0.10999999999999999"/>
    <n v="304050"/>
    <n v="200000"/>
    <n v="0.23"/>
    <n v="0.74"/>
    <n v="0.33"/>
    <n v="0.26"/>
    <n v="0.14000000000000001"/>
    <n v="0.15"/>
    <n v="0.11999999999999988"/>
    <n v="0.91"/>
    <n v="0.86"/>
    <n v="1.28"/>
    <n v="1.27"/>
    <n v="1.1200000000000001"/>
    <n v="0.65"/>
    <n v="0.56999999999999995"/>
    <n v="0.64"/>
    <n v="0.28000000000000003"/>
    <n v="0.36"/>
    <n v="97897"/>
    <n v="124281"/>
    <n v="38613"/>
    <n v="3843"/>
    <n v="14836"/>
    <n v="63387"/>
    <n v="57143"/>
    <n v="7447"/>
    <n v="27989"/>
    <n v="119083"/>
    <n v="74139"/>
    <n v="46657"/>
    <n v="85543"/>
    <n v="60142"/>
    <n v="3500"/>
    <n v="4600"/>
    <n v="5800"/>
    <n v="5600"/>
    <n v="5800"/>
    <n v="4500"/>
    <n v="5000"/>
    <n v="3800"/>
    <n v="3400"/>
    <n v="4000"/>
  </r>
  <r>
    <x v="3"/>
    <x v="0"/>
    <n v="170350"/>
    <n v="98050"/>
    <n v="93400"/>
    <n v="63450"/>
    <n v="68700"/>
    <n v="0.37"/>
    <n v="0.4"/>
    <n v="0.22999999999999998"/>
    <n v="493950"/>
    <n v="250000"/>
    <n v="0.41"/>
    <n v="0.74"/>
    <n v="0.3"/>
    <n v="0.27"/>
    <n v="0.15"/>
    <n v="0.06"/>
    <n v="0.21999999999999997"/>
    <n v="1.06"/>
    <n v="0.5"/>
    <n v="1"/>
    <n v="0.87"/>
    <n v="0.85"/>
    <n v="0.53"/>
    <n v="0.28999999999999998"/>
    <n v="0.48"/>
    <n v="0.27"/>
    <n v="0.26"/>
    <n v="41333"/>
    <n v="124358"/>
    <n v="4831"/>
    <n v="114439"/>
    <n v="30521"/>
    <n v="113090"/>
    <n v="71428"/>
    <n v="76149"/>
    <n v="41962"/>
    <n v="124078"/>
    <n v="2187"/>
    <n v="86634"/>
    <n v="92376"/>
    <n v="70564"/>
    <n v="5600"/>
    <n v="5700"/>
    <n v="3300"/>
    <n v="3100"/>
    <n v="3000"/>
    <n v="4400"/>
    <n v="2600"/>
    <n v="7700"/>
    <n v="7400"/>
    <n v="6500"/>
  </r>
  <r>
    <x v="3"/>
    <x v="1"/>
    <n v="72975"/>
    <n v="54075"/>
    <n v="54600"/>
    <n v="81350"/>
    <n v="59950"/>
    <n v="0.35"/>
    <n v="0.46"/>
    <n v="0.18999999999999995"/>
    <n v="322950"/>
    <n v="250000"/>
    <n v="0.56000000000000005"/>
    <n v="0.42"/>
    <n v="0.34"/>
    <n v="0.28999999999999998"/>
    <n v="0.17"/>
    <n v="0.06"/>
    <n v="0.1399999999999999"/>
    <n v="0.43"/>
    <n v="1.31"/>
    <n v="1.21"/>
    <n v="0.59"/>
    <n v="0.52"/>
    <n v="0.69"/>
    <n v="0.33"/>
    <n v="0.69"/>
    <n v="0.64"/>
    <n v="0.43"/>
    <n v="2897"/>
    <n v="117296"/>
    <n v="97666"/>
    <n v="72420"/>
    <n v="63751"/>
    <n v="74541"/>
    <n v="71429"/>
    <n v="88165"/>
    <n v="56838"/>
    <n v="107807"/>
    <n v="83070"/>
    <n v="54632"/>
    <n v="42003"/>
    <n v="72085"/>
    <n v="3500"/>
    <n v="6700"/>
    <n v="4700"/>
    <n v="4300"/>
    <n v="4500"/>
    <n v="6700"/>
    <n v="3500"/>
    <n v="5300"/>
    <n v="6700"/>
    <n v="3300"/>
  </r>
  <r>
    <x v="3"/>
    <x v="2"/>
    <n v="99375"/>
    <n v="61600"/>
    <n v="52925"/>
    <n v="77100"/>
    <n v="58500"/>
    <n v="0.36"/>
    <n v="0.4"/>
    <n v="0.24"/>
    <n v="349500"/>
    <n v="250000"/>
    <n v="0.21"/>
    <n v="0.72"/>
    <n v="0.35"/>
    <n v="0.2"/>
    <n v="0.14000000000000001"/>
    <n v="0.14000000000000001"/>
    <n v="0.16999999999999993"/>
    <n v="1.04"/>
    <n v="0.5"/>
    <n v="0.84"/>
    <n v="0.98"/>
    <n v="1.1299999999999999"/>
    <n v="0.5"/>
    <n v="0.41"/>
    <n v="0.74"/>
    <n v="0.71"/>
    <n v="0.41"/>
    <n v="35320"/>
    <n v="110967"/>
    <n v="111962"/>
    <n v="3566"/>
    <n v="109467"/>
    <n v="57290"/>
    <n v="71428"/>
    <n v="60234"/>
    <n v="199342"/>
    <n v="154993"/>
    <n v="6735"/>
    <n v="20220"/>
    <n v="14648"/>
    <n v="76028"/>
    <n v="5100"/>
    <n v="7200"/>
    <n v="5000"/>
    <n v="3800"/>
    <n v="4800"/>
    <n v="2400"/>
    <n v="3100"/>
    <n v="2400"/>
    <n v="6600"/>
    <n v="4600"/>
  </r>
  <r>
    <x v="3"/>
    <x v="3"/>
    <n v="94200"/>
    <n v="46250"/>
    <n v="42325"/>
    <n v="79300"/>
    <n v="66700"/>
    <n v="0.36"/>
    <n v="0.48"/>
    <n v="0.16000000000000003"/>
    <n v="328775"/>
    <n v="250000"/>
    <n v="0.28999999999999998"/>
    <n v="0.73"/>
    <n v="0.25"/>
    <n v="0.25"/>
    <n v="0.19"/>
    <n v="0.12"/>
    <n v="0.19000000000000006"/>
    <n v="0.66"/>
    <n v="0.91"/>
    <n v="1.27"/>
    <n v="1"/>
    <n v="0.45"/>
    <n v="0.54"/>
    <n v="0.53"/>
    <n v="0.56000000000000005"/>
    <n v="0.65"/>
    <n v="0.48"/>
    <n v="90700"/>
    <n v="1787"/>
    <n v="84255"/>
    <n v="59026"/>
    <n v="104238"/>
    <n v="88565"/>
    <n v="71429"/>
    <n v="33526"/>
    <n v="129763"/>
    <n v="73392"/>
    <n v="93240"/>
    <n v="51651"/>
    <n v="50343"/>
    <n v="71985"/>
    <n v="5000"/>
    <n v="4600"/>
    <n v="3500"/>
    <n v="3700"/>
    <n v="3700"/>
    <n v="6400"/>
    <n v="4200"/>
    <n v="8000"/>
    <n v="4500"/>
    <n v="6300"/>
  </r>
  <r>
    <x v="3"/>
    <x v="4"/>
    <n v="193500"/>
    <n v="114750"/>
    <n v="126850"/>
    <n v="63200"/>
    <n v="67850"/>
    <n v="0.37"/>
    <n v="0.47"/>
    <n v="0.16000000000000003"/>
    <n v="566150"/>
    <n v="250000"/>
    <n v="0.41"/>
    <n v="0.47"/>
    <n v="0.32"/>
    <n v="0.27"/>
    <n v="0.2"/>
    <n v="0.09"/>
    <n v="0.12"/>
    <n v="1.07"/>
    <n v="0.59"/>
    <n v="0.77"/>
    <n v="1.22"/>
    <n v="0.86"/>
    <n v="0.28999999999999998"/>
    <n v="0.44"/>
    <n v="0.69"/>
    <n v="0.26"/>
    <n v="0.28000000000000003"/>
    <n v="87705"/>
    <n v="138033"/>
    <n v="19792"/>
    <n v="111843"/>
    <n v="3878"/>
    <n v="67320"/>
    <n v="71429"/>
    <n v="73706"/>
    <n v="100884"/>
    <n v="44289"/>
    <n v="84025"/>
    <n v="52705"/>
    <n v="124134"/>
    <n v="79957"/>
    <n v="2900"/>
    <n v="7000"/>
    <n v="6400"/>
    <n v="3000"/>
    <n v="4500"/>
    <n v="5200"/>
    <n v="4900"/>
    <n v="4300"/>
    <n v="5700"/>
    <n v="6600"/>
  </r>
  <r>
    <x v="3"/>
    <x v="5"/>
    <n v="87175"/>
    <n v="49250"/>
    <n v="44950"/>
    <n v="86100"/>
    <n v="58800"/>
    <n v="0.37"/>
    <n v="0.43"/>
    <n v="0.19999999999999996"/>
    <n v="326275"/>
    <n v="250000"/>
    <n v="0.7"/>
    <n v="0.72"/>
    <n v="0.34"/>
    <n v="0.25"/>
    <n v="0.15"/>
    <n v="0.05"/>
    <n v="0.20999999999999985"/>
    <n v="0.73"/>
    <n v="1.05"/>
    <n v="0.64"/>
    <n v="1.07"/>
    <n v="1.19"/>
    <n v="0.56999999999999995"/>
    <n v="0.47"/>
    <n v="0.33"/>
    <n v="0.64"/>
    <n v="0.51"/>
    <n v="52047"/>
    <n v="61611"/>
    <n v="34718"/>
    <n v="91934"/>
    <n v="98534"/>
    <n v="89727"/>
    <n v="71429"/>
    <n v="174450"/>
    <n v="26207"/>
    <n v="5381"/>
    <n v="36777"/>
    <n v="144174"/>
    <n v="53282"/>
    <n v="73379"/>
    <n v="6600"/>
    <n v="6200"/>
    <n v="4400"/>
    <n v="5200"/>
    <n v="4500"/>
    <n v="3600"/>
    <n v="4100"/>
    <n v="4400"/>
    <n v="3400"/>
    <n v="6500"/>
  </r>
  <r>
    <x v="3"/>
    <x v="6"/>
    <n v="139400"/>
    <n v="127300"/>
    <n v="135750"/>
    <n v="70900"/>
    <n v="59050"/>
    <n v="0.38"/>
    <n v="0.44"/>
    <n v="0.17999999999999994"/>
    <n v="532400"/>
    <n v="250000"/>
    <n v="0.18"/>
    <n v="0.43"/>
    <n v="0.28000000000000003"/>
    <n v="0.25"/>
    <n v="0.19"/>
    <n v="0.15"/>
    <n v="0.13"/>
    <n v="1.08"/>
    <n v="0.77"/>
    <n v="0.84"/>
    <n v="1.05"/>
    <n v="1.22"/>
    <n v="0.27"/>
    <n v="0.7"/>
    <n v="0.38"/>
    <n v="0.28999999999999998"/>
    <n v="0.56000000000000005"/>
    <n v="87638"/>
    <n v="30391"/>
    <n v="76481"/>
    <n v="122369"/>
    <n v="19186"/>
    <n v="92506"/>
    <n v="71429"/>
    <n v="147372"/>
    <n v="90251"/>
    <n v="115574"/>
    <n v="18154"/>
    <n v="63479"/>
    <n v="62870"/>
    <n v="82950"/>
    <n v="3600"/>
    <n v="2500"/>
    <n v="3800"/>
    <n v="6100"/>
    <n v="5000"/>
    <n v="7800"/>
    <n v="4700"/>
    <n v="5500"/>
    <n v="3500"/>
    <n v="6400"/>
  </r>
  <r>
    <x v="3"/>
    <x v="7"/>
    <n v="45575"/>
    <n v="27225"/>
    <n v="23375"/>
    <n v="48100"/>
    <n v="41400"/>
    <n v="0.35"/>
    <n v="0.51"/>
    <n v="0.14000000000000001"/>
    <n v="185675"/>
    <n v="250000"/>
    <n v="0.61"/>
    <n v="0.74"/>
    <n v="0.28999999999999998"/>
    <n v="0.27"/>
    <n v="0.13"/>
    <n v="0.05"/>
    <n v="0.2599999999999999"/>
    <n v="0.86"/>
    <n v="1.28"/>
    <n v="0.52"/>
    <n v="0.5"/>
    <n v="0.47"/>
    <n v="0.75"/>
    <n v="0.35"/>
    <n v="0.5"/>
    <n v="0.66"/>
    <n v="0.34"/>
    <n v="99597"/>
    <n v="52932"/>
    <n v="19518"/>
    <n v="53229"/>
    <n v="93583"/>
    <n v="109712"/>
    <n v="71429"/>
    <n v="33255"/>
    <n v="50966"/>
    <n v="18226"/>
    <n v="122086"/>
    <n v="201287"/>
    <n v="57096"/>
    <n v="80484"/>
    <n v="4600"/>
    <n v="3900"/>
    <n v="6100"/>
    <n v="2900"/>
    <n v="5600"/>
    <n v="6900"/>
    <n v="3400"/>
    <n v="2800"/>
    <n v="5100"/>
    <n v="4000"/>
  </r>
  <r>
    <x v="3"/>
    <x v="8"/>
    <n v="155900"/>
    <n v="127300"/>
    <n v="130200"/>
    <n v="60000"/>
    <n v="64800"/>
    <n v="0.38"/>
    <n v="0.46"/>
    <n v="0.15999999999999992"/>
    <n v="538200"/>
    <n v="250000"/>
    <n v="0.24"/>
    <n v="0.75"/>
    <n v="0.28999999999999998"/>
    <n v="0.26"/>
    <n v="0.17"/>
    <n v="0.15"/>
    <n v="0.12999999999999989"/>
    <n v="0.43"/>
    <n v="0.72"/>
    <n v="0.83"/>
    <n v="1.33"/>
    <n v="0.99"/>
    <n v="0.57999999999999996"/>
    <n v="0.37"/>
    <n v="0.45"/>
    <n v="0.69"/>
    <n v="0.56000000000000005"/>
    <n v="56343"/>
    <n v="68595"/>
    <n v="22057"/>
    <n v="90957"/>
    <n v="67442"/>
    <n v="123177"/>
    <n v="71429"/>
    <n v="115399"/>
    <n v="41003"/>
    <n v="83746"/>
    <n v="20641"/>
    <n v="101406"/>
    <n v="100704"/>
    <n v="77151"/>
    <n v="6400"/>
    <n v="4700"/>
    <n v="7100"/>
    <n v="3900"/>
    <n v="6600"/>
    <n v="4100"/>
    <n v="7000"/>
    <n v="4700"/>
    <n v="3900"/>
    <n v="3400"/>
  </r>
  <r>
    <x v="3"/>
    <x v="9"/>
    <n v="194600"/>
    <n v="123550"/>
    <n v="121750"/>
    <n v="77100"/>
    <n v="63650"/>
    <n v="0.39"/>
    <n v="0.49"/>
    <n v="0.12"/>
    <n v="580650"/>
    <n v="250000"/>
    <n v="0.4"/>
    <n v="0.35"/>
    <n v="0.32"/>
    <n v="0.21"/>
    <n v="0.12"/>
    <n v="0.08"/>
    <n v="0.27"/>
    <n v="0.65"/>
    <n v="0.67"/>
    <n v="1.24"/>
    <n v="1.1299999999999999"/>
    <n v="1.01"/>
    <n v="0.28000000000000003"/>
    <n v="0.4"/>
    <n v="0.26"/>
    <n v="0.46"/>
    <n v="0.71"/>
    <n v="53069"/>
    <n v="95808"/>
    <n v="78387"/>
    <n v="54157"/>
    <n v="107796"/>
    <n v="39356"/>
    <n v="71427"/>
    <n v="33872"/>
    <n v="177880"/>
    <n v="3390"/>
    <n v="69594"/>
    <n v="26673"/>
    <n v="72847"/>
    <n v="64044"/>
    <n v="3000"/>
    <n v="7300"/>
    <n v="5500"/>
    <n v="6000"/>
    <n v="5000"/>
    <n v="7000"/>
    <n v="4200"/>
    <n v="4500"/>
    <n v="2800"/>
    <n v="4700"/>
  </r>
  <r>
    <x v="3"/>
    <x v="10"/>
    <n v="128400"/>
    <n v="89600"/>
    <n v="145700"/>
    <n v="75100"/>
    <n v="66600"/>
    <n v="0.37"/>
    <n v="0.55000000000000004"/>
    <n v="7.999999999999996E-2"/>
    <n v="505400"/>
    <n v="250000"/>
    <n v="0.4"/>
    <n v="0.46"/>
    <n v="0.35"/>
    <n v="0.22"/>
    <n v="0.2"/>
    <n v="0.1"/>
    <n v="0.13"/>
    <n v="1.35"/>
    <n v="0.84"/>
    <n v="1.19"/>
    <n v="0.89"/>
    <n v="1.0900000000000001"/>
    <n v="0.65"/>
    <n v="0.48"/>
    <n v="0.28999999999999998"/>
    <n v="0.7"/>
    <n v="0.71"/>
    <n v="19080"/>
    <n v="22523"/>
    <n v="71977"/>
    <n v="83910"/>
    <n v="108311"/>
    <n v="122772"/>
    <n v="71427"/>
    <n v="75133"/>
    <n v="95251"/>
    <n v="67588"/>
    <n v="80119"/>
    <n v="75978"/>
    <n v="39131"/>
    <n v="72200"/>
    <n v="6700"/>
    <n v="4600"/>
    <n v="4300"/>
    <n v="4800"/>
    <n v="7200"/>
    <n v="5000"/>
    <n v="6200"/>
    <n v="4700"/>
    <n v="5800"/>
    <n v="3400"/>
  </r>
  <r>
    <x v="3"/>
    <x v="11"/>
    <n v="62575"/>
    <n v="70425"/>
    <n v="52725"/>
    <n v="79400"/>
    <n v="66650"/>
    <n v="0.36"/>
    <n v="0.48"/>
    <n v="0.16000000000000003"/>
    <n v="331775"/>
    <n v="250000"/>
    <n v="0.22"/>
    <n v="0.45"/>
    <n v="0.33"/>
    <n v="0.25"/>
    <n v="0.15"/>
    <n v="0.05"/>
    <n v="0.21999999999999986"/>
    <n v="1.04"/>
    <n v="0.95"/>
    <n v="0.63"/>
    <n v="0.55000000000000004"/>
    <n v="1.26"/>
    <n v="0.63"/>
    <n v="0.69"/>
    <n v="0.6"/>
    <n v="0.28000000000000003"/>
    <n v="0.28999999999999998"/>
    <n v="62859"/>
    <n v="117796"/>
    <n v="118263"/>
    <n v="667"/>
    <n v="74945"/>
    <n v="54042"/>
    <n v="71428"/>
    <n v="52446"/>
    <n v="92341"/>
    <n v="76327"/>
    <n v="33912"/>
    <n v="95373"/>
    <n v="93173"/>
    <n v="73928"/>
    <n v="3100"/>
    <n v="3900"/>
    <n v="7100"/>
    <n v="4600"/>
    <n v="4800"/>
    <n v="7400"/>
    <n v="4300"/>
    <n v="4400"/>
    <n v="5800"/>
    <n v="4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6DCA29-9440-47A0-BDF2-F0BA39A9C8B6}"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Y5" firstHeaderRow="0" firstDataRow="1" firstDataCol="1"/>
  <pivotFields count="53">
    <pivotField showAll="0">
      <items count="5">
        <item x="0"/>
        <item h="1" x="1"/>
        <item h="1" x="2"/>
        <item h="1" x="3"/>
        <item t="default"/>
      </items>
    </pivotField>
    <pivotField axis="axisRow" showAll="0">
      <items count="13">
        <item h="1" x="0"/>
        <item h="1" x="1"/>
        <item h="1" x="2"/>
        <item x="3"/>
        <item h="1" x="4"/>
        <item h="1" x="5"/>
        <item h="1" x="6"/>
        <item h="1" x="7"/>
        <item h="1" x="8"/>
        <item h="1" x="9"/>
        <item h="1" x="10"/>
        <item h="1" x="11"/>
        <item t="default"/>
      </items>
    </pivotField>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 dataField="1" showAll="0"/>
    <pivotField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2">
    <i>
      <x v="3"/>
    </i>
    <i t="grand">
      <x/>
    </i>
  </rowItems>
  <colFields count="1">
    <field x="-2"/>
  </colFields>
  <colItems count="5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colItems>
  <dataFields count="50">
    <dataField name="Sum of Management" fld="2" baseField="0" baseItem="0"/>
    <dataField name="Sum of Administrative Staff" fld="3" baseField="0" baseItem="0"/>
    <dataField name="Sum of Sales Department" fld="4" baseField="0" baseItem="0"/>
    <dataField name="Sum of Production Department" fld="5" baseField="0" baseItem="0"/>
    <dataField name="Sum of Logistics Department" fld="6" baseField="0" baseItem="0"/>
    <dataField name="Average of Basic Payroll" fld="7" subtotal="average" baseField="1" baseItem="0" numFmtId="9"/>
    <dataField name="Average of Bonuses and Prizes" fld="8" subtotal="average" baseField="1" baseItem="0" numFmtId="9"/>
    <dataField name="Average of Payroll Taxes &amp; Insurance" fld="9" subtotal="average" baseField="1" baseItem="0" numFmtId="9"/>
    <dataField name="Sum of SU" fld="29" baseField="0" baseItem="0"/>
    <dataField name="Sum of MO" fld="30" baseField="0" baseItem="0"/>
    <dataField name="Sum of TU" fld="31" baseField="0" baseItem="0"/>
    <dataField name="Sum of WE" fld="32" baseField="0" baseItem="0"/>
    <dataField name="Sum of TH" fld="33" baseField="0" baseItem="0"/>
    <dataField name="Sum of FR" fld="34" baseField="0" baseItem="0"/>
    <dataField name="Sum of SA" fld="35" baseField="0" baseItem="0"/>
    <dataField name="Sum of SU2" fld="36" baseField="0" baseItem="0"/>
    <dataField name="Sum of MO2" fld="37" baseField="0" baseItem="0"/>
    <dataField name="Sum of TU2" fld="38" baseField="0" baseItem="0"/>
    <dataField name="Sum of WE2" fld="39" baseField="0" baseItem="0"/>
    <dataField name="Sum of TH2" fld="40" baseField="0" baseItem="0"/>
    <dataField name="Sum of FR2" fld="41" baseField="0" baseItem="0"/>
    <dataField name="Sum of SA2" fld="42" baseField="0" baseItem="0"/>
    <dataField name="Average of Head Office" fld="14" subtotal="average" baseField="1" baseItem="0" numFmtId="9"/>
    <dataField name="Average of Regional Offices" fld="15" subtotal="average" baseField="1" baseItem="0" numFmtId="9"/>
    <dataField name="Average of Regional Branches" fld="16" subtotal="average" baseField="1" baseItem="0" numFmtId="9"/>
    <dataField name="Average of Remote Employees" fld="17" subtotal="average" baseField="1" baseItem="0" numFmtId="9"/>
    <dataField name="Average of Outsourcing" fld="18" subtotal="average" baseField="1" baseItem="0" numFmtId="9"/>
    <dataField name="Average of Standard Hours" fld="12" subtotal="average" baseField="1" baseItem="0" numFmtId="9"/>
    <dataField name="Average of Actual Hours" fld="13" subtotal="average" baseField="1" baseItem="0" numFmtId="9"/>
    <dataField name="Sum of Employee1" fld="43" baseField="0" baseItem="0"/>
    <dataField name="Sum of Employee2" fld="44" baseField="0" baseItem="0"/>
    <dataField name="Sum of Employee3" fld="45" baseField="0" baseItem="0"/>
    <dataField name="Sum of Employee4" fld="46" baseField="0" baseItem="0"/>
    <dataField name="Sum of Employee5" fld="47" baseField="0" baseItem="0"/>
    <dataField name="Sum of Employee12" fld="48" baseField="0" baseItem="0"/>
    <dataField name="Sum of Employee22" fld="49" baseField="0" baseItem="0"/>
    <dataField name="Sum of Employee32" fld="50" baseField="0" baseItem="0"/>
    <dataField name="Sum of Employee42" fld="51" baseField="0" baseItem="0"/>
    <dataField name="Sum of Employee52" fld="52" baseField="0" baseItem="0"/>
    <dataField name="Average of A" fld="19" subtotal="average" baseField="1" baseItem="0" numFmtId="9"/>
    <dataField name="Average of B" fld="20" subtotal="average" baseField="1" baseItem="0" numFmtId="9"/>
    <dataField name="Average of C" fld="21" subtotal="average" baseField="1" baseItem="0" numFmtId="9"/>
    <dataField name="Average of D" fld="22" subtotal="average" baseField="1" baseItem="0" numFmtId="9"/>
    <dataField name="Average of E" fld="23" subtotal="average" baseField="1" baseItem="0" numFmtId="9"/>
    <dataField name="Average of A2" fld="24" subtotal="average" baseField="1" baseItem="0" numFmtId="9"/>
    <dataField name="Average of B2" fld="25" subtotal="average" baseField="1" baseItem="0" numFmtId="9"/>
    <dataField name="Average of C2" fld="26" subtotal="average" baseField="1" baseItem="0" numFmtId="9"/>
    <dataField name="Average of D2" fld="27" subtotal="average" baseField="1" baseItem="0" numFmtId="9"/>
    <dataField name="Average of E2" fld="28" subtotal="average" baseField="1" baseItem="0" numFmtId="9"/>
    <dataField name="Sum of Payroll"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A8F88C-F9F2-46E9-A0E8-3B603B2B0A64}" name="PivotTable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6:A37" firstHeaderRow="1" firstDataRow="1" firstDataCol="1"/>
  <pivotFields count="53">
    <pivotField axis="axisRow" showAll="0">
      <items count="5">
        <item x="0"/>
        <item h="1" x="1"/>
        <item h="1" x="2"/>
        <item h="1" x="3"/>
        <item t="default"/>
      </items>
    </pivotField>
    <pivotField showAll="0"/>
    <pivotField showAll="0"/>
    <pivotField showAll="0"/>
    <pivotField showAll="0"/>
    <pivotField showAll="0"/>
    <pivotField showAll="0"/>
    <pivotField numFmtId="9" showAll="0"/>
    <pivotField numFmtId="9" showAll="0"/>
    <pivotField numFmtId="9"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
    <i>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E1779B-64B9-438A-80C8-DA9DA1522C1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33" firstHeaderRow="0" firstDataRow="1" firstDataCol="1"/>
  <pivotFields count="53">
    <pivotField showAll="0">
      <items count="5">
        <item x="0"/>
        <item h="1" x="1"/>
        <item h="1" x="2"/>
        <item h="1" x="3"/>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numFmtId="9" showAll="0"/>
    <pivotField numFmtId="9" showAll="0"/>
    <pivotField numFmtId="9" showAll="0"/>
    <pivotField dataField="1" showAll="0"/>
    <pivotField dataField="1"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Payroll" fld="10" baseField="0" baseItem="0"/>
    <dataField name="Average of Annual Payroll Plan" fld="11"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B66FF23-0790-45DD-992B-27D1898E0C65}" sourceName="Year">
  <pivotTables>
    <pivotTable tabId="5" name="PivotTable1"/>
    <pivotTable tabId="5" name="PivotTable2"/>
    <pivotTable tabId="5" name="PivotTable4"/>
  </pivotTables>
  <data>
    <tabular pivotCacheId="868721785">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A66940D-BEFF-4BE1-874E-56FF1592ACCA}" sourceName="Month">
  <pivotTables>
    <pivotTable tabId="5" name="PivotTable1"/>
  </pivotTables>
  <data>
    <tabular pivotCacheId="868721785">
      <items count="12">
        <i x="0"/>
        <i x="1"/>
        <i x="2"/>
        <i x="3" s="1"/>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8E2AC50-FBA3-47D4-972A-F28C230F78D0}" cache="Slicer_Year" caption="Year" columnCount="4" showCaption="0" style="SlicerStyleLight1 2" rowHeight="247650"/>
  <slicer name="Month" xr10:uid="{007B382A-DDCF-4645-8FA0-7C2DDC2F25AC}" cache="Slicer_Month" caption="Month" columnCount="6" showCaption="0"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A13F-238E-441C-967C-D9ADD421BAAD}">
  <sheetPr codeName="Sheet1"/>
  <dimension ref="A2"/>
  <sheetViews>
    <sheetView showRowColHeaders="0" zoomScale="90" zoomScaleNormal="90" workbookViewId="0">
      <selection activeCell="S2" sqref="S2"/>
    </sheetView>
  </sheetViews>
  <sheetFormatPr defaultColWidth="8.85546875" defaultRowHeight="15" x14ac:dyDescent="0.25"/>
  <cols>
    <col min="1" max="16384" width="8.85546875" style="1"/>
  </cols>
  <sheetData>
    <row r="2" ht="46.9"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9774C-5B42-4C8C-A4A9-A3C634DD689B}">
  <sheetPr codeName="Sheet2"/>
  <dimension ref="A1:T139"/>
  <sheetViews>
    <sheetView zoomScaleNormal="100" workbookViewId="0">
      <selection activeCell="A28" sqref="A28"/>
    </sheetView>
  </sheetViews>
  <sheetFormatPr defaultColWidth="8.85546875" defaultRowHeight="15" x14ac:dyDescent="0.25"/>
  <cols>
    <col min="1" max="1" width="13.5703125" style="4" customWidth="1"/>
    <col min="2" max="2" width="12.28515625" style="4" bestFit="1" customWidth="1"/>
    <col min="3" max="3" width="9.7109375" style="4" bestFit="1" customWidth="1"/>
    <col min="4" max="10" width="8.85546875" style="4"/>
    <col min="11" max="11" width="9.42578125" style="4" customWidth="1"/>
    <col min="12" max="14" width="8.85546875" style="4"/>
    <col min="15" max="15" width="9.7109375" style="4" customWidth="1"/>
    <col min="16" max="16384" width="8.85546875" style="4"/>
  </cols>
  <sheetData>
    <row r="1" spans="1:20" x14ac:dyDescent="0.25">
      <c r="A1" s="8" t="s">
        <v>32</v>
      </c>
      <c r="B1" s="8" t="s">
        <v>27</v>
      </c>
      <c r="C1" s="8" t="s">
        <v>28</v>
      </c>
      <c r="D1" s="8" t="s">
        <v>29</v>
      </c>
      <c r="E1" s="8" t="s">
        <v>30</v>
      </c>
      <c r="F1" s="8" t="s">
        <v>31</v>
      </c>
      <c r="I1" s="8" t="s">
        <v>36</v>
      </c>
      <c r="M1" s="10" t="s">
        <v>39</v>
      </c>
      <c r="N1" t="s">
        <v>37</v>
      </c>
      <c r="O1" t="s">
        <v>38</v>
      </c>
      <c r="Q1" s="10" t="s">
        <v>50</v>
      </c>
      <c r="T1" s="8" t="s">
        <v>51</v>
      </c>
    </row>
    <row r="2" spans="1:20" x14ac:dyDescent="0.25">
      <c r="A2" s="4" t="s">
        <v>157</v>
      </c>
      <c r="B2" s="4">
        <f>GETPIVOTDATA(""&amp;B1,Control!$A$3)</f>
        <v>36840</v>
      </c>
      <c r="C2" s="4">
        <f>GETPIVOTDATA(""&amp;C1,Control!$A$3)</f>
        <v>23340</v>
      </c>
      <c r="D2" s="4">
        <f>GETPIVOTDATA(""&amp;D1,Control!$A$3)</f>
        <v>36425</v>
      </c>
      <c r="E2" s="4">
        <f>GETPIVOTDATA(""&amp;E1,Control!$A$3)</f>
        <v>33470</v>
      </c>
      <c r="F2" s="4">
        <f>GETPIVOTDATA(""&amp;F1,Control!$A$3)</f>
        <v>30730</v>
      </c>
      <c r="I2" s="10" t="s">
        <v>34</v>
      </c>
      <c r="J2" s="2">
        <f>GETPIVOTDATA(""&amp;I2,Control!$A$3)</f>
        <v>0.36</v>
      </c>
      <c r="K2" s="3">
        <f>100%-J2</f>
        <v>0.64</v>
      </c>
      <c r="M2" s="4" t="s">
        <v>12</v>
      </c>
      <c r="N2" s="4">
        <f>GETPIVOTDATA(""&amp;M2,Control!$A$3)</f>
        <v>28363</v>
      </c>
      <c r="O2" s="4">
        <f>GETPIVOTDATA(M2&amp;2,Control!$A$3)</f>
        <v>19542</v>
      </c>
      <c r="Q2" s="10" t="s">
        <v>49</v>
      </c>
      <c r="R2" s="2">
        <f>GETPIVOTDATA(""&amp;Q2,Control!$A$3)</f>
        <v>0.4</v>
      </c>
      <c r="S2" s="3">
        <f>100%-R2</f>
        <v>0.6</v>
      </c>
      <c r="T2" s="8" t="s">
        <v>53</v>
      </c>
    </row>
    <row r="3" spans="1:20" x14ac:dyDescent="0.25">
      <c r="A3" s="4" t="s">
        <v>158</v>
      </c>
      <c r="B3" s="3">
        <f>B2/MAX($B$2:$F$2)</f>
        <v>1</v>
      </c>
      <c r="C3" s="3">
        <f t="shared" ref="C3:F3" si="0">C2/MAX($B$2:$F$2)</f>
        <v>0.63355048859934848</v>
      </c>
      <c r="D3" s="3">
        <f t="shared" si="0"/>
        <v>0.98873507057546151</v>
      </c>
      <c r="E3" s="3">
        <f t="shared" si="0"/>
        <v>0.90852334419109659</v>
      </c>
      <c r="F3" s="3">
        <f t="shared" si="0"/>
        <v>0.83414766558089037</v>
      </c>
      <c r="I3" s="10" t="s">
        <v>33</v>
      </c>
      <c r="J3" s="2">
        <f>GETPIVOTDATA(""&amp;I3,Control!$A$3)</f>
        <v>0.45</v>
      </c>
      <c r="K3" s="3">
        <f t="shared" ref="K3:K4" si="1">100%-J3</f>
        <v>0.55000000000000004</v>
      </c>
      <c r="M3" s="4" t="s">
        <v>13</v>
      </c>
      <c r="N3" s="4">
        <f>GETPIVOTDATA(""&amp;M3,Control!$A$3)</f>
        <v>32559</v>
      </c>
      <c r="O3" s="4">
        <f>GETPIVOTDATA(M3&amp;2,Control!$A$3)</f>
        <v>42659</v>
      </c>
      <c r="Q3" s="10" t="s">
        <v>52</v>
      </c>
      <c r="R3" s="2">
        <f>GETPIVOTDATA(""&amp;Q3,Control!$A$3)</f>
        <v>0.24</v>
      </c>
      <c r="S3" s="3">
        <f t="shared" ref="S3" si="2">100%-R3</f>
        <v>0.76</v>
      </c>
      <c r="T3" s="8" t="s">
        <v>54</v>
      </c>
    </row>
    <row r="4" spans="1:20" x14ac:dyDescent="0.25">
      <c r="A4" s="4" t="s">
        <v>115</v>
      </c>
      <c r="B4" s="20">
        <f>SUM(B2:F2)</f>
        <v>160805</v>
      </c>
      <c r="C4" s="34">
        <f>B4</f>
        <v>160805</v>
      </c>
      <c r="I4" s="10" t="s">
        <v>35</v>
      </c>
      <c r="J4" s="2">
        <f>GETPIVOTDATA(""&amp;I4,Control!$A$3)</f>
        <v>0.18999999999999995</v>
      </c>
      <c r="K4" s="3">
        <f t="shared" si="1"/>
        <v>0.81</v>
      </c>
      <c r="M4" s="4" t="s">
        <v>14</v>
      </c>
      <c r="N4" s="4">
        <f>GETPIVOTDATA(""&amp;M4,Control!$A$3)</f>
        <v>2859</v>
      </c>
      <c r="O4" s="4">
        <f>GETPIVOTDATA(M4&amp;2,Control!$A$3)</f>
        <v>40003</v>
      </c>
    </row>
    <row r="5" spans="1:20" x14ac:dyDescent="0.25">
      <c r="B5" s="4" t="s">
        <v>23</v>
      </c>
      <c r="D5" s="4" t="s">
        <v>22</v>
      </c>
      <c r="F5" s="4" t="s">
        <v>21</v>
      </c>
      <c r="H5" s="4" t="s">
        <v>20</v>
      </c>
      <c r="J5" s="4" t="s">
        <v>19</v>
      </c>
      <c r="K5" s="4" t="s">
        <v>24</v>
      </c>
      <c r="M5" s="4" t="s">
        <v>15</v>
      </c>
      <c r="N5" s="4">
        <f>GETPIVOTDATA(""&amp;M5,Control!$A$3)</f>
        <v>44682</v>
      </c>
      <c r="O5" s="4">
        <f>GETPIVOTDATA(M5&amp;2,Control!$A$3)</f>
        <v>20115</v>
      </c>
    </row>
    <row r="6" spans="1:20" x14ac:dyDescent="0.25">
      <c r="A6" s="4" t="s">
        <v>25</v>
      </c>
      <c r="B6" s="6" cm="1">
        <f t="array" ref="B6">(100%-B8)*INDEX($B$3:$F$3,1,B9)</f>
        <v>0.75</v>
      </c>
      <c r="C6" s="6" cm="1">
        <f t="array" ref="C6">(100%-C8)*INDEX($B$3:$F$3,1,C9)</f>
        <v>0.75</v>
      </c>
      <c r="D6" s="6" cm="1">
        <f t="array" ref="D6">(100%-D8)*INDEX($B$3:$F$3,1,D9)</f>
        <v>0.47516286644951133</v>
      </c>
      <c r="E6" s="6" cm="1">
        <f t="array" ref="E6">(100%-E8)*INDEX($B$3:$F$3,1,E9)</f>
        <v>0.47516286644951133</v>
      </c>
      <c r="F6" s="6" cm="1">
        <f t="array" ref="F6">(100%-F8)*INDEX($B$3:$F$3,1,F9)</f>
        <v>0.7415513029315961</v>
      </c>
      <c r="G6" s="6" cm="1">
        <f t="array" ref="G6">(100%-G8)*INDEX($B$3:$F$3,1,G9)</f>
        <v>0.7415513029315961</v>
      </c>
      <c r="H6" s="6" cm="1">
        <f t="array" ref="H6">(100%-H8)*INDEX($B$3:$F$3,1,H9)</f>
        <v>0.68139250814332242</v>
      </c>
      <c r="I6" s="6" cm="1">
        <f t="array" ref="I6">(100%-I8)*INDEX($B$3:$F$3,1,I9)</f>
        <v>0.68139250814332242</v>
      </c>
      <c r="J6" s="6" cm="1">
        <f t="array" ref="J6">(100%-J8)*INDEX($B$3:$F$3,1,J9)</f>
        <v>0.62561074918566772</v>
      </c>
      <c r="K6" s="3">
        <v>0.75</v>
      </c>
      <c r="M6" s="4" t="s">
        <v>16</v>
      </c>
      <c r="N6" s="4">
        <f>GETPIVOTDATA(""&amp;M6,Control!$A$3)</f>
        <v>89111</v>
      </c>
      <c r="O6" s="4">
        <f>GETPIVOTDATA(M6&amp;2,Control!$A$3)</f>
        <v>40007</v>
      </c>
    </row>
    <row r="7" spans="1:20" x14ac:dyDescent="0.25">
      <c r="A7" s="4" t="s">
        <v>26</v>
      </c>
      <c r="B7" s="7">
        <f>100%-B8-B6</f>
        <v>0</v>
      </c>
      <c r="C7" s="7">
        <f t="shared" ref="C7:J7" si="3">100%-C8-C6</f>
        <v>0</v>
      </c>
      <c r="D7" s="7">
        <f t="shared" si="3"/>
        <v>0.27483713355048867</v>
      </c>
      <c r="E7" s="7">
        <f t="shared" si="3"/>
        <v>0.27483713355048867</v>
      </c>
      <c r="F7" s="7">
        <f t="shared" si="3"/>
        <v>8.4486970684038987E-3</v>
      </c>
      <c r="G7" s="7">
        <f t="shared" si="3"/>
        <v>8.4486970684038987E-3</v>
      </c>
      <c r="H7" s="7">
        <f t="shared" si="3"/>
        <v>6.8607491856677583E-2</v>
      </c>
      <c r="I7" s="7">
        <f t="shared" si="3"/>
        <v>6.8607491856677583E-2</v>
      </c>
      <c r="J7" s="7">
        <f t="shared" si="3"/>
        <v>0.12438925081433228</v>
      </c>
      <c r="K7" s="3">
        <v>0</v>
      </c>
      <c r="M7" s="4" t="s">
        <v>17</v>
      </c>
      <c r="N7" s="4">
        <f>GETPIVOTDATA(""&amp;M7,Control!$A$3)</f>
        <v>8141</v>
      </c>
      <c r="O7" s="4">
        <f>GETPIVOTDATA(M7&amp;2,Control!$A$3)</f>
        <v>40200</v>
      </c>
    </row>
    <row r="8" spans="1:20" x14ac:dyDescent="0.25">
      <c r="B8" s="7">
        <f t="shared" ref="B8:J8" si="4">$K$8</f>
        <v>0.25</v>
      </c>
      <c r="C8" s="7">
        <f t="shared" si="4"/>
        <v>0.25</v>
      </c>
      <c r="D8" s="7">
        <f t="shared" si="4"/>
        <v>0.25</v>
      </c>
      <c r="E8" s="7">
        <f t="shared" si="4"/>
        <v>0.25</v>
      </c>
      <c r="F8" s="7">
        <f t="shared" si="4"/>
        <v>0.25</v>
      </c>
      <c r="G8" s="7">
        <f t="shared" si="4"/>
        <v>0.25</v>
      </c>
      <c r="H8" s="7">
        <f t="shared" si="4"/>
        <v>0.25</v>
      </c>
      <c r="I8" s="7">
        <f t="shared" si="4"/>
        <v>0.25</v>
      </c>
      <c r="J8" s="7">
        <f t="shared" si="4"/>
        <v>0.25</v>
      </c>
      <c r="K8" s="5">
        <f>100%-K6</f>
        <v>0.25</v>
      </c>
      <c r="M8" s="4" t="s">
        <v>18</v>
      </c>
      <c r="N8" s="4">
        <f>GETPIVOTDATA(""&amp;M8,Control!$A$3)</f>
        <v>34285</v>
      </c>
      <c r="O8" s="4">
        <f>GETPIVOTDATA(M8&amp;2,Control!$A$3)</f>
        <v>33754</v>
      </c>
    </row>
    <row r="9" spans="1:20" x14ac:dyDescent="0.25">
      <c r="B9" s="4">
        <v>1</v>
      </c>
      <c r="C9" s="4">
        <v>1</v>
      </c>
      <c r="D9" s="4">
        <v>2</v>
      </c>
      <c r="E9" s="4">
        <v>2</v>
      </c>
      <c r="F9" s="4">
        <v>3</v>
      </c>
      <c r="G9" s="4">
        <v>3</v>
      </c>
      <c r="H9" s="4">
        <v>4</v>
      </c>
      <c r="I9" s="4">
        <v>4</v>
      </c>
      <c r="J9" s="4">
        <v>5</v>
      </c>
      <c r="O9" s="9"/>
      <c r="P9" s="9"/>
    </row>
    <row r="10" spans="1:20" x14ac:dyDescent="0.25">
      <c r="C10" s="13" t="s">
        <v>56</v>
      </c>
      <c r="F10" s="4" t="s">
        <v>78</v>
      </c>
      <c r="G10" s="8" t="s">
        <v>79</v>
      </c>
      <c r="M10" s="4" t="s">
        <v>81</v>
      </c>
    </row>
    <row r="11" spans="1:20" x14ac:dyDescent="0.25">
      <c r="A11" s="8" t="s">
        <v>55</v>
      </c>
      <c r="B11" s="4" t="s">
        <v>80</v>
      </c>
      <c r="C11" s="13">
        <f>GETPIVOTDATA("Average of Annual Payroll Plan",Control!$A$20)</f>
        <v>120000</v>
      </c>
      <c r="F11" s="10" t="s">
        <v>40</v>
      </c>
      <c r="G11" s="2">
        <f>GETPIVOTDATA(""&amp;F11,Control!$A$3)</f>
        <v>0.31</v>
      </c>
      <c r="H11" s="2">
        <f>G11</f>
        <v>0.31</v>
      </c>
      <c r="I11" s="2">
        <f t="shared" ref="I11:J11" si="5">H11</f>
        <v>0.31</v>
      </c>
      <c r="J11" s="2">
        <f t="shared" si="5"/>
        <v>0.31</v>
      </c>
      <c r="M11" s="4" t="s">
        <v>65</v>
      </c>
      <c r="N11" s="8" t="s">
        <v>66</v>
      </c>
    </row>
    <row r="12" spans="1:20" x14ac:dyDescent="0.25">
      <c r="C12" s="4">
        <f t="shared" ref="C12:C25" si="6">$C$11</f>
        <v>120000</v>
      </c>
      <c r="F12" s="15" t="s">
        <v>41</v>
      </c>
      <c r="G12" s="2">
        <f>GETPIVOTDATA(""&amp;F12,Control!$A$3)</f>
        <v>0.3</v>
      </c>
      <c r="H12" s="2">
        <f t="shared" ref="H12:J12" si="7">G12</f>
        <v>0.3</v>
      </c>
      <c r="I12" s="2">
        <f t="shared" si="7"/>
        <v>0.3</v>
      </c>
      <c r="J12" s="2">
        <f t="shared" si="7"/>
        <v>0.3</v>
      </c>
      <c r="L12" s="4" t="s">
        <v>67</v>
      </c>
      <c r="M12" s="3">
        <f>GETPIVOTDATA(L12&amp;"",Control!$A$3)</f>
        <v>1.24</v>
      </c>
      <c r="N12" s="3">
        <f>GETPIVOTDATA(L12&amp;2,Control!$A$3)</f>
        <v>0.26</v>
      </c>
      <c r="O12" s="8" t="s">
        <v>27</v>
      </c>
    </row>
    <row r="13" spans="1:20" x14ac:dyDescent="0.25">
      <c r="A13" s="4" t="s">
        <v>0</v>
      </c>
      <c r="B13" s="4">
        <f>GETPIVOTDATA("Sum of Payroll",Control!$A$20,"Month",""&amp;A13)</f>
        <v>107635</v>
      </c>
      <c r="C13" s="4">
        <f t="shared" si="6"/>
        <v>120000</v>
      </c>
      <c r="D13" s="4" t="e">
        <f>IFERROR(GETPIVOTDATA(""&amp;$B$11,Control!$A$3,"Month",""&amp;A13),NA())</f>
        <v>#N/A</v>
      </c>
      <c r="F13" s="15" t="s">
        <v>42</v>
      </c>
      <c r="G13" s="2">
        <f>GETPIVOTDATA(""&amp;F13,Control!$A$3)</f>
        <v>0.12</v>
      </c>
      <c r="H13" s="2">
        <f t="shared" ref="H13:J13" si="8">G13</f>
        <v>0.12</v>
      </c>
      <c r="I13" s="2">
        <f t="shared" si="8"/>
        <v>0.12</v>
      </c>
      <c r="J13" s="2">
        <f t="shared" si="8"/>
        <v>0.12</v>
      </c>
      <c r="L13" s="4" t="s">
        <v>70</v>
      </c>
      <c r="M13" s="3">
        <f>GETPIVOTDATA(L13&amp;"",Control!$A$3)</f>
        <v>1.06</v>
      </c>
      <c r="N13" s="3">
        <f>GETPIVOTDATA(L13&amp;2,Control!$A$3)</f>
        <v>0.31</v>
      </c>
      <c r="O13" s="8" t="s">
        <v>28</v>
      </c>
    </row>
    <row r="14" spans="1:20" x14ac:dyDescent="0.25">
      <c r="A14" s="4" t="s">
        <v>1</v>
      </c>
      <c r="B14" s="4">
        <f>GETPIVOTDATA("Sum of Payroll",Control!$A$20,"Month",""&amp;A14)</f>
        <v>153595</v>
      </c>
      <c r="C14" s="4">
        <f t="shared" si="6"/>
        <v>120000</v>
      </c>
      <c r="D14" s="4" t="e">
        <f>IFERROR(GETPIVOTDATA(""&amp;$B$11,Control!$A$3,"Month",""&amp;A14),NA())</f>
        <v>#N/A</v>
      </c>
      <c r="F14" s="15" t="s">
        <v>43</v>
      </c>
      <c r="G14" s="2">
        <f>GETPIVOTDATA(""&amp;F14,Control!$A$3)</f>
        <v>7.0000000000000007E-2</v>
      </c>
      <c r="H14" s="2">
        <f t="shared" ref="H14:J14" si="9">G14</f>
        <v>7.0000000000000007E-2</v>
      </c>
      <c r="I14" s="2">
        <f t="shared" si="9"/>
        <v>7.0000000000000007E-2</v>
      </c>
      <c r="J14" s="2">
        <f t="shared" si="9"/>
        <v>7.0000000000000007E-2</v>
      </c>
      <c r="L14" s="4" t="s">
        <v>69</v>
      </c>
      <c r="M14" s="3">
        <f>GETPIVOTDATA(L14&amp;"",Control!$A$3)</f>
        <v>1.08</v>
      </c>
      <c r="N14" s="3">
        <f>GETPIVOTDATA(L14&amp;2,Control!$A$3)</f>
        <v>0.56000000000000005</v>
      </c>
      <c r="O14" s="8" t="s">
        <v>29</v>
      </c>
    </row>
    <row r="15" spans="1:20" x14ac:dyDescent="0.25">
      <c r="A15" s="4" t="s">
        <v>2</v>
      </c>
      <c r="B15" s="4">
        <f>GETPIVOTDATA("Sum of Payroll",Control!$A$20,"Month",""&amp;A15)</f>
        <v>156760</v>
      </c>
      <c r="C15" s="4">
        <f t="shared" si="6"/>
        <v>120000</v>
      </c>
      <c r="D15" s="4" t="e">
        <f>IFERROR(GETPIVOTDATA(""&amp;$B$11,Control!$A$3,"Month",""&amp;A15),NA())</f>
        <v>#N/A</v>
      </c>
      <c r="F15" s="15" t="s">
        <v>44</v>
      </c>
      <c r="G15" s="2">
        <f>GETPIVOTDATA(""&amp;F15,Control!$A$3)</f>
        <v>0.19999999999999996</v>
      </c>
      <c r="H15" s="2">
        <f t="shared" ref="H15:J15" si="10">G15</f>
        <v>0.19999999999999996</v>
      </c>
      <c r="I15" s="2">
        <f t="shared" si="10"/>
        <v>0.19999999999999996</v>
      </c>
      <c r="J15" s="2">
        <f t="shared" si="10"/>
        <v>0.19999999999999996</v>
      </c>
      <c r="L15" s="4" t="s">
        <v>71</v>
      </c>
      <c r="M15" s="3">
        <f>GETPIVOTDATA(L15&amp;"",Control!$A$3)</f>
        <v>0.91</v>
      </c>
      <c r="N15" s="3">
        <f>GETPIVOTDATA(L15&amp;2,Control!$A$3)</f>
        <v>0.7</v>
      </c>
      <c r="O15" s="8" t="s">
        <v>30</v>
      </c>
    </row>
    <row r="16" spans="1:20" x14ac:dyDescent="0.25">
      <c r="A16" s="4" t="s">
        <v>3</v>
      </c>
      <c r="B16" s="4">
        <f>GETPIVOTDATA("Sum of Payroll",Control!$A$20,"Month",""&amp;A16)</f>
        <v>160805</v>
      </c>
      <c r="C16" s="4">
        <f t="shared" si="6"/>
        <v>120000</v>
      </c>
      <c r="D16" s="4">
        <f>IFERROR(GETPIVOTDATA(""&amp;$B$11,Control!$A$3,"Month",""&amp;A16),NA())</f>
        <v>160805</v>
      </c>
      <c r="L16" s="4" t="s">
        <v>68</v>
      </c>
      <c r="M16" s="3">
        <f>GETPIVOTDATA(L16&amp;"",Control!$A$3)</f>
        <v>1.07</v>
      </c>
      <c r="N16" s="3">
        <f>GETPIVOTDATA(L16&amp;2,Control!$A$3)</f>
        <v>0.3</v>
      </c>
      <c r="O16" s="8" t="s">
        <v>31</v>
      </c>
    </row>
    <row r="17" spans="1:19" x14ac:dyDescent="0.25">
      <c r="A17" s="4" t="s">
        <v>4</v>
      </c>
      <c r="B17" s="4">
        <f>GETPIVOTDATA("Sum of Payroll",Control!$A$20,"Month",""&amp;A17)</f>
        <v>220180</v>
      </c>
      <c r="C17" s="4">
        <f t="shared" si="6"/>
        <v>120000</v>
      </c>
      <c r="D17" s="4" t="e">
        <f>IFERROR(GETPIVOTDATA(""&amp;$B$11,Control!$A$3,"Month",""&amp;A17),NA())</f>
        <v>#N/A</v>
      </c>
    </row>
    <row r="18" spans="1:19" x14ac:dyDescent="0.25">
      <c r="A18" s="4" t="s">
        <v>5</v>
      </c>
      <c r="B18" s="4">
        <f>GETPIVOTDATA("Sum of Payroll",Control!$A$20,"Month",""&amp;A18)</f>
        <v>254540</v>
      </c>
      <c r="C18" s="4">
        <f t="shared" si="6"/>
        <v>120000</v>
      </c>
      <c r="D18" s="4" t="e">
        <f>IFERROR(GETPIVOTDATA(""&amp;$B$11,Control!$A$3,"Month",""&amp;A18),NA())</f>
        <v>#N/A</v>
      </c>
      <c r="I18" s="35" t="s">
        <v>128</v>
      </c>
      <c r="J18" s="35"/>
      <c r="K18" s="19" t="s">
        <v>126</v>
      </c>
      <c r="L18" s="19"/>
      <c r="M18" s="19"/>
      <c r="O18" s="19" t="s">
        <v>127</v>
      </c>
      <c r="P18" s="19"/>
    </row>
    <row r="19" spans="1:19" x14ac:dyDescent="0.25">
      <c r="A19" s="4" t="s">
        <v>6</v>
      </c>
      <c r="B19" s="4">
        <f>GETPIVOTDATA("Sum of Payroll",Control!$A$20,"Month",""&amp;A19)</f>
        <v>254180</v>
      </c>
      <c r="C19" s="4">
        <f t="shared" si="6"/>
        <v>120000</v>
      </c>
      <c r="D19" s="4" t="e">
        <f>IFERROR(GETPIVOTDATA(""&amp;$B$11,Control!$A$3,"Month",""&amp;A19),NA())</f>
        <v>#N/A</v>
      </c>
      <c r="G19" s="10" t="s">
        <v>57</v>
      </c>
      <c r="H19" s="2">
        <v>1</v>
      </c>
      <c r="I19" s="4" t="s">
        <v>129</v>
      </c>
      <c r="J19" s="4" t="s">
        <v>58</v>
      </c>
      <c r="L19" s="4" t="s">
        <v>115</v>
      </c>
      <c r="M19" s="4" t="s">
        <v>58</v>
      </c>
      <c r="N19" s="8" t="s">
        <v>59</v>
      </c>
      <c r="O19" s="4" t="s">
        <v>130</v>
      </c>
      <c r="P19" s="4" t="s">
        <v>115</v>
      </c>
      <c r="Q19" s="4" t="s">
        <v>58</v>
      </c>
      <c r="R19" s="8" t="s">
        <v>59</v>
      </c>
    </row>
    <row r="20" spans="1:19" x14ac:dyDescent="0.25">
      <c r="A20" s="4" t="s">
        <v>7</v>
      </c>
      <c r="B20" s="4">
        <f>GETPIVOTDATA("Sum of Payroll",Control!$A$20,"Month",""&amp;A20)</f>
        <v>253290</v>
      </c>
      <c r="C20" s="4">
        <f t="shared" si="6"/>
        <v>120000</v>
      </c>
      <c r="D20" s="4" t="e">
        <f>IFERROR(GETPIVOTDATA(""&amp;$B$11,Control!$A$3,"Month",""&amp;A20),NA())</f>
        <v>#N/A</v>
      </c>
      <c r="G20" s="10" t="str">
        <f>K20</f>
        <v>Employee1</v>
      </c>
      <c r="H20" s="3">
        <f>$H$19</f>
        <v>1</v>
      </c>
      <c r="I20" s="3">
        <f>(M20+N20)/$L$20</f>
        <v>1</v>
      </c>
      <c r="J20" s="3">
        <f>M20/L20</f>
        <v>0.53174603174603174</v>
      </c>
      <c r="K20" s="4" t="str">
        <f t="array" ref="K20:N24">_xlfn._xlws.SORT(O20:R24,2,-1)</f>
        <v>Employee1</v>
      </c>
      <c r="L20" s="4">
        <v>12600</v>
      </c>
      <c r="M20" s="4">
        <v>6700</v>
      </c>
      <c r="N20" s="4">
        <v>5900</v>
      </c>
      <c r="O20" s="10" t="s">
        <v>60</v>
      </c>
      <c r="P20" s="4">
        <f>SUM(Q20:R20)</f>
        <v>12600</v>
      </c>
      <c r="Q20" s="4">
        <f>GETPIVOTDATA(""&amp;O20,Control!$A$3)</f>
        <v>6700</v>
      </c>
      <c r="R20" s="4">
        <f>GETPIVOTDATA(O20&amp;2,Control!$A$3)</f>
        <v>5900</v>
      </c>
    </row>
    <row r="21" spans="1:19" x14ac:dyDescent="0.25">
      <c r="A21" s="4" t="s">
        <v>8</v>
      </c>
      <c r="B21" s="4">
        <f>GETPIVOTDATA("Sum of Payroll",Control!$A$20,"Month",""&amp;A21)</f>
        <v>242850</v>
      </c>
      <c r="C21" s="4">
        <f t="shared" si="6"/>
        <v>120000</v>
      </c>
      <c r="D21" s="4" t="e">
        <f>IFERROR(GETPIVOTDATA(""&amp;$B$11,Control!$A$3,"Month",""&amp;A21),NA())</f>
        <v>#N/A</v>
      </c>
      <c r="G21" s="10" t="str">
        <f t="shared" ref="G21:G24" si="11">K21</f>
        <v>Employee2</v>
      </c>
      <c r="H21" s="3">
        <f>$H$19</f>
        <v>1</v>
      </c>
      <c r="I21" s="3">
        <f>(M21+N21)/$L$20</f>
        <v>0.93650793650793651</v>
      </c>
      <c r="J21" s="3">
        <f>M21/L21</f>
        <v>0.48305084745762711</v>
      </c>
      <c r="K21" s="4" t="str">
        <v>Employee2</v>
      </c>
      <c r="L21" s="4">
        <v>11800</v>
      </c>
      <c r="M21" s="4">
        <v>5700</v>
      </c>
      <c r="N21" s="4">
        <v>6100</v>
      </c>
      <c r="O21" s="10" t="s">
        <v>61</v>
      </c>
      <c r="P21" s="4">
        <f t="shared" ref="P21:P24" si="12">SUM(Q21:R21)</f>
        <v>11800</v>
      </c>
      <c r="Q21" s="4">
        <f>GETPIVOTDATA(""&amp;O21,Control!$A$3)</f>
        <v>5700</v>
      </c>
      <c r="R21" s="4">
        <f>GETPIVOTDATA(O21&amp;2,Control!$A$3)</f>
        <v>6100</v>
      </c>
    </row>
    <row r="22" spans="1:19" x14ac:dyDescent="0.25">
      <c r="A22" s="4" t="s">
        <v>9</v>
      </c>
      <c r="B22" s="4">
        <f>GETPIVOTDATA("Sum of Payroll",Control!$A$20,"Month",""&amp;A22)</f>
        <v>237680</v>
      </c>
      <c r="C22" s="4">
        <f t="shared" si="6"/>
        <v>120000</v>
      </c>
      <c r="D22" s="4" t="e">
        <f>IFERROR(GETPIVOTDATA(""&amp;$B$11,Control!$A$3,"Month",""&amp;A22),NA())</f>
        <v>#N/A</v>
      </c>
      <c r="G22" s="10" t="str">
        <f t="shared" si="11"/>
        <v>Employee3</v>
      </c>
      <c r="H22" s="3">
        <f>$H$19</f>
        <v>1</v>
      </c>
      <c r="I22" s="3">
        <f>(M22+N22)/$L$20</f>
        <v>0.79365079365079361</v>
      </c>
      <c r="J22" s="3">
        <f>M22/L22</f>
        <v>0.45</v>
      </c>
      <c r="K22" s="4" t="str">
        <v>Employee3</v>
      </c>
      <c r="L22" s="4">
        <v>10000</v>
      </c>
      <c r="M22" s="4">
        <v>4500</v>
      </c>
      <c r="N22" s="4">
        <v>5500</v>
      </c>
      <c r="O22" s="10" t="s">
        <v>62</v>
      </c>
      <c r="P22" s="4">
        <f t="shared" si="12"/>
        <v>10000</v>
      </c>
      <c r="Q22" s="4">
        <f>GETPIVOTDATA(""&amp;O22,Control!$A$3)</f>
        <v>4500</v>
      </c>
      <c r="R22" s="4">
        <f>GETPIVOTDATA(O22&amp;2,Control!$A$3)</f>
        <v>5500</v>
      </c>
    </row>
    <row r="23" spans="1:19" x14ac:dyDescent="0.25">
      <c r="A23" s="4" t="s">
        <v>10</v>
      </c>
      <c r="B23" s="4">
        <f>GETPIVOTDATA("Sum of Payroll",Control!$A$20,"Month",""&amp;A23)</f>
        <v>197370</v>
      </c>
      <c r="C23" s="4">
        <f t="shared" si="6"/>
        <v>120000</v>
      </c>
      <c r="D23" s="4" t="e">
        <f>IFERROR(GETPIVOTDATA(""&amp;$B$11,Control!$A$3,"Month",""&amp;A23),NA())</f>
        <v>#N/A</v>
      </c>
      <c r="G23" s="10" t="str">
        <f t="shared" si="11"/>
        <v>Employee5</v>
      </c>
      <c r="H23" s="3">
        <f>$H$19</f>
        <v>1</v>
      </c>
      <c r="I23" s="3">
        <f>(M23+N23)/$L$20</f>
        <v>0.69841269841269837</v>
      </c>
      <c r="J23" s="3">
        <f>M23/L23</f>
        <v>0.30681818181818182</v>
      </c>
      <c r="K23" s="4" t="str">
        <v>Employee5</v>
      </c>
      <c r="L23" s="4">
        <v>8800</v>
      </c>
      <c r="M23" s="4">
        <v>2700</v>
      </c>
      <c r="N23" s="4">
        <v>6100</v>
      </c>
      <c r="O23" s="10" t="s">
        <v>63</v>
      </c>
      <c r="P23" s="4">
        <f t="shared" si="12"/>
        <v>8500</v>
      </c>
      <c r="Q23" s="4">
        <f>GETPIVOTDATA(""&amp;O23,Control!$A$3)</f>
        <v>5000</v>
      </c>
      <c r="R23" s="4">
        <f>GETPIVOTDATA(O23&amp;2,Control!$A$3)</f>
        <v>3500</v>
      </c>
    </row>
    <row r="24" spans="1:19" x14ac:dyDescent="0.25">
      <c r="A24" s="4" t="s">
        <v>11</v>
      </c>
      <c r="B24" s="4">
        <f>GETPIVOTDATA("Sum of Payroll",Control!$A$20,"Month",""&amp;A24)</f>
        <v>98395</v>
      </c>
      <c r="C24" s="4">
        <f t="shared" si="6"/>
        <v>120000</v>
      </c>
      <c r="D24" s="4" t="e">
        <f>IFERROR(GETPIVOTDATA(""&amp;$B$11,Control!$A$3,"Month",""&amp;A24),NA())</f>
        <v>#N/A</v>
      </c>
      <c r="G24" s="10" t="str">
        <f t="shared" si="11"/>
        <v>Employee4</v>
      </c>
      <c r="H24" s="3">
        <f>$H$19</f>
        <v>1</v>
      </c>
      <c r="I24" s="3">
        <f>(M24+N24)/$L$20</f>
        <v>0.67460317460317465</v>
      </c>
      <c r="J24" s="3">
        <f>M24/L24</f>
        <v>0.58823529411764708</v>
      </c>
      <c r="K24" s="4" t="str">
        <v>Employee4</v>
      </c>
      <c r="L24" s="4">
        <v>8500</v>
      </c>
      <c r="M24" s="4">
        <v>5000</v>
      </c>
      <c r="N24" s="4">
        <v>3500</v>
      </c>
      <c r="O24" s="10" t="s">
        <v>64</v>
      </c>
      <c r="P24" s="4">
        <f t="shared" si="12"/>
        <v>8800</v>
      </c>
      <c r="Q24" s="4">
        <f>GETPIVOTDATA(""&amp;O24,Control!$A$3)</f>
        <v>2700</v>
      </c>
      <c r="R24" s="4">
        <f>GETPIVOTDATA(O24&amp;2,Control!$A$3)</f>
        <v>6100</v>
      </c>
      <c r="S24" s="8"/>
    </row>
    <row r="25" spans="1:19" x14ac:dyDescent="0.25">
      <c r="C25" s="4">
        <f t="shared" si="6"/>
        <v>120000</v>
      </c>
    </row>
    <row r="26" spans="1:19" x14ac:dyDescent="0.25">
      <c r="N26" s="13" t="s">
        <v>72</v>
      </c>
      <c r="O26" s="13" t="s">
        <v>73</v>
      </c>
    </row>
    <row r="27" spans="1:19" x14ac:dyDescent="0.25">
      <c r="B27" s="4" t="s">
        <v>45</v>
      </c>
      <c r="C27" s="13" t="s">
        <v>141</v>
      </c>
      <c r="I27" s="13" t="s">
        <v>141</v>
      </c>
      <c r="J27" s="4" t="s">
        <v>142</v>
      </c>
      <c r="K27" s="4" t="s">
        <v>143</v>
      </c>
      <c r="L27" s="4" t="s">
        <v>144</v>
      </c>
      <c r="M27" s="4" t="s">
        <v>145</v>
      </c>
      <c r="N27" s="4">
        <f>MAX(Control!A37:A40)</f>
        <v>2025</v>
      </c>
      <c r="O27" s="4" t="str" cm="1">
        <f t="array" ref="O27">INDEX(Control!A4:A15,COUNTA(Control!A4:A16)-1)</f>
        <v>APR</v>
      </c>
    </row>
    <row r="28" spans="1:19" x14ac:dyDescent="0.2">
      <c r="A28" s="33" t="s">
        <v>46</v>
      </c>
      <c r="B28" s="4">
        <v>1</v>
      </c>
      <c r="C28" s="4">
        <f>INT((ROW(Q1)-1)/4)+1</f>
        <v>1</v>
      </c>
      <c r="D28" s="4" t="b" cm="1">
        <f t="array" ref="D28">INDEX(J$28:J$55,$C28)=$B28</f>
        <v>0</v>
      </c>
      <c r="E28" s="4" t="b" cm="1">
        <f t="array" ref="E28">INDEX(K$28:K$55,$C28)=$B28</f>
        <v>0</v>
      </c>
      <c r="F28" s="4" t="b" cm="1">
        <f t="array" ref="F28">INDEX(L$28:L$55,$C28)=$B28</f>
        <v>0</v>
      </c>
      <c r="G28" s="4" t="b" cm="1">
        <f t="array" ref="G28">INDEX(M$28:M$55,$C28)=$B28</f>
        <v>1</v>
      </c>
      <c r="I28" s="4">
        <v>1</v>
      </c>
      <c r="J28" s="4" cm="1">
        <f t="array" ref="J28">INDEX('HOTMAP-DATA'!$D$2:$G$1345,MATCH($N$27&amp;$O$27&amp;$I28,'HOTMAP-DATA'!$A$2:$A$1345&amp;'HOTMAP-DATA'!$B$2:$B$1345&amp;'HOTMAP-DATA'!$C$2:$C$1345,0),COLUMN(A$1))</f>
        <v>4</v>
      </c>
      <c r="K28" s="4" cm="1">
        <f t="array" ref="K28">INDEX('HOTMAP-DATA'!$D$2:$G$1345,MATCH($N$27&amp;$O$27&amp;$I28,'HOTMAP-DATA'!$A$2:$A$1345&amp;'HOTMAP-DATA'!$B$2:$B$1345&amp;'HOTMAP-DATA'!$C$2:$C$1345,0),COLUMN(B$1))</f>
        <v>2</v>
      </c>
      <c r="L28" s="4" cm="1">
        <f t="array" ref="L28">INDEX('HOTMAP-DATA'!$D$2:$G$1345,MATCH($N$27&amp;$O$27&amp;$I28,'HOTMAP-DATA'!$A$2:$A$1345&amp;'HOTMAP-DATA'!$B$2:$B$1345&amp;'HOTMAP-DATA'!$C$2:$C$1345,0),COLUMN(C$1))</f>
        <v>3</v>
      </c>
      <c r="M28" s="4" cm="1">
        <f t="array" ref="M28">INDEX('HOTMAP-DATA'!$D$2:$G$1345,MATCH($N$27&amp;$O$27&amp;$I28,'HOTMAP-DATA'!$A$2:$A$1345&amp;'HOTMAP-DATA'!$B$2:$B$1345&amp;'HOTMAP-DATA'!$C$2:$C$1345,0),COLUMN(D$1))</f>
        <v>1</v>
      </c>
    </row>
    <row r="29" spans="1:19" x14ac:dyDescent="0.2">
      <c r="A29" s="33" t="s">
        <v>49</v>
      </c>
      <c r="B29" s="4">
        <v>2</v>
      </c>
      <c r="C29" s="4">
        <f t="shared" ref="C29:C92" si="13">INT((ROW(Q2)-1)/4)+1</f>
        <v>1</v>
      </c>
      <c r="D29" s="4" t="b" cm="1">
        <f t="array" ref="D29">INDEX(J$28:J$55,$C29)=$B29</f>
        <v>0</v>
      </c>
      <c r="E29" s="4" t="b" cm="1">
        <f t="array" ref="E29">INDEX(K$28:K$55,$C29)=$B29</f>
        <v>1</v>
      </c>
      <c r="F29" s="4" t="b" cm="1">
        <f t="array" ref="F29">INDEX(L$28:L$55,$C29)=$B29</f>
        <v>0</v>
      </c>
      <c r="G29" s="4" t="b" cm="1">
        <f t="array" ref="G29">INDEX(M$28:M$55,$C29)=$B29</f>
        <v>0</v>
      </c>
      <c r="I29" s="4">
        <v>2</v>
      </c>
      <c r="J29" s="4" cm="1">
        <f t="array" ref="J29">INDEX('HOTMAP-DATA'!$D$2:$G$1345,MATCH($N$27&amp;$O$27&amp;$I29,'HOTMAP-DATA'!$A$2:$A$1345&amp;'HOTMAP-DATA'!$B$2:$B$1345&amp;'HOTMAP-DATA'!$C$2:$C$1345,0),COLUMN(A$1))</f>
        <v>2</v>
      </c>
      <c r="K29" s="4" cm="1">
        <f t="array" ref="K29">INDEX('HOTMAP-DATA'!$D$2:$G$1345,MATCH($N$27&amp;$O$27&amp;$I29,'HOTMAP-DATA'!$A$2:$A$1345&amp;'HOTMAP-DATA'!$B$2:$B$1345&amp;'HOTMAP-DATA'!$C$2:$C$1345,0),COLUMN(B$1))</f>
        <v>1</v>
      </c>
      <c r="L29" s="4" cm="1">
        <f t="array" ref="L29">INDEX('HOTMAP-DATA'!$D$2:$G$1345,MATCH($N$27&amp;$O$27&amp;$I29,'HOTMAP-DATA'!$A$2:$A$1345&amp;'HOTMAP-DATA'!$B$2:$B$1345&amp;'HOTMAP-DATA'!$C$2:$C$1345,0),COLUMN(C$1))</f>
        <v>1</v>
      </c>
      <c r="M29" s="4" cm="1">
        <f t="array" ref="M29">INDEX('HOTMAP-DATA'!$D$2:$G$1345,MATCH($N$27&amp;$O$27&amp;$I29,'HOTMAP-DATA'!$A$2:$A$1345&amp;'HOTMAP-DATA'!$B$2:$B$1345&amp;'HOTMAP-DATA'!$C$2:$C$1345,0),COLUMN(D$1))</f>
        <v>2</v>
      </c>
    </row>
    <row r="30" spans="1:19" x14ac:dyDescent="0.2">
      <c r="A30" s="33" t="s">
        <v>47</v>
      </c>
      <c r="B30" s="4">
        <v>3</v>
      </c>
      <c r="C30" s="4">
        <f t="shared" si="13"/>
        <v>1</v>
      </c>
      <c r="D30" s="4" t="b" cm="1">
        <f t="array" ref="D30">INDEX(J$28:J$55,$C30)=$B30</f>
        <v>0</v>
      </c>
      <c r="E30" s="4" t="b" cm="1">
        <f t="array" ref="E30">INDEX(K$28:K$55,$C30)=$B30</f>
        <v>0</v>
      </c>
      <c r="F30" s="4" t="b" cm="1">
        <f t="array" ref="F30">INDEX(L$28:L$55,$C30)=$B30</f>
        <v>1</v>
      </c>
      <c r="G30" s="4" t="b" cm="1">
        <f t="array" ref="G30">INDEX(M$28:M$55,$C30)=$B30</f>
        <v>0</v>
      </c>
      <c r="I30" s="4">
        <v>3</v>
      </c>
      <c r="J30" s="4" cm="1">
        <f t="array" ref="J30">INDEX('HOTMAP-DATA'!$D$2:$G$1345,MATCH($N$27&amp;$O$27&amp;$I30,'HOTMAP-DATA'!$A$2:$A$1345&amp;'HOTMAP-DATA'!$B$2:$B$1345&amp;'HOTMAP-DATA'!$C$2:$C$1345,0),COLUMN(A$1))</f>
        <v>1</v>
      </c>
      <c r="K30" s="4" cm="1">
        <f t="array" ref="K30">INDEX('HOTMAP-DATA'!$D$2:$G$1345,MATCH($N$27&amp;$O$27&amp;$I30,'HOTMAP-DATA'!$A$2:$A$1345&amp;'HOTMAP-DATA'!$B$2:$B$1345&amp;'HOTMAP-DATA'!$C$2:$C$1345,0),COLUMN(B$1))</f>
        <v>3</v>
      </c>
      <c r="L30" s="4" cm="1">
        <f t="array" ref="L30">INDEX('HOTMAP-DATA'!$D$2:$G$1345,MATCH($N$27&amp;$O$27&amp;$I30,'HOTMAP-DATA'!$A$2:$A$1345&amp;'HOTMAP-DATA'!$B$2:$B$1345&amp;'HOTMAP-DATA'!$C$2:$C$1345,0),COLUMN(C$1))</f>
        <v>2</v>
      </c>
      <c r="M30" s="4" cm="1">
        <f t="array" ref="M30">INDEX('HOTMAP-DATA'!$D$2:$G$1345,MATCH($N$27&amp;$O$27&amp;$I30,'HOTMAP-DATA'!$A$2:$A$1345&amp;'HOTMAP-DATA'!$B$2:$B$1345&amp;'HOTMAP-DATA'!$C$2:$C$1345,0),COLUMN(D$1))</f>
        <v>1</v>
      </c>
    </row>
    <row r="31" spans="1:19" x14ac:dyDescent="0.2">
      <c r="A31" s="33" t="s">
        <v>48</v>
      </c>
      <c r="B31" s="4">
        <v>4</v>
      </c>
      <c r="C31" s="4">
        <f t="shared" si="13"/>
        <v>1</v>
      </c>
      <c r="D31" s="4" t="b" cm="1">
        <f t="array" ref="D31">INDEX(J$28:J$55,$C31)=$B31</f>
        <v>1</v>
      </c>
      <c r="E31" s="4" t="b" cm="1">
        <f t="array" ref="E31">INDEX(K$28:K$55,$C31)=$B31</f>
        <v>0</v>
      </c>
      <c r="F31" s="4" t="b" cm="1">
        <f t="array" ref="F31">INDEX(L$28:L$55,$C31)=$B31</f>
        <v>0</v>
      </c>
      <c r="G31" s="4" t="b" cm="1">
        <f t="array" ref="G31">INDEX(M$28:M$55,$C31)=$B31</f>
        <v>0</v>
      </c>
      <c r="I31" s="4">
        <v>4</v>
      </c>
      <c r="J31" s="4" cm="1">
        <f t="array" ref="J31">INDEX('HOTMAP-DATA'!$D$2:$G$1345,MATCH($N$27&amp;$O$27&amp;$I31,'HOTMAP-DATA'!$A$2:$A$1345&amp;'HOTMAP-DATA'!$B$2:$B$1345&amp;'HOTMAP-DATA'!$C$2:$C$1345,0),COLUMN(A$1))</f>
        <v>2</v>
      </c>
      <c r="K31" s="4" cm="1">
        <f t="array" ref="K31">INDEX('HOTMAP-DATA'!$D$2:$G$1345,MATCH($N$27&amp;$O$27&amp;$I31,'HOTMAP-DATA'!$A$2:$A$1345&amp;'HOTMAP-DATA'!$B$2:$B$1345&amp;'HOTMAP-DATA'!$C$2:$C$1345,0),COLUMN(B$1))</f>
        <v>1</v>
      </c>
      <c r="L31" s="4" cm="1">
        <f t="array" ref="L31">INDEX('HOTMAP-DATA'!$D$2:$G$1345,MATCH($N$27&amp;$O$27&amp;$I31,'HOTMAP-DATA'!$A$2:$A$1345&amp;'HOTMAP-DATA'!$B$2:$B$1345&amp;'HOTMAP-DATA'!$C$2:$C$1345,0),COLUMN(C$1))</f>
        <v>1</v>
      </c>
      <c r="M31" s="4" cm="1">
        <f t="array" ref="M31">INDEX('HOTMAP-DATA'!$D$2:$G$1345,MATCH($N$27&amp;$O$27&amp;$I31,'HOTMAP-DATA'!$A$2:$A$1345&amp;'HOTMAP-DATA'!$B$2:$B$1345&amp;'HOTMAP-DATA'!$C$2:$C$1345,0),COLUMN(D$1))</f>
        <v>3</v>
      </c>
    </row>
    <row r="32" spans="1:19" x14ac:dyDescent="0.25">
      <c r="B32" s="4">
        <v>1</v>
      </c>
      <c r="C32" s="4">
        <f t="shared" si="13"/>
        <v>2</v>
      </c>
      <c r="D32" s="4" t="b" cm="1">
        <f t="array" ref="D32">INDEX(J$28:J$55,$C32)=$B32</f>
        <v>0</v>
      </c>
      <c r="E32" s="4" t="b" cm="1">
        <f t="array" ref="E32">INDEX(K$28:K$55,$C32)=$B32</f>
        <v>1</v>
      </c>
      <c r="F32" s="4" t="b" cm="1">
        <f t="array" ref="F32">INDEX(L$28:L$55,$C32)=$B32</f>
        <v>1</v>
      </c>
      <c r="G32" s="4" t="b" cm="1">
        <f t="array" ref="G32">INDEX(M$28:M$55,$C32)=$B32</f>
        <v>0</v>
      </c>
      <c r="I32" s="4">
        <v>5</v>
      </c>
      <c r="J32" s="4" cm="1">
        <f t="array" ref="J32">INDEX('HOTMAP-DATA'!$D$2:$G$1345,MATCH($N$27&amp;$O$27&amp;$I32,'HOTMAP-DATA'!$A$2:$A$1345&amp;'HOTMAP-DATA'!$B$2:$B$1345&amp;'HOTMAP-DATA'!$C$2:$C$1345,0),COLUMN(A$1))</f>
        <v>2</v>
      </c>
      <c r="K32" s="4" cm="1">
        <f t="array" ref="K32">INDEX('HOTMAP-DATA'!$D$2:$G$1345,MATCH($N$27&amp;$O$27&amp;$I32,'HOTMAP-DATA'!$A$2:$A$1345&amp;'HOTMAP-DATA'!$B$2:$B$1345&amp;'HOTMAP-DATA'!$C$2:$C$1345,0),COLUMN(B$1))</f>
        <v>2</v>
      </c>
      <c r="L32" s="4" cm="1">
        <f t="array" ref="L32">INDEX('HOTMAP-DATA'!$D$2:$G$1345,MATCH($N$27&amp;$O$27&amp;$I32,'HOTMAP-DATA'!$A$2:$A$1345&amp;'HOTMAP-DATA'!$B$2:$B$1345&amp;'HOTMAP-DATA'!$C$2:$C$1345,0),COLUMN(C$1))</f>
        <v>1</v>
      </c>
      <c r="M32" s="4" cm="1">
        <f t="array" ref="M32">INDEX('HOTMAP-DATA'!$D$2:$G$1345,MATCH($N$27&amp;$O$27&amp;$I32,'HOTMAP-DATA'!$A$2:$A$1345&amp;'HOTMAP-DATA'!$B$2:$B$1345&amp;'HOTMAP-DATA'!$C$2:$C$1345,0),COLUMN(D$1))</f>
        <v>3</v>
      </c>
    </row>
    <row r="33" spans="2:13" x14ac:dyDescent="0.25">
      <c r="B33" s="4">
        <v>2</v>
      </c>
      <c r="C33" s="4">
        <f t="shared" si="13"/>
        <v>2</v>
      </c>
      <c r="D33" s="4" t="b" cm="1">
        <f t="array" ref="D33">INDEX(J$28:J$55,$C33)=$B33</f>
        <v>1</v>
      </c>
      <c r="E33" s="4" t="b" cm="1">
        <f t="array" ref="E33">INDEX(K$28:K$55,$C33)=$B33</f>
        <v>0</v>
      </c>
      <c r="F33" s="4" t="b" cm="1">
        <f t="array" ref="F33">INDEX(L$28:L$55,$C33)=$B33</f>
        <v>0</v>
      </c>
      <c r="G33" s="4" t="b" cm="1">
        <f t="array" ref="G33">INDEX(M$28:M$55,$C33)=$B33</f>
        <v>1</v>
      </c>
      <c r="I33" s="4">
        <v>6</v>
      </c>
      <c r="J33" s="4" cm="1">
        <f t="array" ref="J33">INDEX('HOTMAP-DATA'!$D$2:$G$1345,MATCH($N$27&amp;$O$27&amp;$I33,'HOTMAP-DATA'!$A$2:$A$1345&amp;'HOTMAP-DATA'!$B$2:$B$1345&amp;'HOTMAP-DATA'!$C$2:$C$1345,0),COLUMN(A$1))</f>
        <v>2</v>
      </c>
      <c r="K33" s="4" cm="1">
        <f t="array" ref="K33">INDEX('HOTMAP-DATA'!$D$2:$G$1345,MATCH($N$27&amp;$O$27&amp;$I33,'HOTMAP-DATA'!$A$2:$A$1345&amp;'HOTMAP-DATA'!$B$2:$B$1345&amp;'HOTMAP-DATA'!$C$2:$C$1345,0),COLUMN(B$1))</f>
        <v>2</v>
      </c>
      <c r="L33" s="4" cm="1">
        <f t="array" ref="L33">INDEX('HOTMAP-DATA'!$D$2:$G$1345,MATCH($N$27&amp;$O$27&amp;$I33,'HOTMAP-DATA'!$A$2:$A$1345&amp;'HOTMAP-DATA'!$B$2:$B$1345&amp;'HOTMAP-DATA'!$C$2:$C$1345,0),COLUMN(C$1))</f>
        <v>2</v>
      </c>
      <c r="M33" s="4" cm="1">
        <f t="array" ref="M33">INDEX('HOTMAP-DATA'!$D$2:$G$1345,MATCH($N$27&amp;$O$27&amp;$I33,'HOTMAP-DATA'!$A$2:$A$1345&amp;'HOTMAP-DATA'!$B$2:$B$1345&amp;'HOTMAP-DATA'!$C$2:$C$1345,0),COLUMN(D$1))</f>
        <v>2</v>
      </c>
    </row>
    <row r="34" spans="2:13" x14ac:dyDescent="0.25">
      <c r="B34" s="4">
        <v>3</v>
      </c>
      <c r="C34" s="4">
        <f t="shared" si="13"/>
        <v>2</v>
      </c>
      <c r="D34" s="4" t="b" cm="1">
        <f t="array" ref="D34">INDEX(J$28:J$55,$C34)=$B34</f>
        <v>0</v>
      </c>
      <c r="E34" s="4" t="b" cm="1">
        <f t="array" ref="E34">INDEX(K$28:K$55,$C34)=$B34</f>
        <v>0</v>
      </c>
      <c r="F34" s="4" t="b" cm="1">
        <f t="array" ref="F34">INDEX(L$28:L$55,$C34)=$B34</f>
        <v>0</v>
      </c>
      <c r="G34" s="4" t="b" cm="1">
        <f t="array" ref="G34">INDEX(M$28:M$55,$C34)=$B34</f>
        <v>0</v>
      </c>
      <c r="I34" s="4">
        <v>7</v>
      </c>
      <c r="J34" s="4" cm="1">
        <f t="array" ref="J34">INDEX('HOTMAP-DATA'!$D$2:$G$1345,MATCH($N$27&amp;$O$27&amp;$I34,'HOTMAP-DATA'!$A$2:$A$1345&amp;'HOTMAP-DATA'!$B$2:$B$1345&amp;'HOTMAP-DATA'!$C$2:$C$1345,0),COLUMN(A$1))</f>
        <v>2</v>
      </c>
      <c r="K34" s="4" cm="1">
        <f t="array" ref="K34">INDEX('HOTMAP-DATA'!$D$2:$G$1345,MATCH($N$27&amp;$O$27&amp;$I34,'HOTMAP-DATA'!$A$2:$A$1345&amp;'HOTMAP-DATA'!$B$2:$B$1345&amp;'HOTMAP-DATA'!$C$2:$C$1345,0),COLUMN(B$1))</f>
        <v>3</v>
      </c>
      <c r="L34" s="4" cm="1">
        <f t="array" ref="L34">INDEX('HOTMAP-DATA'!$D$2:$G$1345,MATCH($N$27&amp;$O$27&amp;$I34,'HOTMAP-DATA'!$A$2:$A$1345&amp;'HOTMAP-DATA'!$B$2:$B$1345&amp;'HOTMAP-DATA'!$C$2:$C$1345,0),COLUMN(C$1))</f>
        <v>1</v>
      </c>
      <c r="M34" s="4" cm="1">
        <f t="array" ref="M34">INDEX('HOTMAP-DATA'!$D$2:$G$1345,MATCH($N$27&amp;$O$27&amp;$I34,'HOTMAP-DATA'!$A$2:$A$1345&amp;'HOTMAP-DATA'!$B$2:$B$1345&amp;'HOTMAP-DATA'!$C$2:$C$1345,0),COLUMN(D$1))</f>
        <v>3</v>
      </c>
    </row>
    <row r="35" spans="2:13" x14ac:dyDescent="0.25">
      <c r="B35" s="4">
        <v>4</v>
      </c>
      <c r="C35" s="4">
        <f t="shared" si="13"/>
        <v>2</v>
      </c>
      <c r="D35" s="4" t="b" cm="1">
        <f t="array" ref="D35">INDEX(J$28:J$55,$C35)=$B35</f>
        <v>0</v>
      </c>
      <c r="E35" s="4" t="b" cm="1">
        <f t="array" ref="E35">INDEX(K$28:K$55,$C35)=$B35</f>
        <v>0</v>
      </c>
      <c r="F35" s="4" t="b" cm="1">
        <f t="array" ref="F35">INDEX(L$28:L$55,$C35)=$B35</f>
        <v>0</v>
      </c>
      <c r="G35" s="4" t="b" cm="1">
        <f t="array" ref="G35">INDEX(M$28:M$55,$C35)=$B35</f>
        <v>0</v>
      </c>
      <c r="I35" s="4">
        <v>8</v>
      </c>
      <c r="J35" s="4" cm="1">
        <f t="array" ref="J35">INDEX('HOTMAP-DATA'!$D$2:$G$1345,MATCH($N$27&amp;$O$27&amp;$I35,'HOTMAP-DATA'!$A$2:$A$1345&amp;'HOTMAP-DATA'!$B$2:$B$1345&amp;'HOTMAP-DATA'!$C$2:$C$1345,0),COLUMN(A$1))</f>
        <v>1</v>
      </c>
      <c r="K35" s="4" cm="1">
        <f t="array" ref="K35">INDEX('HOTMAP-DATA'!$D$2:$G$1345,MATCH($N$27&amp;$O$27&amp;$I35,'HOTMAP-DATA'!$A$2:$A$1345&amp;'HOTMAP-DATA'!$B$2:$B$1345&amp;'HOTMAP-DATA'!$C$2:$C$1345,0),COLUMN(B$1))</f>
        <v>3</v>
      </c>
      <c r="L35" s="4" cm="1">
        <f t="array" ref="L35">INDEX('HOTMAP-DATA'!$D$2:$G$1345,MATCH($N$27&amp;$O$27&amp;$I35,'HOTMAP-DATA'!$A$2:$A$1345&amp;'HOTMAP-DATA'!$B$2:$B$1345&amp;'HOTMAP-DATA'!$C$2:$C$1345,0),COLUMN(C$1))</f>
        <v>1</v>
      </c>
      <c r="M35" s="4" cm="1">
        <f t="array" ref="M35">INDEX('HOTMAP-DATA'!$D$2:$G$1345,MATCH($N$27&amp;$O$27&amp;$I35,'HOTMAP-DATA'!$A$2:$A$1345&amp;'HOTMAP-DATA'!$B$2:$B$1345&amp;'HOTMAP-DATA'!$C$2:$C$1345,0),COLUMN(D$1))</f>
        <v>3</v>
      </c>
    </row>
    <row r="36" spans="2:13" x14ac:dyDescent="0.25">
      <c r="B36" s="4">
        <v>1</v>
      </c>
      <c r="C36" s="4">
        <f t="shared" si="13"/>
        <v>3</v>
      </c>
      <c r="D36" s="4" t="b" cm="1">
        <f t="array" ref="D36">INDEX(J$28:J$55,$C36)=$B36</f>
        <v>1</v>
      </c>
      <c r="E36" s="4" t="b" cm="1">
        <f t="array" ref="E36">INDEX(K$28:K$55,$C36)=$B36</f>
        <v>0</v>
      </c>
      <c r="F36" s="4" t="b" cm="1">
        <f t="array" ref="F36">INDEX(L$28:L$55,$C36)=$B36</f>
        <v>0</v>
      </c>
      <c r="G36" s="4" t="b" cm="1">
        <f t="array" ref="G36">INDEX(M$28:M$55,$C36)=$B36</f>
        <v>1</v>
      </c>
      <c r="I36" s="4">
        <v>9</v>
      </c>
      <c r="J36" s="4" cm="1">
        <f t="array" ref="J36">INDEX('HOTMAP-DATA'!$D$2:$G$1345,MATCH($N$27&amp;$O$27&amp;$I36,'HOTMAP-DATA'!$A$2:$A$1345&amp;'HOTMAP-DATA'!$B$2:$B$1345&amp;'HOTMAP-DATA'!$C$2:$C$1345,0),COLUMN(A$1))</f>
        <v>3</v>
      </c>
      <c r="K36" s="4" cm="1">
        <f t="array" ref="K36">INDEX('HOTMAP-DATA'!$D$2:$G$1345,MATCH($N$27&amp;$O$27&amp;$I36,'HOTMAP-DATA'!$A$2:$A$1345&amp;'HOTMAP-DATA'!$B$2:$B$1345&amp;'HOTMAP-DATA'!$C$2:$C$1345,0),COLUMN(B$1))</f>
        <v>2</v>
      </c>
      <c r="L36" s="4" cm="1">
        <f t="array" ref="L36">INDEX('HOTMAP-DATA'!$D$2:$G$1345,MATCH($N$27&amp;$O$27&amp;$I36,'HOTMAP-DATA'!$A$2:$A$1345&amp;'HOTMAP-DATA'!$B$2:$B$1345&amp;'HOTMAP-DATA'!$C$2:$C$1345,0),COLUMN(C$1))</f>
        <v>1</v>
      </c>
      <c r="M36" s="4" cm="1">
        <f t="array" ref="M36">INDEX('HOTMAP-DATA'!$D$2:$G$1345,MATCH($N$27&amp;$O$27&amp;$I36,'HOTMAP-DATA'!$A$2:$A$1345&amp;'HOTMAP-DATA'!$B$2:$B$1345&amp;'HOTMAP-DATA'!$C$2:$C$1345,0),COLUMN(D$1))</f>
        <v>2</v>
      </c>
    </row>
    <row r="37" spans="2:13" x14ac:dyDescent="0.25">
      <c r="B37" s="4">
        <v>2</v>
      </c>
      <c r="C37" s="4">
        <f t="shared" si="13"/>
        <v>3</v>
      </c>
      <c r="D37" s="4" t="b" cm="1">
        <f t="array" ref="D37">INDEX(J$28:J$55,$C37)=$B37</f>
        <v>0</v>
      </c>
      <c r="E37" s="4" t="b" cm="1">
        <f t="array" ref="E37">INDEX(K$28:K$55,$C37)=$B37</f>
        <v>0</v>
      </c>
      <c r="F37" s="4" t="b" cm="1">
        <f t="array" ref="F37">INDEX(L$28:L$55,$C37)=$B37</f>
        <v>1</v>
      </c>
      <c r="G37" s="4" t="b" cm="1">
        <f t="array" ref="G37">INDEX(M$28:M$55,$C37)=$B37</f>
        <v>0</v>
      </c>
      <c r="I37" s="4">
        <v>10</v>
      </c>
      <c r="J37" s="4" cm="1">
        <f t="array" ref="J37">INDEX('HOTMAP-DATA'!$D$2:$G$1345,MATCH($N$27&amp;$O$27&amp;$I37,'HOTMAP-DATA'!$A$2:$A$1345&amp;'HOTMAP-DATA'!$B$2:$B$1345&amp;'HOTMAP-DATA'!$C$2:$C$1345,0),COLUMN(A$1))</f>
        <v>1</v>
      </c>
      <c r="K37" s="4" cm="1">
        <f t="array" ref="K37">INDEX('HOTMAP-DATA'!$D$2:$G$1345,MATCH($N$27&amp;$O$27&amp;$I37,'HOTMAP-DATA'!$A$2:$A$1345&amp;'HOTMAP-DATA'!$B$2:$B$1345&amp;'HOTMAP-DATA'!$C$2:$C$1345,0),COLUMN(B$1))</f>
        <v>1</v>
      </c>
      <c r="L37" s="4" cm="1">
        <f t="array" ref="L37">INDEX('HOTMAP-DATA'!$D$2:$G$1345,MATCH($N$27&amp;$O$27&amp;$I37,'HOTMAP-DATA'!$A$2:$A$1345&amp;'HOTMAP-DATA'!$B$2:$B$1345&amp;'HOTMAP-DATA'!$C$2:$C$1345,0),COLUMN(C$1))</f>
        <v>1</v>
      </c>
      <c r="M37" s="4" cm="1">
        <f t="array" ref="M37">INDEX('HOTMAP-DATA'!$D$2:$G$1345,MATCH($N$27&amp;$O$27&amp;$I37,'HOTMAP-DATA'!$A$2:$A$1345&amp;'HOTMAP-DATA'!$B$2:$B$1345&amp;'HOTMAP-DATA'!$C$2:$C$1345,0),COLUMN(D$1))</f>
        <v>1</v>
      </c>
    </row>
    <row r="38" spans="2:13" x14ac:dyDescent="0.25">
      <c r="B38" s="4">
        <v>3</v>
      </c>
      <c r="C38" s="4">
        <f t="shared" si="13"/>
        <v>3</v>
      </c>
      <c r="D38" s="4" t="b" cm="1">
        <f t="array" ref="D38">INDEX(J$28:J$55,$C38)=$B38</f>
        <v>0</v>
      </c>
      <c r="E38" s="4" t="b" cm="1">
        <f t="array" ref="E38">INDEX(K$28:K$55,$C38)=$B38</f>
        <v>1</v>
      </c>
      <c r="F38" s="4" t="b" cm="1">
        <f t="array" ref="F38">INDEX(L$28:L$55,$C38)=$B38</f>
        <v>0</v>
      </c>
      <c r="G38" s="4" t="b" cm="1">
        <f t="array" ref="G38">INDEX(M$28:M$55,$C38)=$B38</f>
        <v>0</v>
      </c>
      <c r="I38" s="4">
        <v>11</v>
      </c>
      <c r="J38" s="4" cm="1">
        <f t="array" ref="J38">INDEX('HOTMAP-DATA'!$D$2:$G$1345,MATCH($N$27&amp;$O$27&amp;$I38,'HOTMAP-DATA'!$A$2:$A$1345&amp;'HOTMAP-DATA'!$B$2:$B$1345&amp;'HOTMAP-DATA'!$C$2:$C$1345,0),COLUMN(A$1))</f>
        <v>2</v>
      </c>
      <c r="K38" s="4" cm="1">
        <f t="array" ref="K38">INDEX('HOTMAP-DATA'!$D$2:$G$1345,MATCH($N$27&amp;$O$27&amp;$I38,'HOTMAP-DATA'!$A$2:$A$1345&amp;'HOTMAP-DATA'!$B$2:$B$1345&amp;'HOTMAP-DATA'!$C$2:$C$1345,0),COLUMN(B$1))</f>
        <v>1</v>
      </c>
      <c r="L38" s="4" cm="1">
        <f t="array" ref="L38">INDEX('HOTMAP-DATA'!$D$2:$G$1345,MATCH($N$27&amp;$O$27&amp;$I38,'HOTMAP-DATA'!$A$2:$A$1345&amp;'HOTMAP-DATA'!$B$2:$B$1345&amp;'HOTMAP-DATA'!$C$2:$C$1345,0),COLUMN(C$1))</f>
        <v>3</v>
      </c>
      <c r="M38" s="4" cm="1">
        <f t="array" ref="M38">INDEX('HOTMAP-DATA'!$D$2:$G$1345,MATCH($N$27&amp;$O$27&amp;$I38,'HOTMAP-DATA'!$A$2:$A$1345&amp;'HOTMAP-DATA'!$B$2:$B$1345&amp;'HOTMAP-DATA'!$C$2:$C$1345,0),COLUMN(D$1))</f>
        <v>3</v>
      </c>
    </row>
    <row r="39" spans="2:13" x14ac:dyDescent="0.25">
      <c r="B39" s="4">
        <v>4</v>
      </c>
      <c r="C39" s="4">
        <f t="shared" si="13"/>
        <v>3</v>
      </c>
      <c r="D39" s="4" t="b" cm="1">
        <f t="array" ref="D39">INDEX(J$28:J$55,$C39)=$B39</f>
        <v>0</v>
      </c>
      <c r="E39" s="4" t="b" cm="1">
        <f t="array" ref="E39">INDEX(K$28:K$55,$C39)=$B39</f>
        <v>0</v>
      </c>
      <c r="F39" s="4" t="b" cm="1">
        <f t="array" ref="F39">INDEX(L$28:L$55,$C39)=$B39</f>
        <v>0</v>
      </c>
      <c r="G39" s="4" t="b" cm="1">
        <f t="array" ref="G39">INDEX(M$28:M$55,$C39)=$B39</f>
        <v>0</v>
      </c>
      <c r="I39" s="4">
        <v>12</v>
      </c>
      <c r="J39" s="4" cm="1">
        <f t="array" ref="J39">INDEX('HOTMAP-DATA'!$D$2:$G$1345,MATCH($N$27&amp;$O$27&amp;$I39,'HOTMAP-DATA'!$A$2:$A$1345&amp;'HOTMAP-DATA'!$B$2:$B$1345&amp;'HOTMAP-DATA'!$C$2:$C$1345,0),COLUMN(A$1))</f>
        <v>3</v>
      </c>
      <c r="K39" s="4" cm="1">
        <f t="array" ref="K39">INDEX('HOTMAP-DATA'!$D$2:$G$1345,MATCH($N$27&amp;$O$27&amp;$I39,'HOTMAP-DATA'!$A$2:$A$1345&amp;'HOTMAP-DATA'!$B$2:$B$1345&amp;'HOTMAP-DATA'!$C$2:$C$1345,0),COLUMN(B$1))</f>
        <v>1</v>
      </c>
      <c r="L39" s="4" cm="1">
        <f t="array" ref="L39">INDEX('HOTMAP-DATA'!$D$2:$G$1345,MATCH($N$27&amp;$O$27&amp;$I39,'HOTMAP-DATA'!$A$2:$A$1345&amp;'HOTMAP-DATA'!$B$2:$B$1345&amp;'HOTMAP-DATA'!$C$2:$C$1345,0),COLUMN(C$1))</f>
        <v>4</v>
      </c>
      <c r="M39" s="4" cm="1">
        <f t="array" ref="M39">INDEX('HOTMAP-DATA'!$D$2:$G$1345,MATCH($N$27&amp;$O$27&amp;$I39,'HOTMAP-DATA'!$A$2:$A$1345&amp;'HOTMAP-DATA'!$B$2:$B$1345&amp;'HOTMAP-DATA'!$C$2:$C$1345,0),COLUMN(D$1))</f>
        <v>4</v>
      </c>
    </row>
    <row r="40" spans="2:13" x14ac:dyDescent="0.25">
      <c r="B40" s="4">
        <v>1</v>
      </c>
      <c r="C40" s="4">
        <f t="shared" si="13"/>
        <v>4</v>
      </c>
      <c r="D40" s="4" t="b" cm="1">
        <f t="array" ref="D40">INDEX(J$28:J$55,$C40)=$B40</f>
        <v>0</v>
      </c>
      <c r="E40" s="4" t="b" cm="1">
        <f t="array" ref="E40">INDEX(K$28:K$55,$C40)=$B40</f>
        <v>1</v>
      </c>
      <c r="F40" s="4" t="b" cm="1">
        <f t="array" ref="F40">INDEX(L$28:L$55,$C40)=$B40</f>
        <v>1</v>
      </c>
      <c r="G40" s="4" t="b" cm="1">
        <f t="array" ref="G40">INDEX(M$28:M$55,$C40)=$B40</f>
        <v>0</v>
      </c>
      <c r="I40" s="4">
        <v>13</v>
      </c>
      <c r="J40" s="4" cm="1">
        <f t="array" ref="J40">INDEX('HOTMAP-DATA'!$D$2:$G$1345,MATCH($N$27&amp;$O$27&amp;$I40,'HOTMAP-DATA'!$A$2:$A$1345&amp;'HOTMAP-DATA'!$B$2:$B$1345&amp;'HOTMAP-DATA'!$C$2:$C$1345,0),COLUMN(A$1))</f>
        <v>1</v>
      </c>
      <c r="K40" s="4" cm="1">
        <f t="array" ref="K40">INDEX('HOTMAP-DATA'!$D$2:$G$1345,MATCH($N$27&amp;$O$27&amp;$I40,'HOTMAP-DATA'!$A$2:$A$1345&amp;'HOTMAP-DATA'!$B$2:$B$1345&amp;'HOTMAP-DATA'!$C$2:$C$1345,0),COLUMN(B$1))</f>
        <v>3</v>
      </c>
      <c r="L40" s="4" cm="1">
        <f t="array" ref="L40">INDEX('HOTMAP-DATA'!$D$2:$G$1345,MATCH($N$27&amp;$O$27&amp;$I40,'HOTMAP-DATA'!$A$2:$A$1345&amp;'HOTMAP-DATA'!$B$2:$B$1345&amp;'HOTMAP-DATA'!$C$2:$C$1345,0),COLUMN(C$1))</f>
        <v>3</v>
      </c>
      <c r="M40" s="4" cm="1">
        <f t="array" ref="M40">INDEX('HOTMAP-DATA'!$D$2:$G$1345,MATCH($N$27&amp;$O$27&amp;$I40,'HOTMAP-DATA'!$A$2:$A$1345&amp;'HOTMAP-DATA'!$B$2:$B$1345&amp;'HOTMAP-DATA'!$C$2:$C$1345,0),COLUMN(D$1))</f>
        <v>2</v>
      </c>
    </row>
    <row r="41" spans="2:13" x14ac:dyDescent="0.25">
      <c r="B41" s="4">
        <v>2</v>
      </c>
      <c r="C41" s="4">
        <f t="shared" si="13"/>
        <v>4</v>
      </c>
      <c r="D41" s="4" t="b" cm="1">
        <f t="array" ref="D41">INDEX(J$28:J$55,$C41)=$B41</f>
        <v>1</v>
      </c>
      <c r="E41" s="4" t="b" cm="1">
        <f t="array" ref="E41">INDEX(K$28:K$55,$C41)=$B41</f>
        <v>0</v>
      </c>
      <c r="F41" s="4" t="b" cm="1">
        <f t="array" ref="F41">INDEX(L$28:L$55,$C41)=$B41</f>
        <v>0</v>
      </c>
      <c r="G41" s="4" t="b" cm="1">
        <f t="array" ref="G41">INDEX(M$28:M$55,$C41)=$B41</f>
        <v>0</v>
      </c>
      <c r="I41" s="4">
        <v>14</v>
      </c>
      <c r="J41" s="4" cm="1">
        <f t="array" ref="J41">INDEX('HOTMAP-DATA'!$D$2:$G$1345,MATCH($N$27&amp;$O$27&amp;$I41,'HOTMAP-DATA'!$A$2:$A$1345&amp;'HOTMAP-DATA'!$B$2:$B$1345&amp;'HOTMAP-DATA'!$C$2:$C$1345,0),COLUMN(A$1))</f>
        <v>2</v>
      </c>
      <c r="K41" s="4" cm="1">
        <f t="array" ref="K41">INDEX('HOTMAP-DATA'!$D$2:$G$1345,MATCH($N$27&amp;$O$27&amp;$I41,'HOTMAP-DATA'!$A$2:$A$1345&amp;'HOTMAP-DATA'!$B$2:$B$1345&amp;'HOTMAP-DATA'!$C$2:$C$1345,0),COLUMN(B$1))</f>
        <v>1</v>
      </c>
      <c r="L41" s="4" cm="1">
        <f t="array" ref="L41">INDEX('HOTMAP-DATA'!$D$2:$G$1345,MATCH($N$27&amp;$O$27&amp;$I41,'HOTMAP-DATA'!$A$2:$A$1345&amp;'HOTMAP-DATA'!$B$2:$B$1345&amp;'HOTMAP-DATA'!$C$2:$C$1345,0),COLUMN(C$1))</f>
        <v>1</v>
      </c>
      <c r="M41" s="4" cm="1">
        <f t="array" ref="M41">INDEX('HOTMAP-DATA'!$D$2:$G$1345,MATCH($N$27&amp;$O$27&amp;$I41,'HOTMAP-DATA'!$A$2:$A$1345&amp;'HOTMAP-DATA'!$B$2:$B$1345&amp;'HOTMAP-DATA'!$C$2:$C$1345,0),COLUMN(D$1))</f>
        <v>1</v>
      </c>
    </row>
    <row r="42" spans="2:13" x14ac:dyDescent="0.25">
      <c r="B42" s="4">
        <v>3</v>
      </c>
      <c r="C42" s="4">
        <f t="shared" si="13"/>
        <v>4</v>
      </c>
      <c r="D42" s="4" t="b" cm="1">
        <f t="array" ref="D42">INDEX(J$28:J$55,$C42)=$B42</f>
        <v>0</v>
      </c>
      <c r="E42" s="4" t="b" cm="1">
        <f t="array" ref="E42">INDEX(K$28:K$55,$C42)=$B42</f>
        <v>0</v>
      </c>
      <c r="F42" s="4" t="b" cm="1">
        <f t="array" ref="F42">INDEX(L$28:L$55,$C42)=$B42</f>
        <v>0</v>
      </c>
      <c r="G42" s="4" t="b" cm="1">
        <f t="array" ref="G42">INDEX(M$28:M$55,$C42)=$B42</f>
        <v>1</v>
      </c>
      <c r="I42" s="4">
        <v>15</v>
      </c>
      <c r="J42" s="4" cm="1">
        <f t="array" ref="J42">INDEX('HOTMAP-DATA'!$D$2:$G$1345,MATCH($N$27&amp;$O$27&amp;$I42,'HOTMAP-DATA'!$A$2:$A$1345&amp;'HOTMAP-DATA'!$B$2:$B$1345&amp;'HOTMAP-DATA'!$C$2:$C$1345,0),COLUMN(A$1))</f>
        <v>2</v>
      </c>
      <c r="K42" s="4" cm="1">
        <f t="array" ref="K42">INDEX('HOTMAP-DATA'!$D$2:$G$1345,MATCH($N$27&amp;$O$27&amp;$I42,'HOTMAP-DATA'!$A$2:$A$1345&amp;'HOTMAP-DATA'!$B$2:$B$1345&amp;'HOTMAP-DATA'!$C$2:$C$1345,0),COLUMN(B$1))</f>
        <v>1</v>
      </c>
      <c r="L42" s="4" cm="1">
        <f t="array" ref="L42">INDEX('HOTMAP-DATA'!$D$2:$G$1345,MATCH($N$27&amp;$O$27&amp;$I42,'HOTMAP-DATA'!$A$2:$A$1345&amp;'HOTMAP-DATA'!$B$2:$B$1345&amp;'HOTMAP-DATA'!$C$2:$C$1345,0),COLUMN(C$1))</f>
        <v>3</v>
      </c>
      <c r="M42" s="4" cm="1">
        <f t="array" ref="M42">INDEX('HOTMAP-DATA'!$D$2:$G$1345,MATCH($N$27&amp;$O$27&amp;$I42,'HOTMAP-DATA'!$A$2:$A$1345&amp;'HOTMAP-DATA'!$B$2:$B$1345&amp;'HOTMAP-DATA'!$C$2:$C$1345,0),COLUMN(D$1))</f>
        <v>3</v>
      </c>
    </row>
    <row r="43" spans="2:13" x14ac:dyDescent="0.25">
      <c r="B43" s="4">
        <v>4</v>
      </c>
      <c r="C43" s="4">
        <f t="shared" si="13"/>
        <v>4</v>
      </c>
      <c r="D43" s="4" t="b" cm="1">
        <f t="array" ref="D43">INDEX(J$28:J$55,$C43)=$B43</f>
        <v>0</v>
      </c>
      <c r="E43" s="4" t="b" cm="1">
        <f t="array" ref="E43">INDEX(K$28:K$55,$C43)=$B43</f>
        <v>0</v>
      </c>
      <c r="F43" s="4" t="b" cm="1">
        <f t="array" ref="F43">INDEX(L$28:L$55,$C43)=$B43</f>
        <v>0</v>
      </c>
      <c r="G43" s="4" t="b" cm="1">
        <f t="array" ref="G43">INDEX(M$28:M$55,$C43)=$B43</f>
        <v>0</v>
      </c>
      <c r="I43" s="4">
        <v>16</v>
      </c>
      <c r="J43" s="4" cm="1">
        <f t="array" ref="J43">INDEX('HOTMAP-DATA'!$D$2:$G$1345,MATCH($N$27&amp;$O$27&amp;$I43,'HOTMAP-DATA'!$A$2:$A$1345&amp;'HOTMAP-DATA'!$B$2:$B$1345&amp;'HOTMAP-DATA'!$C$2:$C$1345,0),COLUMN(A$1))</f>
        <v>2</v>
      </c>
      <c r="K43" s="4" cm="1">
        <f t="array" ref="K43">INDEX('HOTMAP-DATA'!$D$2:$G$1345,MATCH($N$27&amp;$O$27&amp;$I43,'HOTMAP-DATA'!$A$2:$A$1345&amp;'HOTMAP-DATA'!$B$2:$B$1345&amp;'HOTMAP-DATA'!$C$2:$C$1345,0),COLUMN(B$1))</f>
        <v>2</v>
      </c>
      <c r="L43" s="4" cm="1">
        <f t="array" ref="L43">INDEX('HOTMAP-DATA'!$D$2:$G$1345,MATCH($N$27&amp;$O$27&amp;$I43,'HOTMAP-DATA'!$A$2:$A$1345&amp;'HOTMAP-DATA'!$B$2:$B$1345&amp;'HOTMAP-DATA'!$C$2:$C$1345,0),COLUMN(C$1))</f>
        <v>1</v>
      </c>
      <c r="M43" s="4" cm="1">
        <f t="array" ref="M43">INDEX('HOTMAP-DATA'!$D$2:$G$1345,MATCH($N$27&amp;$O$27&amp;$I43,'HOTMAP-DATA'!$A$2:$A$1345&amp;'HOTMAP-DATA'!$B$2:$B$1345&amp;'HOTMAP-DATA'!$C$2:$C$1345,0),COLUMN(D$1))</f>
        <v>3</v>
      </c>
    </row>
    <row r="44" spans="2:13" x14ac:dyDescent="0.25">
      <c r="B44" s="4">
        <v>1</v>
      </c>
      <c r="C44" s="4">
        <f t="shared" si="13"/>
        <v>5</v>
      </c>
      <c r="D44" s="4" t="b" cm="1">
        <f t="array" ref="D44">INDEX(J$28:J$55,$C44)=$B44</f>
        <v>0</v>
      </c>
      <c r="E44" s="4" t="b" cm="1">
        <f t="array" ref="E44">INDEX(K$28:K$55,$C44)=$B44</f>
        <v>0</v>
      </c>
      <c r="F44" s="4" t="b" cm="1">
        <f t="array" ref="F44">INDEX(L$28:L$55,$C44)=$B44</f>
        <v>1</v>
      </c>
      <c r="G44" s="4" t="b" cm="1">
        <f t="array" ref="G44">INDEX(M$28:M$55,$C44)=$B44</f>
        <v>0</v>
      </c>
      <c r="I44" s="4">
        <v>17</v>
      </c>
      <c r="J44" s="4" cm="1">
        <f t="array" ref="J44">INDEX('HOTMAP-DATA'!$D$2:$G$1345,MATCH($N$27&amp;$O$27&amp;$I44,'HOTMAP-DATA'!$A$2:$A$1345&amp;'HOTMAP-DATA'!$B$2:$B$1345&amp;'HOTMAP-DATA'!$C$2:$C$1345,0),COLUMN(A$1))</f>
        <v>1</v>
      </c>
      <c r="K44" s="4" cm="1">
        <f t="array" ref="K44">INDEX('HOTMAP-DATA'!$D$2:$G$1345,MATCH($N$27&amp;$O$27&amp;$I44,'HOTMAP-DATA'!$A$2:$A$1345&amp;'HOTMAP-DATA'!$B$2:$B$1345&amp;'HOTMAP-DATA'!$C$2:$C$1345,0),COLUMN(B$1))</f>
        <v>2</v>
      </c>
      <c r="L44" s="4" cm="1">
        <f t="array" ref="L44">INDEX('HOTMAP-DATA'!$D$2:$G$1345,MATCH($N$27&amp;$O$27&amp;$I44,'HOTMAP-DATA'!$A$2:$A$1345&amp;'HOTMAP-DATA'!$B$2:$B$1345&amp;'HOTMAP-DATA'!$C$2:$C$1345,0),COLUMN(C$1))</f>
        <v>1</v>
      </c>
      <c r="M44" s="4" cm="1">
        <f t="array" ref="M44">INDEX('HOTMAP-DATA'!$D$2:$G$1345,MATCH($N$27&amp;$O$27&amp;$I44,'HOTMAP-DATA'!$A$2:$A$1345&amp;'HOTMAP-DATA'!$B$2:$B$1345&amp;'HOTMAP-DATA'!$C$2:$C$1345,0),COLUMN(D$1))</f>
        <v>2</v>
      </c>
    </row>
    <row r="45" spans="2:13" x14ac:dyDescent="0.25">
      <c r="B45" s="4">
        <v>2</v>
      </c>
      <c r="C45" s="4">
        <f t="shared" si="13"/>
        <v>5</v>
      </c>
      <c r="D45" s="4" t="b" cm="1">
        <f t="array" ref="D45">INDEX(J$28:J$55,$C45)=$B45</f>
        <v>1</v>
      </c>
      <c r="E45" s="4" t="b" cm="1">
        <f t="array" ref="E45">INDEX(K$28:K$55,$C45)=$B45</f>
        <v>1</v>
      </c>
      <c r="F45" s="4" t="b" cm="1">
        <f t="array" ref="F45">INDEX(L$28:L$55,$C45)=$B45</f>
        <v>0</v>
      </c>
      <c r="G45" s="4" t="b" cm="1">
        <f t="array" ref="G45">INDEX(M$28:M$55,$C45)=$B45</f>
        <v>0</v>
      </c>
      <c r="I45" s="4">
        <v>18</v>
      </c>
      <c r="J45" s="4" cm="1">
        <f t="array" ref="J45">INDEX('HOTMAP-DATA'!$D$2:$G$1345,MATCH($N$27&amp;$O$27&amp;$I45,'HOTMAP-DATA'!$A$2:$A$1345&amp;'HOTMAP-DATA'!$B$2:$B$1345&amp;'HOTMAP-DATA'!$C$2:$C$1345,0),COLUMN(A$1))</f>
        <v>1</v>
      </c>
      <c r="K45" s="4" cm="1">
        <f t="array" ref="K45">INDEX('HOTMAP-DATA'!$D$2:$G$1345,MATCH($N$27&amp;$O$27&amp;$I45,'HOTMAP-DATA'!$A$2:$A$1345&amp;'HOTMAP-DATA'!$B$2:$B$1345&amp;'HOTMAP-DATA'!$C$2:$C$1345,0),COLUMN(B$1))</f>
        <v>1</v>
      </c>
      <c r="L45" s="4" cm="1">
        <f t="array" ref="L45">INDEX('HOTMAP-DATA'!$D$2:$G$1345,MATCH($N$27&amp;$O$27&amp;$I45,'HOTMAP-DATA'!$A$2:$A$1345&amp;'HOTMAP-DATA'!$B$2:$B$1345&amp;'HOTMAP-DATA'!$C$2:$C$1345,0),COLUMN(C$1))</f>
        <v>2</v>
      </c>
      <c r="M45" s="4" cm="1">
        <f t="array" ref="M45">INDEX('HOTMAP-DATA'!$D$2:$G$1345,MATCH($N$27&amp;$O$27&amp;$I45,'HOTMAP-DATA'!$A$2:$A$1345&amp;'HOTMAP-DATA'!$B$2:$B$1345&amp;'HOTMAP-DATA'!$C$2:$C$1345,0),COLUMN(D$1))</f>
        <v>2</v>
      </c>
    </row>
    <row r="46" spans="2:13" x14ac:dyDescent="0.25">
      <c r="B46" s="4">
        <v>3</v>
      </c>
      <c r="C46" s="4">
        <f t="shared" si="13"/>
        <v>5</v>
      </c>
      <c r="D46" s="4" t="b" cm="1">
        <f t="array" ref="D46">INDEX(J$28:J$55,$C46)=$B46</f>
        <v>0</v>
      </c>
      <c r="E46" s="4" t="b" cm="1">
        <f t="array" ref="E46">INDEX(K$28:K$55,$C46)=$B46</f>
        <v>0</v>
      </c>
      <c r="F46" s="4" t="b" cm="1">
        <f t="array" ref="F46">INDEX(L$28:L$55,$C46)=$B46</f>
        <v>0</v>
      </c>
      <c r="G46" s="4" t="b" cm="1">
        <f t="array" ref="G46">INDEX(M$28:M$55,$C46)=$B46</f>
        <v>1</v>
      </c>
      <c r="I46" s="4">
        <v>19</v>
      </c>
      <c r="J46" s="4" cm="1">
        <f t="array" ref="J46">INDEX('HOTMAP-DATA'!$D$2:$G$1345,MATCH($N$27&amp;$O$27&amp;$I46,'HOTMAP-DATA'!$A$2:$A$1345&amp;'HOTMAP-DATA'!$B$2:$B$1345&amp;'HOTMAP-DATA'!$C$2:$C$1345,0),COLUMN(A$1))</f>
        <v>2</v>
      </c>
      <c r="K46" s="4" cm="1">
        <f t="array" ref="K46">INDEX('HOTMAP-DATA'!$D$2:$G$1345,MATCH($N$27&amp;$O$27&amp;$I46,'HOTMAP-DATA'!$A$2:$A$1345&amp;'HOTMAP-DATA'!$B$2:$B$1345&amp;'HOTMAP-DATA'!$C$2:$C$1345,0),COLUMN(B$1))</f>
        <v>3</v>
      </c>
      <c r="L46" s="4" cm="1">
        <f t="array" ref="L46">INDEX('HOTMAP-DATA'!$D$2:$G$1345,MATCH($N$27&amp;$O$27&amp;$I46,'HOTMAP-DATA'!$A$2:$A$1345&amp;'HOTMAP-DATA'!$B$2:$B$1345&amp;'HOTMAP-DATA'!$C$2:$C$1345,0),COLUMN(C$1))</f>
        <v>3</v>
      </c>
      <c r="M46" s="4" cm="1">
        <f t="array" ref="M46">INDEX('HOTMAP-DATA'!$D$2:$G$1345,MATCH($N$27&amp;$O$27&amp;$I46,'HOTMAP-DATA'!$A$2:$A$1345&amp;'HOTMAP-DATA'!$B$2:$B$1345&amp;'HOTMAP-DATA'!$C$2:$C$1345,0),COLUMN(D$1))</f>
        <v>2</v>
      </c>
    </row>
    <row r="47" spans="2:13" x14ac:dyDescent="0.25">
      <c r="B47" s="4">
        <v>4</v>
      </c>
      <c r="C47" s="4">
        <f t="shared" si="13"/>
        <v>5</v>
      </c>
      <c r="D47" s="4" t="b" cm="1">
        <f t="array" ref="D47">INDEX(J$28:J$55,$C47)=$B47</f>
        <v>0</v>
      </c>
      <c r="E47" s="4" t="b" cm="1">
        <f t="array" ref="E47">INDEX(K$28:K$55,$C47)=$B47</f>
        <v>0</v>
      </c>
      <c r="F47" s="4" t="b" cm="1">
        <f t="array" ref="F47">INDEX(L$28:L$55,$C47)=$B47</f>
        <v>0</v>
      </c>
      <c r="G47" s="4" t="b" cm="1">
        <f t="array" ref="G47">INDEX(M$28:M$55,$C47)=$B47</f>
        <v>0</v>
      </c>
      <c r="I47" s="4">
        <v>20</v>
      </c>
      <c r="J47" s="4" cm="1">
        <f t="array" ref="J47">INDEX('HOTMAP-DATA'!$D$2:$G$1345,MATCH($N$27&amp;$O$27&amp;$I47,'HOTMAP-DATA'!$A$2:$A$1345&amp;'HOTMAP-DATA'!$B$2:$B$1345&amp;'HOTMAP-DATA'!$C$2:$C$1345,0),COLUMN(A$1))</f>
        <v>4</v>
      </c>
      <c r="K47" s="4" cm="1">
        <f t="array" ref="K47">INDEX('HOTMAP-DATA'!$D$2:$G$1345,MATCH($N$27&amp;$O$27&amp;$I47,'HOTMAP-DATA'!$A$2:$A$1345&amp;'HOTMAP-DATA'!$B$2:$B$1345&amp;'HOTMAP-DATA'!$C$2:$C$1345,0),COLUMN(B$1))</f>
        <v>4</v>
      </c>
      <c r="L47" s="4" cm="1">
        <f t="array" ref="L47">INDEX('HOTMAP-DATA'!$D$2:$G$1345,MATCH($N$27&amp;$O$27&amp;$I47,'HOTMAP-DATA'!$A$2:$A$1345&amp;'HOTMAP-DATA'!$B$2:$B$1345&amp;'HOTMAP-DATA'!$C$2:$C$1345,0),COLUMN(C$1))</f>
        <v>1</v>
      </c>
      <c r="M47" s="4" cm="1">
        <f t="array" ref="M47">INDEX('HOTMAP-DATA'!$D$2:$G$1345,MATCH($N$27&amp;$O$27&amp;$I47,'HOTMAP-DATA'!$A$2:$A$1345&amp;'HOTMAP-DATA'!$B$2:$B$1345&amp;'HOTMAP-DATA'!$C$2:$C$1345,0),COLUMN(D$1))</f>
        <v>2</v>
      </c>
    </row>
    <row r="48" spans="2:13" x14ac:dyDescent="0.25">
      <c r="B48" s="4">
        <v>1</v>
      </c>
      <c r="C48" s="4">
        <f t="shared" si="13"/>
        <v>6</v>
      </c>
      <c r="D48" s="4" t="b" cm="1">
        <f t="array" ref="D48">INDEX(J$28:J$55,$C48)=$B48</f>
        <v>0</v>
      </c>
      <c r="E48" s="4" t="b" cm="1">
        <f t="array" ref="E48">INDEX(K$28:K$55,$C48)=$B48</f>
        <v>0</v>
      </c>
      <c r="F48" s="4" t="b" cm="1">
        <f t="array" ref="F48">INDEX(L$28:L$55,$C48)=$B48</f>
        <v>0</v>
      </c>
      <c r="G48" s="4" t="b" cm="1">
        <f t="array" ref="G48">INDEX(M$28:M$55,$C48)=$B48</f>
        <v>0</v>
      </c>
      <c r="I48" s="4">
        <v>21</v>
      </c>
      <c r="J48" s="4" cm="1">
        <f t="array" ref="J48">INDEX('HOTMAP-DATA'!$D$2:$G$1345,MATCH($N$27&amp;$O$27&amp;$I48,'HOTMAP-DATA'!$A$2:$A$1345&amp;'HOTMAP-DATA'!$B$2:$B$1345&amp;'HOTMAP-DATA'!$C$2:$C$1345,0),COLUMN(A$1))</f>
        <v>1</v>
      </c>
      <c r="K48" s="4" cm="1">
        <f t="array" ref="K48">INDEX('HOTMAP-DATA'!$D$2:$G$1345,MATCH($N$27&amp;$O$27&amp;$I48,'HOTMAP-DATA'!$A$2:$A$1345&amp;'HOTMAP-DATA'!$B$2:$B$1345&amp;'HOTMAP-DATA'!$C$2:$C$1345,0),COLUMN(B$1))</f>
        <v>3</v>
      </c>
      <c r="L48" s="4" cm="1">
        <f t="array" ref="L48">INDEX('HOTMAP-DATA'!$D$2:$G$1345,MATCH($N$27&amp;$O$27&amp;$I48,'HOTMAP-DATA'!$A$2:$A$1345&amp;'HOTMAP-DATA'!$B$2:$B$1345&amp;'HOTMAP-DATA'!$C$2:$C$1345,0),COLUMN(C$1))</f>
        <v>1</v>
      </c>
      <c r="M48" s="4" cm="1">
        <f t="array" ref="M48">INDEX('HOTMAP-DATA'!$D$2:$G$1345,MATCH($N$27&amp;$O$27&amp;$I48,'HOTMAP-DATA'!$A$2:$A$1345&amp;'HOTMAP-DATA'!$B$2:$B$1345&amp;'HOTMAP-DATA'!$C$2:$C$1345,0),COLUMN(D$1))</f>
        <v>1</v>
      </c>
    </row>
    <row r="49" spans="2:13" x14ac:dyDescent="0.25">
      <c r="B49" s="4">
        <v>2</v>
      </c>
      <c r="C49" s="4">
        <f t="shared" si="13"/>
        <v>6</v>
      </c>
      <c r="D49" s="4" t="b" cm="1">
        <f t="array" ref="D49">INDEX(J$28:J$55,$C49)=$B49</f>
        <v>1</v>
      </c>
      <c r="E49" s="4" t="b" cm="1">
        <f t="array" ref="E49">INDEX(K$28:K$55,$C49)=$B49</f>
        <v>1</v>
      </c>
      <c r="F49" s="4" t="b" cm="1">
        <f t="array" ref="F49">INDEX(L$28:L$55,$C49)=$B49</f>
        <v>1</v>
      </c>
      <c r="G49" s="4" t="b" cm="1">
        <f t="array" ref="G49">INDEX(M$28:M$55,$C49)=$B49</f>
        <v>1</v>
      </c>
      <c r="I49" s="4">
        <v>22</v>
      </c>
      <c r="J49" s="4" cm="1">
        <f t="array" ref="J49">INDEX('HOTMAP-DATA'!$D$2:$G$1345,MATCH($N$27&amp;$O$27&amp;$I49,'HOTMAP-DATA'!$A$2:$A$1345&amp;'HOTMAP-DATA'!$B$2:$B$1345&amp;'HOTMAP-DATA'!$C$2:$C$1345,0),COLUMN(A$1))</f>
        <v>1</v>
      </c>
      <c r="K49" s="4" cm="1">
        <f t="array" ref="K49">INDEX('HOTMAP-DATA'!$D$2:$G$1345,MATCH($N$27&amp;$O$27&amp;$I49,'HOTMAP-DATA'!$A$2:$A$1345&amp;'HOTMAP-DATA'!$B$2:$B$1345&amp;'HOTMAP-DATA'!$C$2:$C$1345,0),COLUMN(B$1))</f>
        <v>3</v>
      </c>
      <c r="L49" s="4" cm="1">
        <f t="array" ref="L49">INDEX('HOTMAP-DATA'!$D$2:$G$1345,MATCH($N$27&amp;$O$27&amp;$I49,'HOTMAP-DATA'!$A$2:$A$1345&amp;'HOTMAP-DATA'!$B$2:$B$1345&amp;'HOTMAP-DATA'!$C$2:$C$1345,0),COLUMN(C$1))</f>
        <v>1</v>
      </c>
      <c r="M49" s="4" cm="1">
        <f t="array" ref="M49">INDEX('HOTMAP-DATA'!$D$2:$G$1345,MATCH($N$27&amp;$O$27&amp;$I49,'HOTMAP-DATA'!$A$2:$A$1345&amp;'HOTMAP-DATA'!$B$2:$B$1345&amp;'HOTMAP-DATA'!$C$2:$C$1345,0),COLUMN(D$1))</f>
        <v>1</v>
      </c>
    </row>
    <row r="50" spans="2:13" x14ac:dyDescent="0.25">
      <c r="B50" s="4">
        <v>3</v>
      </c>
      <c r="C50" s="4">
        <f t="shared" si="13"/>
        <v>6</v>
      </c>
      <c r="D50" s="4" t="b" cm="1">
        <f t="array" ref="D50">INDEX(J$28:J$55,$C50)=$B50</f>
        <v>0</v>
      </c>
      <c r="E50" s="4" t="b" cm="1">
        <f t="array" ref="E50">INDEX(K$28:K$55,$C50)=$B50</f>
        <v>0</v>
      </c>
      <c r="F50" s="4" t="b" cm="1">
        <f t="array" ref="F50">INDEX(L$28:L$55,$C50)=$B50</f>
        <v>0</v>
      </c>
      <c r="G50" s="4" t="b" cm="1">
        <f t="array" ref="G50">INDEX(M$28:M$55,$C50)=$B50</f>
        <v>0</v>
      </c>
      <c r="I50" s="4">
        <v>23</v>
      </c>
      <c r="J50" s="4" cm="1">
        <f t="array" ref="J50">INDEX('HOTMAP-DATA'!$D$2:$G$1345,MATCH($N$27&amp;$O$27&amp;$I50,'HOTMAP-DATA'!$A$2:$A$1345&amp;'HOTMAP-DATA'!$B$2:$B$1345&amp;'HOTMAP-DATA'!$C$2:$C$1345,0),COLUMN(A$1))</f>
        <v>3</v>
      </c>
      <c r="K50" s="4" cm="1">
        <f t="array" ref="K50">INDEX('HOTMAP-DATA'!$D$2:$G$1345,MATCH($N$27&amp;$O$27&amp;$I50,'HOTMAP-DATA'!$A$2:$A$1345&amp;'HOTMAP-DATA'!$B$2:$B$1345&amp;'HOTMAP-DATA'!$C$2:$C$1345,0),COLUMN(B$1))</f>
        <v>1</v>
      </c>
      <c r="L50" s="4" cm="1">
        <f t="array" ref="L50">INDEX('HOTMAP-DATA'!$D$2:$G$1345,MATCH($N$27&amp;$O$27&amp;$I50,'HOTMAP-DATA'!$A$2:$A$1345&amp;'HOTMAP-DATA'!$B$2:$B$1345&amp;'HOTMAP-DATA'!$C$2:$C$1345,0),COLUMN(C$1))</f>
        <v>2</v>
      </c>
      <c r="M50" s="4" cm="1">
        <f t="array" ref="M50">INDEX('HOTMAP-DATA'!$D$2:$G$1345,MATCH($N$27&amp;$O$27&amp;$I50,'HOTMAP-DATA'!$A$2:$A$1345&amp;'HOTMAP-DATA'!$B$2:$B$1345&amp;'HOTMAP-DATA'!$C$2:$C$1345,0),COLUMN(D$1))</f>
        <v>4</v>
      </c>
    </row>
    <row r="51" spans="2:13" x14ac:dyDescent="0.25">
      <c r="B51" s="4">
        <v>4</v>
      </c>
      <c r="C51" s="4">
        <f t="shared" si="13"/>
        <v>6</v>
      </c>
      <c r="D51" s="4" t="b" cm="1">
        <f t="array" ref="D51">INDEX(J$28:J$55,$C51)=$B51</f>
        <v>0</v>
      </c>
      <c r="E51" s="4" t="b" cm="1">
        <f t="array" ref="E51">INDEX(K$28:K$55,$C51)=$B51</f>
        <v>0</v>
      </c>
      <c r="F51" s="4" t="b" cm="1">
        <f t="array" ref="F51">INDEX(L$28:L$55,$C51)=$B51</f>
        <v>0</v>
      </c>
      <c r="G51" s="4" t="b" cm="1">
        <f t="array" ref="G51">INDEX(M$28:M$55,$C51)=$B51</f>
        <v>0</v>
      </c>
      <c r="I51" s="4">
        <v>24</v>
      </c>
      <c r="J51" s="4" cm="1">
        <f t="array" ref="J51">INDEX('HOTMAP-DATA'!$D$2:$G$1345,MATCH($N$27&amp;$O$27&amp;$I51,'HOTMAP-DATA'!$A$2:$A$1345&amp;'HOTMAP-DATA'!$B$2:$B$1345&amp;'HOTMAP-DATA'!$C$2:$C$1345,0),COLUMN(A$1))</f>
        <v>1</v>
      </c>
      <c r="K51" s="4" cm="1">
        <f t="array" ref="K51">INDEX('HOTMAP-DATA'!$D$2:$G$1345,MATCH($N$27&amp;$O$27&amp;$I51,'HOTMAP-DATA'!$A$2:$A$1345&amp;'HOTMAP-DATA'!$B$2:$B$1345&amp;'HOTMAP-DATA'!$C$2:$C$1345,0),COLUMN(B$1))</f>
        <v>3</v>
      </c>
      <c r="L51" s="4" cm="1">
        <f t="array" ref="L51">INDEX('HOTMAP-DATA'!$D$2:$G$1345,MATCH($N$27&amp;$O$27&amp;$I51,'HOTMAP-DATA'!$A$2:$A$1345&amp;'HOTMAP-DATA'!$B$2:$B$1345&amp;'HOTMAP-DATA'!$C$2:$C$1345,0),COLUMN(C$1))</f>
        <v>1</v>
      </c>
      <c r="M51" s="4" cm="1">
        <f t="array" ref="M51">INDEX('HOTMAP-DATA'!$D$2:$G$1345,MATCH($N$27&amp;$O$27&amp;$I51,'HOTMAP-DATA'!$A$2:$A$1345&amp;'HOTMAP-DATA'!$B$2:$B$1345&amp;'HOTMAP-DATA'!$C$2:$C$1345,0),COLUMN(D$1))</f>
        <v>1</v>
      </c>
    </row>
    <row r="52" spans="2:13" x14ac:dyDescent="0.25">
      <c r="B52" s="4">
        <v>1</v>
      </c>
      <c r="C52" s="4">
        <f t="shared" si="13"/>
        <v>7</v>
      </c>
      <c r="D52" s="4" t="b" cm="1">
        <f t="array" ref="D52">INDEX(J$28:J$55,$C52)=$B52</f>
        <v>0</v>
      </c>
      <c r="E52" s="4" t="b" cm="1">
        <f t="array" ref="E52">INDEX(K$28:K$55,$C52)=$B52</f>
        <v>0</v>
      </c>
      <c r="F52" s="4" t="b" cm="1">
        <f t="array" ref="F52">INDEX(L$28:L$55,$C52)=$B52</f>
        <v>1</v>
      </c>
      <c r="G52" s="4" t="b" cm="1">
        <f t="array" ref="G52">INDEX(M$28:M$55,$C52)=$B52</f>
        <v>0</v>
      </c>
      <c r="I52" s="4">
        <v>25</v>
      </c>
      <c r="J52" s="4" cm="1">
        <f t="array" ref="J52">INDEX('HOTMAP-DATA'!$D$2:$G$1345,MATCH($N$27&amp;$O$27&amp;$I52,'HOTMAP-DATA'!$A$2:$A$1345&amp;'HOTMAP-DATA'!$B$2:$B$1345&amp;'HOTMAP-DATA'!$C$2:$C$1345,0),COLUMN(A$1))</f>
        <v>3</v>
      </c>
      <c r="K52" s="4" cm="1">
        <f t="array" ref="K52">INDEX('HOTMAP-DATA'!$D$2:$G$1345,MATCH($N$27&amp;$O$27&amp;$I52,'HOTMAP-DATA'!$A$2:$A$1345&amp;'HOTMAP-DATA'!$B$2:$B$1345&amp;'HOTMAP-DATA'!$C$2:$C$1345,0),COLUMN(B$1))</f>
        <v>2</v>
      </c>
      <c r="L52" s="4" cm="1">
        <f t="array" ref="L52">INDEX('HOTMAP-DATA'!$D$2:$G$1345,MATCH($N$27&amp;$O$27&amp;$I52,'HOTMAP-DATA'!$A$2:$A$1345&amp;'HOTMAP-DATA'!$B$2:$B$1345&amp;'HOTMAP-DATA'!$C$2:$C$1345,0),COLUMN(C$1))</f>
        <v>4</v>
      </c>
      <c r="M52" s="4" cm="1">
        <f t="array" ref="M52">INDEX('HOTMAP-DATA'!$D$2:$G$1345,MATCH($N$27&amp;$O$27&amp;$I52,'HOTMAP-DATA'!$A$2:$A$1345&amp;'HOTMAP-DATA'!$B$2:$B$1345&amp;'HOTMAP-DATA'!$C$2:$C$1345,0),COLUMN(D$1))</f>
        <v>1</v>
      </c>
    </row>
    <row r="53" spans="2:13" x14ac:dyDescent="0.25">
      <c r="B53" s="4">
        <v>2</v>
      </c>
      <c r="C53" s="4">
        <f t="shared" si="13"/>
        <v>7</v>
      </c>
      <c r="D53" s="4" t="b" cm="1">
        <f t="array" ref="D53">INDEX(J$28:J$55,$C53)=$B53</f>
        <v>1</v>
      </c>
      <c r="E53" s="4" t="b" cm="1">
        <f t="array" ref="E53">INDEX(K$28:K$55,$C53)=$B53</f>
        <v>0</v>
      </c>
      <c r="F53" s="4" t="b" cm="1">
        <f t="array" ref="F53">INDEX(L$28:L$55,$C53)=$B53</f>
        <v>0</v>
      </c>
      <c r="G53" s="4" t="b" cm="1">
        <f t="array" ref="G53">INDEX(M$28:M$55,$C53)=$B53</f>
        <v>0</v>
      </c>
      <c r="I53" s="4">
        <v>26</v>
      </c>
      <c r="J53" s="4" cm="1">
        <f t="array" ref="J53">INDEX('HOTMAP-DATA'!$D$2:$G$1345,MATCH($N$27&amp;$O$27&amp;$I53,'HOTMAP-DATA'!$A$2:$A$1345&amp;'HOTMAP-DATA'!$B$2:$B$1345&amp;'HOTMAP-DATA'!$C$2:$C$1345,0),COLUMN(A$1))</f>
        <v>2</v>
      </c>
      <c r="K53" s="4" cm="1">
        <f t="array" ref="K53">INDEX('HOTMAP-DATA'!$D$2:$G$1345,MATCH($N$27&amp;$O$27&amp;$I53,'HOTMAP-DATA'!$A$2:$A$1345&amp;'HOTMAP-DATA'!$B$2:$B$1345&amp;'HOTMAP-DATA'!$C$2:$C$1345,0),COLUMN(B$1))</f>
        <v>1</v>
      </c>
      <c r="L53" s="4" cm="1">
        <f t="array" ref="L53">INDEX('HOTMAP-DATA'!$D$2:$G$1345,MATCH($N$27&amp;$O$27&amp;$I53,'HOTMAP-DATA'!$A$2:$A$1345&amp;'HOTMAP-DATA'!$B$2:$B$1345&amp;'HOTMAP-DATA'!$C$2:$C$1345,0),COLUMN(C$1))</f>
        <v>1</v>
      </c>
      <c r="M53" s="4" cm="1">
        <f t="array" ref="M53">INDEX('HOTMAP-DATA'!$D$2:$G$1345,MATCH($N$27&amp;$O$27&amp;$I53,'HOTMAP-DATA'!$A$2:$A$1345&amp;'HOTMAP-DATA'!$B$2:$B$1345&amp;'HOTMAP-DATA'!$C$2:$C$1345,0),COLUMN(D$1))</f>
        <v>2</v>
      </c>
    </row>
    <row r="54" spans="2:13" x14ac:dyDescent="0.25">
      <c r="B54" s="4">
        <v>3</v>
      </c>
      <c r="C54" s="4">
        <f t="shared" si="13"/>
        <v>7</v>
      </c>
      <c r="D54" s="4" t="b" cm="1">
        <f t="array" ref="D54">INDEX(J$28:J$55,$C54)=$B54</f>
        <v>0</v>
      </c>
      <c r="E54" s="4" t="b" cm="1">
        <f t="array" ref="E54">INDEX(K$28:K$55,$C54)=$B54</f>
        <v>1</v>
      </c>
      <c r="F54" s="4" t="b" cm="1">
        <f t="array" ref="F54">INDEX(L$28:L$55,$C54)=$B54</f>
        <v>0</v>
      </c>
      <c r="G54" s="4" t="b" cm="1">
        <f t="array" ref="G54">INDEX(M$28:M$55,$C54)=$B54</f>
        <v>1</v>
      </c>
      <c r="I54" s="4">
        <v>27</v>
      </c>
      <c r="J54" s="4" cm="1">
        <f t="array" ref="J54">INDEX('HOTMAP-DATA'!$D$2:$G$1345,MATCH($N$27&amp;$O$27&amp;$I54,'HOTMAP-DATA'!$A$2:$A$1345&amp;'HOTMAP-DATA'!$B$2:$B$1345&amp;'HOTMAP-DATA'!$C$2:$C$1345,0),COLUMN(A$1))</f>
        <v>1</v>
      </c>
      <c r="K54" s="4" cm="1">
        <f t="array" ref="K54">INDEX('HOTMAP-DATA'!$D$2:$G$1345,MATCH($N$27&amp;$O$27&amp;$I54,'HOTMAP-DATA'!$A$2:$A$1345&amp;'HOTMAP-DATA'!$B$2:$B$1345&amp;'HOTMAP-DATA'!$C$2:$C$1345,0),COLUMN(B$1))</f>
        <v>1</v>
      </c>
      <c r="L54" s="4" cm="1">
        <f t="array" ref="L54">INDEX('HOTMAP-DATA'!$D$2:$G$1345,MATCH($N$27&amp;$O$27&amp;$I54,'HOTMAP-DATA'!$A$2:$A$1345&amp;'HOTMAP-DATA'!$B$2:$B$1345&amp;'HOTMAP-DATA'!$C$2:$C$1345,0),COLUMN(C$1))</f>
        <v>2</v>
      </c>
      <c r="M54" s="4" cm="1">
        <f t="array" ref="M54">INDEX('HOTMAP-DATA'!$D$2:$G$1345,MATCH($N$27&amp;$O$27&amp;$I54,'HOTMAP-DATA'!$A$2:$A$1345&amp;'HOTMAP-DATA'!$B$2:$B$1345&amp;'HOTMAP-DATA'!$C$2:$C$1345,0),COLUMN(D$1))</f>
        <v>1</v>
      </c>
    </row>
    <row r="55" spans="2:13" x14ac:dyDescent="0.25">
      <c r="B55" s="4">
        <v>4</v>
      </c>
      <c r="C55" s="4">
        <f t="shared" si="13"/>
        <v>7</v>
      </c>
      <c r="D55" s="4" t="b" cm="1">
        <f t="array" ref="D55">INDEX(J$28:J$55,$C55)=$B55</f>
        <v>0</v>
      </c>
      <c r="E55" s="4" t="b" cm="1">
        <f t="array" ref="E55">INDEX(K$28:K$55,$C55)=$B55</f>
        <v>0</v>
      </c>
      <c r="F55" s="4" t="b" cm="1">
        <f t="array" ref="F55">INDEX(L$28:L$55,$C55)=$B55</f>
        <v>0</v>
      </c>
      <c r="G55" s="4" t="b" cm="1">
        <f t="array" ref="G55">INDEX(M$28:M$55,$C55)=$B55</f>
        <v>0</v>
      </c>
      <c r="I55" s="4">
        <v>28</v>
      </c>
      <c r="J55" s="4" cm="1">
        <f t="array" ref="J55">INDEX('HOTMAP-DATA'!$D$2:$G$1345,MATCH($N$27&amp;$O$27&amp;$I55,'HOTMAP-DATA'!$A$2:$A$1345&amp;'HOTMAP-DATA'!$B$2:$B$1345&amp;'HOTMAP-DATA'!$C$2:$C$1345,0),COLUMN(A$1))</f>
        <v>1</v>
      </c>
      <c r="K55" s="4" cm="1">
        <f t="array" ref="K55">INDEX('HOTMAP-DATA'!$D$2:$G$1345,MATCH($N$27&amp;$O$27&amp;$I55,'HOTMAP-DATA'!$A$2:$A$1345&amp;'HOTMAP-DATA'!$B$2:$B$1345&amp;'HOTMAP-DATA'!$C$2:$C$1345,0),COLUMN(B$1))</f>
        <v>1</v>
      </c>
      <c r="L55" s="4" cm="1">
        <f t="array" ref="L55">INDEX('HOTMAP-DATA'!$D$2:$G$1345,MATCH($N$27&amp;$O$27&amp;$I55,'HOTMAP-DATA'!$A$2:$A$1345&amp;'HOTMAP-DATA'!$B$2:$B$1345&amp;'HOTMAP-DATA'!$C$2:$C$1345,0),COLUMN(C$1))</f>
        <v>1</v>
      </c>
      <c r="M55" s="4" cm="1">
        <f t="array" ref="M55">INDEX('HOTMAP-DATA'!$D$2:$G$1345,MATCH($N$27&amp;$O$27&amp;$I55,'HOTMAP-DATA'!$A$2:$A$1345&amp;'HOTMAP-DATA'!$B$2:$B$1345&amp;'HOTMAP-DATA'!$C$2:$C$1345,0),COLUMN(D$1))</f>
        <v>1</v>
      </c>
    </row>
    <row r="56" spans="2:13" x14ac:dyDescent="0.25">
      <c r="B56" s="4">
        <v>1</v>
      </c>
      <c r="C56" s="4">
        <f t="shared" si="13"/>
        <v>8</v>
      </c>
      <c r="D56" s="4" t="b" cm="1">
        <f t="array" ref="D56">INDEX(J$28:J$55,$C56)=$B56</f>
        <v>1</v>
      </c>
      <c r="E56" s="4" t="b" cm="1">
        <f t="array" ref="E56">INDEX(K$28:K$55,$C56)=$B56</f>
        <v>0</v>
      </c>
      <c r="F56" s="4" t="b" cm="1">
        <f t="array" ref="F56">INDEX(L$28:L$55,$C56)=$B56</f>
        <v>1</v>
      </c>
      <c r="G56" s="4" t="b" cm="1">
        <f t="array" ref="G56">INDEX(M$28:M$55,$C56)=$B56</f>
        <v>0</v>
      </c>
    </row>
    <row r="57" spans="2:13" x14ac:dyDescent="0.25">
      <c r="B57" s="4">
        <v>2</v>
      </c>
      <c r="C57" s="4">
        <f t="shared" si="13"/>
        <v>8</v>
      </c>
      <c r="D57" s="4" t="b" cm="1">
        <f t="array" ref="D57">INDEX(J$28:J$55,$C57)=$B57</f>
        <v>0</v>
      </c>
      <c r="E57" s="4" t="b" cm="1">
        <f t="array" ref="E57">INDEX(K$28:K$55,$C57)=$B57</f>
        <v>0</v>
      </c>
      <c r="F57" s="4" t="b" cm="1">
        <f t="array" ref="F57">INDEX(L$28:L$55,$C57)=$B57</f>
        <v>0</v>
      </c>
      <c r="G57" s="4" t="b" cm="1">
        <f t="array" ref="G57">INDEX(M$28:M$55,$C57)=$B57</f>
        <v>0</v>
      </c>
    </row>
    <row r="58" spans="2:13" x14ac:dyDescent="0.25">
      <c r="B58" s="4">
        <v>3</v>
      </c>
      <c r="C58" s="4">
        <f t="shared" si="13"/>
        <v>8</v>
      </c>
      <c r="D58" s="4" t="b" cm="1">
        <f t="array" ref="D58">INDEX(J$28:J$55,$C58)=$B58</f>
        <v>0</v>
      </c>
      <c r="E58" s="4" t="b" cm="1">
        <f t="array" ref="E58">INDEX(K$28:K$55,$C58)=$B58</f>
        <v>1</v>
      </c>
      <c r="F58" s="4" t="b" cm="1">
        <f t="array" ref="F58">INDEX(L$28:L$55,$C58)=$B58</f>
        <v>0</v>
      </c>
      <c r="G58" s="4" t="b" cm="1">
        <f t="array" ref="G58">INDEX(M$28:M$55,$C58)=$B58</f>
        <v>1</v>
      </c>
    </row>
    <row r="59" spans="2:13" x14ac:dyDescent="0.25">
      <c r="B59" s="4">
        <v>4</v>
      </c>
      <c r="C59" s="4">
        <f t="shared" si="13"/>
        <v>8</v>
      </c>
      <c r="D59" s="4" t="b" cm="1">
        <f t="array" ref="D59">INDEX(J$28:J$55,$C59)=$B59</f>
        <v>0</v>
      </c>
      <c r="E59" s="4" t="b" cm="1">
        <f t="array" ref="E59">INDEX(K$28:K$55,$C59)=$B59</f>
        <v>0</v>
      </c>
      <c r="F59" s="4" t="b" cm="1">
        <f t="array" ref="F59">INDEX(L$28:L$55,$C59)=$B59</f>
        <v>0</v>
      </c>
      <c r="G59" s="4" t="b" cm="1">
        <f t="array" ref="G59">INDEX(M$28:M$55,$C59)=$B59</f>
        <v>0</v>
      </c>
    </row>
    <row r="60" spans="2:13" x14ac:dyDescent="0.25">
      <c r="B60" s="4">
        <v>1</v>
      </c>
      <c r="C60" s="4">
        <f t="shared" si="13"/>
        <v>9</v>
      </c>
      <c r="D60" s="4" t="b" cm="1">
        <f t="array" ref="D60">INDEX(J$28:J$55,$C60)=$B60</f>
        <v>0</v>
      </c>
      <c r="E60" s="4" t="b" cm="1">
        <f t="array" ref="E60">INDEX(K$28:K$55,$C60)=$B60</f>
        <v>0</v>
      </c>
      <c r="F60" s="4" t="b" cm="1">
        <f t="array" ref="F60">INDEX(L$28:L$55,$C60)=$B60</f>
        <v>1</v>
      </c>
      <c r="G60" s="4" t="b" cm="1">
        <f t="array" ref="G60">INDEX(M$28:M$55,$C60)=$B60</f>
        <v>0</v>
      </c>
    </row>
    <row r="61" spans="2:13" x14ac:dyDescent="0.25">
      <c r="B61" s="4">
        <v>2</v>
      </c>
      <c r="C61" s="4">
        <f t="shared" si="13"/>
        <v>9</v>
      </c>
      <c r="D61" s="4" t="b" cm="1">
        <f t="array" ref="D61">INDEX(J$28:J$55,$C61)=$B61</f>
        <v>0</v>
      </c>
      <c r="E61" s="4" t="b" cm="1">
        <f t="array" ref="E61">INDEX(K$28:K$55,$C61)=$B61</f>
        <v>1</v>
      </c>
      <c r="F61" s="4" t="b" cm="1">
        <f t="array" ref="F61">INDEX(L$28:L$55,$C61)=$B61</f>
        <v>0</v>
      </c>
      <c r="G61" s="4" t="b" cm="1">
        <f t="array" ref="G61">INDEX(M$28:M$55,$C61)=$B61</f>
        <v>1</v>
      </c>
    </row>
    <row r="62" spans="2:13" x14ac:dyDescent="0.25">
      <c r="B62" s="4">
        <v>3</v>
      </c>
      <c r="C62" s="4">
        <f t="shared" si="13"/>
        <v>9</v>
      </c>
      <c r="D62" s="4" t="b" cm="1">
        <f t="array" ref="D62">INDEX(J$28:J$55,$C62)=$B62</f>
        <v>1</v>
      </c>
      <c r="E62" s="4" t="b" cm="1">
        <f t="array" ref="E62">INDEX(K$28:K$55,$C62)=$B62</f>
        <v>0</v>
      </c>
      <c r="F62" s="4" t="b" cm="1">
        <f t="array" ref="F62">INDEX(L$28:L$55,$C62)=$B62</f>
        <v>0</v>
      </c>
      <c r="G62" s="4" t="b" cm="1">
        <f t="array" ref="G62">INDEX(M$28:M$55,$C62)=$B62</f>
        <v>0</v>
      </c>
    </row>
    <row r="63" spans="2:13" x14ac:dyDescent="0.25">
      <c r="B63" s="4">
        <v>4</v>
      </c>
      <c r="C63" s="4">
        <f t="shared" si="13"/>
        <v>9</v>
      </c>
      <c r="D63" s="4" t="b" cm="1">
        <f t="array" ref="D63">INDEX(J$28:J$55,$C63)=$B63</f>
        <v>0</v>
      </c>
      <c r="E63" s="4" t="b" cm="1">
        <f t="array" ref="E63">INDEX(K$28:K$55,$C63)=$B63</f>
        <v>0</v>
      </c>
      <c r="F63" s="4" t="b" cm="1">
        <f t="array" ref="F63">INDEX(L$28:L$55,$C63)=$B63</f>
        <v>0</v>
      </c>
      <c r="G63" s="4" t="b" cm="1">
        <f t="array" ref="G63">INDEX(M$28:M$55,$C63)=$B63</f>
        <v>0</v>
      </c>
    </row>
    <row r="64" spans="2:13" x14ac:dyDescent="0.25">
      <c r="B64" s="4">
        <v>1</v>
      </c>
      <c r="C64" s="4">
        <f t="shared" si="13"/>
        <v>10</v>
      </c>
      <c r="D64" s="4" t="b" cm="1">
        <f t="array" ref="D64">INDEX(J$28:J$55,$C64)=$B64</f>
        <v>1</v>
      </c>
      <c r="E64" s="4" t="b" cm="1">
        <f t="array" ref="E64">INDEX(K$28:K$55,$C64)=$B64</f>
        <v>1</v>
      </c>
      <c r="F64" s="4" t="b" cm="1">
        <f t="array" ref="F64">INDEX(L$28:L$55,$C64)=$B64</f>
        <v>1</v>
      </c>
      <c r="G64" s="4" t="b" cm="1">
        <f t="array" ref="G64">INDEX(M$28:M$55,$C64)=$B64</f>
        <v>1</v>
      </c>
    </row>
    <row r="65" spans="2:7" x14ac:dyDescent="0.25">
      <c r="B65" s="4">
        <v>2</v>
      </c>
      <c r="C65" s="4">
        <f t="shared" si="13"/>
        <v>10</v>
      </c>
      <c r="D65" s="4" t="b" cm="1">
        <f t="array" ref="D65">INDEX(J$28:J$55,$C65)=$B65</f>
        <v>0</v>
      </c>
      <c r="E65" s="4" t="b" cm="1">
        <f t="array" ref="E65">INDEX(K$28:K$55,$C65)=$B65</f>
        <v>0</v>
      </c>
      <c r="F65" s="4" t="b" cm="1">
        <f t="array" ref="F65">INDEX(L$28:L$55,$C65)=$B65</f>
        <v>0</v>
      </c>
      <c r="G65" s="4" t="b" cm="1">
        <f t="array" ref="G65">INDEX(M$28:M$55,$C65)=$B65</f>
        <v>0</v>
      </c>
    </row>
    <row r="66" spans="2:7" x14ac:dyDescent="0.25">
      <c r="B66" s="4">
        <v>3</v>
      </c>
      <c r="C66" s="4">
        <f t="shared" si="13"/>
        <v>10</v>
      </c>
      <c r="D66" s="4" t="b" cm="1">
        <f t="array" ref="D66">INDEX(J$28:J$55,$C66)=$B66</f>
        <v>0</v>
      </c>
      <c r="E66" s="4" t="b" cm="1">
        <f t="array" ref="E66">INDEX(K$28:K$55,$C66)=$B66</f>
        <v>0</v>
      </c>
      <c r="F66" s="4" t="b" cm="1">
        <f t="array" ref="F66">INDEX(L$28:L$55,$C66)=$B66</f>
        <v>0</v>
      </c>
      <c r="G66" s="4" t="b" cm="1">
        <f t="array" ref="G66">INDEX(M$28:M$55,$C66)=$B66</f>
        <v>0</v>
      </c>
    </row>
    <row r="67" spans="2:7" x14ac:dyDescent="0.25">
      <c r="B67" s="4">
        <v>4</v>
      </c>
      <c r="C67" s="4">
        <f t="shared" si="13"/>
        <v>10</v>
      </c>
      <c r="D67" s="4" t="b" cm="1">
        <f t="array" ref="D67">INDEX(J$28:J$55,$C67)=$B67</f>
        <v>0</v>
      </c>
      <c r="E67" s="4" t="b" cm="1">
        <f t="array" ref="E67">INDEX(K$28:K$55,$C67)=$B67</f>
        <v>0</v>
      </c>
      <c r="F67" s="4" t="b" cm="1">
        <f t="array" ref="F67">INDEX(L$28:L$55,$C67)=$B67</f>
        <v>0</v>
      </c>
      <c r="G67" s="4" t="b" cm="1">
        <f t="array" ref="G67">INDEX(M$28:M$55,$C67)=$B67</f>
        <v>0</v>
      </c>
    </row>
    <row r="68" spans="2:7" x14ac:dyDescent="0.25">
      <c r="B68" s="4">
        <v>1</v>
      </c>
      <c r="C68" s="4">
        <f t="shared" si="13"/>
        <v>11</v>
      </c>
      <c r="D68" s="4" t="b" cm="1">
        <f t="array" ref="D68">INDEX(J$28:J$55,$C68)=$B68</f>
        <v>0</v>
      </c>
      <c r="E68" s="4" t="b" cm="1">
        <f t="array" ref="E68">INDEX(K$28:K$55,$C68)=$B68</f>
        <v>1</v>
      </c>
      <c r="F68" s="4" t="b" cm="1">
        <f t="array" ref="F68">INDEX(L$28:L$55,$C68)=$B68</f>
        <v>0</v>
      </c>
      <c r="G68" s="4" t="b" cm="1">
        <f t="array" ref="G68">INDEX(M$28:M$55,$C68)=$B68</f>
        <v>0</v>
      </c>
    </row>
    <row r="69" spans="2:7" x14ac:dyDescent="0.25">
      <c r="B69" s="4">
        <v>2</v>
      </c>
      <c r="C69" s="4">
        <f t="shared" si="13"/>
        <v>11</v>
      </c>
      <c r="D69" s="4" t="b" cm="1">
        <f t="array" ref="D69">INDEX(J$28:J$55,$C69)=$B69</f>
        <v>1</v>
      </c>
      <c r="E69" s="4" t="b" cm="1">
        <f t="array" ref="E69">INDEX(K$28:K$55,$C69)=$B69</f>
        <v>0</v>
      </c>
      <c r="F69" s="4" t="b" cm="1">
        <f t="array" ref="F69">INDEX(L$28:L$55,$C69)=$B69</f>
        <v>0</v>
      </c>
      <c r="G69" s="4" t="b" cm="1">
        <f t="array" ref="G69">INDEX(M$28:M$55,$C69)=$B69</f>
        <v>0</v>
      </c>
    </row>
    <row r="70" spans="2:7" x14ac:dyDescent="0.25">
      <c r="B70" s="4">
        <v>3</v>
      </c>
      <c r="C70" s="4">
        <f t="shared" si="13"/>
        <v>11</v>
      </c>
      <c r="D70" s="4" t="b" cm="1">
        <f t="array" ref="D70">INDEX(J$28:J$55,$C70)=$B70</f>
        <v>0</v>
      </c>
      <c r="E70" s="4" t="b" cm="1">
        <f t="array" ref="E70">INDEX(K$28:K$55,$C70)=$B70</f>
        <v>0</v>
      </c>
      <c r="F70" s="4" t="b" cm="1">
        <f t="array" ref="F70">INDEX(L$28:L$55,$C70)=$B70</f>
        <v>1</v>
      </c>
      <c r="G70" s="4" t="b" cm="1">
        <f t="array" ref="G70">INDEX(M$28:M$55,$C70)=$B70</f>
        <v>1</v>
      </c>
    </row>
    <row r="71" spans="2:7" x14ac:dyDescent="0.25">
      <c r="B71" s="4">
        <v>4</v>
      </c>
      <c r="C71" s="4">
        <f t="shared" si="13"/>
        <v>11</v>
      </c>
      <c r="D71" s="4" t="b" cm="1">
        <f t="array" ref="D71">INDEX(J$28:J$55,$C71)=$B71</f>
        <v>0</v>
      </c>
      <c r="E71" s="4" t="b" cm="1">
        <f t="array" ref="E71">INDEX(K$28:K$55,$C71)=$B71</f>
        <v>0</v>
      </c>
      <c r="F71" s="4" t="b" cm="1">
        <f t="array" ref="F71">INDEX(L$28:L$55,$C71)=$B71</f>
        <v>0</v>
      </c>
      <c r="G71" s="4" t="b" cm="1">
        <f t="array" ref="G71">INDEX(M$28:M$55,$C71)=$B71</f>
        <v>0</v>
      </c>
    </row>
    <row r="72" spans="2:7" x14ac:dyDescent="0.25">
      <c r="B72" s="4">
        <v>1</v>
      </c>
      <c r="C72" s="4">
        <f t="shared" si="13"/>
        <v>12</v>
      </c>
      <c r="D72" s="4" t="b" cm="1">
        <f t="array" ref="D72">INDEX(J$28:J$55,$C72)=$B72</f>
        <v>0</v>
      </c>
      <c r="E72" s="4" t="b" cm="1">
        <f t="array" ref="E72">INDEX(K$28:K$55,$C72)=$B72</f>
        <v>1</v>
      </c>
      <c r="F72" s="4" t="b" cm="1">
        <f t="array" ref="F72">INDEX(L$28:L$55,$C72)=$B72</f>
        <v>0</v>
      </c>
      <c r="G72" s="4" t="b" cm="1">
        <f t="array" ref="G72">INDEX(M$28:M$55,$C72)=$B72</f>
        <v>0</v>
      </c>
    </row>
    <row r="73" spans="2:7" x14ac:dyDescent="0.25">
      <c r="B73" s="4">
        <v>2</v>
      </c>
      <c r="C73" s="4">
        <f t="shared" si="13"/>
        <v>12</v>
      </c>
      <c r="D73" s="4" t="b" cm="1">
        <f t="array" ref="D73">INDEX(J$28:J$55,$C73)=$B73</f>
        <v>0</v>
      </c>
      <c r="E73" s="4" t="b" cm="1">
        <f t="array" ref="E73">INDEX(K$28:K$55,$C73)=$B73</f>
        <v>0</v>
      </c>
      <c r="F73" s="4" t="b" cm="1">
        <f t="array" ref="F73">INDEX(L$28:L$55,$C73)=$B73</f>
        <v>0</v>
      </c>
      <c r="G73" s="4" t="b" cm="1">
        <f t="array" ref="G73">INDEX(M$28:M$55,$C73)=$B73</f>
        <v>0</v>
      </c>
    </row>
    <row r="74" spans="2:7" x14ac:dyDescent="0.25">
      <c r="B74" s="4">
        <v>3</v>
      </c>
      <c r="C74" s="4">
        <f t="shared" si="13"/>
        <v>12</v>
      </c>
      <c r="D74" s="4" t="b" cm="1">
        <f t="array" ref="D74">INDEX(J$28:J$55,$C74)=$B74</f>
        <v>1</v>
      </c>
      <c r="E74" s="4" t="b" cm="1">
        <f t="array" ref="E74">INDEX(K$28:K$55,$C74)=$B74</f>
        <v>0</v>
      </c>
      <c r="F74" s="4" t="b" cm="1">
        <f t="array" ref="F74">INDEX(L$28:L$55,$C74)=$B74</f>
        <v>0</v>
      </c>
      <c r="G74" s="4" t="b" cm="1">
        <f t="array" ref="G74">INDEX(M$28:M$55,$C74)=$B74</f>
        <v>0</v>
      </c>
    </row>
    <row r="75" spans="2:7" x14ac:dyDescent="0.25">
      <c r="B75" s="4">
        <v>4</v>
      </c>
      <c r="C75" s="4">
        <f t="shared" si="13"/>
        <v>12</v>
      </c>
      <c r="D75" s="4" t="b" cm="1">
        <f t="array" ref="D75">INDEX(J$28:J$55,$C75)=$B75</f>
        <v>0</v>
      </c>
      <c r="E75" s="4" t="b" cm="1">
        <f t="array" ref="E75">INDEX(K$28:K$55,$C75)=$B75</f>
        <v>0</v>
      </c>
      <c r="F75" s="4" t="b" cm="1">
        <f t="array" ref="F75">INDEX(L$28:L$55,$C75)=$B75</f>
        <v>1</v>
      </c>
      <c r="G75" s="4" t="b" cm="1">
        <f t="array" ref="G75">INDEX(M$28:M$55,$C75)=$B75</f>
        <v>1</v>
      </c>
    </row>
    <row r="76" spans="2:7" x14ac:dyDescent="0.25">
      <c r="B76" s="4">
        <v>1</v>
      </c>
      <c r="C76" s="4">
        <f t="shared" si="13"/>
        <v>13</v>
      </c>
      <c r="D76" s="4" t="b" cm="1">
        <f t="array" ref="D76">INDEX(J$28:J$55,$C76)=$B76</f>
        <v>1</v>
      </c>
      <c r="E76" s="4" t="b" cm="1">
        <f t="array" ref="E76">INDEX(K$28:K$55,$C76)=$B76</f>
        <v>0</v>
      </c>
      <c r="F76" s="4" t="b" cm="1">
        <f t="array" ref="F76">INDEX(L$28:L$55,$C76)=$B76</f>
        <v>0</v>
      </c>
      <c r="G76" s="4" t="b" cm="1">
        <f t="array" ref="G76">INDEX(M$28:M$55,$C76)=$B76</f>
        <v>0</v>
      </c>
    </row>
    <row r="77" spans="2:7" x14ac:dyDescent="0.25">
      <c r="B77" s="4">
        <v>2</v>
      </c>
      <c r="C77" s="4">
        <f t="shared" si="13"/>
        <v>13</v>
      </c>
      <c r="D77" s="4" t="b" cm="1">
        <f t="array" ref="D77">INDEX(J$28:J$55,$C77)=$B77</f>
        <v>0</v>
      </c>
      <c r="E77" s="4" t="b" cm="1">
        <f t="array" ref="E77">INDEX(K$28:K$55,$C77)=$B77</f>
        <v>0</v>
      </c>
      <c r="F77" s="4" t="b" cm="1">
        <f t="array" ref="F77">INDEX(L$28:L$55,$C77)=$B77</f>
        <v>0</v>
      </c>
      <c r="G77" s="4" t="b" cm="1">
        <f t="array" ref="G77">INDEX(M$28:M$55,$C77)=$B77</f>
        <v>1</v>
      </c>
    </row>
    <row r="78" spans="2:7" x14ac:dyDescent="0.25">
      <c r="B78" s="4">
        <v>3</v>
      </c>
      <c r="C78" s="4">
        <f t="shared" si="13"/>
        <v>13</v>
      </c>
      <c r="D78" s="4" t="b" cm="1">
        <f t="array" ref="D78">INDEX(J$28:J$55,$C78)=$B78</f>
        <v>0</v>
      </c>
      <c r="E78" s="4" t="b" cm="1">
        <f t="array" ref="E78">INDEX(K$28:K$55,$C78)=$B78</f>
        <v>1</v>
      </c>
      <c r="F78" s="4" t="b" cm="1">
        <f t="array" ref="F78">INDEX(L$28:L$55,$C78)=$B78</f>
        <v>1</v>
      </c>
      <c r="G78" s="4" t="b" cm="1">
        <f t="array" ref="G78">INDEX(M$28:M$55,$C78)=$B78</f>
        <v>0</v>
      </c>
    </row>
    <row r="79" spans="2:7" x14ac:dyDescent="0.25">
      <c r="B79" s="4">
        <v>4</v>
      </c>
      <c r="C79" s="4">
        <f t="shared" si="13"/>
        <v>13</v>
      </c>
      <c r="D79" s="4" t="b" cm="1">
        <f t="array" ref="D79">INDEX(J$28:J$55,$C79)=$B79</f>
        <v>0</v>
      </c>
      <c r="E79" s="4" t="b" cm="1">
        <f t="array" ref="E79">INDEX(K$28:K$55,$C79)=$B79</f>
        <v>0</v>
      </c>
      <c r="F79" s="4" t="b" cm="1">
        <f t="array" ref="F79">INDEX(L$28:L$55,$C79)=$B79</f>
        <v>0</v>
      </c>
      <c r="G79" s="4" t="b" cm="1">
        <f t="array" ref="G79">INDEX(M$28:M$55,$C79)=$B79</f>
        <v>0</v>
      </c>
    </row>
    <row r="80" spans="2:7" x14ac:dyDescent="0.25">
      <c r="B80" s="4">
        <v>1</v>
      </c>
      <c r="C80" s="4">
        <f t="shared" si="13"/>
        <v>14</v>
      </c>
      <c r="D80" s="4" t="b" cm="1">
        <f t="array" ref="D80">INDEX(J$28:J$55,$C80)=$B80</f>
        <v>0</v>
      </c>
      <c r="E80" s="4" t="b" cm="1">
        <f t="array" ref="E80">INDEX(K$28:K$55,$C80)=$B80</f>
        <v>1</v>
      </c>
      <c r="F80" s="4" t="b" cm="1">
        <f t="array" ref="F80">INDEX(L$28:L$55,$C80)=$B80</f>
        <v>1</v>
      </c>
      <c r="G80" s="4" t="b" cm="1">
        <f t="array" ref="G80">INDEX(M$28:M$55,$C80)=$B80</f>
        <v>1</v>
      </c>
    </row>
    <row r="81" spans="2:7" x14ac:dyDescent="0.25">
      <c r="B81" s="4">
        <v>2</v>
      </c>
      <c r="C81" s="4">
        <f t="shared" si="13"/>
        <v>14</v>
      </c>
      <c r="D81" s="4" t="b" cm="1">
        <f t="array" ref="D81">INDEX(J$28:J$55,$C81)=$B81</f>
        <v>1</v>
      </c>
      <c r="E81" s="4" t="b" cm="1">
        <f t="array" ref="E81">INDEX(K$28:K$55,$C81)=$B81</f>
        <v>0</v>
      </c>
      <c r="F81" s="4" t="b" cm="1">
        <f t="array" ref="F81">INDEX(L$28:L$55,$C81)=$B81</f>
        <v>0</v>
      </c>
      <c r="G81" s="4" t="b" cm="1">
        <f t="array" ref="G81">INDEX(M$28:M$55,$C81)=$B81</f>
        <v>0</v>
      </c>
    </row>
    <row r="82" spans="2:7" x14ac:dyDescent="0.25">
      <c r="B82" s="4">
        <v>3</v>
      </c>
      <c r="C82" s="4">
        <f t="shared" si="13"/>
        <v>14</v>
      </c>
      <c r="D82" s="4" t="b" cm="1">
        <f t="array" ref="D82">INDEX(J$28:J$55,$C82)=$B82</f>
        <v>0</v>
      </c>
      <c r="E82" s="4" t="b" cm="1">
        <f t="array" ref="E82">INDEX(K$28:K$55,$C82)=$B82</f>
        <v>0</v>
      </c>
      <c r="F82" s="4" t="b" cm="1">
        <f t="array" ref="F82">INDEX(L$28:L$55,$C82)=$B82</f>
        <v>0</v>
      </c>
      <c r="G82" s="4" t="b" cm="1">
        <f t="array" ref="G82">INDEX(M$28:M$55,$C82)=$B82</f>
        <v>0</v>
      </c>
    </row>
    <row r="83" spans="2:7" x14ac:dyDescent="0.25">
      <c r="B83" s="4">
        <v>4</v>
      </c>
      <c r="C83" s="4">
        <f t="shared" si="13"/>
        <v>14</v>
      </c>
      <c r="D83" s="4" t="b" cm="1">
        <f t="array" ref="D83">INDEX(J$28:J$55,$C83)=$B83</f>
        <v>0</v>
      </c>
      <c r="E83" s="4" t="b" cm="1">
        <f t="array" ref="E83">INDEX(K$28:K$55,$C83)=$B83</f>
        <v>0</v>
      </c>
      <c r="F83" s="4" t="b" cm="1">
        <f t="array" ref="F83">INDEX(L$28:L$55,$C83)=$B83</f>
        <v>0</v>
      </c>
      <c r="G83" s="4" t="b" cm="1">
        <f t="array" ref="G83">INDEX(M$28:M$55,$C83)=$B83</f>
        <v>0</v>
      </c>
    </row>
    <row r="84" spans="2:7" x14ac:dyDescent="0.25">
      <c r="B84" s="4">
        <v>1</v>
      </c>
      <c r="C84" s="4">
        <f t="shared" si="13"/>
        <v>15</v>
      </c>
      <c r="D84" s="4" t="b" cm="1">
        <f t="array" ref="D84">INDEX(J$28:J$55,$C84)=$B84</f>
        <v>0</v>
      </c>
      <c r="E84" s="4" t="b" cm="1">
        <f t="array" ref="E84">INDEX(K$28:K$55,$C84)=$B84</f>
        <v>1</v>
      </c>
      <c r="F84" s="4" t="b" cm="1">
        <f t="array" ref="F84">INDEX(L$28:L$55,$C84)=$B84</f>
        <v>0</v>
      </c>
      <c r="G84" s="4" t="b" cm="1">
        <f t="array" ref="G84">INDEX(M$28:M$55,$C84)=$B84</f>
        <v>0</v>
      </c>
    </row>
    <row r="85" spans="2:7" x14ac:dyDescent="0.25">
      <c r="B85" s="4">
        <v>2</v>
      </c>
      <c r="C85" s="4">
        <f t="shared" si="13"/>
        <v>15</v>
      </c>
      <c r="D85" s="4" t="b" cm="1">
        <f t="array" ref="D85">INDEX(J$28:J$55,$C85)=$B85</f>
        <v>1</v>
      </c>
      <c r="E85" s="4" t="b" cm="1">
        <f t="array" ref="E85">INDEX(K$28:K$55,$C85)=$B85</f>
        <v>0</v>
      </c>
      <c r="F85" s="4" t="b" cm="1">
        <f t="array" ref="F85">INDEX(L$28:L$55,$C85)=$B85</f>
        <v>0</v>
      </c>
      <c r="G85" s="4" t="b" cm="1">
        <f t="array" ref="G85">INDEX(M$28:M$55,$C85)=$B85</f>
        <v>0</v>
      </c>
    </row>
    <row r="86" spans="2:7" x14ac:dyDescent="0.25">
      <c r="B86" s="4">
        <v>3</v>
      </c>
      <c r="C86" s="4">
        <f t="shared" si="13"/>
        <v>15</v>
      </c>
      <c r="D86" s="4" t="b" cm="1">
        <f t="array" ref="D86">INDEX(J$28:J$55,$C86)=$B86</f>
        <v>0</v>
      </c>
      <c r="E86" s="4" t="b" cm="1">
        <f t="array" ref="E86">INDEX(K$28:K$55,$C86)=$B86</f>
        <v>0</v>
      </c>
      <c r="F86" s="4" t="b" cm="1">
        <f t="array" ref="F86">INDEX(L$28:L$55,$C86)=$B86</f>
        <v>1</v>
      </c>
      <c r="G86" s="4" t="b" cm="1">
        <f t="array" ref="G86">INDEX(M$28:M$55,$C86)=$B86</f>
        <v>1</v>
      </c>
    </row>
    <row r="87" spans="2:7" x14ac:dyDescent="0.25">
      <c r="B87" s="4">
        <v>4</v>
      </c>
      <c r="C87" s="4">
        <f t="shared" si="13"/>
        <v>15</v>
      </c>
      <c r="D87" s="4" t="b" cm="1">
        <f t="array" ref="D87">INDEX(J$28:J$55,$C87)=$B87</f>
        <v>0</v>
      </c>
      <c r="E87" s="4" t="b" cm="1">
        <f t="array" ref="E87">INDEX(K$28:K$55,$C87)=$B87</f>
        <v>0</v>
      </c>
      <c r="F87" s="4" t="b" cm="1">
        <f t="array" ref="F87">INDEX(L$28:L$55,$C87)=$B87</f>
        <v>0</v>
      </c>
      <c r="G87" s="4" t="b" cm="1">
        <f t="array" ref="G87">INDEX(M$28:M$55,$C87)=$B87</f>
        <v>0</v>
      </c>
    </row>
    <row r="88" spans="2:7" x14ac:dyDescent="0.25">
      <c r="B88" s="4">
        <v>1</v>
      </c>
      <c r="C88" s="4">
        <f t="shared" si="13"/>
        <v>16</v>
      </c>
      <c r="D88" s="4" t="b" cm="1">
        <f t="array" ref="D88">INDEX(J$28:J$55,$C88)=$B88</f>
        <v>0</v>
      </c>
      <c r="E88" s="4" t="b" cm="1">
        <f t="array" ref="E88">INDEX(K$28:K$55,$C88)=$B88</f>
        <v>0</v>
      </c>
      <c r="F88" s="4" t="b" cm="1">
        <f t="array" ref="F88">INDEX(L$28:L$55,$C88)=$B88</f>
        <v>1</v>
      </c>
      <c r="G88" s="4" t="b" cm="1">
        <f t="array" ref="G88">INDEX(M$28:M$55,$C88)=$B88</f>
        <v>0</v>
      </c>
    </row>
    <row r="89" spans="2:7" x14ac:dyDescent="0.25">
      <c r="B89" s="4">
        <v>2</v>
      </c>
      <c r="C89" s="4">
        <f t="shared" si="13"/>
        <v>16</v>
      </c>
      <c r="D89" s="4" t="b" cm="1">
        <f t="array" ref="D89">INDEX(J$28:J$55,$C89)=$B89</f>
        <v>1</v>
      </c>
      <c r="E89" s="4" t="b" cm="1">
        <f t="array" ref="E89">INDEX(K$28:K$55,$C89)=$B89</f>
        <v>1</v>
      </c>
      <c r="F89" s="4" t="b" cm="1">
        <f t="array" ref="F89">INDEX(L$28:L$55,$C89)=$B89</f>
        <v>0</v>
      </c>
      <c r="G89" s="4" t="b" cm="1">
        <f t="array" ref="G89">INDEX(M$28:M$55,$C89)=$B89</f>
        <v>0</v>
      </c>
    </row>
    <row r="90" spans="2:7" x14ac:dyDescent="0.25">
      <c r="B90" s="4">
        <v>3</v>
      </c>
      <c r="C90" s="4">
        <f t="shared" si="13"/>
        <v>16</v>
      </c>
      <c r="D90" s="4" t="b" cm="1">
        <f t="array" ref="D90">INDEX(J$28:J$55,$C90)=$B90</f>
        <v>0</v>
      </c>
      <c r="E90" s="4" t="b" cm="1">
        <f t="array" ref="E90">INDEX(K$28:K$55,$C90)=$B90</f>
        <v>0</v>
      </c>
      <c r="F90" s="4" t="b" cm="1">
        <f t="array" ref="F90">INDEX(L$28:L$55,$C90)=$B90</f>
        <v>0</v>
      </c>
      <c r="G90" s="4" t="b" cm="1">
        <f t="array" ref="G90">INDEX(M$28:M$55,$C90)=$B90</f>
        <v>1</v>
      </c>
    </row>
    <row r="91" spans="2:7" x14ac:dyDescent="0.25">
      <c r="B91" s="4">
        <v>4</v>
      </c>
      <c r="C91" s="4">
        <f t="shared" si="13"/>
        <v>16</v>
      </c>
      <c r="D91" s="4" t="b" cm="1">
        <f t="array" ref="D91">INDEX(J$28:J$55,$C91)=$B91</f>
        <v>0</v>
      </c>
      <c r="E91" s="4" t="b" cm="1">
        <f t="array" ref="E91">INDEX(K$28:K$55,$C91)=$B91</f>
        <v>0</v>
      </c>
      <c r="F91" s="4" t="b" cm="1">
        <f t="array" ref="F91">INDEX(L$28:L$55,$C91)=$B91</f>
        <v>0</v>
      </c>
      <c r="G91" s="4" t="b" cm="1">
        <f t="array" ref="G91">INDEX(M$28:M$55,$C91)=$B91</f>
        <v>0</v>
      </c>
    </row>
    <row r="92" spans="2:7" x14ac:dyDescent="0.25">
      <c r="B92" s="4">
        <v>1</v>
      </c>
      <c r="C92" s="4">
        <f t="shared" si="13"/>
        <v>17</v>
      </c>
      <c r="D92" s="4" t="b" cm="1">
        <f t="array" ref="D92">INDEX(J$28:J$55,$C92)=$B92</f>
        <v>1</v>
      </c>
      <c r="E92" s="4" t="b" cm="1">
        <f t="array" ref="E92">INDEX(K$28:K$55,$C92)=$B92</f>
        <v>0</v>
      </c>
      <c r="F92" s="4" t="b" cm="1">
        <f t="array" ref="F92">INDEX(L$28:L$55,$C92)=$B92</f>
        <v>1</v>
      </c>
      <c r="G92" s="4" t="b" cm="1">
        <f t="array" ref="G92">INDEX(M$28:M$55,$C92)=$B92</f>
        <v>0</v>
      </c>
    </row>
    <row r="93" spans="2:7" x14ac:dyDescent="0.25">
      <c r="B93" s="4">
        <v>2</v>
      </c>
      <c r="C93" s="4">
        <f t="shared" ref="C93:C139" si="14">INT((ROW(Q66)-1)/4)+1</f>
        <v>17</v>
      </c>
      <c r="D93" s="4" t="b" cm="1">
        <f t="array" ref="D93">INDEX(J$28:J$55,$C93)=$B93</f>
        <v>0</v>
      </c>
      <c r="E93" s="4" t="b" cm="1">
        <f t="array" ref="E93">INDEX(K$28:K$55,$C93)=$B93</f>
        <v>1</v>
      </c>
      <c r="F93" s="4" t="b" cm="1">
        <f t="array" ref="F93">INDEX(L$28:L$55,$C93)=$B93</f>
        <v>0</v>
      </c>
      <c r="G93" s="4" t="b" cm="1">
        <f t="array" ref="G93">INDEX(M$28:M$55,$C93)=$B93</f>
        <v>1</v>
      </c>
    </row>
    <row r="94" spans="2:7" x14ac:dyDescent="0.25">
      <c r="B94" s="4">
        <v>3</v>
      </c>
      <c r="C94" s="4">
        <f t="shared" si="14"/>
        <v>17</v>
      </c>
      <c r="D94" s="4" t="b" cm="1">
        <f t="array" ref="D94">INDEX(J$28:J$55,$C94)=$B94</f>
        <v>0</v>
      </c>
      <c r="E94" s="4" t="b" cm="1">
        <f t="array" ref="E94">INDEX(K$28:K$55,$C94)=$B94</f>
        <v>0</v>
      </c>
      <c r="F94" s="4" t="b" cm="1">
        <f t="array" ref="F94">INDEX(L$28:L$55,$C94)=$B94</f>
        <v>0</v>
      </c>
      <c r="G94" s="4" t="b" cm="1">
        <f t="array" ref="G94">INDEX(M$28:M$55,$C94)=$B94</f>
        <v>0</v>
      </c>
    </row>
    <row r="95" spans="2:7" x14ac:dyDescent="0.25">
      <c r="B95" s="4">
        <v>4</v>
      </c>
      <c r="C95" s="4">
        <f t="shared" si="14"/>
        <v>17</v>
      </c>
      <c r="D95" s="4" t="b" cm="1">
        <f t="array" ref="D95">INDEX(J$28:J$55,$C95)=$B95</f>
        <v>0</v>
      </c>
      <c r="E95" s="4" t="b" cm="1">
        <f t="array" ref="E95">INDEX(K$28:K$55,$C95)=$B95</f>
        <v>0</v>
      </c>
      <c r="F95" s="4" t="b" cm="1">
        <f t="array" ref="F95">INDEX(L$28:L$55,$C95)=$B95</f>
        <v>0</v>
      </c>
      <c r="G95" s="4" t="b" cm="1">
        <f t="array" ref="G95">INDEX(M$28:M$55,$C95)=$B95</f>
        <v>0</v>
      </c>
    </row>
    <row r="96" spans="2:7" x14ac:dyDescent="0.25">
      <c r="B96" s="4">
        <v>1</v>
      </c>
      <c r="C96" s="4">
        <f t="shared" si="14"/>
        <v>18</v>
      </c>
      <c r="D96" s="4" t="b" cm="1">
        <f t="array" ref="D96">INDEX(J$28:J$55,$C96)=$B96</f>
        <v>1</v>
      </c>
      <c r="E96" s="4" t="b" cm="1">
        <f t="array" ref="E96">INDEX(K$28:K$55,$C96)=$B96</f>
        <v>1</v>
      </c>
      <c r="F96" s="4" t="b" cm="1">
        <f t="array" ref="F96">INDEX(L$28:L$55,$C96)=$B96</f>
        <v>0</v>
      </c>
      <c r="G96" s="4" t="b" cm="1">
        <f t="array" ref="G96">INDEX(M$28:M$55,$C96)=$B96</f>
        <v>0</v>
      </c>
    </row>
    <row r="97" spans="2:7" x14ac:dyDescent="0.25">
      <c r="B97" s="4">
        <v>2</v>
      </c>
      <c r="C97" s="4">
        <f t="shared" si="14"/>
        <v>18</v>
      </c>
      <c r="D97" s="4" t="b" cm="1">
        <f t="array" ref="D97">INDEX(J$28:J$55,$C97)=$B97</f>
        <v>0</v>
      </c>
      <c r="E97" s="4" t="b" cm="1">
        <f t="array" ref="E97">INDEX(K$28:K$55,$C97)=$B97</f>
        <v>0</v>
      </c>
      <c r="F97" s="4" t="b" cm="1">
        <f t="array" ref="F97">INDEX(L$28:L$55,$C97)=$B97</f>
        <v>1</v>
      </c>
      <c r="G97" s="4" t="b" cm="1">
        <f t="array" ref="G97">INDEX(M$28:M$55,$C97)=$B97</f>
        <v>1</v>
      </c>
    </row>
    <row r="98" spans="2:7" x14ac:dyDescent="0.25">
      <c r="B98" s="4">
        <v>3</v>
      </c>
      <c r="C98" s="4">
        <f t="shared" si="14"/>
        <v>18</v>
      </c>
      <c r="D98" s="4" t="b" cm="1">
        <f t="array" ref="D98">INDEX(J$28:J$55,$C98)=$B98</f>
        <v>0</v>
      </c>
      <c r="E98" s="4" t="b" cm="1">
        <f t="array" ref="E98">INDEX(K$28:K$55,$C98)=$B98</f>
        <v>0</v>
      </c>
      <c r="F98" s="4" t="b" cm="1">
        <f t="array" ref="F98">INDEX(L$28:L$55,$C98)=$B98</f>
        <v>0</v>
      </c>
      <c r="G98" s="4" t="b" cm="1">
        <f t="array" ref="G98">INDEX(M$28:M$55,$C98)=$B98</f>
        <v>0</v>
      </c>
    </row>
    <row r="99" spans="2:7" x14ac:dyDescent="0.25">
      <c r="B99" s="4">
        <v>4</v>
      </c>
      <c r="C99" s="4">
        <f t="shared" si="14"/>
        <v>18</v>
      </c>
      <c r="D99" s="4" t="b" cm="1">
        <f t="array" ref="D99">INDEX(J$28:J$55,$C99)=$B99</f>
        <v>0</v>
      </c>
      <c r="E99" s="4" t="b" cm="1">
        <f t="array" ref="E99">INDEX(K$28:K$55,$C99)=$B99</f>
        <v>0</v>
      </c>
      <c r="F99" s="4" t="b" cm="1">
        <f t="array" ref="F99">INDEX(L$28:L$55,$C99)=$B99</f>
        <v>0</v>
      </c>
      <c r="G99" s="4" t="b" cm="1">
        <f t="array" ref="G99">INDEX(M$28:M$55,$C99)=$B99</f>
        <v>0</v>
      </c>
    </row>
    <row r="100" spans="2:7" x14ac:dyDescent="0.25">
      <c r="B100" s="4">
        <v>1</v>
      </c>
      <c r="C100" s="4">
        <f t="shared" si="14"/>
        <v>19</v>
      </c>
      <c r="D100" s="4" t="b" cm="1">
        <f t="array" ref="D100">INDEX(J$28:J$55,$C100)=$B100</f>
        <v>0</v>
      </c>
      <c r="E100" s="4" t="b" cm="1">
        <f t="array" ref="E100">INDEX(K$28:K$55,$C100)=$B100</f>
        <v>0</v>
      </c>
      <c r="F100" s="4" t="b" cm="1">
        <f t="array" ref="F100">INDEX(L$28:L$55,$C100)=$B100</f>
        <v>0</v>
      </c>
      <c r="G100" s="4" t="b" cm="1">
        <f t="array" ref="G100">INDEX(M$28:M$55,$C100)=$B100</f>
        <v>0</v>
      </c>
    </row>
    <row r="101" spans="2:7" x14ac:dyDescent="0.25">
      <c r="B101" s="4">
        <v>2</v>
      </c>
      <c r="C101" s="4">
        <f t="shared" si="14"/>
        <v>19</v>
      </c>
      <c r="D101" s="4" t="b" cm="1">
        <f t="array" ref="D101">INDEX(J$28:J$55,$C101)=$B101</f>
        <v>1</v>
      </c>
      <c r="E101" s="4" t="b" cm="1">
        <f t="array" ref="E101">INDEX(K$28:K$55,$C101)=$B101</f>
        <v>0</v>
      </c>
      <c r="F101" s="4" t="b" cm="1">
        <f t="array" ref="F101">INDEX(L$28:L$55,$C101)=$B101</f>
        <v>0</v>
      </c>
      <c r="G101" s="4" t="b" cm="1">
        <f t="array" ref="G101">INDEX(M$28:M$55,$C101)=$B101</f>
        <v>1</v>
      </c>
    </row>
    <row r="102" spans="2:7" x14ac:dyDescent="0.25">
      <c r="B102" s="4">
        <v>3</v>
      </c>
      <c r="C102" s="4">
        <f t="shared" si="14"/>
        <v>19</v>
      </c>
      <c r="D102" s="4" t="b" cm="1">
        <f t="array" ref="D102">INDEX(J$28:J$55,$C102)=$B102</f>
        <v>0</v>
      </c>
      <c r="E102" s="4" t="b" cm="1">
        <f t="array" ref="E102">INDEX(K$28:K$55,$C102)=$B102</f>
        <v>1</v>
      </c>
      <c r="F102" s="4" t="b" cm="1">
        <f t="array" ref="F102">INDEX(L$28:L$55,$C102)=$B102</f>
        <v>1</v>
      </c>
      <c r="G102" s="4" t="b" cm="1">
        <f t="array" ref="G102">INDEX(M$28:M$55,$C102)=$B102</f>
        <v>0</v>
      </c>
    </row>
    <row r="103" spans="2:7" x14ac:dyDescent="0.25">
      <c r="B103" s="4">
        <v>4</v>
      </c>
      <c r="C103" s="4">
        <f t="shared" si="14"/>
        <v>19</v>
      </c>
      <c r="D103" s="4" t="b" cm="1">
        <f t="array" ref="D103">INDEX(J$28:J$55,$C103)=$B103</f>
        <v>0</v>
      </c>
      <c r="E103" s="4" t="b" cm="1">
        <f t="array" ref="E103">INDEX(K$28:K$55,$C103)=$B103</f>
        <v>0</v>
      </c>
      <c r="F103" s="4" t="b" cm="1">
        <f t="array" ref="F103">INDEX(L$28:L$55,$C103)=$B103</f>
        <v>0</v>
      </c>
      <c r="G103" s="4" t="b" cm="1">
        <f t="array" ref="G103">INDEX(M$28:M$55,$C103)=$B103</f>
        <v>0</v>
      </c>
    </row>
    <row r="104" spans="2:7" x14ac:dyDescent="0.25">
      <c r="B104" s="4">
        <v>1</v>
      </c>
      <c r="C104" s="4">
        <f t="shared" si="14"/>
        <v>20</v>
      </c>
      <c r="D104" s="4" t="b" cm="1">
        <f t="array" ref="D104">INDEX(J$28:J$55,$C104)=$B104</f>
        <v>0</v>
      </c>
      <c r="E104" s="4" t="b" cm="1">
        <f t="array" ref="E104">INDEX(K$28:K$55,$C104)=$B104</f>
        <v>0</v>
      </c>
      <c r="F104" s="4" t="b" cm="1">
        <f t="array" ref="F104">INDEX(L$28:L$55,$C104)=$B104</f>
        <v>1</v>
      </c>
      <c r="G104" s="4" t="b" cm="1">
        <f t="array" ref="G104">INDEX(M$28:M$55,$C104)=$B104</f>
        <v>0</v>
      </c>
    </row>
    <row r="105" spans="2:7" x14ac:dyDescent="0.25">
      <c r="B105" s="4">
        <v>2</v>
      </c>
      <c r="C105" s="4">
        <f t="shared" si="14"/>
        <v>20</v>
      </c>
      <c r="D105" s="4" t="b" cm="1">
        <f t="array" ref="D105">INDEX(J$28:J$55,$C105)=$B105</f>
        <v>0</v>
      </c>
      <c r="E105" s="4" t="b" cm="1">
        <f t="array" ref="E105">INDEX(K$28:K$55,$C105)=$B105</f>
        <v>0</v>
      </c>
      <c r="F105" s="4" t="b" cm="1">
        <f t="array" ref="F105">INDEX(L$28:L$55,$C105)=$B105</f>
        <v>0</v>
      </c>
      <c r="G105" s="4" t="b" cm="1">
        <f t="array" ref="G105">INDEX(M$28:M$55,$C105)=$B105</f>
        <v>1</v>
      </c>
    </row>
    <row r="106" spans="2:7" x14ac:dyDescent="0.25">
      <c r="B106" s="4">
        <v>3</v>
      </c>
      <c r="C106" s="4">
        <f t="shared" si="14"/>
        <v>20</v>
      </c>
      <c r="D106" s="4" t="b" cm="1">
        <f t="array" ref="D106">INDEX(J$28:J$55,$C106)=$B106</f>
        <v>0</v>
      </c>
      <c r="E106" s="4" t="b" cm="1">
        <f t="array" ref="E106">INDEX(K$28:K$55,$C106)=$B106</f>
        <v>0</v>
      </c>
      <c r="F106" s="4" t="b" cm="1">
        <f t="array" ref="F106">INDEX(L$28:L$55,$C106)=$B106</f>
        <v>0</v>
      </c>
      <c r="G106" s="4" t="b" cm="1">
        <f t="array" ref="G106">INDEX(M$28:M$55,$C106)=$B106</f>
        <v>0</v>
      </c>
    </row>
    <row r="107" spans="2:7" x14ac:dyDescent="0.25">
      <c r="B107" s="4">
        <v>4</v>
      </c>
      <c r="C107" s="4">
        <f t="shared" si="14"/>
        <v>20</v>
      </c>
      <c r="D107" s="4" t="b" cm="1">
        <f t="array" ref="D107">INDEX(J$28:J$55,$C107)=$B107</f>
        <v>1</v>
      </c>
      <c r="E107" s="4" t="b" cm="1">
        <f t="array" ref="E107">INDEX(K$28:K$55,$C107)=$B107</f>
        <v>1</v>
      </c>
      <c r="F107" s="4" t="b" cm="1">
        <f t="array" ref="F107">INDEX(L$28:L$55,$C107)=$B107</f>
        <v>0</v>
      </c>
      <c r="G107" s="4" t="b" cm="1">
        <f t="array" ref="G107">INDEX(M$28:M$55,$C107)=$B107</f>
        <v>0</v>
      </c>
    </row>
    <row r="108" spans="2:7" x14ac:dyDescent="0.25">
      <c r="B108" s="4">
        <v>1</v>
      </c>
      <c r="C108" s="4">
        <f t="shared" si="14"/>
        <v>21</v>
      </c>
      <c r="D108" s="4" t="b" cm="1">
        <f t="array" ref="D108">INDEX(J$28:J$55,$C108)=$B108</f>
        <v>1</v>
      </c>
      <c r="E108" s="4" t="b" cm="1">
        <f t="array" ref="E108">INDEX(K$28:K$55,$C108)=$B108</f>
        <v>0</v>
      </c>
      <c r="F108" s="4" t="b" cm="1">
        <f t="array" ref="F108">INDEX(L$28:L$55,$C108)=$B108</f>
        <v>1</v>
      </c>
      <c r="G108" s="4" t="b" cm="1">
        <f t="array" ref="G108">INDEX(M$28:M$55,$C108)=$B108</f>
        <v>1</v>
      </c>
    </row>
    <row r="109" spans="2:7" x14ac:dyDescent="0.25">
      <c r="B109" s="4">
        <v>2</v>
      </c>
      <c r="C109" s="4">
        <f t="shared" si="14"/>
        <v>21</v>
      </c>
      <c r="D109" s="4" t="b" cm="1">
        <f t="array" ref="D109">INDEX(J$28:J$55,$C109)=$B109</f>
        <v>0</v>
      </c>
      <c r="E109" s="4" t="b" cm="1">
        <f t="array" ref="E109">INDEX(K$28:K$55,$C109)=$B109</f>
        <v>0</v>
      </c>
      <c r="F109" s="4" t="b" cm="1">
        <f t="array" ref="F109">INDEX(L$28:L$55,$C109)=$B109</f>
        <v>0</v>
      </c>
      <c r="G109" s="4" t="b" cm="1">
        <f t="array" ref="G109">INDEX(M$28:M$55,$C109)=$B109</f>
        <v>0</v>
      </c>
    </row>
    <row r="110" spans="2:7" x14ac:dyDescent="0.25">
      <c r="B110" s="4">
        <v>3</v>
      </c>
      <c r="C110" s="4">
        <f t="shared" si="14"/>
        <v>21</v>
      </c>
      <c r="D110" s="4" t="b" cm="1">
        <f t="array" ref="D110">INDEX(J$28:J$55,$C110)=$B110</f>
        <v>0</v>
      </c>
      <c r="E110" s="4" t="b" cm="1">
        <f t="array" ref="E110">INDEX(K$28:K$55,$C110)=$B110</f>
        <v>1</v>
      </c>
      <c r="F110" s="4" t="b" cm="1">
        <f t="array" ref="F110">INDEX(L$28:L$55,$C110)=$B110</f>
        <v>0</v>
      </c>
      <c r="G110" s="4" t="b" cm="1">
        <f t="array" ref="G110">INDEX(M$28:M$55,$C110)=$B110</f>
        <v>0</v>
      </c>
    </row>
    <row r="111" spans="2:7" x14ac:dyDescent="0.25">
      <c r="B111" s="4">
        <v>4</v>
      </c>
      <c r="C111" s="4">
        <f t="shared" si="14"/>
        <v>21</v>
      </c>
      <c r="D111" s="4" t="b" cm="1">
        <f t="array" ref="D111">INDEX(J$28:J$55,$C111)=$B111</f>
        <v>0</v>
      </c>
      <c r="E111" s="4" t="b" cm="1">
        <f t="array" ref="E111">INDEX(K$28:K$55,$C111)=$B111</f>
        <v>0</v>
      </c>
      <c r="F111" s="4" t="b" cm="1">
        <f t="array" ref="F111">INDEX(L$28:L$55,$C111)=$B111</f>
        <v>0</v>
      </c>
      <c r="G111" s="4" t="b" cm="1">
        <f t="array" ref="G111">INDEX(M$28:M$55,$C111)=$B111</f>
        <v>0</v>
      </c>
    </row>
    <row r="112" spans="2:7" x14ac:dyDescent="0.25">
      <c r="B112" s="4">
        <v>1</v>
      </c>
      <c r="C112" s="4">
        <f t="shared" si="14"/>
        <v>22</v>
      </c>
      <c r="D112" s="4" t="b" cm="1">
        <f t="array" ref="D112">INDEX(J$28:J$55,$C112)=$B112</f>
        <v>1</v>
      </c>
      <c r="E112" s="4" t="b" cm="1">
        <f t="array" ref="E112">INDEX(K$28:K$55,$C112)=$B112</f>
        <v>0</v>
      </c>
      <c r="F112" s="4" t="b" cm="1">
        <f t="array" ref="F112">INDEX(L$28:L$55,$C112)=$B112</f>
        <v>1</v>
      </c>
      <c r="G112" s="4" t="b" cm="1">
        <f t="array" ref="G112">INDEX(M$28:M$55,$C112)=$B112</f>
        <v>1</v>
      </c>
    </row>
    <row r="113" spans="2:7" x14ac:dyDescent="0.25">
      <c r="B113" s="4">
        <v>2</v>
      </c>
      <c r="C113" s="4">
        <f t="shared" si="14"/>
        <v>22</v>
      </c>
      <c r="D113" s="4" t="b" cm="1">
        <f t="array" ref="D113">INDEX(J$28:J$55,$C113)=$B113</f>
        <v>0</v>
      </c>
      <c r="E113" s="4" t="b" cm="1">
        <f t="array" ref="E113">INDEX(K$28:K$55,$C113)=$B113</f>
        <v>0</v>
      </c>
      <c r="F113" s="4" t="b" cm="1">
        <f t="array" ref="F113">INDEX(L$28:L$55,$C113)=$B113</f>
        <v>0</v>
      </c>
      <c r="G113" s="4" t="b" cm="1">
        <f t="array" ref="G113">INDEX(M$28:M$55,$C113)=$B113</f>
        <v>0</v>
      </c>
    </row>
    <row r="114" spans="2:7" x14ac:dyDescent="0.25">
      <c r="B114" s="4">
        <v>3</v>
      </c>
      <c r="C114" s="4">
        <f t="shared" si="14"/>
        <v>22</v>
      </c>
      <c r="D114" s="4" t="b" cm="1">
        <f t="array" ref="D114">INDEX(J$28:J$55,$C114)=$B114</f>
        <v>0</v>
      </c>
      <c r="E114" s="4" t="b" cm="1">
        <f t="array" ref="E114">INDEX(K$28:K$55,$C114)=$B114</f>
        <v>1</v>
      </c>
      <c r="F114" s="4" t="b" cm="1">
        <f t="array" ref="F114">INDEX(L$28:L$55,$C114)=$B114</f>
        <v>0</v>
      </c>
      <c r="G114" s="4" t="b" cm="1">
        <f t="array" ref="G114">INDEX(M$28:M$55,$C114)=$B114</f>
        <v>0</v>
      </c>
    </row>
    <row r="115" spans="2:7" x14ac:dyDescent="0.25">
      <c r="B115" s="4">
        <v>4</v>
      </c>
      <c r="C115" s="4">
        <f t="shared" si="14"/>
        <v>22</v>
      </c>
      <c r="D115" s="4" t="b" cm="1">
        <f t="array" ref="D115">INDEX(J$28:J$55,$C115)=$B115</f>
        <v>0</v>
      </c>
      <c r="E115" s="4" t="b" cm="1">
        <f t="array" ref="E115">INDEX(K$28:K$55,$C115)=$B115</f>
        <v>0</v>
      </c>
      <c r="F115" s="4" t="b" cm="1">
        <f t="array" ref="F115">INDEX(L$28:L$55,$C115)=$B115</f>
        <v>0</v>
      </c>
      <c r="G115" s="4" t="b" cm="1">
        <f t="array" ref="G115">INDEX(M$28:M$55,$C115)=$B115</f>
        <v>0</v>
      </c>
    </row>
    <row r="116" spans="2:7" x14ac:dyDescent="0.25">
      <c r="B116" s="4">
        <v>1</v>
      </c>
      <c r="C116" s="4">
        <f t="shared" si="14"/>
        <v>23</v>
      </c>
      <c r="D116" s="4" t="b" cm="1">
        <f t="array" ref="D116">INDEX(J$28:J$55,$C116)=$B116</f>
        <v>0</v>
      </c>
      <c r="E116" s="4" t="b" cm="1">
        <f t="array" ref="E116">INDEX(K$28:K$55,$C116)=$B116</f>
        <v>1</v>
      </c>
      <c r="F116" s="4" t="b" cm="1">
        <f t="array" ref="F116">INDEX(L$28:L$55,$C116)=$B116</f>
        <v>0</v>
      </c>
      <c r="G116" s="4" t="b" cm="1">
        <f t="array" ref="G116">INDEX(M$28:M$55,$C116)=$B116</f>
        <v>0</v>
      </c>
    </row>
    <row r="117" spans="2:7" x14ac:dyDescent="0.25">
      <c r="B117" s="4">
        <v>2</v>
      </c>
      <c r="C117" s="4">
        <f t="shared" si="14"/>
        <v>23</v>
      </c>
      <c r="D117" s="4" t="b" cm="1">
        <f t="array" ref="D117">INDEX(J$28:J$55,$C117)=$B117</f>
        <v>0</v>
      </c>
      <c r="E117" s="4" t="b" cm="1">
        <f t="array" ref="E117">INDEX(K$28:K$55,$C117)=$B117</f>
        <v>0</v>
      </c>
      <c r="F117" s="4" t="b" cm="1">
        <f t="array" ref="F117">INDEX(L$28:L$55,$C117)=$B117</f>
        <v>1</v>
      </c>
      <c r="G117" s="4" t="b" cm="1">
        <f t="array" ref="G117">INDEX(M$28:M$55,$C117)=$B117</f>
        <v>0</v>
      </c>
    </row>
    <row r="118" spans="2:7" x14ac:dyDescent="0.25">
      <c r="B118" s="4">
        <v>3</v>
      </c>
      <c r="C118" s="4">
        <f t="shared" si="14"/>
        <v>23</v>
      </c>
      <c r="D118" s="4" t="b" cm="1">
        <f t="array" ref="D118">INDEX(J$28:J$55,$C118)=$B118</f>
        <v>1</v>
      </c>
      <c r="E118" s="4" t="b" cm="1">
        <f t="array" ref="E118">INDEX(K$28:K$55,$C118)=$B118</f>
        <v>0</v>
      </c>
      <c r="F118" s="4" t="b" cm="1">
        <f t="array" ref="F118">INDEX(L$28:L$55,$C118)=$B118</f>
        <v>0</v>
      </c>
      <c r="G118" s="4" t="b" cm="1">
        <f t="array" ref="G118">INDEX(M$28:M$55,$C118)=$B118</f>
        <v>0</v>
      </c>
    </row>
    <row r="119" spans="2:7" x14ac:dyDescent="0.25">
      <c r="B119" s="4">
        <v>4</v>
      </c>
      <c r="C119" s="4">
        <f t="shared" si="14"/>
        <v>23</v>
      </c>
      <c r="D119" s="4" t="b" cm="1">
        <f t="array" ref="D119">INDEX(J$28:J$55,$C119)=$B119</f>
        <v>0</v>
      </c>
      <c r="E119" s="4" t="b" cm="1">
        <f t="array" ref="E119">INDEX(K$28:K$55,$C119)=$B119</f>
        <v>0</v>
      </c>
      <c r="F119" s="4" t="b" cm="1">
        <f t="array" ref="F119">INDEX(L$28:L$55,$C119)=$B119</f>
        <v>0</v>
      </c>
      <c r="G119" s="4" t="b" cm="1">
        <f t="array" ref="G119">INDEX(M$28:M$55,$C119)=$B119</f>
        <v>1</v>
      </c>
    </row>
    <row r="120" spans="2:7" x14ac:dyDescent="0.25">
      <c r="B120" s="4">
        <v>1</v>
      </c>
      <c r="C120" s="4">
        <f t="shared" si="14"/>
        <v>24</v>
      </c>
      <c r="D120" s="4" t="b" cm="1">
        <f t="array" ref="D120">INDEX(J$28:J$55,$C120)=$B120</f>
        <v>1</v>
      </c>
      <c r="E120" s="4" t="b" cm="1">
        <f t="array" ref="E120">INDEX(K$28:K$55,$C120)=$B120</f>
        <v>0</v>
      </c>
      <c r="F120" s="4" t="b" cm="1">
        <f t="array" ref="F120">INDEX(L$28:L$55,$C120)=$B120</f>
        <v>1</v>
      </c>
      <c r="G120" s="4" t="b" cm="1">
        <f t="array" ref="G120">INDEX(M$28:M$55,$C120)=$B120</f>
        <v>1</v>
      </c>
    </row>
    <row r="121" spans="2:7" x14ac:dyDescent="0.25">
      <c r="B121" s="4">
        <v>2</v>
      </c>
      <c r="C121" s="4">
        <f t="shared" si="14"/>
        <v>24</v>
      </c>
      <c r="D121" s="4" t="b" cm="1">
        <f t="array" ref="D121">INDEX(J$28:J$55,$C121)=$B121</f>
        <v>0</v>
      </c>
      <c r="E121" s="4" t="b" cm="1">
        <f t="array" ref="E121">INDEX(K$28:K$55,$C121)=$B121</f>
        <v>0</v>
      </c>
      <c r="F121" s="4" t="b" cm="1">
        <f t="array" ref="F121">INDEX(L$28:L$55,$C121)=$B121</f>
        <v>0</v>
      </c>
      <c r="G121" s="4" t="b" cm="1">
        <f t="array" ref="G121">INDEX(M$28:M$55,$C121)=$B121</f>
        <v>0</v>
      </c>
    </row>
    <row r="122" spans="2:7" x14ac:dyDescent="0.25">
      <c r="B122" s="4">
        <v>3</v>
      </c>
      <c r="C122" s="4">
        <f t="shared" si="14"/>
        <v>24</v>
      </c>
      <c r="D122" s="4" t="b" cm="1">
        <f t="array" ref="D122">INDEX(J$28:J$55,$C122)=$B122</f>
        <v>0</v>
      </c>
      <c r="E122" s="4" t="b" cm="1">
        <f t="array" ref="E122">INDEX(K$28:K$55,$C122)=$B122</f>
        <v>1</v>
      </c>
      <c r="F122" s="4" t="b" cm="1">
        <f t="array" ref="F122">INDEX(L$28:L$55,$C122)=$B122</f>
        <v>0</v>
      </c>
      <c r="G122" s="4" t="b" cm="1">
        <f t="array" ref="G122">INDEX(M$28:M$55,$C122)=$B122</f>
        <v>0</v>
      </c>
    </row>
    <row r="123" spans="2:7" x14ac:dyDescent="0.25">
      <c r="B123" s="4">
        <v>4</v>
      </c>
      <c r="C123" s="4">
        <f t="shared" si="14"/>
        <v>24</v>
      </c>
      <c r="D123" s="4" t="b" cm="1">
        <f t="array" ref="D123">INDEX(J$28:J$55,$C123)=$B123</f>
        <v>0</v>
      </c>
      <c r="E123" s="4" t="b" cm="1">
        <f t="array" ref="E123">INDEX(K$28:K$55,$C123)=$B123</f>
        <v>0</v>
      </c>
      <c r="F123" s="4" t="b" cm="1">
        <f t="array" ref="F123">INDEX(L$28:L$55,$C123)=$B123</f>
        <v>0</v>
      </c>
      <c r="G123" s="4" t="b" cm="1">
        <f t="array" ref="G123">INDEX(M$28:M$55,$C123)=$B123</f>
        <v>0</v>
      </c>
    </row>
    <row r="124" spans="2:7" x14ac:dyDescent="0.25">
      <c r="B124" s="4">
        <v>1</v>
      </c>
      <c r="C124" s="4">
        <f t="shared" si="14"/>
        <v>25</v>
      </c>
      <c r="D124" s="4" t="b" cm="1">
        <f t="array" ref="D124">INDEX(J$28:J$55,$C124)=$B124</f>
        <v>0</v>
      </c>
      <c r="E124" s="4" t="b" cm="1">
        <f t="array" ref="E124">INDEX(K$28:K$55,$C124)=$B124</f>
        <v>0</v>
      </c>
      <c r="F124" s="4" t="b" cm="1">
        <f t="array" ref="F124">INDEX(L$28:L$55,$C124)=$B124</f>
        <v>0</v>
      </c>
      <c r="G124" s="4" t="b" cm="1">
        <f t="array" ref="G124">INDEX(M$28:M$55,$C124)=$B124</f>
        <v>1</v>
      </c>
    </row>
    <row r="125" spans="2:7" x14ac:dyDescent="0.25">
      <c r="B125" s="4">
        <v>2</v>
      </c>
      <c r="C125" s="4">
        <f t="shared" si="14"/>
        <v>25</v>
      </c>
      <c r="D125" s="4" t="b" cm="1">
        <f t="array" ref="D125">INDEX(J$28:J$55,$C125)=$B125</f>
        <v>0</v>
      </c>
      <c r="E125" s="4" t="b" cm="1">
        <f t="array" ref="E125">INDEX(K$28:K$55,$C125)=$B125</f>
        <v>1</v>
      </c>
      <c r="F125" s="4" t="b" cm="1">
        <f t="array" ref="F125">INDEX(L$28:L$55,$C125)=$B125</f>
        <v>0</v>
      </c>
      <c r="G125" s="4" t="b" cm="1">
        <f t="array" ref="G125">INDEX(M$28:M$55,$C125)=$B125</f>
        <v>0</v>
      </c>
    </row>
    <row r="126" spans="2:7" x14ac:dyDescent="0.25">
      <c r="B126" s="4">
        <v>3</v>
      </c>
      <c r="C126" s="4">
        <f t="shared" si="14"/>
        <v>25</v>
      </c>
      <c r="D126" s="4" t="b" cm="1">
        <f t="array" ref="D126">INDEX(J$28:J$55,$C126)=$B126</f>
        <v>1</v>
      </c>
      <c r="E126" s="4" t="b" cm="1">
        <f t="array" ref="E126">INDEX(K$28:K$55,$C126)=$B126</f>
        <v>0</v>
      </c>
      <c r="F126" s="4" t="b" cm="1">
        <f t="array" ref="F126">INDEX(L$28:L$55,$C126)=$B126</f>
        <v>0</v>
      </c>
      <c r="G126" s="4" t="b" cm="1">
        <f t="array" ref="G126">INDEX(M$28:M$55,$C126)=$B126</f>
        <v>0</v>
      </c>
    </row>
    <row r="127" spans="2:7" x14ac:dyDescent="0.25">
      <c r="B127" s="4">
        <v>4</v>
      </c>
      <c r="C127" s="4">
        <f t="shared" si="14"/>
        <v>25</v>
      </c>
      <c r="D127" s="4" t="b" cm="1">
        <f t="array" ref="D127">INDEX(J$28:J$55,$C127)=$B127</f>
        <v>0</v>
      </c>
      <c r="E127" s="4" t="b" cm="1">
        <f t="array" ref="E127">INDEX(K$28:K$55,$C127)=$B127</f>
        <v>0</v>
      </c>
      <c r="F127" s="4" t="b" cm="1">
        <f t="array" ref="F127">INDEX(L$28:L$55,$C127)=$B127</f>
        <v>1</v>
      </c>
      <c r="G127" s="4" t="b" cm="1">
        <f t="array" ref="G127">INDEX(M$28:M$55,$C127)=$B127</f>
        <v>0</v>
      </c>
    </row>
    <row r="128" spans="2:7" x14ac:dyDescent="0.25">
      <c r="B128" s="4">
        <v>1</v>
      </c>
      <c r="C128" s="4">
        <f t="shared" si="14"/>
        <v>26</v>
      </c>
      <c r="D128" s="4" t="b" cm="1">
        <f t="array" ref="D128">INDEX(J$28:J$55,$C128)=$B128</f>
        <v>0</v>
      </c>
      <c r="E128" s="4" t="b" cm="1">
        <f t="array" ref="E128">INDEX(K$28:K$55,$C128)=$B128</f>
        <v>1</v>
      </c>
      <c r="F128" s="4" t="b" cm="1">
        <f t="array" ref="F128">INDEX(L$28:L$55,$C128)=$B128</f>
        <v>1</v>
      </c>
      <c r="G128" s="4" t="b" cm="1">
        <f t="array" ref="G128">INDEX(M$28:M$55,$C128)=$B128</f>
        <v>0</v>
      </c>
    </row>
    <row r="129" spans="2:7" x14ac:dyDescent="0.25">
      <c r="B129" s="4">
        <v>2</v>
      </c>
      <c r="C129" s="4">
        <f t="shared" si="14"/>
        <v>26</v>
      </c>
      <c r="D129" s="4" t="b" cm="1">
        <f t="array" ref="D129">INDEX(J$28:J$55,$C129)=$B129</f>
        <v>1</v>
      </c>
      <c r="E129" s="4" t="b" cm="1">
        <f t="array" ref="E129">INDEX(K$28:K$55,$C129)=$B129</f>
        <v>0</v>
      </c>
      <c r="F129" s="4" t="b" cm="1">
        <f t="array" ref="F129">INDEX(L$28:L$55,$C129)=$B129</f>
        <v>0</v>
      </c>
      <c r="G129" s="4" t="b" cm="1">
        <f t="array" ref="G129">INDEX(M$28:M$55,$C129)=$B129</f>
        <v>1</v>
      </c>
    </row>
    <row r="130" spans="2:7" x14ac:dyDescent="0.25">
      <c r="B130" s="4">
        <v>3</v>
      </c>
      <c r="C130" s="4">
        <f t="shared" si="14"/>
        <v>26</v>
      </c>
      <c r="D130" s="4" t="b" cm="1">
        <f t="array" ref="D130">INDEX(J$28:J$55,$C130)=$B130</f>
        <v>0</v>
      </c>
      <c r="E130" s="4" t="b" cm="1">
        <f t="array" ref="E130">INDEX(K$28:K$55,$C130)=$B130</f>
        <v>0</v>
      </c>
      <c r="F130" s="4" t="b" cm="1">
        <f t="array" ref="F130">INDEX(L$28:L$55,$C130)=$B130</f>
        <v>0</v>
      </c>
      <c r="G130" s="4" t="b" cm="1">
        <f t="array" ref="G130">INDEX(M$28:M$55,$C130)=$B130</f>
        <v>0</v>
      </c>
    </row>
    <row r="131" spans="2:7" x14ac:dyDescent="0.25">
      <c r="B131" s="4">
        <v>4</v>
      </c>
      <c r="C131" s="4">
        <f t="shared" si="14"/>
        <v>26</v>
      </c>
      <c r="D131" s="4" t="b" cm="1">
        <f t="array" ref="D131">INDEX(J$28:J$55,$C131)=$B131</f>
        <v>0</v>
      </c>
      <c r="E131" s="4" t="b" cm="1">
        <f t="array" ref="E131">INDEX(K$28:K$55,$C131)=$B131</f>
        <v>0</v>
      </c>
      <c r="F131" s="4" t="b" cm="1">
        <f t="array" ref="F131">INDEX(L$28:L$55,$C131)=$B131</f>
        <v>0</v>
      </c>
      <c r="G131" s="4" t="b" cm="1">
        <f t="array" ref="G131">INDEX(M$28:M$55,$C131)=$B131</f>
        <v>0</v>
      </c>
    </row>
    <row r="132" spans="2:7" x14ac:dyDescent="0.25">
      <c r="B132" s="4">
        <v>1</v>
      </c>
      <c r="C132" s="4">
        <f t="shared" si="14"/>
        <v>27</v>
      </c>
      <c r="D132" s="4" t="b" cm="1">
        <f t="array" ref="D132">INDEX(J$28:J$55,$C132)=$B132</f>
        <v>1</v>
      </c>
      <c r="E132" s="4" t="b" cm="1">
        <f t="array" ref="E132">INDEX(K$28:K$55,$C132)=$B132</f>
        <v>1</v>
      </c>
      <c r="F132" s="4" t="b" cm="1">
        <f t="array" ref="F132">INDEX(L$28:L$55,$C132)=$B132</f>
        <v>0</v>
      </c>
      <c r="G132" s="4" t="b" cm="1">
        <f t="array" ref="G132">INDEX(M$28:M$55,$C132)=$B132</f>
        <v>1</v>
      </c>
    </row>
    <row r="133" spans="2:7" x14ac:dyDescent="0.25">
      <c r="B133" s="4">
        <v>2</v>
      </c>
      <c r="C133" s="4">
        <f t="shared" si="14"/>
        <v>27</v>
      </c>
      <c r="D133" s="4" t="b" cm="1">
        <f t="array" ref="D133">INDEX(J$28:J$55,$C133)=$B133</f>
        <v>0</v>
      </c>
      <c r="E133" s="4" t="b" cm="1">
        <f t="array" ref="E133">INDEX(K$28:K$55,$C133)=$B133</f>
        <v>0</v>
      </c>
      <c r="F133" s="4" t="b" cm="1">
        <f t="array" ref="F133">INDEX(L$28:L$55,$C133)=$B133</f>
        <v>1</v>
      </c>
      <c r="G133" s="4" t="b" cm="1">
        <f t="array" ref="G133">INDEX(M$28:M$55,$C133)=$B133</f>
        <v>0</v>
      </c>
    </row>
    <row r="134" spans="2:7" x14ac:dyDescent="0.25">
      <c r="B134" s="4">
        <v>3</v>
      </c>
      <c r="C134" s="4">
        <f t="shared" si="14"/>
        <v>27</v>
      </c>
      <c r="D134" s="4" t="b" cm="1">
        <f t="array" ref="D134">INDEX(J$28:J$55,$C134)=$B134</f>
        <v>0</v>
      </c>
      <c r="E134" s="4" t="b" cm="1">
        <f t="array" ref="E134">INDEX(K$28:K$55,$C134)=$B134</f>
        <v>0</v>
      </c>
      <c r="F134" s="4" t="b" cm="1">
        <f t="array" ref="F134">INDEX(L$28:L$55,$C134)=$B134</f>
        <v>0</v>
      </c>
      <c r="G134" s="4" t="b" cm="1">
        <f t="array" ref="G134">INDEX(M$28:M$55,$C134)=$B134</f>
        <v>0</v>
      </c>
    </row>
    <row r="135" spans="2:7" x14ac:dyDescent="0.25">
      <c r="B135" s="4">
        <v>4</v>
      </c>
      <c r="C135" s="4">
        <f t="shared" si="14"/>
        <v>27</v>
      </c>
      <c r="D135" s="4" t="b" cm="1">
        <f t="array" ref="D135">INDEX(J$28:J$55,$C135)=$B135</f>
        <v>0</v>
      </c>
      <c r="E135" s="4" t="b" cm="1">
        <f t="array" ref="E135">INDEX(K$28:K$55,$C135)=$B135</f>
        <v>0</v>
      </c>
      <c r="F135" s="4" t="b" cm="1">
        <f t="array" ref="F135">INDEX(L$28:L$55,$C135)=$B135</f>
        <v>0</v>
      </c>
      <c r="G135" s="4" t="b" cm="1">
        <f t="array" ref="G135">INDEX(M$28:M$55,$C135)=$B135</f>
        <v>0</v>
      </c>
    </row>
    <row r="136" spans="2:7" x14ac:dyDescent="0.25">
      <c r="B136" s="4">
        <v>1</v>
      </c>
      <c r="C136" s="4">
        <f t="shared" si="14"/>
        <v>28</v>
      </c>
      <c r="D136" s="4" t="b" cm="1">
        <f t="array" ref="D136">INDEX(J$28:J$55,$C136)=$B136</f>
        <v>1</v>
      </c>
      <c r="E136" s="4" t="b" cm="1">
        <f t="array" ref="E136">INDEX(K$28:K$55,$C136)=$B136</f>
        <v>1</v>
      </c>
      <c r="F136" s="4" t="b" cm="1">
        <f t="array" ref="F136">INDEX(L$28:L$55,$C136)=$B136</f>
        <v>1</v>
      </c>
      <c r="G136" s="4" t="b" cm="1">
        <f t="array" ref="G136">INDEX(M$28:M$55,$C136)=$B136</f>
        <v>1</v>
      </c>
    </row>
    <row r="137" spans="2:7" x14ac:dyDescent="0.25">
      <c r="B137" s="4">
        <v>2</v>
      </c>
      <c r="C137" s="4">
        <f t="shared" si="14"/>
        <v>28</v>
      </c>
      <c r="D137" s="4" t="b" cm="1">
        <f t="array" ref="D137">INDEX(J$28:J$55,$C137)=$B137</f>
        <v>0</v>
      </c>
      <c r="E137" s="4" t="b" cm="1">
        <f t="array" ref="E137">INDEX(K$28:K$55,$C137)=$B137</f>
        <v>0</v>
      </c>
      <c r="F137" s="4" t="b" cm="1">
        <f t="array" ref="F137">INDEX(L$28:L$55,$C137)=$B137</f>
        <v>0</v>
      </c>
      <c r="G137" s="4" t="b" cm="1">
        <f t="array" ref="G137">INDEX(M$28:M$55,$C137)=$B137</f>
        <v>0</v>
      </c>
    </row>
    <row r="138" spans="2:7" x14ac:dyDescent="0.25">
      <c r="B138" s="4">
        <v>3</v>
      </c>
      <c r="C138" s="4">
        <f t="shared" si="14"/>
        <v>28</v>
      </c>
      <c r="D138" s="4" t="b" cm="1">
        <f t="array" ref="D138">INDEX(J$28:J$55,$C138)=$B138</f>
        <v>0</v>
      </c>
      <c r="E138" s="4" t="b" cm="1">
        <f t="array" ref="E138">INDEX(K$28:K$55,$C138)=$B138</f>
        <v>0</v>
      </c>
      <c r="F138" s="4" t="b" cm="1">
        <f t="array" ref="F138">INDEX(L$28:L$55,$C138)=$B138</f>
        <v>0</v>
      </c>
      <c r="G138" s="4" t="b" cm="1">
        <f t="array" ref="G138">INDEX(M$28:M$55,$C138)=$B138</f>
        <v>0</v>
      </c>
    </row>
    <row r="139" spans="2:7" x14ac:dyDescent="0.25">
      <c r="B139" s="4">
        <v>4</v>
      </c>
      <c r="C139" s="4">
        <f t="shared" si="14"/>
        <v>28</v>
      </c>
      <c r="D139" s="4" t="b" cm="1">
        <f t="array" ref="D139">INDEX(J$28:J$55,$C139)=$B139</f>
        <v>0</v>
      </c>
      <c r="E139" s="4" t="b" cm="1">
        <f t="array" ref="E139">INDEX(K$28:K$55,$C139)=$B139</f>
        <v>0</v>
      </c>
      <c r="F139" s="4" t="b" cm="1">
        <f t="array" ref="F139">INDEX(L$28:L$55,$C139)=$B139</f>
        <v>0</v>
      </c>
      <c r="G139" s="4" t="b" cm="1">
        <f t="array" ref="G139">INDEX(M$28:M$55,$C139)=$B139</f>
        <v>0</v>
      </c>
    </row>
  </sheetData>
  <mergeCells count="1">
    <mergeCell ref="I18:J18"/>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BEFA-DCA0-4D7A-9F00-CF9768A48530}">
  <sheetPr codeName="Sheet3"/>
  <dimension ref="A3:AY37"/>
  <sheetViews>
    <sheetView workbookViewId="0">
      <selection activeCell="D16" sqref="D16"/>
    </sheetView>
  </sheetViews>
  <sheetFormatPr defaultRowHeight="15" x14ac:dyDescent="0.25"/>
  <cols>
    <col min="1" max="1" width="13.42578125" bestFit="1" customWidth="1"/>
    <col min="2" max="2" width="19.5703125" bestFit="1" customWidth="1"/>
    <col min="3" max="3" width="26.140625" bestFit="1" customWidth="1"/>
    <col min="4" max="4" width="24.28515625" bestFit="1" customWidth="1"/>
    <col min="5" max="5" width="29.42578125" bestFit="1" customWidth="1"/>
    <col min="6" max="6" width="27.5703125" bestFit="1" customWidth="1"/>
    <col min="7" max="7" width="22.5703125" bestFit="1" customWidth="1"/>
    <col min="8" max="8" width="28.7109375" bestFit="1" customWidth="1"/>
    <col min="9" max="9" width="34.42578125" bestFit="1" customWidth="1"/>
    <col min="10" max="10" width="10.140625" bestFit="1" customWidth="1"/>
    <col min="11" max="11" width="10.7109375" bestFit="1" customWidth="1"/>
    <col min="12" max="12" width="10" bestFit="1" customWidth="1"/>
    <col min="13" max="13" width="10.7109375" bestFit="1" customWidth="1"/>
    <col min="14" max="14" width="10.140625" bestFit="1" customWidth="1"/>
    <col min="15" max="16" width="10" bestFit="1" customWidth="1"/>
    <col min="17" max="17" width="11.140625" bestFit="1" customWidth="1"/>
    <col min="18" max="18" width="11.7109375" bestFit="1" customWidth="1"/>
    <col min="19" max="19" width="11" bestFit="1" customWidth="1"/>
    <col min="20" max="20" width="11.7109375" bestFit="1" customWidth="1"/>
    <col min="21" max="21" width="11.140625" bestFit="1" customWidth="1"/>
    <col min="22" max="23" width="11" bestFit="1" customWidth="1"/>
    <col min="24" max="24" width="22" bestFit="1" customWidth="1"/>
    <col min="25" max="25" width="26.28515625" bestFit="1" customWidth="1"/>
    <col min="26" max="26" width="28" bestFit="1" customWidth="1"/>
    <col min="27" max="27" width="29" bestFit="1" customWidth="1"/>
    <col min="28" max="28" width="22.28515625" bestFit="1" customWidth="1"/>
    <col min="29" max="29" width="25.140625" bestFit="1" customWidth="1"/>
    <col min="30" max="30" width="22.7109375" bestFit="1" customWidth="1"/>
    <col min="31" max="35" width="18" bestFit="1" customWidth="1"/>
    <col min="36" max="40" width="19" bestFit="1" customWidth="1"/>
    <col min="41" max="42" width="12" bestFit="1" customWidth="1"/>
    <col min="43" max="44" width="12.28515625" bestFit="1" customWidth="1"/>
    <col min="45" max="45" width="12" bestFit="1" customWidth="1"/>
    <col min="46" max="47" width="13.140625" bestFit="1" customWidth="1"/>
    <col min="48" max="49" width="13.42578125" bestFit="1" customWidth="1"/>
    <col min="50" max="50" width="13.140625" bestFit="1" customWidth="1"/>
    <col min="51" max="51" width="14" bestFit="1" customWidth="1"/>
  </cols>
  <sheetData>
    <row r="3" spans="1:51" x14ac:dyDescent="0.25">
      <c r="A3" s="17" t="s">
        <v>82</v>
      </c>
      <c r="B3" t="s">
        <v>84</v>
      </c>
      <c r="C3" t="s">
        <v>85</v>
      </c>
      <c r="D3" t="s">
        <v>86</v>
      </c>
      <c r="E3" t="s">
        <v>87</v>
      </c>
      <c r="F3" t="s">
        <v>88</v>
      </c>
      <c r="G3" t="s">
        <v>89</v>
      </c>
      <c r="H3" t="s">
        <v>90</v>
      </c>
      <c r="I3" t="s">
        <v>91</v>
      </c>
      <c r="J3" t="s">
        <v>92</v>
      </c>
      <c r="K3" t="s">
        <v>93</v>
      </c>
      <c r="L3" t="s">
        <v>94</v>
      </c>
      <c r="M3" t="s">
        <v>95</v>
      </c>
      <c r="N3" t="s">
        <v>96</v>
      </c>
      <c r="O3" t="s">
        <v>97</v>
      </c>
      <c r="P3" t="s">
        <v>98</v>
      </c>
      <c r="Q3" t="s">
        <v>99</v>
      </c>
      <c r="R3" t="s">
        <v>100</v>
      </c>
      <c r="S3" t="s">
        <v>101</v>
      </c>
      <c r="T3" t="s">
        <v>102</v>
      </c>
      <c r="U3" t="s">
        <v>103</v>
      </c>
      <c r="V3" t="s">
        <v>104</v>
      </c>
      <c r="W3" t="s">
        <v>105</v>
      </c>
      <c r="X3" t="s">
        <v>106</v>
      </c>
      <c r="Y3" t="s">
        <v>107</v>
      </c>
      <c r="Z3" t="s">
        <v>108</v>
      </c>
      <c r="AA3" t="s">
        <v>109</v>
      </c>
      <c r="AB3" t="s">
        <v>110</v>
      </c>
      <c r="AC3" t="s">
        <v>111</v>
      </c>
      <c r="AD3" t="s">
        <v>112</v>
      </c>
      <c r="AE3" t="s">
        <v>116</v>
      </c>
      <c r="AF3" t="s">
        <v>117</v>
      </c>
      <c r="AG3" t="s">
        <v>118</v>
      </c>
      <c r="AH3" t="s">
        <v>119</v>
      </c>
      <c r="AI3" t="s">
        <v>120</v>
      </c>
      <c r="AJ3" t="s">
        <v>121</v>
      </c>
      <c r="AK3" t="s">
        <v>122</v>
      </c>
      <c r="AL3" t="s">
        <v>123</v>
      </c>
      <c r="AM3" t="s">
        <v>124</v>
      </c>
      <c r="AN3" t="s">
        <v>125</v>
      </c>
      <c r="AO3" t="s">
        <v>131</v>
      </c>
      <c r="AP3" t="s">
        <v>132</v>
      </c>
      <c r="AQ3" t="s">
        <v>133</v>
      </c>
      <c r="AR3" t="s">
        <v>134</v>
      </c>
      <c r="AS3" t="s">
        <v>135</v>
      </c>
      <c r="AT3" t="s">
        <v>136</v>
      </c>
      <c r="AU3" t="s">
        <v>137</v>
      </c>
      <c r="AV3" t="s">
        <v>138</v>
      </c>
      <c r="AW3" t="s">
        <v>139</v>
      </c>
      <c r="AX3" t="s">
        <v>140</v>
      </c>
      <c r="AY3" t="s">
        <v>113</v>
      </c>
    </row>
    <row r="4" spans="1:51" x14ac:dyDescent="0.25">
      <c r="A4" s="16" t="s">
        <v>3</v>
      </c>
      <c r="B4" s="39">
        <v>36840</v>
      </c>
      <c r="C4" s="39">
        <v>23340</v>
      </c>
      <c r="D4" s="39">
        <v>36425</v>
      </c>
      <c r="E4" s="39">
        <v>33470</v>
      </c>
      <c r="F4" s="39">
        <v>30730</v>
      </c>
      <c r="G4" s="18">
        <v>0.36</v>
      </c>
      <c r="H4" s="18">
        <v>0.45</v>
      </c>
      <c r="I4" s="18">
        <v>0.18999999999999995</v>
      </c>
      <c r="J4" s="39">
        <v>28363</v>
      </c>
      <c r="K4" s="39">
        <v>32559</v>
      </c>
      <c r="L4" s="39">
        <v>2859</v>
      </c>
      <c r="M4" s="39">
        <v>44682</v>
      </c>
      <c r="N4" s="39">
        <v>89111</v>
      </c>
      <c r="O4" s="39">
        <v>8141</v>
      </c>
      <c r="P4" s="39">
        <v>34285</v>
      </c>
      <c r="Q4" s="39">
        <v>19542</v>
      </c>
      <c r="R4" s="39">
        <v>42659</v>
      </c>
      <c r="S4" s="39">
        <v>40003</v>
      </c>
      <c r="T4" s="39">
        <v>20115</v>
      </c>
      <c r="U4" s="39">
        <v>40007</v>
      </c>
      <c r="V4" s="39">
        <v>40200</v>
      </c>
      <c r="W4" s="39">
        <v>33754</v>
      </c>
      <c r="X4" s="18">
        <v>0.31</v>
      </c>
      <c r="Y4" s="18">
        <v>0.3</v>
      </c>
      <c r="Z4" s="18">
        <v>0.12</v>
      </c>
      <c r="AA4" s="18">
        <v>7.0000000000000007E-2</v>
      </c>
      <c r="AB4" s="18">
        <v>0.19999999999999996</v>
      </c>
      <c r="AC4" s="18">
        <v>0.4</v>
      </c>
      <c r="AD4" s="18">
        <v>0.24</v>
      </c>
      <c r="AE4" s="39">
        <v>6700</v>
      </c>
      <c r="AF4" s="39">
        <v>5700</v>
      </c>
      <c r="AG4" s="39">
        <v>4500</v>
      </c>
      <c r="AH4" s="39">
        <v>5000</v>
      </c>
      <c r="AI4" s="39">
        <v>2700</v>
      </c>
      <c r="AJ4" s="39">
        <v>5900</v>
      </c>
      <c r="AK4" s="39">
        <v>6100</v>
      </c>
      <c r="AL4" s="39">
        <v>5500</v>
      </c>
      <c r="AM4" s="39">
        <v>3500</v>
      </c>
      <c r="AN4" s="39">
        <v>6100</v>
      </c>
      <c r="AO4" s="18">
        <v>1.24</v>
      </c>
      <c r="AP4" s="18">
        <v>1.06</v>
      </c>
      <c r="AQ4" s="18">
        <v>1.08</v>
      </c>
      <c r="AR4" s="18">
        <v>0.91</v>
      </c>
      <c r="AS4" s="18">
        <v>1.07</v>
      </c>
      <c r="AT4" s="18">
        <v>0.26</v>
      </c>
      <c r="AU4" s="18">
        <v>0.31</v>
      </c>
      <c r="AV4" s="18">
        <v>0.56000000000000005</v>
      </c>
      <c r="AW4" s="18">
        <v>0.7</v>
      </c>
      <c r="AX4" s="18">
        <v>0.3</v>
      </c>
      <c r="AY4" s="39">
        <v>160805</v>
      </c>
    </row>
    <row r="5" spans="1:51" x14ac:dyDescent="0.25">
      <c r="A5" s="16" t="s">
        <v>83</v>
      </c>
      <c r="B5" s="39">
        <v>36840</v>
      </c>
      <c r="C5" s="39">
        <v>23340</v>
      </c>
      <c r="D5" s="39">
        <v>36425</v>
      </c>
      <c r="E5" s="39">
        <v>33470</v>
      </c>
      <c r="F5" s="39">
        <v>30730</v>
      </c>
      <c r="G5" s="18">
        <v>0.36</v>
      </c>
      <c r="H5" s="18">
        <v>0.45</v>
      </c>
      <c r="I5" s="18">
        <v>0.18999999999999995</v>
      </c>
      <c r="J5" s="39">
        <v>28363</v>
      </c>
      <c r="K5" s="39">
        <v>32559</v>
      </c>
      <c r="L5" s="39">
        <v>2859</v>
      </c>
      <c r="M5" s="39">
        <v>44682</v>
      </c>
      <c r="N5" s="39">
        <v>89111</v>
      </c>
      <c r="O5" s="39">
        <v>8141</v>
      </c>
      <c r="P5" s="39">
        <v>34285</v>
      </c>
      <c r="Q5" s="39">
        <v>19542</v>
      </c>
      <c r="R5" s="39">
        <v>42659</v>
      </c>
      <c r="S5" s="39">
        <v>40003</v>
      </c>
      <c r="T5" s="39">
        <v>20115</v>
      </c>
      <c r="U5" s="39">
        <v>40007</v>
      </c>
      <c r="V5" s="39">
        <v>40200</v>
      </c>
      <c r="W5" s="39">
        <v>33754</v>
      </c>
      <c r="X5" s="18">
        <v>0.31</v>
      </c>
      <c r="Y5" s="18">
        <v>0.3</v>
      </c>
      <c r="Z5" s="18">
        <v>0.12</v>
      </c>
      <c r="AA5" s="18">
        <v>7.0000000000000007E-2</v>
      </c>
      <c r="AB5" s="18">
        <v>0.19999999999999996</v>
      </c>
      <c r="AC5" s="18">
        <v>0.4</v>
      </c>
      <c r="AD5" s="18">
        <v>0.24</v>
      </c>
      <c r="AE5" s="39">
        <v>6700</v>
      </c>
      <c r="AF5" s="39">
        <v>5700</v>
      </c>
      <c r="AG5" s="39">
        <v>4500</v>
      </c>
      <c r="AH5" s="39">
        <v>5000</v>
      </c>
      <c r="AI5" s="39">
        <v>2700</v>
      </c>
      <c r="AJ5" s="39">
        <v>5900</v>
      </c>
      <c r="AK5" s="39">
        <v>6100</v>
      </c>
      <c r="AL5" s="39">
        <v>5500</v>
      </c>
      <c r="AM5" s="39">
        <v>3500</v>
      </c>
      <c r="AN5" s="39">
        <v>6100</v>
      </c>
      <c r="AO5" s="18">
        <v>1.24</v>
      </c>
      <c r="AP5" s="18">
        <v>1.06</v>
      </c>
      <c r="AQ5" s="18">
        <v>1.08</v>
      </c>
      <c r="AR5" s="18">
        <v>0.91</v>
      </c>
      <c r="AS5" s="18">
        <v>1.07</v>
      </c>
      <c r="AT5" s="18">
        <v>0.26</v>
      </c>
      <c r="AU5" s="18">
        <v>0.31</v>
      </c>
      <c r="AV5" s="18">
        <v>0.56000000000000005</v>
      </c>
      <c r="AW5" s="18">
        <v>0.7</v>
      </c>
      <c r="AX5" s="18">
        <v>0.3</v>
      </c>
      <c r="AY5" s="39">
        <v>160805</v>
      </c>
    </row>
    <row r="20" spans="1:3" x14ac:dyDescent="0.25">
      <c r="A20" s="17" t="s">
        <v>82</v>
      </c>
      <c r="B20" t="s">
        <v>113</v>
      </c>
      <c r="C20" t="s">
        <v>114</v>
      </c>
    </row>
    <row r="21" spans="1:3" x14ac:dyDescent="0.25">
      <c r="A21" s="16" t="s">
        <v>0</v>
      </c>
      <c r="B21" s="39">
        <v>107635</v>
      </c>
      <c r="C21" s="39">
        <v>120000</v>
      </c>
    </row>
    <row r="22" spans="1:3" x14ac:dyDescent="0.25">
      <c r="A22" s="16" t="s">
        <v>1</v>
      </c>
      <c r="B22" s="39">
        <v>153595</v>
      </c>
      <c r="C22" s="39">
        <v>120000</v>
      </c>
    </row>
    <row r="23" spans="1:3" x14ac:dyDescent="0.25">
      <c r="A23" s="16" t="s">
        <v>2</v>
      </c>
      <c r="B23" s="39">
        <v>156760</v>
      </c>
      <c r="C23" s="39">
        <v>120000</v>
      </c>
    </row>
    <row r="24" spans="1:3" x14ac:dyDescent="0.25">
      <c r="A24" s="16" t="s">
        <v>3</v>
      </c>
      <c r="B24" s="39">
        <v>160805</v>
      </c>
      <c r="C24" s="39">
        <v>120000</v>
      </c>
    </row>
    <row r="25" spans="1:3" x14ac:dyDescent="0.25">
      <c r="A25" s="16" t="s">
        <v>4</v>
      </c>
      <c r="B25" s="39">
        <v>220180</v>
      </c>
      <c r="C25" s="39">
        <v>120000</v>
      </c>
    </row>
    <row r="26" spans="1:3" x14ac:dyDescent="0.25">
      <c r="A26" s="16" t="s">
        <v>5</v>
      </c>
      <c r="B26" s="39">
        <v>254540</v>
      </c>
      <c r="C26" s="39">
        <v>120000</v>
      </c>
    </row>
    <row r="27" spans="1:3" x14ac:dyDescent="0.25">
      <c r="A27" s="16" t="s">
        <v>6</v>
      </c>
      <c r="B27" s="39">
        <v>254180</v>
      </c>
      <c r="C27" s="39">
        <v>120000</v>
      </c>
    </row>
    <row r="28" spans="1:3" x14ac:dyDescent="0.25">
      <c r="A28" s="16" t="s">
        <v>7</v>
      </c>
      <c r="B28" s="39">
        <v>253290</v>
      </c>
      <c r="C28" s="39">
        <v>120000</v>
      </c>
    </row>
    <row r="29" spans="1:3" x14ac:dyDescent="0.25">
      <c r="A29" s="16" t="s">
        <v>8</v>
      </c>
      <c r="B29" s="39">
        <v>242850</v>
      </c>
      <c r="C29" s="39">
        <v>120000</v>
      </c>
    </row>
    <row r="30" spans="1:3" x14ac:dyDescent="0.25">
      <c r="A30" s="16" t="s">
        <v>9</v>
      </c>
      <c r="B30" s="39">
        <v>237680</v>
      </c>
      <c r="C30" s="39">
        <v>120000</v>
      </c>
    </row>
    <row r="31" spans="1:3" x14ac:dyDescent="0.25">
      <c r="A31" s="16" t="s">
        <v>10</v>
      </c>
      <c r="B31" s="39">
        <v>197370</v>
      </c>
      <c r="C31" s="39">
        <v>120000</v>
      </c>
    </row>
    <row r="32" spans="1:3" x14ac:dyDescent="0.25">
      <c r="A32" s="16" t="s">
        <v>11</v>
      </c>
      <c r="B32" s="39">
        <v>98395</v>
      </c>
      <c r="C32" s="39">
        <v>120000</v>
      </c>
    </row>
    <row r="33" spans="1:3" x14ac:dyDescent="0.25">
      <c r="A33" s="16" t="s">
        <v>83</v>
      </c>
      <c r="B33" s="39">
        <v>2337280</v>
      </c>
      <c r="C33" s="39">
        <v>120000</v>
      </c>
    </row>
    <row r="36" spans="1:3" x14ac:dyDescent="0.25">
      <c r="A36" s="17" t="s">
        <v>82</v>
      </c>
    </row>
    <row r="37" spans="1:3" x14ac:dyDescent="0.25">
      <c r="A37" s="16">
        <v>2025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2DCB-0A53-40B8-AD74-1663C6858320}">
  <sheetPr codeName="Sheet4"/>
  <dimension ref="A1:BA51"/>
  <sheetViews>
    <sheetView topLeftCell="AI1" zoomScaleNormal="100" workbookViewId="0">
      <selection activeCell="L3" sqref="L3"/>
    </sheetView>
  </sheetViews>
  <sheetFormatPr defaultRowHeight="15" x14ac:dyDescent="0.25"/>
  <cols>
    <col min="1" max="2" width="8.85546875" style="11"/>
    <col min="3" max="3" width="12.7109375" style="11" customWidth="1"/>
    <col min="4" max="4" width="13.140625" style="11" customWidth="1"/>
    <col min="5" max="5" width="9.5703125" style="11" customWidth="1"/>
    <col min="6" max="6" width="11.42578125" style="11" customWidth="1"/>
    <col min="7" max="7" width="11.28515625" style="11" customWidth="1"/>
    <col min="8" max="8" width="8" customWidth="1"/>
    <col min="9" max="9" width="12.28515625" customWidth="1"/>
    <col min="10" max="10" width="11.5703125" customWidth="1"/>
    <col min="11" max="12" width="11.28515625" customWidth="1"/>
    <col min="13" max="13" width="13.5703125" bestFit="1" customWidth="1"/>
    <col min="14" max="14" width="11.28515625" bestFit="1" customWidth="1"/>
    <col min="19" max="19" width="10.85546875" customWidth="1"/>
    <col min="21" max="29" width="13.28515625" customWidth="1"/>
    <col min="44" max="53" width="10.28515625" customWidth="1"/>
  </cols>
  <sheetData>
    <row r="1" spans="1:53" x14ac:dyDescent="0.25">
      <c r="T1" s="37" t="s">
        <v>81</v>
      </c>
      <c r="U1" s="37"/>
      <c r="V1" s="37"/>
      <c r="W1" s="37"/>
      <c r="X1" s="37"/>
      <c r="Y1" s="37"/>
      <c r="Z1" s="37"/>
      <c r="AA1" s="37"/>
      <c r="AB1" s="37"/>
      <c r="AC1" s="37"/>
      <c r="AD1" s="37" t="s">
        <v>39</v>
      </c>
      <c r="AE1" s="37"/>
      <c r="AF1" s="37"/>
      <c r="AG1" s="37"/>
      <c r="AH1" s="37"/>
      <c r="AI1" s="37"/>
      <c r="AJ1" s="37"/>
      <c r="AK1" s="37"/>
      <c r="AL1" s="37"/>
      <c r="AM1" s="37"/>
      <c r="AN1" s="37"/>
      <c r="AO1" s="37"/>
      <c r="AP1" s="37"/>
      <c r="AQ1" s="37"/>
      <c r="AR1" s="37" t="s">
        <v>57</v>
      </c>
      <c r="AS1" s="37"/>
      <c r="AT1" s="37"/>
      <c r="AU1" s="37"/>
      <c r="AV1" s="37"/>
      <c r="AW1" s="37"/>
      <c r="AX1" s="37"/>
      <c r="AY1" s="37"/>
      <c r="AZ1" s="37"/>
      <c r="BA1" s="37"/>
    </row>
    <row r="2" spans="1:53" s="9" customFormat="1" x14ac:dyDescent="0.25">
      <c r="A2" s="12"/>
      <c r="B2" s="12"/>
      <c r="C2" s="38" t="s">
        <v>32</v>
      </c>
      <c r="D2" s="38"/>
      <c r="E2" s="38"/>
      <c r="F2" s="38"/>
      <c r="G2" s="38"/>
      <c r="H2" s="38" t="s">
        <v>36</v>
      </c>
      <c r="I2" s="38"/>
      <c r="J2" s="38"/>
      <c r="K2" s="38" t="s">
        <v>55</v>
      </c>
      <c r="L2" s="38"/>
      <c r="M2" s="38" t="s">
        <v>50</v>
      </c>
      <c r="N2" s="38"/>
      <c r="O2" s="38" t="s">
        <v>78</v>
      </c>
      <c r="P2" s="38"/>
      <c r="Q2" s="38"/>
      <c r="R2" s="38"/>
      <c r="S2" s="38"/>
      <c r="T2" s="35" t="s">
        <v>65</v>
      </c>
      <c r="U2" s="35"/>
      <c r="V2" s="35"/>
      <c r="W2" s="35"/>
      <c r="X2" s="35"/>
      <c r="Y2" s="35" t="s">
        <v>66</v>
      </c>
      <c r="Z2" s="35"/>
      <c r="AA2" s="35"/>
      <c r="AB2" s="35"/>
      <c r="AC2" s="35"/>
      <c r="AD2" s="36" t="s">
        <v>37</v>
      </c>
      <c r="AE2" s="36"/>
      <c r="AF2" s="36"/>
      <c r="AG2" s="36"/>
      <c r="AH2" s="36"/>
      <c r="AI2" s="36"/>
      <c r="AJ2" s="36"/>
      <c r="AK2" s="36" t="s">
        <v>38</v>
      </c>
      <c r="AL2" s="36"/>
      <c r="AM2" s="36"/>
      <c r="AN2" s="36"/>
      <c r="AO2" s="36"/>
      <c r="AP2" s="36"/>
      <c r="AQ2" s="36"/>
      <c r="AR2" s="36" t="s">
        <v>58</v>
      </c>
      <c r="AS2" s="36"/>
      <c r="AT2" s="36"/>
      <c r="AU2" s="36"/>
      <c r="AV2" s="36"/>
      <c r="AW2" s="36" t="s">
        <v>59</v>
      </c>
      <c r="AX2" s="36"/>
      <c r="AY2" s="36"/>
      <c r="AZ2" s="36"/>
      <c r="BA2" s="36"/>
    </row>
    <row r="3" spans="1:53" ht="28.9" customHeight="1" x14ac:dyDescent="0.25">
      <c r="A3" s="13" t="s">
        <v>72</v>
      </c>
      <c r="B3" s="13" t="s">
        <v>73</v>
      </c>
      <c r="C3" s="14" t="s">
        <v>27</v>
      </c>
      <c r="D3" s="14" t="s">
        <v>74</v>
      </c>
      <c r="E3" s="14" t="s">
        <v>75</v>
      </c>
      <c r="F3" s="14" t="s">
        <v>76</v>
      </c>
      <c r="G3" s="14" t="s">
        <v>77</v>
      </c>
      <c r="H3" s="14" t="s">
        <v>34</v>
      </c>
      <c r="I3" s="14" t="s">
        <v>33</v>
      </c>
      <c r="J3" s="14" t="s">
        <v>35</v>
      </c>
      <c r="K3" s="14" t="s">
        <v>80</v>
      </c>
      <c r="L3" s="14" t="s">
        <v>56</v>
      </c>
      <c r="M3" s="4" t="s">
        <v>49</v>
      </c>
      <c r="N3" s="4" t="s">
        <v>52</v>
      </c>
      <c r="O3" s="14" t="s">
        <v>40</v>
      </c>
      <c r="P3" s="14" t="s">
        <v>41</v>
      </c>
      <c r="Q3" s="14" t="s">
        <v>42</v>
      </c>
      <c r="R3" s="14" t="s">
        <v>43</v>
      </c>
      <c r="S3" s="14" t="s">
        <v>44</v>
      </c>
      <c r="T3" s="14" t="s">
        <v>67</v>
      </c>
      <c r="U3" s="14" t="s">
        <v>70</v>
      </c>
      <c r="V3" s="14" t="s">
        <v>69</v>
      </c>
      <c r="W3" s="14" t="s">
        <v>71</v>
      </c>
      <c r="X3" s="14" t="s">
        <v>68</v>
      </c>
      <c r="Y3" s="14" t="s">
        <v>67</v>
      </c>
      <c r="Z3" s="14" t="s">
        <v>70</v>
      </c>
      <c r="AA3" s="14" t="s">
        <v>69</v>
      </c>
      <c r="AB3" s="14" t="s">
        <v>71</v>
      </c>
      <c r="AC3" s="14" t="s">
        <v>68</v>
      </c>
      <c r="AD3" s="4" t="s">
        <v>12</v>
      </c>
      <c r="AE3" s="4" t="s">
        <v>13</v>
      </c>
      <c r="AF3" s="4" t="s">
        <v>14</v>
      </c>
      <c r="AG3" s="4" t="s">
        <v>15</v>
      </c>
      <c r="AH3" s="4" t="s">
        <v>16</v>
      </c>
      <c r="AI3" s="4" t="s">
        <v>17</v>
      </c>
      <c r="AJ3" s="4" t="s">
        <v>18</v>
      </c>
      <c r="AK3" s="4" t="s">
        <v>12</v>
      </c>
      <c r="AL3" s="4" t="s">
        <v>13</v>
      </c>
      <c r="AM3" s="4" t="s">
        <v>14</v>
      </c>
      <c r="AN3" s="4" t="s">
        <v>15</v>
      </c>
      <c r="AO3" s="4" t="s">
        <v>16</v>
      </c>
      <c r="AP3" s="4" t="s">
        <v>17</v>
      </c>
      <c r="AQ3" s="4" t="s">
        <v>18</v>
      </c>
      <c r="AR3" s="4" t="s">
        <v>60</v>
      </c>
      <c r="AS3" s="4" t="s">
        <v>61</v>
      </c>
      <c r="AT3" s="4" t="s">
        <v>62</v>
      </c>
      <c r="AU3" s="4" t="s">
        <v>63</v>
      </c>
      <c r="AV3" s="4" t="s">
        <v>64</v>
      </c>
      <c r="AW3" s="4" t="s">
        <v>60</v>
      </c>
      <c r="AX3" s="4" t="s">
        <v>61</v>
      </c>
      <c r="AY3" s="4" t="s">
        <v>62</v>
      </c>
      <c r="AZ3" s="4" t="s">
        <v>63</v>
      </c>
      <c r="BA3" s="4" t="s">
        <v>64</v>
      </c>
    </row>
    <row r="4" spans="1:53" x14ac:dyDescent="0.25">
      <c r="A4" s="11">
        <v>2025</v>
      </c>
      <c r="B4" s="11" t="s">
        <v>0</v>
      </c>
      <c r="C4" s="11">
        <v>28340</v>
      </c>
      <c r="D4" s="11">
        <v>18130</v>
      </c>
      <c r="E4" s="11">
        <v>20185</v>
      </c>
      <c r="F4" s="11">
        <v>20270</v>
      </c>
      <c r="G4" s="11">
        <v>20710</v>
      </c>
      <c r="H4" s="5">
        <v>0.4</v>
      </c>
      <c r="I4" s="5">
        <v>0.41</v>
      </c>
      <c r="J4" s="5">
        <v>0.18999999999999995</v>
      </c>
      <c r="K4" s="11">
        <f>SUM(C4:G4)</f>
        <v>107635</v>
      </c>
      <c r="L4">
        <v>120000</v>
      </c>
      <c r="M4" s="5">
        <v>0.33</v>
      </c>
      <c r="N4" s="5">
        <v>0.71</v>
      </c>
      <c r="O4" s="5">
        <v>0.26</v>
      </c>
      <c r="P4" s="5">
        <v>0.23</v>
      </c>
      <c r="Q4" s="5">
        <v>0.12</v>
      </c>
      <c r="R4" s="5">
        <v>0.11</v>
      </c>
      <c r="S4" s="5">
        <v>0.28000000000000003</v>
      </c>
      <c r="T4" s="5">
        <v>1.08</v>
      </c>
      <c r="U4" s="5">
        <v>0.47</v>
      </c>
      <c r="V4" s="5">
        <v>1.34</v>
      </c>
      <c r="W4" s="5">
        <v>0.47</v>
      </c>
      <c r="X4" s="5">
        <v>0.5</v>
      </c>
      <c r="Y4" s="5">
        <v>0.46</v>
      </c>
      <c r="Z4" s="5">
        <v>0.39</v>
      </c>
      <c r="AA4" s="5">
        <v>0.59</v>
      </c>
      <c r="AB4" s="5">
        <v>0.48</v>
      </c>
      <c r="AC4" s="5">
        <v>0.7</v>
      </c>
      <c r="AD4">
        <v>59867</v>
      </c>
      <c r="AE4">
        <v>29705</v>
      </c>
      <c r="AF4">
        <v>695</v>
      </c>
      <c r="AG4">
        <v>88522</v>
      </c>
      <c r="AH4">
        <v>10928</v>
      </c>
      <c r="AI4">
        <v>15996</v>
      </c>
      <c r="AJ4">
        <v>34287</v>
      </c>
      <c r="AK4">
        <v>33107</v>
      </c>
      <c r="AL4">
        <v>10047</v>
      </c>
      <c r="AM4">
        <v>37625</v>
      </c>
      <c r="AN4">
        <v>42413</v>
      </c>
      <c r="AO4">
        <v>37885</v>
      </c>
      <c r="AP4">
        <v>27649</v>
      </c>
      <c r="AQ4">
        <v>31454</v>
      </c>
      <c r="AR4" s="11">
        <v>5200</v>
      </c>
      <c r="AS4" s="11">
        <v>3100</v>
      </c>
      <c r="AT4" s="11">
        <v>6300</v>
      </c>
      <c r="AU4" s="11">
        <v>6000</v>
      </c>
      <c r="AV4" s="11">
        <v>6600</v>
      </c>
      <c r="AW4" s="11">
        <v>7300</v>
      </c>
      <c r="AX4" s="11">
        <v>4300</v>
      </c>
      <c r="AY4" s="11">
        <v>4500</v>
      </c>
      <c r="AZ4" s="11">
        <v>4100</v>
      </c>
      <c r="BA4" s="11">
        <v>4100</v>
      </c>
    </row>
    <row r="5" spans="1:53" x14ac:dyDescent="0.25">
      <c r="A5" s="11">
        <v>2025</v>
      </c>
      <c r="B5" s="11" t="s">
        <v>1</v>
      </c>
      <c r="C5" s="11">
        <v>33090</v>
      </c>
      <c r="D5" s="11">
        <v>19480</v>
      </c>
      <c r="E5" s="11">
        <v>23855</v>
      </c>
      <c r="F5" s="11">
        <v>43990</v>
      </c>
      <c r="G5" s="11">
        <v>33180</v>
      </c>
      <c r="H5" s="5">
        <v>0.37</v>
      </c>
      <c r="I5" s="5">
        <v>0.43</v>
      </c>
      <c r="J5" s="5">
        <v>0.19999999999999996</v>
      </c>
      <c r="K5" s="11">
        <f t="shared" ref="K5:K51" si="0">SUM(C5:G5)</f>
        <v>153595</v>
      </c>
      <c r="L5">
        <v>120000</v>
      </c>
      <c r="M5" s="5">
        <v>0.17</v>
      </c>
      <c r="N5" s="5">
        <v>0.5</v>
      </c>
      <c r="O5" s="5">
        <v>0.34</v>
      </c>
      <c r="P5" s="5">
        <v>0.23</v>
      </c>
      <c r="Q5" s="5">
        <v>0.12</v>
      </c>
      <c r="R5" s="5">
        <v>0.12</v>
      </c>
      <c r="S5" s="5">
        <v>0.18999999999999995</v>
      </c>
      <c r="T5" s="5">
        <v>0.91</v>
      </c>
      <c r="U5" s="5">
        <v>0.54</v>
      </c>
      <c r="V5" s="5">
        <v>1.32</v>
      </c>
      <c r="W5" s="5">
        <v>0.52</v>
      </c>
      <c r="X5" s="5">
        <v>1.1299999999999999</v>
      </c>
      <c r="Y5" s="5">
        <v>0.48</v>
      </c>
      <c r="Z5" s="5">
        <v>0.56000000000000005</v>
      </c>
      <c r="AA5" s="5">
        <v>0.56999999999999995</v>
      </c>
      <c r="AB5" s="5">
        <v>0.38</v>
      </c>
      <c r="AC5" s="5">
        <v>0.64</v>
      </c>
      <c r="AD5">
        <v>10456</v>
      </c>
      <c r="AE5">
        <v>27396</v>
      </c>
      <c r="AF5">
        <v>49816</v>
      </c>
      <c r="AG5">
        <v>34348</v>
      </c>
      <c r="AH5">
        <v>38205</v>
      </c>
      <c r="AI5">
        <v>45492</v>
      </c>
      <c r="AJ5">
        <v>34287</v>
      </c>
      <c r="AK5">
        <v>42731</v>
      </c>
      <c r="AL5">
        <v>41459</v>
      </c>
      <c r="AM5">
        <v>21075</v>
      </c>
      <c r="AN5">
        <v>31812</v>
      </c>
      <c r="AO5">
        <v>21932</v>
      </c>
      <c r="AP5">
        <v>38151</v>
      </c>
      <c r="AQ5">
        <v>32860</v>
      </c>
      <c r="AR5" s="11">
        <v>9300</v>
      </c>
      <c r="AS5" s="11">
        <v>2900</v>
      </c>
      <c r="AT5" s="11">
        <v>3800</v>
      </c>
      <c r="AU5" s="11">
        <v>4800</v>
      </c>
      <c r="AV5" s="11">
        <v>6100</v>
      </c>
      <c r="AW5" s="11">
        <v>3600</v>
      </c>
      <c r="AX5" s="11">
        <v>5700</v>
      </c>
      <c r="AY5" s="11">
        <v>5400</v>
      </c>
      <c r="AZ5" s="11">
        <v>3300</v>
      </c>
      <c r="BA5" s="11">
        <v>3700</v>
      </c>
    </row>
    <row r="6" spans="1:53" x14ac:dyDescent="0.25">
      <c r="A6" s="11">
        <v>2025</v>
      </c>
      <c r="B6" s="11" t="s">
        <v>2</v>
      </c>
      <c r="C6" s="11">
        <v>31685</v>
      </c>
      <c r="D6" s="11">
        <v>33955</v>
      </c>
      <c r="E6" s="11">
        <v>27270</v>
      </c>
      <c r="F6" s="11">
        <v>34630</v>
      </c>
      <c r="G6" s="11">
        <v>29220</v>
      </c>
      <c r="H6" s="5">
        <v>0.35</v>
      </c>
      <c r="I6" s="5">
        <v>0.48</v>
      </c>
      <c r="J6" s="5">
        <v>0.17000000000000004</v>
      </c>
      <c r="K6" s="11">
        <f t="shared" si="0"/>
        <v>156760</v>
      </c>
      <c r="L6">
        <v>120000</v>
      </c>
      <c r="M6" s="5">
        <v>0.64</v>
      </c>
      <c r="N6" s="5">
        <v>0.64</v>
      </c>
      <c r="O6" s="5">
        <v>0.28000000000000003</v>
      </c>
      <c r="P6" s="5">
        <v>0.21</v>
      </c>
      <c r="Q6" s="5">
        <v>0.16</v>
      </c>
      <c r="R6" s="5">
        <v>0.11</v>
      </c>
      <c r="S6" s="5">
        <v>0.24</v>
      </c>
      <c r="T6" s="5">
        <v>0.91</v>
      </c>
      <c r="U6" s="5">
        <v>0.35</v>
      </c>
      <c r="V6" s="5">
        <v>1.21</v>
      </c>
      <c r="W6" s="5">
        <v>0.98</v>
      </c>
      <c r="X6" s="5">
        <v>0.81</v>
      </c>
      <c r="Y6" s="5">
        <v>0.56999999999999995</v>
      </c>
      <c r="Z6" s="5">
        <v>0.45</v>
      </c>
      <c r="AA6" s="5">
        <v>0.61</v>
      </c>
      <c r="AB6" s="5">
        <v>0.38</v>
      </c>
      <c r="AC6" s="5">
        <v>0.26</v>
      </c>
      <c r="AD6">
        <v>24662</v>
      </c>
      <c r="AE6">
        <v>37454</v>
      </c>
      <c r="AF6">
        <v>37903</v>
      </c>
      <c r="AG6">
        <v>47190</v>
      </c>
      <c r="AH6">
        <v>44974</v>
      </c>
      <c r="AI6">
        <v>13532</v>
      </c>
      <c r="AJ6">
        <v>34285</v>
      </c>
      <c r="AK6">
        <v>53313</v>
      </c>
      <c r="AL6">
        <v>4272</v>
      </c>
      <c r="AM6">
        <v>27492</v>
      </c>
      <c r="AN6">
        <v>43898</v>
      </c>
      <c r="AO6">
        <v>38795</v>
      </c>
      <c r="AP6">
        <v>42932</v>
      </c>
      <c r="AQ6">
        <v>35118</v>
      </c>
      <c r="AR6" s="11">
        <v>7000</v>
      </c>
      <c r="AS6" s="11">
        <v>3000</v>
      </c>
      <c r="AT6" s="11">
        <v>7000</v>
      </c>
      <c r="AU6" s="11">
        <v>8300</v>
      </c>
      <c r="AV6" s="11">
        <v>2800</v>
      </c>
      <c r="AW6" s="11">
        <v>3100</v>
      </c>
      <c r="AX6" s="11">
        <v>5500</v>
      </c>
      <c r="AY6" s="11">
        <v>4400</v>
      </c>
      <c r="AZ6" s="11">
        <v>3500</v>
      </c>
      <c r="BA6" s="11">
        <v>5200</v>
      </c>
    </row>
    <row r="7" spans="1:53" x14ac:dyDescent="0.25">
      <c r="A7" s="11">
        <v>2025</v>
      </c>
      <c r="B7" s="11" t="s">
        <v>3</v>
      </c>
      <c r="C7" s="11">
        <v>36840</v>
      </c>
      <c r="D7" s="11">
        <v>23340</v>
      </c>
      <c r="E7" s="11">
        <v>36425</v>
      </c>
      <c r="F7" s="11">
        <v>33470</v>
      </c>
      <c r="G7" s="11">
        <v>30730</v>
      </c>
      <c r="H7" s="5">
        <v>0.36</v>
      </c>
      <c r="I7" s="5">
        <v>0.45</v>
      </c>
      <c r="J7" s="5">
        <v>0.18999999999999995</v>
      </c>
      <c r="K7" s="11">
        <f t="shared" si="0"/>
        <v>160805</v>
      </c>
      <c r="L7">
        <v>120000</v>
      </c>
      <c r="M7" s="5">
        <v>0.4</v>
      </c>
      <c r="N7" s="5">
        <v>0.24</v>
      </c>
      <c r="O7" s="5">
        <v>0.31</v>
      </c>
      <c r="P7" s="5">
        <v>0.3</v>
      </c>
      <c r="Q7" s="5">
        <v>0.12</v>
      </c>
      <c r="R7" s="5">
        <v>7.0000000000000007E-2</v>
      </c>
      <c r="S7" s="5">
        <v>0.19999999999999996</v>
      </c>
      <c r="T7" s="5">
        <v>1.24</v>
      </c>
      <c r="U7" s="5">
        <v>1.06</v>
      </c>
      <c r="V7" s="5">
        <v>1.08</v>
      </c>
      <c r="W7" s="5">
        <v>0.91</v>
      </c>
      <c r="X7" s="5">
        <v>1.07</v>
      </c>
      <c r="Y7" s="5">
        <v>0.26</v>
      </c>
      <c r="Z7" s="5">
        <v>0.31</v>
      </c>
      <c r="AA7" s="5">
        <v>0.56000000000000005</v>
      </c>
      <c r="AB7" s="5">
        <v>0.7</v>
      </c>
      <c r="AC7" s="5">
        <v>0.3</v>
      </c>
      <c r="AD7">
        <v>28363</v>
      </c>
      <c r="AE7">
        <v>32559</v>
      </c>
      <c r="AF7">
        <v>2859</v>
      </c>
      <c r="AG7">
        <v>44682</v>
      </c>
      <c r="AH7">
        <v>89111</v>
      </c>
      <c r="AI7">
        <v>8141</v>
      </c>
      <c r="AJ7">
        <v>34285</v>
      </c>
      <c r="AK7">
        <v>19542</v>
      </c>
      <c r="AL7">
        <v>42659</v>
      </c>
      <c r="AM7">
        <v>40003</v>
      </c>
      <c r="AN7">
        <v>20115</v>
      </c>
      <c r="AO7">
        <v>40007</v>
      </c>
      <c r="AP7">
        <v>40200</v>
      </c>
      <c r="AQ7">
        <v>33754</v>
      </c>
      <c r="AR7" s="11">
        <v>6700</v>
      </c>
      <c r="AS7" s="11">
        <v>5700</v>
      </c>
      <c r="AT7" s="11">
        <v>4500</v>
      </c>
      <c r="AU7" s="11">
        <v>5000</v>
      </c>
      <c r="AV7" s="11">
        <v>2700</v>
      </c>
      <c r="AW7" s="11">
        <v>5900</v>
      </c>
      <c r="AX7" s="11">
        <v>6100</v>
      </c>
      <c r="AY7" s="11">
        <v>5500</v>
      </c>
      <c r="AZ7" s="11">
        <v>3500</v>
      </c>
      <c r="BA7" s="11">
        <v>6100</v>
      </c>
    </row>
    <row r="8" spans="1:53" x14ac:dyDescent="0.25">
      <c r="A8" s="11">
        <v>2025</v>
      </c>
      <c r="B8" s="11" t="s">
        <v>4</v>
      </c>
      <c r="C8" s="11">
        <v>64590</v>
      </c>
      <c r="D8" s="11">
        <v>41860</v>
      </c>
      <c r="E8" s="11">
        <v>49940</v>
      </c>
      <c r="F8" s="11">
        <v>34330</v>
      </c>
      <c r="G8" s="11">
        <v>29460</v>
      </c>
      <c r="H8" s="5">
        <v>0.36</v>
      </c>
      <c r="I8" s="5">
        <v>0.4</v>
      </c>
      <c r="J8" s="5">
        <v>0.24</v>
      </c>
      <c r="K8" s="11">
        <f t="shared" si="0"/>
        <v>220180</v>
      </c>
      <c r="L8">
        <v>120000</v>
      </c>
      <c r="M8" s="5">
        <v>0.2</v>
      </c>
      <c r="N8" s="5">
        <v>0.25</v>
      </c>
      <c r="O8" s="5">
        <v>0.31</v>
      </c>
      <c r="P8" s="5">
        <v>0.22</v>
      </c>
      <c r="Q8" s="5">
        <v>0.13</v>
      </c>
      <c r="R8" s="5">
        <v>0.14000000000000001</v>
      </c>
      <c r="S8" s="5">
        <v>0.19999999999999996</v>
      </c>
      <c r="T8" s="5">
        <v>0.94</v>
      </c>
      <c r="U8" s="5">
        <v>0.99</v>
      </c>
      <c r="V8" s="5">
        <v>0.77</v>
      </c>
      <c r="W8" s="5">
        <v>1.02</v>
      </c>
      <c r="X8" s="5">
        <v>0.76</v>
      </c>
      <c r="Y8" s="5">
        <v>0.3</v>
      </c>
      <c r="Z8" s="5">
        <v>0.59</v>
      </c>
      <c r="AA8" s="5">
        <v>0.31</v>
      </c>
      <c r="AB8" s="5">
        <v>0.73</v>
      </c>
      <c r="AC8" s="5">
        <v>0.55000000000000004</v>
      </c>
      <c r="AD8">
        <v>6097</v>
      </c>
      <c r="AE8">
        <v>46394</v>
      </c>
      <c r="AF8">
        <v>56704</v>
      </c>
      <c r="AG8">
        <v>18425</v>
      </c>
      <c r="AH8">
        <v>17854</v>
      </c>
      <c r="AI8">
        <v>60241</v>
      </c>
      <c r="AJ8">
        <v>34285</v>
      </c>
      <c r="AK8">
        <v>48037</v>
      </c>
      <c r="AL8">
        <v>41586</v>
      </c>
      <c r="AM8">
        <v>31950</v>
      </c>
      <c r="AN8">
        <v>44847</v>
      </c>
      <c r="AO8">
        <v>8193</v>
      </c>
      <c r="AP8">
        <v>43737</v>
      </c>
      <c r="AQ8">
        <v>36390</v>
      </c>
      <c r="AR8" s="11">
        <v>8900</v>
      </c>
      <c r="AS8" s="11">
        <v>3400</v>
      </c>
      <c r="AT8" s="11">
        <v>2900</v>
      </c>
      <c r="AU8" s="11">
        <v>4000</v>
      </c>
      <c r="AV8" s="11">
        <v>4500</v>
      </c>
      <c r="AW8" s="11">
        <v>3500</v>
      </c>
      <c r="AX8" s="11">
        <v>5400</v>
      </c>
      <c r="AY8" s="11">
        <v>4200</v>
      </c>
      <c r="AZ8" s="11">
        <v>2900</v>
      </c>
      <c r="BA8" s="11">
        <v>6600</v>
      </c>
    </row>
    <row r="9" spans="1:53" x14ac:dyDescent="0.25">
      <c r="A9" s="11">
        <v>2025</v>
      </c>
      <c r="B9" s="11" t="s">
        <v>5</v>
      </c>
      <c r="C9" s="11">
        <v>76530</v>
      </c>
      <c r="D9" s="11">
        <v>54200</v>
      </c>
      <c r="E9" s="11">
        <v>45950</v>
      </c>
      <c r="F9" s="11">
        <v>42900</v>
      </c>
      <c r="G9" s="11">
        <v>34960</v>
      </c>
      <c r="H9" s="5">
        <v>0.38</v>
      </c>
      <c r="I9" s="5">
        <v>0.5</v>
      </c>
      <c r="J9" s="5">
        <v>0.12</v>
      </c>
      <c r="K9" s="11">
        <f t="shared" si="0"/>
        <v>254540</v>
      </c>
      <c r="L9">
        <v>120000</v>
      </c>
      <c r="M9" s="5">
        <v>0.44</v>
      </c>
      <c r="N9" s="5">
        <v>0.69</v>
      </c>
      <c r="O9" s="5">
        <v>0.35</v>
      </c>
      <c r="P9" s="5">
        <v>0.21</v>
      </c>
      <c r="Q9" s="5">
        <v>0.16</v>
      </c>
      <c r="R9" s="5">
        <v>0.08</v>
      </c>
      <c r="S9" s="5">
        <v>0.20000000000000007</v>
      </c>
      <c r="T9" s="5">
        <v>1.1000000000000001</v>
      </c>
      <c r="U9" s="5">
        <v>1.25</v>
      </c>
      <c r="V9" s="5">
        <v>0.85</v>
      </c>
      <c r="W9" s="5">
        <v>1.31</v>
      </c>
      <c r="X9" s="5">
        <v>0.94</v>
      </c>
      <c r="Y9" s="5">
        <v>0.59</v>
      </c>
      <c r="Z9" s="5">
        <v>0.56000000000000005</v>
      </c>
      <c r="AA9" s="5">
        <v>0.7</v>
      </c>
      <c r="AB9" s="5">
        <v>0.73</v>
      </c>
      <c r="AC9" s="5">
        <v>0.39</v>
      </c>
      <c r="AD9">
        <v>23965</v>
      </c>
      <c r="AE9">
        <v>47071</v>
      </c>
      <c r="AF9">
        <v>30345</v>
      </c>
      <c r="AG9">
        <v>36671</v>
      </c>
      <c r="AH9">
        <v>54945</v>
      </c>
      <c r="AI9">
        <v>12717</v>
      </c>
      <c r="AJ9">
        <v>34286</v>
      </c>
      <c r="AK9">
        <v>31971</v>
      </c>
      <c r="AL9">
        <v>45318</v>
      </c>
      <c r="AM9">
        <v>39555</v>
      </c>
      <c r="AN9">
        <v>45223</v>
      </c>
      <c r="AO9">
        <v>16585</v>
      </c>
      <c r="AP9">
        <v>43065</v>
      </c>
      <c r="AQ9">
        <v>36953</v>
      </c>
      <c r="AR9" s="11">
        <v>6200</v>
      </c>
      <c r="AS9" s="11">
        <v>3200</v>
      </c>
      <c r="AT9" s="11">
        <v>4200</v>
      </c>
      <c r="AU9" s="11">
        <v>3100</v>
      </c>
      <c r="AV9" s="11">
        <v>4900</v>
      </c>
      <c r="AW9" s="11">
        <v>4000</v>
      </c>
      <c r="AX9" s="11">
        <v>4600</v>
      </c>
      <c r="AY9" s="11">
        <v>5500</v>
      </c>
      <c r="AZ9" s="11">
        <v>5200</v>
      </c>
      <c r="BA9" s="11">
        <v>3800</v>
      </c>
    </row>
    <row r="10" spans="1:53" x14ac:dyDescent="0.25">
      <c r="A10" s="11">
        <v>2025</v>
      </c>
      <c r="B10" s="11" t="s">
        <v>6</v>
      </c>
      <c r="C10" s="11">
        <v>84020</v>
      </c>
      <c r="D10" s="11">
        <v>53040</v>
      </c>
      <c r="E10" s="11">
        <v>54240</v>
      </c>
      <c r="F10" s="11">
        <v>32710</v>
      </c>
      <c r="G10" s="11">
        <v>30170</v>
      </c>
      <c r="H10" s="5">
        <v>0.37</v>
      </c>
      <c r="I10" s="5">
        <v>0.48</v>
      </c>
      <c r="J10" s="5">
        <v>0.15000000000000002</v>
      </c>
      <c r="K10" s="11">
        <f t="shared" si="0"/>
        <v>254180</v>
      </c>
      <c r="L10">
        <v>120000</v>
      </c>
      <c r="M10" s="5">
        <v>0.24</v>
      </c>
      <c r="N10" s="5">
        <v>0.41</v>
      </c>
      <c r="O10" s="5">
        <v>0.31</v>
      </c>
      <c r="P10" s="5">
        <v>0.2</v>
      </c>
      <c r="Q10" s="5">
        <v>0.16</v>
      </c>
      <c r="R10" s="5">
        <v>0.11</v>
      </c>
      <c r="S10" s="5">
        <v>0.21999999999999997</v>
      </c>
      <c r="T10" s="5">
        <v>0.37</v>
      </c>
      <c r="U10" s="5">
        <v>0.46</v>
      </c>
      <c r="V10" s="5">
        <v>0.68</v>
      </c>
      <c r="W10" s="5">
        <v>1.24</v>
      </c>
      <c r="X10" s="5">
        <v>0.88</v>
      </c>
      <c r="Y10" s="5">
        <v>0.52</v>
      </c>
      <c r="Z10" s="5">
        <v>0.61</v>
      </c>
      <c r="AA10" s="5">
        <v>0.34</v>
      </c>
      <c r="AB10" s="5">
        <v>0.48</v>
      </c>
      <c r="AC10" s="5">
        <v>0.33</v>
      </c>
      <c r="AD10">
        <v>33952</v>
      </c>
      <c r="AE10">
        <v>59758</v>
      </c>
      <c r="AF10">
        <v>23186</v>
      </c>
      <c r="AG10">
        <v>5088</v>
      </c>
      <c r="AH10">
        <v>15481</v>
      </c>
      <c r="AI10">
        <v>68250</v>
      </c>
      <c r="AJ10">
        <v>34285</v>
      </c>
      <c r="AK10">
        <v>73225</v>
      </c>
      <c r="AL10">
        <v>82752</v>
      </c>
      <c r="AM10">
        <v>6957</v>
      </c>
      <c r="AN10">
        <v>11539</v>
      </c>
      <c r="AO10">
        <v>18644</v>
      </c>
      <c r="AP10">
        <v>7222</v>
      </c>
      <c r="AQ10">
        <v>33391</v>
      </c>
      <c r="AR10" s="11">
        <v>4900</v>
      </c>
      <c r="AS10" s="11">
        <v>4800</v>
      </c>
      <c r="AT10" s="11">
        <v>2300</v>
      </c>
      <c r="AU10" s="11">
        <v>2700</v>
      </c>
      <c r="AV10" s="11">
        <v>4700</v>
      </c>
      <c r="AW10" s="11">
        <v>4100</v>
      </c>
      <c r="AX10" s="11">
        <v>3400</v>
      </c>
      <c r="AY10" s="11">
        <v>4700</v>
      </c>
      <c r="AZ10" s="11">
        <v>4800</v>
      </c>
      <c r="BA10" s="11">
        <v>2500</v>
      </c>
    </row>
    <row r="11" spans="1:53" x14ac:dyDescent="0.25">
      <c r="A11" s="11">
        <v>2025</v>
      </c>
      <c r="B11" s="11" t="s">
        <v>7</v>
      </c>
      <c r="C11" s="11">
        <v>84170</v>
      </c>
      <c r="D11" s="11">
        <v>49190</v>
      </c>
      <c r="E11" s="11">
        <v>50140</v>
      </c>
      <c r="F11" s="11">
        <v>41480</v>
      </c>
      <c r="G11" s="11">
        <v>28310</v>
      </c>
      <c r="H11" s="5">
        <v>0.37</v>
      </c>
      <c r="I11" s="5">
        <v>0.44</v>
      </c>
      <c r="J11" s="5">
        <v>0.18999999999999995</v>
      </c>
      <c r="K11" s="11">
        <f t="shared" si="0"/>
        <v>253290</v>
      </c>
      <c r="L11">
        <v>120000</v>
      </c>
      <c r="M11" s="5">
        <v>0.75</v>
      </c>
      <c r="N11" s="5">
        <v>0.6</v>
      </c>
      <c r="O11" s="5">
        <v>0.34</v>
      </c>
      <c r="P11" s="5">
        <v>0.26</v>
      </c>
      <c r="Q11" s="5">
        <v>0.17</v>
      </c>
      <c r="R11" s="5">
        <v>0.12</v>
      </c>
      <c r="S11" s="5">
        <v>0.10999999999999988</v>
      </c>
      <c r="T11" s="5">
        <v>0.53</v>
      </c>
      <c r="U11" s="5">
        <v>1.05</v>
      </c>
      <c r="V11" s="5">
        <v>0.59</v>
      </c>
      <c r="W11" s="5">
        <v>0.44</v>
      </c>
      <c r="X11" s="5">
        <v>0.64</v>
      </c>
      <c r="Y11" s="5">
        <v>0.51</v>
      </c>
      <c r="Z11" s="5">
        <v>0.28999999999999998</v>
      </c>
      <c r="AA11" s="5">
        <v>0.3</v>
      </c>
      <c r="AB11" s="5">
        <v>0.41</v>
      </c>
      <c r="AC11" s="5">
        <v>0.32</v>
      </c>
      <c r="AD11">
        <v>44592</v>
      </c>
      <c r="AE11">
        <v>48774</v>
      </c>
      <c r="AF11">
        <v>27775</v>
      </c>
      <c r="AG11">
        <v>25626</v>
      </c>
      <c r="AH11">
        <v>32862</v>
      </c>
      <c r="AI11">
        <v>26085</v>
      </c>
      <c r="AJ11">
        <v>34286</v>
      </c>
      <c r="AK11">
        <v>56058</v>
      </c>
      <c r="AL11">
        <v>49917</v>
      </c>
      <c r="AM11">
        <v>48765</v>
      </c>
      <c r="AN11">
        <v>42341</v>
      </c>
      <c r="AO11">
        <v>4345</v>
      </c>
      <c r="AP11">
        <v>13391</v>
      </c>
      <c r="AQ11">
        <v>35803</v>
      </c>
      <c r="AR11" s="11">
        <v>7900</v>
      </c>
      <c r="AS11" s="11">
        <v>5400</v>
      </c>
      <c r="AT11" s="11">
        <v>5800</v>
      </c>
      <c r="AU11" s="11">
        <v>4800</v>
      </c>
      <c r="AV11" s="11">
        <v>3300</v>
      </c>
      <c r="AW11" s="11">
        <v>4300</v>
      </c>
      <c r="AX11" s="11">
        <v>5100</v>
      </c>
      <c r="AY11" s="11">
        <v>3000</v>
      </c>
      <c r="AZ11" s="11">
        <v>2200</v>
      </c>
      <c r="BA11" s="11">
        <v>7000</v>
      </c>
    </row>
    <row r="12" spans="1:53" x14ac:dyDescent="0.25">
      <c r="A12" s="11">
        <v>2025</v>
      </c>
      <c r="B12" s="11" t="s">
        <v>8</v>
      </c>
      <c r="C12" s="11">
        <v>78630</v>
      </c>
      <c r="D12" s="11">
        <v>41370</v>
      </c>
      <c r="E12" s="11">
        <v>53770</v>
      </c>
      <c r="F12" s="11">
        <v>37090</v>
      </c>
      <c r="G12" s="11">
        <v>31990</v>
      </c>
      <c r="H12" s="5">
        <v>0.37</v>
      </c>
      <c r="I12" s="5">
        <v>0.44</v>
      </c>
      <c r="J12" s="5">
        <v>0.18999999999999995</v>
      </c>
      <c r="K12" s="11">
        <f t="shared" si="0"/>
        <v>242850</v>
      </c>
      <c r="L12">
        <v>120000</v>
      </c>
      <c r="M12" s="5">
        <v>0.73</v>
      </c>
      <c r="N12" s="5">
        <v>0.5</v>
      </c>
      <c r="O12" s="5">
        <v>0.33</v>
      </c>
      <c r="P12" s="5">
        <v>0.21</v>
      </c>
      <c r="Q12" s="5">
        <v>0.17</v>
      </c>
      <c r="R12" s="5">
        <v>0.11</v>
      </c>
      <c r="S12" s="5">
        <v>0.17999999999999994</v>
      </c>
      <c r="T12" s="5">
        <v>0.74</v>
      </c>
      <c r="U12" s="5">
        <v>0.45</v>
      </c>
      <c r="V12" s="5">
        <v>1.24</v>
      </c>
      <c r="W12" s="5">
        <v>0.38</v>
      </c>
      <c r="X12" s="5">
        <v>1.06</v>
      </c>
      <c r="Y12" s="5">
        <v>0.72</v>
      </c>
      <c r="Z12" s="5">
        <v>0.42</v>
      </c>
      <c r="AA12" s="5">
        <v>0.38</v>
      </c>
      <c r="AB12" s="5">
        <v>0.74</v>
      </c>
      <c r="AC12" s="5">
        <v>0.49</v>
      </c>
      <c r="AD12">
        <v>41608</v>
      </c>
      <c r="AE12">
        <v>38687</v>
      </c>
      <c r="AF12">
        <v>32685</v>
      </c>
      <c r="AG12">
        <v>40758</v>
      </c>
      <c r="AH12">
        <v>15259</v>
      </c>
      <c r="AI12">
        <v>36718</v>
      </c>
      <c r="AJ12">
        <v>34285</v>
      </c>
      <c r="AK12">
        <v>17916</v>
      </c>
      <c r="AL12">
        <v>14439</v>
      </c>
      <c r="AM12">
        <v>6383</v>
      </c>
      <c r="AN12">
        <v>47775</v>
      </c>
      <c r="AO12">
        <v>68781</v>
      </c>
      <c r="AP12">
        <v>62626</v>
      </c>
      <c r="AQ12">
        <v>36320</v>
      </c>
      <c r="AR12" s="11">
        <v>6900</v>
      </c>
      <c r="AS12" s="11">
        <v>5400</v>
      </c>
      <c r="AT12" s="11">
        <v>3400</v>
      </c>
      <c r="AU12" s="11">
        <v>4800</v>
      </c>
      <c r="AV12" s="11">
        <v>4500</v>
      </c>
      <c r="AW12" s="11">
        <v>4200</v>
      </c>
      <c r="AX12" s="11">
        <v>5400</v>
      </c>
      <c r="AY12" s="11">
        <v>6000</v>
      </c>
      <c r="AZ12" s="11">
        <v>5200</v>
      </c>
      <c r="BA12" s="11">
        <v>5600</v>
      </c>
    </row>
    <row r="13" spans="1:53" x14ac:dyDescent="0.25">
      <c r="A13" s="11">
        <v>2025</v>
      </c>
      <c r="B13" s="11" t="s">
        <v>9</v>
      </c>
      <c r="C13" s="11">
        <v>60760</v>
      </c>
      <c r="D13" s="11">
        <v>50950</v>
      </c>
      <c r="E13" s="11">
        <v>53140</v>
      </c>
      <c r="F13" s="11">
        <v>38170</v>
      </c>
      <c r="G13" s="11">
        <v>34660</v>
      </c>
      <c r="H13" s="5">
        <v>0.39</v>
      </c>
      <c r="I13" s="5">
        <v>0.54</v>
      </c>
      <c r="J13" s="5">
        <v>6.9999999999999951E-2</v>
      </c>
      <c r="K13" s="11">
        <f t="shared" si="0"/>
        <v>237680</v>
      </c>
      <c r="L13">
        <v>120000</v>
      </c>
      <c r="M13" s="5">
        <v>0.72</v>
      </c>
      <c r="N13" s="5">
        <v>0.47</v>
      </c>
      <c r="O13" s="5">
        <v>0.28000000000000003</v>
      </c>
      <c r="P13" s="5">
        <v>0.21</v>
      </c>
      <c r="Q13" s="5">
        <v>0.13</v>
      </c>
      <c r="R13" s="5">
        <v>0.05</v>
      </c>
      <c r="S13" s="5">
        <v>0.32999999999999996</v>
      </c>
      <c r="T13" s="5">
        <v>0.62</v>
      </c>
      <c r="U13" s="5">
        <v>0.87</v>
      </c>
      <c r="V13" s="5">
        <v>1.18</v>
      </c>
      <c r="W13" s="5">
        <v>0.38</v>
      </c>
      <c r="X13" s="5">
        <v>0.36</v>
      </c>
      <c r="Y13" s="5">
        <v>0.35</v>
      </c>
      <c r="Z13" s="5">
        <v>0.45</v>
      </c>
      <c r="AA13" s="5">
        <v>0.63</v>
      </c>
      <c r="AB13" s="5">
        <v>0.61</v>
      </c>
      <c r="AC13" s="5">
        <v>0.53</v>
      </c>
      <c r="AD13">
        <v>55756</v>
      </c>
      <c r="AE13">
        <v>73802</v>
      </c>
      <c r="AF13">
        <v>10991</v>
      </c>
      <c r="AG13">
        <v>7018</v>
      </c>
      <c r="AH13">
        <v>46491</v>
      </c>
      <c r="AI13">
        <v>11657</v>
      </c>
      <c r="AJ13">
        <v>34285</v>
      </c>
      <c r="AK13">
        <v>30546</v>
      </c>
      <c r="AL13">
        <v>14673</v>
      </c>
      <c r="AM13">
        <v>18630</v>
      </c>
      <c r="AN13">
        <v>49112</v>
      </c>
      <c r="AO13">
        <v>49019</v>
      </c>
      <c r="AP13">
        <v>29146</v>
      </c>
      <c r="AQ13">
        <v>31854</v>
      </c>
      <c r="AR13" s="11">
        <v>9700</v>
      </c>
      <c r="AS13" s="11">
        <v>2900</v>
      </c>
      <c r="AT13" s="11">
        <v>4600</v>
      </c>
      <c r="AU13" s="11">
        <v>5300</v>
      </c>
      <c r="AV13" s="11">
        <v>6000</v>
      </c>
      <c r="AW13" s="11">
        <v>3500</v>
      </c>
      <c r="AX13" s="11">
        <v>6500</v>
      </c>
      <c r="AY13" s="11">
        <v>2400</v>
      </c>
      <c r="AZ13" s="11">
        <v>5900</v>
      </c>
      <c r="BA13" s="11">
        <v>3000</v>
      </c>
    </row>
    <row r="14" spans="1:53" x14ac:dyDescent="0.25">
      <c r="A14" s="11">
        <v>2025</v>
      </c>
      <c r="B14" s="11" t="s">
        <v>10</v>
      </c>
      <c r="C14" s="11">
        <v>44165</v>
      </c>
      <c r="D14" s="11">
        <v>37275</v>
      </c>
      <c r="E14" s="11">
        <v>37120</v>
      </c>
      <c r="F14" s="11">
        <v>44480</v>
      </c>
      <c r="G14" s="11">
        <v>34330</v>
      </c>
      <c r="H14" s="5">
        <v>0.38</v>
      </c>
      <c r="I14" s="5">
        <v>0.45</v>
      </c>
      <c r="J14" s="5">
        <v>0.16999999999999993</v>
      </c>
      <c r="K14" s="11">
        <f t="shared" si="0"/>
        <v>197370</v>
      </c>
      <c r="L14">
        <v>120000</v>
      </c>
      <c r="M14" s="5">
        <v>0.73</v>
      </c>
      <c r="N14" s="5">
        <v>0.75</v>
      </c>
      <c r="O14" s="5">
        <v>0.25</v>
      </c>
      <c r="P14" s="5">
        <v>0.22</v>
      </c>
      <c r="Q14" s="5">
        <v>0.15</v>
      </c>
      <c r="R14" s="5">
        <v>7.0000000000000007E-2</v>
      </c>
      <c r="S14" s="5">
        <v>0.31000000000000005</v>
      </c>
      <c r="T14" s="5">
        <v>0.63</v>
      </c>
      <c r="U14" s="5">
        <v>0.97</v>
      </c>
      <c r="V14" s="5">
        <v>0.82</v>
      </c>
      <c r="W14" s="5">
        <v>1.07</v>
      </c>
      <c r="X14" s="5">
        <v>0.72</v>
      </c>
      <c r="Y14" s="5">
        <v>0.61</v>
      </c>
      <c r="Z14" s="5">
        <v>0.4</v>
      </c>
      <c r="AA14" s="5">
        <v>0.68</v>
      </c>
      <c r="AB14" s="5">
        <v>0.39</v>
      </c>
      <c r="AC14" s="5">
        <v>0.63</v>
      </c>
      <c r="AD14">
        <v>41610</v>
      </c>
      <c r="AE14">
        <v>2642</v>
      </c>
      <c r="AF14">
        <v>48284</v>
      </c>
      <c r="AG14">
        <v>17938</v>
      </c>
      <c r="AH14">
        <v>48687</v>
      </c>
      <c r="AI14">
        <v>46554</v>
      </c>
      <c r="AJ14">
        <v>34285</v>
      </c>
      <c r="AK14">
        <v>58809</v>
      </c>
      <c r="AL14">
        <v>44756</v>
      </c>
      <c r="AM14">
        <v>6109</v>
      </c>
      <c r="AN14">
        <v>24468</v>
      </c>
      <c r="AO14">
        <v>33398</v>
      </c>
      <c r="AP14">
        <v>49565</v>
      </c>
      <c r="AQ14">
        <v>36185</v>
      </c>
      <c r="AR14" s="11">
        <v>5400</v>
      </c>
      <c r="AS14" s="11">
        <v>4700</v>
      </c>
      <c r="AT14" s="11">
        <v>3500</v>
      </c>
      <c r="AU14" s="11">
        <v>6000</v>
      </c>
      <c r="AV14" s="11">
        <v>4900</v>
      </c>
      <c r="AW14" s="11">
        <v>4800</v>
      </c>
      <c r="AX14" s="11">
        <v>2600</v>
      </c>
      <c r="AY14" s="11">
        <v>7500</v>
      </c>
      <c r="AZ14" s="11">
        <v>4300</v>
      </c>
      <c r="BA14" s="11">
        <v>6200</v>
      </c>
    </row>
    <row r="15" spans="1:53" x14ac:dyDescent="0.25">
      <c r="A15" s="11">
        <v>2025</v>
      </c>
      <c r="B15" s="11" t="s">
        <v>11</v>
      </c>
      <c r="C15" s="11">
        <v>21930</v>
      </c>
      <c r="D15" s="11">
        <v>14850</v>
      </c>
      <c r="E15" s="11">
        <v>11285</v>
      </c>
      <c r="F15" s="11">
        <v>27630</v>
      </c>
      <c r="G15" s="11">
        <v>22700</v>
      </c>
      <c r="H15" s="5">
        <v>0.4</v>
      </c>
      <c r="I15" s="5">
        <v>0.54</v>
      </c>
      <c r="J15" s="5">
        <v>5.9999999999999942E-2</v>
      </c>
      <c r="K15" s="11">
        <f t="shared" si="0"/>
        <v>98395</v>
      </c>
      <c r="L15">
        <v>120000</v>
      </c>
      <c r="M15" s="5">
        <v>0.36</v>
      </c>
      <c r="N15" s="5">
        <v>0.28000000000000003</v>
      </c>
      <c r="O15" s="5">
        <v>0.3</v>
      </c>
      <c r="P15" s="5">
        <v>0.24</v>
      </c>
      <c r="Q15" s="5">
        <v>0.15</v>
      </c>
      <c r="R15" s="5">
        <v>0.15</v>
      </c>
      <c r="S15" s="5">
        <v>0.15999999999999992</v>
      </c>
      <c r="T15" s="5">
        <v>0.71</v>
      </c>
      <c r="U15" s="5">
        <v>0.8</v>
      </c>
      <c r="V15" s="5">
        <v>0.56999999999999995</v>
      </c>
      <c r="W15" s="5">
        <v>0.39</v>
      </c>
      <c r="X15" s="5">
        <v>0.61</v>
      </c>
      <c r="Y15" s="5">
        <v>0.72</v>
      </c>
      <c r="Z15" s="5">
        <v>0.57999999999999996</v>
      </c>
      <c r="AA15" s="5">
        <v>0.65</v>
      </c>
      <c r="AB15" s="5">
        <v>0.49</v>
      </c>
      <c r="AC15" s="5">
        <v>0.56999999999999995</v>
      </c>
      <c r="AD15">
        <v>45691</v>
      </c>
      <c r="AE15">
        <v>60215</v>
      </c>
      <c r="AF15">
        <v>19839</v>
      </c>
      <c r="AG15">
        <v>13621</v>
      </c>
      <c r="AH15">
        <v>59767</v>
      </c>
      <c r="AI15">
        <v>6581</v>
      </c>
      <c r="AJ15">
        <v>34286</v>
      </c>
      <c r="AK15">
        <v>42222</v>
      </c>
      <c r="AL15">
        <v>4090</v>
      </c>
      <c r="AM15">
        <v>39033</v>
      </c>
      <c r="AN15">
        <v>58269</v>
      </c>
      <c r="AO15">
        <v>68482</v>
      </c>
      <c r="AP15">
        <v>58702</v>
      </c>
      <c r="AQ15">
        <v>45132</v>
      </c>
      <c r="AR15" s="11">
        <v>8700</v>
      </c>
      <c r="AS15" s="11">
        <v>3600</v>
      </c>
      <c r="AT15" s="11">
        <v>4700</v>
      </c>
      <c r="AU15" s="11">
        <v>6500</v>
      </c>
      <c r="AV15" s="11">
        <v>4500</v>
      </c>
      <c r="AW15" s="11">
        <v>4900</v>
      </c>
      <c r="AX15" s="11">
        <v>4700</v>
      </c>
      <c r="AY15" s="11">
        <v>6700</v>
      </c>
      <c r="AZ15" s="11">
        <v>3600</v>
      </c>
      <c r="BA15" s="11">
        <v>3200</v>
      </c>
    </row>
    <row r="16" spans="1:53" x14ac:dyDescent="0.25">
      <c r="A16" s="11">
        <v>2026</v>
      </c>
      <c r="B16" s="11" t="s">
        <v>0</v>
      </c>
      <c r="C16" s="11">
        <v>84200</v>
      </c>
      <c r="D16" s="11">
        <v>40800</v>
      </c>
      <c r="E16" s="11">
        <v>39350</v>
      </c>
      <c r="F16" s="11">
        <v>36450</v>
      </c>
      <c r="G16" s="11">
        <v>34950</v>
      </c>
      <c r="H16" s="5">
        <v>0.4</v>
      </c>
      <c r="I16" s="5">
        <v>0.54</v>
      </c>
      <c r="J16" s="5">
        <v>5.9999999999999942E-2</v>
      </c>
      <c r="K16" s="11">
        <f t="shared" si="0"/>
        <v>235750</v>
      </c>
      <c r="L16">
        <v>127500</v>
      </c>
      <c r="M16" s="5">
        <v>0.6</v>
      </c>
      <c r="N16" s="5">
        <v>0.75</v>
      </c>
      <c r="O16" s="5">
        <v>0.25</v>
      </c>
      <c r="P16" s="5">
        <v>0.23</v>
      </c>
      <c r="Q16" s="5">
        <v>0.11</v>
      </c>
      <c r="R16" s="5">
        <v>0.05</v>
      </c>
      <c r="S16" s="5">
        <v>0.36</v>
      </c>
      <c r="T16" s="5">
        <v>0.35</v>
      </c>
      <c r="U16" s="5">
        <v>1.1499999999999999</v>
      </c>
      <c r="V16" s="5">
        <v>1.33</v>
      </c>
      <c r="W16" s="5">
        <v>0.95</v>
      </c>
      <c r="X16" s="5">
        <v>0.46</v>
      </c>
      <c r="Y16" s="5">
        <v>0.51</v>
      </c>
      <c r="Z16" s="5">
        <v>0.55000000000000004</v>
      </c>
      <c r="AA16" s="5">
        <v>0.28000000000000003</v>
      </c>
      <c r="AB16" s="5">
        <v>0.28999999999999998</v>
      </c>
      <c r="AC16" s="5">
        <v>0.46</v>
      </c>
      <c r="AD16">
        <v>81834</v>
      </c>
      <c r="AE16">
        <v>46341</v>
      </c>
      <c r="AF16">
        <v>27595</v>
      </c>
      <c r="AG16">
        <v>41420</v>
      </c>
      <c r="AH16">
        <v>2838</v>
      </c>
      <c r="AI16">
        <v>18543</v>
      </c>
      <c r="AJ16">
        <v>36429</v>
      </c>
      <c r="AK16">
        <v>3805</v>
      </c>
      <c r="AL16">
        <v>29822</v>
      </c>
      <c r="AM16">
        <v>34730</v>
      </c>
      <c r="AN16">
        <v>31455</v>
      </c>
      <c r="AO16">
        <v>69701</v>
      </c>
      <c r="AP16">
        <v>32558</v>
      </c>
      <c r="AQ16">
        <v>33679</v>
      </c>
      <c r="AR16" s="11">
        <v>5600</v>
      </c>
      <c r="AS16" s="11">
        <v>4500</v>
      </c>
      <c r="AT16" s="11">
        <v>3900</v>
      </c>
      <c r="AU16" s="11">
        <v>4100</v>
      </c>
      <c r="AV16" s="11">
        <v>6700</v>
      </c>
      <c r="AW16" s="11">
        <v>3300</v>
      </c>
      <c r="AX16" s="11">
        <v>3000</v>
      </c>
      <c r="AY16" s="11">
        <v>3100</v>
      </c>
      <c r="AZ16" s="11">
        <v>3900</v>
      </c>
      <c r="BA16" s="11">
        <v>4800</v>
      </c>
    </row>
    <row r="17" spans="1:53" x14ac:dyDescent="0.25">
      <c r="A17" s="11">
        <v>2026</v>
      </c>
      <c r="B17" s="11" t="s">
        <v>1</v>
      </c>
      <c r="C17" s="11">
        <v>87050</v>
      </c>
      <c r="D17" s="11">
        <v>48050</v>
      </c>
      <c r="E17" s="11">
        <v>42200</v>
      </c>
      <c r="F17" s="11">
        <v>36950</v>
      </c>
      <c r="G17" s="11">
        <v>32150</v>
      </c>
      <c r="H17" s="5">
        <v>0.39</v>
      </c>
      <c r="I17" s="5">
        <v>0.55000000000000004</v>
      </c>
      <c r="J17" s="5">
        <v>5.9999999999999942E-2</v>
      </c>
      <c r="K17" s="11">
        <f t="shared" si="0"/>
        <v>246400</v>
      </c>
      <c r="L17">
        <v>127500</v>
      </c>
      <c r="M17" s="5">
        <v>0.18</v>
      </c>
      <c r="N17" s="5">
        <v>0.72</v>
      </c>
      <c r="O17" s="5">
        <v>0.31</v>
      </c>
      <c r="P17" s="5">
        <v>0.3</v>
      </c>
      <c r="Q17" s="5">
        <v>0.13</v>
      </c>
      <c r="R17" s="5">
        <v>0.05</v>
      </c>
      <c r="S17" s="5">
        <v>0.20999999999999996</v>
      </c>
      <c r="T17" s="5">
        <v>1.19</v>
      </c>
      <c r="U17" s="5">
        <v>1.05</v>
      </c>
      <c r="V17" s="5">
        <v>0.44</v>
      </c>
      <c r="W17" s="5">
        <v>0.85</v>
      </c>
      <c r="X17" s="5">
        <v>0.79</v>
      </c>
      <c r="Y17" s="5">
        <v>0.42</v>
      </c>
      <c r="Z17" s="5">
        <v>0.63</v>
      </c>
      <c r="AA17" s="5">
        <v>0.67</v>
      </c>
      <c r="AB17" s="5">
        <v>0.62</v>
      </c>
      <c r="AC17" s="5">
        <v>0.68</v>
      </c>
      <c r="AD17">
        <v>6373</v>
      </c>
      <c r="AE17">
        <v>4854</v>
      </c>
      <c r="AF17">
        <v>14992</v>
      </c>
      <c r="AG17">
        <v>42439</v>
      </c>
      <c r="AH17">
        <v>65703</v>
      </c>
      <c r="AI17">
        <v>84210</v>
      </c>
      <c r="AJ17">
        <v>36429</v>
      </c>
      <c r="AK17">
        <v>1758</v>
      </c>
      <c r="AL17">
        <v>83659</v>
      </c>
      <c r="AM17">
        <v>5282</v>
      </c>
      <c r="AN17">
        <v>61073</v>
      </c>
      <c r="AO17">
        <v>27287</v>
      </c>
      <c r="AP17">
        <v>45555</v>
      </c>
      <c r="AQ17">
        <v>37436</v>
      </c>
      <c r="AR17" s="11">
        <v>7200</v>
      </c>
      <c r="AS17" s="11">
        <v>3200</v>
      </c>
      <c r="AT17" s="11">
        <v>5000</v>
      </c>
      <c r="AU17" s="11">
        <v>2900</v>
      </c>
      <c r="AV17" s="11">
        <v>4200</v>
      </c>
      <c r="AW17" s="11">
        <v>4600</v>
      </c>
      <c r="AX17" s="11">
        <v>6400</v>
      </c>
      <c r="AY17" s="11">
        <v>5800</v>
      </c>
      <c r="AZ17" s="11">
        <v>4800</v>
      </c>
      <c r="BA17" s="11">
        <v>4600</v>
      </c>
    </row>
    <row r="18" spans="1:53" x14ac:dyDescent="0.25">
      <c r="A18" s="11">
        <v>2026</v>
      </c>
      <c r="B18" s="11" t="s">
        <v>2</v>
      </c>
      <c r="C18" s="11">
        <v>38325</v>
      </c>
      <c r="D18" s="11">
        <v>27375</v>
      </c>
      <c r="E18" s="11">
        <v>19375</v>
      </c>
      <c r="F18" s="11">
        <v>35350</v>
      </c>
      <c r="G18" s="11">
        <v>33400</v>
      </c>
      <c r="H18" s="5">
        <v>0.37</v>
      </c>
      <c r="I18" s="5">
        <v>0.54</v>
      </c>
      <c r="J18" s="5">
        <v>8.9999999999999969E-2</v>
      </c>
      <c r="K18" s="11">
        <f t="shared" si="0"/>
        <v>153825</v>
      </c>
      <c r="L18">
        <v>127500</v>
      </c>
      <c r="M18" s="5">
        <v>0.47</v>
      </c>
      <c r="N18" s="5">
        <v>0.75</v>
      </c>
      <c r="O18" s="5">
        <v>0.27</v>
      </c>
      <c r="P18" s="5">
        <v>0.3</v>
      </c>
      <c r="Q18" s="5">
        <v>0.12</v>
      </c>
      <c r="R18" s="5">
        <v>0.06</v>
      </c>
      <c r="S18" s="5">
        <v>0.25</v>
      </c>
      <c r="T18" s="5">
        <v>0.89</v>
      </c>
      <c r="U18" s="5">
        <v>0.65</v>
      </c>
      <c r="V18" s="5">
        <v>0.4</v>
      </c>
      <c r="W18" s="5">
        <v>0.49</v>
      </c>
      <c r="X18" s="5">
        <v>0.57999999999999996</v>
      </c>
      <c r="Y18" s="5">
        <v>0.28000000000000003</v>
      </c>
      <c r="Z18" s="5">
        <v>0.63</v>
      </c>
      <c r="AA18" s="5">
        <v>0.47</v>
      </c>
      <c r="AB18" s="5">
        <v>0.56000000000000005</v>
      </c>
      <c r="AC18" s="5">
        <v>0.73</v>
      </c>
      <c r="AD18">
        <v>1817</v>
      </c>
      <c r="AE18">
        <v>45859</v>
      </c>
      <c r="AF18">
        <v>25110</v>
      </c>
      <c r="AG18">
        <v>64908</v>
      </c>
      <c r="AH18">
        <v>46144</v>
      </c>
      <c r="AI18">
        <v>34733</v>
      </c>
      <c r="AJ18">
        <v>36429</v>
      </c>
      <c r="AK18">
        <v>31967</v>
      </c>
      <c r="AL18">
        <v>56170</v>
      </c>
      <c r="AM18">
        <v>8135</v>
      </c>
      <c r="AN18">
        <v>59017</v>
      </c>
      <c r="AO18">
        <v>29476</v>
      </c>
      <c r="AP18">
        <v>19963</v>
      </c>
      <c r="AQ18">
        <v>34122</v>
      </c>
      <c r="AR18" s="11">
        <v>5600</v>
      </c>
      <c r="AS18" s="11">
        <v>6600</v>
      </c>
      <c r="AT18" s="11">
        <v>5800</v>
      </c>
      <c r="AU18" s="11">
        <v>3800</v>
      </c>
      <c r="AV18" s="11">
        <v>4500</v>
      </c>
      <c r="AW18" s="11">
        <v>3400</v>
      </c>
      <c r="AX18" s="11">
        <v>3500</v>
      </c>
      <c r="AY18" s="11">
        <v>3400</v>
      </c>
      <c r="AZ18" s="11">
        <v>6600</v>
      </c>
      <c r="BA18" s="11">
        <v>3700</v>
      </c>
    </row>
    <row r="19" spans="1:53" x14ac:dyDescent="0.25">
      <c r="A19" s="11">
        <v>2026</v>
      </c>
      <c r="B19" s="11" t="s">
        <v>3</v>
      </c>
      <c r="C19" s="11">
        <v>20125</v>
      </c>
      <c r="D19" s="11">
        <v>20775</v>
      </c>
      <c r="E19" s="11">
        <v>21100</v>
      </c>
      <c r="F19" s="11">
        <v>28000</v>
      </c>
      <c r="G19" s="11">
        <v>21400</v>
      </c>
      <c r="H19" s="5">
        <v>0.35</v>
      </c>
      <c r="I19" s="5">
        <v>0.41</v>
      </c>
      <c r="J19" s="5">
        <v>0.24</v>
      </c>
      <c r="K19" s="11">
        <f t="shared" si="0"/>
        <v>111400</v>
      </c>
      <c r="L19">
        <v>127500</v>
      </c>
      <c r="M19" s="5">
        <v>0.68</v>
      </c>
      <c r="N19" s="5">
        <v>0.69</v>
      </c>
      <c r="O19" s="5">
        <v>0.28000000000000003</v>
      </c>
      <c r="P19" s="5">
        <v>0.24</v>
      </c>
      <c r="Q19" s="5">
        <v>0.14000000000000001</v>
      </c>
      <c r="R19" s="5">
        <v>0.14000000000000001</v>
      </c>
      <c r="S19" s="5">
        <v>0.19999999999999996</v>
      </c>
      <c r="T19" s="5">
        <v>0.44</v>
      </c>
      <c r="U19" s="5">
        <v>0.38</v>
      </c>
      <c r="V19" s="5">
        <v>0.35</v>
      </c>
      <c r="W19" s="5">
        <v>0.67</v>
      </c>
      <c r="X19" s="5">
        <v>0.46</v>
      </c>
      <c r="Y19" s="5">
        <v>0.6</v>
      </c>
      <c r="Z19" s="5">
        <v>0.64</v>
      </c>
      <c r="AA19" s="5">
        <v>0.68</v>
      </c>
      <c r="AB19" s="5">
        <v>0.44</v>
      </c>
      <c r="AC19" s="5">
        <v>0.51</v>
      </c>
      <c r="AD19">
        <v>36007</v>
      </c>
      <c r="AE19">
        <v>27171</v>
      </c>
      <c r="AF19">
        <v>21469</v>
      </c>
      <c r="AG19">
        <v>59608</v>
      </c>
      <c r="AH19">
        <v>22177</v>
      </c>
      <c r="AI19">
        <v>52139</v>
      </c>
      <c r="AJ19">
        <v>36429</v>
      </c>
      <c r="AK19">
        <v>78666</v>
      </c>
      <c r="AL19">
        <v>6195</v>
      </c>
      <c r="AM19">
        <v>27356</v>
      </c>
      <c r="AN19">
        <v>30512</v>
      </c>
      <c r="AO19">
        <v>57968</v>
      </c>
      <c r="AP19">
        <v>1075</v>
      </c>
      <c r="AQ19">
        <v>33628</v>
      </c>
      <c r="AR19" s="11">
        <v>5500</v>
      </c>
      <c r="AS19" s="11">
        <v>3700</v>
      </c>
      <c r="AT19" s="11">
        <v>3300</v>
      </c>
      <c r="AU19" s="11">
        <v>4000</v>
      </c>
      <c r="AV19" s="11">
        <v>7600</v>
      </c>
      <c r="AW19" s="11">
        <v>6500</v>
      </c>
      <c r="AX19" s="11">
        <v>5000</v>
      </c>
      <c r="AY19" s="11">
        <v>5800</v>
      </c>
      <c r="AZ19" s="11">
        <v>3400</v>
      </c>
      <c r="BA19" s="11">
        <v>3200</v>
      </c>
    </row>
    <row r="20" spans="1:53" x14ac:dyDescent="0.25">
      <c r="A20" s="11">
        <v>2026</v>
      </c>
      <c r="B20" s="11" t="s">
        <v>4</v>
      </c>
      <c r="C20" s="11">
        <v>98450</v>
      </c>
      <c r="D20" s="11">
        <v>57350</v>
      </c>
      <c r="E20" s="11">
        <v>55350</v>
      </c>
      <c r="F20" s="11">
        <v>30450</v>
      </c>
      <c r="G20" s="11">
        <v>34950</v>
      </c>
      <c r="H20" s="5">
        <v>0.37</v>
      </c>
      <c r="I20" s="5">
        <v>0.4</v>
      </c>
      <c r="J20" s="5">
        <v>0.22999999999999998</v>
      </c>
      <c r="K20" s="11">
        <f t="shared" si="0"/>
        <v>276550</v>
      </c>
      <c r="L20">
        <v>127500</v>
      </c>
      <c r="M20" s="5">
        <v>0.16</v>
      </c>
      <c r="N20" s="5">
        <v>0.37</v>
      </c>
      <c r="O20" s="5">
        <v>0.35</v>
      </c>
      <c r="P20" s="5">
        <v>0.3</v>
      </c>
      <c r="Q20" s="5">
        <v>0.16</v>
      </c>
      <c r="R20" s="5">
        <v>0.09</v>
      </c>
      <c r="S20" s="5">
        <v>0.10000000000000009</v>
      </c>
      <c r="T20" s="5">
        <v>0.8</v>
      </c>
      <c r="U20" s="5">
        <v>0.57999999999999996</v>
      </c>
      <c r="V20" s="5">
        <v>0.55000000000000004</v>
      </c>
      <c r="W20" s="5">
        <v>0.8</v>
      </c>
      <c r="X20" s="5">
        <v>0.86</v>
      </c>
      <c r="Y20" s="5">
        <v>0.52</v>
      </c>
      <c r="Z20" s="5">
        <v>0.53</v>
      </c>
      <c r="AA20" s="5">
        <v>0.25</v>
      </c>
      <c r="AB20" s="5">
        <v>0.41</v>
      </c>
      <c r="AC20" s="5">
        <v>0.27</v>
      </c>
      <c r="AD20">
        <v>51759</v>
      </c>
      <c r="AE20">
        <v>45223</v>
      </c>
      <c r="AF20">
        <v>21923</v>
      </c>
      <c r="AG20">
        <v>41807</v>
      </c>
      <c r="AH20">
        <v>1397</v>
      </c>
      <c r="AI20">
        <v>56463</v>
      </c>
      <c r="AJ20">
        <v>36428</v>
      </c>
      <c r="AK20">
        <v>73029</v>
      </c>
      <c r="AL20">
        <v>6135</v>
      </c>
      <c r="AM20">
        <v>669</v>
      </c>
      <c r="AN20">
        <v>14237</v>
      </c>
      <c r="AO20">
        <v>8003</v>
      </c>
      <c r="AP20">
        <v>109127</v>
      </c>
      <c r="AQ20">
        <v>35200</v>
      </c>
      <c r="AR20" s="11">
        <v>7300</v>
      </c>
      <c r="AS20" s="11">
        <v>6500</v>
      </c>
      <c r="AT20" s="11">
        <v>4600</v>
      </c>
      <c r="AU20" s="11">
        <v>3900</v>
      </c>
      <c r="AV20" s="11">
        <v>3200</v>
      </c>
      <c r="AW20" s="11">
        <v>3300</v>
      </c>
      <c r="AX20" s="11">
        <v>5300</v>
      </c>
      <c r="AY20" s="11">
        <v>3400</v>
      </c>
      <c r="AZ20" s="11">
        <v>7900</v>
      </c>
      <c r="BA20" s="11">
        <v>5400</v>
      </c>
    </row>
    <row r="21" spans="1:53" x14ac:dyDescent="0.25">
      <c r="A21" s="11">
        <v>2026</v>
      </c>
      <c r="B21" s="11" t="s">
        <v>5</v>
      </c>
      <c r="C21" s="11">
        <v>38800</v>
      </c>
      <c r="D21" s="11">
        <v>37050</v>
      </c>
      <c r="E21" s="11">
        <v>36475</v>
      </c>
      <c r="F21" s="11">
        <v>34350</v>
      </c>
      <c r="G21" s="11">
        <v>32950</v>
      </c>
      <c r="H21" s="5">
        <v>0.35</v>
      </c>
      <c r="I21" s="5">
        <v>0.54</v>
      </c>
      <c r="J21" s="5">
        <v>0.10999999999999999</v>
      </c>
      <c r="K21" s="11">
        <f t="shared" si="0"/>
        <v>179625</v>
      </c>
      <c r="L21">
        <v>127500</v>
      </c>
      <c r="M21" s="5">
        <v>0.38</v>
      </c>
      <c r="N21" s="5">
        <v>0.35</v>
      </c>
      <c r="O21" s="5">
        <v>0.28000000000000003</v>
      </c>
      <c r="P21" s="5">
        <v>0.21</v>
      </c>
      <c r="Q21" s="5">
        <v>0.11</v>
      </c>
      <c r="R21" s="5">
        <v>0.11</v>
      </c>
      <c r="S21" s="5">
        <v>0.29000000000000004</v>
      </c>
      <c r="T21" s="5">
        <v>0.4</v>
      </c>
      <c r="U21" s="5">
        <v>0.4</v>
      </c>
      <c r="V21" s="5">
        <v>0.39</v>
      </c>
      <c r="W21" s="5">
        <v>0.46</v>
      </c>
      <c r="X21" s="5">
        <v>0.83</v>
      </c>
      <c r="Y21" s="5">
        <v>0.54</v>
      </c>
      <c r="Z21" s="5">
        <v>0.55000000000000004</v>
      </c>
      <c r="AA21" s="5">
        <v>0.39</v>
      </c>
      <c r="AB21" s="5">
        <v>0.57999999999999996</v>
      </c>
      <c r="AC21" s="5">
        <v>0.46</v>
      </c>
      <c r="AD21">
        <v>51331</v>
      </c>
      <c r="AE21">
        <v>52532</v>
      </c>
      <c r="AF21">
        <v>44586</v>
      </c>
      <c r="AG21">
        <v>11914</v>
      </c>
      <c r="AH21">
        <v>52023</v>
      </c>
      <c r="AI21">
        <v>6186</v>
      </c>
      <c r="AJ21">
        <v>36428</v>
      </c>
      <c r="AK21">
        <v>13722</v>
      </c>
      <c r="AL21">
        <v>44927</v>
      </c>
      <c r="AM21">
        <v>46092</v>
      </c>
      <c r="AN21">
        <v>35494</v>
      </c>
      <c r="AO21">
        <v>60920</v>
      </c>
      <c r="AP21">
        <v>49473</v>
      </c>
      <c r="AQ21">
        <v>41772</v>
      </c>
      <c r="AR21" s="11">
        <v>5000</v>
      </c>
      <c r="AS21" s="11">
        <v>5100</v>
      </c>
      <c r="AT21" s="11">
        <v>4000</v>
      </c>
      <c r="AU21" s="11">
        <v>4900</v>
      </c>
      <c r="AV21" s="11">
        <v>3500</v>
      </c>
      <c r="AW21" s="11">
        <v>4900</v>
      </c>
      <c r="AX21" s="11">
        <v>6200</v>
      </c>
      <c r="AY21" s="11">
        <v>7900</v>
      </c>
      <c r="AZ21" s="11">
        <v>2400</v>
      </c>
      <c r="BA21" s="11">
        <v>3600</v>
      </c>
    </row>
    <row r="22" spans="1:53" x14ac:dyDescent="0.25">
      <c r="A22" s="11">
        <v>2026</v>
      </c>
      <c r="B22" s="11" t="s">
        <v>6</v>
      </c>
      <c r="C22" s="11">
        <v>65850</v>
      </c>
      <c r="D22" s="11">
        <v>72750</v>
      </c>
      <c r="E22" s="11">
        <v>64900</v>
      </c>
      <c r="F22" s="11">
        <v>37750</v>
      </c>
      <c r="G22" s="11">
        <v>29900</v>
      </c>
      <c r="H22" s="5">
        <v>0.39</v>
      </c>
      <c r="I22" s="5">
        <v>0.49</v>
      </c>
      <c r="J22" s="5">
        <v>0.12</v>
      </c>
      <c r="K22" s="11">
        <f t="shared" si="0"/>
        <v>271150</v>
      </c>
      <c r="L22">
        <v>127500</v>
      </c>
      <c r="M22" s="5">
        <v>0.33</v>
      </c>
      <c r="N22" s="5">
        <v>0.31</v>
      </c>
      <c r="O22" s="5">
        <v>0.28999999999999998</v>
      </c>
      <c r="P22" s="5">
        <v>0.24</v>
      </c>
      <c r="Q22" s="5">
        <v>0.12</v>
      </c>
      <c r="R22" s="5">
        <v>0.12</v>
      </c>
      <c r="S22" s="5">
        <v>0.22999999999999998</v>
      </c>
      <c r="T22" s="5">
        <v>0.85</v>
      </c>
      <c r="U22" s="5">
        <v>0.66</v>
      </c>
      <c r="V22" s="5">
        <v>1.34</v>
      </c>
      <c r="W22" s="5">
        <v>0.36</v>
      </c>
      <c r="X22" s="5">
        <v>0.78</v>
      </c>
      <c r="Y22" s="5">
        <v>0.53</v>
      </c>
      <c r="Z22" s="5">
        <v>0.73</v>
      </c>
      <c r="AA22" s="5">
        <v>0.44</v>
      </c>
      <c r="AB22" s="5">
        <v>0.55000000000000004</v>
      </c>
      <c r="AC22" s="5">
        <v>0.44</v>
      </c>
      <c r="AD22">
        <v>49646</v>
      </c>
      <c r="AE22">
        <v>30891</v>
      </c>
      <c r="AF22">
        <v>56260</v>
      </c>
      <c r="AG22">
        <v>48065</v>
      </c>
      <c r="AH22">
        <v>23201</v>
      </c>
      <c r="AI22">
        <v>10508</v>
      </c>
      <c r="AJ22">
        <v>36429</v>
      </c>
      <c r="AK22">
        <v>23589</v>
      </c>
      <c r="AL22">
        <v>62477</v>
      </c>
      <c r="AM22">
        <v>70659</v>
      </c>
      <c r="AN22">
        <v>24604</v>
      </c>
      <c r="AO22">
        <v>5782</v>
      </c>
      <c r="AP22">
        <v>46588</v>
      </c>
      <c r="AQ22">
        <v>38951</v>
      </c>
      <c r="AR22" s="11">
        <v>6500</v>
      </c>
      <c r="AS22" s="11">
        <v>4800</v>
      </c>
      <c r="AT22" s="11">
        <v>6100</v>
      </c>
      <c r="AU22" s="11">
        <v>4800</v>
      </c>
      <c r="AV22" s="11">
        <v>3500</v>
      </c>
      <c r="AW22" s="11">
        <v>3400</v>
      </c>
      <c r="AX22" s="11">
        <v>3000</v>
      </c>
      <c r="AY22" s="11">
        <v>5400</v>
      </c>
      <c r="AZ22" s="11">
        <v>6700</v>
      </c>
      <c r="BA22" s="11">
        <v>6100</v>
      </c>
    </row>
    <row r="23" spans="1:53" x14ac:dyDescent="0.25">
      <c r="A23" s="11">
        <v>2026</v>
      </c>
      <c r="B23" s="11" t="s">
        <v>7</v>
      </c>
      <c r="C23" s="11">
        <v>36450</v>
      </c>
      <c r="D23" s="11">
        <v>24875</v>
      </c>
      <c r="E23" s="11">
        <v>31275</v>
      </c>
      <c r="F23" s="11">
        <v>41900</v>
      </c>
      <c r="G23" s="11">
        <v>31600</v>
      </c>
      <c r="H23" s="5">
        <v>0.35</v>
      </c>
      <c r="I23" s="5">
        <v>0.49</v>
      </c>
      <c r="J23" s="5">
        <v>0.16000000000000003</v>
      </c>
      <c r="K23" s="11">
        <f t="shared" si="0"/>
        <v>166100</v>
      </c>
      <c r="L23">
        <v>127500</v>
      </c>
      <c r="M23" s="5">
        <v>0.5</v>
      </c>
      <c r="N23" s="5">
        <v>0.53</v>
      </c>
      <c r="O23" s="5">
        <v>0.32</v>
      </c>
      <c r="P23" s="5">
        <v>0.28000000000000003</v>
      </c>
      <c r="Q23" s="5">
        <v>0.14000000000000001</v>
      </c>
      <c r="R23" s="5">
        <v>0.1</v>
      </c>
      <c r="S23" s="5">
        <v>0.15999999999999992</v>
      </c>
      <c r="T23" s="5">
        <v>1.04</v>
      </c>
      <c r="U23" s="5">
        <v>0.51</v>
      </c>
      <c r="V23" s="5">
        <v>1.23</v>
      </c>
      <c r="W23" s="5">
        <v>1.07</v>
      </c>
      <c r="X23" s="5">
        <v>1.08</v>
      </c>
      <c r="Y23" s="5">
        <v>0.42</v>
      </c>
      <c r="Z23" s="5">
        <v>0.35</v>
      </c>
      <c r="AA23" s="5">
        <v>0.48</v>
      </c>
      <c r="AB23" s="5">
        <v>0.64</v>
      </c>
      <c r="AC23" s="5">
        <v>0.44</v>
      </c>
      <c r="AD23">
        <v>51962</v>
      </c>
      <c r="AE23">
        <v>48810</v>
      </c>
      <c r="AF23">
        <v>46925</v>
      </c>
      <c r="AG23">
        <v>24132</v>
      </c>
      <c r="AH23">
        <v>17268</v>
      </c>
      <c r="AI23">
        <v>29474</v>
      </c>
      <c r="AJ23">
        <v>36429</v>
      </c>
      <c r="AK23">
        <v>39031</v>
      </c>
      <c r="AL23">
        <v>8783</v>
      </c>
      <c r="AM23">
        <v>3381</v>
      </c>
      <c r="AN23">
        <v>40277</v>
      </c>
      <c r="AO23">
        <v>41504</v>
      </c>
      <c r="AP23">
        <v>50109</v>
      </c>
      <c r="AQ23">
        <v>30515</v>
      </c>
      <c r="AR23" s="11">
        <v>5800</v>
      </c>
      <c r="AS23" s="11">
        <v>4200</v>
      </c>
      <c r="AT23" s="11">
        <v>5000</v>
      </c>
      <c r="AU23" s="11">
        <v>6800</v>
      </c>
      <c r="AV23" s="11">
        <v>6200</v>
      </c>
      <c r="AW23" s="11">
        <v>6900</v>
      </c>
      <c r="AX23" s="11">
        <v>6400</v>
      </c>
      <c r="AY23" s="11">
        <v>3100</v>
      </c>
      <c r="AZ23" s="11">
        <v>3600</v>
      </c>
      <c r="BA23" s="11">
        <v>4300</v>
      </c>
    </row>
    <row r="24" spans="1:53" x14ac:dyDescent="0.25">
      <c r="A24" s="11">
        <v>2026</v>
      </c>
      <c r="B24" s="11" t="s">
        <v>8</v>
      </c>
      <c r="C24" s="11">
        <v>78950</v>
      </c>
      <c r="D24" s="11">
        <v>39250</v>
      </c>
      <c r="E24" s="11">
        <v>56800</v>
      </c>
      <c r="F24" s="11">
        <v>30900</v>
      </c>
      <c r="G24" s="11">
        <v>28150</v>
      </c>
      <c r="H24" s="5">
        <v>0.4</v>
      </c>
      <c r="I24" s="5">
        <v>0.53</v>
      </c>
      <c r="J24" s="5">
        <v>6.9999999999999951E-2</v>
      </c>
      <c r="K24" s="11">
        <f t="shared" si="0"/>
        <v>234050</v>
      </c>
      <c r="L24">
        <v>127500</v>
      </c>
      <c r="M24" s="5">
        <v>0.75</v>
      </c>
      <c r="N24" s="5">
        <v>0.57999999999999996</v>
      </c>
      <c r="O24" s="5">
        <v>0.33</v>
      </c>
      <c r="P24" s="5">
        <v>0.23</v>
      </c>
      <c r="Q24" s="5">
        <v>0.15</v>
      </c>
      <c r="R24" s="5">
        <v>0.1</v>
      </c>
      <c r="S24" s="5">
        <v>0.18999999999999995</v>
      </c>
      <c r="T24" s="5">
        <v>0.45</v>
      </c>
      <c r="U24" s="5">
        <v>0.47</v>
      </c>
      <c r="V24" s="5">
        <v>0.5</v>
      </c>
      <c r="W24" s="5">
        <v>1.23</v>
      </c>
      <c r="X24" s="5">
        <v>1.1100000000000001</v>
      </c>
      <c r="Y24" s="5">
        <v>0.67</v>
      </c>
      <c r="Z24" s="5">
        <v>0.68</v>
      </c>
      <c r="AA24" s="5">
        <v>0.49</v>
      </c>
      <c r="AB24" s="5">
        <v>0.75</v>
      </c>
      <c r="AC24" s="5">
        <v>0.38</v>
      </c>
      <c r="AD24">
        <v>78132</v>
      </c>
      <c r="AE24">
        <v>22140</v>
      </c>
      <c r="AF24">
        <v>13463</v>
      </c>
      <c r="AG24">
        <v>22015</v>
      </c>
      <c r="AH24">
        <v>54712</v>
      </c>
      <c r="AI24">
        <v>28109</v>
      </c>
      <c r="AJ24">
        <v>36429</v>
      </c>
      <c r="AK24">
        <v>21220</v>
      </c>
      <c r="AL24">
        <v>53914</v>
      </c>
      <c r="AM24">
        <v>62840</v>
      </c>
      <c r="AN24">
        <v>21613</v>
      </c>
      <c r="AO24">
        <v>16404</v>
      </c>
      <c r="AP24">
        <v>55224</v>
      </c>
      <c r="AQ24">
        <v>38535</v>
      </c>
      <c r="AR24" s="11">
        <v>6200</v>
      </c>
      <c r="AS24" s="11">
        <v>3900</v>
      </c>
      <c r="AT24" s="11">
        <v>4300</v>
      </c>
      <c r="AU24" s="11">
        <v>3900</v>
      </c>
      <c r="AV24" s="11">
        <v>4200</v>
      </c>
      <c r="AW24" s="11">
        <v>4100</v>
      </c>
      <c r="AX24" s="11">
        <v>5300</v>
      </c>
      <c r="AY24" s="11">
        <v>5000</v>
      </c>
      <c r="AZ24" s="11">
        <v>3000</v>
      </c>
      <c r="BA24" s="11">
        <v>4800</v>
      </c>
    </row>
    <row r="25" spans="1:53" x14ac:dyDescent="0.25">
      <c r="A25" s="11">
        <v>2026</v>
      </c>
      <c r="B25" s="11" t="s">
        <v>9</v>
      </c>
      <c r="C25" s="11">
        <v>30725</v>
      </c>
      <c r="D25" s="11">
        <v>34325</v>
      </c>
      <c r="E25" s="11">
        <v>34100</v>
      </c>
      <c r="F25" s="11">
        <v>30950</v>
      </c>
      <c r="G25" s="11">
        <v>28950</v>
      </c>
      <c r="H25" s="5">
        <v>0.36</v>
      </c>
      <c r="I25" s="5">
        <v>0.43</v>
      </c>
      <c r="J25" s="5">
        <v>0.20999999999999996</v>
      </c>
      <c r="K25" s="11">
        <f t="shared" si="0"/>
        <v>159050</v>
      </c>
      <c r="L25">
        <v>127500</v>
      </c>
      <c r="M25" s="5">
        <v>0.73</v>
      </c>
      <c r="N25" s="5">
        <v>0.37</v>
      </c>
      <c r="O25" s="5">
        <v>0.3</v>
      </c>
      <c r="P25" s="5">
        <v>0.24</v>
      </c>
      <c r="Q25" s="5">
        <v>0.17</v>
      </c>
      <c r="R25" s="5">
        <v>0.14000000000000001</v>
      </c>
      <c r="S25" s="5">
        <v>0.14999999999999991</v>
      </c>
      <c r="T25" s="5">
        <v>1.18</v>
      </c>
      <c r="U25" s="5">
        <v>0.6</v>
      </c>
      <c r="V25" s="5">
        <v>1.28</v>
      </c>
      <c r="W25" s="5">
        <v>0.88</v>
      </c>
      <c r="X25" s="5">
        <v>0.37</v>
      </c>
      <c r="Y25" s="5">
        <v>0.39</v>
      </c>
      <c r="Z25" s="5">
        <v>0.41</v>
      </c>
      <c r="AA25" s="5">
        <v>0.74</v>
      </c>
      <c r="AB25" s="5">
        <v>0.66</v>
      </c>
      <c r="AC25" s="5">
        <v>0.26</v>
      </c>
      <c r="AD25">
        <v>50589</v>
      </c>
      <c r="AE25">
        <v>31175</v>
      </c>
      <c r="AF25">
        <v>2231</v>
      </c>
      <c r="AG25">
        <v>44476</v>
      </c>
      <c r="AH25">
        <v>53495</v>
      </c>
      <c r="AI25">
        <v>36605</v>
      </c>
      <c r="AJ25">
        <v>36429</v>
      </c>
      <c r="AK25">
        <v>33235</v>
      </c>
      <c r="AL25">
        <v>48630</v>
      </c>
      <c r="AM25">
        <v>44239</v>
      </c>
      <c r="AN25">
        <v>3952</v>
      </c>
      <c r="AO25">
        <v>48904</v>
      </c>
      <c r="AP25">
        <v>42354</v>
      </c>
      <c r="AQ25">
        <v>36886</v>
      </c>
      <c r="AR25" s="11">
        <v>5000</v>
      </c>
      <c r="AS25" s="11">
        <v>3600</v>
      </c>
      <c r="AT25" s="11">
        <v>5700</v>
      </c>
      <c r="AU25" s="11">
        <v>3300</v>
      </c>
      <c r="AV25" s="11">
        <v>4800</v>
      </c>
      <c r="AW25" s="11">
        <v>4500</v>
      </c>
      <c r="AX25" s="11">
        <v>3600</v>
      </c>
      <c r="AY25" s="11">
        <v>6200</v>
      </c>
      <c r="AZ25" s="11">
        <v>6700</v>
      </c>
      <c r="BA25" s="11">
        <v>4400</v>
      </c>
    </row>
    <row r="26" spans="1:53" x14ac:dyDescent="0.25">
      <c r="A26" s="11">
        <v>2026</v>
      </c>
      <c r="B26" s="11" t="s">
        <v>10</v>
      </c>
      <c r="C26" s="11">
        <v>75100</v>
      </c>
      <c r="D26" s="11">
        <v>71100</v>
      </c>
      <c r="E26" s="11">
        <v>45700</v>
      </c>
      <c r="F26" s="11">
        <v>44900</v>
      </c>
      <c r="G26" s="11">
        <v>29200</v>
      </c>
      <c r="H26" s="5">
        <v>0.37</v>
      </c>
      <c r="I26" s="5">
        <v>0.4</v>
      </c>
      <c r="J26" s="5">
        <v>0.22999999999999998</v>
      </c>
      <c r="K26" s="11">
        <f t="shared" si="0"/>
        <v>266000</v>
      </c>
      <c r="L26">
        <v>127500</v>
      </c>
      <c r="M26" s="5">
        <v>0.39</v>
      </c>
      <c r="N26" s="5">
        <v>0.62</v>
      </c>
      <c r="O26" s="5">
        <v>0.28999999999999998</v>
      </c>
      <c r="P26" s="5">
        <v>0.21</v>
      </c>
      <c r="Q26" s="5">
        <v>0.2</v>
      </c>
      <c r="R26" s="5">
        <v>0.1</v>
      </c>
      <c r="S26" s="5">
        <v>0.20000000000000007</v>
      </c>
      <c r="T26" s="5">
        <v>0.84</v>
      </c>
      <c r="U26" s="5">
        <v>1.26</v>
      </c>
      <c r="V26" s="5">
        <v>1.29</v>
      </c>
      <c r="W26" s="5">
        <v>0.62</v>
      </c>
      <c r="X26" s="5">
        <v>0.96</v>
      </c>
      <c r="Y26" s="5">
        <v>0.42</v>
      </c>
      <c r="Z26" s="5">
        <v>0.46</v>
      </c>
      <c r="AA26" s="5">
        <v>0.28000000000000003</v>
      </c>
      <c r="AB26" s="5">
        <v>0.57999999999999996</v>
      </c>
      <c r="AC26" s="5">
        <v>0.43</v>
      </c>
      <c r="AD26">
        <v>61297</v>
      </c>
      <c r="AE26">
        <v>11417</v>
      </c>
      <c r="AF26">
        <v>78401</v>
      </c>
      <c r="AG26">
        <v>23263</v>
      </c>
      <c r="AH26">
        <v>29757</v>
      </c>
      <c r="AI26">
        <v>14437</v>
      </c>
      <c r="AJ26">
        <v>36428</v>
      </c>
      <c r="AK26">
        <v>15712</v>
      </c>
      <c r="AL26">
        <v>2750</v>
      </c>
      <c r="AM26">
        <v>17909</v>
      </c>
      <c r="AN26">
        <v>31908</v>
      </c>
      <c r="AO26">
        <v>76740</v>
      </c>
      <c r="AP26">
        <v>82980</v>
      </c>
      <c r="AQ26">
        <v>38001</v>
      </c>
      <c r="AR26" s="11">
        <v>5900</v>
      </c>
      <c r="AS26" s="11">
        <v>5300</v>
      </c>
      <c r="AT26" s="11">
        <v>3600</v>
      </c>
      <c r="AU26" s="11">
        <v>2500</v>
      </c>
      <c r="AV26" s="11">
        <v>6200</v>
      </c>
      <c r="AW26" s="11">
        <v>4100</v>
      </c>
      <c r="AX26" s="11">
        <v>2300</v>
      </c>
      <c r="AY26" s="11">
        <v>8200</v>
      </c>
      <c r="AZ26" s="11">
        <v>4600</v>
      </c>
      <c r="BA26" s="11">
        <v>3300</v>
      </c>
    </row>
    <row r="27" spans="1:53" x14ac:dyDescent="0.25">
      <c r="A27" s="11">
        <v>2026</v>
      </c>
      <c r="B27" s="11" t="s">
        <v>11</v>
      </c>
      <c r="C27" s="11">
        <v>44150</v>
      </c>
      <c r="D27" s="11">
        <v>33750</v>
      </c>
      <c r="E27" s="11">
        <v>28400</v>
      </c>
      <c r="F27" s="11">
        <v>34150</v>
      </c>
      <c r="G27" s="11">
        <v>33050</v>
      </c>
      <c r="H27" s="5">
        <v>0.38</v>
      </c>
      <c r="I27" s="5">
        <v>0.4</v>
      </c>
      <c r="J27" s="5">
        <v>0.21999999999999997</v>
      </c>
      <c r="K27" s="11">
        <f t="shared" si="0"/>
        <v>173500</v>
      </c>
      <c r="L27">
        <v>127500</v>
      </c>
      <c r="M27" s="5">
        <v>0.71</v>
      </c>
      <c r="N27" s="5">
        <v>0.61</v>
      </c>
      <c r="O27" s="5">
        <v>0.25</v>
      </c>
      <c r="P27" s="5">
        <v>0.27</v>
      </c>
      <c r="Q27" s="5">
        <v>0.16</v>
      </c>
      <c r="R27" s="5">
        <v>0.1</v>
      </c>
      <c r="S27" s="5">
        <v>0.21999999999999997</v>
      </c>
      <c r="T27" s="5">
        <v>0.92</v>
      </c>
      <c r="U27" s="5">
        <v>1.28</v>
      </c>
      <c r="V27" s="5">
        <v>0.87</v>
      </c>
      <c r="W27" s="5">
        <v>0.66</v>
      </c>
      <c r="X27" s="5">
        <v>0.68</v>
      </c>
      <c r="Y27" s="5">
        <v>0.44</v>
      </c>
      <c r="Z27" s="5">
        <v>0.39</v>
      </c>
      <c r="AA27" s="5">
        <v>0.61</v>
      </c>
      <c r="AB27" s="5">
        <v>0.25</v>
      </c>
      <c r="AC27" s="5">
        <v>0.43</v>
      </c>
      <c r="AD27">
        <v>27485</v>
      </c>
      <c r="AE27">
        <v>65155</v>
      </c>
      <c r="AF27">
        <v>49231</v>
      </c>
      <c r="AG27">
        <v>5709</v>
      </c>
      <c r="AH27">
        <v>30633</v>
      </c>
      <c r="AI27">
        <v>40359</v>
      </c>
      <c r="AJ27">
        <v>36428</v>
      </c>
      <c r="AK27">
        <v>15509</v>
      </c>
      <c r="AL27">
        <v>54263</v>
      </c>
      <c r="AM27">
        <v>57668</v>
      </c>
      <c r="AN27">
        <v>26601</v>
      </c>
      <c r="AO27">
        <v>39834</v>
      </c>
      <c r="AP27">
        <v>45953</v>
      </c>
      <c r="AQ27">
        <v>39972</v>
      </c>
      <c r="AR27" s="11">
        <v>9100</v>
      </c>
      <c r="AS27" s="11">
        <v>2900</v>
      </c>
      <c r="AT27" s="11">
        <v>3000</v>
      </c>
      <c r="AU27" s="11">
        <v>5400</v>
      </c>
      <c r="AV27" s="11">
        <v>3200</v>
      </c>
      <c r="AW27" s="11">
        <v>4000</v>
      </c>
      <c r="AX27" s="11">
        <v>5900</v>
      </c>
      <c r="AY27" s="11">
        <v>3900</v>
      </c>
      <c r="AZ27" s="11">
        <v>2500</v>
      </c>
      <c r="BA27" s="11">
        <v>6400</v>
      </c>
    </row>
    <row r="28" spans="1:53" x14ac:dyDescent="0.25">
      <c r="A28" s="11">
        <v>2027</v>
      </c>
      <c r="B28" s="11" t="s">
        <v>0</v>
      </c>
      <c r="C28" s="11">
        <v>50700</v>
      </c>
      <c r="D28" s="11">
        <v>46000</v>
      </c>
      <c r="E28" s="11">
        <v>48625</v>
      </c>
      <c r="F28" s="11">
        <v>71300</v>
      </c>
      <c r="G28" s="11">
        <v>59050</v>
      </c>
      <c r="H28" s="5">
        <v>0.38</v>
      </c>
      <c r="I28" s="5">
        <v>0.52</v>
      </c>
      <c r="J28" s="5">
        <v>9.9999999999999978E-2</v>
      </c>
      <c r="K28" s="11">
        <f t="shared" si="0"/>
        <v>275675</v>
      </c>
      <c r="L28">
        <v>200000</v>
      </c>
      <c r="M28" s="5">
        <v>0.68</v>
      </c>
      <c r="N28" s="5">
        <v>0.31</v>
      </c>
      <c r="O28" s="5">
        <v>0.27</v>
      </c>
      <c r="P28" s="5">
        <v>0.3</v>
      </c>
      <c r="Q28" s="5">
        <v>0.17</v>
      </c>
      <c r="R28" s="5">
        <v>0.05</v>
      </c>
      <c r="S28" s="5">
        <v>0.20999999999999985</v>
      </c>
      <c r="T28" s="5">
        <v>0.71</v>
      </c>
      <c r="U28" s="5">
        <v>0.57999999999999996</v>
      </c>
      <c r="V28" s="5">
        <v>0.96</v>
      </c>
      <c r="W28" s="5">
        <v>0.5</v>
      </c>
      <c r="X28" s="5">
        <v>1.23</v>
      </c>
      <c r="Y28" s="5">
        <v>0.6</v>
      </c>
      <c r="Z28" s="5">
        <v>0.32</v>
      </c>
      <c r="AA28" s="5">
        <v>0.4</v>
      </c>
      <c r="AB28" s="5">
        <v>0.28000000000000003</v>
      </c>
      <c r="AC28" s="5">
        <v>0.71</v>
      </c>
      <c r="AD28">
        <v>49619</v>
      </c>
      <c r="AE28">
        <v>44997</v>
      </c>
      <c r="AF28">
        <v>90800</v>
      </c>
      <c r="AG28">
        <v>15868</v>
      </c>
      <c r="AH28">
        <v>63131</v>
      </c>
      <c r="AI28">
        <v>78442</v>
      </c>
      <c r="AJ28">
        <v>57143</v>
      </c>
      <c r="AK28">
        <v>70508</v>
      </c>
      <c r="AL28">
        <v>73443</v>
      </c>
      <c r="AM28">
        <v>14200</v>
      </c>
      <c r="AN28">
        <v>136332</v>
      </c>
      <c r="AO28">
        <v>60125</v>
      </c>
      <c r="AP28">
        <v>25321</v>
      </c>
      <c r="AQ28">
        <v>63321</v>
      </c>
      <c r="AR28" s="11">
        <v>5600</v>
      </c>
      <c r="AS28" s="11">
        <v>3200</v>
      </c>
      <c r="AT28" s="11">
        <v>5200</v>
      </c>
      <c r="AU28" s="11">
        <v>4700</v>
      </c>
      <c r="AV28" s="11">
        <v>6700</v>
      </c>
      <c r="AW28" s="11">
        <v>6500</v>
      </c>
      <c r="AX28" s="11">
        <v>6600</v>
      </c>
      <c r="AY28" s="11">
        <v>5600</v>
      </c>
      <c r="AZ28" s="11">
        <v>6400</v>
      </c>
      <c r="BA28" s="11">
        <v>5200</v>
      </c>
    </row>
    <row r="29" spans="1:53" x14ac:dyDescent="0.25">
      <c r="A29" s="11">
        <v>2027</v>
      </c>
      <c r="B29" s="11" t="s">
        <v>1</v>
      </c>
      <c r="C29" s="11">
        <v>100800</v>
      </c>
      <c r="D29" s="11">
        <v>106300</v>
      </c>
      <c r="E29" s="11">
        <v>101300</v>
      </c>
      <c r="F29" s="11">
        <v>67150</v>
      </c>
      <c r="G29" s="11">
        <v>67700</v>
      </c>
      <c r="H29" s="5">
        <v>0.4</v>
      </c>
      <c r="I29" s="5">
        <v>0.53</v>
      </c>
      <c r="J29" s="5">
        <v>6.9999999999999951E-2</v>
      </c>
      <c r="K29" s="11">
        <f t="shared" si="0"/>
        <v>443250</v>
      </c>
      <c r="L29">
        <v>200000</v>
      </c>
      <c r="M29" s="5">
        <v>0.56000000000000005</v>
      </c>
      <c r="N29" s="5">
        <v>0.75</v>
      </c>
      <c r="O29" s="5">
        <v>0.31</v>
      </c>
      <c r="P29" s="5">
        <v>0.26</v>
      </c>
      <c r="Q29" s="5">
        <v>0.16</v>
      </c>
      <c r="R29" s="5">
        <v>0.13</v>
      </c>
      <c r="S29" s="5">
        <v>0.1399999999999999</v>
      </c>
      <c r="T29" s="5">
        <v>0.37</v>
      </c>
      <c r="U29" s="5">
        <v>0.51</v>
      </c>
      <c r="V29" s="5">
        <v>1.08</v>
      </c>
      <c r="W29" s="5">
        <v>0.39</v>
      </c>
      <c r="X29" s="5">
        <v>1.0900000000000001</v>
      </c>
      <c r="Y29" s="5">
        <v>0.42</v>
      </c>
      <c r="Z29" s="5">
        <v>0.68</v>
      </c>
      <c r="AA29" s="5">
        <v>0.37</v>
      </c>
      <c r="AB29" s="5">
        <v>0.66</v>
      </c>
      <c r="AC29" s="5">
        <v>0.75</v>
      </c>
      <c r="AD29">
        <v>56868</v>
      </c>
      <c r="AE29">
        <v>63148</v>
      </c>
      <c r="AF29">
        <v>23937</v>
      </c>
      <c r="AG29">
        <v>62350</v>
      </c>
      <c r="AH29">
        <v>56683</v>
      </c>
      <c r="AI29">
        <v>79871</v>
      </c>
      <c r="AJ29">
        <v>57143</v>
      </c>
      <c r="AK29">
        <v>2277</v>
      </c>
      <c r="AL29">
        <v>26257</v>
      </c>
      <c r="AM29">
        <v>63238</v>
      </c>
      <c r="AN29">
        <v>115351</v>
      </c>
      <c r="AO29">
        <v>106186</v>
      </c>
      <c r="AP29">
        <v>57962</v>
      </c>
      <c r="AQ29">
        <v>61879</v>
      </c>
      <c r="AR29" s="11">
        <v>2800</v>
      </c>
      <c r="AS29" s="11">
        <v>5700</v>
      </c>
      <c r="AT29" s="11">
        <v>3800</v>
      </c>
      <c r="AU29" s="11">
        <v>4500</v>
      </c>
      <c r="AV29" s="11">
        <v>6700</v>
      </c>
      <c r="AW29" s="11">
        <v>4300</v>
      </c>
      <c r="AX29" s="11">
        <v>6200</v>
      </c>
      <c r="AY29" s="11">
        <v>7200</v>
      </c>
      <c r="AZ29" s="11">
        <v>3300</v>
      </c>
      <c r="BA29" s="11">
        <v>4200</v>
      </c>
    </row>
    <row r="30" spans="1:53" x14ac:dyDescent="0.25">
      <c r="A30" s="11">
        <v>2027</v>
      </c>
      <c r="B30" s="11" t="s">
        <v>2</v>
      </c>
      <c r="C30" s="11">
        <v>100900</v>
      </c>
      <c r="D30" s="11">
        <v>70850</v>
      </c>
      <c r="E30" s="11">
        <v>71300</v>
      </c>
      <c r="F30" s="11">
        <v>71950</v>
      </c>
      <c r="G30" s="11">
        <v>59300</v>
      </c>
      <c r="H30" s="5">
        <v>0.38</v>
      </c>
      <c r="I30" s="5">
        <v>0.49</v>
      </c>
      <c r="J30" s="5">
        <v>0.13</v>
      </c>
      <c r="K30" s="11">
        <f t="shared" si="0"/>
        <v>374300</v>
      </c>
      <c r="L30">
        <v>200000</v>
      </c>
      <c r="M30" s="5">
        <v>0.39</v>
      </c>
      <c r="N30" s="5">
        <v>0.49</v>
      </c>
      <c r="O30" s="5">
        <v>0.31</v>
      </c>
      <c r="P30" s="5">
        <v>0.27</v>
      </c>
      <c r="Q30" s="5">
        <v>0.12</v>
      </c>
      <c r="R30" s="5">
        <v>0.05</v>
      </c>
      <c r="S30" s="5">
        <v>0.24999999999999989</v>
      </c>
      <c r="T30" s="5">
        <v>1.02</v>
      </c>
      <c r="U30" s="5">
        <v>0.76</v>
      </c>
      <c r="V30" s="5">
        <v>0.61</v>
      </c>
      <c r="W30" s="5">
        <v>0.92</v>
      </c>
      <c r="X30" s="5">
        <v>1.3</v>
      </c>
      <c r="Y30" s="5">
        <v>0.52</v>
      </c>
      <c r="Z30" s="5">
        <v>0.71</v>
      </c>
      <c r="AA30" s="5">
        <v>0.6</v>
      </c>
      <c r="AB30" s="5">
        <v>0.71</v>
      </c>
      <c r="AC30" s="5">
        <v>0.34</v>
      </c>
      <c r="AD30">
        <v>30176</v>
      </c>
      <c r="AE30">
        <v>70871</v>
      </c>
      <c r="AF30">
        <v>43786</v>
      </c>
      <c r="AG30">
        <v>34502</v>
      </c>
      <c r="AH30">
        <v>113601</v>
      </c>
      <c r="AI30">
        <v>49922</v>
      </c>
      <c r="AJ30">
        <v>57142</v>
      </c>
      <c r="AK30">
        <v>80972</v>
      </c>
      <c r="AL30">
        <v>70011</v>
      </c>
      <c r="AM30">
        <v>98601</v>
      </c>
      <c r="AN30">
        <v>184</v>
      </c>
      <c r="AO30">
        <v>97849</v>
      </c>
      <c r="AP30">
        <v>77398</v>
      </c>
      <c r="AQ30">
        <v>70835</v>
      </c>
      <c r="AR30" s="11">
        <v>3600</v>
      </c>
      <c r="AS30" s="11">
        <v>5800</v>
      </c>
      <c r="AT30" s="11">
        <v>7100</v>
      </c>
      <c r="AU30" s="11">
        <v>5200</v>
      </c>
      <c r="AV30" s="11">
        <v>5000</v>
      </c>
      <c r="AW30" s="11">
        <v>5600</v>
      </c>
      <c r="AX30" s="11">
        <v>2800</v>
      </c>
      <c r="AY30" s="11">
        <v>3100</v>
      </c>
      <c r="AZ30" s="11">
        <v>6300</v>
      </c>
      <c r="BA30" s="11">
        <v>4000</v>
      </c>
    </row>
    <row r="31" spans="1:53" x14ac:dyDescent="0.25">
      <c r="A31" s="11">
        <v>2027</v>
      </c>
      <c r="B31" s="11" t="s">
        <v>3</v>
      </c>
      <c r="C31" s="11">
        <v>51000</v>
      </c>
      <c r="D31" s="11">
        <v>66800</v>
      </c>
      <c r="E31" s="11">
        <v>73150</v>
      </c>
      <c r="F31" s="11">
        <v>83750</v>
      </c>
      <c r="G31" s="11">
        <v>59950</v>
      </c>
      <c r="H31" s="5">
        <v>0.38</v>
      </c>
      <c r="I31" s="5">
        <v>0.45</v>
      </c>
      <c r="J31" s="5">
        <v>0.16999999999999993</v>
      </c>
      <c r="K31" s="11">
        <f t="shared" si="0"/>
        <v>334650</v>
      </c>
      <c r="L31">
        <v>200000</v>
      </c>
      <c r="M31" s="5">
        <v>0.63</v>
      </c>
      <c r="N31" s="5">
        <v>0.22</v>
      </c>
      <c r="O31" s="5">
        <v>0.34</v>
      </c>
      <c r="P31" s="5">
        <v>0.28999999999999998</v>
      </c>
      <c r="Q31" s="5">
        <v>0.17</v>
      </c>
      <c r="R31" s="5">
        <v>0.14000000000000001</v>
      </c>
      <c r="S31" s="5">
        <v>5.9999999999999942E-2</v>
      </c>
      <c r="T31" s="5">
        <v>0.69</v>
      </c>
      <c r="U31" s="5">
        <v>1</v>
      </c>
      <c r="V31" s="5">
        <v>1.03</v>
      </c>
      <c r="W31" s="5">
        <v>0.36</v>
      </c>
      <c r="X31" s="5">
        <v>0.59</v>
      </c>
      <c r="Y31" s="5">
        <v>0.74</v>
      </c>
      <c r="Z31" s="5">
        <v>0.6</v>
      </c>
      <c r="AA31" s="5">
        <v>0.71</v>
      </c>
      <c r="AB31" s="5">
        <v>0.74</v>
      </c>
      <c r="AC31" s="5">
        <v>0.53</v>
      </c>
      <c r="AD31">
        <v>52957</v>
      </c>
      <c r="AE31">
        <v>41804</v>
      </c>
      <c r="AF31">
        <v>82527</v>
      </c>
      <c r="AG31">
        <v>14966</v>
      </c>
      <c r="AH31">
        <v>83661</v>
      </c>
      <c r="AI31">
        <v>66943</v>
      </c>
      <c r="AJ31">
        <v>57142</v>
      </c>
      <c r="AK31">
        <v>89767</v>
      </c>
      <c r="AL31">
        <v>64887</v>
      </c>
      <c r="AM31">
        <v>3141</v>
      </c>
      <c r="AN31">
        <v>82237</v>
      </c>
      <c r="AO31">
        <v>55205</v>
      </c>
      <c r="AP31">
        <v>91420</v>
      </c>
      <c r="AQ31">
        <v>64443</v>
      </c>
      <c r="AR31" s="11">
        <v>3600</v>
      </c>
      <c r="AS31" s="11">
        <v>6100</v>
      </c>
      <c r="AT31" s="11">
        <v>4000</v>
      </c>
      <c r="AU31" s="11">
        <v>5100</v>
      </c>
      <c r="AV31" s="11">
        <v>7300</v>
      </c>
      <c r="AW31" s="11">
        <v>6000</v>
      </c>
      <c r="AX31" s="11">
        <v>5200</v>
      </c>
      <c r="AY31" s="11">
        <v>6900</v>
      </c>
      <c r="AZ31" s="11">
        <v>6400</v>
      </c>
      <c r="BA31" s="11">
        <v>3500</v>
      </c>
    </row>
    <row r="32" spans="1:53" x14ac:dyDescent="0.25">
      <c r="A32" s="11">
        <v>2027</v>
      </c>
      <c r="B32" s="11" t="s">
        <v>4</v>
      </c>
      <c r="C32" s="11">
        <v>70600</v>
      </c>
      <c r="D32" s="11">
        <v>51100</v>
      </c>
      <c r="E32" s="11">
        <v>35125</v>
      </c>
      <c r="F32" s="11">
        <v>89950</v>
      </c>
      <c r="G32" s="11">
        <v>67000</v>
      </c>
      <c r="H32" s="5">
        <v>0.36</v>
      </c>
      <c r="I32" s="5">
        <v>0.51</v>
      </c>
      <c r="J32" s="5">
        <v>0.13</v>
      </c>
      <c r="K32" s="11">
        <f t="shared" si="0"/>
        <v>313775</v>
      </c>
      <c r="L32">
        <v>200000</v>
      </c>
      <c r="M32" s="5">
        <v>0.51</v>
      </c>
      <c r="N32" s="5">
        <v>0.65</v>
      </c>
      <c r="O32" s="5">
        <v>0.33</v>
      </c>
      <c r="P32" s="5">
        <v>0.24</v>
      </c>
      <c r="Q32" s="5">
        <v>0.11</v>
      </c>
      <c r="R32" s="5">
        <v>0.09</v>
      </c>
      <c r="S32" s="5">
        <v>0.22999999999999998</v>
      </c>
      <c r="T32" s="5">
        <v>0.67</v>
      </c>
      <c r="U32" s="5">
        <v>0.71</v>
      </c>
      <c r="V32" s="5">
        <v>1.18</v>
      </c>
      <c r="W32" s="5">
        <v>1.35</v>
      </c>
      <c r="X32" s="5">
        <v>1.06</v>
      </c>
      <c r="Y32" s="5">
        <v>0.31</v>
      </c>
      <c r="Z32" s="5">
        <v>0.27</v>
      </c>
      <c r="AA32" s="5">
        <v>0.65</v>
      </c>
      <c r="AB32" s="5">
        <v>0.4</v>
      </c>
      <c r="AC32" s="5">
        <v>0.65</v>
      </c>
      <c r="AD32">
        <v>66993</v>
      </c>
      <c r="AE32">
        <v>80607</v>
      </c>
      <c r="AF32">
        <v>45268</v>
      </c>
      <c r="AG32">
        <v>19824</v>
      </c>
      <c r="AH32">
        <v>70101</v>
      </c>
      <c r="AI32">
        <v>60063</v>
      </c>
      <c r="AJ32">
        <v>57144</v>
      </c>
      <c r="AK32">
        <v>3599</v>
      </c>
      <c r="AL32">
        <v>89239</v>
      </c>
      <c r="AM32">
        <v>53980</v>
      </c>
      <c r="AN32">
        <v>41530</v>
      </c>
      <c r="AO32">
        <v>55959</v>
      </c>
      <c r="AP32">
        <v>81707</v>
      </c>
      <c r="AQ32">
        <v>54336</v>
      </c>
      <c r="AR32" s="11">
        <v>3400</v>
      </c>
      <c r="AS32" s="11">
        <v>5400</v>
      </c>
      <c r="AT32" s="11">
        <v>4200</v>
      </c>
      <c r="AU32" s="11">
        <v>3700</v>
      </c>
      <c r="AV32" s="11">
        <v>3400</v>
      </c>
      <c r="AW32" s="11">
        <v>4300</v>
      </c>
      <c r="AX32" s="11">
        <v>6000</v>
      </c>
      <c r="AY32" s="11">
        <v>7100</v>
      </c>
      <c r="AZ32" s="11">
        <v>4100</v>
      </c>
      <c r="BA32" s="11">
        <v>6600</v>
      </c>
    </row>
    <row r="33" spans="1:53" x14ac:dyDescent="0.25">
      <c r="A33" s="11">
        <v>2027</v>
      </c>
      <c r="B33" s="11" t="s">
        <v>5</v>
      </c>
      <c r="C33" s="11">
        <v>133300</v>
      </c>
      <c r="D33" s="11">
        <v>119100</v>
      </c>
      <c r="E33" s="11">
        <v>117550</v>
      </c>
      <c r="F33" s="11">
        <v>87300</v>
      </c>
      <c r="G33" s="11">
        <v>65350</v>
      </c>
      <c r="H33" s="5">
        <v>0.39</v>
      </c>
      <c r="I33" s="5">
        <v>0.43</v>
      </c>
      <c r="J33" s="5">
        <v>0.17999999999999994</v>
      </c>
      <c r="K33" s="11">
        <f t="shared" si="0"/>
        <v>522600</v>
      </c>
      <c r="L33">
        <v>200000</v>
      </c>
      <c r="M33" s="5">
        <v>0.4</v>
      </c>
      <c r="N33" s="5">
        <v>0.22</v>
      </c>
      <c r="O33" s="5">
        <v>0.32</v>
      </c>
      <c r="P33" s="5">
        <v>0.28999999999999998</v>
      </c>
      <c r="Q33" s="5">
        <v>0.16</v>
      </c>
      <c r="R33" s="5">
        <v>0.1</v>
      </c>
      <c r="S33" s="5">
        <v>0.13</v>
      </c>
      <c r="T33" s="5">
        <v>0.64</v>
      </c>
      <c r="U33" s="5">
        <v>0.9</v>
      </c>
      <c r="V33" s="5">
        <v>0.89</v>
      </c>
      <c r="W33" s="5">
        <v>1.31</v>
      </c>
      <c r="X33" s="5">
        <v>0.61</v>
      </c>
      <c r="Y33" s="5">
        <v>0.26</v>
      </c>
      <c r="Z33" s="5">
        <v>0.28999999999999998</v>
      </c>
      <c r="AA33" s="5">
        <v>0.69</v>
      </c>
      <c r="AB33" s="5">
        <v>0.56999999999999995</v>
      </c>
      <c r="AC33" s="5">
        <v>0.55000000000000004</v>
      </c>
      <c r="AD33">
        <v>61731</v>
      </c>
      <c r="AE33">
        <v>70672</v>
      </c>
      <c r="AF33">
        <v>15210</v>
      </c>
      <c r="AG33">
        <v>43615</v>
      </c>
      <c r="AH33">
        <v>89928</v>
      </c>
      <c r="AI33">
        <v>61702</v>
      </c>
      <c r="AJ33">
        <v>57142</v>
      </c>
      <c r="AK33">
        <v>44028</v>
      </c>
      <c r="AL33">
        <v>47609</v>
      </c>
      <c r="AM33">
        <v>121003</v>
      </c>
      <c r="AN33">
        <v>108350</v>
      </c>
      <c r="AO33">
        <v>29960</v>
      </c>
      <c r="AP33">
        <v>105094</v>
      </c>
      <c r="AQ33">
        <v>76006</v>
      </c>
      <c r="AR33" s="11">
        <v>5100</v>
      </c>
      <c r="AS33" s="11">
        <v>5000</v>
      </c>
      <c r="AT33" s="11">
        <v>5600</v>
      </c>
      <c r="AU33" s="11">
        <v>2400</v>
      </c>
      <c r="AV33" s="11">
        <v>4500</v>
      </c>
      <c r="AW33" s="11">
        <v>4200</v>
      </c>
      <c r="AX33" s="11">
        <v>4600</v>
      </c>
      <c r="AY33" s="11">
        <v>4100</v>
      </c>
      <c r="AZ33" s="11">
        <v>4800</v>
      </c>
      <c r="BA33" s="11">
        <v>2600</v>
      </c>
    </row>
    <row r="34" spans="1:53" x14ac:dyDescent="0.25">
      <c r="A34" s="11">
        <v>2027</v>
      </c>
      <c r="B34" s="11" t="s">
        <v>6</v>
      </c>
      <c r="C34" s="11">
        <v>72850</v>
      </c>
      <c r="D34" s="11">
        <v>60400</v>
      </c>
      <c r="E34" s="11">
        <v>34650</v>
      </c>
      <c r="F34" s="11">
        <v>37350</v>
      </c>
      <c r="G34" s="11">
        <v>26100</v>
      </c>
      <c r="H34" s="5">
        <v>0.4</v>
      </c>
      <c r="I34" s="5">
        <v>0.49</v>
      </c>
      <c r="J34" s="5">
        <v>0.10999999999999999</v>
      </c>
      <c r="K34" s="11">
        <f t="shared" si="0"/>
        <v>231350</v>
      </c>
      <c r="L34">
        <v>200000</v>
      </c>
      <c r="M34" s="5">
        <v>0.53</v>
      </c>
      <c r="N34" s="5">
        <v>0.49</v>
      </c>
      <c r="O34" s="5">
        <v>0.25</v>
      </c>
      <c r="P34" s="5">
        <v>0.26</v>
      </c>
      <c r="Q34" s="5">
        <v>0.2</v>
      </c>
      <c r="R34" s="5">
        <v>0.1</v>
      </c>
      <c r="S34" s="5">
        <v>0.19000000000000006</v>
      </c>
      <c r="T34" s="5">
        <v>0.49</v>
      </c>
      <c r="U34" s="5">
        <v>0.52</v>
      </c>
      <c r="V34" s="5">
        <v>0.74</v>
      </c>
      <c r="W34" s="5">
        <v>0.42</v>
      </c>
      <c r="X34" s="5">
        <v>0.6</v>
      </c>
      <c r="Y34" s="5">
        <v>0.63</v>
      </c>
      <c r="Z34" s="5">
        <v>0.41</v>
      </c>
      <c r="AA34" s="5">
        <v>0.35</v>
      </c>
      <c r="AB34" s="5">
        <v>0.27</v>
      </c>
      <c r="AC34" s="5">
        <v>0.32</v>
      </c>
      <c r="AD34">
        <v>85576</v>
      </c>
      <c r="AE34">
        <v>13692</v>
      </c>
      <c r="AF34">
        <v>81285</v>
      </c>
      <c r="AG34">
        <v>55531</v>
      </c>
      <c r="AH34">
        <v>54552</v>
      </c>
      <c r="AI34">
        <v>52220</v>
      </c>
      <c r="AJ34">
        <v>57144</v>
      </c>
      <c r="AK34">
        <v>105360</v>
      </c>
      <c r="AL34">
        <v>41432</v>
      </c>
      <c r="AM34">
        <v>10472</v>
      </c>
      <c r="AN34">
        <v>70272</v>
      </c>
      <c r="AO34">
        <v>90437</v>
      </c>
      <c r="AP34">
        <v>124784</v>
      </c>
      <c r="AQ34">
        <v>73793</v>
      </c>
      <c r="AR34" s="11">
        <v>4600</v>
      </c>
      <c r="AS34" s="11">
        <v>3700</v>
      </c>
      <c r="AT34" s="11">
        <v>3000</v>
      </c>
      <c r="AU34" s="11">
        <v>3800</v>
      </c>
      <c r="AV34" s="11">
        <v>6400</v>
      </c>
      <c r="AW34" s="11">
        <v>2500</v>
      </c>
      <c r="AX34" s="11">
        <v>5300</v>
      </c>
      <c r="AY34" s="11">
        <v>5300</v>
      </c>
      <c r="AZ34" s="11">
        <v>5400</v>
      </c>
      <c r="BA34" s="11">
        <v>3600</v>
      </c>
    </row>
    <row r="35" spans="1:53" x14ac:dyDescent="0.25">
      <c r="A35" s="11">
        <v>2027</v>
      </c>
      <c r="B35" s="11" t="s">
        <v>7</v>
      </c>
      <c r="C35" s="11">
        <v>103750</v>
      </c>
      <c r="D35" s="11">
        <v>135400</v>
      </c>
      <c r="E35" s="11">
        <v>144750</v>
      </c>
      <c r="F35" s="11">
        <v>63700</v>
      </c>
      <c r="G35" s="11">
        <v>60000</v>
      </c>
      <c r="H35" s="5">
        <v>0.38</v>
      </c>
      <c r="I35" s="5">
        <v>0.55000000000000004</v>
      </c>
      <c r="J35" s="5">
        <v>6.9999999999999951E-2</v>
      </c>
      <c r="K35" s="11">
        <f t="shared" si="0"/>
        <v>507600</v>
      </c>
      <c r="L35">
        <v>200000</v>
      </c>
      <c r="M35" s="5">
        <v>0.16</v>
      </c>
      <c r="N35" s="5">
        <v>0.39</v>
      </c>
      <c r="O35" s="5">
        <v>0.3</v>
      </c>
      <c r="P35" s="5">
        <v>0.26</v>
      </c>
      <c r="Q35" s="5">
        <v>0.13</v>
      </c>
      <c r="R35" s="5">
        <v>0.14000000000000001</v>
      </c>
      <c r="S35" s="5">
        <v>0.16999999999999993</v>
      </c>
      <c r="T35" s="5">
        <v>0.79</v>
      </c>
      <c r="U35" s="5">
        <v>0.43</v>
      </c>
      <c r="V35" s="5">
        <v>0.95</v>
      </c>
      <c r="W35" s="5">
        <v>1.06</v>
      </c>
      <c r="X35" s="5">
        <v>1.1599999999999999</v>
      </c>
      <c r="Y35" s="5">
        <v>0.71</v>
      </c>
      <c r="Z35" s="5">
        <v>0.5</v>
      </c>
      <c r="AA35" s="5">
        <v>0.53</v>
      </c>
      <c r="AB35" s="5">
        <v>0.3</v>
      </c>
      <c r="AC35" s="5">
        <v>0.66</v>
      </c>
      <c r="AD35">
        <v>123513</v>
      </c>
      <c r="AE35">
        <v>28129</v>
      </c>
      <c r="AF35">
        <v>13569</v>
      </c>
      <c r="AG35">
        <v>112315</v>
      </c>
      <c r="AH35">
        <v>9984</v>
      </c>
      <c r="AI35">
        <v>55347</v>
      </c>
      <c r="AJ35">
        <v>57143</v>
      </c>
      <c r="AK35">
        <v>88289</v>
      </c>
      <c r="AL35">
        <v>56527</v>
      </c>
      <c r="AM35">
        <v>28046</v>
      </c>
      <c r="AN35">
        <v>26284</v>
      </c>
      <c r="AO35">
        <v>169188</v>
      </c>
      <c r="AP35">
        <v>494</v>
      </c>
      <c r="AQ35">
        <v>61472</v>
      </c>
      <c r="AR35" s="11">
        <v>5400</v>
      </c>
      <c r="AS35" s="11">
        <v>3700</v>
      </c>
      <c r="AT35" s="11">
        <v>2700</v>
      </c>
      <c r="AU35" s="11">
        <v>3200</v>
      </c>
      <c r="AV35" s="11">
        <v>4700</v>
      </c>
      <c r="AW35" s="11">
        <v>4900</v>
      </c>
      <c r="AX35" s="11">
        <v>5600</v>
      </c>
      <c r="AY35" s="11">
        <v>6500</v>
      </c>
      <c r="AZ35" s="11">
        <v>4700</v>
      </c>
      <c r="BA35" s="11">
        <v>3500</v>
      </c>
    </row>
    <row r="36" spans="1:53" x14ac:dyDescent="0.25">
      <c r="A36" s="11">
        <v>2027</v>
      </c>
      <c r="B36" s="11" t="s">
        <v>8</v>
      </c>
      <c r="C36" s="11">
        <v>131050</v>
      </c>
      <c r="D36" s="11">
        <v>93550</v>
      </c>
      <c r="E36" s="11">
        <v>135050</v>
      </c>
      <c r="F36" s="11">
        <v>69000</v>
      </c>
      <c r="G36" s="11">
        <v>60400</v>
      </c>
      <c r="H36" s="5">
        <v>0.38</v>
      </c>
      <c r="I36" s="5">
        <v>0.55000000000000004</v>
      </c>
      <c r="J36" s="5">
        <v>6.9999999999999951E-2</v>
      </c>
      <c r="K36" s="11">
        <f t="shared" si="0"/>
        <v>489050</v>
      </c>
      <c r="L36">
        <v>200000</v>
      </c>
      <c r="M36" s="5">
        <v>0.44</v>
      </c>
      <c r="N36" s="5">
        <v>0.74</v>
      </c>
      <c r="O36" s="5">
        <v>0.28999999999999998</v>
      </c>
      <c r="P36" s="5">
        <v>0.21</v>
      </c>
      <c r="Q36" s="5">
        <v>0.16</v>
      </c>
      <c r="R36" s="5">
        <v>0.1</v>
      </c>
      <c r="S36" s="5">
        <v>0.24</v>
      </c>
      <c r="T36" s="5">
        <v>0.35</v>
      </c>
      <c r="U36" s="5">
        <v>0.39</v>
      </c>
      <c r="V36" s="5">
        <v>0.75</v>
      </c>
      <c r="W36" s="5">
        <v>0.61</v>
      </c>
      <c r="X36" s="5">
        <v>1.27</v>
      </c>
      <c r="Y36" s="5">
        <v>0.25</v>
      </c>
      <c r="Z36" s="5">
        <v>0.4</v>
      </c>
      <c r="AA36" s="5">
        <v>0.55000000000000004</v>
      </c>
      <c r="AB36" s="5">
        <v>0.74</v>
      </c>
      <c r="AC36" s="5">
        <v>0.71</v>
      </c>
      <c r="AD36">
        <v>21</v>
      </c>
      <c r="AE36">
        <v>91779</v>
      </c>
      <c r="AF36">
        <v>70530</v>
      </c>
      <c r="AG36">
        <v>23891</v>
      </c>
      <c r="AH36">
        <v>82162</v>
      </c>
      <c r="AI36">
        <v>74474</v>
      </c>
      <c r="AJ36">
        <v>57143</v>
      </c>
      <c r="AK36">
        <v>124149</v>
      </c>
      <c r="AL36">
        <v>29359</v>
      </c>
      <c r="AM36">
        <v>47814</v>
      </c>
      <c r="AN36">
        <v>82936</v>
      </c>
      <c r="AO36">
        <v>38506</v>
      </c>
      <c r="AP36">
        <v>115536</v>
      </c>
      <c r="AQ36">
        <v>73050</v>
      </c>
      <c r="AR36" s="11">
        <v>5100</v>
      </c>
      <c r="AS36" s="11">
        <v>3100</v>
      </c>
      <c r="AT36" s="11">
        <v>4800</v>
      </c>
      <c r="AU36" s="11">
        <v>2900</v>
      </c>
      <c r="AV36" s="11">
        <v>6900</v>
      </c>
      <c r="AW36" s="11">
        <v>5500</v>
      </c>
      <c r="AX36" s="11">
        <v>4200</v>
      </c>
      <c r="AY36" s="11">
        <v>3700</v>
      </c>
      <c r="AZ36" s="11">
        <v>5300</v>
      </c>
      <c r="BA36" s="11">
        <v>5000</v>
      </c>
    </row>
    <row r="37" spans="1:53" x14ac:dyDescent="0.25">
      <c r="A37" s="11">
        <v>2027</v>
      </c>
      <c r="B37" s="11" t="s">
        <v>9</v>
      </c>
      <c r="C37" s="11">
        <v>54600</v>
      </c>
      <c r="D37" s="11">
        <v>55350</v>
      </c>
      <c r="E37" s="11">
        <v>42200</v>
      </c>
      <c r="F37" s="11">
        <v>64200</v>
      </c>
      <c r="G37" s="11">
        <v>64650</v>
      </c>
      <c r="H37" s="5">
        <v>0.38</v>
      </c>
      <c r="I37" s="5">
        <v>0.46</v>
      </c>
      <c r="J37" s="5">
        <v>0.15999999999999992</v>
      </c>
      <c r="K37" s="11">
        <f t="shared" si="0"/>
        <v>281000</v>
      </c>
      <c r="L37">
        <v>200000</v>
      </c>
      <c r="M37" s="5">
        <v>0.32</v>
      </c>
      <c r="N37" s="5">
        <v>0.26</v>
      </c>
      <c r="O37" s="5">
        <v>0.25</v>
      </c>
      <c r="P37" s="5">
        <v>0.26</v>
      </c>
      <c r="Q37" s="5">
        <v>0.14000000000000001</v>
      </c>
      <c r="R37" s="5">
        <v>0.1</v>
      </c>
      <c r="S37" s="5">
        <v>0.25</v>
      </c>
      <c r="T37" s="5">
        <v>1.1599999999999999</v>
      </c>
      <c r="U37" s="5">
        <v>0.46</v>
      </c>
      <c r="V37" s="5">
        <v>0.53</v>
      </c>
      <c r="W37" s="5">
        <v>1.28</v>
      </c>
      <c r="X37" s="5">
        <v>1.3</v>
      </c>
      <c r="Y37" s="5">
        <v>0.65</v>
      </c>
      <c r="Z37" s="5">
        <v>0.62</v>
      </c>
      <c r="AA37" s="5">
        <v>0.61</v>
      </c>
      <c r="AB37" s="5">
        <v>0.56000000000000005</v>
      </c>
      <c r="AC37" s="5">
        <v>0.57999999999999996</v>
      </c>
      <c r="AD37">
        <v>86308</v>
      </c>
      <c r="AE37">
        <v>58777</v>
      </c>
      <c r="AF37">
        <v>73329</v>
      </c>
      <c r="AG37">
        <v>58578</v>
      </c>
      <c r="AH37">
        <v>15113</v>
      </c>
      <c r="AI37">
        <v>50752</v>
      </c>
      <c r="AJ37">
        <v>57143</v>
      </c>
      <c r="AK37">
        <v>90279</v>
      </c>
      <c r="AL37">
        <v>50719</v>
      </c>
      <c r="AM37">
        <v>57972</v>
      </c>
      <c r="AN37">
        <v>91074</v>
      </c>
      <c r="AO37">
        <v>15757</v>
      </c>
      <c r="AP37">
        <v>97570</v>
      </c>
      <c r="AQ37">
        <v>67229</v>
      </c>
      <c r="AR37" s="11">
        <v>3100</v>
      </c>
      <c r="AS37" s="11">
        <v>4400</v>
      </c>
      <c r="AT37" s="11">
        <v>5100</v>
      </c>
      <c r="AU37" s="11">
        <v>7900</v>
      </c>
      <c r="AV37" s="11">
        <v>7100</v>
      </c>
      <c r="AW37" s="11">
        <v>4600</v>
      </c>
      <c r="AX37" s="11">
        <v>6000</v>
      </c>
      <c r="AY37" s="11">
        <v>4300</v>
      </c>
      <c r="AZ37" s="11">
        <v>3400</v>
      </c>
      <c r="BA37" s="11">
        <v>3200</v>
      </c>
    </row>
    <row r="38" spans="1:53" x14ac:dyDescent="0.25">
      <c r="A38" s="11">
        <v>2027</v>
      </c>
      <c r="B38" s="11" t="s">
        <v>10</v>
      </c>
      <c r="C38" s="11">
        <v>60500</v>
      </c>
      <c r="D38" s="11">
        <v>46450</v>
      </c>
      <c r="E38" s="11">
        <v>36550</v>
      </c>
      <c r="F38" s="11">
        <v>82900</v>
      </c>
      <c r="G38" s="11">
        <v>67200</v>
      </c>
      <c r="H38" s="5">
        <v>0.35</v>
      </c>
      <c r="I38" s="5">
        <v>0.42</v>
      </c>
      <c r="J38" s="5">
        <v>0.22999999999999998</v>
      </c>
      <c r="K38" s="11">
        <f t="shared" si="0"/>
        <v>293600</v>
      </c>
      <c r="L38">
        <v>200000</v>
      </c>
      <c r="M38" s="5">
        <v>0.69</v>
      </c>
      <c r="N38" s="5">
        <v>0.2</v>
      </c>
      <c r="O38" s="5">
        <v>0.28000000000000003</v>
      </c>
      <c r="P38" s="5">
        <v>0.22</v>
      </c>
      <c r="Q38" s="5">
        <v>0.17</v>
      </c>
      <c r="R38" s="5">
        <v>7.0000000000000007E-2</v>
      </c>
      <c r="S38" s="5">
        <v>0.26</v>
      </c>
      <c r="T38" s="5">
        <v>1.35</v>
      </c>
      <c r="U38" s="5">
        <v>1.3</v>
      </c>
      <c r="V38" s="5">
        <v>0.83</v>
      </c>
      <c r="W38" s="5">
        <v>0.75</v>
      </c>
      <c r="X38" s="5">
        <v>0.97</v>
      </c>
      <c r="Y38" s="5">
        <v>0.6</v>
      </c>
      <c r="Z38" s="5">
        <v>0.56999999999999995</v>
      </c>
      <c r="AA38" s="5">
        <v>0.37</v>
      </c>
      <c r="AB38" s="5">
        <v>0.52</v>
      </c>
      <c r="AC38" s="5">
        <v>0.59</v>
      </c>
      <c r="AD38">
        <v>90128</v>
      </c>
      <c r="AE38">
        <v>54464</v>
      </c>
      <c r="AF38">
        <v>62081</v>
      </c>
      <c r="AG38">
        <v>80887</v>
      </c>
      <c r="AH38">
        <v>18097</v>
      </c>
      <c r="AI38">
        <v>37201</v>
      </c>
      <c r="AJ38">
        <v>57142</v>
      </c>
      <c r="AK38">
        <v>59040</v>
      </c>
      <c r="AL38">
        <v>32599</v>
      </c>
      <c r="AM38">
        <v>24010</v>
      </c>
      <c r="AN38">
        <v>157462</v>
      </c>
      <c r="AO38">
        <v>6803</v>
      </c>
      <c r="AP38">
        <v>155172</v>
      </c>
      <c r="AQ38">
        <v>72514</v>
      </c>
      <c r="AR38" s="11">
        <v>3200</v>
      </c>
      <c r="AS38" s="11">
        <v>3900</v>
      </c>
      <c r="AT38" s="11">
        <v>2800</v>
      </c>
      <c r="AU38" s="11">
        <v>6600</v>
      </c>
      <c r="AV38" s="11">
        <v>4300</v>
      </c>
      <c r="AW38" s="11">
        <v>4900</v>
      </c>
      <c r="AX38" s="11">
        <v>7300</v>
      </c>
      <c r="AY38" s="11">
        <v>4100</v>
      </c>
      <c r="AZ38" s="11">
        <v>3200</v>
      </c>
      <c r="BA38" s="11">
        <v>6800</v>
      </c>
    </row>
    <row r="39" spans="1:53" x14ac:dyDescent="0.25">
      <c r="A39" s="11">
        <v>2027</v>
      </c>
      <c r="B39" s="11" t="s">
        <v>11</v>
      </c>
      <c r="C39" s="11">
        <v>64025</v>
      </c>
      <c r="D39" s="11">
        <v>44375</v>
      </c>
      <c r="E39" s="11">
        <v>45100</v>
      </c>
      <c r="F39" s="11">
        <v>84150</v>
      </c>
      <c r="G39" s="11">
        <v>66400</v>
      </c>
      <c r="H39" s="5">
        <v>0.4</v>
      </c>
      <c r="I39" s="5">
        <v>0.49</v>
      </c>
      <c r="J39" s="5">
        <v>0.10999999999999999</v>
      </c>
      <c r="K39" s="11">
        <f t="shared" si="0"/>
        <v>304050</v>
      </c>
      <c r="L39">
        <v>200000</v>
      </c>
      <c r="M39" s="5">
        <v>0.23</v>
      </c>
      <c r="N39" s="5">
        <v>0.74</v>
      </c>
      <c r="O39" s="5">
        <v>0.33</v>
      </c>
      <c r="P39" s="5">
        <v>0.26</v>
      </c>
      <c r="Q39" s="5">
        <v>0.14000000000000001</v>
      </c>
      <c r="R39" s="5">
        <v>0.15</v>
      </c>
      <c r="S39" s="5">
        <v>0.11999999999999988</v>
      </c>
      <c r="T39" s="5">
        <v>0.91</v>
      </c>
      <c r="U39" s="5">
        <v>0.86</v>
      </c>
      <c r="V39" s="5">
        <v>1.28</v>
      </c>
      <c r="W39" s="5">
        <v>1.27</v>
      </c>
      <c r="X39" s="5">
        <v>1.1200000000000001</v>
      </c>
      <c r="Y39" s="5">
        <v>0.65</v>
      </c>
      <c r="Z39" s="5">
        <v>0.56999999999999995</v>
      </c>
      <c r="AA39" s="5">
        <v>0.64</v>
      </c>
      <c r="AB39" s="5">
        <v>0.28000000000000003</v>
      </c>
      <c r="AC39" s="5">
        <v>0.36</v>
      </c>
      <c r="AD39">
        <v>97897</v>
      </c>
      <c r="AE39">
        <v>124281</v>
      </c>
      <c r="AF39">
        <v>38613</v>
      </c>
      <c r="AG39">
        <v>3843</v>
      </c>
      <c r="AH39">
        <v>14836</v>
      </c>
      <c r="AI39">
        <v>63387</v>
      </c>
      <c r="AJ39">
        <v>57143</v>
      </c>
      <c r="AK39">
        <v>7447</v>
      </c>
      <c r="AL39">
        <v>27989</v>
      </c>
      <c r="AM39">
        <v>119083</v>
      </c>
      <c r="AN39">
        <v>74139</v>
      </c>
      <c r="AO39">
        <v>46657</v>
      </c>
      <c r="AP39">
        <v>85543</v>
      </c>
      <c r="AQ39">
        <v>60142</v>
      </c>
      <c r="AR39" s="11">
        <v>3500</v>
      </c>
      <c r="AS39" s="11">
        <v>4600</v>
      </c>
      <c r="AT39" s="11">
        <v>5800</v>
      </c>
      <c r="AU39" s="11">
        <v>5600</v>
      </c>
      <c r="AV39" s="11">
        <v>5800</v>
      </c>
      <c r="AW39" s="11">
        <v>4500</v>
      </c>
      <c r="AX39" s="11">
        <v>5000</v>
      </c>
      <c r="AY39" s="11">
        <v>3800</v>
      </c>
      <c r="AZ39" s="11">
        <v>3400</v>
      </c>
      <c r="BA39" s="11">
        <v>4000</v>
      </c>
    </row>
    <row r="40" spans="1:53" x14ac:dyDescent="0.25">
      <c r="A40" s="11">
        <v>2028</v>
      </c>
      <c r="B40" s="11" t="s">
        <v>0</v>
      </c>
      <c r="C40" s="11">
        <v>170350</v>
      </c>
      <c r="D40" s="11">
        <v>98050</v>
      </c>
      <c r="E40" s="11">
        <v>93400</v>
      </c>
      <c r="F40" s="11">
        <v>63450</v>
      </c>
      <c r="G40" s="11">
        <v>68700</v>
      </c>
      <c r="H40" s="5">
        <v>0.37</v>
      </c>
      <c r="I40" s="5">
        <v>0.4</v>
      </c>
      <c r="J40" s="5">
        <v>0.22999999999999998</v>
      </c>
      <c r="K40" s="11">
        <f t="shared" si="0"/>
        <v>493950</v>
      </c>
      <c r="L40">
        <v>250000</v>
      </c>
      <c r="M40" s="5">
        <v>0.41</v>
      </c>
      <c r="N40" s="5">
        <v>0.74</v>
      </c>
      <c r="O40" s="5">
        <v>0.3</v>
      </c>
      <c r="P40" s="5">
        <v>0.27</v>
      </c>
      <c r="Q40" s="5">
        <v>0.15</v>
      </c>
      <c r="R40" s="5">
        <v>0.06</v>
      </c>
      <c r="S40" s="5">
        <v>0.21999999999999997</v>
      </c>
      <c r="T40" s="5">
        <v>1.06</v>
      </c>
      <c r="U40" s="5">
        <v>0.5</v>
      </c>
      <c r="V40" s="5">
        <v>1</v>
      </c>
      <c r="W40" s="5">
        <v>0.87</v>
      </c>
      <c r="X40" s="5">
        <v>0.85</v>
      </c>
      <c r="Y40" s="5">
        <v>0.53</v>
      </c>
      <c r="Z40" s="5">
        <v>0.28999999999999998</v>
      </c>
      <c r="AA40" s="5">
        <v>0.48</v>
      </c>
      <c r="AB40" s="5">
        <v>0.27</v>
      </c>
      <c r="AC40" s="5">
        <v>0.26</v>
      </c>
      <c r="AD40">
        <v>41333</v>
      </c>
      <c r="AE40">
        <v>124358</v>
      </c>
      <c r="AF40">
        <v>4831</v>
      </c>
      <c r="AG40">
        <v>114439</v>
      </c>
      <c r="AH40">
        <v>30521</v>
      </c>
      <c r="AI40">
        <v>113090</v>
      </c>
      <c r="AJ40">
        <v>71428</v>
      </c>
      <c r="AK40">
        <v>76149</v>
      </c>
      <c r="AL40">
        <v>41962</v>
      </c>
      <c r="AM40">
        <v>124078</v>
      </c>
      <c r="AN40">
        <v>2187</v>
      </c>
      <c r="AO40">
        <v>86634</v>
      </c>
      <c r="AP40">
        <v>92376</v>
      </c>
      <c r="AQ40">
        <v>70564</v>
      </c>
      <c r="AR40" s="11">
        <v>5600</v>
      </c>
      <c r="AS40" s="11">
        <v>5700</v>
      </c>
      <c r="AT40" s="11">
        <v>3300</v>
      </c>
      <c r="AU40" s="11">
        <v>3100</v>
      </c>
      <c r="AV40" s="11">
        <v>3000</v>
      </c>
      <c r="AW40" s="11">
        <v>4400</v>
      </c>
      <c r="AX40" s="11">
        <v>2600</v>
      </c>
      <c r="AY40" s="11">
        <v>7700</v>
      </c>
      <c r="AZ40" s="11">
        <v>7400</v>
      </c>
      <c r="BA40" s="11">
        <v>6500</v>
      </c>
    </row>
    <row r="41" spans="1:53" x14ac:dyDescent="0.25">
      <c r="A41" s="11">
        <v>2028</v>
      </c>
      <c r="B41" s="11" t="s">
        <v>1</v>
      </c>
      <c r="C41" s="11">
        <v>72975</v>
      </c>
      <c r="D41" s="11">
        <v>54075</v>
      </c>
      <c r="E41" s="11">
        <v>54600</v>
      </c>
      <c r="F41" s="11">
        <v>81350</v>
      </c>
      <c r="G41" s="11">
        <v>59950</v>
      </c>
      <c r="H41" s="5">
        <v>0.35</v>
      </c>
      <c r="I41" s="5">
        <v>0.46</v>
      </c>
      <c r="J41" s="5">
        <v>0.18999999999999995</v>
      </c>
      <c r="K41" s="11">
        <f t="shared" si="0"/>
        <v>322950</v>
      </c>
      <c r="L41">
        <v>250000</v>
      </c>
      <c r="M41" s="5">
        <v>0.56000000000000005</v>
      </c>
      <c r="N41" s="5">
        <v>0.42</v>
      </c>
      <c r="O41" s="5">
        <v>0.34</v>
      </c>
      <c r="P41" s="5">
        <v>0.28999999999999998</v>
      </c>
      <c r="Q41" s="5">
        <v>0.17</v>
      </c>
      <c r="R41" s="5">
        <v>0.06</v>
      </c>
      <c r="S41" s="5">
        <v>0.1399999999999999</v>
      </c>
      <c r="T41" s="5">
        <v>0.43</v>
      </c>
      <c r="U41" s="5">
        <v>1.31</v>
      </c>
      <c r="V41" s="5">
        <v>1.21</v>
      </c>
      <c r="W41" s="5">
        <v>0.59</v>
      </c>
      <c r="X41" s="5">
        <v>0.52</v>
      </c>
      <c r="Y41" s="5">
        <v>0.69</v>
      </c>
      <c r="Z41" s="5">
        <v>0.33</v>
      </c>
      <c r="AA41" s="5">
        <v>0.69</v>
      </c>
      <c r="AB41" s="5">
        <v>0.64</v>
      </c>
      <c r="AC41" s="5">
        <v>0.43</v>
      </c>
      <c r="AD41">
        <v>2897</v>
      </c>
      <c r="AE41">
        <v>117296</v>
      </c>
      <c r="AF41">
        <v>97666</v>
      </c>
      <c r="AG41">
        <v>72420</v>
      </c>
      <c r="AH41">
        <v>63751</v>
      </c>
      <c r="AI41">
        <v>74541</v>
      </c>
      <c r="AJ41">
        <v>71429</v>
      </c>
      <c r="AK41">
        <v>88165</v>
      </c>
      <c r="AL41">
        <v>56838</v>
      </c>
      <c r="AM41">
        <v>107807</v>
      </c>
      <c r="AN41">
        <v>83070</v>
      </c>
      <c r="AO41">
        <v>54632</v>
      </c>
      <c r="AP41">
        <v>42003</v>
      </c>
      <c r="AQ41">
        <v>72085</v>
      </c>
      <c r="AR41" s="11">
        <v>3500</v>
      </c>
      <c r="AS41" s="11">
        <v>6700</v>
      </c>
      <c r="AT41" s="11">
        <v>4700</v>
      </c>
      <c r="AU41" s="11">
        <v>4300</v>
      </c>
      <c r="AV41" s="11">
        <v>4500</v>
      </c>
      <c r="AW41" s="11">
        <v>6700</v>
      </c>
      <c r="AX41" s="11">
        <v>3500</v>
      </c>
      <c r="AY41" s="11">
        <v>5300</v>
      </c>
      <c r="AZ41" s="11">
        <v>6700</v>
      </c>
      <c r="BA41" s="11">
        <v>3300</v>
      </c>
    </row>
    <row r="42" spans="1:53" x14ac:dyDescent="0.25">
      <c r="A42" s="11">
        <v>2028</v>
      </c>
      <c r="B42" s="11" t="s">
        <v>2</v>
      </c>
      <c r="C42" s="11">
        <v>99375</v>
      </c>
      <c r="D42" s="11">
        <v>61600</v>
      </c>
      <c r="E42" s="11">
        <v>52925</v>
      </c>
      <c r="F42" s="11">
        <v>77100</v>
      </c>
      <c r="G42" s="11">
        <v>58500</v>
      </c>
      <c r="H42" s="5">
        <v>0.36</v>
      </c>
      <c r="I42" s="5">
        <v>0.4</v>
      </c>
      <c r="J42" s="5">
        <v>0.24</v>
      </c>
      <c r="K42" s="11">
        <f t="shared" si="0"/>
        <v>349500</v>
      </c>
      <c r="L42">
        <v>250000</v>
      </c>
      <c r="M42" s="5">
        <v>0.21</v>
      </c>
      <c r="N42" s="5">
        <v>0.72</v>
      </c>
      <c r="O42" s="5">
        <v>0.35</v>
      </c>
      <c r="P42" s="5">
        <v>0.2</v>
      </c>
      <c r="Q42" s="5">
        <v>0.14000000000000001</v>
      </c>
      <c r="R42" s="5">
        <v>0.14000000000000001</v>
      </c>
      <c r="S42" s="5">
        <v>0.16999999999999993</v>
      </c>
      <c r="T42" s="5">
        <v>1.04</v>
      </c>
      <c r="U42" s="5">
        <v>0.5</v>
      </c>
      <c r="V42" s="5">
        <v>0.84</v>
      </c>
      <c r="W42" s="5">
        <v>0.98</v>
      </c>
      <c r="X42" s="5">
        <v>1.1299999999999999</v>
      </c>
      <c r="Y42" s="5">
        <v>0.5</v>
      </c>
      <c r="Z42" s="5">
        <v>0.41</v>
      </c>
      <c r="AA42" s="5">
        <v>0.74</v>
      </c>
      <c r="AB42" s="5">
        <v>0.71</v>
      </c>
      <c r="AC42" s="5">
        <v>0.41</v>
      </c>
      <c r="AD42">
        <v>35320</v>
      </c>
      <c r="AE42">
        <v>110967</v>
      </c>
      <c r="AF42">
        <v>111962</v>
      </c>
      <c r="AG42">
        <v>3566</v>
      </c>
      <c r="AH42">
        <v>109467</v>
      </c>
      <c r="AI42">
        <v>57290</v>
      </c>
      <c r="AJ42">
        <v>71428</v>
      </c>
      <c r="AK42">
        <v>60234</v>
      </c>
      <c r="AL42">
        <v>199342</v>
      </c>
      <c r="AM42">
        <v>154993</v>
      </c>
      <c r="AN42">
        <v>6735</v>
      </c>
      <c r="AO42">
        <v>20220</v>
      </c>
      <c r="AP42">
        <v>14648</v>
      </c>
      <c r="AQ42">
        <v>76028</v>
      </c>
      <c r="AR42" s="11">
        <v>5100</v>
      </c>
      <c r="AS42" s="11">
        <v>7200</v>
      </c>
      <c r="AT42" s="11">
        <v>5000</v>
      </c>
      <c r="AU42" s="11">
        <v>3800</v>
      </c>
      <c r="AV42" s="11">
        <v>4800</v>
      </c>
      <c r="AW42" s="11">
        <v>2400</v>
      </c>
      <c r="AX42" s="11">
        <v>3100</v>
      </c>
      <c r="AY42" s="11">
        <v>2400</v>
      </c>
      <c r="AZ42" s="11">
        <v>6600</v>
      </c>
      <c r="BA42" s="11">
        <v>4600</v>
      </c>
    </row>
    <row r="43" spans="1:53" x14ac:dyDescent="0.25">
      <c r="A43" s="11">
        <v>2028</v>
      </c>
      <c r="B43" s="11" t="s">
        <v>3</v>
      </c>
      <c r="C43" s="11">
        <v>94200</v>
      </c>
      <c r="D43" s="11">
        <v>46250</v>
      </c>
      <c r="E43" s="11">
        <v>42325</v>
      </c>
      <c r="F43" s="11">
        <v>79300</v>
      </c>
      <c r="G43" s="11">
        <v>66700</v>
      </c>
      <c r="H43" s="5">
        <v>0.36</v>
      </c>
      <c r="I43" s="5">
        <v>0.48</v>
      </c>
      <c r="J43" s="5">
        <v>0.16000000000000003</v>
      </c>
      <c r="K43" s="11">
        <f t="shared" si="0"/>
        <v>328775</v>
      </c>
      <c r="L43">
        <v>250000</v>
      </c>
      <c r="M43" s="5">
        <v>0.28999999999999998</v>
      </c>
      <c r="N43" s="5">
        <v>0.73</v>
      </c>
      <c r="O43" s="5">
        <v>0.25</v>
      </c>
      <c r="P43" s="5">
        <v>0.25</v>
      </c>
      <c r="Q43" s="5">
        <v>0.19</v>
      </c>
      <c r="R43" s="5">
        <v>0.12</v>
      </c>
      <c r="S43" s="5">
        <v>0.19000000000000006</v>
      </c>
      <c r="T43" s="5">
        <v>0.66</v>
      </c>
      <c r="U43" s="5">
        <v>0.91</v>
      </c>
      <c r="V43" s="5">
        <v>1.27</v>
      </c>
      <c r="W43" s="5">
        <v>1</v>
      </c>
      <c r="X43" s="5">
        <v>0.45</v>
      </c>
      <c r="Y43" s="5">
        <v>0.54</v>
      </c>
      <c r="Z43" s="5">
        <v>0.53</v>
      </c>
      <c r="AA43" s="5">
        <v>0.56000000000000005</v>
      </c>
      <c r="AB43" s="5">
        <v>0.65</v>
      </c>
      <c r="AC43" s="5">
        <v>0.48</v>
      </c>
      <c r="AD43">
        <v>90700</v>
      </c>
      <c r="AE43">
        <v>1787</v>
      </c>
      <c r="AF43">
        <v>84255</v>
      </c>
      <c r="AG43">
        <v>59026</v>
      </c>
      <c r="AH43">
        <v>104238</v>
      </c>
      <c r="AI43">
        <v>88565</v>
      </c>
      <c r="AJ43">
        <v>71429</v>
      </c>
      <c r="AK43">
        <v>33526</v>
      </c>
      <c r="AL43">
        <v>129763</v>
      </c>
      <c r="AM43">
        <v>73392</v>
      </c>
      <c r="AN43">
        <v>93240</v>
      </c>
      <c r="AO43">
        <v>51651</v>
      </c>
      <c r="AP43">
        <v>50343</v>
      </c>
      <c r="AQ43">
        <v>71985</v>
      </c>
      <c r="AR43" s="11">
        <v>5000</v>
      </c>
      <c r="AS43" s="11">
        <v>4600</v>
      </c>
      <c r="AT43" s="11">
        <v>3500</v>
      </c>
      <c r="AU43" s="11">
        <v>3700</v>
      </c>
      <c r="AV43" s="11">
        <v>3700</v>
      </c>
      <c r="AW43" s="11">
        <v>6400</v>
      </c>
      <c r="AX43" s="11">
        <v>4200</v>
      </c>
      <c r="AY43" s="11">
        <v>8000</v>
      </c>
      <c r="AZ43" s="11">
        <v>4500</v>
      </c>
      <c r="BA43" s="11">
        <v>6300</v>
      </c>
    </row>
    <row r="44" spans="1:53" x14ac:dyDescent="0.25">
      <c r="A44" s="11">
        <v>2028</v>
      </c>
      <c r="B44" s="11" t="s">
        <v>4</v>
      </c>
      <c r="C44" s="11">
        <v>193500</v>
      </c>
      <c r="D44" s="11">
        <v>114750</v>
      </c>
      <c r="E44" s="11">
        <v>126850</v>
      </c>
      <c r="F44" s="11">
        <v>63200</v>
      </c>
      <c r="G44" s="11">
        <v>67850</v>
      </c>
      <c r="H44" s="5">
        <v>0.37</v>
      </c>
      <c r="I44" s="5">
        <v>0.47</v>
      </c>
      <c r="J44" s="5">
        <v>0.16000000000000003</v>
      </c>
      <c r="K44" s="11">
        <f t="shared" si="0"/>
        <v>566150</v>
      </c>
      <c r="L44">
        <v>250000</v>
      </c>
      <c r="M44" s="5">
        <v>0.41</v>
      </c>
      <c r="N44" s="5">
        <v>0.47</v>
      </c>
      <c r="O44" s="5">
        <v>0.32</v>
      </c>
      <c r="P44" s="5">
        <v>0.27</v>
      </c>
      <c r="Q44" s="5">
        <v>0.2</v>
      </c>
      <c r="R44" s="5">
        <v>0.09</v>
      </c>
      <c r="S44" s="5">
        <v>0.12</v>
      </c>
      <c r="T44" s="5">
        <v>1.07</v>
      </c>
      <c r="U44" s="5">
        <v>0.59</v>
      </c>
      <c r="V44" s="5">
        <v>0.77</v>
      </c>
      <c r="W44" s="5">
        <v>1.22</v>
      </c>
      <c r="X44" s="5">
        <v>0.86</v>
      </c>
      <c r="Y44" s="5">
        <v>0.28999999999999998</v>
      </c>
      <c r="Z44" s="5">
        <v>0.44</v>
      </c>
      <c r="AA44" s="5">
        <v>0.69</v>
      </c>
      <c r="AB44" s="5">
        <v>0.26</v>
      </c>
      <c r="AC44" s="5">
        <v>0.28000000000000003</v>
      </c>
      <c r="AD44">
        <v>87705</v>
      </c>
      <c r="AE44">
        <v>138033</v>
      </c>
      <c r="AF44">
        <v>19792</v>
      </c>
      <c r="AG44">
        <v>111843</v>
      </c>
      <c r="AH44">
        <v>3878</v>
      </c>
      <c r="AI44">
        <v>67320</v>
      </c>
      <c r="AJ44">
        <v>71429</v>
      </c>
      <c r="AK44">
        <v>73706</v>
      </c>
      <c r="AL44">
        <v>100884</v>
      </c>
      <c r="AM44">
        <v>44289</v>
      </c>
      <c r="AN44">
        <v>84025</v>
      </c>
      <c r="AO44">
        <v>52705</v>
      </c>
      <c r="AP44">
        <v>124134</v>
      </c>
      <c r="AQ44">
        <v>79957</v>
      </c>
      <c r="AR44" s="11">
        <v>2900</v>
      </c>
      <c r="AS44" s="11">
        <v>7000</v>
      </c>
      <c r="AT44" s="11">
        <v>6400</v>
      </c>
      <c r="AU44" s="11">
        <v>3000</v>
      </c>
      <c r="AV44" s="11">
        <v>4500</v>
      </c>
      <c r="AW44" s="11">
        <v>5200</v>
      </c>
      <c r="AX44" s="11">
        <v>4900</v>
      </c>
      <c r="AY44" s="11">
        <v>4300</v>
      </c>
      <c r="AZ44" s="11">
        <v>5700</v>
      </c>
      <c r="BA44" s="11">
        <v>6600</v>
      </c>
    </row>
    <row r="45" spans="1:53" x14ac:dyDescent="0.25">
      <c r="A45" s="11">
        <v>2028</v>
      </c>
      <c r="B45" s="11" t="s">
        <v>5</v>
      </c>
      <c r="C45" s="11">
        <v>87175</v>
      </c>
      <c r="D45" s="11">
        <v>49250</v>
      </c>
      <c r="E45" s="11">
        <v>44950</v>
      </c>
      <c r="F45" s="11">
        <v>86100</v>
      </c>
      <c r="G45" s="11">
        <v>58800</v>
      </c>
      <c r="H45" s="5">
        <v>0.37</v>
      </c>
      <c r="I45" s="5">
        <v>0.43</v>
      </c>
      <c r="J45" s="5">
        <v>0.19999999999999996</v>
      </c>
      <c r="K45" s="11">
        <f t="shared" si="0"/>
        <v>326275</v>
      </c>
      <c r="L45">
        <v>250000</v>
      </c>
      <c r="M45" s="5">
        <v>0.7</v>
      </c>
      <c r="N45" s="5">
        <v>0.72</v>
      </c>
      <c r="O45" s="5">
        <v>0.34</v>
      </c>
      <c r="P45" s="5">
        <v>0.25</v>
      </c>
      <c r="Q45" s="5">
        <v>0.15</v>
      </c>
      <c r="R45" s="5">
        <v>0.05</v>
      </c>
      <c r="S45" s="5">
        <v>0.20999999999999985</v>
      </c>
      <c r="T45" s="5">
        <v>0.73</v>
      </c>
      <c r="U45" s="5">
        <v>1.05</v>
      </c>
      <c r="V45" s="5">
        <v>0.64</v>
      </c>
      <c r="W45" s="5">
        <v>1.07</v>
      </c>
      <c r="X45" s="5">
        <v>1.19</v>
      </c>
      <c r="Y45" s="5">
        <v>0.56999999999999995</v>
      </c>
      <c r="Z45" s="5">
        <v>0.47</v>
      </c>
      <c r="AA45" s="5">
        <v>0.33</v>
      </c>
      <c r="AB45" s="5">
        <v>0.64</v>
      </c>
      <c r="AC45" s="5">
        <v>0.51</v>
      </c>
      <c r="AD45">
        <v>52047</v>
      </c>
      <c r="AE45">
        <v>61611</v>
      </c>
      <c r="AF45">
        <v>34718</v>
      </c>
      <c r="AG45">
        <v>91934</v>
      </c>
      <c r="AH45">
        <v>98534</v>
      </c>
      <c r="AI45">
        <v>89727</v>
      </c>
      <c r="AJ45">
        <v>71429</v>
      </c>
      <c r="AK45">
        <v>174450</v>
      </c>
      <c r="AL45">
        <v>26207</v>
      </c>
      <c r="AM45">
        <v>5381</v>
      </c>
      <c r="AN45">
        <v>36777</v>
      </c>
      <c r="AO45">
        <v>144174</v>
      </c>
      <c r="AP45">
        <v>53282</v>
      </c>
      <c r="AQ45">
        <v>73379</v>
      </c>
      <c r="AR45" s="11">
        <v>6600</v>
      </c>
      <c r="AS45" s="11">
        <v>6200</v>
      </c>
      <c r="AT45" s="11">
        <v>4400</v>
      </c>
      <c r="AU45" s="11">
        <v>5200</v>
      </c>
      <c r="AV45" s="11">
        <v>4500</v>
      </c>
      <c r="AW45" s="11">
        <v>3600</v>
      </c>
      <c r="AX45" s="11">
        <v>4100</v>
      </c>
      <c r="AY45" s="11">
        <v>4400</v>
      </c>
      <c r="AZ45" s="11">
        <v>3400</v>
      </c>
      <c r="BA45" s="11">
        <v>6500</v>
      </c>
    </row>
    <row r="46" spans="1:53" x14ac:dyDescent="0.25">
      <c r="A46" s="11">
        <v>2028</v>
      </c>
      <c r="B46" s="11" t="s">
        <v>6</v>
      </c>
      <c r="C46" s="11">
        <v>139400</v>
      </c>
      <c r="D46" s="11">
        <v>127300</v>
      </c>
      <c r="E46" s="11">
        <v>135750</v>
      </c>
      <c r="F46" s="11">
        <v>70900</v>
      </c>
      <c r="G46" s="11">
        <v>59050</v>
      </c>
      <c r="H46" s="5">
        <v>0.38</v>
      </c>
      <c r="I46" s="5">
        <v>0.44</v>
      </c>
      <c r="J46" s="5">
        <v>0.17999999999999994</v>
      </c>
      <c r="K46" s="11">
        <f t="shared" si="0"/>
        <v>532400</v>
      </c>
      <c r="L46">
        <v>250000</v>
      </c>
      <c r="M46" s="5">
        <v>0.18</v>
      </c>
      <c r="N46" s="5">
        <v>0.43</v>
      </c>
      <c r="O46" s="5">
        <v>0.28000000000000003</v>
      </c>
      <c r="P46" s="5">
        <v>0.25</v>
      </c>
      <c r="Q46" s="5">
        <v>0.19</v>
      </c>
      <c r="R46" s="5">
        <v>0.15</v>
      </c>
      <c r="S46" s="5">
        <v>0.13</v>
      </c>
      <c r="T46" s="5">
        <v>1.08</v>
      </c>
      <c r="U46" s="5">
        <v>0.77</v>
      </c>
      <c r="V46" s="5">
        <v>0.84</v>
      </c>
      <c r="W46" s="5">
        <v>1.05</v>
      </c>
      <c r="X46" s="5">
        <v>1.22</v>
      </c>
      <c r="Y46" s="5">
        <v>0.27</v>
      </c>
      <c r="Z46" s="5">
        <v>0.7</v>
      </c>
      <c r="AA46" s="5">
        <v>0.38</v>
      </c>
      <c r="AB46" s="5">
        <v>0.28999999999999998</v>
      </c>
      <c r="AC46" s="5">
        <v>0.56000000000000005</v>
      </c>
      <c r="AD46">
        <v>87638</v>
      </c>
      <c r="AE46">
        <v>30391</v>
      </c>
      <c r="AF46">
        <v>76481</v>
      </c>
      <c r="AG46">
        <v>122369</v>
      </c>
      <c r="AH46">
        <v>19186</v>
      </c>
      <c r="AI46">
        <v>92506</v>
      </c>
      <c r="AJ46">
        <v>71429</v>
      </c>
      <c r="AK46">
        <v>147372</v>
      </c>
      <c r="AL46">
        <v>90251</v>
      </c>
      <c r="AM46">
        <v>115574</v>
      </c>
      <c r="AN46">
        <v>18154</v>
      </c>
      <c r="AO46">
        <v>63479</v>
      </c>
      <c r="AP46">
        <v>62870</v>
      </c>
      <c r="AQ46">
        <v>82950</v>
      </c>
      <c r="AR46" s="11">
        <v>3600</v>
      </c>
      <c r="AS46" s="11">
        <v>2500</v>
      </c>
      <c r="AT46" s="11">
        <v>3800</v>
      </c>
      <c r="AU46" s="11">
        <v>6100</v>
      </c>
      <c r="AV46" s="11">
        <v>5000</v>
      </c>
      <c r="AW46" s="11">
        <v>7800</v>
      </c>
      <c r="AX46" s="11">
        <v>4700</v>
      </c>
      <c r="AY46" s="11">
        <v>5500</v>
      </c>
      <c r="AZ46" s="11">
        <v>3500</v>
      </c>
      <c r="BA46" s="11">
        <v>6400</v>
      </c>
    </row>
    <row r="47" spans="1:53" x14ac:dyDescent="0.25">
      <c r="A47" s="11">
        <v>2028</v>
      </c>
      <c r="B47" s="11" t="s">
        <v>7</v>
      </c>
      <c r="C47" s="11">
        <v>45575</v>
      </c>
      <c r="D47" s="11">
        <v>27225</v>
      </c>
      <c r="E47" s="11">
        <v>23375</v>
      </c>
      <c r="F47" s="11">
        <v>48100</v>
      </c>
      <c r="G47" s="11">
        <v>41400</v>
      </c>
      <c r="H47" s="5">
        <v>0.35</v>
      </c>
      <c r="I47" s="5">
        <v>0.51</v>
      </c>
      <c r="J47" s="5">
        <v>0.14000000000000001</v>
      </c>
      <c r="K47" s="11">
        <f t="shared" si="0"/>
        <v>185675</v>
      </c>
      <c r="L47">
        <v>250000</v>
      </c>
      <c r="M47" s="5">
        <v>0.61</v>
      </c>
      <c r="N47" s="5">
        <v>0.74</v>
      </c>
      <c r="O47" s="5">
        <v>0.28999999999999998</v>
      </c>
      <c r="P47" s="5">
        <v>0.27</v>
      </c>
      <c r="Q47" s="5">
        <v>0.13</v>
      </c>
      <c r="R47" s="5">
        <v>0.05</v>
      </c>
      <c r="S47" s="5">
        <v>0.2599999999999999</v>
      </c>
      <c r="T47" s="5">
        <v>0.86</v>
      </c>
      <c r="U47" s="5">
        <v>1.28</v>
      </c>
      <c r="V47" s="5">
        <v>0.52</v>
      </c>
      <c r="W47" s="5">
        <v>0.5</v>
      </c>
      <c r="X47" s="5">
        <v>0.47</v>
      </c>
      <c r="Y47" s="5">
        <v>0.75</v>
      </c>
      <c r="Z47" s="5">
        <v>0.35</v>
      </c>
      <c r="AA47" s="5">
        <v>0.5</v>
      </c>
      <c r="AB47" s="5">
        <v>0.66</v>
      </c>
      <c r="AC47" s="5">
        <v>0.34</v>
      </c>
      <c r="AD47">
        <v>99597</v>
      </c>
      <c r="AE47">
        <v>52932</v>
      </c>
      <c r="AF47">
        <v>19518</v>
      </c>
      <c r="AG47">
        <v>53229</v>
      </c>
      <c r="AH47">
        <v>93583</v>
      </c>
      <c r="AI47">
        <v>109712</v>
      </c>
      <c r="AJ47">
        <v>71429</v>
      </c>
      <c r="AK47">
        <v>33255</v>
      </c>
      <c r="AL47">
        <v>50966</v>
      </c>
      <c r="AM47">
        <v>18226</v>
      </c>
      <c r="AN47">
        <v>122086</v>
      </c>
      <c r="AO47">
        <v>201287</v>
      </c>
      <c r="AP47">
        <v>57096</v>
      </c>
      <c r="AQ47">
        <v>80484</v>
      </c>
      <c r="AR47" s="11">
        <v>4600</v>
      </c>
      <c r="AS47" s="11">
        <v>3900</v>
      </c>
      <c r="AT47" s="11">
        <v>6100</v>
      </c>
      <c r="AU47" s="11">
        <v>2900</v>
      </c>
      <c r="AV47" s="11">
        <v>5600</v>
      </c>
      <c r="AW47" s="11">
        <v>6900</v>
      </c>
      <c r="AX47" s="11">
        <v>3400</v>
      </c>
      <c r="AY47" s="11">
        <v>2800</v>
      </c>
      <c r="AZ47" s="11">
        <v>5100</v>
      </c>
      <c r="BA47" s="11">
        <v>4000</v>
      </c>
    </row>
    <row r="48" spans="1:53" x14ac:dyDescent="0.25">
      <c r="A48" s="11">
        <v>2028</v>
      </c>
      <c r="B48" s="11" t="s">
        <v>8</v>
      </c>
      <c r="C48" s="11">
        <v>155900</v>
      </c>
      <c r="D48" s="11">
        <v>127300</v>
      </c>
      <c r="E48" s="11">
        <v>130200</v>
      </c>
      <c r="F48" s="11">
        <v>60000</v>
      </c>
      <c r="G48" s="11">
        <v>64800</v>
      </c>
      <c r="H48" s="5">
        <v>0.38</v>
      </c>
      <c r="I48" s="5">
        <v>0.46</v>
      </c>
      <c r="J48" s="5">
        <v>0.15999999999999992</v>
      </c>
      <c r="K48" s="11">
        <f t="shared" si="0"/>
        <v>538200</v>
      </c>
      <c r="L48">
        <v>250000</v>
      </c>
      <c r="M48" s="5">
        <v>0.24</v>
      </c>
      <c r="N48" s="5">
        <v>0.75</v>
      </c>
      <c r="O48" s="5">
        <v>0.28999999999999998</v>
      </c>
      <c r="P48" s="5">
        <v>0.26</v>
      </c>
      <c r="Q48" s="5">
        <v>0.17</v>
      </c>
      <c r="R48" s="5">
        <v>0.15</v>
      </c>
      <c r="S48" s="5">
        <v>0.12999999999999989</v>
      </c>
      <c r="T48" s="5">
        <v>0.43</v>
      </c>
      <c r="U48" s="5">
        <v>0.72</v>
      </c>
      <c r="V48" s="5">
        <v>0.83</v>
      </c>
      <c r="W48" s="5">
        <v>1.33</v>
      </c>
      <c r="X48" s="5">
        <v>0.99</v>
      </c>
      <c r="Y48" s="5">
        <v>0.57999999999999996</v>
      </c>
      <c r="Z48" s="5">
        <v>0.37</v>
      </c>
      <c r="AA48" s="5">
        <v>0.45</v>
      </c>
      <c r="AB48" s="5">
        <v>0.69</v>
      </c>
      <c r="AC48" s="5">
        <v>0.56000000000000005</v>
      </c>
      <c r="AD48">
        <v>56343</v>
      </c>
      <c r="AE48">
        <v>68595</v>
      </c>
      <c r="AF48">
        <v>22057</v>
      </c>
      <c r="AG48">
        <v>90957</v>
      </c>
      <c r="AH48">
        <v>67442</v>
      </c>
      <c r="AI48">
        <v>123177</v>
      </c>
      <c r="AJ48">
        <v>71429</v>
      </c>
      <c r="AK48">
        <v>115399</v>
      </c>
      <c r="AL48">
        <v>41003</v>
      </c>
      <c r="AM48">
        <v>83746</v>
      </c>
      <c r="AN48">
        <v>20641</v>
      </c>
      <c r="AO48">
        <v>101406</v>
      </c>
      <c r="AP48">
        <v>100704</v>
      </c>
      <c r="AQ48">
        <v>77151</v>
      </c>
      <c r="AR48" s="11">
        <v>6400</v>
      </c>
      <c r="AS48" s="11">
        <v>4700</v>
      </c>
      <c r="AT48" s="11">
        <v>7100</v>
      </c>
      <c r="AU48" s="11">
        <v>3900</v>
      </c>
      <c r="AV48" s="11">
        <v>6600</v>
      </c>
      <c r="AW48" s="11">
        <v>4100</v>
      </c>
      <c r="AX48" s="11">
        <v>7000</v>
      </c>
      <c r="AY48" s="11">
        <v>4700</v>
      </c>
      <c r="AZ48" s="11">
        <v>3900</v>
      </c>
      <c r="BA48" s="11">
        <v>3400</v>
      </c>
    </row>
    <row r="49" spans="1:53" x14ac:dyDescent="0.25">
      <c r="A49" s="11">
        <v>2028</v>
      </c>
      <c r="B49" s="11" t="s">
        <v>9</v>
      </c>
      <c r="C49" s="11">
        <v>194600</v>
      </c>
      <c r="D49" s="11">
        <v>123550</v>
      </c>
      <c r="E49" s="11">
        <v>121750</v>
      </c>
      <c r="F49" s="11">
        <v>77100</v>
      </c>
      <c r="G49" s="11">
        <v>63650</v>
      </c>
      <c r="H49" s="5">
        <v>0.39</v>
      </c>
      <c r="I49" s="5">
        <v>0.49</v>
      </c>
      <c r="J49" s="5">
        <v>0.12</v>
      </c>
      <c r="K49" s="11">
        <f t="shared" si="0"/>
        <v>580650</v>
      </c>
      <c r="L49">
        <v>250000</v>
      </c>
      <c r="M49" s="5">
        <v>0.4</v>
      </c>
      <c r="N49" s="5">
        <v>0.35</v>
      </c>
      <c r="O49" s="5">
        <v>0.32</v>
      </c>
      <c r="P49" s="5">
        <v>0.21</v>
      </c>
      <c r="Q49" s="5">
        <v>0.12</v>
      </c>
      <c r="R49" s="5">
        <v>0.08</v>
      </c>
      <c r="S49" s="5">
        <v>0.27</v>
      </c>
      <c r="T49" s="5">
        <v>0.65</v>
      </c>
      <c r="U49" s="5">
        <v>0.67</v>
      </c>
      <c r="V49" s="5">
        <v>1.24</v>
      </c>
      <c r="W49" s="5">
        <v>1.1299999999999999</v>
      </c>
      <c r="X49" s="5">
        <v>1.01</v>
      </c>
      <c r="Y49" s="5">
        <v>0.28000000000000003</v>
      </c>
      <c r="Z49" s="5">
        <v>0.4</v>
      </c>
      <c r="AA49" s="5">
        <v>0.26</v>
      </c>
      <c r="AB49" s="5">
        <v>0.46</v>
      </c>
      <c r="AC49" s="5">
        <v>0.71</v>
      </c>
      <c r="AD49">
        <v>53069</v>
      </c>
      <c r="AE49">
        <v>95808</v>
      </c>
      <c r="AF49">
        <v>78387</v>
      </c>
      <c r="AG49">
        <v>54157</v>
      </c>
      <c r="AH49">
        <v>107796</v>
      </c>
      <c r="AI49">
        <v>39356</v>
      </c>
      <c r="AJ49">
        <v>71427</v>
      </c>
      <c r="AK49">
        <v>33872</v>
      </c>
      <c r="AL49">
        <v>177880</v>
      </c>
      <c r="AM49">
        <v>3390</v>
      </c>
      <c r="AN49">
        <v>69594</v>
      </c>
      <c r="AO49">
        <v>26673</v>
      </c>
      <c r="AP49">
        <v>72847</v>
      </c>
      <c r="AQ49">
        <v>64044</v>
      </c>
      <c r="AR49" s="11">
        <v>3000</v>
      </c>
      <c r="AS49" s="11">
        <v>7300</v>
      </c>
      <c r="AT49" s="11">
        <v>5500</v>
      </c>
      <c r="AU49" s="11">
        <v>6000</v>
      </c>
      <c r="AV49" s="11">
        <v>5000</v>
      </c>
      <c r="AW49" s="11">
        <v>7000</v>
      </c>
      <c r="AX49" s="11">
        <v>4200</v>
      </c>
      <c r="AY49" s="11">
        <v>4500</v>
      </c>
      <c r="AZ49" s="11">
        <v>2800</v>
      </c>
      <c r="BA49" s="11">
        <v>4700</v>
      </c>
    </row>
    <row r="50" spans="1:53" x14ac:dyDescent="0.25">
      <c r="A50" s="11">
        <v>2028</v>
      </c>
      <c r="B50" s="11" t="s">
        <v>10</v>
      </c>
      <c r="C50" s="11">
        <v>128400</v>
      </c>
      <c r="D50" s="11">
        <v>89600</v>
      </c>
      <c r="E50" s="11">
        <v>145700</v>
      </c>
      <c r="F50" s="11">
        <v>75100</v>
      </c>
      <c r="G50" s="11">
        <v>66600</v>
      </c>
      <c r="H50" s="5">
        <v>0.37</v>
      </c>
      <c r="I50" s="5">
        <v>0.55000000000000004</v>
      </c>
      <c r="J50" s="5">
        <v>7.999999999999996E-2</v>
      </c>
      <c r="K50" s="11">
        <f t="shared" si="0"/>
        <v>505400</v>
      </c>
      <c r="L50">
        <v>250000</v>
      </c>
      <c r="M50" s="5">
        <v>0.4</v>
      </c>
      <c r="N50" s="5">
        <v>0.46</v>
      </c>
      <c r="O50" s="5">
        <v>0.35</v>
      </c>
      <c r="P50" s="5">
        <v>0.22</v>
      </c>
      <c r="Q50" s="5">
        <v>0.2</v>
      </c>
      <c r="R50" s="5">
        <v>0.1</v>
      </c>
      <c r="S50" s="5">
        <v>0.13</v>
      </c>
      <c r="T50" s="5">
        <v>1.35</v>
      </c>
      <c r="U50" s="5">
        <v>0.84</v>
      </c>
      <c r="V50" s="5">
        <v>1.19</v>
      </c>
      <c r="W50" s="5">
        <v>0.89</v>
      </c>
      <c r="X50" s="5">
        <v>1.0900000000000001</v>
      </c>
      <c r="Y50" s="5">
        <v>0.65</v>
      </c>
      <c r="Z50" s="5">
        <v>0.48</v>
      </c>
      <c r="AA50" s="5">
        <v>0.28999999999999998</v>
      </c>
      <c r="AB50" s="5">
        <v>0.7</v>
      </c>
      <c r="AC50" s="5">
        <v>0.71</v>
      </c>
      <c r="AD50">
        <v>19080</v>
      </c>
      <c r="AE50">
        <v>22523</v>
      </c>
      <c r="AF50">
        <v>71977</v>
      </c>
      <c r="AG50">
        <v>83910</v>
      </c>
      <c r="AH50">
        <v>108311</v>
      </c>
      <c r="AI50">
        <v>122772</v>
      </c>
      <c r="AJ50">
        <v>71427</v>
      </c>
      <c r="AK50">
        <v>75133</v>
      </c>
      <c r="AL50">
        <v>95251</v>
      </c>
      <c r="AM50">
        <v>67588</v>
      </c>
      <c r="AN50">
        <v>80119</v>
      </c>
      <c r="AO50">
        <v>75978</v>
      </c>
      <c r="AP50">
        <v>39131</v>
      </c>
      <c r="AQ50">
        <v>72200</v>
      </c>
      <c r="AR50" s="11">
        <v>6700</v>
      </c>
      <c r="AS50" s="11">
        <v>4600</v>
      </c>
      <c r="AT50" s="11">
        <v>4300</v>
      </c>
      <c r="AU50" s="11">
        <v>4800</v>
      </c>
      <c r="AV50" s="11">
        <v>7200</v>
      </c>
      <c r="AW50" s="11">
        <v>5000</v>
      </c>
      <c r="AX50" s="11">
        <v>6200</v>
      </c>
      <c r="AY50" s="11">
        <v>4700</v>
      </c>
      <c r="AZ50" s="11">
        <v>5800</v>
      </c>
      <c r="BA50" s="11">
        <v>3400</v>
      </c>
    </row>
    <row r="51" spans="1:53" x14ac:dyDescent="0.25">
      <c r="A51" s="11">
        <v>2028</v>
      </c>
      <c r="B51" s="11" t="s">
        <v>11</v>
      </c>
      <c r="C51" s="11">
        <v>62575</v>
      </c>
      <c r="D51" s="11">
        <v>70425</v>
      </c>
      <c r="E51" s="11">
        <v>52725</v>
      </c>
      <c r="F51" s="11">
        <v>79400</v>
      </c>
      <c r="G51" s="11">
        <v>66650</v>
      </c>
      <c r="H51" s="5">
        <v>0.36</v>
      </c>
      <c r="I51" s="5">
        <v>0.48</v>
      </c>
      <c r="J51" s="5">
        <v>0.16000000000000003</v>
      </c>
      <c r="K51" s="11">
        <f t="shared" si="0"/>
        <v>331775</v>
      </c>
      <c r="L51">
        <v>250000</v>
      </c>
      <c r="M51" s="5">
        <v>0.22</v>
      </c>
      <c r="N51" s="5">
        <v>0.45</v>
      </c>
      <c r="O51" s="5">
        <v>0.33</v>
      </c>
      <c r="P51" s="5">
        <v>0.25</v>
      </c>
      <c r="Q51" s="5">
        <v>0.15</v>
      </c>
      <c r="R51" s="5">
        <v>0.05</v>
      </c>
      <c r="S51" s="5">
        <v>0.21999999999999986</v>
      </c>
      <c r="T51" s="5">
        <v>1.04</v>
      </c>
      <c r="U51" s="5">
        <v>0.95</v>
      </c>
      <c r="V51" s="5">
        <v>0.63</v>
      </c>
      <c r="W51" s="5">
        <v>0.55000000000000004</v>
      </c>
      <c r="X51" s="5">
        <v>1.26</v>
      </c>
      <c r="Y51" s="5">
        <v>0.63</v>
      </c>
      <c r="Z51" s="5">
        <v>0.69</v>
      </c>
      <c r="AA51" s="5">
        <v>0.6</v>
      </c>
      <c r="AB51" s="5">
        <v>0.28000000000000003</v>
      </c>
      <c r="AC51" s="5">
        <v>0.28999999999999998</v>
      </c>
      <c r="AD51">
        <v>62859</v>
      </c>
      <c r="AE51">
        <v>117796</v>
      </c>
      <c r="AF51">
        <v>118263</v>
      </c>
      <c r="AG51">
        <v>667</v>
      </c>
      <c r="AH51">
        <v>74945</v>
      </c>
      <c r="AI51">
        <v>54042</v>
      </c>
      <c r="AJ51">
        <v>71428</v>
      </c>
      <c r="AK51">
        <v>52446</v>
      </c>
      <c r="AL51">
        <v>92341</v>
      </c>
      <c r="AM51">
        <v>76327</v>
      </c>
      <c r="AN51">
        <v>33912</v>
      </c>
      <c r="AO51">
        <v>95373</v>
      </c>
      <c r="AP51">
        <v>93173</v>
      </c>
      <c r="AQ51">
        <v>73928</v>
      </c>
      <c r="AR51" s="11">
        <v>3100</v>
      </c>
      <c r="AS51" s="11">
        <v>3900</v>
      </c>
      <c r="AT51" s="11">
        <v>7100</v>
      </c>
      <c r="AU51" s="11">
        <v>4600</v>
      </c>
      <c r="AV51" s="11">
        <v>4800</v>
      </c>
      <c r="AW51" s="11">
        <v>7400</v>
      </c>
      <c r="AX51" s="11">
        <v>4300</v>
      </c>
      <c r="AY51" s="11">
        <v>4400</v>
      </c>
      <c r="AZ51" s="11">
        <v>5800</v>
      </c>
      <c r="BA51" s="11">
        <v>4300</v>
      </c>
    </row>
  </sheetData>
  <mergeCells count="14">
    <mergeCell ref="H2:J2"/>
    <mergeCell ref="C2:G2"/>
    <mergeCell ref="O2:S2"/>
    <mergeCell ref="M2:N2"/>
    <mergeCell ref="AR2:AV2"/>
    <mergeCell ref="AW2:BA2"/>
    <mergeCell ref="AR1:BA1"/>
    <mergeCell ref="K2:L2"/>
    <mergeCell ref="AD2:AJ2"/>
    <mergeCell ref="AK2:AQ2"/>
    <mergeCell ref="AD1:AQ1"/>
    <mergeCell ref="T2:X2"/>
    <mergeCell ref="Y2:AC2"/>
    <mergeCell ref="T1:AC1"/>
  </mergeCells>
  <phoneticPr fontId="2" type="noConversion"/>
  <pageMargins left="0.7" right="0.7" top="0.75" bottom="0.75" header="0.3" footer="0.3"/>
  <ignoredErrors>
    <ignoredError sqref="K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8F94A-E126-4EB8-BCA1-599DD3340C04}">
  <sheetPr codeName="Sheet5"/>
  <dimension ref="A1:J1345"/>
  <sheetViews>
    <sheetView tabSelected="1" workbookViewId="0">
      <selection activeCell="I15" sqref="I15"/>
    </sheetView>
  </sheetViews>
  <sheetFormatPr defaultRowHeight="15" x14ac:dyDescent="0.25"/>
  <cols>
    <col min="1" max="1" width="8.85546875" style="11"/>
    <col min="2" max="2" width="11.42578125" style="11" customWidth="1"/>
  </cols>
  <sheetData>
    <row r="1" spans="1:10" x14ac:dyDescent="0.25">
      <c r="A1" s="13" t="s">
        <v>72</v>
      </c>
      <c r="B1" s="13" t="s">
        <v>73</v>
      </c>
      <c r="C1" s="13" t="s">
        <v>141</v>
      </c>
      <c r="D1" s="4" t="s">
        <v>142</v>
      </c>
      <c r="E1" s="4" t="s">
        <v>143</v>
      </c>
      <c r="F1" s="4" t="s">
        <v>144</v>
      </c>
      <c r="G1" s="4" t="s">
        <v>145</v>
      </c>
      <c r="I1">
        <v>1</v>
      </c>
      <c r="J1" t="s">
        <v>46</v>
      </c>
    </row>
    <row r="2" spans="1:10" x14ac:dyDescent="0.25">
      <c r="A2" s="11">
        <v>2025</v>
      </c>
      <c r="B2" s="11" t="s">
        <v>0</v>
      </c>
      <c r="C2" s="4">
        <v>1</v>
      </c>
      <c r="D2" s="4">
        <v>2</v>
      </c>
      <c r="E2" s="4">
        <v>1</v>
      </c>
      <c r="F2" s="4">
        <v>2</v>
      </c>
      <c r="G2" s="4">
        <v>4</v>
      </c>
      <c r="I2">
        <v>2</v>
      </c>
      <c r="J2" t="s">
        <v>49</v>
      </c>
    </row>
    <row r="3" spans="1:10" x14ac:dyDescent="0.25">
      <c r="A3" s="11">
        <v>2025</v>
      </c>
      <c r="B3" s="11" t="s">
        <v>0</v>
      </c>
      <c r="C3" s="4">
        <v>2</v>
      </c>
      <c r="D3" s="4">
        <v>1</v>
      </c>
      <c r="E3" s="4">
        <v>2</v>
      </c>
      <c r="F3" s="4">
        <v>1</v>
      </c>
      <c r="G3" s="4">
        <v>1</v>
      </c>
      <c r="I3">
        <v>3</v>
      </c>
      <c r="J3" t="s">
        <v>47</v>
      </c>
    </row>
    <row r="4" spans="1:10" x14ac:dyDescent="0.25">
      <c r="A4" s="11">
        <v>2025</v>
      </c>
      <c r="B4" s="11" t="s">
        <v>0</v>
      </c>
      <c r="C4" s="4">
        <v>3</v>
      </c>
      <c r="D4" s="4">
        <v>1</v>
      </c>
      <c r="E4" s="4">
        <v>2</v>
      </c>
      <c r="F4" s="4">
        <v>4</v>
      </c>
      <c r="G4" s="4">
        <v>1</v>
      </c>
      <c r="I4">
        <v>4</v>
      </c>
      <c r="J4" t="s">
        <v>48</v>
      </c>
    </row>
    <row r="5" spans="1:10" x14ac:dyDescent="0.25">
      <c r="A5" s="11">
        <v>2025</v>
      </c>
      <c r="B5" s="11" t="s">
        <v>0</v>
      </c>
      <c r="C5" s="4">
        <v>4</v>
      </c>
      <c r="D5" s="4">
        <v>3</v>
      </c>
      <c r="E5" s="4">
        <v>2</v>
      </c>
      <c r="F5" s="4">
        <v>1</v>
      </c>
      <c r="G5" s="4">
        <v>3</v>
      </c>
    </row>
    <row r="6" spans="1:10" x14ac:dyDescent="0.25">
      <c r="A6" s="11">
        <v>2025</v>
      </c>
      <c r="B6" s="11" t="s">
        <v>0</v>
      </c>
      <c r="C6" s="4">
        <v>5</v>
      </c>
      <c r="D6" s="4">
        <v>1</v>
      </c>
      <c r="E6" s="4">
        <v>2</v>
      </c>
      <c r="F6" s="4">
        <v>2</v>
      </c>
      <c r="G6" s="4">
        <v>3</v>
      </c>
    </row>
    <row r="7" spans="1:10" x14ac:dyDescent="0.25">
      <c r="A7" s="11">
        <v>2025</v>
      </c>
      <c r="B7" s="11" t="s">
        <v>0</v>
      </c>
      <c r="C7" s="4">
        <v>6</v>
      </c>
      <c r="D7" s="4">
        <v>1</v>
      </c>
      <c r="E7" s="4">
        <v>2</v>
      </c>
      <c r="F7" s="4">
        <v>2</v>
      </c>
      <c r="G7" s="4">
        <v>1</v>
      </c>
    </row>
    <row r="8" spans="1:10" x14ac:dyDescent="0.25">
      <c r="A8" s="11">
        <v>2025</v>
      </c>
      <c r="B8" s="11" t="s">
        <v>0</v>
      </c>
      <c r="C8" s="4">
        <v>7</v>
      </c>
      <c r="D8" s="4">
        <v>4</v>
      </c>
      <c r="E8" s="4">
        <v>2</v>
      </c>
      <c r="F8" s="4">
        <v>3</v>
      </c>
      <c r="G8" s="4">
        <v>1</v>
      </c>
    </row>
    <row r="9" spans="1:10" x14ac:dyDescent="0.25">
      <c r="A9" s="11">
        <v>2025</v>
      </c>
      <c r="B9" s="11" t="s">
        <v>0</v>
      </c>
      <c r="C9" s="4">
        <v>8</v>
      </c>
      <c r="D9" s="4">
        <v>1</v>
      </c>
      <c r="E9" s="4">
        <v>2</v>
      </c>
      <c r="F9" s="4">
        <v>3</v>
      </c>
      <c r="G9" s="4">
        <v>3</v>
      </c>
    </row>
    <row r="10" spans="1:10" x14ac:dyDescent="0.25">
      <c r="A10" s="11">
        <v>2025</v>
      </c>
      <c r="B10" s="11" t="s">
        <v>0</v>
      </c>
      <c r="C10" s="4">
        <v>9</v>
      </c>
      <c r="D10" s="4">
        <v>1</v>
      </c>
      <c r="E10" s="4">
        <v>2</v>
      </c>
      <c r="F10" s="4">
        <v>3</v>
      </c>
      <c r="G10" s="4">
        <v>3</v>
      </c>
    </row>
    <row r="11" spans="1:10" x14ac:dyDescent="0.25">
      <c r="A11" s="11">
        <v>2025</v>
      </c>
      <c r="B11" s="11" t="s">
        <v>0</v>
      </c>
      <c r="C11" s="4">
        <v>10</v>
      </c>
      <c r="D11" s="4">
        <v>1</v>
      </c>
      <c r="E11" s="4">
        <v>2</v>
      </c>
      <c r="F11" s="4">
        <v>3</v>
      </c>
      <c r="G11" s="4">
        <v>4</v>
      </c>
    </row>
    <row r="12" spans="1:10" x14ac:dyDescent="0.25">
      <c r="A12" s="11">
        <v>2025</v>
      </c>
      <c r="B12" s="11" t="s">
        <v>0</v>
      </c>
      <c r="C12" s="4">
        <v>11</v>
      </c>
      <c r="D12" s="4">
        <v>3</v>
      </c>
      <c r="E12" s="4">
        <v>2</v>
      </c>
      <c r="F12" s="4">
        <v>3</v>
      </c>
      <c r="G12" s="4">
        <v>4</v>
      </c>
    </row>
    <row r="13" spans="1:10" x14ac:dyDescent="0.25">
      <c r="A13" s="11">
        <v>2025</v>
      </c>
      <c r="B13" s="11" t="s">
        <v>0</v>
      </c>
      <c r="C13" s="4">
        <v>12</v>
      </c>
      <c r="D13" s="4">
        <v>1</v>
      </c>
      <c r="E13" s="4">
        <v>4</v>
      </c>
      <c r="F13" s="4">
        <v>3</v>
      </c>
      <c r="G13" s="4">
        <v>3</v>
      </c>
    </row>
    <row r="14" spans="1:10" x14ac:dyDescent="0.25">
      <c r="A14" s="11">
        <v>2025</v>
      </c>
      <c r="B14" s="11" t="s">
        <v>0</v>
      </c>
      <c r="C14" s="4">
        <v>13</v>
      </c>
      <c r="D14" s="4">
        <v>1</v>
      </c>
      <c r="E14" s="4">
        <v>2</v>
      </c>
      <c r="F14" s="4">
        <v>4</v>
      </c>
      <c r="G14" s="4">
        <v>2</v>
      </c>
    </row>
    <row r="15" spans="1:10" x14ac:dyDescent="0.25">
      <c r="A15" s="11">
        <v>2025</v>
      </c>
      <c r="B15" s="11" t="s">
        <v>0</v>
      </c>
      <c r="C15" s="4">
        <v>14</v>
      </c>
      <c r="D15" s="4">
        <v>1</v>
      </c>
      <c r="E15" s="4">
        <v>2</v>
      </c>
      <c r="F15" s="4">
        <v>3</v>
      </c>
      <c r="G15" s="4">
        <v>1</v>
      </c>
    </row>
    <row r="16" spans="1:10" x14ac:dyDescent="0.25">
      <c r="A16" s="11">
        <v>2025</v>
      </c>
      <c r="B16" s="11" t="s">
        <v>0</v>
      </c>
      <c r="C16" s="4">
        <v>15</v>
      </c>
      <c r="D16" s="4">
        <v>1</v>
      </c>
      <c r="E16" s="4">
        <v>2</v>
      </c>
      <c r="F16" s="4">
        <v>4</v>
      </c>
      <c r="G16" s="4">
        <v>1</v>
      </c>
    </row>
    <row r="17" spans="1:7" x14ac:dyDescent="0.25">
      <c r="A17" s="11">
        <v>2025</v>
      </c>
      <c r="B17" s="11" t="s">
        <v>0</v>
      </c>
      <c r="C17" s="4">
        <v>16</v>
      </c>
      <c r="D17" s="4">
        <v>1</v>
      </c>
      <c r="E17" s="4">
        <v>2</v>
      </c>
      <c r="F17" s="4">
        <v>3</v>
      </c>
      <c r="G17" s="4">
        <v>3</v>
      </c>
    </row>
    <row r="18" spans="1:7" x14ac:dyDescent="0.25">
      <c r="A18" s="11">
        <v>2025</v>
      </c>
      <c r="B18" s="11" t="s">
        <v>0</v>
      </c>
      <c r="C18" s="4">
        <v>17</v>
      </c>
      <c r="D18" s="4">
        <v>1</v>
      </c>
      <c r="E18" s="4">
        <v>2</v>
      </c>
      <c r="F18" s="4">
        <v>3</v>
      </c>
      <c r="G18" s="4">
        <v>3</v>
      </c>
    </row>
    <row r="19" spans="1:7" x14ac:dyDescent="0.25">
      <c r="A19" s="11">
        <v>2025</v>
      </c>
      <c r="B19" s="11" t="s">
        <v>0</v>
      </c>
      <c r="C19" s="4">
        <v>18</v>
      </c>
      <c r="D19" s="4">
        <v>1</v>
      </c>
      <c r="E19" s="4">
        <v>1</v>
      </c>
      <c r="F19" s="4">
        <v>3</v>
      </c>
      <c r="G19" s="4">
        <v>2</v>
      </c>
    </row>
    <row r="20" spans="1:7" x14ac:dyDescent="0.25">
      <c r="A20" s="11">
        <v>2025</v>
      </c>
      <c r="B20" s="11" t="s">
        <v>0</v>
      </c>
      <c r="C20" s="4">
        <v>19</v>
      </c>
      <c r="D20" s="4">
        <v>1</v>
      </c>
      <c r="E20" s="4">
        <v>1</v>
      </c>
      <c r="F20" s="4">
        <v>3</v>
      </c>
      <c r="G20" s="4">
        <v>3</v>
      </c>
    </row>
    <row r="21" spans="1:7" x14ac:dyDescent="0.25">
      <c r="A21" s="11">
        <v>2025</v>
      </c>
      <c r="B21" s="11" t="s">
        <v>0</v>
      </c>
      <c r="C21" s="4">
        <v>20</v>
      </c>
      <c r="D21" s="4">
        <v>2</v>
      </c>
      <c r="E21" s="4">
        <v>1</v>
      </c>
      <c r="F21" s="4">
        <v>2</v>
      </c>
      <c r="G21" s="4">
        <v>3</v>
      </c>
    </row>
    <row r="22" spans="1:7" x14ac:dyDescent="0.25">
      <c r="A22" s="11">
        <v>2025</v>
      </c>
      <c r="B22" s="11" t="s">
        <v>0</v>
      </c>
      <c r="C22" s="4">
        <v>21</v>
      </c>
      <c r="D22" s="4">
        <v>2</v>
      </c>
      <c r="E22" s="4">
        <v>2</v>
      </c>
      <c r="F22" s="4">
        <v>2</v>
      </c>
      <c r="G22" s="4">
        <v>4</v>
      </c>
    </row>
    <row r="23" spans="1:7" x14ac:dyDescent="0.25">
      <c r="A23" s="11">
        <v>2025</v>
      </c>
      <c r="B23" s="11" t="s">
        <v>0</v>
      </c>
      <c r="C23" s="4">
        <v>22</v>
      </c>
      <c r="D23" s="4">
        <v>2</v>
      </c>
      <c r="E23" s="4">
        <v>2</v>
      </c>
      <c r="F23" s="4">
        <v>1</v>
      </c>
      <c r="G23" s="4">
        <v>3</v>
      </c>
    </row>
    <row r="24" spans="1:7" x14ac:dyDescent="0.25">
      <c r="A24" s="11">
        <v>2025</v>
      </c>
      <c r="B24" s="11" t="s">
        <v>0</v>
      </c>
      <c r="C24" s="4">
        <v>23</v>
      </c>
      <c r="D24" s="4">
        <v>2</v>
      </c>
      <c r="E24" s="4">
        <v>2</v>
      </c>
      <c r="F24" s="4">
        <v>2</v>
      </c>
      <c r="G24" s="4">
        <v>4</v>
      </c>
    </row>
    <row r="25" spans="1:7" x14ac:dyDescent="0.25">
      <c r="A25" s="11">
        <v>2025</v>
      </c>
      <c r="B25" s="11" t="s">
        <v>0</v>
      </c>
      <c r="C25" s="4">
        <v>24</v>
      </c>
      <c r="D25" s="4">
        <v>1</v>
      </c>
      <c r="E25" s="4">
        <v>1</v>
      </c>
      <c r="F25" s="4">
        <v>1</v>
      </c>
      <c r="G25" s="4">
        <v>3</v>
      </c>
    </row>
    <row r="26" spans="1:7" x14ac:dyDescent="0.25">
      <c r="A26" s="11">
        <v>2025</v>
      </c>
      <c r="B26" s="11" t="s">
        <v>0</v>
      </c>
      <c r="C26" s="4">
        <v>25</v>
      </c>
      <c r="D26" s="4">
        <v>1</v>
      </c>
      <c r="E26" s="4">
        <v>1</v>
      </c>
      <c r="F26" s="4">
        <v>1</v>
      </c>
      <c r="G26" s="4">
        <v>2</v>
      </c>
    </row>
    <row r="27" spans="1:7" x14ac:dyDescent="0.25">
      <c r="A27" s="11">
        <v>2025</v>
      </c>
      <c r="B27" s="11" t="s">
        <v>0</v>
      </c>
      <c r="C27" s="4">
        <v>26</v>
      </c>
      <c r="D27" s="4">
        <v>1</v>
      </c>
      <c r="E27" s="4">
        <v>1</v>
      </c>
      <c r="F27" s="4">
        <v>1</v>
      </c>
      <c r="G27" s="4">
        <v>1</v>
      </c>
    </row>
    <row r="28" spans="1:7" x14ac:dyDescent="0.25">
      <c r="A28" s="11">
        <v>2025</v>
      </c>
      <c r="B28" s="11" t="s">
        <v>0</v>
      </c>
      <c r="C28" s="4">
        <v>27</v>
      </c>
      <c r="D28" s="4">
        <v>1</v>
      </c>
      <c r="E28" s="4">
        <v>1</v>
      </c>
      <c r="F28" s="4">
        <v>1</v>
      </c>
      <c r="G28" s="4">
        <v>1</v>
      </c>
    </row>
    <row r="29" spans="1:7" x14ac:dyDescent="0.25">
      <c r="A29" s="11">
        <v>2025</v>
      </c>
      <c r="B29" s="11" t="s">
        <v>0</v>
      </c>
      <c r="C29" s="4">
        <v>28</v>
      </c>
      <c r="D29" s="4">
        <v>1</v>
      </c>
      <c r="E29" s="4">
        <v>3</v>
      </c>
      <c r="F29" s="4">
        <v>3</v>
      </c>
      <c r="G29" s="4">
        <v>2</v>
      </c>
    </row>
    <row r="30" spans="1:7" x14ac:dyDescent="0.25">
      <c r="A30" s="11">
        <v>2025</v>
      </c>
      <c r="B30" s="11" t="s">
        <v>1</v>
      </c>
      <c r="C30" s="4">
        <v>1</v>
      </c>
      <c r="D30" s="11">
        <v>1</v>
      </c>
      <c r="E30" s="11">
        <v>3</v>
      </c>
      <c r="F30" s="11">
        <v>3</v>
      </c>
      <c r="G30" s="11">
        <v>1</v>
      </c>
    </row>
    <row r="31" spans="1:7" x14ac:dyDescent="0.25">
      <c r="A31" s="11">
        <v>2025</v>
      </c>
      <c r="B31" s="11" t="s">
        <v>1</v>
      </c>
      <c r="C31" s="4">
        <v>2</v>
      </c>
      <c r="D31" s="11">
        <v>2</v>
      </c>
      <c r="E31" s="11">
        <v>3</v>
      </c>
      <c r="F31" s="11">
        <v>1</v>
      </c>
      <c r="G31" s="11">
        <v>1</v>
      </c>
    </row>
    <row r="32" spans="1:7" x14ac:dyDescent="0.25">
      <c r="A32" s="11">
        <v>2025</v>
      </c>
      <c r="B32" s="11" t="s">
        <v>1</v>
      </c>
      <c r="C32" s="4">
        <v>3</v>
      </c>
      <c r="D32" s="11">
        <v>1</v>
      </c>
      <c r="E32" s="11">
        <v>2</v>
      </c>
      <c r="F32" s="11">
        <v>2</v>
      </c>
      <c r="G32" s="11">
        <v>3</v>
      </c>
    </row>
    <row r="33" spans="1:7" x14ac:dyDescent="0.25">
      <c r="A33" s="11">
        <v>2025</v>
      </c>
      <c r="B33" s="11" t="s">
        <v>1</v>
      </c>
      <c r="C33" s="4">
        <v>4</v>
      </c>
      <c r="D33" s="11">
        <v>3</v>
      </c>
      <c r="E33" s="11">
        <v>1</v>
      </c>
      <c r="F33" s="11">
        <v>2</v>
      </c>
      <c r="G33" s="11">
        <v>3</v>
      </c>
    </row>
    <row r="34" spans="1:7" x14ac:dyDescent="0.25">
      <c r="A34" s="11">
        <v>2025</v>
      </c>
      <c r="B34" s="11" t="s">
        <v>1</v>
      </c>
      <c r="C34" s="4">
        <v>5</v>
      </c>
      <c r="D34" s="11">
        <v>1</v>
      </c>
      <c r="E34" s="11">
        <v>1</v>
      </c>
      <c r="F34" s="11">
        <v>4</v>
      </c>
      <c r="G34" s="11">
        <v>2</v>
      </c>
    </row>
    <row r="35" spans="1:7" x14ac:dyDescent="0.25">
      <c r="A35" s="11">
        <v>2025</v>
      </c>
      <c r="B35" s="11" t="s">
        <v>1</v>
      </c>
      <c r="C35" s="4">
        <v>6</v>
      </c>
      <c r="D35" s="11">
        <v>1</v>
      </c>
      <c r="E35" s="11">
        <v>3</v>
      </c>
      <c r="F35" s="11">
        <v>1</v>
      </c>
      <c r="G35" s="11">
        <v>2</v>
      </c>
    </row>
    <row r="36" spans="1:7" x14ac:dyDescent="0.25">
      <c r="A36" s="11">
        <v>2025</v>
      </c>
      <c r="B36" s="11" t="s">
        <v>1</v>
      </c>
      <c r="C36" s="4">
        <v>7</v>
      </c>
      <c r="D36" s="11">
        <v>1</v>
      </c>
      <c r="E36" s="11">
        <v>1</v>
      </c>
      <c r="F36" s="11">
        <v>1</v>
      </c>
      <c r="G36" s="11">
        <v>1</v>
      </c>
    </row>
    <row r="37" spans="1:7" x14ac:dyDescent="0.25">
      <c r="A37" s="11">
        <v>2025</v>
      </c>
      <c r="B37" s="11" t="s">
        <v>1</v>
      </c>
      <c r="C37" s="4">
        <v>8</v>
      </c>
      <c r="D37" s="11">
        <v>1</v>
      </c>
      <c r="E37" s="11">
        <v>4</v>
      </c>
      <c r="F37" s="11">
        <v>4</v>
      </c>
      <c r="G37" s="11">
        <v>1</v>
      </c>
    </row>
    <row r="38" spans="1:7" x14ac:dyDescent="0.25">
      <c r="A38" s="11">
        <v>2025</v>
      </c>
      <c r="B38" s="11" t="s">
        <v>1</v>
      </c>
      <c r="C38" s="4">
        <v>9</v>
      </c>
      <c r="D38" s="11">
        <v>3</v>
      </c>
      <c r="E38" s="11">
        <v>1</v>
      </c>
      <c r="F38" s="11">
        <v>3</v>
      </c>
      <c r="G38" s="11">
        <v>2</v>
      </c>
    </row>
    <row r="39" spans="1:7" x14ac:dyDescent="0.25">
      <c r="A39" s="11">
        <v>2025</v>
      </c>
      <c r="B39" s="11" t="s">
        <v>1</v>
      </c>
      <c r="C39" s="4">
        <v>10</v>
      </c>
      <c r="D39" s="11">
        <v>3</v>
      </c>
      <c r="E39" s="11">
        <v>1</v>
      </c>
      <c r="F39" s="11">
        <v>1</v>
      </c>
      <c r="G39" s="11">
        <v>3</v>
      </c>
    </row>
    <row r="40" spans="1:7" x14ac:dyDescent="0.25">
      <c r="A40" s="11">
        <v>2025</v>
      </c>
      <c r="B40" s="11" t="s">
        <v>1</v>
      </c>
      <c r="C40" s="4">
        <v>11</v>
      </c>
      <c r="D40" s="11">
        <v>3</v>
      </c>
      <c r="E40" s="11">
        <v>2</v>
      </c>
      <c r="F40" s="11">
        <v>3</v>
      </c>
      <c r="G40" s="11">
        <v>1</v>
      </c>
    </row>
    <row r="41" spans="1:7" x14ac:dyDescent="0.25">
      <c r="A41" s="11">
        <v>2025</v>
      </c>
      <c r="B41" s="11" t="s">
        <v>1</v>
      </c>
      <c r="C41" s="4">
        <v>12</v>
      </c>
      <c r="D41" s="11">
        <v>1</v>
      </c>
      <c r="E41" s="11">
        <v>1</v>
      </c>
      <c r="F41" s="11">
        <v>3</v>
      </c>
      <c r="G41" s="11">
        <v>2</v>
      </c>
    </row>
    <row r="42" spans="1:7" x14ac:dyDescent="0.25">
      <c r="A42" s="11">
        <v>2025</v>
      </c>
      <c r="B42" s="11" t="s">
        <v>1</v>
      </c>
      <c r="C42" s="4">
        <v>13</v>
      </c>
      <c r="D42" s="11">
        <v>1</v>
      </c>
      <c r="E42" s="11">
        <v>1</v>
      </c>
      <c r="F42" s="11">
        <v>1</v>
      </c>
      <c r="G42" s="11">
        <v>1</v>
      </c>
    </row>
    <row r="43" spans="1:7" x14ac:dyDescent="0.25">
      <c r="A43" s="11">
        <v>2025</v>
      </c>
      <c r="B43" s="11" t="s">
        <v>1</v>
      </c>
      <c r="C43" s="4">
        <v>14</v>
      </c>
      <c r="D43" s="11">
        <v>3</v>
      </c>
      <c r="E43" s="11">
        <v>2</v>
      </c>
      <c r="F43" s="11">
        <v>2</v>
      </c>
      <c r="G43" s="11">
        <v>1</v>
      </c>
    </row>
    <row r="44" spans="1:7" x14ac:dyDescent="0.25">
      <c r="A44" s="11">
        <v>2025</v>
      </c>
      <c r="B44" s="11" t="s">
        <v>1</v>
      </c>
      <c r="C44" s="4">
        <v>15</v>
      </c>
      <c r="D44" s="11">
        <v>1</v>
      </c>
      <c r="E44" s="11">
        <v>3</v>
      </c>
      <c r="F44" s="11">
        <v>2</v>
      </c>
      <c r="G44" s="11">
        <v>1</v>
      </c>
    </row>
    <row r="45" spans="1:7" x14ac:dyDescent="0.25">
      <c r="A45" s="11">
        <v>2025</v>
      </c>
      <c r="B45" s="11" t="s">
        <v>1</v>
      </c>
      <c r="C45" s="4">
        <v>16</v>
      </c>
      <c r="D45" s="11">
        <v>2</v>
      </c>
      <c r="E45" s="11">
        <v>4</v>
      </c>
      <c r="F45" s="11">
        <v>1</v>
      </c>
      <c r="G45" s="11">
        <v>3</v>
      </c>
    </row>
    <row r="46" spans="1:7" x14ac:dyDescent="0.25">
      <c r="A46" s="11">
        <v>2025</v>
      </c>
      <c r="B46" s="11" t="s">
        <v>1</v>
      </c>
      <c r="C46" s="4">
        <v>17</v>
      </c>
      <c r="D46" s="11">
        <v>3</v>
      </c>
      <c r="E46" s="11">
        <v>1</v>
      </c>
      <c r="F46" s="11">
        <v>1</v>
      </c>
      <c r="G46" s="11">
        <v>4</v>
      </c>
    </row>
    <row r="47" spans="1:7" x14ac:dyDescent="0.25">
      <c r="A47" s="11">
        <v>2025</v>
      </c>
      <c r="B47" s="11" t="s">
        <v>1</v>
      </c>
      <c r="C47" s="4">
        <v>18</v>
      </c>
      <c r="D47" s="11">
        <v>2</v>
      </c>
      <c r="E47" s="11">
        <v>2</v>
      </c>
      <c r="F47" s="11">
        <v>1</v>
      </c>
      <c r="G47" s="11">
        <v>3</v>
      </c>
    </row>
    <row r="48" spans="1:7" x14ac:dyDescent="0.25">
      <c r="A48" s="11">
        <v>2025</v>
      </c>
      <c r="B48" s="11" t="s">
        <v>1</v>
      </c>
      <c r="C48" s="4">
        <v>19</v>
      </c>
      <c r="D48" s="11">
        <v>3</v>
      </c>
      <c r="E48" s="11">
        <v>3</v>
      </c>
      <c r="F48" s="11">
        <v>3</v>
      </c>
      <c r="G48" s="11">
        <v>4</v>
      </c>
    </row>
    <row r="49" spans="1:7" x14ac:dyDescent="0.25">
      <c r="A49" s="11">
        <v>2025</v>
      </c>
      <c r="B49" s="11" t="s">
        <v>1</v>
      </c>
      <c r="C49" s="4">
        <v>20</v>
      </c>
      <c r="D49" s="11">
        <v>2</v>
      </c>
      <c r="E49" s="11">
        <v>1</v>
      </c>
      <c r="F49" s="11">
        <v>3</v>
      </c>
      <c r="G49" s="11">
        <v>1</v>
      </c>
    </row>
    <row r="50" spans="1:7" x14ac:dyDescent="0.25">
      <c r="A50" s="11">
        <v>2025</v>
      </c>
      <c r="B50" s="11" t="s">
        <v>1</v>
      </c>
      <c r="C50" s="4">
        <v>21</v>
      </c>
      <c r="D50" s="11">
        <v>1</v>
      </c>
      <c r="E50" s="11">
        <v>1</v>
      </c>
      <c r="F50" s="11">
        <v>1</v>
      </c>
      <c r="G50" s="11">
        <v>2</v>
      </c>
    </row>
    <row r="51" spans="1:7" x14ac:dyDescent="0.25">
      <c r="A51" s="11">
        <v>2025</v>
      </c>
      <c r="B51" s="11" t="s">
        <v>1</v>
      </c>
      <c r="C51" s="4">
        <v>22</v>
      </c>
      <c r="D51" s="11">
        <v>2</v>
      </c>
      <c r="E51" s="11">
        <v>1</v>
      </c>
      <c r="F51" s="11">
        <v>4</v>
      </c>
      <c r="G51" s="11">
        <v>3</v>
      </c>
    </row>
    <row r="52" spans="1:7" x14ac:dyDescent="0.25">
      <c r="A52" s="11">
        <v>2025</v>
      </c>
      <c r="B52" s="11" t="s">
        <v>1</v>
      </c>
      <c r="C52" s="4">
        <v>23</v>
      </c>
      <c r="D52" s="11">
        <v>1</v>
      </c>
      <c r="E52" s="11">
        <v>1</v>
      </c>
      <c r="F52" s="11">
        <v>1</v>
      </c>
      <c r="G52" s="11">
        <v>1</v>
      </c>
    </row>
    <row r="53" spans="1:7" x14ac:dyDescent="0.25">
      <c r="A53" s="11">
        <v>2025</v>
      </c>
      <c r="B53" s="11" t="s">
        <v>1</v>
      </c>
      <c r="C53" s="4">
        <v>24</v>
      </c>
      <c r="D53" s="11">
        <v>2</v>
      </c>
      <c r="E53" s="11">
        <v>1</v>
      </c>
      <c r="F53" s="11">
        <v>2</v>
      </c>
      <c r="G53" s="11">
        <v>3</v>
      </c>
    </row>
    <row r="54" spans="1:7" x14ac:dyDescent="0.25">
      <c r="A54" s="11">
        <v>2025</v>
      </c>
      <c r="B54" s="11" t="s">
        <v>1</v>
      </c>
      <c r="C54" s="4">
        <v>25</v>
      </c>
      <c r="D54" s="11">
        <v>3</v>
      </c>
      <c r="E54" s="11">
        <v>1</v>
      </c>
      <c r="F54" s="11">
        <v>2</v>
      </c>
      <c r="G54" s="11">
        <v>1</v>
      </c>
    </row>
    <row r="55" spans="1:7" x14ac:dyDescent="0.25">
      <c r="A55" s="11">
        <v>2025</v>
      </c>
      <c r="B55" s="11" t="s">
        <v>1</v>
      </c>
      <c r="C55" s="4">
        <v>26</v>
      </c>
      <c r="D55" s="11">
        <v>4</v>
      </c>
      <c r="E55" s="11">
        <v>2</v>
      </c>
      <c r="F55" s="11">
        <v>1</v>
      </c>
      <c r="G55" s="11">
        <v>2</v>
      </c>
    </row>
    <row r="56" spans="1:7" x14ac:dyDescent="0.25">
      <c r="A56" s="11">
        <v>2025</v>
      </c>
      <c r="B56" s="11" t="s">
        <v>1</v>
      </c>
      <c r="C56" s="4">
        <v>27</v>
      </c>
      <c r="D56" s="11">
        <v>1</v>
      </c>
      <c r="E56" s="11">
        <v>1</v>
      </c>
      <c r="F56" s="11">
        <v>2</v>
      </c>
      <c r="G56" s="11">
        <v>1</v>
      </c>
    </row>
    <row r="57" spans="1:7" x14ac:dyDescent="0.25">
      <c r="A57" s="11">
        <v>2025</v>
      </c>
      <c r="B57" s="11" t="s">
        <v>1</v>
      </c>
      <c r="C57" s="4">
        <v>28</v>
      </c>
      <c r="D57" s="11">
        <v>3</v>
      </c>
      <c r="E57" s="11">
        <v>2</v>
      </c>
      <c r="F57" s="11">
        <v>1</v>
      </c>
      <c r="G57" s="11">
        <v>1</v>
      </c>
    </row>
    <row r="58" spans="1:7" x14ac:dyDescent="0.25">
      <c r="A58" s="11">
        <v>2025</v>
      </c>
      <c r="B58" s="11" t="s">
        <v>2</v>
      </c>
      <c r="C58" s="4">
        <v>1</v>
      </c>
      <c r="D58" s="11">
        <v>3</v>
      </c>
      <c r="E58" s="11">
        <v>2</v>
      </c>
      <c r="F58" s="11">
        <v>2</v>
      </c>
      <c r="G58" s="11">
        <v>1</v>
      </c>
    </row>
    <row r="59" spans="1:7" x14ac:dyDescent="0.25">
      <c r="A59" s="11">
        <v>2025</v>
      </c>
      <c r="B59" s="11" t="s">
        <v>2</v>
      </c>
      <c r="C59" s="4">
        <v>2</v>
      </c>
      <c r="D59" s="11">
        <v>3</v>
      </c>
      <c r="E59" s="11">
        <v>3</v>
      </c>
      <c r="F59" s="11">
        <v>2</v>
      </c>
      <c r="G59" s="11">
        <v>1</v>
      </c>
    </row>
    <row r="60" spans="1:7" x14ac:dyDescent="0.25">
      <c r="A60" s="11">
        <v>2025</v>
      </c>
      <c r="B60" s="11" t="s">
        <v>2</v>
      </c>
      <c r="C60" s="4">
        <v>3</v>
      </c>
      <c r="D60" s="11">
        <v>3</v>
      </c>
      <c r="E60" s="11">
        <v>1</v>
      </c>
      <c r="F60" s="11">
        <v>3</v>
      </c>
      <c r="G60" s="11">
        <v>1</v>
      </c>
    </row>
    <row r="61" spans="1:7" x14ac:dyDescent="0.25">
      <c r="A61" s="11">
        <v>2025</v>
      </c>
      <c r="B61" s="11" t="s">
        <v>2</v>
      </c>
      <c r="C61" s="4">
        <v>4</v>
      </c>
      <c r="D61" s="11">
        <v>1</v>
      </c>
      <c r="E61" s="11">
        <v>3</v>
      </c>
      <c r="F61" s="11">
        <v>1</v>
      </c>
      <c r="G61" s="11">
        <v>1</v>
      </c>
    </row>
    <row r="62" spans="1:7" x14ac:dyDescent="0.25">
      <c r="A62" s="11">
        <v>2025</v>
      </c>
      <c r="B62" s="11" t="s">
        <v>2</v>
      </c>
      <c r="C62" s="4">
        <v>5</v>
      </c>
      <c r="D62" s="11">
        <v>1</v>
      </c>
      <c r="E62" s="11">
        <v>3</v>
      </c>
      <c r="F62" s="11">
        <v>2</v>
      </c>
      <c r="G62" s="11">
        <v>1</v>
      </c>
    </row>
    <row r="63" spans="1:7" x14ac:dyDescent="0.25">
      <c r="A63" s="11">
        <v>2025</v>
      </c>
      <c r="B63" s="11" t="s">
        <v>2</v>
      </c>
      <c r="C63" s="4">
        <v>6</v>
      </c>
      <c r="D63" s="11">
        <v>1</v>
      </c>
      <c r="E63" s="11">
        <v>4</v>
      </c>
      <c r="F63" s="11">
        <v>1</v>
      </c>
      <c r="G63" s="11">
        <v>2</v>
      </c>
    </row>
    <row r="64" spans="1:7" x14ac:dyDescent="0.25">
      <c r="A64" s="11">
        <v>2025</v>
      </c>
      <c r="B64" s="11" t="s">
        <v>2</v>
      </c>
      <c r="C64" s="4">
        <v>7</v>
      </c>
      <c r="D64" s="11">
        <v>1</v>
      </c>
      <c r="E64" s="11">
        <v>2</v>
      </c>
      <c r="F64" s="11">
        <v>2</v>
      </c>
      <c r="G64" s="11">
        <v>1</v>
      </c>
    </row>
    <row r="65" spans="1:7" x14ac:dyDescent="0.25">
      <c r="A65" s="11">
        <v>2025</v>
      </c>
      <c r="B65" s="11" t="s">
        <v>2</v>
      </c>
      <c r="C65" s="4">
        <v>8</v>
      </c>
      <c r="D65" s="11">
        <v>1</v>
      </c>
      <c r="E65" s="11">
        <v>1</v>
      </c>
      <c r="F65" s="11">
        <v>1</v>
      </c>
      <c r="G65" s="11">
        <v>3</v>
      </c>
    </row>
    <row r="66" spans="1:7" x14ac:dyDescent="0.25">
      <c r="A66" s="11">
        <v>2025</v>
      </c>
      <c r="B66" s="11" t="s">
        <v>2</v>
      </c>
      <c r="C66" s="4">
        <v>9</v>
      </c>
      <c r="D66" s="11">
        <v>4</v>
      </c>
      <c r="E66" s="11">
        <v>2</v>
      </c>
      <c r="F66" s="11">
        <v>3</v>
      </c>
      <c r="G66" s="11">
        <v>4</v>
      </c>
    </row>
    <row r="67" spans="1:7" x14ac:dyDescent="0.25">
      <c r="A67" s="11">
        <v>2025</v>
      </c>
      <c r="B67" s="11" t="s">
        <v>2</v>
      </c>
      <c r="C67" s="4">
        <v>10</v>
      </c>
      <c r="D67" s="11">
        <v>2</v>
      </c>
      <c r="E67" s="11">
        <v>2</v>
      </c>
      <c r="F67" s="11">
        <v>1</v>
      </c>
      <c r="G67" s="11">
        <v>1</v>
      </c>
    </row>
    <row r="68" spans="1:7" x14ac:dyDescent="0.25">
      <c r="A68" s="11">
        <v>2025</v>
      </c>
      <c r="B68" s="11" t="s">
        <v>2</v>
      </c>
      <c r="C68" s="4">
        <v>11</v>
      </c>
      <c r="D68" s="11">
        <v>2</v>
      </c>
      <c r="E68" s="11">
        <v>2</v>
      </c>
      <c r="F68" s="11">
        <v>2</v>
      </c>
      <c r="G68" s="11">
        <v>2</v>
      </c>
    </row>
    <row r="69" spans="1:7" x14ac:dyDescent="0.25">
      <c r="A69" s="11">
        <v>2025</v>
      </c>
      <c r="B69" s="11" t="s">
        <v>2</v>
      </c>
      <c r="C69" s="4">
        <v>12</v>
      </c>
      <c r="D69" s="11">
        <v>4</v>
      </c>
      <c r="E69" s="11">
        <v>2</v>
      </c>
      <c r="F69" s="11">
        <v>1</v>
      </c>
      <c r="G69" s="11">
        <v>3</v>
      </c>
    </row>
    <row r="70" spans="1:7" x14ac:dyDescent="0.25">
      <c r="A70" s="11">
        <v>2025</v>
      </c>
      <c r="B70" s="11" t="s">
        <v>2</v>
      </c>
      <c r="C70" s="4">
        <v>13</v>
      </c>
      <c r="D70" s="11">
        <v>3</v>
      </c>
      <c r="E70" s="11">
        <v>1</v>
      </c>
      <c r="F70" s="11">
        <v>2</v>
      </c>
      <c r="G70" s="11">
        <v>1</v>
      </c>
    </row>
    <row r="71" spans="1:7" x14ac:dyDescent="0.25">
      <c r="A71" s="11">
        <v>2025</v>
      </c>
      <c r="B71" s="11" t="s">
        <v>2</v>
      </c>
      <c r="C71" s="4">
        <v>14</v>
      </c>
      <c r="D71" s="11">
        <v>1</v>
      </c>
      <c r="E71" s="11">
        <v>1</v>
      </c>
      <c r="F71" s="11">
        <v>2</v>
      </c>
      <c r="G71" s="11">
        <v>3</v>
      </c>
    </row>
    <row r="72" spans="1:7" x14ac:dyDescent="0.25">
      <c r="A72" s="11">
        <v>2025</v>
      </c>
      <c r="B72" s="11" t="s">
        <v>2</v>
      </c>
      <c r="C72" s="4">
        <v>15</v>
      </c>
      <c r="D72" s="11">
        <v>1</v>
      </c>
      <c r="E72" s="11">
        <v>1</v>
      </c>
      <c r="F72" s="11">
        <v>2</v>
      </c>
      <c r="G72" s="11">
        <v>1</v>
      </c>
    </row>
    <row r="73" spans="1:7" x14ac:dyDescent="0.25">
      <c r="A73" s="11">
        <v>2025</v>
      </c>
      <c r="B73" s="11" t="s">
        <v>2</v>
      </c>
      <c r="C73" s="4">
        <v>16</v>
      </c>
      <c r="D73" s="11">
        <v>1</v>
      </c>
      <c r="E73" s="11">
        <v>4</v>
      </c>
      <c r="F73" s="11">
        <v>4</v>
      </c>
      <c r="G73" s="11">
        <v>1</v>
      </c>
    </row>
    <row r="74" spans="1:7" x14ac:dyDescent="0.25">
      <c r="A74" s="11">
        <v>2025</v>
      </c>
      <c r="B74" s="11" t="s">
        <v>2</v>
      </c>
      <c r="C74" s="4">
        <v>17</v>
      </c>
      <c r="D74" s="11">
        <v>1</v>
      </c>
      <c r="E74" s="11">
        <v>1</v>
      </c>
      <c r="F74" s="11">
        <v>2</v>
      </c>
      <c r="G74" s="11">
        <v>2</v>
      </c>
    </row>
    <row r="75" spans="1:7" x14ac:dyDescent="0.25">
      <c r="A75" s="11">
        <v>2025</v>
      </c>
      <c r="B75" s="11" t="s">
        <v>2</v>
      </c>
      <c r="C75" s="4">
        <v>18</v>
      </c>
      <c r="D75" s="11">
        <v>3</v>
      </c>
      <c r="E75" s="11">
        <v>1</v>
      </c>
      <c r="F75" s="11">
        <v>2</v>
      </c>
      <c r="G75" s="11">
        <v>2</v>
      </c>
    </row>
    <row r="76" spans="1:7" x14ac:dyDescent="0.25">
      <c r="A76" s="11">
        <v>2025</v>
      </c>
      <c r="B76" s="11" t="s">
        <v>2</v>
      </c>
      <c r="C76" s="4">
        <v>19</v>
      </c>
      <c r="D76" s="11">
        <v>1</v>
      </c>
      <c r="E76" s="11">
        <v>4</v>
      </c>
      <c r="F76" s="11">
        <v>2</v>
      </c>
      <c r="G76" s="11">
        <v>1</v>
      </c>
    </row>
    <row r="77" spans="1:7" x14ac:dyDescent="0.25">
      <c r="A77" s="11">
        <v>2025</v>
      </c>
      <c r="B77" s="11" t="s">
        <v>2</v>
      </c>
      <c r="C77" s="4">
        <v>20</v>
      </c>
      <c r="D77" s="11">
        <v>4</v>
      </c>
      <c r="E77" s="11">
        <v>2</v>
      </c>
      <c r="F77" s="11">
        <v>4</v>
      </c>
      <c r="G77" s="11">
        <v>3</v>
      </c>
    </row>
    <row r="78" spans="1:7" x14ac:dyDescent="0.25">
      <c r="A78" s="11">
        <v>2025</v>
      </c>
      <c r="B78" s="11" t="s">
        <v>2</v>
      </c>
      <c r="C78" s="4">
        <v>21</v>
      </c>
      <c r="D78" s="11">
        <v>2</v>
      </c>
      <c r="E78" s="11">
        <v>1</v>
      </c>
      <c r="F78" s="11">
        <v>3</v>
      </c>
      <c r="G78" s="11">
        <v>4</v>
      </c>
    </row>
    <row r="79" spans="1:7" x14ac:dyDescent="0.25">
      <c r="A79" s="11">
        <v>2025</v>
      </c>
      <c r="B79" s="11" t="s">
        <v>2</v>
      </c>
      <c r="C79" s="4">
        <v>22</v>
      </c>
      <c r="D79" s="11">
        <v>1</v>
      </c>
      <c r="E79" s="11">
        <v>1</v>
      </c>
      <c r="F79" s="11">
        <v>3</v>
      </c>
      <c r="G79" s="11">
        <v>3</v>
      </c>
    </row>
    <row r="80" spans="1:7" x14ac:dyDescent="0.25">
      <c r="A80" s="11">
        <v>2025</v>
      </c>
      <c r="B80" s="11" t="s">
        <v>2</v>
      </c>
      <c r="C80" s="4">
        <v>23</v>
      </c>
      <c r="D80" s="11">
        <v>4</v>
      </c>
      <c r="E80" s="11">
        <v>3</v>
      </c>
      <c r="F80" s="11">
        <v>3</v>
      </c>
      <c r="G80" s="11">
        <v>2</v>
      </c>
    </row>
    <row r="81" spans="1:7" x14ac:dyDescent="0.25">
      <c r="A81" s="11">
        <v>2025</v>
      </c>
      <c r="B81" s="11" t="s">
        <v>2</v>
      </c>
      <c r="C81" s="4">
        <v>24</v>
      </c>
      <c r="D81" s="11">
        <v>1</v>
      </c>
      <c r="E81" s="11">
        <v>2</v>
      </c>
      <c r="F81" s="11">
        <v>1</v>
      </c>
      <c r="G81" s="11">
        <v>1</v>
      </c>
    </row>
    <row r="82" spans="1:7" x14ac:dyDescent="0.25">
      <c r="A82" s="11">
        <v>2025</v>
      </c>
      <c r="B82" s="11" t="s">
        <v>2</v>
      </c>
      <c r="C82" s="4">
        <v>25</v>
      </c>
      <c r="D82" s="11">
        <v>2</v>
      </c>
      <c r="E82" s="11">
        <v>1</v>
      </c>
      <c r="F82" s="11">
        <v>2</v>
      </c>
      <c r="G82" s="11">
        <v>3</v>
      </c>
    </row>
    <row r="83" spans="1:7" x14ac:dyDescent="0.25">
      <c r="A83" s="11">
        <v>2025</v>
      </c>
      <c r="B83" s="11" t="s">
        <v>2</v>
      </c>
      <c r="C83" s="4">
        <v>26</v>
      </c>
      <c r="D83" s="11">
        <v>2</v>
      </c>
      <c r="E83" s="11">
        <v>2</v>
      </c>
      <c r="F83" s="11">
        <v>1</v>
      </c>
      <c r="G83" s="11">
        <v>3</v>
      </c>
    </row>
    <row r="84" spans="1:7" x14ac:dyDescent="0.25">
      <c r="A84" s="11">
        <v>2025</v>
      </c>
      <c r="B84" s="11" t="s">
        <v>2</v>
      </c>
      <c r="C84" s="4">
        <v>27</v>
      </c>
      <c r="D84" s="11">
        <v>3</v>
      </c>
      <c r="E84" s="11">
        <v>4</v>
      </c>
      <c r="F84" s="11">
        <v>3</v>
      </c>
      <c r="G84" s="11">
        <v>1</v>
      </c>
    </row>
    <row r="85" spans="1:7" x14ac:dyDescent="0.25">
      <c r="A85" s="11">
        <v>2025</v>
      </c>
      <c r="B85" s="11" t="s">
        <v>2</v>
      </c>
      <c r="C85" s="4">
        <v>28</v>
      </c>
      <c r="D85" s="11">
        <v>3</v>
      </c>
      <c r="E85" s="11">
        <v>2</v>
      </c>
      <c r="F85" s="11">
        <v>2</v>
      </c>
      <c r="G85" s="11">
        <v>3</v>
      </c>
    </row>
    <row r="86" spans="1:7" x14ac:dyDescent="0.25">
      <c r="A86" s="11">
        <v>2025</v>
      </c>
      <c r="B86" s="11" t="s">
        <v>3</v>
      </c>
      <c r="C86" s="4">
        <v>1</v>
      </c>
      <c r="D86" s="11">
        <v>4</v>
      </c>
      <c r="E86" s="11">
        <v>2</v>
      </c>
      <c r="F86" s="11">
        <v>3</v>
      </c>
      <c r="G86" s="11">
        <v>1</v>
      </c>
    </row>
    <row r="87" spans="1:7" x14ac:dyDescent="0.25">
      <c r="A87" s="11">
        <v>2025</v>
      </c>
      <c r="B87" s="11" t="s">
        <v>3</v>
      </c>
      <c r="C87" s="4">
        <v>2</v>
      </c>
      <c r="D87" s="11">
        <v>2</v>
      </c>
      <c r="E87" s="11">
        <v>1</v>
      </c>
      <c r="F87" s="11">
        <v>1</v>
      </c>
      <c r="G87" s="11">
        <v>2</v>
      </c>
    </row>
    <row r="88" spans="1:7" x14ac:dyDescent="0.25">
      <c r="A88" s="11">
        <v>2025</v>
      </c>
      <c r="B88" s="11" t="s">
        <v>3</v>
      </c>
      <c r="C88" s="4">
        <v>3</v>
      </c>
      <c r="D88" s="11">
        <v>1</v>
      </c>
      <c r="E88" s="11">
        <v>3</v>
      </c>
      <c r="F88" s="11">
        <v>2</v>
      </c>
      <c r="G88" s="11">
        <v>1</v>
      </c>
    </row>
    <row r="89" spans="1:7" x14ac:dyDescent="0.25">
      <c r="A89" s="11">
        <v>2025</v>
      </c>
      <c r="B89" s="11" t="s">
        <v>3</v>
      </c>
      <c r="C89" s="4">
        <v>4</v>
      </c>
      <c r="D89" s="11">
        <v>2</v>
      </c>
      <c r="E89" s="11">
        <v>1</v>
      </c>
      <c r="F89" s="11">
        <v>1</v>
      </c>
      <c r="G89" s="11">
        <v>3</v>
      </c>
    </row>
    <row r="90" spans="1:7" x14ac:dyDescent="0.25">
      <c r="A90" s="11">
        <v>2025</v>
      </c>
      <c r="B90" s="11" t="s">
        <v>3</v>
      </c>
      <c r="C90" s="4">
        <v>5</v>
      </c>
      <c r="D90" s="11">
        <v>2</v>
      </c>
      <c r="E90" s="11">
        <v>2</v>
      </c>
      <c r="F90" s="11">
        <v>1</v>
      </c>
      <c r="G90" s="11">
        <v>3</v>
      </c>
    </row>
    <row r="91" spans="1:7" x14ac:dyDescent="0.25">
      <c r="A91" s="11">
        <v>2025</v>
      </c>
      <c r="B91" s="11" t="s">
        <v>3</v>
      </c>
      <c r="C91" s="4">
        <v>6</v>
      </c>
      <c r="D91" s="11">
        <v>2</v>
      </c>
      <c r="E91" s="11">
        <v>2</v>
      </c>
      <c r="F91" s="11">
        <v>2</v>
      </c>
      <c r="G91" s="11">
        <v>2</v>
      </c>
    </row>
    <row r="92" spans="1:7" x14ac:dyDescent="0.25">
      <c r="A92" s="11">
        <v>2025</v>
      </c>
      <c r="B92" s="11" t="s">
        <v>3</v>
      </c>
      <c r="C92" s="4">
        <v>7</v>
      </c>
      <c r="D92" s="11">
        <v>2</v>
      </c>
      <c r="E92" s="11">
        <v>3</v>
      </c>
      <c r="F92" s="11">
        <v>1</v>
      </c>
      <c r="G92" s="11">
        <v>3</v>
      </c>
    </row>
    <row r="93" spans="1:7" x14ac:dyDescent="0.25">
      <c r="A93" s="11">
        <v>2025</v>
      </c>
      <c r="B93" s="11" t="s">
        <v>3</v>
      </c>
      <c r="C93" s="4">
        <v>8</v>
      </c>
      <c r="D93" s="11">
        <v>1</v>
      </c>
      <c r="E93" s="11">
        <v>3</v>
      </c>
      <c r="F93" s="11">
        <v>1</v>
      </c>
      <c r="G93" s="11">
        <v>3</v>
      </c>
    </row>
    <row r="94" spans="1:7" x14ac:dyDescent="0.25">
      <c r="A94" s="11">
        <v>2025</v>
      </c>
      <c r="B94" s="11" t="s">
        <v>3</v>
      </c>
      <c r="C94" s="4">
        <v>9</v>
      </c>
      <c r="D94" s="11">
        <v>3</v>
      </c>
      <c r="E94" s="11">
        <v>2</v>
      </c>
      <c r="F94" s="11">
        <v>1</v>
      </c>
      <c r="G94" s="11">
        <v>2</v>
      </c>
    </row>
    <row r="95" spans="1:7" x14ac:dyDescent="0.25">
      <c r="A95" s="11">
        <v>2025</v>
      </c>
      <c r="B95" s="11" t="s">
        <v>3</v>
      </c>
      <c r="C95" s="4">
        <v>10</v>
      </c>
      <c r="D95" s="11">
        <v>1</v>
      </c>
      <c r="E95" s="11">
        <v>1</v>
      </c>
      <c r="F95" s="11">
        <v>1</v>
      </c>
      <c r="G95" s="11">
        <v>1</v>
      </c>
    </row>
    <row r="96" spans="1:7" x14ac:dyDescent="0.25">
      <c r="A96" s="11">
        <v>2025</v>
      </c>
      <c r="B96" s="11" t="s">
        <v>3</v>
      </c>
      <c r="C96" s="4">
        <v>11</v>
      </c>
      <c r="D96" s="11">
        <v>2</v>
      </c>
      <c r="E96" s="11">
        <v>1</v>
      </c>
      <c r="F96" s="11">
        <v>3</v>
      </c>
      <c r="G96" s="11">
        <v>3</v>
      </c>
    </row>
    <row r="97" spans="1:7" x14ac:dyDescent="0.25">
      <c r="A97" s="11">
        <v>2025</v>
      </c>
      <c r="B97" s="11" t="s">
        <v>3</v>
      </c>
      <c r="C97" s="4">
        <v>12</v>
      </c>
      <c r="D97" s="11">
        <v>3</v>
      </c>
      <c r="E97" s="11">
        <v>1</v>
      </c>
      <c r="F97" s="11">
        <v>4</v>
      </c>
      <c r="G97" s="11">
        <v>4</v>
      </c>
    </row>
    <row r="98" spans="1:7" x14ac:dyDescent="0.25">
      <c r="A98" s="11">
        <v>2025</v>
      </c>
      <c r="B98" s="11" t="s">
        <v>3</v>
      </c>
      <c r="C98" s="4">
        <v>13</v>
      </c>
      <c r="D98" s="11">
        <v>1</v>
      </c>
      <c r="E98" s="11">
        <v>3</v>
      </c>
      <c r="F98" s="11">
        <v>3</v>
      </c>
      <c r="G98" s="11">
        <v>2</v>
      </c>
    </row>
    <row r="99" spans="1:7" x14ac:dyDescent="0.25">
      <c r="A99" s="11">
        <v>2025</v>
      </c>
      <c r="B99" s="11" t="s">
        <v>3</v>
      </c>
      <c r="C99" s="4">
        <v>14</v>
      </c>
      <c r="D99" s="11">
        <v>2</v>
      </c>
      <c r="E99" s="11">
        <v>1</v>
      </c>
      <c r="F99" s="11">
        <v>1</v>
      </c>
      <c r="G99" s="11">
        <v>1</v>
      </c>
    </row>
    <row r="100" spans="1:7" x14ac:dyDescent="0.25">
      <c r="A100" s="11">
        <v>2025</v>
      </c>
      <c r="B100" s="11" t="s">
        <v>3</v>
      </c>
      <c r="C100" s="4">
        <v>15</v>
      </c>
      <c r="D100" s="11">
        <v>2</v>
      </c>
      <c r="E100" s="11">
        <v>1</v>
      </c>
      <c r="F100" s="11">
        <v>3</v>
      </c>
      <c r="G100" s="11">
        <v>3</v>
      </c>
    </row>
    <row r="101" spans="1:7" x14ac:dyDescent="0.25">
      <c r="A101" s="11">
        <v>2025</v>
      </c>
      <c r="B101" s="11" t="s">
        <v>3</v>
      </c>
      <c r="C101" s="4">
        <v>16</v>
      </c>
      <c r="D101" s="11">
        <v>2</v>
      </c>
      <c r="E101" s="11">
        <v>2</v>
      </c>
      <c r="F101" s="11">
        <v>1</v>
      </c>
      <c r="G101" s="11">
        <v>3</v>
      </c>
    </row>
    <row r="102" spans="1:7" x14ac:dyDescent="0.25">
      <c r="A102" s="11">
        <v>2025</v>
      </c>
      <c r="B102" s="11" t="s">
        <v>3</v>
      </c>
      <c r="C102" s="4">
        <v>17</v>
      </c>
      <c r="D102" s="11">
        <v>1</v>
      </c>
      <c r="E102" s="11">
        <v>2</v>
      </c>
      <c r="F102" s="11">
        <v>1</v>
      </c>
      <c r="G102" s="11">
        <v>2</v>
      </c>
    </row>
    <row r="103" spans="1:7" x14ac:dyDescent="0.25">
      <c r="A103" s="11">
        <v>2025</v>
      </c>
      <c r="B103" s="11" t="s">
        <v>3</v>
      </c>
      <c r="C103" s="4">
        <v>18</v>
      </c>
      <c r="D103" s="11">
        <v>1</v>
      </c>
      <c r="E103" s="11">
        <v>1</v>
      </c>
      <c r="F103" s="11">
        <v>2</v>
      </c>
      <c r="G103" s="11">
        <v>2</v>
      </c>
    </row>
    <row r="104" spans="1:7" x14ac:dyDescent="0.25">
      <c r="A104" s="11">
        <v>2025</v>
      </c>
      <c r="B104" s="11" t="s">
        <v>3</v>
      </c>
      <c r="C104" s="4">
        <v>19</v>
      </c>
      <c r="D104" s="11">
        <v>2</v>
      </c>
      <c r="E104" s="11">
        <v>3</v>
      </c>
      <c r="F104" s="11">
        <v>3</v>
      </c>
      <c r="G104" s="11">
        <v>2</v>
      </c>
    </row>
    <row r="105" spans="1:7" x14ac:dyDescent="0.25">
      <c r="A105" s="11">
        <v>2025</v>
      </c>
      <c r="B105" s="11" t="s">
        <v>3</v>
      </c>
      <c r="C105" s="4">
        <v>20</v>
      </c>
      <c r="D105" s="11">
        <v>4</v>
      </c>
      <c r="E105" s="11">
        <v>4</v>
      </c>
      <c r="F105" s="11">
        <v>1</v>
      </c>
      <c r="G105" s="11">
        <v>2</v>
      </c>
    </row>
    <row r="106" spans="1:7" x14ac:dyDescent="0.25">
      <c r="A106" s="11">
        <v>2025</v>
      </c>
      <c r="B106" s="11" t="s">
        <v>3</v>
      </c>
      <c r="C106" s="4">
        <v>21</v>
      </c>
      <c r="D106" s="11">
        <v>1</v>
      </c>
      <c r="E106" s="11">
        <v>3</v>
      </c>
      <c r="F106" s="11">
        <v>1</v>
      </c>
      <c r="G106" s="11">
        <v>1</v>
      </c>
    </row>
    <row r="107" spans="1:7" x14ac:dyDescent="0.25">
      <c r="A107" s="11">
        <v>2025</v>
      </c>
      <c r="B107" s="11" t="s">
        <v>3</v>
      </c>
      <c r="C107" s="4">
        <v>22</v>
      </c>
      <c r="D107" s="11">
        <v>1</v>
      </c>
      <c r="E107" s="11">
        <v>3</v>
      </c>
      <c r="F107" s="11">
        <v>1</v>
      </c>
      <c r="G107" s="11">
        <v>1</v>
      </c>
    </row>
    <row r="108" spans="1:7" x14ac:dyDescent="0.25">
      <c r="A108" s="11">
        <v>2025</v>
      </c>
      <c r="B108" s="11" t="s">
        <v>3</v>
      </c>
      <c r="C108" s="4">
        <v>23</v>
      </c>
      <c r="D108" s="11">
        <v>3</v>
      </c>
      <c r="E108" s="11">
        <v>1</v>
      </c>
      <c r="F108" s="11">
        <v>2</v>
      </c>
      <c r="G108" s="11">
        <v>4</v>
      </c>
    </row>
    <row r="109" spans="1:7" x14ac:dyDescent="0.25">
      <c r="A109" s="11">
        <v>2025</v>
      </c>
      <c r="B109" s="11" t="s">
        <v>3</v>
      </c>
      <c r="C109" s="4">
        <v>24</v>
      </c>
      <c r="D109" s="11">
        <v>1</v>
      </c>
      <c r="E109" s="11">
        <v>3</v>
      </c>
      <c r="F109" s="11">
        <v>1</v>
      </c>
      <c r="G109" s="11">
        <v>1</v>
      </c>
    </row>
    <row r="110" spans="1:7" x14ac:dyDescent="0.25">
      <c r="A110" s="11">
        <v>2025</v>
      </c>
      <c r="B110" s="11" t="s">
        <v>3</v>
      </c>
      <c r="C110" s="4">
        <v>25</v>
      </c>
      <c r="D110" s="11">
        <v>3</v>
      </c>
      <c r="E110" s="11">
        <v>2</v>
      </c>
      <c r="F110" s="11">
        <v>4</v>
      </c>
      <c r="G110" s="11">
        <v>1</v>
      </c>
    </row>
    <row r="111" spans="1:7" x14ac:dyDescent="0.25">
      <c r="A111" s="11">
        <v>2025</v>
      </c>
      <c r="B111" s="11" t="s">
        <v>3</v>
      </c>
      <c r="C111" s="4">
        <v>26</v>
      </c>
      <c r="D111" s="11">
        <v>2</v>
      </c>
      <c r="E111" s="11">
        <v>1</v>
      </c>
      <c r="F111" s="11">
        <v>1</v>
      </c>
      <c r="G111" s="11">
        <v>2</v>
      </c>
    </row>
    <row r="112" spans="1:7" x14ac:dyDescent="0.25">
      <c r="A112" s="11">
        <v>2025</v>
      </c>
      <c r="B112" s="11" t="s">
        <v>3</v>
      </c>
      <c r="C112" s="4">
        <v>27</v>
      </c>
      <c r="D112" s="11">
        <v>1</v>
      </c>
      <c r="E112" s="11">
        <v>1</v>
      </c>
      <c r="F112" s="11">
        <v>2</v>
      </c>
      <c r="G112" s="11">
        <v>1</v>
      </c>
    </row>
    <row r="113" spans="1:7" x14ac:dyDescent="0.25">
      <c r="A113" s="11">
        <v>2025</v>
      </c>
      <c r="B113" s="11" t="s">
        <v>3</v>
      </c>
      <c r="C113" s="4">
        <v>28</v>
      </c>
      <c r="D113" s="11">
        <v>1</v>
      </c>
      <c r="E113" s="11">
        <v>1</v>
      </c>
      <c r="F113" s="11">
        <v>1</v>
      </c>
      <c r="G113" s="11">
        <v>1</v>
      </c>
    </row>
    <row r="114" spans="1:7" x14ac:dyDescent="0.25">
      <c r="A114" s="11">
        <v>2025</v>
      </c>
      <c r="B114" s="11" t="s">
        <v>4</v>
      </c>
      <c r="C114" s="4">
        <v>1</v>
      </c>
      <c r="D114" s="11">
        <v>3</v>
      </c>
      <c r="E114" s="11">
        <v>1</v>
      </c>
      <c r="F114" s="11">
        <v>1</v>
      </c>
      <c r="G114" s="11">
        <v>1</v>
      </c>
    </row>
    <row r="115" spans="1:7" x14ac:dyDescent="0.25">
      <c r="A115" s="11">
        <v>2025</v>
      </c>
      <c r="B115" s="11" t="s">
        <v>4</v>
      </c>
      <c r="C115" s="4">
        <v>2</v>
      </c>
      <c r="D115" s="11">
        <v>3</v>
      </c>
      <c r="E115" s="11">
        <v>3</v>
      </c>
      <c r="F115" s="11">
        <v>1</v>
      </c>
      <c r="G115" s="11">
        <v>1</v>
      </c>
    </row>
    <row r="116" spans="1:7" x14ac:dyDescent="0.25">
      <c r="A116" s="11">
        <v>2025</v>
      </c>
      <c r="B116" s="11" t="s">
        <v>4</v>
      </c>
      <c r="C116" s="4">
        <v>3</v>
      </c>
      <c r="D116" s="11">
        <v>1</v>
      </c>
      <c r="E116" s="11">
        <v>3</v>
      </c>
      <c r="F116" s="11">
        <v>1</v>
      </c>
      <c r="G116" s="11">
        <v>2</v>
      </c>
    </row>
    <row r="117" spans="1:7" x14ac:dyDescent="0.25">
      <c r="A117" s="11">
        <v>2025</v>
      </c>
      <c r="B117" s="11" t="s">
        <v>4</v>
      </c>
      <c r="C117" s="4">
        <v>4</v>
      </c>
      <c r="D117" s="11">
        <v>3</v>
      </c>
      <c r="E117" s="11">
        <v>1</v>
      </c>
      <c r="F117" s="11">
        <v>2</v>
      </c>
      <c r="G117" s="11">
        <v>2</v>
      </c>
    </row>
    <row r="118" spans="1:7" x14ac:dyDescent="0.25">
      <c r="A118" s="11">
        <v>2025</v>
      </c>
      <c r="B118" s="11" t="s">
        <v>4</v>
      </c>
      <c r="C118" s="4">
        <v>5</v>
      </c>
      <c r="D118" s="11">
        <v>2</v>
      </c>
      <c r="E118" s="11">
        <v>4</v>
      </c>
      <c r="F118" s="11">
        <v>2</v>
      </c>
      <c r="G118" s="11">
        <v>2</v>
      </c>
    </row>
    <row r="119" spans="1:7" x14ac:dyDescent="0.25">
      <c r="A119" s="11">
        <v>2025</v>
      </c>
      <c r="B119" s="11" t="s">
        <v>4</v>
      </c>
      <c r="C119" s="4">
        <v>6</v>
      </c>
      <c r="D119" s="11">
        <v>2</v>
      </c>
      <c r="E119" s="11">
        <v>1</v>
      </c>
      <c r="F119" s="11">
        <v>3</v>
      </c>
      <c r="G119" s="11">
        <v>1</v>
      </c>
    </row>
    <row r="120" spans="1:7" x14ac:dyDescent="0.25">
      <c r="A120" s="11">
        <v>2025</v>
      </c>
      <c r="B120" s="11" t="s">
        <v>4</v>
      </c>
      <c r="C120" s="4">
        <v>7</v>
      </c>
      <c r="D120" s="11">
        <v>4</v>
      </c>
      <c r="E120" s="11">
        <v>1</v>
      </c>
      <c r="F120" s="11">
        <v>3</v>
      </c>
      <c r="G120" s="11">
        <v>3</v>
      </c>
    </row>
    <row r="121" spans="1:7" x14ac:dyDescent="0.25">
      <c r="A121" s="11">
        <v>2025</v>
      </c>
      <c r="B121" s="11" t="s">
        <v>4</v>
      </c>
      <c r="C121" s="4">
        <v>8</v>
      </c>
      <c r="D121" s="11">
        <v>1</v>
      </c>
      <c r="E121" s="11">
        <v>1</v>
      </c>
      <c r="F121" s="11">
        <v>1</v>
      </c>
      <c r="G121" s="11">
        <v>2</v>
      </c>
    </row>
    <row r="122" spans="1:7" x14ac:dyDescent="0.25">
      <c r="A122" s="11">
        <v>2025</v>
      </c>
      <c r="B122" s="11" t="s">
        <v>4</v>
      </c>
      <c r="C122" s="4">
        <v>9</v>
      </c>
      <c r="D122" s="11">
        <v>3</v>
      </c>
      <c r="E122" s="11">
        <v>2</v>
      </c>
      <c r="F122" s="11">
        <v>1</v>
      </c>
      <c r="G122" s="11">
        <v>2</v>
      </c>
    </row>
    <row r="123" spans="1:7" x14ac:dyDescent="0.25">
      <c r="A123" s="11">
        <v>2025</v>
      </c>
      <c r="B123" s="11" t="s">
        <v>4</v>
      </c>
      <c r="C123" s="4">
        <v>10</v>
      </c>
      <c r="D123" s="11">
        <v>3</v>
      </c>
      <c r="E123" s="11">
        <v>1</v>
      </c>
      <c r="F123" s="11">
        <v>1</v>
      </c>
      <c r="G123" s="11">
        <v>2</v>
      </c>
    </row>
    <row r="124" spans="1:7" x14ac:dyDescent="0.25">
      <c r="A124" s="11">
        <v>2025</v>
      </c>
      <c r="B124" s="11" t="s">
        <v>4</v>
      </c>
      <c r="C124" s="4">
        <v>11</v>
      </c>
      <c r="D124" s="11">
        <v>1</v>
      </c>
      <c r="E124" s="11">
        <v>3</v>
      </c>
      <c r="F124" s="11">
        <v>2</v>
      </c>
      <c r="G124" s="11">
        <v>2</v>
      </c>
    </row>
    <row r="125" spans="1:7" x14ac:dyDescent="0.25">
      <c r="A125" s="11">
        <v>2025</v>
      </c>
      <c r="B125" s="11" t="s">
        <v>4</v>
      </c>
      <c r="C125" s="4">
        <v>12</v>
      </c>
      <c r="D125" s="11">
        <v>3</v>
      </c>
      <c r="E125" s="11">
        <v>1</v>
      </c>
      <c r="F125" s="11">
        <v>1</v>
      </c>
      <c r="G125" s="11">
        <v>1</v>
      </c>
    </row>
    <row r="126" spans="1:7" x14ac:dyDescent="0.25">
      <c r="A126" s="11">
        <v>2025</v>
      </c>
      <c r="B126" s="11" t="s">
        <v>4</v>
      </c>
      <c r="C126" s="4">
        <v>13</v>
      </c>
      <c r="D126" s="11">
        <v>1</v>
      </c>
      <c r="E126" s="11">
        <v>2</v>
      </c>
      <c r="F126" s="11">
        <v>2</v>
      </c>
      <c r="G126" s="11">
        <v>2</v>
      </c>
    </row>
    <row r="127" spans="1:7" x14ac:dyDescent="0.25">
      <c r="A127" s="11">
        <v>2025</v>
      </c>
      <c r="B127" s="11" t="s">
        <v>4</v>
      </c>
      <c r="C127" s="4">
        <v>14</v>
      </c>
      <c r="D127" s="11">
        <v>1</v>
      </c>
      <c r="E127" s="11">
        <v>2</v>
      </c>
      <c r="F127" s="11">
        <v>1</v>
      </c>
      <c r="G127" s="11">
        <v>2</v>
      </c>
    </row>
    <row r="128" spans="1:7" x14ac:dyDescent="0.25">
      <c r="A128" s="11">
        <v>2025</v>
      </c>
      <c r="B128" s="11" t="s">
        <v>4</v>
      </c>
      <c r="C128" s="4">
        <v>15</v>
      </c>
      <c r="D128" s="11">
        <v>1</v>
      </c>
      <c r="E128" s="11">
        <v>3</v>
      </c>
      <c r="F128" s="11">
        <v>1</v>
      </c>
      <c r="G128" s="11">
        <v>1</v>
      </c>
    </row>
    <row r="129" spans="1:7" x14ac:dyDescent="0.25">
      <c r="A129" s="11">
        <v>2025</v>
      </c>
      <c r="B129" s="11" t="s">
        <v>4</v>
      </c>
      <c r="C129" s="4">
        <v>16</v>
      </c>
      <c r="D129" s="11">
        <v>2</v>
      </c>
      <c r="E129" s="11">
        <v>2</v>
      </c>
      <c r="F129" s="11">
        <v>3</v>
      </c>
      <c r="G129" s="11">
        <v>2</v>
      </c>
    </row>
    <row r="130" spans="1:7" x14ac:dyDescent="0.25">
      <c r="A130" s="11">
        <v>2025</v>
      </c>
      <c r="B130" s="11" t="s">
        <v>4</v>
      </c>
      <c r="C130" s="4">
        <v>17</v>
      </c>
      <c r="D130" s="11">
        <v>1</v>
      </c>
      <c r="E130" s="11">
        <v>1</v>
      </c>
      <c r="F130" s="11">
        <v>2</v>
      </c>
      <c r="G130" s="11">
        <v>2</v>
      </c>
    </row>
    <row r="131" spans="1:7" x14ac:dyDescent="0.25">
      <c r="A131" s="11">
        <v>2025</v>
      </c>
      <c r="B131" s="11" t="s">
        <v>4</v>
      </c>
      <c r="C131" s="4">
        <v>18</v>
      </c>
      <c r="D131" s="11">
        <v>2</v>
      </c>
      <c r="E131" s="11">
        <v>3</v>
      </c>
      <c r="F131" s="11">
        <v>2</v>
      </c>
      <c r="G131" s="11">
        <v>3</v>
      </c>
    </row>
    <row r="132" spans="1:7" x14ac:dyDescent="0.25">
      <c r="A132" s="11">
        <v>2025</v>
      </c>
      <c r="B132" s="11" t="s">
        <v>4</v>
      </c>
      <c r="C132" s="4">
        <v>19</v>
      </c>
      <c r="D132" s="11">
        <v>3</v>
      </c>
      <c r="E132" s="11">
        <v>1</v>
      </c>
      <c r="F132" s="11">
        <v>3</v>
      </c>
      <c r="G132" s="11">
        <v>1</v>
      </c>
    </row>
    <row r="133" spans="1:7" x14ac:dyDescent="0.25">
      <c r="A133" s="11">
        <v>2025</v>
      </c>
      <c r="B133" s="11" t="s">
        <v>4</v>
      </c>
      <c r="C133" s="4">
        <v>20</v>
      </c>
      <c r="D133" s="11">
        <v>1</v>
      </c>
      <c r="E133" s="11">
        <v>3</v>
      </c>
      <c r="F133" s="11">
        <v>4</v>
      </c>
      <c r="G133" s="11">
        <v>1</v>
      </c>
    </row>
    <row r="134" spans="1:7" x14ac:dyDescent="0.25">
      <c r="A134" s="11">
        <v>2025</v>
      </c>
      <c r="B134" s="11" t="s">
        <v>4</v>
      </c>
      <c r="C134" s="4">
        <v>21</v>
      </c>
      <c r="D134" s="11">
        <v>4</v>
      </c>
      <c r="E134" s="11">
        <v>3</v>
      </c>
      <c r="F134" s="11">
        <v>4</v>
      </c>
      <c r="G134" s="11">
        <v>1</v>
      </c>
    </row>
    <row r="135" spans="1:7" x14ac:dyDescent="0.25">
      <c r="A135" s="11">
        <v>2025</v>
      </c>
      <c r="B135" s="11" t="s">
        <v>4</v>
      </c>
      <c r="C135" s="4">
        <v>22</v>
      </c>
      <c r="D135" s="11">
        <v>1</v>
      </c>
      <c r="E135" s="11">
        <v>1</v>
      </c>
      <c r="F135" s="11">
        <v>1</v>
      </c>
      <c r="G135" s="11">
        <v>1</v>
      </c>
    </row>
    <row r="136" spans="1:7" x14ac:dyDescent="0.25">
      <c r="A136" s="11">
        <v>2025</v>
      </c>
      <c r="B136" s="11" t="s">
        <v>4</v>
      </c>
      <c r="C136" s="4">
        <v>23</v>
      </c>
      <c r="D136" s="11">
        <v>1</v>
      </c>
      <c r="E136" s="11">
        <v>1</v>
      </c>
      <c r="F136" s="11">
        <v>4</v>
      </c>
      <c r="G136" s="11">
        <v>1</v>
      </c>
    </row>
    <row r="137" spans="1:7" x14ac:dyDescent="0.25">
      <c r="A137" s="11">
        <v>2025</v>
      </c>
      <c r="B137" s="11" t="s">
        <v>4</v>
      </c>
      <c r="C137" s="4">
        <v>24</v>
      </c>
      <c r="D137" s="11">
        <v>3</v>
      </c>
      <c r="E137" s="11">
        <v>1</v>
      </c>
      <c r="F137" s="11">
        <v>4</v>
      </c>
      <c r="G137" s="11">
        <v>2</v>
      </c>
    </row>
    <row r="138" spans="1:7" x14ac:dyDescent="0.25">
      <c r="A138" s="11">
        <v>2025</v>
      </c>
      <c r="B138" s="11" t="s">
        <v>4</v>
      </c>
      <c r="C138" s="4">
        <v>25</v>
      </c>
      <c r="D138" s="11">
        <v>2</v>
      </c>
      <c r="E138" s="11">
        <v>2</v>
      </c>
      <c r="F138" s="11">
        <v>2</v>
      </c>
      <c r="G138" s="11">
        <v>1</v>
      </c>
    </row>
    <row r="139" spans="1:7" x14ac:dyDescent="0.25">
      <c r="A139" s="11">
        <v>2025</v>
      </c>
      <c r="B139" s="11" t="s">
        <v>4</v>
      </c>
      <c r="C139" s="4">
        <v>26</v>
      </c>
      <c r="D139" s="11">
        <v>3</v>
      </c>
      <c r="E139" s="11">
        <v>2</v>
      </c>
      <c r="F139" s="11">
        <v>2</v>
      </c>
      <c r="G139" s="11">
        <v>2</v>
      </c>
    </row>
    <row r="140" spans="1:7" x14ac:dyDescent="0.25">
      <c r="A140" s="11">
        <v>2025</v>
      </c>
      <c r="B140" s="11" t="s">
        <v>4</v>
      </c>
      <c r="C140" s="4">
        <v>27</v>
      </c>
      <c r="D140" s="11">
        <v>1</v>
      </c>
      <c r="E140" s="11">
        <v>2</v>
      </c>
      <c r="F140" s="11">
        <v>2</v>
      </c>
      <c r="G140" s="11">
        <v>3</v>
      </c>
    </row>
    <row r="141" spans="1:7" x14ac:dyDescent="0.25">
      <c r="A141" s="11">
        <v>2025</v>
      </c>
      <c r="B141" s="11" t="s">
        <v>4</v>
      </c>
      <c r="C141" s="4">
        <v>28</v>
      </c>
      <c r="D141" s="11">
        <v>3</v>
      </c>
      <c r="E141" s="11">
        <v>1</v>
      </c>
      <c r="F141" s="11">
        <v>1</v>
      </c>
      <c r="G141" s="11">
        <v>1</v>
      </c>
    </row>
    <row r="142" spans="1:7" x14ac:dyDescent="0.25">
      <c r="A142" s="11">
        <v>2025</v>
      </c>
      <c r="B142" s="11" t="s">
        <v>5</v>
      </c>
      <c r="C142" s="4">
        <v>1</v>
      </c>
      <c r="D142" s="11">
        <v>3</v>
      </c>
      <c r="E142" s="11">
        <v>3</v>
      </c>
      <c r="F142" s="11">
        <v>1</v>
      </c>
      <c r="G142" s="11">
        <v>2</v>
      </c>
    </row>
    <row r="143" spans="1:7" x14ac:dyDescent="0.25">
      <c r="A143" s="11">
        <v>2025</v>
      </c>
      <c r="B143" s="11" t="s">
        <v>5</v>
      </c>
      <c r="C143" s="4">
        <v>2</v>
      </c>
      <c r="D143" s="11">
        <v>2</v>
      </c>
      <c r="E143" s="11">
        <v>1</v>
      </c>
      <c r="F143" s="11">
        <v>4</v>
      </c>
      <c r="G143" s="11">
        <v>4</v>
      </c>
    </row>
    <row r="144" spans="1:7" x14ac:dyDescent="0.25">
      <c r="A144" s="11">
        <v>2025</v>
      </c>
      <c r="B144" s="11" t="s">
        <v>5</v>
      </c>
      <c r="C144" s="4">
        <v>3</v>
      </c>
      <c r="D144" s="11">
        <v>1</v>
      </c>
      <c r="E144" s="11">
        <v>2</v>
      </c>
      <c r="F144" s="11">
        <v>3</v>
      </c>
      <c r="G144" s="11">
        <v>1</v>
      </c>
    </row>
    <row r="145" spans="1:7" x14ac:dyDescent="0.25">
      <c r="A145" s="11">
        <v>2025</v>
      </c>
      <c r="B145" s="11" t="s">
        <v>5</v>
      </c>
      <c r="C145" s="4">
        <v>4</v>
      </c>
      <c r="D145" s="11">
        <v>3</v>
      </c>
      <c r="E145" s="11">
        <v>4</v>
      </c>
      <c r="F145" s="11">
        <v>1</v>
      </c>
      <c r="G145" s="11">
        <v>1</v>
      </c>
    </row>
    <row r="146" spans="1:7" x14ac:dyDescent="0.25">
      <c r="A146" s="11">
        <v>2025</v>
      </c>
      <c r="B146" s="11" t="s">
        <v>5</v>
      </c>
      <c r="C146" s="4">
        <v>5</v>
      </c>
      <c r="D146" s="11">
        <v>1</v>
      </c>
      <c r="E146" s="11">
        <v>1</v>
      </c>
      <c r="F146" s="11">
        <v>3</v>
      </c>
      <c r="G146" s="11">
        <v>3</v>
      </c>
    </row>
    <row r="147" spans="1:7" x14ac:dyDescent="0.25">
      <c r="A147" s="11">
        <v>2025</v>
      </c>
      <c r="B147" s="11" t="s">
        <v>5</v>
      </c>
      <c r="C147" s="4">
        <v>6</v>
      </c>
      <c r="D147" s="11">
        <v>1</v>
      </c>
      <c r="E147" s="11">
        <v>3</v>
      </c>
      <c r="F147" s="11">
        <v>1</v>
      </c>
      <c r="G147" s="11">
        <v>2</v>
      </c>
    </row>
    <row r="148" spans="1:7" x14ac:dyDescent="0.25">
      <c r="A148" s="11">
        <v>2025</v>
      </c>
      <c r="B148" s="11" t="s">
        <v>5</v>
      </c>
      <c r="C148" s="4">
        <v>7</v>
      </c>
      <c r="D148" s="11">
        <v>2</v>
      </c>
      <c r="E148" s="11">
        <v>3</v>
      </c>
      <c r="F148" s="11">
        <v>2</v>
      </c>
      <c r="G148" s="11">
        <v>1</v>
      </c>
    </row>
    <row r="149" spans="1:7" x14ac:dyDescent="0.25">
      <c r="A149" s="11">
        <v>2025</v>
      </c>
      <c r="B149" s="11" t="s">
        <v>5</v>
      </c>
      <c r="C149" s="4">
        <v>8</v>
      </c>
      <c r="D149" s="11">
        <v>1</v>
      </c>
      <c r="E149" s="11">
        <v>1</v>
      </c>
      <c r="F149" s="11">
        <v>1</v>
      </c>
      <c r="G149" s="11">
        <v>3</v>
      </c>
    </row>
    <row r="150" spans="1:7" x14ac:dyDescent="0.25">
      <c r="A150" s="11">
        <v>2025</v>
      </c>
      <c r="B150" s="11" t="s">
        <v>5</v>
      </c>
      <c r="C150" s="4">
        <v>9</v>
      </c>
      <c r="D150" s="11">
        <v>3</v>
      </c>
      <c r="E150" s="11">
        <v>1</v>
      </c>
      <c r="F150" s="11">
        <v>2</v>
      </c>
      <c r="G150" s="11">
        <v>4</v>
      </c>
    </row>
    <row r="151" spans="1:7" x14ac:dyDescent="0.25">
      <c r="A151" s="11">
        <v>2025</v>
      </c>
      <c r="B151" s="11" t="s">
        <v>5</v>
      </c>
      <c r="C151" s="4">
        <v>10</v>
      </c>
      <c r="D151" s="11">
        <v>1</v>
      </c>
      <c r="E151" s="11">
        <v>1</v>
      </c>
      <c r="F151" s="11">
        <v>2</v>
      </c>
      <c r="G151" s="11">
        <v>1</v>
      </c>
    </row>
    <row r="152" spans="1:7" x14ac:dyDescent="0.25">
      <c r="A152" s="11">
        <v>2025</v>
      </c>
      <c r="B152" s="11" t="s">
        <v>5</v>
      </c>
      <c r="C152" s="4">
        <v>11</v>
      </c>
      <c r="D152" s="11">
        <v>4</v>
      </c>
      <c r="E152" s="11">
        <v>1</v>
      </c>
      <c r="F152" s="11">
        <v>2</v>
      </c>
      <c r="G152" s="11">
        <v>1</v>
      </c>
    </row>
    <row r="153" spans="1:7" x14ac:dyDescent="0.25">
      <c r="A153" s="11">
        <v>2025</v>
      </c>
      <c r="B153" s="11" t="s">
        <v>5</v>
      </c>
      <c r="C153" s="4">
        <v>12</v>
      </c>
      <c r="D153" s="11">
        <v>1</v>
      </c>
      <c r="E153" s="11">
        <v>2</v>
      </c>
      <c r="F153" s="11">
        <v>4</v>
      </c>
      <c r="G153" s="11">
        <v>1</v>
      </c>
    </row>
    <row r="154" spans="1:7" x14ac:dyDescent="0.25">
      <c r="A154" s="11">
        <v>2025</v>
      </c>
      <c r="B154" s="11" t="s">
        <v>5</v>
      </c>
      <c r="C154" s="4">
        <v>13</v>
      </c>
      <c r="D154" s="11">
        <v>4</v>
      </c>
      <c r="E154" s="11">
        <v>2</v>
      </c>
      <c r="F154" s="11">
        <v>2</v>
      </c>
      <c r="G154" s="11">
        <v>2</v>
      </c>
    </row>
    <row r="155" spans="1:7" x14ac:dyDescent="0.25">
      <c r="A155" s="11">
        <v>2025</v>
      </c>
      <c r="B155" s="11" t="s">
        <v>5</v>
      </c>
      <c r="C155" s="4">
        <v>14</v>
      </c>
      <c r="D155" s="11">
        <v>1</v>
      </c>
      <c r="E155" s="11">
        <v>1</v>
      </c>
      <c r="F155" s="11">
        <v>1</v>
      </c>
      <c r="G155" s="11">
        <v>3</v>
      </c>
    </row>
    <row r="156" spans="1:7" x14ac:dyDescent="0.25">
      <c r="A156" s="11">
        <v>2025</v>
      </c>
      <c r="B156" s="11" t="s">
        <v>5</v>
      </c>
      <c r="C156" s="4">
        <v>15</v>
      </c>
      <c r="D156" s="11">
        <v>1</v>
      </c>
      <c r="E156" s="11">
        <v>1</v>
      </c>
      <c r="F156" s="11">
        <v>4</v>
      </c>
      <c r="G156" s="11">
        <v>2</v>
      </c>
    </row>
    <row r="157" spans="1:7" x14ac:dyDescent="0.25">
      <c r="A157" s="11">
        <v>2025</v>
      </c>
      <c r="B157" s="11" t="s">
        <v>5</v>
      </c>
      <c r="C157" s="4">
        <v>16</v>
      </c>
      <c r="D157" s="11">
        <v>3</v>
      </c>
      <c r="E157" s="11">
        <v>2</v>
      </c>
      <c r="F157" s="11">
        <v>3</v>
      </c>
      <c r="G157" s="11">
        <v>2</v>
      </c>
    </row>
    <row r="158" spans="1:7" x14ac:dyDescent="0.25">
      <c r="A158" s="11">
        <v>2025</v>
      </c>
      <c r="B158" s="11" t="s">
        <v>5</v>
      </c>
      <c r="C158" s="4">
        <v>17</v>
      </c>
      <c r="D158" s="11">
        <v>1</v>
      </c>
      <c r="E158" s="11">
        <v>1</v>
      </c>
      <c r="F158" s="11">
        <v>2</v>
      </c>
      <c r="G158" s="11">
        <v>3</v>
      </c>
    </row>
    <row r="159" spans="1:7" x14ac:dyDescent="0.25">
      <c r="A159" s="11">
        <v>2025</v>
      </c>
      <c r="B159" s="11" t="s">
        <v>5</v>
      </c>
      <c r="C159" s="4">
        <v>18</v>
      </c>
      <c r="D159" s="11">
        <v>2</v>
      </c>
      <c r="E159" s="11">
        <v>4</v>
      </c>
      <c r="F159" s="11">
        <v>2</v>
      </c>
      <c r="G159" s="11">
        <v>1</v>
      </c>
    </row>
    <row r="160" spans="1:7" x14ac:dyDescent="0.25">
      <c r="A160" s="11">
        <v>2025</v>
      </c>
      <c r="B160" s="11" t="s">
        <v>5</v>
      </c>
      <c r="C160" s="4">
        <v>19</v>
      </c>
      <c r="D160" s="11">
        <v>4</v>
      </c>
      <c r="E160" s="11">
        <v>2</v>
      </c>
      <c r="F160" s="11">
        <v>1</v>
      </c>
      <c r="G160" s="11">
        <v>1</v>
      </c>
    </row>
    <row r="161" spans="1:7" x14ac:dyDescent="0.25">
      <c r="A161" s="11">
        <v>2025</v>
      </c>
      <c r="B161" s="11" t="s">
        <v>5</v>
      </c>
      <c r="C161" s="4">
        <v>20</v>
      </c>
      <c r="D161" s="11">
        <v>2</v>
      </c>
      <c r="E161" s="11">
        <v>3</v>
      </c>
      <c r="F161" s="11">
        <v>2</v>
      </c>
      <c r="G161" s="11">
        <v>2</v>
      </c>
    </row>
    <row r="162" spans="1:7" x14ac:dyDescent="0.25">
      <c r="A162" s="11">
        <v>2025</v>
      </c>
      <c r="B162" s="11" t="s">
        <v>5</v>
      </c>
      <c r="C162" s="4">
        <v>21</v>
      </c>
      <c r="D162" s="11">
        <v>2</v>
      </c>
      <c r="E162" s="11">
        <v>1</v>
      </c>
      <c r="F162" s="11">
        <v>1</v>
      </c>
      <c r="G162" s="11">
        <v>2</v>
      </c>
    </row>
    <row r="163" spans="1:7" x14ac:dyDescent="0.25">
      <c r="A163" s="11">
        <v>2025</v>
      </c>
      <c r="B163" s="11" t="s">
        <v>5</v>
      </c>
      <c r="C163" s="4">
        <v>22</v>
      </c>
      <c r="D163" s="11">
        <v>1</v>
      </c>
      <c r="E163" s="11">
        <v>1</v>
      </c>
      <c r="F163" s="11">
        <v>1</v>
      </c>
      <c r="G163" s="11">
        <v>1</v>
      </c>
    </row>
    <row r="164" spans="1:7" x14ac:dyDescent="0.25">
      <c r="A164" s="11">
        <v>2025</v>
      </c>
      <c r="B164" s="11" t="s">
        <v>5</v>
      </c>
      <c r="C164" s="4">
        <v>23</v>
      </c>
      <c r="D164" s="11">
        <v>1</v>
      </c>
      <c r="E164" s="11">
        <v>1</v>
      </c>
      <c r="F164" s="11">
        <v>3</v>
      </c>
      <c r="G164" s="11">
        <v>2</v>
      </c>
    </row>
    <row r="165" spans="1:7" x14ac:dyDescent="0.25">
      <c r="A165" s="11">
        <v>2025</v>
      </c>
      <c r="B165" s="11" t="s">
        <v>5</v>
      </c>
      <c r="C165" s="4">
        <v>24</v>
      </c>
      <c r="D165" s="11">
        <v>2</v>
      </c>
      <c r="E165" s="11">
        <v>1</v>
      </c>
      <c r="F165" s="11">
        <v>1</v>
      </c>
      <c r="G165" s="11">
        <v>1</v>
      </c>
    </row>
    <row r="166" spans="1:7" x14ac:dyDescent="0.25">
      <c r="A166" s="11">
        <v>2025</v>
      </c>
      <c r="B166" s="11" t="s">
        <v>5</v>
      </c>
      <c r="C166" s="4">
        <v>25</v>
      </c>
      <c r="D166" s="11">
        <v>4</v>
      </c>
      <c r="E166" s="11">
        <v>1</v>
      </c>
      <c r="F166" s="11">
        <v>2</v>
      </c>
      <c r="G166" s="11">
        <v>2</v>
      </c>
    </row>
    <row r="167" spans="1:7" x14ac:dyDescent="0.25">
      <c r="A167" s="11">
        <v>2025</v>
      </c>
      <c r="B167" s="11" t="s">
        <v>5</v>
      </c>
      <c r="C167" s="4">
        <v>26</v>
      </c>
      <c r="D167" s="11">
        <v>3</v>
      </c>
      <c r="E167" s="11">
        <v>3</v>
      </c>
      <c r="F167" s="11">
        <v>3</v>
      </c>
      <c r="G167" s="11">
        <v>1</v>
      </c>
    </row>
    <row r="168" spans="1:7" x14ac:dyDescent="0.25">
      <c r="A168" s="11">
        <v>2025</v>
      </c>
      <c r="B168" s="11" t="s">
        <v>5</v>
      </c>
      <c r="C168" s="4">
        <v>27</v>
      </c>
      <c r="D168" s="11">
        <v>1</v>
      </c>
      <c r="E168" s="11">
        <v>4</v>
      </c>
      <c r="F168" s="11">
        <v>1</v>
      </c>
      <c r="G168" s="11">
        <v>1</v>
      </c>
    </row>
    <row r="169" spans="1:7" x14ac:dyDescent="0.25">
      <c r="A169" s="11">
        <v>2025</v>
      </c>
      <c r="B169" s="11" t="s">
        <v>5</v>
      </c>
      <c r="C169" s="4">
        <v>28</v>
      </c>
      <c r="D169" s="11">
        <v>1</v>
      </c>
      <c r="E169" s="11">
        <v>1</v>
      </c>
      <c r="F169" s="11">
        <v>3</v>
      </c>
      <c r="G169" s="11">
        <v>1</v>
      </c>
    </row>
    <row r="170" spans="1:7" x14ac:dyDescent="0.25">
      <c r="A170" s="11">
        <v>2025</v>
      </c>
      <c r="B170" s="11" t="s">
        <v>6</v>
      </c>
      <c r="C170" s="4">
        <v>1</v>
      </c>
      <c r="D170" s="11">
        <v>4</v>
      </c>
      <c r="E170" s="11">
        <v>2</v>
      </c>
      <c r="F170" s="11">
        <v>1</v>
      </c>
      <c r="G170" s="11">
        <v>1</v>
      </c>
    </row>
    <row r="171" spans="1:7" x14ac:dyDescent="0.25">
      <c r="A171" s="11">
        <v>2025</v>
      </c>
      <c r="B171" s="11" t="s">
        <v>6</v>
      </c>
      <c r="C171" s="4">
        <v>2</v>
      </c>
      <c r="D171" s="11">
        <v>2</v>
      </c>
      <c r="E171" s="11">
        <v>3</v>
      </c>
      <c r="F171" s="11">
        <v>2</v>
      </c>
      <c r="G171" s="11">
        <v>1</v>
      </c>
    </row>
    <row r="172" spans="1:7" x14ac:dyDescent="0.25">
      <c r="A172" s="11">
        <v>2025</v>
      </c>
      <c r="B172" s="11" t="s">
        <v>6</v>
      </c>
      <c r="C172" s="4">
        <v>3</v>
      </c>
      <c r="D172" s="11">
        <v>2</v>
      </c>
      <c r="E172" s="11">
        <v>1</v>
      </c>
      <c r="F172" s="11">
        <v>1</v>
      </c>
      <c r="G172" s="11">
        <v>2</v>
      </c>
    </row>
    <row r="173" spans="1:7" x14ac:dyDescent="0.25">
      <c r="A173" s="11">
        <v>2025</v>
      </c>
      <c r="B173" s="11" t="s">
        <v>6</v>
      </c>
      <c r="C173" s="4">
        <v>4</v>
      </c>
      <c r="D173" s="11">
        <v>2</v>
      </c>
      <c r="E173" s="11">
        <v>1</v>
      </c>
      <c r="F173" s="11">
        <v>2</v>
      </c>
      <c r="G173" s="11">
        <v>1</v>
      </c>
    </row>
    <row r="174" spans="1:7" x14ac:dyDescent="0.25">
      <c r="A174" s="11">
        <v>2025</v>
      </c>
      <c r="B174" s="11" t="s">
        <v>6</v>
      </c>
      <c r="C174" s="4">
        <v>5</v>
      </c>
      <c r="D174" s="11">
        <v>4</v>
      </c>
      <c r="E174" s="11">
        <v>1</v>
      </c>
      <c r="F174" s="11">
        <v>2</v>
      </c>
      <c r="G174" s="11">
        <v>1</v>
      </c>
    </row>
    <row r="175" spans="1:7" x14ac:dyDescent="0.25">
      <c r="A175" s="11">
        <v>2025</v>
      </c>
      <c r="B175" s="11" t="s">
        <v>6</v>
      </c>
      <c r="C175" s="4">
        <v>6</v>
      </c>
      <c r="D175" s="11">
        <v>4</v>
      </c>
      <c r="E175" s="11">
        <v>1</v>
      </c>
      <c r="F175" s="11">
        <v>1</v>
      </c>
      <c r="G175" s="11">
        <v>1</v>
      </c>
    </row>
    <row r="176" spans="1:7" x14ac:dyDescent="0.25">
      <c r="A176" s="11">
        <v>2025</v>
      </c>
      <c r="B176" s="11" t="s">
        <v>6</v>
      </c>
      <c r="C176" s="4">
        <v>7</v>
      </c>
      <c r="D176" s="11">
        <v>2</v>
      </c>
      <c r="E176" s="11">
        <v>2</v>
      </c>
      <c r="F176" s="11">
        <v>4</v>
      </c>
      <c r="G176" s="11">
        <v>3</v>
      </c>
    </row>
    <row r="177" spans="1:7" x14ac:dyDescent="0.25">
      <c r="A177" s="11">
        <v>2025</v>
      </c>
      <c r="B177" s="11" t="s">
        <v>6</v>
      </c>
      <c r="C177" s="4">
        <v>8</v>
      </c>
      <c r="D177" s="11">
        <v>2</v>
      </c>
      <c r="E177" s="11">
        <v>2</v>
      </c>
      <c r="F177" s="11">
        <v>1</v>
      </c>
      <c r="G177" s="11">
        <v>2</v>
      </c>
    </row>
    <row r="178" spans="1:7" x14ac:dyDescent="0.25">
      <c r="A178" s="11">
        <v>2025</v>
      </c>
      <c r="B178" s="11" t="s">
        <v>6</v>
      </c>
      <c r="C178" s="4">
        <v>9</v>
      </c>
      <c r="D178" s="11">
        <v>3</v>
      </c>
      <c r="E178" s="11">
        <v>2</v>
      </c>
      <c r="F178" s="11">
        <v>1</v>
      </c>
      <c r="G178" s="11">
        <v>1</v>
      </c>
    </row>
    <row r="179" spans="1:7" x14ac:dyDescent="0.25">
      <c r="A179" s="11">
        <v>2025</v>
      </c>
      <c r="B179" s="11" t="s">
        <v>6</v>
      </c>
      <c r="C179" s="4">
        <v>10</v>
      </c>
      <c r="D179" s="11">
        <v>1</v>
      </c>
      <c r="E179" s="11">
        <v>1</v>
      </c>
      <c r="F179" s="11">
        <v>3</v>
      </c>
      <c r="G179" s="11">
        <v>1</v>
      </c>
    </row>
    <row r="180" spans="1:7" x14ac:dyDescent="0.25">
      <c r="A180" s="11">
        <v>2025</v>
      </c>
      <c r="B180" s="11" t="s">
        <v>6</v>
      </c>
      <c r="C180" s="4">
        <v>11</v>
      </c>
      <c r="D180" s="11">
        <v>1</v>
      </c>
      <c r="E180" s="11">
        <v>2</v>
      </c>
      <c r="F180" s="11">
        <v>1</v>
      </c>
      <c r="G180" s="11">
        <v>1</v>
      </c>
    </row>
    <row r="181" spans="1:7" x14ac:dyDescent="0.25">
      <c r="A181" s="11">
        <v>2025</v>
      </c>
      <c r="B181" s="11" t="s">
        <v>6</v>
      </c>
      <c r="C181" s="4">
        <v>12</v>
      </c>
      <c r="D181" s="11">
        <v>1</v>
      </c>
      <c r="E181" s="11">
        <v>1</v>
      </c>
      <c r="F181" s="11">
        <v>2</v>
      </c>
      <c r="G181" s="11">
        <v>1</v>
      </c>
    </row>
    <row r="182" spans="1:7" x14ac:dyDescent="0.25">
      <c r="A182" s="11">
        <v>2025</v>
      </c>
      <c r="B182" s="11" t="s">
        <v>6</v>
      </c>
      <c r="C182" s="4">
        <v>13</v>
      </c>
      <c r="D182" s="11">
        <v>1</v>
      </c>
      <c r="E182" s="11">
        <v>2</v>
      </c>
      <c r="F182" s="11">
        <v>2</v>
      </c>
      <c r="G182" s="11">
        <v>2</v>
      </c>
    </row>
    <row r="183" spans="1:7" x14ac:dyDescent="0.25">
      <c r="A183" s="11">
        <v>2025</v>
      </c>
      <c r="B183" s="11" t="s">
        <v>6</v>
      </c>
      <c r="C183" s="4">
        <v>14</v>
      </c>
      <c r="D183" s="11">
        <v>4</v>
      </c>
      <c r="E183" s="11">
        <v>2</v>
      </c>
      <c r="F183" s="11">
        <v>3</v>
      </c>
      <c r="G183" s="11">
        <v>2</v>
      </c>
    </row>
    <row r="184" spans="1:7" x14ac:dyDescent="0.25">
      <c r="A184" s="11">
        <v>2025</v>
      </c>
      <c r="B184" s="11" t="s">
        <v>6</v>
      </c>
      <c r="C184" s="4">
        <v>15</v>
      </c>
      <c r="D184" s="11">
        <v>2</v>
      </c>
      <c r="E184" s="11">
        <v>3</v>
      </c>
      <c r="F184" s="11">
        <v>2</v>
      </c>
      <c r="G184" s="11">
        <v>1</v>
      </c>
    </row>
    <row r="185" spans="1:7" x14ac:dyDescent="0.25">
      <c r="A185" s="11">
        <v>2025</v>
      </c>
      <c r="B185" s="11" t="s">
        <v>6</v>
      </c>
      <c r="C185" s="4">
        <v>16</v>
      </c>
      <c r="D185" s="11">
        <v>1</v>
      </c>
      <c r="E185" s="11">
        <v>1</v>
      </c>
      <c r="F185" s="11">
        <v>2</v>
      </c>
      <c r="G185" s="11">
        <v>4</v>
      </c>
    </row>
    <row r="186" spans="1:7" x14ac:dyDescent="0.25">
      <c r="A186" s="11">
        <v>2025</v>
      </c>
      <c r="B186" s="11" t="s">
        <v>6</v>
      </c>
      <c r="C186" s="4">
        <v>17</v>
      </c>
      <c r="D186" s="11">
        <v>1</v>
      </c>
      <c r="E186" s="11">
        <v>2</v>
      </c>
      <c r="F186" s="11">
        <v>2</v>
      </c>
      <c r="G186" s="11">
        <v>1</v>
      </c>
    </row>
    <row r="187" spans="1:7" x14ac:dyDescent="0.25">
      <c r="A187" s="11">
        <v>2025</v>
      </c>
      <c r="B187" s="11" t="s">
        <v>6</v>
      </c>
      <c r="C187" s="4">
        <v>18</v>
      </c>
      <c r="D187" s="11">
        <v>1</v>
      </c>
      <c r="E187" s="11">
        <v>2</v>
      </c>
      <c r="F187" s="11">
        <v>2</v>
      </c>
      <c r="G187" s="11">
        <v>4</v>
      </c>
    </row>
    <row r="188" spans="1:7" x14ac:dyDescent="0.25">
      <c r="A188" s="11">
        <v>2025</v>
      </c>
      <c r="B188" s="11" t="s">
        <v>6</v>
      </c>
      <c r="C188" s="4">
        <v>19</v>
      </c>
      <c r="D188" s="11">
        <v>4</v>
      </c>
      <c r="E188" s="11">
        <v>1</v>
      </c>
      <c r="F188" s="11">
        <v>2</v>
      </c>
      <c r="G188" s="11">
        <v>4</v>
      </c>
    </row>
    <row r="189" spans="1:7" x14ac:dyDescent="0.25">
      <c r="A189" s="11">
        <v>2025</v>
      </c>
      <c r="B189" s="11" t="s">
        <v>6</v>
      </c>
      <c r="C189" s="4">
        <v>20</v>
      </c>
      <c r="D189" s="11">
        <v>2</v>
      </c>
      <c r="E189" s="11">
        <v>1</v>
      </c>
      <c r="F189" s="11">
        <v>4</v>
      </c>
      <c r="G189" s="11">
        <v>3</v>
      </c>
    </row>
    <row r="190" spans="1:7" x14ac:dyDescent="0.25">
      <c r="A190" s="11">
        <v>2025</v>
      </c>
      <c r="B190" s="11" t="s">
        <v>6</v>
      </c>
      <c r="C190" s="4">
        <v>21</v>
      </c>
      <c r="D190" s="11">
        <v>2</v>
      </c>
      <c r="E190" s="11">
        <v>3</v>
      </c>
      <c r="F190" s="11">
        <v>4</v>
      </c>
      <c r="G190" s="11">
        <v>4</v>
      </c>
    </row>
    <row r="191" spans="1:7" x14ac:dyDescent="0.25">
      <c r="A191" s="11">
        <v>2025</v>
      </c>
      <c r="B191" s="11" t="s">
        <v>6</v>
      </c>
      <c r="C191" s="4">
        <v>22</v>
      </c>
      <c r="D191" s="11">
        <v>4</v>
      </c>
      <c r="E191" s="11">
        <v>2</v>
      </c>
      <c r="F191" s="11">
        <v>3</v>
      </c>
      <c r="G191" s="11">
        <v>3</v>
      </c>
    </row>
    <row r="192" spans="1:7" x14ac:dyDescent="0.25">
      <c r="A192" s="11">
        <v>2025</v>
      </c>
      <c r="B192" s="11" t="s">
        <v>6</v>
      </c>
      <c r="C192" s="4">
        <v>23</v>
      </c>
      <c r="D192" s="11">
        <v>1</v>
      </c>
      <c r="E192" s="11">
        <v>1</v>
      </c>
      <c r="F192" s="11">
        <v>3</v>
      </c>
      <c r="G192" s="11">
        <v>4</v>
      </c>
    </row>
    <row r="193" spans="1:7" x14ac:dyDescent="0.25">
      <c r="A193" s="11">
        <v>2025</v>
      </c>
      <c r="B193" s="11" t="s">
        <v>6</v>
      </c>
      <c r="C193" s="4">
        <v>24</v>
      </c>
      <c r="D193" s="11">
        <v>1</v>
      </c>
      <c r="E193" s="11">
        <v>1</v>
      </c>
      <c r="F193" s="11">
        <v>1</v>
      </c>
      <c r="G193" s="11">
        <v>1</v>
      </c>
    </row>
    <row r="194" spans="1:7" x14ac:dyDescent="0.25">
      <c r="A194" s="11">
        <v>2025</v>
      </c>
      <c r="B194" s="11" t="s">
        <v>6</v>
      </c>
      <c r="C194" s="4">
        <v>25</v>
      </c>
      <c r="D194" s="11">
        <v>4</v>
      </c>
      <c r="E194" s="11">
        <v>1</v>
      </c>
      <c r="F194" s="11">
        <v>1</v>
      </c>
      <c r="G194" s="11">
        <v>2</v>
      </c>
    </row>
    <row r="195" spans="1:7" x14ac:dyDescent="0.25">
      <c r="A195" s="11">
        <v>2025</v>
      </c>
      <c r="B195" s="11" t="s">
        <v>6</v>
      </c>
      <c r="C195" s="4">
        <v>26</v>
      </c>
      <c r="D195" s="11">
        <v>2</v>
      </c>
      <c r="E195" s="11">
        <v>2</v>
      </c>
      <c r="F195" s="11">
        <v>3</v>
      </c>
      <c r="G195" s="11">
        <v>3</v>
      </c>
    </row>
    <row r="196" spans="1:7" x14ac:dyDescent="0.25">
      <c r="A196" s="11">
        <v>2025</v>
      </c>
      <c r="B196" s="11" t="s">
        <v>6</v>
      </c>
      <c r="C196" s="4">
        <v>27</v>
      </c>
      <c r="D196" s="11">
        <v>3</v>
      </c>
      <c r="E196" s="11">
        <v>3</v>
      </c>
      <c r="F196" s="11">
        <v>1</v>
      </c>
      <c r="G196" s="11">
        <v>3</v>
      </c>
    </row>
    <row r="197" spans="1:7" x14ac:dyDescent="0.25">
      <c r="A197" s="11">
        <v>2025</v>
      </c>
      <c r="B197" s="11" t="s">
        <v>6</v>
      </c>
      <c r="C197" s="4">
        <v>28</v>
      </c>
      <c r="D197" s="11">
        <v>1</v>
      </c>
      <c r="E197" s="11">
        <v>2</v>
      </c>
      <c r="F197" s="11">
        <v>1</v>
      </c>
      <c r="G197" s="11">
        <v>1</v>
      </c>
    </row>
    <row r="198" spans="1:7" x14ac:dyDescent="0.25">
      <c r="A198" s="11">
        <v>2025</v>
      </c>
      <c r="B198" s="11" t="s">
        <v>7</v>
      </c>
      <c r="C198" s="4">
        <v>1</v>
      </c>
      <c r="D198" s="11">
        <v>1</v>
      </c>
      <c r="E198" s="11">
        <v>1</v>
      </c>
      <c r="F198" s="11">
        <v>2</v>
      </c>
      <c r="G198" s="11">
        <v>1</v>
      </c>
    </row>
    <row r="199" spans="1:7" x14ac:dyDescent="0.25">
      <c r="A199" s="11">
        <v>2025</v>
      </c>
      <c r="B199" s="11" t="s">
        <v>7</v>
      </c>
      <c r="C199" s="4">
        <v>2</v>
      </c>
      <c r="D199" s="11">
        <v>2</v>
      </c>
      <c r="E199" s="11">
        <v>3</v>
      </c>
      <c r="F199" s="11">
        <v>1</v>
      </c>
      <c r="G199" s="11">
        <v>4</v>
      </c>
    </row>
    <row r="200" spans="1:7" x14ac:dyDescent="0.25">
      <c r="A200" s="11">
        <v>2025</v>
      </c>
      <c r="B200" s="11" t="s">
        <v>7</v>
      </c>
      <c r="C200" s="4">
        <v>3</v>
      </c>
      <c r="D200" s="11">
        <v>1</v>
      </c>
      <c r="E200" s="11">
        <v>1</v>
      </c>
      <c r="F200" s="11">
        <v>2</v>
      </c>
      <c r="G200" s="11">
        <v>4</v>
      </c>
    </row>
    <row r="201" spans="1:7" x14ac:dyDescent="0.25">
      <c r="A201" s="11">
        <v>2025</v>
      </c>
      <c r="B201" s="11" t="s">
        <v>7</v>
      </c>
      <c r="C201" s="4">
        <v>4</v>
      </c>
      <c r="D201" s="11">
        <v>1</v>
      </c>
      <c r="E201" s="11">
        <v>1</v>
      </c>
      <c r="F201" s="11">
        <v>1</v>
      </c>
      <c r="G201" s="11">
        <v>4</v>
      </c>
    </row>
    <row r="202" spans="1:7" x14ac:dyDescent="0.25">
      <c r="A202" s="11">
        <v>2025</v>
      </c>
      <c r="B202" s="11" t="s">
        <v>7</v>
      </c>
      <c r="C202" s="4">
        <v>5</v>
      </c>
      <c r="D202" s="11">
        <v>1</v>
      </c>
      <c r="E202" s="11">
        <v>2</v>
      </c>
      <c r="F202" s="11">
        <v>1</v>
      </c>
      <c r="G202" s="11">
        <v>1</v>
      </c>
    </row>
    <row r="203" spans="1:7" x14ac:dyDescent="0.25">
      <c r="A203" s="11">
        <v>2025</v>
      </c>
      <c r="B203" s="11" t="s">
        <v>7</v>
      </c>
      <c r="C203" s="4">
        <v>6</v>
      </c>
      <c r="D203" s="11">
        <v>3</v>
      </c>
      <c r="E203" s="11">
        <v>4</v>
      </c>
      <c r="F203" s="11">
        <v>2</v>
      </c>
      <c r="G203" s="11">
        <v>1</v>
      </c>
    </row>
    <row r="204" spans="1:7" x14ac:dyDescent="0.25">
      <c r="A204" s="11">
        <v>2025</v>
      </c>
      <c r="B204" s="11" t="s">
        <v>7</v>
      </c>
      <c r="C204" s="4">
        <v>7</v>
      </c>
      <c r="D204" s="11">
        <v>2</v>
      </c>
      <c r="E204" s="11">
        <v>1</v>
      </c>
      <c r="F204" s="11">
        <v>1</v>
      </c>
      <c r="G204" s="11">
        <v>2</v>
      </c>
    </row>
    <row r="205" spans="1:7" x14ac:dyDescent="0.25">
      <c r="A205" s="11">
        <v>2025</v>
      </c>
      <c r="B205" s="11" t="s">
        <v>7</v>
      </c>
      <c r="C205" s="4">
        <v>8</v>
      </c>
      <c r="D205" s="11">
        <v>1</v>
      </c>
      <c r="E205" s="11">
        <v>1</v>
      </c>
      <c r="F205" s="11">
        <v>4</v>
      </c>
      <c r="G205" s="11">
        <v>2</v>
      </c>
    </row>
    <row r="206" spans="1:7" x14ac:dyDescent="0.25">
      <c r="A206" s="11">
        <v>2025</v>
      </c>
      <c r="B206" s="11" t="s">
        <v>7</v>
      </c>
      <c r="C206" s="4">
        <v>9</v>
      </c>
      <c r="D206" s="11">
        <v>1</v>
      </c>
      <c r="E206" s="11">
        <v>2</v>
      </c>
      <c r="F206" s="11">
        <v>2</v>
      </c>
      <c r="G206" s="11">
        <v>1</v>
      </c>
    </row>
    <row r="207" spans="1:7" x14ac:dyDescent="0.25">
      <c r="A207" s="11">
        <v>2025</v>
      </c>
      <c r="B207" s="11" t="s">
        <v>7</v>
      </c>
      <c r="C207" s="4">
        <v>10</v>
      </c>
      <c r="D207" s="11">
        <v>1</v>
      </c>
      <c r="E207" s="11">
        <v>3</v>
      </c>
      <c r="F207" s="11">
        <v>3</v>
      </c>
      <c r="G207" s="11">
        <v>4</v>
      </c>
    </row>
    <row r="208" spans="1:7" x14ac:dyDescent="0.25">
      <c r="A208" s="11">
        <v>2025</v>
      </c>
      <c r="B208" s="11" t="s">
        <v>7</v>
      </c>
      <c r="C208" s="4">
        <v>11</v>
      </c>
      <c r="D208" s="11">
        <v>1</v>
      </c>
      <c r="E208" s="11">
        <v>1</v>
      </c>
      <c r="F208" s="11">
        <v>2</v>
      </c>
      <c r="G208" s="11">
        <v>4</v>
      </c>
    </row>
    <row r="209" spans="1:7" x14ac:dyDescent="0.25">
      <c r="A209" s="11">
        <v>2025</v>
      </c>
      <c r="B209" s="11" t="s">
        <v>7</v>
      </c>
      <c r="C209" s="4">
        <v>12</v>
      </c>
      <c r="D209" s="11">
        <v>1</v>
      </c>
      <c r="E209" s="11">
        <v>1</v>
      </c>
      <c r="F209" s="11">
        <v>2</v>
      </c>
      <c r="G209" s="11">
        <v>2</v>
      </c>
    </row>
    <row r="210" spans="1:7" x14ac:dyDescent="0.25">
      <c r="A210" s="11">
        <v>2025</v>
      </c>
      <c r="B210" s="11" t="s">
        <v>7</v>
      </c>
      <c r="C210" s="4">
        <v>13</v>
      </c>
      <c r="D210" s="11">
        <v>3</v>
      </c>
      <c r="E210" s="11">
        <v>2</v>
      </c>
      <c r="F210" s="11">
        <v>1</v>
      </c>
      <c r="G210" s="11">
        <v>1</v>
      </c>
    </row>
    <row r="211" spans="1:7" x14ac:dyDescent="0.25">
      <c r="A211" s="11">
        <v>2025</v>
      </c>
      <c r="B211" s="11" t="s">
        <v>7</v>
      </c>
      <c r="C211" s="4">
        <v>14</v>
      </c>
      <c r="D211" s="11">
        <v>2</v>
      </c>
      <c r="E211" s="11">
        <v>1</v>
      </c>
      <c r="F211" s="11">
        <v>3</v>
      </c>
      <c r="G211" s="11">
        <v>1</v>
      </c>
    </row>
    <row r="212" spans="1:7" x14ac:dyDescent="0.25">
      <c r="A212" s="11">
        <v>2025</v>
      </c>
      <c r="B212" s="11" t="s">
        <v>7</v>
      </c>
      <c r="C212" s="4">
        <v>15</v>
      </c>
      <c r="D212" s="11">
        <v>2</v>
      </c>
      <c r="E212" s="11">
        <v>3</v>
      </c>
      <c r="F212" s="11">
        <v>2</v>
      </c>
      <c r="G212" s="11">
        <v>1</v>
      </c>
    </row>
    <row r="213" spans="1:7" x14ac:dyDescent="0.25">
      <c r="A213" s="11">
        <v>2025</v>
      </c>
      <c r="B213" s="11" t="s">
        <v>7</v>
      </c>
      <c r="C213" s="4">
        <v>16</v>
      </c>
      <c r="D213" s="11">
        <v>1</v>
      </c>
      <c r="E213" s="11">
        <v>1</v>
      </c>
      <c r="F213" s="11">
        <v>1</v>
      </c>
      <c r="G213" s="11">
        <v>1</v>
      </c>
    </row>
    <row r="214" spans="1:7" x14ac:dyDescent="0.25">
      <c r="A214" s="11">
        <v>2025</v>
      </c>
      <c r="B214" s="11" t="s">
        <v>7</v>
      </c>
      <c r="C214" s="4">
        <v>17</v>
      </c>
      <c r="D214" s="11">
        <v>3</v>
      </c>
      <c r="E214" s="11">
        <v>1</v>
      </c>
      <c r="F214" s="11">
        <v>4</v>
      </c>
      <c r="G214" s="11">
        <v>2</v>
      </c>
    </row>
    <row r="215" spans="1:7" x14ac:dyDescent="0.25">
      <c r="A215" s="11">
        <v>2025</v>
      </c>
      <c r="B215" s="11" t="s">
        <v>7</v>
      </c>
      <c r="C215" s="4">
        <v>18</v>
      </c>
      <c r="D215" s="11">
        <v>1</v>
      </c>
      <c r="E215" s="11">
        <v>1</v>
      </c>
      <c r="F215" s="11">
        <v>3</v>
      </c>
      <c r="G215" s="11">
        <v>4</v>
      </c>
    </row>
    <row r="216" spans="1:7" x14ac:dyDescent="0.25">
      <c r="A216" s="11">
        <v>2025</v>
      </c>
      <c r="B216" s="11" t="s">
        <v>7</v>
      </c>
      <c r="C216" s="4">
        <v>19</v>
      </c>
      <c r="D216" s="11">
        <v>3</v>
      </c>
      <c r="E216" s="11">
        <v>4</v>
      </c>
      <c r="F216" s="11">
        <v>4</v>
      </c>
      <c r="G216" s="11">
        <v>2</v>
      </c>
    </row>
    <row r="217" spans="1:7" x14ac:dyDescent="0.25">
      <c r="A217" s="11">
        <v>2025</v>
      </c>
      <c r="B217" s="11" t="s">
        <v>7</v>
      </c>
      <c r="C217" s="4">
        <v>20</v>
      </c>
      <c r="D217" s="11">
        <v>1</v>
      </c>
      <c r="E217" s="11">
        <v>4</v>
      </c>
      <c r="F217" s="11">
        <v>1</v>
      </c>
      <c r="G217" s="11">
        <v>1</v>
      </c>
    </row>
    <row r="218" spans="1:7" x14ac:dyDescent="0.25">
      <c r="A218" s="11">
        <v>2025</v>
      </c>
      <c r="B218" s="11" t="s">
        <v>7</v>
      </c>
      <c r="C218" s="4">
        <v>21</v>
      </c>
      <c r="D218" s="11">
        <v>3</v>
      </c>
      <c r="E218" s="11">
        <v>2</v>
      </c>
      <c r="F218" s="11">
        <v>3</v>
      </c>
      <c r="G218" s="11">
        <v>4</v>
      </c>
    </row>
    <row r="219" spans="1:7" x14ac:dyDescent="0.25">
      <c r="A219" s="11">
        <v>2025</v>
      </c>
      <c r="B219" s="11" t="s">
        <v>7</v>
      </c>
      <c r="C219" s="4">
        <v>22</v>
      </c>
      <c r="D219" s="11">
        <v>1</v>
      </c>
      <c r="E219" s="11">
        <v>1</v>
      </c>
      <c r="F219" s="11">
        <v>3</v>
      </c>
      <c r="G219" s="11">
        <v>1</v>
      </c>
    </row>
    <row r="220" spans="1:7" x14ac:dyDescent="0.25">
      <c r="A220" s="11">
        <v>2025</v>
      </c>
      <c r="B220" s="11" t="s">
        <v>7</v>
      </c>
      <c r="C220" s="4">
        <v>23</v>
      </c>
      <c r="D220" s="11">
        <v>1</v>
      </c>
      <c r="E220" s="11">
        <v>1</v>
      </c>
      <c r="F220" s="11">
        <v>1</v>
      </c>
      <c r="G220" s="11">
        <v>1</v>
      </c>
    </row>
    <row r="221" spans="1:7" x14ac:dyDescent="0.25">
      <c r="A221" s="11">
        <v>2025</v>
      </c>
      <c r="B221" s="11" t="s">
        <v>7</v>
      </c>
      <c r="C221" s="4">
        <v>24</v>
      </c>
      <c r="D221" s="11">
        <v>1</v>
      </c>
      <c r="E221" s="11">
        <v>1</v>
      </c>
      <c r="F221" s="11">
        <v>2</v>
      </c>
      <c r="G221" s="11">
        <v>2</v>
      </c>
    </row>
    <row r="222" spans="1:7" x14ac:dyDescent="0.25">
      <c r="A222" s="11">
        <v>2025</v>
      </c>
      <c r="B222" s="11" t="s">
        <v>7</v>
      </c>
      <c r="C222" s="4">
        <v>25</v>
      </c>
      <c r="D222" s="11">
        <v>1</v>
      </c>
      <c r="E222" s="11">
        <v>2</v>
      </c>
      <c r="F222" s="11">
        <v>3</v>
      </c>
      <c r="G222" s="11">
        <v>1</v>
      </c>
    </row>
    <row r="223" spans="1:7" x14ac:dyDescent="0.25">
      <c r="A223" s="11">
        <v>2025</v>
      </c>
      <c r="B223" s="11" t="s">
        <v>7</v>
      </c>
      <c r="C223" s="4">
        <v>26</v>
      </c>
      <c r="D223" s="11">
        <v>1</v>
      </c>
      <c r="E223" s="11">
        <v>1</v>
      </c>
      <c r="F223" s="11">
        <v>2</v>
      </c>
      <c r="G223" s="11">
        <v>4</v>
      </c>
    </row>
    <row r="224" spans="1:7" x14ac:dyDescent="0.25">
      <c r="A224" s="11">
        <v>2025</v>
      </c>
      <c r="B224" s="11" t="s">
        <v>7</v>
      </c>
      <c r="C224" s="4">
        <v>27</v>
      </c>
      <c r="D224" s="11">
        <v>2</v>
      </c>
      <c r="E224" s="11">
        <v>4</v>
      </c>
      <c r="F224" s="11">
        <v>3</v>
      </c>
      <c r="G224" s="11">
        <v>4</v>
      </c>
    </row>
    <row r="225" spans="1:7" x14ac:dyDescent="0.25">
      <c r="A225" s="11">
        <v>2025</v>
      </c>
      <c r="B225" s="11" t="s">
        <v>7</v>
      </c>
      <c r="C225" s="4">
        <v>28</v>
      </c>
      <c r="D225" s="11">
        <v>4</v>
      </c>
      <c r="E225" s="11">
        <v>1</v>
      </c>
      <c r="F225" s="11">
        <v>1</v>
      </c>
      <c r="G225" s="11">
        <v>3</v>
      </c>
    </row>
    <row r="226" spans="1:7" x14ac:dyDescent="0.25">
      <c r="A226" s="11">
        <v>2025</v>
      </c>
      <c r="B226" s="11" t="s">
        <v>8</v>
      </c>
      <c r="C226" s="4">
        <v>1</v>
      </c>
      <c r="D226" s="11">
        <v>2</v>
      </c>
      <c r="E226" s="11">
        <v>1</v>
      </c>
      <c r="F226" s="11">
        <v>1</v>
      </c>
      <c r="G226" s="11">
        <v>1</v>
      </c>
    </row>
    <row r="227" spans="1:7" x14ac:dyDescent="0.25">
      <c r="A227" s="11">
        <v>2025</v>
      </c>
      <c r="B227" s="11" t="s">
        <v>8</v>
      </c>
      <c r="C227" s="4">
        <v>2</v>
      </c>
      <c r="D227" s="11">
        <v>4</v>
      </c>
      <c r="E227" s="11">
        <v>2</v>
      </c>
      <c r="F227" s="11">
        <v>1</v>
      </c>
      <c r="G227" s="11">
        <v>1</v>
      </c>
    </row>
    <row r="228" spans="1:7" x14ac:dyDescent="0.25">
      <c r="A228" s="11">
        <v>2025</v>
      </c>
      <c r="B228" s="11" t="s">
        <v>8</v>
      </c>
      <c r="C228" s="4">
        <v>3</v>
      </c>
      <c r="D228" s="11">
        <v>1</v>
      </c>
      <c r="E228" s="11">
        <v>2</v>
      </c>
      <c r="F228" s="11">
        <v>2</v>
      </c>
      <c r="G228" s="11">
        <v>1</v>
      </c>
    </row>
    <row r="229" spans="1:7" x14ac:dyDescent="0.25">
      <c r="A229" s="11">
        <v>2025</v>
      </c>
      <c r="B229" s="11" t="s">
        <v>8</v>
      </c>
      <c r="C229" s="4">
        <v>4</v>
      </c>
      <c r="D229" s="11">
        <v>1</v>
      </c>
      <c r="E229" s="11">
        <v>4</v>
      </c>
      <c r="F229" s="11">
        <v>4</v>
      </c>
      <c r="G229" s="11">
        <v>1</v>
      </c>
    </row>
    <row r="230" spans="1:7" x14ac:dyDescent="0.25">
      <c r="A230" s="11">
        <v>2025</v>
      </c>
      <c r="B230" s="11" t="s">
        <v>8</v>
      </c>
      <c r="C230" s="4">
        <v>5</v>
      </c>
      <c r="D230" s="11">
        <v>2</v>
      </c>
      <c r="E230" s="11">
        <v>1</v>
      </c>
      <c r="F230" s="11">
        <v>1</v>
      </c>
      <c r="G230" s="11">
        <v>3</v>
      </c>
    </row>
    <row r="231" spans="1:7" x14ac:dyDescent="0.25">
      <c r="A231" s="11">
        <v>2025</v>
      </c>
      <c r="B231" s="11" t="s">
        <v>8</v>
      </c>
      <c r="C231" s="4">
        <v>6</v>
      </c>
      <c r="D231" s="11">
        <v>1</v>
      </c>
      <c r="E231" s="11">
        <v>4</v>
      </c>
      <c r="F231" s="11">
        <v>1</v>
      </c>
      <c r="G231" s="11">
        <v>1</v>
      </c>
    </row>
    <row r="232" spans="1:7" x14ac:dyDescent="0.25">
      <c r="A232" s="11">
        <v>2025</v>
      </c>
      <c r="B232" s="11" t="s">
        <v>8</v>
      </c>
      <c r="C232" s="4">
        <v>7</v>
      </c>
      <c r="D232" s="11">
        <v>1</v>
      </c>
      <c r="E232" s="11">
        <v>1</v>
      </c>
      <c r="F232" s="11">
        <v>3</v>
      </c>
      <c r="G232" s="11">
        <v>1</v>
      </c>
    </row>
    <row r="233" spans="1:7" x14ac:dyDescent="0.25">
      <c r="A233" s="11">
        <v>2025</v>
      </c>
      <c r="B233" s="11" t="s">
        <v>8</v>
      </c>
      <c r="C233" s="4">
        <v>8</v>
      </c>
      <c r="D233" s="11">
        <v>4</v>
      </c>
      <c r="E233" s="11">
        <v>3</v>
      </c>
      <c r="F233" s="11">
        <v>3</v>
      </c>
      <c r="G233" s="11">
        <v>2</v>
      </c>
    </row>
    <row r="234" spans="1:7" x14ac:dyDescent="0.25">
      <c r="A234" s="11">
        <v>2025</v>
      </c>
      <c r="B234" s="11" t="s">
        <v>8</v>
      </c>
      <c r="C234" s="4">
        <v>9</v>
      </c>
      <c r="D234" s="11">
        <v>2</v>
      </c>
      <c r="E234" s="11">
        <v>3</v>
      </c>
      <c r="F234" s="11">
        <v>2</v>
      </c>
      <c r="G234" s="11">
        <v>2</v>
      </c>
    </row>
    <row r="235" spans="1:7" x14ac:dyDescent="0.25">
      <c r="A235" s="11">
        <v>2025</v>
      </c>
      <c r="B235" s="11" t="s">
        <v>8</v>
      </c>
      <c r="C235" s="4">
        <v>10</v>
      </c>
      <c r="D235" s="11">
        <v>3</v>
      </c>
      <c r="E235" s="11">
        <v>2</v>
      </c>
      <c r="F235" s="11">
        <v>2</v>
      </c>
      <c r="G235" s="11">
        <v>2</v>
      </c>
    </row>
    <row r="236" spans="1:7" x14ac:dyDescent="0.25">
      <c r="A236" s="11">
        <v>2025</v>
      </c>
      <c r="B236" s="11" t="s">
        <v>8</v>
      </c>
      <c r="C236" s="4">
        <v>11</v>
      </c>
      <c r="D236" s="11">
        <v>1</v>
      </c>
      <c r="E236" s="11">
        <v>1</v>
      </c>
      <c r="F236" s="11">
        <v>4</v>
      </c>
      <c r="G236" s="11">
        <v>2</v>
      </c>
    </row>
    <row r="237" spans="1:7" x14ac:dyDescent="0.25">
      <c r="A237" s="11">
        <v>2025</v>
      </c>
      <c r="B237" s="11" t="s">
        <v>8</v>
      </c>
      <c r="C237" s="4">
        <v>12</v>
      </c>
      <c r="D237" s="11">
        <v>1</v>
      </c>
      <c r="E237" s="11">
        <v>2</v>
      </c>
      <c r="F237" s="11">
        <v>4</v>
      </c>
      <c r="G237" s="11">
        <v>2</v>
      </c>
    </row>
    <row r="238" spans="1:7" x14ac:dyDescent="0.25">
      <c r="A238" s="11">
        <v>2025</v>
      </c>
      <c r="B238" s="11" t="s">
        <v>8</v>
      </c>
      <c r="C238" s="4">
        <v>13</v>
      </c>
      <c r="D238" s="11">
        <v>2</v>
      </c>
      <c r="E238" s="11">
        <v>2</v>
      </c>
      <c r="F238" s="11">
        <v>3</v>
      </c>
      <c r="G238" s="11">
        <v>1</v>
      </c>
    </row>
    <row r="239" spans="1:7" x14ac:dyDescent="0.25">
      <c r="A239" s="11">
        <v>2025</v>
      </c>
      <c r="B239" s="11" t="s">
        <v>8</v>
      </c>
      <c r="C239" s="4">
        <v>14</v>
      </c>
      <c r="D239" s="11">
        <v>3</v>
      </c>
      <c r="E239" s="11">
        <v>2</v>
      </c>
      <c r="F239" s="11">
        <v>1</v>
      </c>
      <c r="G239" s="11">
        <v>3</v>
      </c>
    </row>
    <row r="240" spans="1:7" x14ac:dyDescent="0.25">
      <c r="A240" s="11">
        <v>2025</v>
      </c>
      <c r="B240" s="11" t="s">
        <v>8</v>
      </c>
      <c r="C240" s="4">
        <v>15</v>
      </c>
      <c r="D240" s="11">
        <v>3</v>
      </c>
      <c r="E240" s="11">
        <v>3</v>
      </c>
      <c r="F240" s="11">
        <v>3</v>
      </c>
      <c r="G240" s="11">
        <v>3</v>
      </c>
    </row>
    <row r="241" spans="1:7" x14ac:dyDescent="0.25">
      <c r="A241" s="11">
        <v>2025</v>
      </c>
      <c r="B241" s="11" t="s">
        <v>8</v>
      </c>
      <c r="C241" s="4">
        <v>16</v>
      </c>
      <c r="D241" s="11">
        <v>1</v>
      </c>
      <c r="E241" s="11">
        <v>1</v>
      </c>
      <c r="F241" s="11">
        <v>1</v>
      </c>
      <c r="G241" s="11">
        <v>3</v>
      </c>
    </row>
    <row r="242" spans="1:7" x14ac:dyDescent="0.25">
      <c r="A242" s="11">
        <v>2025</v>
      </c>
      <c r="B242" s="11" t="s">
        <v>8</v>
      </c>
      <c r="C242" s="4">
        <v>17</v>
      </c>
      <c r="D242" s="11">
        <v>2</v>
      </c>
      <c r="E242" s="11">
        <v>2</v>
      </c>
      <c r="F242" s="11">
        <v>3</v>
      </c>
      <c r="G242" s="11">
        <v>1</v>
      </c>
    </row>
    <row r="243" spans="1:7" x14ac:dyDescent="0.25">
      <c r="A243" s="11">
        <v>2025</v>
      </c>
      <c r="B243" s="11" t="s">
        <v>8</v>
      </c>
      <c r="C243" s="4">
        <v>18</v>
      </c>
      <c r="D243" s="11">
        <v>2</v>
      </c>
      <c r="E243" s="11">
        <v>1</v>
      </c>
      <c r="F243" s="11">
        <v>3</v>
      </c>
      <c r="G243" s="11">
        <v>2</v>
      </c>
    </row>
    <row r="244" spans="1:7" x14ac:dyDescent="0.25">
      <c r="A244" s="11">
        <v>2025</v>
      </c>
      <c r="B244" s="11" t="s">
        <v>8</v>
      </c>
      <c r="C244" s="4">
        <v>19</v>
      </c>
      <c r="D244" s="11">
        <v>2</v>
      </c>
      <c r="E244" s="11">
        <v>1</v>
      </c>
      <c r="F244" s="11">
        <v>1</v>
      </c>
      <c r="G244" s="11">
        <v>4</v>
      </c>
    </row>
    <row r="245" spans="1:7" x14ac:dyDescent="0.25">
      <c r="A245" s="11">
        <v>2025</v>
      </c>
      <c r="B245" s="11" t="s">
        <v>8</v>
      </c>
      <c r="C245" s="4">
        <v>20</v>
      </c>
      <c r="D245" s="11">
        <v>1</v>
      </c>
      <c r="E245" s="11">
        <v>1</v>
      </c>
      <c r="F245" s="11">
        <v>3</v>
      </c>
      <c r="G245" s="11">
        <v>1</v>
      </c>
    </row>
    <row r="246" spans="1:7" x14ac:dyDescent="0.25">
      <c r="A246" s="11">
        <v>2025</v>
      </c>
      <c r="B246" s="11" t="s">
        <v>8</v>
      </c>
      <c r="C246" s="4">
        <v>21</v>
      </c>
      <c r="D246" s="11">
        <v>1</v>
      </c>
      <c r="E246" s="11">
        <v>2</v>
      </c>
      <c r="F246" s="11">
        <v>3</v>
      </c>
      <c r="G246" s="11">
        <v>4</v>
      </c>
    </row>
    <row r="247" spans="1:7" x14ac:dyDescent="0.25">
      <c r="A247" s="11">
        <v>2025</v>
      </c>
      <c r="B247" s="11" t="s">
        <v>8</v>
      </c>
      <c r="C247" s="4">
        <v>22</v>
      </c>
      <c r="D247" s="11">
        <v>1</v>
      </c>
      <c r="E247" s="11">
        <v>2</v>
      </c>
      <c r="F247" s="11">
        <v>2</v>
      </c>
      <c r="G247" s="11">
        <v>2</v>
      </c>
    </row>
    <row r="248" spans="1:7" x14ac:dyDescent="0.25">
      <c r="A248" s="11">
        <v>2025</v>
      </c>
      <c r="B248" s="11" t="s">
        <v>8</v>
      </c>
      <c r="C248" s="4">
        <v>23</v>
      </c>
      <c r="D248" s="11">
        <v>2</v>
      </c>
      <c r="E248" s="11">
        <v>1</v>
      </c>
      <c r="F248" s="11">
        <v>1</v>
      </c>
      <c r="G248" s="11">
        <v>3</v>
      </c>
    </row>
    <row r="249" spans="1:7" x14ac:dyDescent="0.25">
      <c r="A249" s="11">
        <v>2025</v>
      </c>
      <c r="B249" s="11" t="s">
        <v>8</v>
      </c>
      <c r="C249" s="4">
        <v>24</v>
      </c>
      <c r="D249" s="11">
        <v>1</v>
      </c>
      <c r="E249" s="11">
        <v>2</v>
      </c>
      <c r="F249" s="11">
        <v>3</v>
      </c>
      <c r="G249" s="11">
        <v>1</v>
      </c>
    </row>
    <row r="250" spans="1:7" x14ac:dyDescent="0.25">
      <c r="A250" s="11">
        <v>2025</v>
      </c>
      <c r="B250" s="11" t="s">
        <v>8</v>
      </c>
      <c r="C250" s="4">
        <v>25</v>
      </c>
      <c r="D250" s="11">
        <v>1</v>
      </c>
      <c r="E250" s="11">
        <v>2</v>
      </c>
      <c r="F250" s="11">
        <v>3</v>
      </c>
      <c r="G250" s="11">
        <v>3</v>
      </c>
    </row>
    <row r="251" spans="1:7" x14ac:dyDescent="0.25">
      <c r="A251" s="11">
        <v>2025</v>
      </c>
      <c r="B251" s="11" t="s">
        <v>8</v>
      </c>
      <c r="C251" s="4">
        <v>26</v>
      </c>
      <c r="D251" s="11">
        <v>2</v>
      </c>
      <c r="E251" s="11">
        <v>1</v>
      </c>
      <c r="F251" s="11">
        <v>4</v>
      </c>
      <c r="G251" s="11">
        <v>1</v>
      </c>
    </row>
    <row r="252" spans="1:7" x14ac:dyDescent="0.25">
      <c r="A252" s="11">
        <v>2025</v>
      </c>
      <c r="B252" s="11" t="s">
        <v>8</v>
      </c>
      <c r="C252" s="4">
        <v>27</v>
      </c>
      <c r="D252" s="11">
        <v>1</v>
      </c>
      <c r="E252" s="11">
        <v>1</v>
      </c>
      <c r="F252" s="11">
        <v>3</v>
      </c>
      <c r="G252" s="11">
        <v>1</v>
      </c>
    </row>
    <row r="253" spans="1:7" x14ac:dyDescent="0.25">
      <c r="A253" s="11">
        <v>2025</v>
      </c>
      <c r="B253" s="11" t="s">
        <v>8</v>
      </c>
      <c r="C253" s="4">
        <v>28</v>
      </c>
      <c r="D253" s="11">
        <v>3</v>
      </c>
      <c r="E253" s="11">
        <v>1</v>
      </c>
      <c r="F253" s="11">
        <v>2</v>
      </c>
      <c r="G253" s="11">
        <v>3</v>
      </c>
    </row>
    <row r="254" spans="1:7" x14ac:dyDescent="0.25">
      <c r="A254" s="11">
        <v>2025</v>
      </c>
      <c r="B254" s="11" t="s">
        <v>9</v>
      </c>
      <c r="C254" s="4">
        <v>1</v>
      </c>
      <c r="D254" s="11">
        <v>3</v>
      </c>
      <c r="E254" s="11">
        <v>2</v>
      </c>
      <c r="F254" s="11">
        <v>2</v>
      </c>
      <c r="G254" s="11">
        <v>2</v>
      </c>
    </row>
    <row r="255" spans="1:7" x14ac:dyDescent="0.25">
      <c r="A255" s="11">
        <v>2025</v>
      </c>
      <c r="B255" s="11" t="s">
        <v>9</v>
      </c>
      <c r="C255" s="4">
        <v>2</v>
      </c>
      <c r="D255" s="11">
        <v>4</v>
      </c>
      <c r="E255" s="11">
        <v>1</v>
      </c>
      <c r="F255" s="11">
        <v>2</v>
      </c>
      <c r="G255" s="11">
        <v>1</v>
      </c>
    </row>
    <row r="256" spans="1:7" x14ac:dyDescent="0.25">
      <c r="A256" s="11">
        <v>2025</v>
      </c>
      <c r="B256" s="11" t="s">
        <v>9</v>
      </c>
      <c r="C256" s="4">
        <v>3</v>
      </c>
      <c r="D256" s="11">
        <v>1</v>
      </c>
      <c r="E256" s="11">
        <v>1</v>
      </c>
      <c r="F256" s="11">
        <v>1</v>
      </c>
      <c r="G256" s="11">
        <v>3</v>
      </c>
    </row>
    <row r="257" spans="1:7" x14ac:dyDescent="0.25">
      <c r="A257" s="11">
        <v>2025</v>
      </c>
      <c r="B257" s="11" t="s">
        <v>9</v>
      </c>
      <c r="C257" s="4">
        <v>4</v>
      </c>
      <c r="D257" s="11">
        <v>1</v>
      </c>
      <c r="E257" s="11">
        <v>1</v>
      </c>
      <c r="F257" s="11">
        <v>1</v>
      </c>
      <c r="G257" s="11">
        <v>1</v>
      </c>
    </row>
    <row r="258" spans="1:7" x14ac:dyDescent="0.25">
      <c r="A258" s="11">
        <v>2025</v>
      </c>
      <c r="B258" s="11" t="s">
        <v>9</v>
      </c>
      <c r="C258" s="4">
        <v>5</v>
      </c>
      <c r="D258" s="11">
        <v>4</v>
      </c>
      <c r="E258" s="11">
        <v>2</v>
      </c>
      <c r="F258" s="11">
        <v>4</v>
      </c>
      <c r="G258" s="11">
        <v>3</v>
      </c>
    </row>
    <row r="259" spans="1:7" x14ac:dyDescent="0.25">
      <c r="A259" s="11">
        <v>2025</v>
      </c>
      <c r="B259" s="11" t="s">
        <v>9</v>
      </c>
      <c r="C259" s="4">
        <v>6</v>
      </c>
      <c r="D259" s="11">
        <v>3</v>
      </c>
      <c r="E259" s="11">
        <v>1</v>
      </c>
      <c r="F259" s="11">
        <v>3</v>
      </c>
      <c r="G259" s="11">
        <v>1</v>
      </c>
    </row>
    <row r="260" spans="1:7" x14ac:dyDescent="0.25">
      <c r="A260" s="11">
        <v>2025</v>
      </c>
      <c r="B260" s="11" t="s">
        <v>9</v>
      </c>
      <c r="C260" s="4">
        <v>7</v>
      </c>
      <c r="D260" s="11">
        <v>4</v>
      </c>
      <c r="E260" s="11">
        <v>1</v>
      </c>
      <c r="F260" s="11">
        <v>3</v>
      </c>
      <c r="G260" s="11">
        <v>2</v>
      </c>
    </row>
    <row r="261" spans="1:7" x14ac:dyDescent="0.25">
      <c r="A261" s="11">
        <v>2025</v>
      </c>
      <c r="B261" s="11" t="s">
        <v>9</v>
      </c>
      <c r="C261" s="4">
        <v>8</v>
      </c>
      <c r="D261" s="11">
        <v>3</v>
      </c>
      <c r="E261" s="11">
        <v>3</v>
      </c>
      <c r="F261" s="11">
        <v>2</v>
      </c>
      <c r="G261" s="11">
        <v>1</v>
      </c>
    </row>
    <row r="262" spans="1:7" x14ac:dyDescent="0.25">
      <c r="A262" s="11">
        <v>2025</v>
      </c>
      <c r="B262" s="11" t="s">
        <v>9</v>
      </c>
      <c r="C262" s="4">
        <v>9</v>
      </c>
      <c r="D262" s="11">
        <v>1</v>
      </c>
      <c r="E262" s="11">
        <v>1</v>
      </c>
      <c r="F262" s="11">
        <v>1</v>
      </c>
      <c r="G262" s="11">
        <v>3</v>
      </c>
    </row>
    <row r="263" spans="1:7" x14ac:dyDescent="0.25">
      <c r="A263" s="11">
        <v>2025</v>
      </c>
      <c r="B263" s="11" t="s">
        <v>9</v>
      </c>
      <c r="C263" s="4">
        <v>10</v>
      </c>
      <c r="D263" s="11">
        <v>2</v>
      </c>
      <c r="E263" s="11">
        <v>4</v>
      </c>
      <c r="F263" s="11">
        <v>1</v>
      </c>
      <c r="G263" s="11">
        <v>1</v>
      </c>
    </row>
    <row r="264" spans="1:7" x14ac:dyDescent="0.25">
      <c r="A264" s="11">
        <v>2025</v>
      </c>
      <c r="B264" s="11" t="s">
        <v>9</v>
      </c>
      <c r="C264" s="4">
        <v>11</v>
      </c>
      <c r="D264" s="11">
        <v>2</v>
      </c>
      <c r="E264" s="11">
        <v>1</v>
      </c>
      <c r="F264" s="11">
        <v>2</v>
      </c>
      <c r="G264" s="11">
        <v>2</v>
      </c>
    </row>
    <row r="265" spans="1:7" x14ac:dyDescent="0.25">
      <c r="A265" s="11">
        <v>2025</v>
      </c>
      <c r="B265" s="11" t="s">
        <v>9</v>
      </c>
      <c r="C265" s="4">
        <v>12</v>
      </c>
      <c r="D265" s="11">
        <v>2</v>
      </c>
      <c r="E265" s="11">
        <v>1</v>
      </c>
      <c r="F265" s="11">
        <v>1</v>
      </c>
      <c r="G265" s="11">
        <v>1</v>
      </c>
    </row>
    <row r="266" spans="1:7" x14ac:dyDescent="0.25">
      <c r="A266" s="11">
        <v>2025</v>
      </c>
      <c r="B266" s="11" t="s">
        <v>9</v>
      </c>
      <c r="C266" s="4">
        <v>13</v>
      </c>
      <c r="D266" s="11">
        <v>2</v>
      </c>
      <c r="E266" s="11">
        <v>1</v>
      </c>
      <c r="F266" s="11">
        <v>2</v>
      </c>
      <c r="G266" s="11">
        <v>4</v>
      </c>
    </row>
    <row r="267" spans="1:7" x14ac:dyDescent="0.25">
      <c r="A267" s="11">
        <v>2025</v>
      </c>
      <c r="B267" s="11" t="s">
        <v>9</v>
      </c>
      <c r="C267" s="4">
        <v>14</v>
      </c>
      <c r="D267" s="11">
        <v>3</v>
      </c>
      <c r="E267" s="11">
        <v>1</v>
      </c>
      <c r="F267" s="11">
        <v>1</v>
      </c>
      <c r="G267" s="11">
        <v>4</v>
      </c>
    </row>
    <row r="268" spans="1:7" x14ac:dyDescent="0.25">
      <c r="A268" s="11">
        <v>2025</v>
      </c>
      <c r="B268" s="11" t="s">
        <v>9</v>
      </c>
      <c r="C268" s="4">
        <v>15</v>
      </c>
      <c r="D268" s="11">
        <v>2</v>
      </c>
      <c r="E268" s="11">
        <v>4</v>
      </c>
      <c r="F268" s="11">
        <v>3</v>
      </c>
      <c r="G268" s="11">
        <v>2</v>
      </c>
    </row>
    <row r="269" spans="1:7" x14ac:dyDescent="0.25">
      <c r="A269" s="11">
        <v>2025</v>
      </c>
      <c r="B269" s="11" t="s">
        <v>9</v>
      </c>
      <c r="C269" s="4">
        <v>16</v>
      </c>
      <c r="D269" s="11">
        <v>2</v>
      </c>
      <c r="E269" s="11">
        <v>1</v>
      </c>
      <c r="F269" s="11">
        <v>1</v>
      </c>
      <c r="G269" s="11">
        <v>1</v>
      </c>
    </row>
    <row r="270" spans="1:7" x14ac:dyDescent="0.25">
      <c r="A270" s="11">
        <v>2025</v>
      </c>
      <c r="B270" s="11" t="s">
        <v>9</v>
      </c>
      <c r="C270" s="4">
        <v>17</v>
      </c>
      <c r="D270" s="11">
        <v>3</v>
      </c>
      <c r="E270" s="11">
        <v>4</v>
      </c>
      <c r="F270" s="11">
        <v>1</v>
      </c>
      <c r="G270" s="11">
        <v>2</v>
      </c>
    </row>
    <row r="271" spans="1:7" x14ac:dyDescent="0.25">
      <c r="A271" s="11">
        <v>2025</v>
      </c>
      <c r="B271" s="11" t="s">
        <v>9</v>
      </c>
      <c r="C271" s="4">
        <v>18</v>
      </c>
      <c r="D271" s="11">
        <v>1</v>
      </c>
      <c r="E271" s="11">
        <v>4</v>
      </c>
      <c r="F271" s="11">
        <v>1</v>
      </c>
      <c r="G271" s="11">
        <v>3</v>
      </c>
    </row>
    <row r="272" spans="1:7" x14ac:dyDescent="0.25">
      <c r="A272" s="11">
        <v>2025</v>
      </c>
      <c r="B272" s="11" t="s">
        <v>9</v>
      </c>
      <c r="C272" s="4">
        <v>19</v>
      </c>
      <c r="D272" s="11">
        <v>2</v>
      </c>
      <c r="E272" s="11">
        <v>2</v>
      </c>
      <c r="F272" s="11">
        <v>1</v>
      </c>
      <c r="G272" s="11">
        <v>1</v>
      </c>
    </row>
    <row r="273" spans="1:7" x14ac:dyDescent="0.25">
      <c r="A273" s="11">
        <v>2025</v>
      </c>
      <c r="B273" s="11" t="s">
        <v>9</v>
      </c>
      <c r="C273" s="4">
        <v>20</v>
      </c>
      <c r="D273" s="11">
        <v>2</v>
      </c>
      <c r="E273" s="11">
        <v>2</v>
      </c>
      <c r="F273" s="11">
        <v>4</v>
      </c>
      <c r="G273" s="11">
        <v>1</v>
      </c>
    </row>
    <row r="274" spans="1:7" x14ac:dyDescent="0.25">
      <c r="A274" s="11">
        <v>2025</v>
      </c>
      <c r="B274" s="11" t="s">
        <v>9</v>
      </c>
      <c r="C274" s="4">
        <v>21</v>
      </c>
      <c r="D274" s="11">
        <v>1</v>
      </c>
      <c r="E274" s="11">
        <v>1</v>
      </c>
      <c r="F274" s="11">
        <v>1</v>
      </c>
      <c r="G274" s="11">
        <v>2</v>
      </c>
    </row>
    <row r="275" spans="1:7" x14ac:dyDescent="0.25">
      <c r="A275" s="11">
        <v>2025</v>
      </c>
      <c r="B275" s="11" t="s">
        <v>9</v>
      </c>
      <c r="C275" s="4">
        <v>22</v>
      </c>
      <c r="D275" s="11">
        <v>3</v>
      </c>
      <c r="E275" s="11">
        <v>1</v>
      </c>
      <c r="F275" s="11">
        <v>2</v>
      </c>
      <c r="G275" s="11">
        <v>2</v>
      </c>
    </row>
    <row r="276" spans="1:7" x14ac:dyDescent="0.25">
      <c r="A276" s="11">
        <v>2025</v>
      </c>
      <c r="B276" s="11" t="s">
        <v>9</v>
      </c>
      <c r="C276" s="4">
        <v>23</v>
      </c>
      <c r="D276" s="11">
        <v>1</v>
      </c>
      <c r="E276" s="11">
        <v>1</v>
      </c>
      <c r="F276" s="11">
        <v>3</v>
      </c>
      <c r="G276" s="11">
        <v>1</v>
      </c>
    </row>
    <row r="277" spans="1:7" x14ac:dyDescent="0.25">
      <c r="A277" s="11">
        <v>2025</v>
      </c>
      <c r="B277" s="11" t="s">
        <v>9</v>
      </c>
      <c r="C277" s="4">
        <v>24</v>
      </c>
      <c r="D277" s="11">
        <v>1</v>
      </c>
      <c r="E277" s="11">
        <v>2</v>
      </c>
      <c r="F277" s="11">
        <v>2</v>
      </c>
      <c r="G277" s="11">
        <v>3</v>
      </c>
    </row>
    <row r="278" spans="1:7" x14ac:dyDescent="0.25">
      <c r="A278" s="11">
        <v>2025</v>
      </c>
      <c r="B278" s="11" t="s">
        <v>9</v>
      </c>
      <c r="C278" s="4">
        <v>25</v>
      </c>
      <c r="D278" s="11">
        <v>1</v>
      </c>
      <c r="E278" s="11">
        <v>3</v>
      </c>
      <c r="F278" s="11">
        <v>2</v>
      </c>
      <c r="G278" s="11">
        <v>4</v>
      </c>
    </row>
    <row r="279" spans="1:7" x14ac:dyDescent="0.25">
      <c r="A279" s="11">
        <v>2025</v>
      </c>
      <c r="B279" s="11" t="s">
        <v>9</v>
      </c>
      <c r="C279" s="4">
        <v>26</v>
      </c>
      <c r="D279" s="11">
        <v>3</v>
      </c>
      <c r="E279" s="11">
        <v>2</v>
      </c>
      <c r="F279" s="11">
        <v>1</v>
      </c>
      <c r="G279" s="11">
        <v>3</v>
      </c>
    </row>
    <row r="280" spans="1:7" x14ac:dyDescent="0.25">
      <c r="A280" s="11">
        <v>2025</v>
      </c>
      <c r="B280" s="11" t="s">
        <v>9</v>
      </c>
      <c r="C280" s="4">
        <v>27</v>
      </c>
      <c r="D280" s="11">
        <v>4</v>
      </c>
      <c r="E280" s="11">
        <v>3</v>
      </c>
      <c r="F280" s="11">
        <v>2</v>
      </c>
      <c r="G280" s="11">
        <v>1</v>
      </c>
    </row>
    <row r="281" spans="1:7" x14ac:dyDescent="0.25">
      <c r="A281" s="11">
        <v>2025</v>
      </c>
      <c r="B281" s="11" t="s">
        <v>9</v>
      </c>
      <c r="C281" s="4">
        <v>28</v>
      </c>
      <c r="D281" s="11">
        <v>1</v>
      </c>
      <c r="E281" s="11">
        <v>1</v>
      </c>
      <c r="F281" s="11">
        <v>2</v>
      </c>
      <c r="G281" s="11">
        <v>1</v>
      </c>
    </row>
    <row r="282" spans="1:7" x14ac:dyDescent="0.25">
      <c r="A282" s="11">
        <v>2025</v>
      </c>
      <c r="B282" s="11" t="s">
        <v>10</v>
      </c>
      <c r="C282" s="4">
        <v>1</v>
      </c>
      <c r="D282" s="11">
        <v>4</v>
      </c>
      <c r="E282" s="11">
        <v>2</v>
      </c>
      <c r="F282" s="11">
        <v>2</v>
      </c>
      <c r="G282" s="11">
        <v>4</v>
      </c>
    </row>
    <row r="283" spans="1:7" x14ac:dyDescent="0.25">
      <c r="A283" s="11">
        <v>2025</v>
      </c>
      <c r="B283" s="11" t="s">
        <v>10</v>
      </c>
      <c r="C283" s="4">
        <v>2</v>
      </c>
      <c r="D283" s="11">
        <v>4</v>
      </c>
      <c r="E283" s="11">
        <v>1</v>
      </c>
      <c r="F283" s="11">
        <v>2</v>
      </c>
      <c r="G283" s="11">
        <v>2</v>
      </c>
    </row>
    <row r="284" spans="1:7" x14ac:dyDescent="0.25">
      <c r="A284" s="11">
        <v>2025</v>
      </c>
      <c r="B284" s="11" t="s">
        <v>10</v>
      </c>
      <c r="C284" s="4">
        <v>3</v>
      </c>
      <c r="D284" s="11">
        <v>1</v>
      </c>
      <c r="E284" s="11">
        <v>1</v>
      </c>
      <c r="F284" s="11">
        <v>1</v>
      </c>
      <c r="G284" s="11">
        <v>1</v>
      </c>
    </row>
    <row r="285" spans="1:7" x14ac:dyDescent="0.25">
      <c r="A285" s="11">
        <v>2025</v>
      </c>
      <c r="B285" s="11" t="s">
        <v>10</v>
      </c>
      <c r="C285" s="4">
        <v>4</v>
      </c>
      <c r="D285" s="11">
        <v>1</v>
      </c>
      <c r="E285" s="11">
        <v>2</v>
      </c>
      <c r="F285" s="11">
        <v>3</v>
      </c>
      <c r="G285" s="11">
        <v>3</v>
      </c>
    </row>
    <row r="286" spans="1:7" x14ac:dyDescent="0.25">
      <c r="A286" s="11">
        <v>2025</v>
      </c>
      <c r="B286" s="11" t="s">
        <v>10</v>
      </c>
      <c r="C286" s="4">
        <v>5</v>
      </c>
      <c r="D286" s="11">
        <v>2</v>
      </c>
      <c r="E286" s="11">
        <v>2</v>
      </c>
      <c r="F286" s="11">
        <v>1</v>
      </c>
      <c r="G286" s="11">
        <v>1</v>
      </c>
    </row>
    <row r="287" spans="1:7" x14ac:dyDescent="0.25">
      <c r="A287" s="11">
        <v>2025</v>
      </c>
      <c r="B287" s="11" t="s">
        <v>10</v>
      </c>
      <c r="C287" s="4">
        <v>6</v>
      </c>
      <c r="D287" s="11">
        <v>3</v>
      </c>
      <c r="E287" s="11">
        <v>1</v>
      </c>
      <c r="F287" s="11">
        <v>2</v>
      </c>
      <c r="G287" s="11">
        <v>2</v>
      </c>
    </row>
    <row r="288" spans="1:7" x14ac:dyDescent="0.25">
      <c r="A288" s="11">
        <v>2025</v>
      </c>
      <c r="B288" s="11" t="s">
        <v>10</v>
      </c>
      <c r="C288" s="4">
        <v>7</v>
      </c>
      <c r="D288" s="11">
        <v>2</v>
      </c>
      <c r="E288" s="11">
        <v>4</v>
      </c>
      <c r="F288" s="11">
        <v>1</v>
      </c>
      <c r="G288" s="11">
        <v>1</v>
      </c>
    </row>
    <row r="289" spans="1:7" x14ac:dyDescent="0.25">
      <c r="A289" s="11">
        <v>2025</v>
      </c>
      <c r="B289" s="11" t="s">
        <v>10</v>
      </c>
      <c r="C289" s="4">
        <v>8</v>
      </c>
      <c r="D289" s="11">
        <v>2</v>
      </c>
      <c r="E289" s="11">
        <v>1</v>
      </c>
      <c r="F289" s="11">
        <v>1</v>
      </c>
      <c r="G289" s="11">
        <v>1</v>
      </c>
    </row>
    <row r="290" spans="1:7" x14ac:dyDescent="0.25">
      <c r="A290" s="11">
        <v>2025</v>
      </c>
      <c r="B290" s="11" t="s">
        <v>10</v>
      </c>
      <c r="C290" s="4">
        <v>9</v>
      </c>
      <c r="D290" s="11">
        <v>3</v>
      </c>
      <c r="E290" s="11">
        <v>1</v>
      </c>
      <c r="F290" s="11">
        <v>1</v>
      </c>
      <c r="G290" s="11">
        <v>3</v>
      </c>
    </row>
    <row r="291" spans="1:7" x14ac:dyDescent="0.25">
      <c r="A291" s="11">
        <v>2025</v>
      </c>
      <c r="B291" s="11" t="s">
        <v>10</v>
      </c>
      <c r="C291" s="4">
        <v>10</v>
      </c>
      <c r="D291" s="11">
        <v>1</v>
      </c>
      <c r="E291" s="11">
        <v>1</v>
      </c>
      <c r="F291" s="11">
        <v>1</v>
      </c>
      <c r="G291" s="11">
        <v>2</v>
      </c>
    </row>
    <row r="292" spans="1:7" x14ac:dyDescent="0.25">
      <c r="A292" s="11">
        <v>2025</v>
      </c>
      <c r="B292" s="11" t="s">
        <v>10</v>
      </c>
      <c r="C292" s="4">
        <v>11</v>
      </c>
      <c r="D292" s="11">
        <v>2</v>
      </c>
      <c r="E292" s="11">
        <v>1</v>
      </c>
      <c r="F292" s="11">
        <v>2</v>
      </c>
      <c r="G292" s="11">
        <v>4</v>
      </c>
    </row>
    <row r="293" spans="1:7" x14ac:dyDescent="0.25">
      <c r="A293" s="11">
        <v>2025</v>
      </c>
      <c r="B293" s="11" t="s">
        <v>10</v>
      </c>
      <c r="C293" s="4">
        <v>12</v>
      </c>
      <c r="D293" s="11">
        <v>1</v>
      </c>
      <c r="E293" s="11">
        <v>1</v>
      </c>
      <c r="F293" s="11">
        <v>3</v>
      </c>
      <c r="G293" s="11">
        <v>1</v>
      </c>
    </row>
    <row r="294" spans="1:7" x14ac:dyDescent="0.25">
      <c r="A294" s="11">
        <v>2025</v>
      </c>
      <c r="B294" s="11" t="s">
        <v>10</v>
      </c>
      <c r="C294" s="4">
        <v>13</v>
      </c>
      <c r="D294" s="11">
        <v>1</v>
      </c>
      <c r="E294" s="11">
        <v>1</v>
      </c>
      <c r="F294" s="11">
        <v>1</v>
      </c>
      <c r="G294" s="11">
        <v>2</v>
      </c>
    </row>
    <row r="295" spans="1:7" x14ac:dyDescent="0.25">
      <c r="A295" s="11">
        <v>2025</v>
      </c>
      <c r="B295" s="11" t="s">
        <v>10</v>
      </c>
      <c r="C295" s="4">
        <v>14</v>
      </c>
      <c r="D295" s="11">
        <v>1</v>
      </c>
      <c r="E295" s="11">
        <v>4</v>
      </c>
      <c r="F295" s="11">
        <v>1</v>
      </c>
      <c r="G295" s="11">
        <v>3</v>
      </c>
    </row>
    <row r="296" spans="1:7" x14ac:dyDescent="0.25">
      <c r="A296" s="11">
        <v>2025</v>
      </c>
      <c r="B296" s="11" t="s">
        <v>10</v>
      </c>
      <c r="C296" s="4">
        <v>15</v>
      </c>
      <c r="D296" s="11">
        <v>1</v>
      </c>
      <c r="E296" s="11">
        <v>1</v>
      </c>
      <c r="F296" s="11">
        <v>3</v>
      </c>
      <c r="G296" s="11">
        <v>2</v>
      </c>
    </row>
    <row r="297" spans="1:7" x14ac:dyDescent="0.25">
      <c r="A297" s="11">
        <v>2025</v>
      </c>
      <c r="B297" s="11" t="s">
        <v>10</v>
      </c>
      <c r="C297" s="4">
        <v>16</v>
      </c>
      <c r="D297" s="11">
        <v>2</v>
      </c>
      <c r="E297" s="11">
        <v>3</v>
      </c>
      <c r="F297" s="11">
        <v>1</v>
      </c>
      <c r="G297" s="11">
        <v>1</v>
      </c>
    </row>
    <row r="298" spans="1:7" x14ac:dyDescent="0.25">
      <c r="A298" s="11">
        <v>2025</v>
      </c>
      <c r="B298" s="11" t="s">
        <v>10</v>
      </c>
      <c r="C298" s="4">
        <v>17</v>
      </c>
      <c r="D298" s="11">
        <v>1</v>
      </c>
      <c r="E298" s="11">
        <v>1</v>
      </c>
      <c r="F298" s="11">
        <v>4</v>
      </c>
      <c r="G298" s="11">
        <v>2</v>
      </c>
    </row>
    <row r="299" spans="1:7" x14ac:dyDescent="0.25">
      <c r="A299" s="11">
        <v>2025</v>
      </c>
      <c r="B299" s="11" t="s">
        <v>10</v>
      </c>
      <c r="C299" s="4">
        <v>18</v>
      </c>
      <c r="D299" s="11">
        <v>1</v>
      </c>
      <c r="E299" s="11">
        <v>2</v>
      </c>
      <c r="F299" s="11">
        <v>1</v>
      </c>
      <c r="G299" s="11">
        <v>1</v>
      </c>
    </row>
    <row r="300" spans="1:7" x14ac:dyDescent="0.25">
      <c r="A300" s="11">
        <v>2025</v>
      </c>
      <c r="B300" s="11" t="s">
        <v>10</v>
      </c>
      <c r="C300" s="4">
        <v>19</v>
      </c>
      <c r="D300" s="11">
        <v>1</v>
      </c>
      <c r="E300" s="11">
        <v>3</v>
      </c>
      <c r="F300" s="11">
        <v>1</v>
      </c>
      <c r="G300" s="11">
        <v>1</v>
      </c>
    </row>
    <row r="301" spans="1:7" x14ac:dyDescent="0.25">
      <c r="A301" s="11">
        <v>2025</v>
      </c>
      <c r="B301" s="11" t="s">
        <v>10</v>
      </c>
      <c r="C301" s="4">
        <v>20</v>
      </c>
      <c r="D301" s="11">
        <v>1</v>
      </c>
      <c r="E301" s="11">
        <v>2</v>
      </c>
      <c r="F301" s="11">
        <v>3</v>
      </c>
      <c r="G301" s="11">
        <v>1</v>
      </c>
    </row>
    <row r="302" spans="1:7" x14ac:dyDescent="0.25">
      <c r="A302" s="11">
        <v>2025</v>
      </c>
      <c r="B302" s="11" t="s">
        <v>10</v>
      </c>
      <c r="C302" s="4">
        <v>21</v>
      </c>
      <c r="D302" s="11">
        <v>1</v>
      </c>
      <c r="E302" s="11">
        <v>4</v>
      </c>
      <c r="F302" s="11">
        <v>2</v>
      </c>
      <c r="G302" s="11">
        <v>2</v>
      </c>
    </row>
    <row r="303" spans="1:7" x14ac:dyDescent="0.25">
      <c r="A303" s="11">
        <v>2025</v>
      </c>
      <c r="B303" s="11" t="s">
        <v>10</v>
      </c>
      <c r="C303" s="4">
        <v>22</v>
      </c>
      <c r="D303" s="11">
        <v>2</v>
      </c>
      <c r="E303" s="11">
        <v>1</v>
      </c>
      <c r="F303" s="11">
        <v>2</v>
      </c>
      <c r="G303" s="11">
        <v>3</v>
      </c>
    </row>
    <row r="304" spans="1:7" x14ac:dyDescent="0.25">
      <c r="A304" s="11">
        <v>2025</v>
      </c>
      <c r="B304" s="11" t="s">
        <v>10</v>
      </c>
      <c r="C304" s="4">
        <v>23</v>
      </c>
      <c r="D304" s="11">
        <v>1</v>
      </c>
      <c r="E304" s="11">
        <v>1</v>
      </c>
      <c r="F304" s="11">
        <v>4</v>
      </c>
      <c r="G304" s="11">
        <v>2</v>
      </c>
    </row>
    <row r="305" spans="1:7" x14ac:dyDescent="0.25">
      <c r="A305" s="11">
        <v>2025</v>
      </c>
      <c r="B305" s="11" t="s">
        <v>10</v>
      </c>
      <c r="C305" s="4">
        <v>24</v>
      </c>
      <c r="D305" s="11">
        <v>3</v>
      </c>
      <c r="E305" s="11">
        <v>2</v>
      </c>
      <c r="F305" s="11">
        <v>4</v>
      </c>
      <c r="G305" s="11">
        <v>1</v>
      </c>
    </row>
    <row r="306" spans="1:7" x14ac:dyDescent="0.25">
      <c r="A306" s="11">
        <v>2025</v>
      </c>
      <c r="B306" s="11" t="s">
        <v>10</v>
      </c>
      <c r="C306" s="4">
        <v>25</v>
      </c>
      <c r="D306" s="11">
        <v>3</v>
      </c>
      <c r="E306" s="11">
        <v>1</v>
      </c>
      <c r="F306" s="11">
        <v>3</v>
      </c>
      <c r="G306" s="11">
        <v>4</v>
      </c>
    </row>
    <row r="307" spans="1:7" x14ac:dyDescent="0.25">
      <c r="A307" s="11">
        <v>2025</v>
      </c>
      <c r="B307" s="11" t="s">
        <v>10</v>
      </c>
      <c r="C307" s="4">
        <v>26</v>
      </c>
      <c r="D307" s="11">
        <v>1</v>
      </c>
      <c r="E307" s="11">
        <v>3</v>
      </c>
      <c r="F307" s="11">
        <v>3</v>
      </c>
      <c r="G307" s="11">
        <v>2</v>
      </c>
    </row>
    <row r="308" spans="1:7" x14ac:dyDescent="0.25">
      <c r="A308" s="11">
        <v>2025</v>
      </c>
      <c r="B308" s="11" t="s">
        <v>10</v>
      </c>
      <c r="C308" s="4">
        <v>27</v>
      </c>
      <c r="D308" s="11">
        <v>2</v>
      </c>
      <c r="E308" s="11">
        <v>1</v>
      </c>
      <c r="F308" s="11">
        <v>4</v>
      </c>
      <c r="G308" s="11">
        <v>1</v>
      </c>
    </row>
    <row r="309" spans="1:7" x14ac:dyDescent="0.25">
      <c r="A309" s="11">
        <v>2025</v>
      </c>
      <c r="B309" s="11" t="s">
        <v>10</v>
      </c>
      <c r="C309" s="4">
        <v>28</v>
      </c>
      <c r="D309" s="11">
        <v>2</v>
      </c>
      <c r="E309" s="11">
        <v>1</v>
      </c>
      <c r="F309" s="11">
        <v>1</v>
      </c>
      <c r="G309" s="11">
        <v>1</v>
      </c>
    </row>
    <row r="310" spans="1:7" x14ac:dyDescent="0.25">
      <c r="A310" s="11">
        <v>2025</v>
      </c>
      <c r="B310" s="11" t="s">
        <v>11</v>
      </c>
      <c r="C310" s="4">
        <v>1</v>
      </c>
      <c r="D310" s="11">
        <v>3</v>
      </c>
      <c r="E310" s="11">
        <v>2</v>
      </c>
      <c r="F310" s="11">
        <v>2</v>
      </c>
      <c r="G310" s="11">
        <v>1</v>
      </c>
    </row>
    <row r="311" spans="1:7" x14ac:dyDescent="0.25">
      <c r="A311" s="11">
        <v>2025</v>
      </c>
      <c r="B311" s="11" t="s">
        <v>11</v>
      </c>
      <c r="C311" s="4">
        <v>2</v>
      </c>
      <c r="D311" s="11">
        <v>1</v>
      </c>
      <c r="E311" s="11">
        <v>2</v>
      </c>
      <c r="F311" s="11">
        <v>2</v>
      </c>
      <c r="G311" s="11">
        <v>3</v>
      </c>
    </row>
    <row r="312" spans="1:7" x14ac:dyDescent="0.25">
      <c r="A312" s="11">
        <v>2025</v>
      </c>
      <c r="B312" s="11" t="s">
        <v>11</v>
      </c>
      <c r="C312" s="4">
        <v>3</v>
      </c>
      <c r="D312" s="11">
        <v>3</v>
      </c>
      <c r="E312" s="11">
        <v>2</v>
      </c>
      <c r="F312" s="11">
        <v>2</v>
      </c>
      <c r="G312" s="11">
        <v>3</v>
      </c>
    </row>
    <row r="313" spans="1:7" x14ac:dyDescent="0.25">
      <c r="A313" s="11">
        <v>2025</v>
      </c>
      <c r="B313" s="11" t="s">
        <v>11</v>
      </c>
      <c r="C313" s="4">
        <v>4</v>
      </c>
      <c r="D313" s="11">
        <v>1</v>
      </c>
      <c r="E313" s="11">
        <v>2</v>
      </c>
      <c r="F313" s="11">
        <v>1</v>
      </c>
      <c r="G313" s="11">
        <v>4</v>
      </c>
    </row>
    <row r="314" spans="1:7" x14ac:dyDescent="0.25">
      <c r="A314" s="11">
        <v>2025</v>
      </c>
      <c r="B314" s="11" t="s">
        <v>11</v>
      </c>
      <c r="C314" s="4">
        <v>5</v>
      </c>
      <c r="D314" s="11">
        <v>2</v>
      </c>
      <c r="E314" s="11">
        <v>4</v>
      </c>
      <c r="F314" s="11">
        <v>2</v>
      </c>
      <c r="G314" s="11">
        <v>2</v>
      </c>
    </row>
    <row r="315" spans="1:7" x14ac:dyDescent="0.25">
      <c r="A315" s="11">
        <v>2025</v>
      </c>
      <c r="B315" s="11" t="s">
        <v>11</v>
      </c>
      <c r="C315" s="4">
        <v>6</v>
      </c>
      <c r="D315" s="11">
        <v>3</v>
      </c>
      <c r="E315" s="11">
        <v>1</v>
      </c>
      <c r="F315" s="11">
        <v>4</v>
      </c>
      <c r="G315" s="11">
        <v>1</v>
      </c>
    </row>
    <row r="316" spans="1:7" x14ac:dyDescent="0.25">
      <c r="A316" s="11">
        <v>2025</v>
      </c>
      <c r="B316" s="11" t="s">
        <v>11</v>
      </c>
      <c r="C316" s="4">
        <v>7</v>
      </c>
      <c r="D316" s="11">
        <v>1</v>
      </c>
      <c r="E316" s="11">
        <v>1</v>
      </c>
      <c r="F316" s="11">
        <v>1</v>
      </c>
      <c r="G316" s="11">
        <v>2</v>
      </c>
    </row>
    <row r="317" spans="1:7" x14ac:dyDescent="0.25">
      <c r="A317" s="11">
        <v>2025</v>
      </c>
      <c r="B317" s="11" t="s">
        <v>11</v>
      </c>
      <c r="C317" s="4">
        <v>8</v>
      </c>
      <c r="D317" s="11">
        <v>1</v>
      </c>
      <c r="E317" s="11">
        <v>1</v>
      </c>
      <c r="F317" s="11">
        <v>1</v>
      </c>
      <c r="G317" s="11">
        <v>3</v>
      </c>
    </row>
    <row r="318" spans="1:7" x14ac:dyDescent="0.25">
      <c r="A318" s="11">
        <v>2025</v>
      </c>
      <c r="B318" s="11" t="s">
        <v>11</v>
      </c>
      <c r="C318" s="4">
        <v>9</v>
      </c>
      <c r="D318" s="11">
        <v>1</v>
      </c>
      <c r="E318" s="11">
        <v>2</v>
      </c>
      <c r="F318" s="11">
        <v>1</v>
      </c>
      <c r="G318" s="11">
        <v>1</v>
      </c>
    </row>
    <row r="319" spans="1:7" x14ac:dyDescent="0.25">
      <c r="A319" s="11">
        <v>2025</v>
      </c>
      <c r="B319" s="11" t="s">
        <v>11</v>
      </c>
      <c r="C319" s="4">
        <v>10</v>
      </c>
      <c r="D319" s="11">
        <v>3</v>
      </c>
      <c r="E319" s="11">
        <v>3</v>
      </c>
      <c r="F319" s="11">
        <v>1</v>
      </c>
      <c r="G319" s="11">
        <v>3</v>
      </c>
    </row>
    <row r="320" spans="1:7" x14ac:dyDescent="0.25">
      <c r="A320" s="11">
        <v>2025</v>
      </c>
      <c r="B320" s="11" t="s">
        <v>11</v>
      </c>
      <c r="C320" s="4">
        <v>11</v>
      </c>
      <c r="D320" s="11">
        <v>2</v>
      </c>
      <c r="E320" s="11">
        <v>4</v>
      </c>
      <c r="F320" s="11">
        <v>2</v>
      </c>
      <c r="G320" s="11">
        <v>2</v>
      </c>
    </row>
    <row r="321" spans="1:7" x14ac:dyDescent="0.25">
      <c r="A321" s="11">
        <v>2025</v>
      </c>
      <c r="B321" s="11" t="s">
        <v>11</v>
      </c>
      <c r="C321" s="4">
        <v>12</v>
      </c>
      <c r="D321" s="11">
        <v>1</v>
      </c>
      <c r="E321" s="11">
        <v>1</v>
      </c>
      <c r="F321" s="11">
        <v>3</v>
      </c>
      <c r="G321" s="11">
        <v>1</v>
      </c>
    </row>
    <row r="322" spans="1:7" x14ac:dyDescent="0.25">
      <c r="A322" s="11">
        <v>2025</v>
      </c>
      <c r="B322" s="11" t="s">
        <v>11</v>
      </c>
      <c r="C322" s="4">
        <v>13</v>
      </c>
      <c r="D322" s="11">
        <v>1</v>
      </c>
      <c r="E322" s="11">
        <v>2</v>
      </c>
      <c r="F322" s="11">
        <v>1</v>
      </c>
      <c r="G322" s="11">
        <v>1</v>
      </c>
    </row>
    <row r="323" spans="1:7" x14ac:dyDescent="0.25">
      <c r="A323" s="11">
        <v>2025</v>
      </c>
      <c r="B323" s="11" t="s">
        <v>11</v>
      </c>
      <c r="C323" s="4">
        <v>14</v>
      </c>
      <c r="D323" s="11">
        <v>4</v>
      </c>
      <c r="E323" s="11">
        <v>4</v>
      </c>
      <c r="F323" s="11">
        <v>2</v>
      </c>
      <c r="G323" s="11">
        <v>3</v>
      </c>
    </row>
    <row r="324" spans="1:7" x14ac:dyDescent="0.25">
      <c r="A324" s="11">
        <v>2025</v>
      </c>
      <c r="B324" s="11" t="s">
        <v>11</v>
      </c>
      <c r="C324" s="4">
        <v>15</v>
      </c>
      <c r="D324" s="11">
        <v>3</v>
      </c>
      <c r="E324" s="11">
        <v>2</v>
      </c>
      <c r="F324" s="11">
        <v>1</v>
      </c>
      <c r="G324" s="11">
        <v>1</v>
      </c>
    </row>
    <row r="325" spans="1:7" x14ac:dyDescent="0.25">
      <c r="A325" s="11">
        <v>2025</v>
      </c>
      <c r="B325" s="11" t="s">
        <v>11</v>
      </c>
      <c r="C325" s="4">
        <v>16</v>
      </c>
      <c r="D325" s="11">
        <v>2</v>
      </c>
      <c r="E325" s="11">
        <v>2</v>
      </c>
      <c r="F325" s="11">
        <v>3</v>
      </c>
      <c r="G325" s="11">
        <v>2</v>
      </c>
    </row>
    <row r="326" spans="1:7" x14ac:dyDescent="0.25">
      <c r="A326" s="11">
        <v>2025</v>
      </c>
      <c r="B326" s="11" t="s">
        <v>11</v>
      </c>
      <c r="C326" s="4">
        <v>17</v>
      </c>
      <c r="D326" s="11">
        <v>1</v>
      </c>
      <c r="E326" s="11">
        <v>1</v>
      </c>
      <c r="F326" s="11">
        <v>4</v>
      </c>
      <c r="G326" s="11">
        <v>3</v>
      </c>
    </row>
    <row r="327" spans="1:7" x14ac:dyDescent="0.25">
      <c r="A327" s="11">
        <v>2025</v>
      </c>
      <c r="B327" s="11" t="s">
        <v>11</v>
      </c>
      <c r="C327" s="4">
        <v>18</v>
      </c>
      <c r="D327" s="11">
        <v>1</v>
      </c>
      <c r="E327" s="11">
        <v>1</v>
      </c>
      <c r="F327" s="11">
        <v>2</v>
      </c>
      <c r="G327" s="11">
        <v>2</v>
      </c>
    </row>
    <row r="328" spans="1:7" x14ac:dyDescent="0.25">
      <c r="A328" s="11">
        <v>2025</v>
      </c>
      <c r="B328" s="11" t="s">
        <v>11</v>
      </c>
      <c r="C328" s="4">
        <v>19</v>
      </c>
      <c r="D328" s="11">
        <v>3</v>
      </c>
      <c r="E328" s="11">
        <v>1</v>
      </c>
      <c r="F328" s="11">
        <v>1</v>
      </c>
      <c r="G328" s="11">
        <v>3</v>
      </c>
    </row>
    <row r="329" spans="1:7" x14ac:dyDescent="0.25">
      <c r="A329" s="11">
        <v>2025</v>
      </c>
      <c r="B329" s="11" t="s">
        <v>11</v>
      </c>
      <c r="C329" s="4">
        <v>20</v>
      </c>
      <c r="D329" s="11">
        <v>3</v>
      </c>
      <c r="E329" s="11">
        <v>1</v>
      </c>
      <c r="F329" s="11">
        <v>1</v>
      </c>
      <c r="G329" s="11">
        <v>2</v>
      </c>
    </row>
    <row r="330" spans="1:7" x14ac:dyDescent="0.25">
      <c r="A330" s="11">
        <v>2025</v>
      </c>
      <c r="B330" s="11" t="s">
        <v>11</v>
      </c>
      <c r="C330" s="4">
        <v>21</v>
      </c>
      <c r="D330" s="11">
        <v>4</v>
      </c>
      <c r="E330" s="11">
        <v>2</v>
      </c>
      <c r="F330" s="11">
        <v>3</v>
      </c>
      <c r="G330" s="11">
        <v>1</v>
      </c>
    </row>
    <row r="331" spans="1:7" x14ac:dyDescent="0.25">
      <c r="A331" s="11">
        <v>2025</v>
      </c>
      <c r="B331" s="11" t="s">
        <v>11</v>
      </c>
      <c r="C331" s="4">
        <v>22</v>
      </c>
      <c r="D331" s="11">
        <v>4</v>
      </c>
      <c r="E331" s="11">
        <v>4</v>
      </c>
      <c r="F331" s="11">
        <v>1</v>
      </c>
      <c r="G331" s="11">
        <v>2</v>
      </c>
    </row>
    <row r="332" spans="1:7" x14ac:dyDescent="0.25">
      <c r="A332" s="11">
        <v>2025</v>
      </c>
      <c r="B332" s="11" t="s">
        <v>11</v>
      </c>
      <c r="C332" s="4">
        <v>23</v>
      </c>
      <c r="D332" s="11">
        <v>2</v>
      </c>
      <c r="E332" s="11">
        <v>2</v>
      </c>
      <c r="F332" s="11">
        <v>3</v>
      </c>
      <c r="G332" s="11">
        <v>1</v>
      </c>
    </row>
    <row r="333" spans="1:7" x14ac:dyDescent="0.25">
      <c r="A333" s="11">
        <v>2025</v>
      </c>
      <c r="B333" s="11" t="s">
        <v>11</v>
      </c>
      <c r="C333" s="4">
        <v>24</v>
      </c>
      <c r="D333" s="11">
        <v>2</v>
      </c>
      <c r="E333" s="11">
        <v>4</v>
      </c>
      <c r="F333" s="11">
        <v>1</v>
      </c>
      <c r="G333" s="11">
        <v>2</v>
      </c>
    </row>
    <row r="334" spans="1:7" x14ac:dyDescent="0.25">
      <c r="A334" s="11">
        <v>2025</v>
      </c>
      <c r="B334" s="11" t="s">
        <v>11</v>
      </c>
      <c r="C334" s="4">
        <v>25</v>
      </c>
      <c r="D334" s="11">
        <v>1</v>
      </c>
      <c r="E334" s="11">
        <v>4</v>
      </c>
      <c r="F334" s="11">
        <v>1</v>
      </c>
      <c r="G334" s="11">
        <v>1</v>
      </c>
    </row>
    <row r="335" spans="1:7" x14ac:dyDescent="0.25">
      <c r="A335" s="11">
        <v>2025</v>
      </c>
      <c r="B335" s="11" t="s">
        <v>11</v>
      </c>
      <c r="C335" s="4">
        <v>26</v>
      </c>
      <c r="D335" s="11">
        <v>4</v>
      </c>
      <c r="E335" s="11">
        <v>3</v>
      </c>
      <c r="F335" s="11">
        <v>3</v>
      </c>
      <c r="G335" s="11">
        <v>3</v>
      </c>
    </row>
    <row r="336" spans="1:7" x14ac:dyDescent="0.25">
      <c r="A336" s="11">
        <v>2025</v>
      </c>
      <c r="B336" s="11" t="s">
        <v>11</v>
      </c>
      <c r="C336" s="4">
        <v>27</v>
      </c>
      <c r="D336" s="11">
        <v>2</v>
      </c>
      <c r="E336" s="11">
        <v>1</v>
      </c>
      <c r="F336" s="11">
        <v>4</v>
      </c>
      <c r="G336" s="11">
        <v>1</v>
      </c>
    </row>
    <row r="337" spans="1:7" x14ac:dyDescent="0.25">
      <c r="A337" s="11">
        <v>2025</v>
      </c>
      <c r="B337" s="11" t="s">
        <v>11</v>
      </c>
      <c r="C337" s="4">
        <v>28</v>
      </c>
      <c r="D337" s="11">
        <v>1</v>
      </c>
      <c r="E337" s="11">
        <v>2</v>
      </c>
      <c r="F337" s="11">
        <v>2</v>
      </c>
      <c r="G337" s="11">
        <v>1</v>
      </c>
    </row>
    <row r="338" spans="1:7" x14ac:dyDescent="0.25">
      <c r="A338" s="11">
        <v>2026</v>
      </c>
      <c r="B338" s="11" t="s">
        <v>0</v>
      </c>
      <c r="C338" s="4">
        <v>1</v>
      </c>
      <c r="D338" s="11">
        <v>2</v>
      </c>
      <c r="E338" s="11">
        <v>1</v>
      </c>
      <c r="F338" s="11">
        <v>2</v>
      </c>
      <c r="G338" s="11">
        <v>4</v>
      </c>
    </row>
    <row r="339" spans="1:7" x14ac:dyDescent="0.25">
      <c r="A339" s="11">
        <v>2026</v>
      </c>
      <c r="B339" s="11" t="s">
        <v>0</v>
      </c>
      <c r="C339" s="4">
        <v>2</v>
      </c>
      <c r="D339" s="11">
        <v>2</v>
      </c>
      <c r="E339" s="11">
        <v>1</v>
      </c>
      <c r="F339" s="11">
        <v>4</v>
      </c>
      <c r="G339" s="11">
        <v>4</v>
      </c>
    </row>
    <row r="340" spans="1:7" x14ac:dyDescent="0.25">
      <c r="A340" s="11">
        <v>2026</v>
      </c>
      <c r="B340" s="11" t="s">
        <v>0</v>
      </c>
      <c r="C340" s="4">
        <v>3</v>
      </c>
      <c r="D340" s="11">
        <v>1</v>
      </c>
      <c r="E340" s="11">
        <v>3</v>
      </c>
      <c r="F340" s="11">
        <v>2</v>
      </c>
      <c r="G340" s="11">
        <v>4</v>
      </c>
    </row>
    <row r="341" spans="1:7" x14ac:dyDescent="0.25">
      <c r="A341" s="11">
        <v>2026</v>
      </c>
      <c r="B341" s="11" t="s">
        <v>0</v>
      </c>
      <c r="C341" s="4">
        <v>4</v>
      </c>
      <c r="D341" s="11">
        <v>3</v>
      </c>
      <c r="E341" s="11">
        <v>1</v>
      </c>
      <c r="F341" s="11">
        <v>1</v>
      </c>
      <c r="G341" s="11">
        <v>3</v>
      </c>
    </row>
    <row r="342" spans="1:7" x14ac:dyDescent="0.25">
      <c r="A342" s="11">
        <v>2026</v>
      </c>
      <c r="B342" s="11" t="s">
        <v>0</v>
      </c>
      <c r="C342" s="4">
        <v>5</v>
      </c>
      <c r="D342" s="11">
        <v>1</v>
      </c>
      <c r="E342" s="11">
        <v>2</v>
      </c>
      <c r="F342" s="11">
        <v>1</v>
      </c>
      <c r="G342" s="11">
        <v>2</v>
      </c>
    </row>
    <row r="343" spans="1:7" x14ac:dyDescent="0.25">
      <c r="A343" s="11">
        <v>2026</v>
      </c>
      <c r="B343" s="11" t="s">
        <v>0</v>
      </c>
      <c r="C343" s="4">
        <v>6</v>
      </c>
      <c r="D343" s="11">
        <v>1</v>
      </c>
      <c r="E343" s="11">
        <v>2</v>
      </c>
      <c r="F343" s="11">
        <v>3</v>
      </c>
      <c r="G343" s="11">
        <v>2</v>
      </c>
    </row>
    <row r="344" spans="1:7" x14ac:dyDescent="0.25">
      <c r="A344" s="11">
        <v>2026</v>
      </c>
      <c r="B344" s="11" t="s">
        <v>0</v>
      </c>
      <c r="C344" s="4">
        <v>7</v>
      </c>
      <c r="D344" s="11">
        <v>1</v>
      </c>
      <c r="E344" s="11">
        <v>1</v>
      </c>
      <c r="F344" s="11">
        <v>4</v>
      </c>
      <c r="G344" s="11">
        <v>2</v>
      </c>
    </row>
    <row r="345" spans="1:7" x14ac:dyDescent="0.25">
      <c r="A345" s="11">
        <v>2026</v>
      </c>
      <c r="B345" s="11" t="s">
        <v>0</v>
      </c>
      <c r="C345" s="4">
        <v>8</v>
      </c>
      <c r="D345" s="11">
        <v>1</v>
      </c>
      <c r="E345" s="11">
        <v>1</v>
      </c>
      <c r="F345" s="11">
        <v>2</v>
      </c>
      <c r="G345" s="11">
        <v>1</v>
      </c>
    </row>
    <row r="346" spans="1:7" x14ac:dyDescent="0.25">
      <c r="A346" s="11">
        <v>2026</v>
      </c>
      <c r="B346" s="11" t="s">
        <v>0</v>
      </c>
      <c r="C346" s="4">
        <v>9</v>
      </c>
      <c r="D346" s="11">
        <v>2</v>
      </c>
      <c r="E346" s="11">
        <v>1</v>
      </c>
      <c r="F346" s="11">
        <v>2</v>
      </c>
      <c r="G346" s="11">
        <v>2</v>
      </c>
    </row>
    <row r="347" spans="1:7" x14ac:dyDescent="0.25">
      <c r="A347" s="11">
        <v>2026</v>
      </c>
      <c r="B347" s="11" t="s">
        <v>0</v>
      </c>
      <c r="C347" s="4">
        <v>10</v>
      </c>
      <c r="D347" s="11">
        <v>3</v>
      </c>
      <c r="E347" s="11">
        <v>3</v>
      </c>
      <c r="F347" s="11">
        <v>1</v>
      </c>
      <c r="G347" s="11">
        <v>3</v>
      </c>
    </row>
    <row r="348" spans="1:7" x14ac:dyDescent="0.25">
      <c r="A348" s="11">
        <v>2026</v>
      </c>
      <c r="B348" s="11" t="s">
        <v>0</v>
      </c>
      <c r="C348" s="4">
        <v>11</v>
      </c>
      <c r="D348" s="11">
        <v>3</v>
      </c>
      <c r="E348" s="11">
        <v>1</v>
      </c>
      <c r="F348" s="11">
        <v>2</v>
      </c>
      <c r="G348" s="11">
        <v>2</v>
      </c>
    </row>
    <row r="349" spans="1:7" x14ac:dyDescent="0.25">
      <c r="A349" s="11">
        <v>2026</v>
      </c>
      <c r="B349" s="11" t="s">
        <v>0</v>
      </c>
      <c r="C349" s="4">
        <v>12</v>
      </c>
      <c r="D349" s="11">
        <v>1</v>
      </c>
      <c r="E349" s="11">
        <v>2</v>
      </c>
      <c r="F349" s="11">
        <v>2</v>
      </c>
      <c r="G349" s="11">
        <v>3</v>
      </c>
    </row>
    <row r="350" spans="1:7" x14ac:dyDescent="0.25">
      <c r="A350" s="11">
        <v>2026</v>
      </c>
      <c r="B350" s="11" t="s">
        <v>0</v>
      </c>
      <c r="C350" s="4">
        <v>13</v>
      </c>
      <c r="D350" s="11">
        <v>3</v>
      </c>
      <c r="E350" s="11">
        <v>1</v>
      </c>
      <c r="F350" s="11">
        <v>2</v>
      </c>
      <c r="G350" s="11">
        <v>3</v>
      </c>
    </row>
    <row r="351" spans="1:7" x14ac:dyDescent="0.25">
      <c r="A351" s="11">
        <v>2026</v>
      </c>
      <c r="B351" s="11" t="s">
        <v>0</v>
      </c>
      <c r="C351" s="4">
        <v>14</v>
      </c>
      <c r="D351" s="11">
        <v>1</v>
      </c>
      <c r="E351" s="11">
        <v>1</v>
      </c>
      <c r="F351" s="11">
        <v>1</v>
      </c>
      <c r="G351" s="11">
        <v>1</v>
      </c>
    </row>
    <row r="352" spans="1:7" x14ac:dyDescent="0.25">
      <c r="A352" s="11">
        <v>2026</v>
      </c>
      <c r="B352" s="11" t="s">
        <v>0</v>
      </c>
      <c r="C352" s="4">
        <v>15</v>
      </c>
      <c r="D352" s="11">
        <v>2</v>
      </c>
      <c r="E352" s="11">
        <v>1</v>
      </c>
      <c r="F352" s="11">
        <v>1</v>
      </c>
      <c r="G352" s="11">
        <v>4</v>
      </c>
    </row>
    <row r="353" spans="1:7" x14ac:dyDescent="0.25">
      <c r="A353" s="11">
        <v>2026</v>
      </c>
      <c r="B353" s="11" t="s">
        <v>0</v>
      </c>
      <c r="C353" s="4">
        <v>16</v>
      </c>
      <c r="D353" s="11">
        <v>3</v>
      </c>
      <c r="E353" s="11">
        <v>2</v>
      </c>
      <c r="F353" s="11">
        <v>2</v>
      </c>
      <c r="G353" s="11">
        <v>1</v>
      </c>
    </row>
    <row r="354" spans="1:7" x14ac:dyDescent="0.25">
      <c r="A354" s="11">
        <v>2026</v>
      </c>
      <c r="B354" s="11" t="s">
        <v>0</v>
      </c>
      <c r="C354" s="4">
        <v>17</v>
      </c>
      <c r="D354" s="11">
        <v>1</v>
      </c>
      <c r="E354" s="11">
        <v>1</v>
      </c>
      <c r="F354" s="11">
        <v>1</v>
      </c>
      <c r="G354" s="11">
        <v>3</v>
      </c>
    </row>
    <row r="355" spans="1:7" x14ac:dyDescent="0.25">
      <c r="A355" s="11">
        <v>2026</v>
      </c>
      <c r="B355" s="11" t="s">
        <v>0</v>
      </c>
      <c r="C355" s="4">
        <v>18</v>
      </c>
      <c r="D355" s="11">
        <v>1</v>
      </c>
      <c r="E355" s="11">
        <v>1</v>
      </c>
      <c r="F355" s="11">
        <v>1</v>
      </c>
      <c r="G355" s="11">
        <v>2</v>
      </c>
    </row>
    <row r="356" spans="1:7" x14ac:dyDescent="0.25">
      <c r="A356" s="11">
        <v>2026</v>
      </c>
      <c r="B356" s="11" t="s">
        <v>0</v>
      </c>
      <c r="C356" s="4">
        <v>19</v>
      </c>
      <c r="D356" s="11">
        <v>3</v>
      </c>
      <c r="E356" s="11">
        <v>2</v>
      </c>
      <c r="F356" s="11">
        <v>1</v>
      </c>
      <c r="G356" s="11">
        <v>2</v>
      </c>
    </row>
    <row r="357" spans="1:7" x14ac:dyDescent="0.25">
      <c r="A357" s="11">
        <v>2026</v>
      </c>
      <c r="B357" s="11" t="s">
        <v>0</v>
      </c>
      <c r="C357" s="4">
        <v>20</v>
      </c>
      <c r="D357" s="11">
        <v>2</v>
      </c>
      <c r="E357" s="11">
        <v>1</v>
      </c>
      <c r="F357" s="11">
        <v>1</v>
      </c>
      <c r="G357" s="11">
        <v>3</v>
      </c>
    </row>
    <row r="358" spans="1:7" x14ac:dyDescent="0.25">
      <c r="A358" s="11">
        <v>2026</v>
      </c>
      <c r="B358" s="11" t="s">
        <v>0</v>
      </c>
      <c r="C358" s="4">
        <v>21</v>
      </c>
      <c r="D358" s="11">
        <v>1</v>
      </c>
      <c r="E358" s="11">
        <v>2</v>
      </c>
      <c r="F358" s="11">
        <v>1</v>
      </c>
      <c r="G358" s="11">
        <v>2</v>
      </c>
    </row>
    <row r="359" spans="1:7" x14ac:dyDescent="0.25">
      <c r="A359" s="11">
        <v>2026</v>
      </c>
      <c r="B359" s="11" t="s">
        <v>0</v>
      </c>
      <c r="C359" s="4">
        <v>22</v>
      </c>
      <c r="D359" s="11">
        <v>3</v>
      </c>
      <c r="E359" s="11">
        <v>4</v>
      </c>
      <c r="F359" s="11">
        <v>2</v>
      </c>
      <c r="G359" s="11">
        <v>4</v>
      </c>
    </row>
    <row r="360" spans="1:7" x14ac:dyDescent="0.25">
      <c r="A360" s="11">
        <v>2026</v>
      </c>
      <c r="B360" s="11" t="s">
        <v>0</v>
      </c>
      <c r="C360" s="4">
        <v>23</v>
      </c>
      <c r="D360" s="11">
        <v>1</v>
      </c>
      <c r="E360" s="11">
        <v>2</v>
      </c>
      <c r="F360" s="11">
        <v>2</v>
      </c>
      <c r="G360" s="11">
        <v>4</v>
      </c>
    </row>
    <row r="361" spans="1:7" x14ac:dyDescent="0.25">
      <c r="A361" s="11">
        <v>2026</v>
      </c>
      <c r="B361" s="11" t="s">
        <v>0</v>
      </c>
      <c r="C361" s="4">
        <v>24</v>
      </c>
      <c r="D361" s="11">
        <v>3</v>
      </c>
      <c r="E361" s="11">
        <v>1</v>
      </c>
      <c r="F361" s="11">
        <v>1</v>
      </c>
      <c r="G361" s="11">
        <v>3</v>
      </c>
    </row>
    <row r="362" spans="1:7" x14ac:dyDescent="0.25">
      <c r="A362" s="11">
        <v>2026</v>
      </c>
      <c r="B362" s="11" t="s">
        <v>0</v>
      </c>
      <c r="C362" s="4">
        <v>25</v>
      </c>
      <c r="D362" s="11">
        <v>2</v>
      </c>
      <c r="E362" s="11">
        <v>1</v>
      </c>
      <c r="F362" s="11">
        <v>1</v>
      </c>
      <c r="G362" s="11">
        <v>1</v>
      </c>
    </row>
    <row r="363" spans="1:7" x14ac:dyDescent="0.25">
      <c r="A363" s="11">
        <v>2026</v>
      </c>
      <c r="B363" s="11" t="s">
        <v>0</v>
      </c>
      <c r="C363" s="4">
        <v>26</v>
      </c>
      <c r="D363" s="11">
        <v>2</v>
      </c>
      <c r="E363" s="11">
        <v>2</v>
      </c>
      <c r="F363" s="11">
        <v>1</v>
      </c>
      <c r="G363" s="11">
        <v>1</v>
      </c>
    </row>
    <row r="364" spans="1:7" x14ac:dyDescent="0.25">
      <c r="A364" s="11">
        <v>2026</v>
      </c>
      <c r="B364" s="11" t="s">
        <v>0</v>
      </c>
      <c r="C364" s="4">
        <v>27</v>
      </c>
      <c r="D364" s="11">
        <v>1</v>
      </c>
      <c r="E364" s="11">
        <v>3</v>
      </c>
      <c r="F364" s="11">
        <v>1</v>
      </c>
      <c r="G364" s="11">
        <v>1</v>
      </c>
    </row>
    <row r="365" spans="1:7" x14ac:dyDescent="0.25">
      <c r="A365" s="11">
        <v>2026</v>
      </c>
      <c r="B365" s="11" t="s">
        <v>0</v>
      </c>
      <c r="C365" s="4">
        <v>28</v>
      </c>
      <c r="D365" s="11">
        <v>3</v>
      </c>
      <c r="E365" s="11">
        <v>1</v>
      </c>
      <c r="F365" s="11">
        <v>2</v>
      </c>
      <c r="G365" s="11">
        <v>2</v>
      </c>
    </row>
    <row r="366" spans="1:7" x14ac:dyDescent="0.25">
      <c r="A366" s="11">
        <v>2026</v>
      </c>
      <c r="B366" s="11" t="s">
        <v>1</v>
      </c>
      <c r="C366" s="4">
        <v>1</v>
      </c>
      <c r="D366" s="11">
        <v>3</v>
      </c>
      <c r="E366" s="11">
        <v>2</v>
      </c>
      <c r="F366" s="11">
        <v>1</v>
      </c>
      <c r="G366" s="11">
        <v>1</v>
      </c>
    </row>
    <row r="367" spans="1:7" x14ac:dyDescent="0.25">
      <c r="A367" s="11">
        <v>2026</v>
      </c>
      <c r="B367" s="11" t="s">
        <v>1</v>
      </c>
      <c r="C367" s="4">
        <v>2</v>
      </c>
      <c r="D367" s="11">
        <v>2</v>
      </c>
      <c r="E367" s="11">
        <v>3</v>
      </c>
      <c r="F367" s="11">
        <v>1</v>
      </c>
      <c r="G367" s="11">
        <v>4</v>
      </c>
    </row>
    <row r="368" spans="1:7" x14ac:dyDescent="0.25">
      <c r="A368" s="11">
        <v>2026</v>
      </c>
      <c r="B368" s="11" t="s">
        <v>1</v>
      </c>
      <c r="C368" s="4">
        <v>3</v>
      </c>
      <c r="D368" s="11">
        <v>3</v>
      </c>
      <c r="E368" s="11">
        <v>2</v>
      </c>
      <c r="F368" s="11">
        <v>3</v>
      </c>
      <c r="G368" s="11">
        <v>1</v>
      </c>
    </row>
    <row r="369" spans="1:7" x14ac:dyDescent="0.25">
      <c r="A369" s="11">
        <v>2026</v>
      </c>
      <c r="B369" s="11" t="s">
        <v>1</v>
      </c>
      <c r="C369" s="4">
        <v>4</v>
      </c>
      <c r="D369" s="11">
        <v>2</v>
      </c>
      <c r="E369" s="11">
        <v>2</v>
      </c>
      <c r="F369" s="11">
        <v>1</v>
      </c>
      <c r="G369" s="11">
        <v>2</v>
      </c>
    </row>
    <row r="370" spans="1:7" x14ac:dyDescent="0.25">
      <c r="A370" s="11">
        <v>2026</v>
      </c>
      <c r="B370" s="11" t="s">
        <v>1</v>
      </c>
      <c r="C370" s="4">
        <v>5</v>
      </c>
      <c r="D370" s="11">
        <v>2</v>
      </c>
      <c r="E370" s="11">
        <v>2</v>
      </c>
      <c r="F370" s="11">
        <v>2</v>
      </c>
      <c r="G370" s="11">
        <v>1</v>
      </c>
    </row>
    <row r="371" spans="1:7" x14ac:dyDescent="0.25">
      <c r="A371" s="11">
        <v>2026</v>
      </c>
      <c r="B371" s="11" t="s">
        <v>1</v>
      </c>
      <c r="C371" s="4">
        <v>6</v>
      </c>
      <c r="D371" s="11">
        <v>2</v>
      </c>
      <c r="E371" s="11">
        <v>1</v>
      </c>
      <c r="F371" s="11">
        <v>3</v>
      </c>
      <c r="G371" s="11">
        <v>1</v>
      </c>
    </row>
    <row r="372" spans="1:7" x14ac:dyDescent="0.25">
      <c r="A372" s="11">
        <v>2026</v>
      </c>
      <c r="B372" s="11" t="s">
        <v>1</v>
      </c>
      <c r="C372" s="4">
        <v>7</v>
      </c>
      <c r="D372" s="11">
        <v>2</v>
      </c>
      <c r="E372" s="11">
        <v>1</v>
      </c>
      <c r="F372" s="11">
        <v>1</v>
      </c>
      <c r="G372" s="11">
        <v>2</v>
      </c>
    </row>
    <row r="373" spans="1:7" x14ac:dyDescent="0.25">
      <c r="A373" s="11">
        <v>2026</v>
      </c>
      <c r="B373" s="11" t="s">
        <v>1</v>
      </c>
      <c r="C373" s="4">
        <v>8</v>
      </c>
      <c r="D373" s="11">
        <v>2</v>
      </c>
      <c r="E373" s="11">
        <v>1</v>
      </c>
      <c r="F373" s="11">
        <v>1</v>
      </c>
      <c r="G373" s="11">
        <v>1</v>
      </c>
    </row>
    <row r="374" spans="1:7" x14ac:dyDescent="0.25">
      <c r="A374" s="11">
        <v>2026</v>
      </c>
      <c r="B374" s="11" t="s">
        <v>1</v>
      </c>
      <c r="C374" s="4">
        <v>9</v>
      </c>
      <c r="D374" s="11">
        <v>1</v>
      </c>
      <c r="E374" s="11">
        <v>1</v>
      </c>
      <c r="F374" s="11">
        <v>2</v>
      </c>
      <c r="G374" s="11">
        <v>2</v>
      </c>
    </row>
    <row r="375" spans="1:7" x14ac:dyDescent="0.25">
      <c r="A375" s="11">
        <v>2026</v>
      </c>
      <c r="B375" s="11" t="s">
        <v>1</v>
      </c>
      <c r="C375" s="4">
        <v>10</v>
      </c>
      <c r="D375" s="11">
        <v>1</v>
      </c>
      <c r="E375" s="11">
        <v>3</v>
      </c>
      <c r="F375" s="11">
        <v>2</v>
      </c>
      <c r="G375" s="11">
        <v>2</v>
      </c>
    </row>
    <row r="376" spans="1:7" x14ac:dyDescent="0.25">
      <c r="A376" s="11">
        <v>2026</v>
      </c>
      <c r="B376" s="11" t="s">
        <v>1</v>
      </c>
      <c r="C376" s="4">
        <v>11</v>
      </c>
      <c r="D376" s="11">
        <v>1</v>
      </c>
      <c r="E376" s="11">
        <v>2</v>
      </c>
      <c r="F376" s="11">
        <v>1</v>
      </c>
      <c r="G376" s="11">
        <v>2</v>
      </c>
    </row>
    <row r="377" spans="1:7" x14ac:dyDescent="0.25">
      <c r="A377" s="11">
        <v>2026</v>
      </c>
      <c r="B377" s="11" t="s">
        <v>1</v>
      </c>
      <c r="C377" s="4">
        <v>12</v>
      </c>
      <c r="D377" s="11">
        <v>4</v>
      </c>
      <c r="E377" s="11">
        <v>1</v>
      </c>
      <c r="F377" s="11">
        <v>3</v>
      </c>
      <c r="G377" s="11">
        <v>1</v>
      </c>
    </row>
    <row r="378" spans="1:7" x14ac:dyDescent="0.25">
      <c r="A378" s="11">
        <v>2026</v>
      </c>
      <c r="B378" s="11" t="s">
        <v>1</v>
      </c>
      <c r="C378" s="4">
        <v>13</v>
      </c>
      <c r="D378" s="11">
        <v>3</v>
      </c>
      <c r="E378" s="11">
        <v>2</v>
      </c>
      <c r="F378" s="11">
        <v>2</v>
      </c>
      <c r="G378" s="11">
        <v>2</v>
      </c>
    </row>
    <row r="379" spans="1:7" x14ac:dyDescent="0.25">
      <c r="A379" s="11">
        <v>2026</v>
      </c>
      <c r="B379" s="11" t="s">
        <v>1</v>
      </c>
      <c r="C379" s="4">
        <v>14</v>
      </c>
      <c r="D379" s="11">
        <v>2</v>
      </c>
      <c r="E379" s="11">
        <v>2</v>
      </c>
      <c r="F379" s="11">
        <v>2</v>
      </c>
      <c r="G379" s="11">
        <v>3</v>
      </c>
    </row>
    <row r="380" spans="1:7" x14ac:dyDescent="0.25">
      <c r="A380" s="11">
        <v>2026</v>
      </c>
      <c r="B380" s="11" t="s">
        <v>1</v>
      </c>
      <c r="C380" s="4">
        <v>15</v>
      </c>
      <c r="D380" s="11">
        <v>1</v>
      </c>
      <c r="E380" s="11">
        <v>3</v>
      </c>
      <c r="F380" s="11">
        <v>1</v>
      </c>
      <c r="G380" s="11">
        <v>2</v>
      </c>
    </row>
    <row r="381" spans="1:7" x14ac:dyDescent="0.25">
      <c r="A381" s="11">
        <v>2026</v>
      </c>
      <c r="B381" s="11" t="s">
        <v>1</v>
      </c>
      <c r="C381" s="4">
        <v>16</v>
      </c>
      <c r="D381" s="11">
        <v>1</v>
      </c>
      <c r="E381" s="11">
        <v>3</v>
      </c>
      <c r="F381" s="11">
        <v>4</v>
      </c>
      <c r="G381" s="11">
        <v>2</v>
      </c>
    </row>
    <row r="382" spans="1:7" x14ac:dyDescent="0.25">
      <c r="A382" s="11">
        <v>2026</v>
      </c>
      <c r="B382" s="11" t="s">
        <v>1</v>
      </c>
      <c r="C382" s="4">
        <v>17</v>
      </c>
      <c r="D382" s="11">
        <v>2</v>
      </c>
      <c r="E382" s="11">
        <v>2</v>
      </c>
      <c r="F382" s="11">
        <v>1</v>
      </c>
      <c r="G382" s="11">
        <v>2</v>
      </c>
    </row>
    <row r="383" spans="1:7" x14ac:dyDescent="0.25">
      <c r="A383" s="11">
        <v>2026</v>
      </c>
      <c r="B383" s="11" t="s">
        <v>1</v>
      </c>
      <c r="C383" s="4">
        <v>18</v>
      </c>
      <c r="D383" s="11">
        <v>1</v>
      </c>
      <c r="E383" s="11">
        <v>2</v>
      </c>
      <c r="F383" s="11">
        <v>1</v>
      </c>
      <c r="G383" s="11">
        <v>2</v>
      </c>
    </row>
    <row r="384" spans="1:7" x14ac:dyDescent="0.25">
      <c r="A384" s="11">
        <v>2026</v>
      </c>
      <c r="B384" s="11" t="s">
        <v>1</v>
      </c>
      <c r="C384" s="4">
        <v>19</v>
      </c>
      <c r="D384" s="11">
        <v>1</v>
      </c>
      <c r="E384" s="11">
        <v>3</v>
      </c>
      <c r="F384" s="11">
        <v>2</v>
      </c>
      <c r="G384" s="11">
        <v>1</v>
      </c>
    </row>
    <row r="385" spans="1:7" x14ac:dyDescent="0.25">
      <c r="A385" s="11">
        <v>2026</v>
      </c>
      <c r="B385" s="11" t="s">
        <v>1</v>
      </c>
      <c r="C385" s="4">
        <v>20</v>
      </c>
      <c r="D385" s="11">
        <v>2</v>
      </c>
      <c r="E385" s="11">
        <v>1</v>
      </c>
      <c r="F385" s="11">
        <v>3</v>
      </c>
      <c r="G385" s="11">
        <v>2</v>
      </c>
    </row>
    <row r="386" spans="1:7" x14ac:dyDescent="0.25">
      <c r="A386" s="11">
        <v>2026</v>
      </c>
      <c r="B386" s="11" t="s">
        <v>1</v>
      </c>
      <c r="C386" s="4">
        <v>21</v>
      </c>
      <c r="D386" s="11">
        <v>2</v>
      </c>
      <c r="E386" s="11">
        <v>1</v>
      </c>
      <c r="F386" s="11">
        <v>3</v>
      </c>
      <c r="G386" s="11">
        <v>2</v>
      </c>
    </row>
    <row r="387" spans="1:7" x14ac:dyDescent="0.25">
      <c r="A387" s="11">
        <v>2026</v>
      </c>
      <c r="B387" s="11" t="s">
        <v>1</v>
      </c>
      <c r="C387" s="4">
        <v>22</v>
      </c>
      <c r="D387" s="11">
        <v>1</v>
      </c>
      <c r="E387" s="11">
        <v>2</v>
      </c>
      <c r="F387" s="11">
        <v>1</v>
      </c>
      <c r="G387" s="11">
        <v>1</v>
      </c>
    </row>
    <row r="388" spans="1:7" x14ac:dyDescent="0.25">
      <c r="A388" s="11">
        <v>2026</v>
      </c>
      <c r="B388" s="11" t="s">
        <v>1</v>
      </c>
      <c r="C388" s="4">
        <v>23</v>
      </c>
      <c r="D388" s="11">
        <v>1</v>
      </c>
      <c r="E388" s="11">
        <v>2</v>
      </c>
      <c r="F388" s="11">
        <v>3</v>
      </c>
      <c r="G388" s="11">
        <v>1</v>
      </c>
    </row>
    <row r="389" spans="1:7" x14ac:dyDescent="0.25">
      <c r="A389" s="11">
        <v>2026</v>
      </c>
      <c r="B389" s="11" t="s">
        <v>1</v>
      </c>
      <c r="C389" s="4">
        <v>24</v>
      </c>
      <c r="D389" s="11">
        <v>3</v>
      </c>
      <c r="E389" s="11">
        <v>2</v>
      </c>
      <c r="F389" s="11">
        <v>1</v>
      </c>
      <c r="G389" s="11">
        <v>2</v>
      </c>
    </row>
    <row r="390" spans="1:7" x14ac:dyDescent="0.25">
      <c r="A390" s="11">
        <v>2026</v>
      </c>
      <c r="B390" s="11" t="s">
        <v>1</v>
      </c>
      <c r="C390" s="4">
        <v>25</v>
      </c>
      <c r="D390" s="11">
        <v>1</v>
      </c>
      <c r="E390" s="11">
        <v>2</v>
      </c>
      <c r="F390" s="11">
        <v>1</v>
      </c>
      <c r="G390" s="11">
        <v>4</v>
      </c>
    </row>
    <row r="391" spans="1:7" x14ac:dyDescent="0.25">
      <c r="A391" s="11">
        <v>2026</v>
      </c>
      <c r="B391" s="11" t="s">
        <v>1</v>
      </c>
      <c r="C391" s="4">
        <v>26</v>
      </c>
      <c r="D391" s="11">
        <v>3</v>
      </c>
      <c r="E391" s="11">
        <v>2</v>
      </c>
      <c r="F391" s="11">
        <v>2</v>
      </c>
      <c r="G391" s="11">
        <v>2</v>
      </c>
    </row>
    <row r="392" spans="1:7" x14ac:dyDescent="0.25">
      <c r="A392" s="11">
        <v>2026</v>
      </c>
      <c r="B392" s="11" t="s">
        <v>1</v>
      </c>
      <c r="C392" s="4">
        <v>27</v>
      </c>
      <c r="D392" s="11">
        <v>1</v>
      </c>
      <c r="E392" s="11">
        <v>2</v>
      </c>
      <c r="F392" s="11">
        <v>2</v>
      </c>
      <c r="G392" s="11">
        <v>2</v>
      </c>
    </row>
    <row r="393" spans="1:7" x14ac:dyDescent="0.25">
      <c r="A393" s="11">
        <v>2026</v>
      </c>
      <c r="B393" s="11" t="s">
        <v>1</v>
      </c>
      <c r="C393" s="4">
        <v>28</v>
      </c>
      <c r="D393" s="11">
        <v>2</v>
      </c>
      <c r="E393" s="11">
        <v>1</v>
      </c>
      <c r="F393" s="11">
        <v>3</v>
      </c>
      <c r="G393" s="11">
        <v>2</v>
      </c>
    </row>
    <row r="394" spans="1:7" x14ac:dyDescent="0.25">
      <c r="A394" s="11">
        <v>2026</v>
      </c>
      <c r="B394" s="11" t="s">
        <v>2</v>
      </c>
      <c r="C394" s="4">
        <v>1</v>
      </c>
      <c r="D394" s="11">
        <v>3</v>
      </c>
      <c r="E394" s="11">
        <v>3</v>
      </c>
      <c r="F394" s="11">
        <v>1</v>
      </c>
      <c r="G394" s="11">
        <v>3</v>
      </c>
    </row>
    <row r="395" spans="1:7" x14ac:dyDescent="0.25">
      <c r="A395" s="11">
        <v>2026</v>
      </c>
      <c r="B395" s="11" t="s">
        <v>2</v>
      </c>
      <c r="C395" s="4">
        <v>2</v>
      </c>
      <c r="D395" s="11">
        <v>2</v>
      </c>
      <c r="E395" s="11">
        <v>1</v>
      </c>
      <c r="F395" s="11">
        <v>2</v>
      </c>
      <c r="G395" s="11">
        <v>2</v>
      </c>
    </row>
    <row r="396" spans="1:7" x14ac:dyDescent="0.25">
      <c r="A396" s="11">
        <v>2026</v>
      </c>
      <c r="B396" s="11" t="s">
        <v>2</v>
      </c>
      <c r="C396" s="4">
        <v>3</v>
      </c>
      <c r="D396" s="11">
        <v>1</v>
      </c>
      <c r="E396" s="11">
        <v>1</v>
      </c>
      <c r="F396" s="11">
        <v>1</v>
      </c>
      <c r="G396" s="11">
        <v>3</v>
      </c>
    </row>
    <row r="397" spans="1:7" x14ac:dyDescent="0.25">
      <c r="A397" s="11">
        <v>2026</v>
      </c>
      <c r="B397" s="11" t="s">
        <v>2</v>
      </c>
      <c r="C397" s="4">
        <v>4</v>
      </c>
      <c r="D397" s="11">
        <v>2</v>
      </c>
      <c r="E397" s="11">
        <v>1</v>
      </c>
      <c r="F397" s="11">
        <v>3</v>
      </c>
      <c r="G397" s="11">
        <v>3</v>
      </c>
    </row>
    <row r="398" spans="1:7" x14ac:dyDescent="0.25">
      <c r="A398" s="11">
        <v>2026</v>
      </c>
      <c r="B398" s="11" t="s">
        <v>2</v>
      </c>
      <c r="C398" s="4">
        <v>5</v>
      </c>
      <c r="D398" s="11">
        <v>1</v>
      </c>
      <c r="E398" s="11">
        <v>1</v>
      </c>
      <c r="F398" s="11">
        <v>2</v>
      </c>
      <c r="G398" s="11">
        <v>1</v>
      </c>
    </row>
    <row r="399" spans="1:7" x14ac:dyDescent="0.25">
      <c r="A399" s="11">
        <v>2026</v>
      </c>
      <c r="B399" s="11" t="s">
        <v>2</v>
      </c>
      <c r="C399" s="4">
        <v>6</v>
      </c>
      <c r="D399" s="11">
        <v>1</v>
      </c>
      <c r="E399" s="11">
        <v>3</v>
      </c>
      <c r="F399" s="11">
        <v>3</v>
      </c>
      <c r="G399" s="11">
        <v>2</v>
      </c>
    </row>
    <row r="400" spans="1:7" x14ac:dyDescent="0.25">
      <c r="A400" s="11">
        <v>2026</v>
      </c>
      <c r="B400" s="11" t="s">
        <v>2</v>
      </c>
      <c r="C400" s="4">
        <v>7</v>
      </c>
      <c r="D400" s="11">
        <v>1</v>
      </c>
      <c r="E400" s="11">
        <v>1</v>
      </c>
      <c r="F400" s="11">
        <v>3</v>
      </c>
      <c r="G400" s="11">
        <v>4</v>
      </c>
    </row>
    <row r="401" spans="1:7" x14ac:dyDescent="0.25">
      <c r="A401" s="11">
        <v>2026</v>
      </c>
      <c r="B401" s="11" t="s">
        <v>2</v>
      </c>
      <c r="C401" s="4">
        <v>8</v>
      </c>
      <c r="D401" s="11">
        <v>2</v>
      </c>
      <c r="E401" s="11">
        <v>2</v>
      </c>
      <c r="F401" s="11">
        <v>3</v>
      </c>
      <c r="G401" s="11">
        <v>1</v>
      </c>
    </row>
    <row r="402" spans="1:7" x14ac:dyDescent="0.25">
      <c r="A402" s="11">
        <v>2026</v>
      </c>
      <c r="B402" s="11" t="s">
        <v>2</v>
      </c>
      <c r="C402" s="4">
        <v>9</v>
      </c>
      <c r="D402" s="11">
        <v>2</v>
      </c>
      <c r="E402" s="11">
        <v>3</v>
      </c>
      <c r="F402" s="11">
        <v>1</v>
      </c>
      <c r="G402" s="11">
        <v>3</v>
      </c>
    </row>
    <row r="403" spans="1:7" x14ac:dyDescent="0.25">
      <c r="A403" s="11">
        <v>2026</v>
      </c>
      <c r="B403" s="11" t="s">
        <v>2</v>
      </c>
      <c r="C403" s="4">
        <v>10</v>
      </c>
      <c r="D403" s="11">
        <v>2</v>
      </c>
      <c r="E403" s="11">
        <v>2</v>
      </c>
      <c r="F403" s="11">
        <v>2</v>
      </c>
      <c r="G403" s="11">
        <v>2</v>
      </c>
    </row>
    <row r="404" spans="1:7" x14ac:dyDescent="0.25">
      <c r="A404" s="11">
        <v>2026</v>
      </c>
      <c r="B404" s="11" t="s">
        <v>2</v>
      </c>
      <c r="C404" s="4">
        <v>11</v>
      </c>
      <c r="D404" s="11">
        <v>1</v>
      </c>
      <c r="E404" s="11">
        <v>3</v>
      </c>
      <c r="F404" s="11">
        <v>2</v>
      </c>
      <c r="G404" s="11">
        <v>4</v>
      </c>
    </row>
    <row r="405" spans="1:7" x14ac:dyDescent="0.25">
      <c r="A405" s="11">
        <v>2026</v>
      </c>
      <c r="B405" s="11" t="s">
        <v>2</v>
      </c>
      <c r="C405" s="4">
        <v>12</v>
      </c>
      <c r="D405" s="11">
        <v>1</v>
      </c>
      <c r="E405" s="11">
        <v>1</v>
      </c>
      <c r="F405" s="11">
        <v>1</v>
      </c>
      <c r="G405" s="11">
        <v>1</v>
      </c>
    </row>
    <row r="406" spans="1:7" x14ac:dyDescent="0.25">
      <c r="A406" s="11">
        <v>2026</v>
      </c>
      <c r="B406" s="11" t="s">
        <v>2</v>
      </c>
      <c r="C406" s="4">
        <v>13</v>
      </c>
      <c r="D406" s="11">
        <v>2</v>
      </c>
      <c r="E406" s="11">
        <v>3</v>
      </c>
      <c r="F406" s="11">
        <v>4</v>
      </c>
      <c r="G406" s="11">
        <v>2</v>
      </c>
    </row>
    <row r="407" spans="1:7" x14ac:dyDescent="0.25">
      <c r="A407" s="11">
        <v>2026</v>
      </c>
      <c r="B407" s="11" t="s">
        <v>2</v>
      </c>
      <c r="C407" s="4">
        <v>14</v>
      </c>
      <c r="D407" s="11">
        <v>1</v>
      </c>
      <c r="E407" s="11">
        <v>3</v>
      </c>
      <c r="F407" s="11">
        <v>1</v>
      </c>
      <c r="G407" s="11">
        <v>1</v>
      </c>
    </row>
    <row r="408" spans="1:7" x14ac:dyDescent="0.25">
      <c r="A408" s="11">
        <v>2026</v>
      </c>
      <c r="B408" s="11" t="s">
        <v>2</v>
      </c>
      <c r="C408" s="4">
        <v>15</v>
      </c>
      <c r="D408" s="11">
        <v>4</v>
      </c>
      <c r="E408" s="11">
        <v>1</v>
      </c>
      <c r="F408" s="11">
        <v>4</v>
      </c>
      <c r="G408" s="11">
        <v>1</v>
      </c>
    </row>
    <row r="409" spans="1:7" x14ac:dyDescent="0.25">
      <c r="A409" s="11">
        <v>2026</v>
      </c>
      <c r="B409" s="11" t="s">
        <v>2</v>
      </c>
      <c r="C409" s="4">
        <v>16</v>
      </c>
      <c r="D409" s="11">
        <v>2</v>
      </c>
      <c r="E409" s="11">
        <v>1</v>
      </c>
      <c r="F409" s="11">
        <v>3</v>
      </c>
      <c r="G409" s="11">
        <v>3</v>
      </c>
    </row>
    <row r="410" spans="1:7" x14ac:dyDescent="0.25">
      <c r="A410" s="11">
        <v>2026</v>
      </c>
      <c r="B410" s="11" t="s">
        <v>2</v>
      </c>
      <c r="C410" s="4">
        <v>17</v>
      </c>
      <c r="D410" s="11">
        <v>1</v>
      </c>
      <c r="E410" s="11">
        <v>2</v>
      </c>
      <c r="F410" s="11">
        <v>3</v>
      </c>
      <c r="G410" s="11">
        <v>2</v>
      </c>
    </row>
    <row r="411" spans="1:7" x14ac:dyDescent="0.25">
      <c r="A411" s="11">
        <v>2026</v>
      </c>
      <c r="B411" s="11" t="s">
        <v>2</v>
      </c>
      <c r="C411" s="4">
        <v>18</v>
      </c>
      <c r="D411" s="11">
        <v>1</v>
      </c>
      <c r="E411" s="11">
        <v>1</v>
      </c>
      <c r="F411" s="11">
        <v>3</v>
      </c>
      <c r="G411" s="11">
        <v>3</v>
      </c>
    </row>
    <row r="412" spans="1:7" x14ac:dyDescent="0.25">
      <c r="A412" s="11">
        <v>2026</v>
      </c>
      <c r="B412" s="11" t="s">
        <v>2</v>
      </c>
      <c r="C412" s="4">
        <v>19</v>
      </c>
      <c r="D412" s="11">
        <v>4</v>
      </c>
      <c r="E412" s="11">
        <v>4</v>
      </c>
      <c r="F412" s="11">
        <v>1</v>
      </c>
      <c r="G412" s="11">
        <v>3</v>
      </c>
    </row>
    <row r="413" spans="1:7" x14ac:dyDescent="0.25">
      <c r="A413" s="11">
        <v>2026</v>
      </c>
      <c r="B413" s="11" t="s">
        <v>2</v>
      </c>
      <c r="C413" s="4">
        <v>20</v>
      </c>
      <c r="D413" s="11">
        <v>3</v>
      </c>
      <c r="E413" s="11">
        <v>2</v>
      </c>
      <c r="F413" s="11">
        <v>1</v>
      </c>
      <c r="G413" s="11">
        <v>2</v>
      </c>
    </row>
    <row r="414" spans="1:7" x14ac:dyDescent="0.25">
      <c r="A414" s="11">
        <v>2026</v>
      </c>
      <c r="B414" s="11" t="s">
        <v>2</v>
      </c>
      <c r="C414" s="4">
        <v>21</v>
      </c>
      <c r="D414" s="11">
        <v>2</v>
      </c>
      <c r="E414" s="11">
        <v>1</v>
      </c>
      <c r="F414" s="11">
        <v>4</v>
      </c>
      <c r="G414" s="11">
        <v>1</v>
      </c>
    </row>
    <row r="415" spans="1:7" x14ac:dyDescent="0.25">
      <c r="A415" s="11">
        <v>2026</v>
      </c>
      <c r="B415" s="11" t="s">
        <v>2</v>
      </c>
      <c r="C415" s="4">
        <v>22</v>
      </c>
      <c r="D415" s="11">
        <v>1</v>
      </c>
      <c r="E415" s="11">
        <v>4</v>
      </c>
      <c r="F415" s="11">
        <v>2</v>
      </c>
      <c r="G415" s="11">
        <v>2</v>
      </c>
    </row>
    <row r="416" spans="1:7" x14ac:dyDescent="0.25">
      <c r="A416" s="11">
        <v>2026</v>
      </c>
      <c r="B416" s="11" t="s">
        <v>2</v>
      </c>
      <c r="C416" s="4">
        <v>23</v>
      </c>
      <c r="D416" s="11">
        <v>1</v>
      </c>
      <c r="E416" s="11">
        <v>2</v>
      </c>
      <c r="F416" s="11">
        <v>3</v>
      </c>
      <c r="G416" s="11">
        <v>4</v>
      </c>
    </row>
    <row r="417" spans="1:7" x14ac:dyDescent="0.25">
      <c r="A417" s="11">
        <v>2026</v>
      </c>
      <c r="B417" s="11" t="s">
        <v>2</v>
      </c>
      <c r="C417" s="4">
        <v>24</v>
      </c>
      <c r="D417" s="11">
        <v>1</v>
      </c>
      <c r="E417" s="11">
        <v>1</v>
      </c>
      <c r="F417" s="11">
        <v>1</v>
      </c>
      <c r="G417" s="11">
        <v>3</v>
      </c>
    </row>
    <row r="418" spans="1:7" x14ac:dyDescent="0.25">
      <c r="A418" s="11">
        <v>2026</v>
      </c>
      <c r="B418" s="11" t="s">
        <v>2</v>
      </c>
      <c r="C418" s="4">
        <v>25</v>
      </c>
      <c r="D418" s="11">
        <v>3</v>
      </c>
      <c r="E418" s="11">
        <v>1</v>
      </c>
      <c r="F418" s="11">
        <v>1</v>
      </c>
      <c r="G418" s="11">
        <v>1</v>
      </c>
    </row>
    <row r="419" spans="1:7" x14ac:dyDescent="0.25">
      <c r="A419" s="11">
        <v>2026</v>
      </c>
      <c r="B419" s="11" t="s">
        <v>2</v>
      </c>
      <c r="C419" s="4">
        <v>26</v>
      </c>
      <c r="D419" s="11">
        <v>3</v>
      </c>
      <c r="E419" s="11">
        <v>3</v>
      </c>
      <c r="F419" s="11">
        <v>1</v>
      </c>
      <c r="G419" s="11">
        <v>1</v>
      </c>
    </row>
    <row r="420" spans="1:7" x14ac:dyDescent="0.25">
      <c r="A420" s="11">
        <v>2026</v>
      </c>
      <c r="B420" s="11" t="s">
        <v>2</v>
      </c>
      <c r="C420" s="4">
        <v>27</v>
      </c>
      <c r="D420" s="11">
        <v>1</v>
      </c>
      <c r="E420" s="11">
        <v>1</v>
      </c>
      <c r="F420" s="11">
        <v>2</v>
      </c>
      <c r="G420" s="11">
        <v>1</v>
      </c>
    </row>
    <row r="421" spans="1:7" x14ac:dyDescent="0.25">
      <c r="A421" s="11">
        <v>2026</v>
      </c>
      <c r="B421" s="11" t="s">
        <v>2</v>
      </c>
      <c r="C421" s="4">
        <v>28</v>
      </c>
      <c r="D421" s="11">
        <v>3</v>
      </c>
      <c r="E421" s="11">
        <v>1</v>
      </c>
      <c r="F421" s="11">
        <v>4</v>
      </c>
      <c r="G421" s="11">
        <v>2</v>
      </c>
    </row>
    <row r="422" spans="1:7" x14ac:dyDescent="0.25">
      <c r="A422" s="11">
        <v>2026</v>
      </c>
      <c r="B422" s="11" t="s">
        <v>3</v>
      </c>
      <c r="C422" s="4">
        <v>1</v>
      </c>
      <c r="D422" s="11">
        <v>2</v>
      </c>
      <c r="E422" s="11">
        <v>4</v>
      </c>
      <c r="F422" s="11">
        <v>4</v>
      </c>
      <c r="G422" s="11">
        <v>4</v>
      </c>
    </row>
    <row r="423" spans="1:7" x14ac:dyDescent="0.25">
      <c r="A423" s="11">
        <v>2026</v>
      </c>
      <c r="B423" s="11" t="s">
        <v>3</v>
      </c>
      <c r="C423" s="4">
        <v>2</v>
      </c>
      <c r="D423" s="11">
        <v>4</v>
      </c>
      <c r="E423" s="11">
        <v>2</v>
      </c>
      <c r="F423" s="11">
        <v>3</v>
      </c>
      <c r="G423" s="11">
        <v>1</v>
      </c>
    </row>
    <row r="424" spans="1:7" x14ac:dyDescent="0.25">
      <c r="A424" s="11">
        <v>2026</v>
      </c>
      <c r="B424" s="11" t="s">
        <v>3</v>
      </c>
      <c r="C424" s="4">
        <v>3</v>
      </c>
      <c r="D424" s="11">
        <v>2</v>
      </c>
      <c r="E424" s="11">
        <v>1</v>
      </c>
      <c r="F424" s="11">
        <v>2</v>
      </c>
      <c r="G424" s="11">
        <v>1</v>
      </c>
    </row>
    <row r="425" spans="1:7" x14ac:dyDescent="0.25">
      <c r="A425" s="11">
        <v>2026</v>
      </c>
      <c r="B425" s="11" t="s">
        <v>3</v>
      </c>
      <c r="C425" s="4">
        <v>4</v>
      </c>
      <c r="D425" s="11">
        <v>2</v>
      </c>
      <c r="E425" s="11">
        <v>1</v>
      </c>
      <c r="F425" s="11">
        <v>3</v>
      </c>
      <c r="G425" s="11">
        <v>1</v>
      </c>
    </row>
    <row r="426" spans="1:7" x14ac:dyDescent="0.25">
      <c r="A426" s="11">
        <v>2026</v>
      </c>
      <c r="B426" s="11" t="s">
        <v>3</v>
      </c>
      <c r="C426" s="4">
        <v>5</v>
      </c>
      <c r="D426" s="11">
        <v>2</v>
      </c>
      <c r="E426" s="11">
        <v>3</v>
      </c>
      <c r="F426" s="11">
        <v>1</v>
      </c>
      <c r="G426" s="11">
        <v>1</v>
      </c>
    </row>
    <row r="427" spans="1:7" x14ac:dyDescent="0.25">
      <c r="A427" s="11">
        <v>2026</v>
      </c>
      <c r="B427" s="11" t="s">
        <v>3</v>
      </c>
      <c r="C427" s="4">
        <v>6</v>
      </c>
      <c r="D427" s="11">
        <v>2</v>
      </c>
      <c r="E427" s="11">
        <v>2</v>
      </c>
      <c r="F427" s="11">
        <v>1</v>
      </c>
      <c r="G427" s="11">
        <v>1</v>
      </c>
    </row>
    <row r="428" spans="1:7" x14ac:dyDescent="0.25">
      <c r="A428" s="11">
        <v>2026</v>
      </c>
      <c r="B428" s="11" t="s">
        <v>3</v>
      </c>
      <c r="C428" s="4">
        <v>7</v>
      </c>
      <c r="D428" s="11">
        <v>1</v>
      </c>
      <c r="E428" s="11">
        <v>2</v>
      </c>
      <c r="F428" s="11">
        <v>3</v>
      </c>
      <c r="G428" s="11">
        <v>1</v>
      </c>
    </row>
    <row r="429" spans="1:7" x14ac:dyDescent="0.25">
      <c r="A429" s="11">
        <v>2026</v>
      </c>
      <c r="B429" s="11" t="s">
        <v>3</v>
      </c>
      <c r="C429" s="4">
        <v>8</v>
      </c>
      <c r="D429" s="11">
        <v>2</v>
      </c>
      <c r="E429" s="11">
        <v>3</v>
      </c>
      <c r="F429" s="11">
        <v>1</v>
      </c>
      <c r="G429" s="11">
        <v>1</v>
      </c>
    </row>
    <row r="430" spans="1:7" x14ac:dyDescent="0.25">
      <c r="A430" s="11">
        <v>2026</v>
      </c>
      <c r="B430" s="11" t="s">
        <v>3</v>
      </c>
      <c r="C430" s="4">
        <v>9</v>
      </c>
      <c r="D430" s="11">
        <v>3</v>
      </c>
      <c r="E430" s="11">
        <v>3</v>
      </c>
      <c r="F430" s="11">
        <v>4</v>
      </c>
      <c r="G430" s="11">
        <v>1</v>
      </c>
    </row>
    <row r="431" spans="1:7" x14ac:dyDescent="0.25">
      <c r="A431" s="11">
        <v>2026</v>
      </c>
      <c r="B431" s="11" t="s">
        <v>3</v>
      </c>
      <c r="C431" s="4">
        <v>10</v>
      </c>
      <c r="D431" s="11">
        <v>3</v>
      </c>
      <c r="E431" s="11">
        <v>2</v>
      </c>
      <c r="F431" s="11">
        <v>1</v>
      </c>
      <c r="G431" s="11">
        <v>3</v>
      </c>
    </row>
    <row r="432" spans="1:7" x14ac:dyDescent="0.25">
      <c r="A432" s="11">
        <v>2026</v>
      </c>
      <c r="B432" s="11" t="s">
        <v>3</v>
      </c>
      <c r="C432" s="4">
        <v>11</v>
      </c>
      <c r="D432" s="11">
        <v>3</v>
      </c>
      <c r="E432" s="11">
        <v>4</v>
      </c>
      <c r="F432" s="11">
        <v>3</v>
      </c>
      <c r="G432" s="11">
        <v>2</v>
      </c>
    </row>
    <row r="433" spans="1:7" x14ac:dyDescent="0.25">
      <c r="A433" s="11">
        <v>2026</v>
      </c>
      <c r="B433" s="11" t="s">
        <v>3</v>
      </c>
      <c r="C433" s="4">
        <v>12</v>
      </c>
      <c r="D433" s="11">
        <v>2</v>
      </c>
      <c r="E433" s="11">
        <v>1</v>
      </c>
      <c r="F433" s="11">
        <v>2</v>
      </c>
      <c r="G433" s="11">
        <v>1</v>
      </c>
    </row>
    <row r="434" spans="1:7" x14ac:dyDescent="0.25">
      <c r="A434" s="11">
        <v>2026</v>
      </c>
      <c r="B434" s="11" t="s">
        <v>3</v>
      </c>
      <c r="C434" s="4">
        <v>13</v>
      </c>
      <c r="D434" s="11">
        <v>2</v>
      </c>
      <c r="E434" s="11">
        <v>1</v>
      </c>
      <c r="F434" s="11">
        <v>2</v>
      </c>
      <c r="G434" s="11">
        <v>2</v>
      </c>
    </row>
    <row r="435" spans="1:7" x14ac:dyDescent="0.25">
      <c r="A435" s="11">
        <v>2026</v>
      </c>
      <c r="B435" s="11" t="s">
        <v>3</v>
      </c>
      <c r="C435" s="4">
        <v>14</v>
      </c>
      <c r="D435" s="11">
        <v>1</v>
      </c>
      <c r="E435" s="11">
        <v>2</v>
      </c>
      <c r="F435" s="11">
        <v>1</v>
      </c>
      <c r="G435" s="11">
        <v>3</v>
      </c>
    </row>
    <row r="436" spans="1:7" x14ac:dyDescent="0.25">
      <c r="A436" s="11">
        <v>2026</v>
      </c>
      <c r="B436" s="11" t="s">
        <v>3</v>
      </c>
      <c r="C436" s="4">
        <v>15</v>
      </c>
      <c r="D436" s="11">
        <v>1</v>
      </c>
      <c r="E436" s="11">
        <v>2</v>
      </c>
      <c r="F436" s="11">
        <v>2</v>
      </c>
      <c r="G436" s="11">
        <v>2</v>
      </c>
    </row>
    <row r="437" spans="1:7" x14ac:dyDescent="0.25">
      <c r="A437" s="11">
        <v>2026</v>
      </c>
      <c r="B437" s="11" t="s">
        <v>3</v>
      </c>
      <c r="C437" s="4">
        <v>16</v>
      </c>
      <c r="D437" s="11">
        <v>3</v>
      </c>
      <c r="E437" s="11">
        <v>2</v>
      </c>
      <c r="F437" s="11">
        <v>2</v>
      </c>
      <c r="G437" s="11">
        <v>1</v>
      </c>
    </row>
    <row r="438" spans="1:7" x14ac:dyDescent="0.25">
      <c r="A438" s="11">
        <v>2026</v>
      </c>
      <c r="B438" s="11" t="s">
        <v>3</v>
      </c>
      <c r="C438" s="4">
        <v>17</v>
      </c>
      <c r="D438" s="11">
        <v>1</v>
      </c>
      <c r="E438" s="11">
        <v>4</v>
      </c>
      <c r="F438" s="11">
        <v>3</v>
      </c>
      <c r="G438" s="11">
        <v>2</v>
      </c>
    </row>
    <row r="439" spans="1:7" x14ac:dyDescent="0.25">
      <c r="A439" s="11">
        <v>2026</v>
      </c>
      <c r="B439" s="11" t="s">
        <v>3</v>
      </c>
      <c r="C439" s="4">
        <v>18</v>
      </c>
      <c r="D439" s="11">
        <v>4</v>
      </c>
      <c r="E439" s="11">
        <v>2</v>
      </c>
      <c r="F439" s="11">
        <v>4</v>
      </c>
      <c r="G439" s="11">
        <v>4</v>
      </c>
    </row>
    <row r="440" spans="1:7" x14ac:dyDescent="0.25">
      <c r="A440" s="11">
        <v>2026</v>
      </c>
      <c r="B440" s="11" t="s">
        <v>3</v>
      </c>
      <c r="C440" s="4">
        <v>19</v>
      </c>
      <c r="D440" s="11">
        <v>2</v>
      </c>
      <c r="E440" s="11">
        <v>2</v>
      </c>
      <c r="F440" s="11">
        <v>4</v>
      </c>
      <c r="G440" s="11">
        <v>3</v>
      </c>
    </row>
    <row r="441" spans="1:7" x14ac:dyDescent="0.25">
      <c r="A441" s="11">
        <v>2026</v>
      </c>
      <c r="B441" s="11" t="s">
        <v>3</v>
      </c>
      <c r="C441" s="4">
        <v>20</v>
      </c>
      <c r="D441" s="11">
        <v>1</v>
      </c>
      <c r="E441" s="11">
        <v>1</v>
      </c>
      <c r="F441" s="11">
        <v>2</v>
      </c>
      <c r="G441" s="11">
        <v>4</v>
      </c>
    </row>
    <row r="442" spans="1:7" x14ac:dyDescent="0.25">
      <c r="A442" s="11">
        <v>2026</v>
      </c>
      <c r="B442" s="11" t="s">
        <v>3</v>
      </c>
      <c r="C442" s="4">
        <v>21</v>
      </c>
      <c r="D442" s="11">
        <v>3</v>
      </c>
      <c r="E442" s="11">
        <v>1</v>
      </c>
      <c r="F442" s="11">
        <v>1</v>
      </c>
      <c r="G442" s="11">
        <v>3</v>
      </c>
    </row>
    <row r="443" spans="1:7" x14ac:dyDescent="0.25">
      <c r="A443" s="11">
        <v>2026</v>
      </c>
      <c r="B443" s="11" t="s">
        <v>3</v>
      </c>
      <c r="C443" s="4">
        <v>22</v>
      </c>
      <c r="D443" s="11">
        <v>1</v>
      </c>
      <c r="E443" s="11">
        <v>2</v>
      </c>
      <c r="F443" s="11">
        <v>3</v>
      </c>
      <c r="G443" s="11">
        <v>2</v>
      </c>
    </row>
    <row r="444" spans="1:7" x14ac:dyDescent="0.25">
      <c r="A444" s="11">
        <v>2026</v>
      </c>
      <c r="B444" s="11" t="s">
        <v>3</v>
      </c>
      <c r="C444" s="4">
        <v>23</v>
      </c>
      <c r="D444" s="11">
        <v>1</v>
      </c>
      <c r="E444" s="11">
        <v>3</v>
      </c>
      <c r="F444" s="11">
        <v>1</v>
      </c>
      <c r="G444" s="11">
        <v>1</v>
      </c>
    </row>
    <row r="445" spans="1:7" x14ac:dyDescent="0.25">
      <c r="A445" s="11">
        <v>2026</v>
      </c>
      <c r="B445" s="11" t="s">
        <v>3</v>
      </c>
      <c r="C445" s="4">
        <v>24</v>
      </c>
      <c r="D445" s="11">
        <v>1</v>
      </c>
      <c r="E445" s="11">
        <v>2</v>
      </c>
      <c r="F445" s="11">
        <v>3</v>
      </c>
      <c r="G445" s="11">
        <v>1</v>
      </c>
    </row>
    <row r="446" spans="1:7" x14ac:dyDescent="0.25">
      <c r="A446" s="11">
        <v>2026</v>
      </c>
      <c r="B446" s="11" t="s">
        <v>3</v>
      </c>
      <c r="C446" s="4">
        <v>25</v>
      </c>
      <c r="D446" s="11">
        <v>2</v>
      </c>
      <c r="E446" s="11">
        <v>2</v>
      </c>
      <c r="F446" s="11">
        <v>3</v>
      </c>
      <c r="G446" s="11">
        <v>4</v>
      </c>
    </row>
    <row r="447" spans="1:7" x14ac:dyDescent="0.25">
      <c r="A447" s="11">
        <v>2026</v>
      </c>
      <c r="B447" s="11" t="s">
        <v>3</v>
      </c>
      <c r="C447" s="4">
        <v>26</v>
      </c>
      <c r="D447" s="11">
        <v>2</v>
      </c>
      <c r="E447" s="11">
        <v>3</v>
      </c>
      <c r="F447" s="11">
        <v>4</v>
      </c>
      <c r="G447" s="11">
        <v>2</v>
      </c>
    </row>
    <row r="448" spans="1:7" x14ac:dyDescent="0.25">
      <c r="A448" s="11">
        <v>2026</v>
      </c>
      <c r="B448" s="11" t="s">
        <v>3</v>
      </c>
      <c r="C448" s="4">
        <v>27</v>
      </c>
      <c r="D448" s="11">
        <v>4</v>
      </c>
      <c r="E448" s="11">
        <v>2</v>
      </c>
      <c r="F448" s="11">
        <v>4</v>
      </c>
      <c r="G448" s="11">
        <v>3</v>
      </c>
    </row>
    <row r="449" spans="1:7" x14ac:dyDescent="0.25">
      <c r="A449" s="11">
        <v>2026</v>
      </c>
      <c r="B449" s="11" t="s">
        <v>3</v>
      </c>
      <c r="C449" s="4">
        <v>28</v>
      </c>
      <c r="D449" s="11">
        <v>1</v>
      </c>
      <c r="E449" s="11">
        <v>1</v>
      </c>
      <c r="F449" s="11">
        <v>3</v>
      </c>
      <c r="G449" s="11">
        <v>3</v>
      </c>
    </row>
    <row r="450" spans="1:7" x14ac:dyDescent="0.25">
      <c r="A450" s="11">
        <v>2026</v>
      </c>
      <c r="B450" s="11" t="s">
        <v>4</v>
      </c>
      <c r="C450" s="4">
        <v>1</v>
      </c>
      <c r="D450" s="11">
        <v>2</v>
      </c>
      <c r="E450" s="11">
        <v>1</v>
      </c>
      <c r="F450" s="11">
        <v>3</v>
      </c>
      <c r="G450" s="11">
        <v>2</v>
      </c>
    </row>
    <row r="451" spans="1:7" x14ac:dyDescent="0.25">
      <c r="A451" s="11">
        <v>2026</v>
      </c>
      <c r="B451" s="11" t="s">
        <v>4</v>
      </c>
      <c r="C451" s="4">
        <v>2</v>
      </c>
      <c r="D451" s="11">
        <v>1</v>
      </c>
      <c r="E451" s="11">
        <v>2</v>
      </c>
      <c r="F451" s="11">
        <v>1</v>
      </c>
      <c r="G451" s="11">
        <v>4</v>
      </c>
    </row>
    <row r="452" spans="1:7" x14ac:dyDescent="0.25">
      <c r="A452" s="11">
        <v>2026</v>
      </c>
      <c r="B452" s="11" t="s">
        <v>4</v>
      </c>
      <c r="C452" s="4">
        <v>3</v>
      </c>
      <c r="D452" s="11">
        <v>3</v>
      </c>
      <c r="E452" s="11">
        <v>3</v>
      </c>
      <c r="F452" s="11">
        <v>2</v>
      </c>
      <c r="G452" s="11">
        <v>2</v>
      </c>
    </row>
    <row r="453" spans="1:7" x14ac:dyDescent="0.25">
      <c r="A453" s="11">
        <v>2026</v>
      </c>
      <c r="B453" s="11" t="s">
        <v>4</v>
      </c>
      <c r="C453" s="4">
        <v>4</v>
      </c>
      <c r="D453" s="11">
        <v>3</v>
      </c>
      <c r="E453" s="11">
        <v>1</v>
      </c>
      <c r="F453" s="11">
        <v>2</v>
      </c>
      <c r="G453" s="11">
        <v>1</v>
      </c>
    </row>
    <row r="454" spans="1:7" x14ac:dyDescent="0.25">
      <c r="A454" s="11">
        <v>2026</v>
      </c>
      <c r="B454" s="11" t="s">
        <v>4</v>
      </c>
      <c r="C454" s="4">
        <v>5</v>
      </c>
      <c r="D454" s="11">
        <v>1</v>
      </c>
      <c r="E454" s="11">
        <v>3</v>
      </c>
      <c r="F454" s="11">
        <v>1</v>
      </c>
      <c r="G454" s="11">
        <v>3</v>
      </c>
    </row>
    <row r="455" spans="1:7" x14ac:dyDescent="0.25">
      <c r="A455" s="11">
        <v>2026</v>
      </c>
      <c r="B455" s="11" t="s">
        <v>4</v>
      </c>
      <c r="C455" s="4">
        <v>6</v>
      </c>
      <c r="D455" s="11">
        <v>1</v>
      </c>
      <c r="E455" s="11">
        <v>2</v>
      </c>
      <c r="F455" s="11">
        <v>1</v>
      </c>
      <c r="G455" s="11">
        <v>3</v>
      </c>
    </row>
    <row r="456" spans="1:7" x14ac:dyDescent="0.25">
      <c r="A456" s="11">
        <v>2026</v>
      </c>
      <c r="B456" s="11" t="s">
        <v>4</v>
      </c>
      <c r="C456" s="4">
        <v>7</v>
      </c>
      <c r="D456" s="11">
        <v>2</v>
      </c>
      <c r="E456" s="11">
        <v>2</v>
      </c>
      <c r="F456" s="11">
        <v>1</v>
      </c>
      <c r="G456" s="11">
        <v>3</v>
      </c>
    </row>
    <row r="457" spans="1:7" x14ac:dyDescent="0.25">
      <c r="A457" s="11">
        <v>2026</v>
      </c>
      <c r="B457" s="11" t="s">
        <v>4</v>
      </c>
      <c r="C457" s="4">
        <v>8</v>
      </c>
      <c r="D457" s="11">
        <v>1</v>
      </c>
      <c r="E457" s="11">
        <v>2</v>
      </c>
      <c r="F457" s="11">
        <v>1</v>
      </c>
      <c r="G457" s="11">
        <v>2</v>
      </c>
    </row>
    <row r="458" spans="1:7" x14ac:dyDescent="0.25">
      <c r="A458" s="11">
        <v>2026</v>
      </c>
      <c r="B458" s="11" t="s">
        <v>4</v>
      </c>
      <c r="C458" s="4">
        <v>9</v>
      </c>
      <c r="D458" s="11">
        <v>2</v>
      </c>
      <c r="E458" s="11">
        <v>1</v>
      </c>
      <c r="F458" s="11">
        <v>1</v>
      </c>
      <c r="G458" s="11">
        <v>3</v>
      </c>
    </row>
    <row r="459" spans="1:7" x14ac:dyDescent="0.25">
      <c r="A459" s="11">
        <v>2026</v>
      </c>
      <c r="B459" s="11" t="s">
        <v>4</v>
      </c>
      <c r="C459" s="4">
        <v>10</v>
      </c>
      <c r="D459" s="11">
        <v>1</v>
      </c>
      <c r="E459" s="11">
        <v>1</v>
      </c>
      <c r="F459" s="11">
        <v>1</v>
      </c>
      <c r="G459" s="11">
        <v>1</v>
      </c>
    </row>
    <row r="460" spans="1:7" x14ac:dyDescent="0.25">
      <c r="A460" s="11">
        <v>2026</v>
      </c>
      <c r="B460" s="11" t="s">
        <v>4</v>
      </c>
      <c r="C460" s="4">
        <v>11</v>
      </c>
      <c r="D460" s="11">
        <v>3</v>
      </c>
      <c r="E460" s="11">
        <v>2</v>
      </c>
      <c r="F460" s="11">
        <v>1</v>
      </c>
      <c r="G460" s="11">
        <v>3</v>
      </c>
    </row>
    <row r="461" spans="1:7" x14ac:dyDescent="0.25">
      <c r="A461" s="11">
        <v>2026</v>
      </c>
      <c r="B461" s="11" t="s">
        <v>4</v>
      </c>
      <c r="C461" s="4">
        <v>12</v>
      </c>
      <c r="D461" s="11">
        <v>1</v>
      </c>
      <c r="E461" s="11">
        <v>2</v>
      </c>
      <c r="F461" s="11">
        <v>1</v>
      </c>
      <c r="G461" s="11">
        <v>3</v>
      </c>
    </row>
    <row r="462" spans="1:7" x14ac:dyDescent="0.25">
      <c r="A462" s="11">
        <v>2026</v>
      </c>
      <c r="B462" s="11" t="s">
        <v>4</v>
      </c>
      <c r="C462" s="4">
        <v>13</v>
      </c>
      <c r="D462" s="11">
        <v>3</v>
      </c>
      <c r="E462" s="11">
        <v>2</v>
      </c>
      <c r="F462" s="11">
        <v>3</v>
      </c>
      <c r="G462" s="11">
        <v>1</v>
      </c>
    </row>
    <row r="463" spans="1:7" x14ac:dyDescent="0.25">
      <c r="A463" s="11">
        <v>2026</v>
      </c>
      <c r="B463" s="11" t="s">
        <v>4</v>
      </c>
      <c r="C463" s="4">
        <v>14</v>
      </c>
      <c r="D463" s="11">
        <v>1</v>
      </c>
      <c r="E463" s="11">
        <v>2</v>
      </c>
      <c r="F463" s="11">
        <v>1</v>
      </c>
      <c r="G463" s="11">
        <v>3</v>
      </c>
    </row>
    <row r="464" spans="1:7" x14ac:dyDescent="0.25">
      <c r="A464" s="11">
        <v>2026</v>
      </c>
      <c r="B464" s="11" t="s">
        <v>4</v>
      </c>
      <c r="C464" s="4">
        <v>15</v>
      </c>
      <c r="D464" s="11">
        <v>3</v>
      </c>
      <c r="E464" s="11">
        <v>3</v>
      </c>
      <c r="F464" s="11">
        <v>1</v>
      </c>
      <c r="G464" s="11">
        <v>2</v>
      </c>
    </row>
    <row r="465" spans="1:7" x14ac:dyDescent="0.25">
      <c r="A465" s="11">
        <v>2026</v>
      </c>
      <c r="B465" s="11" t="s">
        <v>4</v>
      </c>
      <c r="C465" s="4">
        <v>16</v>
      </c>
      <c r="D465" s="11">
        <v>4</v>
      </c>
      <c r="E465" s="11">
        <v>1</v>
      </c>
      <c r="F465" s="11">
        <v>1</v>
      </c>
      <c r="G465" s="11">
        <v>2</v>
      </c>
    </row>
    <row r="466" spans="1:7" x14ac:dyDescent="0.25">
      <c r="A466" s="11">
        <v>2026</v>
      </c>
      <c r="B466" s="11" t="s">
        <v>4</v>
      </c>
      <c r="C466" s="4">
        <v>17</v>
      </c>
      <c r="D466" s="11">
        <v>1</v>
      </c>
      <c r="E466" s="11">
        <v>2</v>
      </c>
      <c r="F466" s="11">
        <v>1</v>
      </c>
      <c r="G466" s="11">
        <v>1</v>
      </c>
    </row>
    <row r="467" spans="1:7" x14ac:dyDescent="0.25">
      <c r="A467" s="11">
        <v>2026</v>
      </c>
      <c r="B467" s="11" t="s">
        <v>4</v>
      </c>
      <c r="C467" s="4">
        <v>18</v>
      </c>
      <c r="D467" s="11">
        <v>4</v>
      </c>
      <c r="E467" s="11">
        <v>2</v>
      </c>
      <c r="F467" s="11">
        <v>3</v>
      </c>
      <c r="G467" s="11">
        <v>3</v>
      </c>
    </row>
    <row r="468" spans="1:7" x14ac:dyDescent="0.25">
      <c r="A468" s="11">
        <v>2026</v>
      </c>
      <c r="B468" s="11" t="s">
        <v>4</v>
      </c>
      <c r="C468" s="4">
        <v>19</v>
      </c>
      <c r="D468" s="11">
        <v>1</v>
      </c>
      <c r="E468" s="11">
        <v>3</v>
      </c>
      <c r="F468" s="11">
        <v>1</v>
      </c>
      <c r="G468" s="11">
        <v>4</v>
      </c>
    </row>
    <row r="469" spans="1:7" x14ac:dyDescent="0.25">
      <c r="A469" s="11">
        <v>2026</v>
      </c>
      <c r="B469" s="11" t="s">
        <v>4</v>
      </c>
      <c r="C469" s="4">
        <v>20</v>
      </c>
      <c r="D469" s="11">
        <v>3</v>
      </c>
      <c r="E469" s="11">
        <v>2</v>
      </c>
      <c r="F469" s="11">
        <v>2</v>
      </c>
      <c r="G469" s="11">
        <v>1</v>
      </c>
    </row>
    <row r="470" spans="1:7" x14ac:dyDescent="0.25">
      <c r="A470" s="11">
        <v>2026</v>
      </c>
      <c r="B470" s="11" t="s">
        <v>4</v>
      </c>
      <c r="C470" s="4">
        <v>21</v>
      </c>
      <c r="D470" s="11">
        <v>2</v>
      </c>
      <c r="E470" s="11">
        <v>3</v>
      </c>
      <c r="F470" s="11">
        <v>3</v>
      </c>
      <c r="G470" s="11">
        <v>4</v>
      </c>
    </row>
    <row r="471" spans="1:7" x14ac:dyDescent="0.25">
      <c r="A471" s="11">
        <v>2026</v>
      </c>
      <c r="B471" s="11" t="s">
        <v>4</v>
      </c>
      <c r="C471" s="4">
        <v>22</v>
      </c>
      <c r="D471" s="11">
        <v>1</v>
      </c>
      <c r="E471" s="11">
        <v>1</v>
      </c>
      <c r="F471" s="11">
        <v>2</v>
      </c>
      <c r="G471" s="11">
        <v>4</v>
      </c>
    </row>
    <row r="472" spans="1:7" x14ac:dyDescent="0.25">
      <c r="A472" s="11">
        <v>2026</v>
      </c>
      <c r="B472" s="11" t="s">
        <v>4</v>
      </c>
      <c r="C472" s="4">
        <v>23</v>
      </c>
      <c r="D472" s="11">
        <v>2</v>
      </c>
      <c r="E472" s="11">
        <v>2</v>
      </c>
      <c r="F472" s="11">
        <v>3</v>
      </c>
      <c r="G472" s="11">
        <v>4</v>
      </c>
    </row>
    <row r="473" spans="1:7" x14ac:dyDescent="0.25">
      <c r="A473" s="11">
        <v>2026</v>
      </c>
      <c r="B473" s="11" t="s">
        <v>4</v>
      </c>
      <c r="C473" s="4">
        <v>24</v>
      </c>
      <c r="D473" s="11">
        <v>3</v>
      </c>
      <c r="E473" s="11">
        <v>1</v>
      </c>
      <c r="F473" s="11">
        <v>1</v>
      </c>
      <c r="G473" s="11">
        <v>1</v>
      </c>
    </row>
    <row r="474" spans="1:7" x14ac:dyDescent="0.25">
      <c r="A474" s="11">
        <v>2026</v>
      </c>
      <c r="B474" s="11" t="s">
        <v>4</v>
      </c>
      <c r="C474" s="4">
        <v>25</v>
      </c>
      <c r="D474" s="11">
        <v>1</v>
      </c>
      <c r="E474" s="11">
        <v>1</v>
      </c>
      <c r="F474" s="11">
        <v>2</v>
      </c>
      <c r="G474" s="11">
        <v>1</v>
      </c>
    </row>
    <row r="475" spans="1:7" x14ac:dyDescent="0.25">
      <c r="A475" s="11">
        <v>2026</v>
      </c>
      <c r="B475" s="11" t="s">
        <v>4</v>
      </c>
      <c r="C475" s="4">
        <v>26</v>
      </c>
      <c r="D475" s="11">
        <v>3</v>
      </c>
      <c r="E475" s="11">
        <v>1</v>
      </c>
      <c r="F475" s="11">
        <v>2</v>
      </c>
      <c r="G475" s="11">
        <v>2</v>
      </c>
    </row>
    <row r="476" spans="1:7" x14ac:dyDescent="0.25">
      <c r="A476" s="11">
        <v>2026</v>
      </c>
      <c r="B476" s="11" t="s">
        <v>4</v>
      </c>
      <c r="C476" s="4">
        <v>27</v>
      </c>
      <c r="D476" s="11">
        <v>1</v>
      </c>
      <c r="E476" s="11">
        <v>2</v>
      </c>
      <c r="F476" s="11">
        <v>1</v>
      </c>
      <c r="G476" s="11">
        <v>1</v>
      </c>
    </row>
    <row r="477" spans="1:7" x14ac:dyDescent="0.25">
      <c r="A477" s="11">
        <v>2026</v>
      </c>
      <c r="B477" s="11" t="s">
        <v>4</v>
      </c>
      <c r="C477" s="4">
        <v>28</v>
      </c>
      <c r="D477" s="11">
        <v>4</v>
      </c>
      <c r="E477" s="11">
        <v>1</v>
      </c>
      <c r="F477" s="11">
        <v>1</v>
      </c>
      <c r="G477" s="11">
        <v>4</v>
      </c>
    </row>
    <row r="478" spans="1:7" x14ac:dyDescent="0.25">
      <c r="A478" s="11">
        <v>2026</v>
      </c>
      <c r="B478" s="11" t="s">
        <v>5</v>
      </c>
      <c r="C478" s="4">
        <v>1</v>
      </c>
      <c r="D478" s="11">
        <v>3</v>
      </c>
      <c r="E478" s="11">
        <v>3</v>
      </c>
      <c r="F478" s="11">
        <v>4</v>
      </c>
      <c r="G478" s="11">
        <v>1</v>
      </c>
    </row>
    <row r="479" spans="1:7" x14ac:dyDescent="0.25">
      <c r="A479" s="11">
        <v>2026</v>
      </c>
      <c r="B479" s="11" t="s">
        <v>5</v>
      </c>
      <c r="C479" s="4">
        <v>2</v>
      </c>
      <c r="D479" s="11">
        <v>2</v>
      </c>
      <c r="E479" s="11">
        <v>3</v>
      </c>
      <c r="F479" s="11">
        <v>3</v>
      </c>
      <c r="G479" s="11">
        <v>1</v>
      </c>
    </row>
    <row r="480" spans="1:7" x14ac:dyDescent="0.25">
      <c r="A480" s="11">
        <v>2026</v>
      </c>
      <c r="B480" s="11" t="s">
        <v>5</v>
      </c>
      <c r="C480" s="4">
        <v>3</v>
      </c>
      <c r="D480" s="11">
        <v>3</v>
      </c>
      <c r="E480" s="11">
        <v>1</v>
      </c>
      <c r="F480" s="11">
        <v>1</v>
      </c>
      <c r="G480" s="11">
        <v>4</v>
      </c>
    </row>
    <row r="481" spans="1:7" x14ac:dyDescent="0.25">
      <c r="A481" s="11">
        <v>2026</v>
      </c>
      <c r="B481" s="11" t="s">
        <v>5</v>
      </c>
      <c r="C481" s="4">
        <v>4</v>
      </c>
      <c r="D481" s="11">
        <v>3</v>
      </c>
      <c r="E481" s="11">
        <v>4</v>
      </c>
      <c r="F481" s="11">
        <v>2</v>
      </c>
      <c r="G481" s="11">
        <v>2</v>
      </c>
    </row>
    <row r="482" spans="1:7" x14ac:dyDescent="0.25">
      <c r="A482" s="11">
        <v>2026</v>
      </c>
      <c r="B482" s="11" t="s">
        <v>5</v>
      </c>
      <c r="C482" s="4">
        <v>5</v>
      </c>
      <c r="D482" s="11">
        <v>3</v>
      </c>
      <c r="E482" s="11">
        <v>1</v>
      </c>
      <c r="F482" s="11">
        <v>1</v>
      </c>
      <c r="G482" s="11">
        <v>1</v>
      </c>
    </row>
    <row r="483" spans="1:7" x14ac:dyDescent="0.25">
      <c r="A483" s="11">
        <v>2026</v>
      </c>
      <c r="B483" s="11" t="s">
        <v>5</v>
      </c>
      <c r="C483" s="4">
        <v>6</v>
      </c>
      <c r="D483" s="11">
        <v>4</v>
      </c>
      <c r="E483" s="11">
        <v>2</v>
      </c>
      <c r="F483" s="11">
        <v>1</v>
      </c>
      <c r="G483" s="11">
        <v>3</v>
      </c>
    </row>
    <row r="484" spans="1:7" x14ac:dyDescent="0.25">
      <c r="A484" s="11">
        <v>2026</v>
      </c>
      <c r="B484" s="11" t="s">
        <v>5</v>
      </c>
      <c r="C484" s="4">
        <v>7</v>
      </c>
      <c r="D484" s="11">
        <v>1</v>
      </c>
      <c r="E484" s="11">
        <v>3</v>
      </c>
      <c r="F484" s="11">
        <v>2</v>
      </c>
      <c r="G484" s="11">
        <v>4</v>
      </c>
    </row>
    <row r="485" spans="1:7" x14ac:dyDescent="0.25">
      <c r="A485" s="11">
        <v>2026</v>
      </c>
      <c r="B485" s="11" t="s">
        <v>5</v>
      </c>
      <c r="C485" s="4">
        <v>8</v>
      </c>
      <c r="D485" s="11">
        <v>4</v>
      </c>
      <c r="E485" s="11">
        <v>2</v>
      </c>
      <c r="F485" s="11">
        <v>4</v>
      </c>
      <c r="G485" s="11">
        <v>1</v>
      </c>
    </row>
    <row r="486" spans="1:7" x14ac:dyDescent="0.25">
      <c r="A486" s="11">
        <v>2026</v>
      </c>
      <c r="B486" s="11" t="s">
        <v>5</v>
      </c>
      <c r="C486" s="4">
        <v>9</v>
      </c>
      <c r="D486" s="11">
        <v>3</v>
      </c>
      <c r="E486" s="11">
        <v>2</v>
      </c>
      <c r="F486" s="11">
        <v>1</v>
      </c>
      <c r="G486" s="11">
        <v>1</v>
      </c>
    </row>
    <row r="487" spans="1:7" x14ac:dyDescent="0.25">
      <c r="A487" s="11">
        <v>2026</v>
      </c>
      <c r="B487" s="11" t="s">
        <v>5</v>
      </c>
      <c r="C487" s="4">
        <v>10</v>
      </c>
      <c r="D487" s="11">
        <v>1</v>
      </c>
      <c r="E487" s="11">
        <v>2</v>
      </c>
      <c r="F487" s="11">
        <v>1</v>
      </c>
      <c r="G487" s="11">
        <v>2</v>
      </c>
    </row>
    <row r="488" spans="1:7" x14ac:dyDescent="0.25">
      <c r="A488" s="11">
        <v>2026</v>
      </c>
      <c r="B488" s="11" t="s">
        <v>5</v>
      </c>
      <c r="C488" s="4">
        <v>11</v>
      </c>
      <c r="D488" s="11">
        <v>2</v>
      </c>
      <c r="E488" s="11">
        <v>1</v>
      </c>
      <c r="F488" s="11">
        <v>2</v>
      </c>
      <c r="G488" s="11">
        <v>2</v>
      </c>
    </row>
    <row r="489" spans="1:7" x14ac:dyDescent="0.25">
      <c r="A489" s="11">
        <v>2026</v>
      </c>
      <c r="B489" s="11" t="s">
        <v>5</v>
      </c>
      <c r="C489" s="4">
        <v>12</v>
      </c>
      <c r="D489" s="11">
        <v>1</v>
      </c>
      <c r="E489" s="11">
        <v>1</v>
      </c>
      <c r="F489" s="11">
        <v>1</v>
      </c>
      <c r="G489" s="11">
        <v>3</v>
      </c>
    </row>
    <row r="490" spans="1:7" x14ac:dyDescent="0.25">
      <c r="A490" s="11">
        <v>2026</v>
      </c>
      <c r="B490" s="11" t="s">
        <v>5</v>
      </c>
      <c r="C490" s="4">
        <v>13</v>
      </c>
      <c r="D490" s="11">
        <v>2</v>
      </c>
      <c r="E490" s="11">
        <v>1</v>
      </c>
      <c r="F490" s="11">
        <v>1</v>
      </c>
      <c r="G490" s="11">
        <v>2</v>
      </c>
    </row>
    <row r="491" spans="1:7" x14ac:dyDescent="0.25">
      <c r="A491" s="11">
        <v>2026</v>
      </c>
      <c r="B491" s="11" t="s">
        <v>5</v>
      </c>
      <c r="C491" s="4">
        <v>14</v>
      </c>
      <c r="D491" s="11">
        <v>1</v>
      </c>
      <c r="E491" s="11">
        <v>2</v>
      </c>
      <c r="F491" s="11">
        <v>1</v>
      </c>
      <c r="G491" s="11">
        <v>4</v>
      </c>
    </row>
    <row r="492" spans="1:7" x14ac:dyDescent="0.25">
      <c r="A492" s="11">
        <v>2026</v>
      </c>
      <c r="B492" s="11" t="s">
        <v>5</v>
      </c>
      <c r="C492" s="4">
        <v>15</v>
      </c>
      <c r="D492" s="11">
        <v>2</v>
      </c>
      <c r="E492" s="11">
        <v>1</v>
      </c>
      <c r="F492" s="11">
        <v>4</v>
      </c>
      <c r="G492" s="11">
        <v>4</v>
      </c>
    </row>
    <row r="493" spans="1:7" x14ac:dyDescent="0.25">
      <c r="A493" s="11">
        <v>2026</v>
      </c>
      <c r="B493" s="11" t="s">
        <v>5</v>
      </c>
      <c r="C493" s="4">
        <v>16</v>
      </c>
      <c r="D493" s="11">
        <v>2</v>
      </c>
      <c r="E493" s="11">
        <v>3</v>
      </c>
      <c r="F493" s="11">
        <v>4</v>
      </c>
      <c r="G493" s="11">
        <v>3</v>
      </c>
    </row>
    <row r="494" spans="1:7" x14ac:dyDescent="0.25">
      <c r="A494" s="11">
        <v>2026</v>
      </c>
      <c r="B494" s="11" t="s">
        <v>5</v>
      </c>
      <c r="C494" s="4">
        <v>17</v>
      </c>
      <c r="D494" s="11">
        <v>1</v>
      </c>
      <c r="E494" s="11">
        <v>2</v>
      </c>
      <c r="F494" s="11">
        <v>2</v>
      </c>
      <c r="G494" s="11">
        <v>1</v>
      </c>
    </row>
    <row r="495" spans="1:7" x14ac:dyDescent="0.25">
      <c r="A495" s="11">
        <v>2026</v>
      </c>
      <c r="B495" s="11" t="s">
        <v>5</v>
      </c>
      <c r="C495" s="4">
        <v>18</v>
      </c>
      <c r="D495" s="11">
        <v>1</v>
      </c>
      <c r="E495" s="11">
        <v>1</v>
      </c>
      <c r="F495" s="11">
        <v>2</v>
      </c>
      <c r="G495" s="11">
        <v>3</v>
      </c>
    </row>
    <row r="496" spans="1:7" x14ac:dyDescent="0.25">
      <c r="A496" s="11">
        <v>2026</v>
      </c>
      <c r="B496" s="11" t="s">
        <v>5</v>
      </c>
      <c r="C496" s="4">
        <v>19</v>
      </c>
      <c r="D496" s="11">
        <v>1</v>
      </c>
      <c r="E496" s="11">
        <v>1</v>
      </c>
      <c r="F496" s="11">
        <v>2</v>
      </c>
      <c r="G496" s="11">
        <v>3</v>
      </c>
    </row>
    <row r="497" spans="1:7" x14ac:dyDescent="0.25">
      <c r="A497" s="11">
        <v>2026</v>
      </c>
      <c r="B497" s="11" t="s">
        <v>5</v>
      </c>
      <c r="C497" s="4">
        <v>20</v>
      </c>
      <c r="D497" s="11">
        <v>1</v>
      </c>
      <c r="E497" s="11">
        <v>2</v>
      </c>
      <c r="F497" s="11">
        <v>2</v>
      </c>
      <c r="G497" s="11">
        <v>1</v>
      </c>
    </row>
    <row r="498" spans="1:7" x14ac:dyDescent="0.25">
      <c r="A498" s="11">
        <v>2026</v>
      </c>
      <c r="B498" s="11" t="s">
        <v>5</v>
      </c>
      <c r="C498" s="4">
        <v>21</v>
      </c>
      <c r="D498" s="11">
        <v>3</v>
      </c>
      <c r="E498" s="11">
        <v>3</v>
      </c>
      <c r="F498" s="11">
        <v>1</v>
      </c>
      <c r="G498" s="11">
        <v>4</v>
      </c>
    </row>
    <row r="499" spans="1:7" x14ac:dyDescent="0.25">
      <c r="A499" s="11">
        <v>2026</v>
      </c>
      <c r="B499" s="11" t="s">
        <v>5</v>
      </c>
      <c r="C499" s="4">
        <v>22</v>
      </c>
      <c r="D499" s="11">
        <v>2</v>
      </c>
      <c r="E499" s="11">
        <v>2</v>
      </c>
      <c r="F499" s="11">
        <v>2</v>
      </c>
      <c r="G499" s="11">
        <v>3</v>
      </c>
    </row>
    <row r="500" spans="1:7" x14ac:dyDescent="0.25">
      <c r="A500" s="11">
        <v>2026</v>
      </c>
      <c r="B500" s="11" t="s">
        <v>5</v>
      </c>
      <c r="C500" s="4">
        <v>23</v>
      </c>
      <c r="D500" s="11">
        <v>1</v>
      </c>
      <c r="E500" s="11">
        <v>1</v>
      </c>
      <c r="F500" s="11">
        <v>4</v>
      </c>
      <c r="G500" s="11">
        <v>1</v>
      </c>
    </row>
    <row r="501" spans="1:7" x14ac:dyDescent="0.25">
      <c r="A501" s="11">
        <v>2026</v>
      </c>
      <c r="B501" s="11" t="s">
        <v>5</v>
      </c>
      <c r="C501" s="4">
        <v>24</v>
      </c>
      <c r="D501" s="11">
        <v>1</v>
      </c>
      <c r="E501" s="11">
        <v>4</v>
      </c>
      <c r="F501" s="11">
        <v>4</v>
      </c>
      <c r="G501" s="11">
        <v>3</v>
      </c>
    </row>
    <row r="502" spans="1:7" x14ac:dyDescent="0.25">
      <c r="A502" s="11">
        <v>2026</v>
      </c>
      <c r="B502" s="11" t="s">
        <v>5</v>
      </c>
      <c r="C502" s="4">
        <v>25</v>
      </c>
      <c r="D502" s="11">
        <v>1</v>
      </c>
      <c r="E502" s="11">
        <v>3</v>
      </c>
      <c r="F502" s="11">
        <v>2</v>
      </c>
      <c r="G502" s="11">
        <v>1</v>
      </c>
    </row>
    <row r="503" spans="1:7" x14ac:dyDescent="0.25">
      <c r="A503" s="11">
        <v>2026</v>
      </c>
      <c r="B503" s="11" t="s">
        <v>5</v>
      </c>
      <c r="C503" s="4">
        <v>26</v>
      </c>
      <c r="D503" s="11">
        <v>2</v>
      </c>
      <c r="E503" s="11">
        <v>1</v>
      </c>
      <c r="F503" s="11">
        <v>3</v>
      </c>
      <c r="G503" s="11">
        <v>4</v>
      </c>
    </row>
    <row r="504" spans="1:7" x14ac:dyDescent="0.25">
      <c r="A504" s="11">
        <v>2026</v>
      </c>
      <c r="B504" s="11" t="s">
        <v>5</v>
      </c>
      <c r="C504" s="4">
        <v>27</v>
      </c>
      <c r="D504" s="11">
        <v>1</v>
      </c>
      <c r="E504" s="11">
        <v>3</v>
      </c>
      <c r="F504" s="11">
        <v>2</v>
      </c>
      <c r="G504" s="11">
        <v>2</v>
      </c>
    </row>
    <row r="505" spans="1:7" x14ac:dyDescent="0.25">
      <c r="A505" s="11">
        <v>2026</v>
      </c>
      <c r="B505" s="11" t="s">
        <v>5</v>
      </c>
      <c r="C505" s="4">
        <v>28</v>
      </c>
      <c r="D505" s="11">
        <v>1</v>
      </c>
      <c r="E505" s="11">
        <v>3</v>
      </c>
      <c r="F505" s="11">
        <v>2</v>
      </c>
      <c r="G505" s="11">
        <v>3</v>
      </c>
    </row>
    <row r="506" spans="1:7" x14ac:dyDescent="0.25">
      <c r="A506" s="11">
        <v>2026</v>
      </c>
      <c r="B506" s="11" t="s">
        <v>6</v>
      </c>
      <c r="C506" s="4">
        <v>1</v>
      </c>
      <c r="D506" s="11">
        <v>2</v>
      </c>
      <c r="E506" s="11">
        <v>1</v>
      </c>
      <c r="F506" s="11">
        <v>1</v>
      </c>
      <c r="G506" s="11">
        <v>1</v>
      </c>
    </row>
    <row r="507" spans="1:7" x14ac:dyDescent="0.25">
      <c r="A507" s="11">
        <v>2026</v>
      </c>
      <c r="B507" s="11" t="s">
        <v>6</v>
      </c>
      <c r="C507" s="4">
        <v>2</v>
      </c>
      <c r="D507" s="11">
        <v>2</v>
      </c>
      <c r="E507" s="11">
        <v>2</v>
      </c>
      <c r="F507" s="11">
        <v>1</v>
      </c>
      <c r="G507" s="11">
        <v>1</v>
      </c>
    </row>
    <row r="508" spans="1:7" x14ac:dyDescent="0.25">
      <c r="A508" s="11">
        <v>2026</v>
      </c>
      <c r="B508" s="11" t="s">
        <v>6</v>
      </c>
      <c r="C508" s="4">
        <v>3</v>
      </c>
      <c r="D508" s="11">
        <v>2</v>
      </c>
      <c r="E508" s="11">
        <v>2</v>
      </c>
      <c r="F508" s="11">
        <v>2</v>
      </c>
      <c r="G508" s="11">
        <v>4</v>
      </c>
    </row>
    <row r="509" spans="1:7" x14ac:dyDescent="0.25">
      <c r="A509" s="11">
        <v>2026</v>
      </c>
      <c r="B509" s="11" t="s">
        <v>6</v>
      </c>
      <c r="C509" s="4">
        <v>4</v>
      </c>
      <c r="D509" s="11">
        <v>2</v>
      </c>
      <c r="E509" s="11">
        <v>1</v>
      </c>
      <c r="F509" s="11">
        <v>3</v>
      </c>
      <c r="G509" s="11">
        <v>4</v>
      </c>
    </row>
    <row r="510" spans="1:7" x14ac:dyDescent="0.25">
      <c r="A510" s="11">
        <v>2026</v>
      </c>
      <c r="B510" s="11" t="s">
        <v>6</v>
      </c>
      <c r="C510" s="4">
        <v>5</v>
      </c>
      <c r="D510" s="11">
        <v>1</v>
      </c>
      <c r="E510" s="11">
        <v>2</v>
      </c>
      <c r="F510" s="11">
        <v>1</v>
      </c>
      <c r="G510" s="11">
        <v>4</v>
      </c>
    </row>
    <row r="511" spans="1:7" x14ac:dyDescent="0.25">
      <c r="A511" s="11">
        <v>2026</v>
      </c>
      <c r="B511" s="11" t="s">
        <v>6</v>
      </c>
      <c r="C511" s="4">
        <v>6</v>
      </c>
      <c r="D511" s="11">
        <v>1</v>
      </c>
      <c r="E511" s="11">
        <v>1</v>
      </c>
      <c r="F511" s="11">
        <v>1</v>
      </c>
      <c r="G511" s="11">
        <v>1</v>
      </c>
    </row>
    <row r="512" spans="1:7" x14ac:dyDescent="0.25">
      <c r="A512" s="11">
        <v>2026</v>
      </c>
      <c r="B512" s="11" t="s">
        <v>6</v>
      </c>
      <c r="C512" s="4">
        <v>7</v>
      </c>
      <c r="D512" s="11">
        <v>2</v>
      </c>
      <c r="E512" s="11">
        <v>2</v>
      </c>
      <c r="F512" s="11">
        <v>1</v>
      </c>
      <c r="G512" s="11">
        <v>3</v>
      </c>
    </row>
    <row r="513" spans="1:7" x14ac:dyDescent="0.25">
      <c r="A513" s="11">
        <v>2026</v>
      </c>
      <c r="B513" s="11" t="s">
        <v>6</v>
      </c>
      <c r="C513" s="4">
        <v>8</v>
      </c>
      <c r="D513" s="11">
        <v>1</v>
      </c>
      <c r="E513" s="11">
        <v>1</v>
      </c>
      <c r="F513" s="11">
        <v>4</v>
      </c>
      <c r="G513" s="11">
        <v>3</v>
      </c>
    </row>
    <row r="514" spans="1:7" x14ac:dyDescent="0.25">
      <c r="A514" s="11">
        <v>2026</v>
      </c>
      <c r="B514" s="11" t="s">
        <v>6</v>
      </c>
      <c r="C514" s="4">
        <v>9</v>
      </c>
      <c r="D514" s="11">
        <v>1</v>
      </c>
      <c r="E514" s="11">
        <v>1</v>
      </c>
      <c r="F514" s="11">
        <v>1</v>
      </c>
      <c r="G514" s="11">
        <v>3</v>
      </c>
    </row>
    <row r="515" spans="1:7" x14ac:dyDescent="0.25">
      <c r="A515" s="11">
        <v>2026</v>
      </c>
      <c r="B515" s="11" t="s">
        <v>6</v>
      </c>
      <c r="C515" s="4">
        <v>10</v>
      </c>
      <c r="D515" s="11">
        <v>4</v>
      </c>
      <c r="E515" s="11">
        <v>3</v>
      </c>
      <c r="F515" s="11">
        <v>3</v>
      </c>
      <c r="G515" s="11">
        <v>3</v>
      </c>
    </row>
    <row r="516" spans="1:7" x14ac:dyDescent="0.25">
      <c r="A516" s="11">
        <v>2026</v>
      </c>
      <c r="B516" s="11" t="s">
        <v>6</v>
      </c>
      <c r="C516" s="4">
        <v>11</v>
      </c>
      <c r="D516" s="11">
        <v>1</v>
      </c>
      <c r="E516" s="11">
        <v>1</v>
      </c>
      <c r="F516" s="11">
        <v>3</v>
      </c>
      <c r="G516" s="11">
        <v>2</v>
      </c>
    </row>
    <row r="517" spans="1:7" x14ac:dyDescent="0.25">
      <c r="A517" s="11">
        <v>2026</v>
      </c>
      <c r="B517" s="11" t="s">
        <v>6</v>
      </c>
      <c r="C517" s="4">
        <v>12</v>
      </c>
      <c r="D517" s="11">
        <v>2</v>
      </c>
      <c r="E517" s="11">
        <v>1</v>
      </c>
      <c r="F517" s="11">
        <v>2</v>
      </c>
      <c r="G517" s="11">
        <v>1</v>
      </c>
    </row>
    <row r="518" spans="1:7" x14ac:dyDescent="0.25">
      <c r="A518" s="11">
        <v>2026</v>
      </c>
      <c r="B518" s="11" t="s">
        <v>6</v>
      </c>
      <c r="C518" s="4">
        <v>13</v>
      </c>
      <c r="D518" s="11">
        <v>2</v>
      </c>
      <c r="E518" s="11">
        <v>2</v>
      </c>
      <c r="F518" s="11">
        <v>1</v>
      </c>
      <c r="G518" s="11">
        <v>1</v>
      </c>
    </row>
    <row r="519" spans="1:7" x14ac:dyDescent="0.25">
      <c r="A519" s="11">
        <v>2026</v>
      </c>
      <c r="B519" s="11" t="s">
        <v>6</v>
      </c>
      <c r="C519" s="4">
        <v>14</v>
      </c>
      <c r="D519" s="11">
        <v>1</v>
      </c>
      <c r="E519" s="11">
        <v>1</v>
      </c>
      <c r="F519" s="11">
        <v>1</v>
      </c>
      <c r="G519" s="11">
        <v>2</v>
      </c>
    </row>
    <row r="520" spans="1:7" x14ac:dyDescent="0.25">
      <c r="A520" s="11">
        <v>2026</v>
      </c>
      <c r="B520" s="11" t="s">
        <v>6</v>
      </c>
      <c r="C520" s="4">
        <v>15</v>
      </c>
      <c r="D520" s="11">
        <v>1</v>
      </c>
      <c r="E520" s="11">
        <v>1</v>
      </c>
      <c r="F520" s="11">
        <v>2</v>
      </c>
      <c r="G520" s="11">
        <v>1</v>
      </c>
    </row>
    <row r="521" spans="1:7" x14ac:dyDescent="0.25">
      <c r="A521" s="11">
        <v>2026</v>
      </c>
      <c r="B521" s="11" t="s">
        <v>6</v>
      </c>
      <c r="C521" s="4">
        <v>16</v>
      </c>
      <c r="D521" s="11">
        <v>2</v>
      </c>
      <c r="E521" s="11">
        <v>3</v>
      </c>
      <c r="F521" s="11">
        <v>2</v>
      </c>
      <c r="G521" s="11">
        <v>2</v>
      </c>
    </row>
    <row r="522" spans="1:7" x14ac:dyDescent="0.25">
      <c r="A522" s="11">
        <v>2026</v>
      </c>
      <c r="B522" s="11" t="s">
        <v>6</v>
      </c>
      <c r="C522" s="4">
        <v>17</v>
      </c>
      <c r="D522" s="11">
        <v>2</v>
      </c>
      <c r="E522" s="11">
        <v>1</v>
      </c>
      <c r="F522" s="11">
        <v>2</v>
      </c>
      <c r="G522" s="11">
        <v>1</v>
      </c>
    </row>
    <row r="523" spans="1:7" x14ac:dyDescent="0.25">
      <c r="A523" s="11">
        <v>2026</v>
      </c>
      <c r="B523" s="11" t="s">
        <v>6</v>
      </c>
      <c r="C523" s="4">
        <v>18</v>
      </c>
      <c r="D523" s="11">
        <v>2</v>
      </c>
      <c r="E523" s="11">
        <v>1</v>
      </c>
      <c r="F523" s="11">
        <v>1</v>
      </c>
      <c r="G523" s="11">
        <v>2</v>
      </c>
    </row>
    <row r="524" spans="1:7" x14ac:dyDescent="0.25">
      <c r="A524" s="11">
        <v>2026</v>
      </c>
      <c r="B524" s="11" t="s">
        <v>6</v>
      </c>
      <c r="C524" s="4">
        <v>19</v>
      </c>
      <c r="D524" s="11">
        <v>3</v>
      </c>
      <c r="E524" s="11">
        <v>4</v>
      </c>
      <c r="F524" s="11">
        <v>1</v>
      </c>
      <c r="G524" s="11">
        <v>1</v>
      </c>
    </row>
    <row r="525" spans="1:7" x14ac:dyDescent="0.25">
      <c r="A525" s="11">
        <v>2026</v>
      </c>
      <c r="B525" s="11" t="s">
        <v>6</v>
      </c>
      <c r="C525" s="4">
        <v>20</v>
      </c>
      <c r="D525" s="11">
        <v>4</v>
      </c>
      <c r="E525" s="11">
        <v>1</v>
      </c>
      <c r="F525" s="11">
        <v>3</v>
      </c>
      <c r="G525" s="11">
        <v>2</v>
      </c>
    </row>
    <row r="526" spans="1:7" x14ac:dyDescent="0.25">
      <c r="A526" s="11">
        <v>2026</v>
      </c>
      <c r="B526" s="11" t="s">
        <v>6</v>
      </c>
      <c r="C526" s="4">
        <v>21</v>
      </c>
      <c r="D526" s="11">
        <v>3</v>
      </c>
      <c r="E526" s="11">
        <v>1</v>
      </c>
      <c r="F526" s="11">
        <v>1</v>
      </c>
      <c r="G526" s="11">
        <v>2</v>
      </c>
    </row>
    <row r="527" spans="1:7" x14ac:dyDescent="0.25">
      <c r="A527" s="11">
        <v>2026</v>
      </c>
      <c r="B527" s="11" t="s">
        <v>6</v>
      </c>
      <c r="C527" s="4">
        <v>22</v>
      </c>
      <c r="D527" s="11">
        <v>3</v>
      </c>
      <c r="E527" s="11">
        <v>3</v>
      </c>
      <c r="F527" s="11">
        <v>1</v>
      </c>
      <c r="G527" s="11">
        <v>4</v>
      </c>
    </row>
    <row r="528" spans="1:7" x14ac:dyDescent="0.25">
      <c r="A528" s="11">
        <v>2026</v>
      </c>
      <c r="B528" s="11" t="s">
        <v>6</v>
      </c>
      <c r="C528" s="4">
        <v>23</v>
      </c>
      <c r="D528" s="11">
        <v>1</v>
      </c>
      <c r="E528" s="11">
        <v>2</v>
      </c>
      <c r="F528" s="11">
        <v>2</v>
      </c>
      <c r="G528" s="11">
        <v>1</v>
      </c>
    </row>
    <row r="529" spans="1:7" x14ac:dyDescent="0.25">
      <c r="A529" s="11">
        <v>2026</v>
      </c>
      <c r="B529" s="11" t="s">
        <v>6</v>
      </c>
      <c r="C529" s="4">
        <v>24</v>
      </c>
      <c r="D529" s="11">
        <v>1</v>
      </c>
      <c r="E529" s="11">
        <v>3</v>
      </c>
      <c r="F529" s="11">
        <v>1</v>
      </c>
      <c r="G529" s="11">
        <v>2</v>
      </c>
    </row>
    <row r="530" spans="1:7" x14ac:dyDescent="0.25">
      <c r="A530" s="11">
        <v>2026</v>
      </c>
      <c r="B530" s="11" t="s">
        <v>6</v>
      </c>
      <c r="C530" s="4">
        <v>25</v>
      </c>
      <c r="D530" s="11">
        <v>2</v>
      </c>
      <c r="E530" s="11">
        <v>3</v>
      </c>
      <c r="F530" s="11">
        <v>3</v>
      </c>
      <c r="G530" s="11">
        <v>1</v>
      </c>
    </row>
    <row r="531" spans="1:7" x14ac:dyDescent="0.25">
      <c r="A531" s="11">
        <v>2026</v>
      </c>
      <c r="B531" s="11" t="s">
        <v>6</v>
      </c>
      <c r="C531" s="4">
        <v>26</v>
      </c>
      <c r="D531" s="11">
        <v>1</v>
      </c>
      <c r="E531" s="11">
        <v>3</v>
      </c>
      <c r="F531" s="11">
        <v>3</v>
      </c>
      <c r="G531" s="11">
        <v>1</v>
      </c>
    </row>
    <row r="532" spans="1:7" x14ac:dyDescent="0.25">
      <c r="A532" s="11">
        <v>2026</v>
      </c>
      <c r="B532" s="11" t="s">
        <v>6</v>
      </c>
      <c r="C532" s="4">
        <v>27</v>
      </c>
      <c r="D532" s="11">
        <v>4</v>
      </c>
      <c r="E532" s="11">
        <v>1</v>
      </c>
      <c r="F532" s="11">
        <v>2</v>
      </c>
      <c r="G532" s="11">
        <v>2</v>
      </c>
    </row>
    <row r="533" spans="1:7" x14ac:dyDescent="0.25">
      <c r="A533" s="11">
        <v>2026</v>
      </c>
      <c r="B533" s="11" t="s">
        <v>6</v>
      </c>
      <c r="C533" s="4">
        <v>28</v>
      </c>
      <c r="D533" s="11">
        <v>2</v>
      </c>
      <c r="E533" s="11">
        <v>1</v>
      </c>
      <c r="F533" s="11">
        <v>3</v>
      </c>
      <c r="G533" s="11">
        <v>1</v>
      </c>
    </row>
    <row r="534" spans="1:7" x14ac:dyDescent="0.25">
      <c r="A534" s="11">
        <v>2026</v>
      </c>
      <c r="B534" s="11" t="s">
        <v>7</v>
      </c>
      <c r="C534" s="4">
        <v>1</v>
      </c>
      <c r="D534" s="11">
        <v>1</v>
      </c>
      <c r="E534" s="11">
        <v>4</v>
      </c>
      <c r="F534" s="11">
        <v>1</v>
      </c>
      <c r="G534" s="11">
        <v>1</v>
      </c>
    </row>
    <row r="535" spans="1:7" x14ac:dyDescent="0.25">
      <c r="A535" s="11">
        <v>2026</v>
      </c>
      <c r="B535" s="11" t="s">
        <v>7</v>
      </c>
      <c r="C535" s="4">
        <v>2</v>
      </c>
      <c r="D535" s="11">
        <v>1</v>
      </c>
      <c r="E535" s="11">
        <v>2</v>
      </c>
      <c r="F535" s="11">
        <v>2</v>
      </c>
      <c r="G535" s="11">
        <v>1</v>
      </c>
    </row>
    <row r="536" spans="1:7" x14ac:dyDescent="0.25">
      <c r="A536" s="11">
        <v>2026</v>
      </c>
      <c r="B536" s="11" t="s">
        <v>7</v>
      </c>
      <c r="C536" s="4">
        <v>3</v>
      </c>
      <c r="D536" s="11">
        <v>1</v>
      </c>
      <c r="E536" s="11">
        <v>3</v>
      </c>
      <c r="F536" s="11">
        <v>2</v>
      </c>
      <c r="G536" s="11">
        <v>1</v>
      </c>
    </row>
    <row r="537" spans="1:7" x14ac:dyDescent="0.25">
      <c r="A537" s="11">
        <v>2026</v>
      </c>
      <c r="B537" s="11" t="s">
        <v>7</v>
      </c>
      <c r="C537" s="4">
        <v>4</v>
      </c>
      <c r="D537" s="11">
        <v>1</v>
      </c>
      <c r="E537" s="11">
        <v>2</v>
      </c>
      <c r="F537" s="11">
        <v>1</v>
      </c>
      <c r="G537" s="11">
        <v>1</v>
      </c>
    </row>
    <row r="538" spans="1:7" x14ac:dyDescent="0.25">
      <c r="A538" s="11">
        <v>2026</v>
      </c>
      <c r="B538" s="11" t="s">
        <v>7</v>
      </c>
      <c r="C538" s="4">
        <v>5</v>
      </c>
      <c r="D538" s="11">
        <v>2</v>
      </c>
      <c r="E538" s="11">
        <v>1</v>
      </c>
      <c r="F538" s="11">
        <v>1</v>
      </c>
      <c r="G538" s="11">
        <v>1</v>
      </c>
    </row>
    <row r="539" spans="1:7" x14ac:dyDescent="0.25">
      <c r="A539" s="11">
        <v>2026</v>
      </c>
      <c r="B539" s="11" t="s">
        <v>7</v>
      </c>
      <c r="C539" s="4">
        <v>6</v>
      </c>
      <c r="D539" s="11">
        <v>3</v>
      </c>
      <c r="E539" s="11">
        <v>3</v>
      </c>
      <c r="F539" s="11">
        <v>2</v>
      </c>
      <c r="G539" s="11">
        <v>1</v>
      </c>
    </row>
    <row r="540" spans="1:7" x14ac:dyDescent="0.25">
      <c r="A540" s="11">
        <v>2026</v>
      </c>
      <c r="B540" s="11" t="s">
        <v>7</v>
      </c>
      <c r="C540" s="4">
        <v>7</v>
      </c>
      <c r="D540" s="11">
        <v>1</v>
      </c>
      <c r="E540" s="11">
        <v>1</v>
      </c>
      <c r="F540" s="11">
        <v>2</v>
      </c>
      <c r="G540" s="11">
        <v>2</v>
      </c>
    </row>
    <row r="541" spans="1:7" x14ac:dyDescent="0.25">
      <c r="A541" s="11">
        <v>2026</v>
      </c>
      <c r="B541" s="11" t="s">
        <v>7</v>
      </c>
      <c r="C541" s="4">
        <v>8</v>
      </c>
      <c r="D541" s="11">
        <v>4</v>
      </c>
      <c r="E541" s="11">
        <v>1</v>
      </c>
      <c r="F541" s="11">
        <v>4</v>
      </c>
      <c r="G541" s="11">
        <v>2</v>
      </c>
    </row>
    <row r="542" spans="1:7" x14ac:dyDescent="0.25">
      <c r="A542" s="11">
        <v>2026</v>
      </c>
      <c r="B542" s="11" t="s">
        <v>7</v>
      </c>
      <c r="C542" s="4">
        <v>9</v>
      </c>
      <c r="D542" s="11">
        <v>2</v>
      </c>
      <c r="E542" s="11">
        <v>1</v>
      </c>
      <c r="F542" s="11">
        <v>2</v>
      </c>
      <c r="G542" s="11">
        <v>1</v>
      </c>
    </row>
    <row r="543" spans="1:7" x14ac:dyDescent="0.25">
      <c r="A543" s="11">
        <v>2026</v>
      </c>
      <c r="B543" s="11" t="s">
        <v>7</v>
      </c>
      <c r="C543" s="4">
        <v>10</v>
      </c>
      <c r="D543" s="11">
        <v>3</v>
      </c>
      <c r="E543" s="11">
        <v>3</v>
      </c>
      <c r="F543" s="11">
        <v>3</v>
      </c>
      <c r="G543" s="11">
        <v>2</v>
      </c>
    </row>
    <row r="544" spans="1:7" x14ac:dyDescent="0.25">
      <c r="A544" s="11">
        <v>2026</v>
      </c>
      <c r="B544" s="11" t="s">
        <v>7</v>
      </c>
      <c r="C544" s="4">
        <v>11</v>
      </c>
      <c r="D544" s="11">
        <v>1</v>
      </c>
      <c r="E544" s="11">
        <v>1</v>
      </c>
      <c r="F544" s="11">
        <v>1</v>
      </c>
      <c r="G544" s="11">
        <v>1</v>
      </c>
    </row>
    <row r="545" spans="1:7" x14ac:dyDescent="0.25">
      <c r="A545" s="11">
        <v>2026</v>
      </c>
      <c r="B545" s="11" t="s">
        <v>7</v>
      </c>
      <c r="C545" s="4">
        <v>12</v>
      </c>
      <c r="D545" s="11">
        <v>1</v>
      </c>
      <c r="E545" s="11">
        <v>3</v>
      </c>
      <c r="F545" s="11">
        <v>2</v>
      </c>
      <c r="G545" s="11">
        <v>1</v>
      </c>
    </row>
    <row r="546" spans="1:7" x14ac:dyDescent="0.25">
      <c r="A546" s="11">
        <v>2026</v>
      </c>
      <c r="B546" s="11" t="s">
        <v>7</v>
      </c>
      <c r="C546" s="4">
        <v>13</v>
      </c>
      <c r="D546" s="11">
        <v>2</v>
      </c>
      <c r="E546" s="11">
        <v>2</v>
      </c>
      <c r="F546" s="11">
        <v>1</v>
      </c>
      <c r="G546" s="11">
        <v>4</v>
      </c>
    </row>
    <row r="547" spans="1:7" x14ac:dyDescent="0.25">
      <c r="A547" s="11">
        <v>2026</v>
      </c>
      <c r="B547" s="11" t="s">
        <v>7</v>
      </c>
      <c r="C547" s="4">
        <v>14</v>
      </c>
      <c r="D547" s="11">
        <v>2</v>
      </c>
      <c r="E547" s="11">
        <v>1</v>
      </c>
      <c r="F547" s="11">
        <v>2</v>
      </c>
      <c r="G547" s="11">
        <v>1</v>
      </c>
    </row>
    <row r="548" spans="1:7" x14ac:dyDescent="0.25">
      <c r="A548" s="11">
        <v>2026</v>
      </c>
      <c r="B548" s="11" t="s">
        <v>7</v>
      </c>
      <c r="C548" s="4">
        <v>15</v>
      </c>
      <c r="D548" s="11">
        <v>1</v>
      </c>
      <c r="E548" s="11">
        <v>1</v>
      </c>
      <c r="F548" s="11">
        <v>1</v>
      </c>
      <c r="G548" s="11">
        <v>2</v>
      </c>
    </row>
    <row r="549" spans="1:7" x14ac:dyDescent="0.25">
      <c r="A549" s="11">
        <v>2026</v>
      </c>
      <c r="B549" s="11" t="s">
        <v>7</v>
      </c>
      <c r="C549" s="4">
        <v>16</v>
      </c>
      <c r="D549" s="11">
        <v>3</v>
      </c>
      <c r="E549" s="11">
        <v>1</v>
      </c>
      <c r="F549" s="11">
        <v>2</v>
      </c>
      <c r="G549" s="11">
        <v>2</v>
      </c>
    </row>
    <row r="550" spans="1:7" x14ac:dyDescent="0.25">
      <c r="A550" s="11">
        <v>2026</v>
      </c>
      <c r="B550" s="11" t="s">
        <v>7</v>
      </c>
      <c r="C550" s="4">
        <v>17</v>
      </c>
      <c r="D550" s="11">
        <v>4</v>
      </c>
      <c r="E550" s="11">
        <v>1</v>
      </c>
      <c r="F550" s="11">
        <v>3</v>
      </c>
      <c r="G550" s="11">
        <v>3</v>
      </c>
    </row>
    <row r="551" spans="1:7" x14ac:dyDescent="0.25">
      <c r="A551" s="11">
        <v>2026</v>
      </c>
      <c r="B551" s="11" t="s">
        <v>7</v>
      </c>
      <c r="C551" s="4">
        <v>18</v>
      </c>
      <c r="D551" s="11">
        <v>2</v>
      </c>
      <c r="E551" s="11">
        <v>3</v>
      </c>
      <c r="F551" s="11">
        <v>3</v>
      </c>
      <c r="G551" s="11">
        <v>2</v>
      </c>
    </row>
    <row r="552" spans="1:7" x14ac:dyDescent="0.25">
      <c r="A552" s="11">
        <v>2026</v>
      </c>
      <c r="B552" s="11" t="s">
        <v>7</v>
      </c>
      <c r="C552" s="4">
        <v>19</v>
      </c>
      <c r="D552" s="11">
        <v>1</v>
      </c>
      <c r="E552" s="11">
        <v>2</v>
      </c>
      <c r="F552" s="11">
        <v>1</v>
      </c>
      <c r="G552" s="11">
        <v>3</v>
      </c>
    </row>
    <row r="553" spans="1:7" x14ac:dyDescent="0.25">
      <c r="A553" s="11">
        <v>2026</v>
      </c>
      <c r="B553" s="11" t="s">
        <v>7</v>
      </c>
      <c r="C553" s="4">
        <v>20</v>
      </c>
      <c r="D553" s="11">
        <v>1</v>
      </c>
      <c r="E553" s="11">
        <v>3</v>
      </c>
      <c r="F553" s="11">
        <v>1</v>
      </c>
      <c r="G553" s="11">
        <v>3</v>
      </c>
    </row>
    <row r="554" spans="1:7" x14ac:dyDescent="0.25">
      <c r="A554" s="11">
        <v>2026</v>
      </c>
      <c r="B554" s="11" t="s">
        <v>7</v>
      </c>
      <c r="C554" s="4">
        <v>21</v>
      </c>
      <c r="D554" s="11">
        <v>4</v>
      </c>
      <c r="E554" s="11">
        <v>2</v>
      </c>
      <c r="F554" s="11">
        <v>1</v>
      </c>
      <c r="G554" s="11">
        <v>1</v>
      </c>
    </row>
    <row r="555" spans="1:7" x14ac:dyDescent="0.25">
      <c r="A555" s="11">
        <v>2026</v>
      </c>
      <c r="B555" s="11" t="s">
        <v>7</v>
      </c>
      <c r="C555" s="4">
        <v>22</v>
      </c>
      <c r="D555" s="11">
        <v>1</v>
      </c>
      <c r="E555" s="11">
        <v>4</v>
      </c>
      <c r="F555" s="11">
        <v>1</v>
      </c>
      <c r="G555" s="11">
        <v>2</v>
      </c>
    </row>
    <row r="556" spans="1:7" x14ac:dyDescent="0.25">
      <c r="A556" s="11">
        <v>2026</v>
      </c>
      <c r="B556" s="11" t="s">
        <v>7</v>
      </c>
      <c r="C556" s="4">
        <v>23</v>
      </c>
      <c r="D556" s="11">
        <v>2</v>
      </c>
      <c r="E556" s="11">
        <v>1</v>
      </c>
      <c r="F556" s="11">
        <v>2</v>
      </c>
      <c r="G556" s="11">
        <v>4</v>
      </c>
    </row>
    <row r="557" spans="1:7" x14ac:dyDescent="0.25">
      <c r="A557" s="11">
        <v>2026</v>
      </c>
      <c r="B557" s="11" t="s">
        <v>7</v>
      </c>
      <c r="C557" s="4">
        <v>24</v>
      </c>
      <c r="D557" s="11">
        <v>1</v>
      </c>
      <c r="E557" s="11">
        <v>4</v>
      </c>
      <c r="F557" s="11">
        <v>2</v>
      </c>
      <c r="G557" s="11">
        <v>1</v>
      </c>
    </row>
    <row r="558" spans="1:7" x14ac:dyDescent="0.25">
      <c r="A558" s="11">
        <v>2026</v>
      </c>
      <c r="B558" s="11" t="s">
        <v>7</v>
      </c>
      <c r="C558" s="4">
        <v>25</v>
      </c>
      <c r="D558" s="11">
        <v>3</v>
      </c>
      <c r="E558" s="11">
        <v>2</v>
      </c>
      <c r="F558" s="11">
        <v>1</v>
      </c>
      <c r="G558" s="11">
        <v>2</v>
      </c>
    </row>
    <row r="559" spans="1:7" x14ac:dyDescent="0.25">
      <c r="A559" s="11">
        <v>2026</v>
      </c>
      <c r="B559" s="11" t="s">
        <v>7</v>
      </c>
      <c r="C559" s="4">
        <v>26</v>
      </c>
      <c r="D559" s="11">
        <v>1</v>
      </c>
      <c r="E559" s="11">
        <v>3</v>
      </c>
      <c r="F559" s="11">
        <v>1</v>
      </c>
      <c r="G559" s="11">
        <v>1</v>
      </c>
    </row>
    <row r="560" spans="1:7" x14ac:dyDescent="0.25">
      <c r="A560" s="11">
        <v>2026</v>
      </c>
      <c r="B560" s="11" t="s">
        <v>7</v>
      </c>
      <c r="C560" s="4">
        <v>27</v>
      </c>
      <c r="D560" s="11">
        <v>3</v>
      </c>
      <c r="E560" s="11">
        <v>1</v>
      </c>
      <c r="F560" s="11">
        <v>1</v>
      </c>
      <c r="G560" s="11">
        <v>2</v>
      </c>
    </row>
    <row r="561" spans="1:7" x14ac:dyDescent="0.25">
      <c r="A561" s="11">
        <v>2026</v>
      </c>
      <c r="B561" s="11" t="s">
        <v>7</v>
      </c>
      <c r="C561" s="4">
        <v>28</v>
      </c>
      <c r="D561" s="11">
        <v>4</v>
      </c>
      <c r="E561" s="11">
        <v>1</v>
      </c>
      <c r="F561" s="11">
        <v>2</v>
      </c>
      <c r="G561" s="11">
        <v>1</v>
      </c>
    </row>
    <row r="562" spans="1:7" x14ac:dyDescent="0.25">
      <c r="A562" s="11">
        <v>2026</v>
      </c>
      <c r="B562" s="11" t="s">
        <v>8</v>
      </c>
      <c r="C562" s="4">
        <v>1</v>
      </c>
      <c r="D562" s="11">
        <v>3</v>
      </c>
      <c r="E562" s="11">
        <v>1</v>
      </c>
      <c r="F562" s="11">
        <v>2</v>
      </c>
      <c r="G562" s="11">
        <v>1</v>
      </c>
    </row>
    <row r="563" spans="1:7" x14ac:dyDescent="0.25">
      <c r="A563" s="11">
        <v>2026</v>
      </c>
      <c r="B563" s="11" t="s">
        <v>8</v>
      </c>
      <c r="C563" s="4">
        <v>2</v>
      </c>
      <c r="D563" s="11">
        <v>3</v>
      </c>
      <c r="E563" s="11">
        <v>3</v>
      </c>
      <c r="F563" s="11">
        <v>1</v>
      </c>
      <c r="G563" s="11">
        <v>3</v>
      </c>
    </row>
    <row r="564" spans="1:7" x14ac:dyDescent="0.25">
      <c r="A564" s="11">
        <v>2026</v>
      </c>
      <c r="B564" s="11" t="s">
        <v>8</v>
      </c>
      <c r="C564" s="4">
        <v>3</v>
      </c>
      <c r="D564" s="11">
        <v>1</v>
      </c>
      <c r="E564" s="11">
        <v>2</v>
      </c>
      <c r="F564" s="11">
        <v>2</v>
      </c>
      <c r="G564" s="11">
        <v>1</v>
      </c>
    </row>
    <row r="565" spans="1:7" x14ac:dyDescent="0.25">
      <c r="A565" s="11">
        <v>2026</v>
      </c>
      <c r="B565" s="11" t="s">
        <v>8</v>
      </c>
      <c r="C565" s="4">
        <v>4</v>
      </c>
      <c r="D565" s="11">
        <v>1</v>
      </c>
      <c r="E565" s="11">
        <v>1</v>
      </c>
      <c r="F565" s="11">
        <v>2</v>
      </c>
      <c r="G565" s="11">
        <v>4</v>
      </c>
    </row>
    <row r="566" spans="1:7" x14ac:dyDescent="0.25">
      <c r="A566" s="11">
        <v>2026</v>
      </c>
      <c r="B566" s="11" t="s">
        <v>8</v>
      </c>
      <c r="C566" s="4">
        <v>5</v>
      </c>
      <c r="D566" s="11">
        <v>3</v>
      </c>
      <c r="E566" s="11">
        <v>2</v>
      </c>
      <c r="F566" s="11">
        <v>1</v>
      </c>
      <c r="G566" s="11">
        <v>1</v>
      </c>
    </row>
    <row r="567" spans="1:7" x14ac:dyDescent="0.25">
      <c r="A567" s="11">
        <v>2026</v>
      </c>
      <c r="B567" s="11" t="s">
        <v>8</v>
      </c>
      <c r="C567" s="4">
        <v>6</v>
      </c>
      <c r="D567" s="11">
        <v>3</v>
      </c>
      <c r="E567" s="11">
        <v>2</v>
      </c>
      <c r="F567" s="11">
        <v>1</v>
      </c>
      <c r="G567" s="11">
        <v>1</v>
      </c>
    </row>
    <row r="568" spans="1:7" x14ac:dyDescent="0.25">
      <c r="A568" s="11">
        <v>2026</v>
      </c>
      <c r="B568" s="11" t="s">
        <v>8</v>
      </c>
      <c r="C568" s="4">
        <v>7</v>
      </c>
      <c r="D568" s="11">
        <v>1</v>
      </c>
      <c r="E568" s="11">
        <v>1</v>
      </c>
      <c r="F568" s="11">
        <v>1</v>
      </c>
      <c r="G568" s="11">
        <v>2</v>
      </c>
    </row>
    <row r="569" spans="1:7" x14ac:dyDescent="0.25">
      <c r="A569" s="11">
        <v>2026</v>
      </c>
      <c r="B569" s="11" t="s">
        <v>8</v>
      </c>
      <c r="C569" s="4">
        <v>8</v>
      </c>
      <c r="D569" s="11">
        <v>3</v>
      </c>
      <c r="E569" s="11">
        <v>2</v>
      </c>
      <c r="F569" s="11">
        <v>2</v>
      </c>
      <c r="G569" s="11">
        <v>1</v>
      </c>
    </row>
    <row r="570" spans="1:7" x14ac:dyDescent="0.25">
      <c r="A570" s="11">
        <v>2026</v>
      </c>
      <c r="B570" s="11" t="s">
        <v>8</v>
      </c>
      <c r="C570" s="4">
        <v>9</v>
      </c>
      <c r="D570" s="11">
        <v>2</v>
      </c>
      <c r="E570" s="11">
        <v>2</v>
      </c>
      <c r="F570" s="11">
        <v>1</v>
      </c>
      <c r="G570" s="11">
        <v>2</v>
      </c>
    </row>
    <row r="571" spans="1:7" x14ac:dyDescent="0.25">
      <c r="A571" s="11">
        <v>2026</v>
      </c>
      <c r="B571" s="11" t="s">
        <v>8</v>
      </c>
      <c r="C571" s="4">
        <v>10</v>
      </c>
      <c r="D571" s="11">
        <v>1</v>
      </c>
      <c r="E571" s="11">
        <v>3</v>
      </c>
      <c r="F571" s="11">
        <v>3</v>
      </c>
      <c r="G571" s="11">
        <v>3</v>
      </c>
    </row>
    <row r="572" spans="1:7" x14ac:dyDescent="0.25">
      <c r="A572" s="11">
        <v>2026</v>
      </c>
      <c r="B572" s="11" t="s">
        <v>8</v>
      </c>
      <c r="C572" s="4">
        <v>11</v>
      </c>
      <c r="D572" s="11">
        <v>3</v>
      </c>
      <c r="E572" s="11">
        <v>1</v>
      </c>
      <c r="F572" s="11">
        <v>2</v>
      </c>
      <c r="G572" s="11">
        <v>1</v>
      </c>
    </row>
    <row r="573" spans="1:7" x14ac:dyDescent="0.25">
      <c r="A573" s="11">
        <v>2026</v>
      </c>
      <c r="B573" s="11" t="s">
        <v>8</v>
      </c>
      <c r="C573" s="4">
        <v>12</v>
      </c>
      <c r="D573" s="11">
        <v>2</v>
      </c>
      <c r="E573" s="11">
        <v>3</v>
      </c>
      <c r="F573" s="11">
        <v>1</v>
      </c>
      <c r="G573" s="11">
        <v>1</v>
      </c>
    </row>
    <row r="574" spans="1:7" x14ac:dyDescent="0.25">
      <c r="A574" s="11">
        <v>2026</v>
      </c>
      <c r="B574" s="11" t="s">
        <v>8</v>
      </c>
      <c r="C574" s="4">
        <v>13</v>
      </c>
      <c r="D574" s="11">
        <v>2</v>
      </c>
      <c r="E574" s="11">
        <v>3</v>
      </c>
      <c r="F574" s="11">
        <v>2</v>
      </c>
      <c r="G574" s="11">
        <v>1</v>
      </c>
    </row>
    <row r="575" spans="1:7" x14ac:dyDescent="0.25">
      <c r="A575" s="11">
        <v>2026</v>
      </c>
      <c r="B575" s="11" t="s">
        <v>8</v>
      </c>
      <c r="C575" s="4">
        <v>14</v>
      </c>
      <c r="D575" s="11">
        <v>4</v>
      </c>
      <c r="E575" s="11">
        <v>4</v>
      </c>
      <c r="F575" s="11">
        <v>1</v>
      </c>
      <c r="G575" s="11">
        <v>3</v>
      </c>
    </row>
    <row r="576" spans="1:7" x14ac:dyDescent="0.25">
      <c r="A576" s="11">
        <v>2026</v>
      </c>
      <c r="B576" s="11" t="s">
        <v>8</v>
      </c>
      <c r="C576" s="4">
        <v>15</v>
      </c>
      <c r="D576" s="11">
        <v>3</v>
      </c>
      <c r="E576" s="11">
        <v>1</v>
      </c>
      <c r="F576" s="11">
        <v>1</v>
      </c>
      <c r="G576" s="11">
        <v>2</v>
      </c>
    </row>
    <row r="577" spans="1:7" x14ac:dyDescent="0.25">
      <c r="A577" s="11">
        <v>2026</v>
      </c>
      <c r="B577" s="11" t="s">
        <v>8</v>
      </c>
      <c r="C577" s="4">
        <v>16</v>
      </c>
      <c r="D577" s="11">
        <v>1</v>
      </c>
      <c r="E577" s="11">
        <v>2</v>
      </c>
      <c r="F577" s="11">
        <v>2</v>
      </c>
      <c r="G577" s="11">
        <v>2</v>
      </c>
    </row>
    <row r="578" spans="1:7" x14ac:dyDescent="0.25">
      <c r="A578" s="11">
        <v>2026</v>
      </c>
      <c r="B578" s="11" t="s">
        <v>8</v>
      </c>
      <c r="C578" s="4">
        <v>17</v>
      </c>
      <c r="D578" s="11">
        <v>1</v>
      </c>
      <c r="E578" s="11">
        <v>3</v>
      </c>
      <c r="F578" s="11">
        <v>1</v>
      </c>
      <c r="G578" s="11">
        <v>1</v>
      </c>
    </row>
    <row r="579" spans="1:7" x14ac:dyDescent="0.25">
      <c r="A579" s="11">
        <v>2026</v>
      </c>
      <c r="B579" s="11" t="s">
        <v>8</v>
      </c>
      <c r="C579" s="4">
        <v>18</v>
      </c>
      <c r="D579" s="11">
        <v>1</v>
      </c>
      <c r="E579" s="11">
        <v>3</v>
      </c>
      <c r="F579" s="11">
        <v>1</v>
      </c>
      <c r="G579" s="11">
        <v>1</v>
      </c>
    </row>
    <row r="580" spans="1:7" x14ac:dyDescent="0.25">
      <c r="A580" s="11">
        <v>2026</v>
      </c>
      <c r="B580" s="11" t="s">
        <v>8</v>
      </c>
      <c r="C580" s="4">
        <v>19</v>
      </c>
      <c r="D580" s="11">
        <v>1</v>
      </c>
      <c r="E580" s="11">
        <v>2</v>
      </c>
      <c r="F580" s="11">
        <v>1</v>
      </c>
      <c r="G580" s="11">
        <v>1</v>
      </c>
    </row>
    <row r="581" spans="1:7" x14ac:dyDescent="0.25">
      <c r="A581" s="11">
        <v>2026</v>
      </c>
      <c r="B581" s="11" t="s">
        <v>8</v>
      </c>
      <c r="C581" s="4">
        <v>20</v>
      </c>
      <c r="D581" s="11">
        <v>3</v>
      </c>
      <c r="E581" s="11">
        <v>2</v>
      </c>
      <c r="F581" s="11">
        <v>2</v>
      </c>
      <c r="G581" s="11">
        <v>3</v>
      </c>
    </row>
    <row r="582" spans="1:7" x14ac:dyDescent="0.25">
      <c r="A582" s="11">
        <v>2026</v>
      </c>
      <c r="B582" s="11" t="s">
        <v>8</v>
      </c>
      <c r="C582" s="4">
        <v>21</v>
      </c>
      <c r="D582" s="11">
        <v>4</v>
      </c>
      <c r="E582" s="11">
        <v>4</v>
      </c>
      <c r="F582" s="11">
        <v>1</v>
      </c>
      <c r="G582" s="11">
        <v>2</v>
      </c>
    </row>
    <row r="583" spans="1:7" x14ac:dyDescent="0.25">
      <c r="A583" s="11">
        <v>2026</v>
      </c>
      <c r="B583" s="11" t="s">
        <v>8</v>
      </c>
      <c r="C583" s="4">
        <v>22</v>
      </c>
      <c r="D583" s="11">
        <v>3</v>
      </c>
      <c r="E583" s="11">
        <v>3</v>
      </c>
      <c r="F583" s="11">
        <v>1</v>
      </c>
      <c r="G583" s="11">
        <v>4</v>
      </c>
    </row>
    <row r="584" spans="1:7" x14ac:dyDescent="0.25">
      <c r="A584" s="11">
        <v>2026</v>
      </c>
      <c r="B584" s="11" t="s">
        <v>8</v>
      </c>
      <c r="C584" s="4">
        <v>23</v>
      </c>
      <c r="D584" s="11">
        <v>4</v>
      </c>
      <c r="E584" s="11">
        <v>2</v>
      </c>
      <c r="F584" s="11">
        <v>1</v>
      </c>
      <c r="G584" s="11">
        <v>2</v>
      </c>
    </row>
    <row r="585" spans="1:7" x14ac:dyDescent="0.25">
      <c r="A585" s="11">
        <v>2026</v>
      </c>
      <c r="B585" s="11" t="s">
        <v>8</v>
      </c>
      <c r="C585" s="4">
        <v>24</v>
      </c>
      <c r="D585" s="11">
        <v>3</v>
      </c>
      <c r="E585" s="11">
        <v>1</v>
      </c>
      <c r="F585" s="11">
        <v>1</v>
      </c>
      <c r="G585" s="11">
        <v>3</v>
      </c>
    </row>
    <row r="586" spans="1:7" x14ac:dyDescent="0.25">
      <c r="A586" s="11">
        <v>2026</v>
      </c>
      <c r="B586" s="11" t="s">
        <v>8</v>
      </c>
      <c r="C586" s="4">
        <v>25</v>
      </c>
      <c r="D586" s="11">
        <v>3</v>
      </c>
      <c r="E586" s="11">
        <v>3</v>
      </c>
      <c r="F586" s="11">
        <v>1</v>
      </c>
      <c r="G586" s="11">
        <v>1</v>
      </c>
    </row>
    <row r="587" spans="1:7" x14ac:dyDescent="0.25">
      <c r="A587" s="11">
        <v>2026</v>
      </c>
      <c r="B587" s="11" t="s">
        <v>8</v>
      </c>
      <c r="C587" s="4">
        <v>26</v>
      </c>
      <c r="D587" s="11">
        <v>3</v>
      </c>
      <c r="E587" s="11">
        <v>2</v>
      </c>
      <c r="F587" s="11">
        <v>2</v>
      </c>
      <c r="G587" s="11">
        <v>1</v>
      </c>
    </row>
    <row r="588" spans="1:7" x14ac:dyDescent="0.25">
      <c r="A588" s="11">
        <v>2026</v>
      </c>
      <c r="B588" s="11" t="s">
        <v>8</v>
      </c>
      <c r="C588" s="4">
        <v>27</v>
      </c>
      <c r="D588" s="11">
        <v>2</v>
      </c>
      <c r="E588" s="11">
        <v>1</v>
      </c>
      <c r="F588" s="11">
        <v>2</v>
      </c>
      <c r="G588" s="11">
        <v>3</v>
      </c>
    </row>
    <row r="589" spans="1:7" x14ac:dyDescent="0.25">
      <c r="A589" s="11">
        <v>2026</v>
      </c>
      <c r="B589" s="11" t="s">
        <v>8</v>
      </c>
      <c r="C589" s="4">
        <v>28</v>
      </c>
      <c r="D589" s="11">
        <v>2</v>
      </c>
      <c r="E589" s="11">
        <v>1</v>
      </c>
      <c r="F589" s="11">
        <v>3</v>
      </c>
      <c r="G589" s="11">
        <v>2</v>
      </c>
    </row>
    <row r="590" spans="1:7" x14ac:dyDescent="0.25">
      <c r="A590" s="11">
        <v>2026</v>
      </c>
      <c r="B590" s="11" t="s">
        <v>9</v>
      </c>
      <c r="C590" s="4">
        <v>1</v>
      </c>
      <c r="D590" s="11">
        <v>1</v>
      </c>
      <c r="E590" s="11">
        <v>1</v>
      </c>
      <c r="F590" s="11">
        <v>3</v>
      </c>
      <c r="G590" s="11">
        <v>3</v>
      </c>
    </row>
    <row r="591" spans="1:7" x14ac:dyDescent="0.25">
      <c r="A591" s="11">
        <v>2026</v>
      </c>
      <c r="B591" s="11" t="s">
        <v>9</v>
      </c>
      <c r="C591" s="4">
        <v>2</v>
      </c>
      <c r="D591" s="11">
        <v>1</v>
      </c>
      <c r="E591" s="11">
        <v>1</v>
      </c>
      <c r="F591" s="11">
        <v>3</v>
      </c>
      <c r="G591" s="11">
        <v>2</v>
      </c>
    </row>
    <row r="592" spans="1:7" x14ac:dyDescent="0.25">
      <c r="A592" s="11">
        <v>2026</v>
      </c>
      <c r="B592" s="11" t="s">
        <v>9</v>
      </c>
      <c r="C592" s="4">
        <v>3</v>
      </c>
      <c r="D592" s="11">
        <v>3</v>
      </c>
      <c r="E592" s="11">
        <v>2</v>
      </c>
      <c r="F592" s="11">
        <v>1</v>
      </c>
      <c r="G592" s="11">
        <v>1</v>
      </c>
    </row>
    <row r="593" spans="1:7" x14ac:dyDescent="0.25">
      <c r="A593" s="11">
        <v>2026</v>
      </c>
      <c r="B593" s="11" t="s">
        <v>9</v>
      </c>
      <c r="C593" s="4">
        <v>4</v>
      </c>
      <c r="D593" s="11">
        <v>3</v>
      </c>
      <c r="E593" s="11">
        <v>2</v>
      </c>
      <c r="F593" s="11">
        <v>1</v>
      </c>
      <c r="G593" s="11">
        <v>2</v>
      </c>
    </row>
    <row r="594" spans="1:7" x14ac:dyDescent="0.25">
      <c r="A594" s="11">
        <v>2026</v>
      </c>
      <c r="B594" s="11" t="s">
        <v>9</v>
      </c>
      <c r="C594" s="4">
        <v>5</v>
      </c>
      <c r="D594" s="11">
        <v>2</v>
      </c>
      <c r="E594" s="11">
        <v>3</v>
      </c>
      <c r="F594" s="11">
        <v>3</v>
      </c>
      <c r="G594" s="11">
        <v>1</v>
      </c>
    </row>
    <row r="595" spans="1:7" x14ac:dyDescent="0.25">
      <c r="A595" s="11">
        <v>2026</v>
      </c>
      <c r="B595" s="11" t="s">
        <v>9</v>
      </c>
      <c r="C595" s="4">
        <v>6</v>
      </c>
      <c r="D595" s="11">
        <v>3</v>
      </c>
      <c r="E595" s="11">
        <v>2</v>
      </c>
      <c r="F595" s="11">
        <v>4</v>
      </c>
      <c r="G595" s="11">
        <v>1</v>
      </c>
    </row>
    <row r="596" spans="1:7" x14ac:dyDescent="0.25">
      <c r="A596" s="11">
        <v>2026</v>
      </c>
      <c r="B596" s="11" t="s">
        <v>9</v>
      </c>
      <c r="C596" s="4">
        <v>7</v>
      </c>
      <c r="D596" s="11">
        <v>2</v>
      </c>
      <c r="E596" s="11">
        <v>1</v>
      </c>
      <c r="F596" s="11">
        <v>3</v>
      </c>
      <c r="G596" s="11">
        <v>3</v>
      </c>
    </row>
    <row r="597" spans="1:7" x14ac:dyDescent="0.25">
      <c r="A597" s="11">
        <v>2026</v>
      </c>
      <c r="B597" s="11" t="s">
        <v>9</v>
      </c>
      <c r="C597" s="4">
        <v>8</v>
      </c>
      <c r="D597" s="11">
        <v>3</v>
      </c>
      <c r="E597" s="11">
        <v>1</v>
      </c>
      <c r="F597" s="11">
        <v>1</v>
      </c>
      <c r="G597" s="11">
        <v>1</v>
      </c>
    </row>
    <row r="598" spans="1:7" x14ac:dyDescent="0.25">
      <c r="A598" s="11">
        <v>2026</v>
      </c>
      <c r="B598" s="11" t="s">
        <v>9</v>
      </c>
      <c r="C598" s="4">
        <v>9</v>
      </c>
      <c r="D598" s="11">
        <v>2</v>
      </c>
      <c r="E598" s="11">
        <v>1</v>
      </c>
      <c r="F598" s="11">
        <v>3</v>
      </c>
      <c r="G598" s="11">
        <v>4</v>
      </c>
    </row>
    <row r="599" spans="1:7" x14ac:dyDescent="0.25">
      <c r="A599" s="11">
        <v>2026</v>
      </c>
      <c r="B599" s="11" t="s">
        <v>9</v>
      </c>
      <c r="C599" s="4">
        <v>10</v>
      </c>
      <c r="D599" s="11">
        <v>2</v>
      </c>
      <c r="E599" s="11">
        <v>2</v>
      </c>
      <c r="F599" s="11">
        <v>1</v>
      </c>
      <c r="G599" s="11">
        <v>1</v>
      </c>
    </row>
    <row r="600" spans="1:7" x14ac:dyDescent="0.25">
      <c r="A600" s="11">
        <v>2026</v>
      </c>
      <c r="B600" s="11" t="s">
        <v>9</v>
      </c>
      <c r="C600" s="4">
        <v>11</v>
      </c>
      <c r="D600" s="11">
        <v>1</v>
      </c>
      <c r="E600" s="11">
        <v>1</v>
      </c>
      <c r="F600" s="11">
        <v>2</v>
      </c>
      <c r="G600" s="11">
        <v>1</v>
      </c>
    </row>
    <row r="601" spans="1:7" x14ac:dyDescent="0.25">
      <c r="A601" s="11">
        <v>2026</v>
      </c>
      <c r="B601" s="11" t="s">
        <v>9</v>
      </c>
      <c r="C601" s="4">
        <v>12</v>
      </c>
      <c r="D601" s="11">
        <v>1</v>
      </c>
      <c r="E601" s="11">
        <v>2</v>
      </c>
      <c r="F601" s="11">
        <v>1</v>
      </c>
      <c r="G601" s="11">
        <v>1</v>
      </c>
    </row>
    <row r="602" spans="1:7" x14ac:dyDescent="0.25">
      <c r="A602" s="11">
        <v>2026</v>
      </c>
      <c r="B602" s="11" t="s">
        <v>9</v>
      </c>
      <c r="C602" s="4">
        <v>13</v>
      </c>
      <c r="D602" s="11">
        <v>2</v>
      </c>
      <c r="E602" s="11">
        <v>2</v>
      </c>
      <c r="F602" s="11">
        <v>1</v>
      </c>
      <c r="G602" s="11">
        <v>4</v>
      </c>
    </row>
    <row r="603" spans="1:7" x14ac:dyDescent="0.25">
      <c r="A603" s="11">
        <v>2026</v>
      </c>
      <c r="B603" s="11" t="s">
        <v>9</v>
      </c>
      <c r="C603" s="4">
        <v>14</v>
      </c>
      <c r="D603" s="11">
        <v>3</v>
      </c>
      <c r="E603" s="11">
        <v>1</v>
      </c>
      <c r="F603" s="11">
        <v>3</v>
      </c>
      <c r="G603" s="11">
        <v>2</v>
      </c>
    </row>
    <row r="604" spans="1:7" x14ac:dyDescent="0.25">
      <c r="A604" s="11">
        <v>2026</v>
      </c>
      <c r="B604" s="11" t="s">
        <v>9</v>
      </c>
      <c r="C604" s="4">
        <v>15</v>
      </c>
      <c r="D604" s="11">
        <v>2</v>
      </c>
      <c r="E604" s="11">
        <v>2</v>
      </c>
      <c r="F604" s="11">
        <v>1</v>
      </c>
      <c r="G604" s="11">
        <v>1</v>
      </c>
    </row>
    <row r="605" spans="1:7" x14ac:dyDescent="0.25">
      <c r="A605" s="11">
        <v>2026</v>
      </c>
      <c r="B605" s="11" t="s">
        <v>9</v>
      </c>
      <c r="C605" s="4">
        <v>16</v>
      </c>
      <c r="D605" s="11">
        <v>3</v>
      </c>
      <c r="E605" s="11">
        <v>1</v>
      </c>
      <c r="F605" s="11">
        <v>2</v>
      </c>
      <c r="G605" s="11">
        <v>3</v>
      </c>
    </row>
    <row r="606" spans="1:7" x14ac:dyDescent="0.25">
      <c r="A606" s="11">
        <v>2026</v>
      </c>
      <c r="B606" s="11" t="s">
        <v>9</v>
      </c>
      <c r="C606" s="4">
        <v>17</v>
      </c>
      <c r="D606" s="11">
        <v>3</v>
      </c>
      <c r="E606" s="11">
        <v>3</v>
      </c>
      <c r="F606" s="11">
        <v>1</v>
      </c>
      <c r="G606" s="11">
        <v>2</v>
      </c>
    </row>
    <row r="607" spans="1:7" x14ac:dyDescent="0.25">
      <c r="A607" s="11">
        <v>2026</v>
      </c>
      <c r="B607" s="11" t="s">
        <v>9</v>
      </c>
      <c r="C607" s="4">
        <v>18</v>
      </c>
      <c r="D607" s="11">
        <v>1</v>
      </c>
      <c r="E607" s="11">
        <v>3</v>
      </c>
      <c r="F607" s="11">
        <v>1</v>
      </c>
      <c r="G607" s="11">
        <v>2</v>
      </c>
    </row>
    <row r="608" spans="1:7" x14ac:dyDescent="0.25">
      <c r="A608" s="11">
        <v>2026</v>
      </c>
      <c r="B608" s="11" t="s">
        <v>9</v>
      </c>
      <c r="C608" s="4">
        <v>19</v>
      </c>
      <c r="D608" s="11">
        <v>2</v>
      </c>
      <c r="E608" s="11">
        <v>1</v>
      </c>
      <c r="F608" s="11">
        <v>1</v>
      </c>
      <c r="G608" s="11">
        <v>1</v>
      </c>
    </row>
    <row r="609" spans="1:7" x14ac:dyDescent="0.25">
      <c r="A609" s="11">
        <v>2026</v>
      </c>
      <c r="B609" s="11" t="s">
        <v>9</v>
      </c>
      <c r="C609" s="4">
        <v>20</v>
      </c>
      <c r="D609" s="11">
        <v>1</v>
      </c>
      <c r="E609" s="11">
        <v>2</v>
      </c>
      <c r="F609" s="11">
        <v>4</v>
      </c>
      <c r="G609" s="11">
        <v>3</v>
      </c>
    </row>
    <row r="610" spans="1:7" x14ac:dyDescent="0.25">
      <c r="A610" s="11">
        <v>2026</v>
      </c>
      <c r="B610" s="11" t="s">
        <v>9</v>
      </c>
      <c r="C610" s="4">
        <v>21</v>
      </c>
      <c r="D610" s="11">
        <v>1</v>
      </c>
      <c r="E610" s="11">
        <v>4</v>
      </c>
      <c r="F610" s="11">
        <v>3</v>
      </c>
      <c r="G610" s="11">
        <v>1</v>
      </c>
    </row>
    <row r="611" spans="1:7" x14ac:dyDescent="0.25">
      <c r="A611" s="11">
        <v>2026</v>
      </c>
      <c r="B611" s="11" t="s">
        <v>9</v>
      </c>
      <c r="C611" s="4">
        <v>22</v>
      </c>
      <c r="D611" s="11">
        <v>1</v>
      </c>
      <c r="E611" s="11">
        <v>1</v>
      </c>
      <c r="F611" s="11">
        <v>2</v>
      </c>
      <c r="G611" s="11">
        <v>1</v>
      </c>
    </row>
    <row r="612" spans="1:7" x14ac:dyDescent="0.25">
      <c r="A612" s="11">
        <v>2026</v>
      </c>
      <c r="B612" s="11" t="s">
        <v>9</v>
      </c>
      <c r="C612" s="4">
        <v>23</v>
      </c>
      <c r="D612" s="11">
        <v>2</v>
      </c>
      <c r="E612" s="11">
        <v>2</v>
      </c>
      <c r="F612" s="11">
        <v>3</v>
      </c>
      <c r="G612" s="11">
        <v>1</v>
      </c>
    </row>
    <row r="613" spans="1:7" x14ac:dyDescent="0.25">
      <c r="A613" s="11">
        <v>2026</v>
      </c>
      <c r="B613" s="11" t="s">
        <v>9</v>
      </c>
      <c r="C613" s="4">
        <v>24</v>
      </c>
      <c r="D613" s="11">
        <v>3</v>
      </c>
      <c r="E613" s="11">
        <v>4</v>
      </c>
      <c r="F613" s="11">
        <v>3</v>
      </c>
      <c r="G613" s="11">
        <v>1</v>
      </c>
    </row>
    <row r="614" spans="1:7" x14ac:dyDescent="0.25">
      <c r="A614" s="11">
        <v>2026</v>
      </c>
      <c r="B614" s="11" t="s">
        <v>9</v>
      </c>
      <c r="C614" s="4">
        <v>25</v>
      </c>
      <c r="D614" s="11">
        <v>3</v>
      </c>
      <c r="E614" s="11">
        <v>2</v>
      </c>
      <c r="F614" s="11">
        <v>2</v>
      </c>
      <c r="G614" s="11">
        <v>3</v>
      </c>
    </row>
    <row r="615" spans="1:7" x14ac:dyDescent="0.25">
      <c r="A615" s="11">
        <v>2026</v>
      </c>
      <c r="B615" s="11" t="s">
        <v>9</v>
      </c>
      <c r="C615" s="4">
        <v>26</v>
      </c>
      <c r="D615" s="11">
        <v>3</v>
      </c>
      <c r="E615" s="11">
        <v>3</v>
      </c>
      <c r="F615" s="11">
        <v>1</v>
      </c>
      <c r="G615" s="11">
        <v>1</v>
      </c>
    </row>
    <row r="616" spans="1:7" x14ac:dyDescent="0.25">
      <c r="A616" s="11">
        <v>2026</v>
      </c>
      <c r="B616" s="11" t="s">
        <v>9</v>
      </c>
      <c r="C616" s="4">
        <v>27</v>
      </c>
      <c r="D616" s="11">
        <v>3</v>
      </c>
      <c r="E616" s="11">
        <v>2</v>
      </c>
      <c r="F616" s="11">
        <v>1</v>
      </c>
      <c r="G616" s="11">
        <v>2</v>
      </c>
    </row>
    <row r="617" spans="1:7" x14ac:dyDescent="0.25">
      <c r="A617" s="11">
        <v>2026</v>
      </c>
      <c r="B617" s="11" t="s">
        <v>9</v>
      </c>
      <c r="C617" s="4">
        <v>28</v>
      </c>
      <c r="D617" s="11">
        <v>1</v>
      </c>
      <c r="E617" s="11">
        <v>4</v>
      </c>
      <c r="F617" s="11">
        <v>4</v>
      </c>
      <c r="G617" s="11">
        <v>3</v>
      </c>
    </row>
    <row r="618" spans="1:7" x14ac:dyDescent="0.25">
      <c r="A618" s="11">
        <v>2026</v>
      </c>
      <c r="B618" s="11" t="s">
        <v>10</v>
      </c>
      <c r="C618" s="4">
        <v>1</v>
      </c>
      <c r="D618" s="11">
        <v>4</v>
      </c>
      <c r="E618" s="11">
        <v>3</v>
      </c>
      <c r="F618" s="11">
        <v>2</v>
      </c>
      <c r="G618" s="11">
        <v>1</v>
      </c>
    </row>
    <row r="619" spans="1:7" x14ac:dyDescent="0.25">
      <c r="A619" s="11">
        <v>2026</v>
      </c>
      <c r="B619" s="11" t="s">
        <v>10</v>
      </c>
      <c r="C619" s="4">
        <v>2</v>
      </c>
      <c r="D619" s="11">
        <v>1</v>
      </c>
      <c r="E619" s="11">
        <v>3</v>
      </c>
      <c r="F619" s="11">
        <v>1</v>
      </c>
      <c r="G619" s="11">
        <v>1</v>
      </c>
    </row>
    <row r="620" spans="1:7" x14ac:dyDescent="0.25">
      <c r="A620" s="11">
        <v>2026</v>
      </c>
      <c r="B620" s="11" t="s">
        <v>10</v>
      </c>
      <c r="C620" s="4">
        <v>3</v>
      </c>
      <c r="D620" s="11">
        <v>3</v>
      </c>
      <c r="E620" s="11">
        <v>3</v>
      </c>
      <c r="F620" s="11">
        <v>1</v>
      </c>
      <c r="G620" s="11">
        <v>2</v>
      </c>
    </row>
    <row r="621" spans="1:7" x14ac:dyDescent="0.25">
      <c r="A621" s="11">
        <v>2026</v>
      </c>
      <c r="B621" s="11" t="s">
        <v>10</v>
      </c>
      <c r="C621" s="4">
        <v>4</v>
      </c>
      <c r="D621" s="11">
        <v>2</v>
      </c>
      <c r="E621" s="11">
        <v>1</v>
      </c>
      <c r="F621" s="11">
        <v>2</v>
      </c>
      <c r="G621" s="11">
        <v>3</v>
      </c>
    </row>
    <row r="622" spans="1:7" x14ac:dyDescent="0.25">
      <c r="A622" s="11">
        <v>2026</v>
      </c>
      <c r="B622" s="11" t="s">
        <v>10</v>
      </c>
      <c r="C622" s="4">
        <v>5</v>
      </c>
      <c r="D622" s="11">
        <v>1</v>
      </c>
      <c r="E622" s="11">
        <v>2</v>
      </c>
      <c r="F622" s="11">
        <v>3</v>
      </c>
      <c r="G622" s="11">
        <v>3</v>
      </c>
    </row>
    <row r="623" spans="1:7" x14ac:dyDescent="0.25">
      <c r="A623" s="11">
        <v>2026</v>
      </c>
      <c r="B623" s="11" t="s">
        <v>10</v>
      </c>
      <c r="C623" s="4">
        <v>6</v>
      </c>
      <c r="D623" s="11">
        <v>1</v>
      </c>
      <c r="E623" s="11">
        <v>3</v>
      </c>
      <c r="F623" s="11">
        <v>1</v>
      </c>
      <c r="G623" s="11">
        <v>3</v>
      </c>
    </row>
    <row r="624" spans="1:7" x14ac:dyDescent="0.25">
      <c r="A624" s="11">
        <v>2026</v>
      </c>
      <c r="B624" s="11" t="s">
        <v>10</v>
      </c>
      <c r="C624" s="4">
        <v>7</v>
      </c>
      <c r="D624" s="11">
        <v>4</v>
      </c>
      <c r="E624" s="11">
        <v>4</v>
      </c>
      <c r="F624" s="11">
        <v>2</v>
      </c>
      <c r="G624" s="11">
        <v>1</v>
      </c>
    </row>
    <row r="625" spans="1:7" x14ac:dyDescent="0.25">
      <c r="A625" s="11">
        <v>2026</v>
      </c>
      <c r="B625" s="11" t="s">
        <v>10</v>
      </c>
      <c r="C625" s="4">
        <v>8</v>
      </c>
      <c r="D625" s="11">
        <v>2</v>
      </c>
      <c r="E625" s="11">
        <v>2</v>
      </c>
      <c r="F625" s="11">
        <v>1</v>
      </c>
      <c r="G625" s="11">
        <v>1</v>
      </c>
    </row>
    <row r="626" spans="1:7" x14ac:dyDescent="0.25">
      <c r="A626" s="11">
        <v>2026</v>
      </c>
      <c r="B626" s="11" t="s">
        <v>10</v>
      </c>
      <c r="C626" s="4">
        <v>9</v>
      </c>
      <c r="D626" s="11">
        <v>1</v>
      </c>
      <c r="E626" s="11">
        <v>3</v>
      </c>
      <c r="F626" s="11">
        <v>2</v>
      </c>
      <c r="G626" s="11">
        <v>2</v>
      </c>
    </row>
    <row r="627" spans="1:7" x14ac:dyDescent="0.25">
      <c r="A627" s="11">
        <v>2026</v>
      </c>
      <c r="B627" s="11" t="s">
        <v>10</v>
      </c>
      <c r="C627" s="4">
        <v>10</v>
      </c>
      <c r="D627" s="11">
        <v>2</v>
      </c>
      <c r="E627" s="11">
        <v>4</v>
      </c>
      <c r="F627" s="11">
        <v>2</v>
      </c>
      <c r="G627" s="11">
        <v>1</v>
      </c>
    </row>
    <row r="628" spans="1:7" x14ac:dyDescent="0.25">
      <c r="A628" s="11">
        <v>2026</v>
      </c>
      <c r="B628" s="11" t="s">
        <v>10</v>
      </c>
      <c r="C628" s="4">
        <v>11</v>
      </c>
      <c r="D628" s="11">
        <v>2</v>
      </c>
      <c r="E628" s="11">
        <v>3</v>
      </c>
      <c r="F628" s="11">
        <v>1</v>
      </c>
      <c r="G628" s="11">
        <v>3</v>
      </c>
    </row>
    <row r="629" spans="1:7" x14ac:dyDescent="0.25">
      <c r="A629" s="11">
        <v>2026</v>
      </c>
      <c r="B629" s="11" t="s">
        <v>10</v>
      </c>
      <c r="C629" s="4">
        <v>12</v>
      </c>
      <c r="D629" s="11">
        <v>1</v>
      </c>
      <c r="E629" s="11">
        <v>1</v>
      </c>
      <c r="F629" s="11">
        <v>3</v>
      </c>
      <c r="G629" s="11">
        <v>2</v>
      </c>
    </row>
    <row r="630" spans="1:7" x14ac:dyDescent="0.25">
      <c r="A630" s="11">
        <v>2026</v>
      </c>
      <c r="B630" s="11" t="s">
        <v>10</v>
      </c>
      <c r="C630" s="4">
        <v>13</v>
      </c>
      <c r="D630" s="11">
        <v>1</v>
      </c>
      <c r="E630" s="11">
        <v>2</v>
      </c>
      <c r="F630" s="11">
        <v>1</v>
      </c>
      <c r="G630" s="11">
        <v>1</v>
      </c>
    </row>
    <row r="631" spans="1:7" x14ac:dyDescent="0.25">
      <c r="A631" s="11">
        <v>2026</v>
      </c>
      <c r="B631" s="11" t="s">
        <v>10</v>
      </c>
      <c r="C631" s="4">
        <v>14</v>
      </c>
      <c r="D631" s="11">
        <v>2</v>
      </c>
      <c r="E631" s="11">
        <v>1</v>
      </c>
      <c r="F631" s="11">
        <v>1</v>
      </c>
      <c r="G631" s="11">
        <v>2</v>
      </c>
    </row>
    <row r="632" spans="1:7" x14ac:dyDescent="0.25">
      <c r="A632" s="11">
        <v>2026</v>
      </c>
      <c r="B632" s="11" t="s">
        <v>10</v>
      </c>
      <c r="C632" s="4">
        <v>15</v>
      </c>
      <c r="D632" s="11">
        <v>4</v>
      </c>
      <c r="E632" s="11">
        <v>4</v>
      </c>
      <c r="F632" s="11">
        <v>2</v>
      </c>
      <c r="G632" s="11">
        <v>1</v>
      </c>
    </row>
    <row r="633" spans="1:7" x14ac:dyDescent="0.25">
      <c r="A633" s="11">
        <v>2026</v>
      </c>
      <c r="B633" s="11" t="s">
        <v>10</v>
      </c>
      <c r="C633" s="4">
        <v>16</v>
      </c>
      <c r="D633" s="11">
        <v>1</v>
      </c>
      <c r="E633" s="11">
        <v>2</v>
      </c>
      <c r="F633" s="11">
        <v>1</v>
      </c>
      <c r="G633" s="11">
        <v>4</v>
      </c>
    </row>
    <row r="634" spans="1:7" x14ac:dyDescent="0.25">
      <c r="A634" s="11">
        <v>2026</v>
      </c>
      <c r="B634" s="11" t="s">
        <v>10</v>
      </c>
      <c r="C634" s="4">
        <v>17</v>
      </c>
      <c r="D634" s="11">
        <v>1</v>
      </c>
      <c r="E634" s="11">
        <v>1</v>
      </c>
      <c r="F634" s="11">
        <v>2</v>
      </c>
      <c r="G634" s="11">
        <v>1</v>
      </c>
    </row>
    <row r="635" spans="1:7" x14ac:dyDescent="0.25">
      <c r="A635" s="11">
        <v>2026</v>
      </c>
      <c r="B635" s="11" t="s">
        <v>10</v>
      </c>
      <c r="C635" s="4">
        <v>18</v>
      </c>
      <c r="D635" s="11">
        <v>3</v>
      </c>
      <c r="E635" s="11">
        <v>2</v>
      </c>
      <c r="F635" s="11">
        <v>1</v>
      </c>
      <c r="G635" s="11">
        <v>2</v>
      </c>
    </row>
    <row r="636" spans="1:7" x14ac:dyDescent="0.25">
      <c r="A636" s="11">
        <v>2026</v>
      </c>
      <c r="B636" s="11" t="s">
        <v>10</v>
      </c>
      <c r="C636" s="4">
        <v>19</v>
      </c>
      <c r="D636" s="11">
        <v>3</v>
      </c>
      <c r="E636" s="11">
        <v>2</v>
      </c>
      <c r="F636" s="11">
        <v>2</v>
      </c>
      <c r="G636" s="11">
        <v>2</v>
      </c>
    </row>
    <row r="637" spans="1:7" x14ac:dyDescent="0.25">
      <c r="A637" s="11">
        <v>2026</v>
      </c>
      <c r="B637" s="11" t="s">
        <v>10</v>
      </c>
      <c r="C637" s="4">
        <v>20</v>
      </c>
      <c r="D637" s="11">
        <v>4</v>
      </c>
      <c r="E637" s="11">
        <v>3</v>
      </c>
      <c r="F637" s="11">
        <v>3</v>
      </c>
      <c r="G637" s="11">
        <v>1</v>
      </c>
    </row>
    <row r="638" spans="1:7" x14ac:dyDescent="0.25">
      <c r="A638" s="11">
        <v>2026</v>
      </c>
      <c r="B638" s="11" t="s">
        <v>10</v>
      </c>
      <c r="C638" s="4">
        <v>21</v>
      </c>
      <c r="D638" s="11">
        <v>4</v>
      </c>
      <c r="E638" s="11">
        <v>3</v>
      </c>
      <c r="F638" s="11">
        <v>2</v>
      </c>
      <c r="G638" s="11">
        <v>3</v>
      </c>
    </row>
    <row r="639" spans="1:7" x14ac:dyDescent="0.25">
      <c r="A639" s="11">
        <v>2026</v>
      </c>
      <c r="B639" s="11" t="s">
        <v>10</v>
      </c>
      <c r="C639" s="4">
        <v>22</v>
      </c>
      <c r="D639" s="11">
        <v>3</v>
      </c>
      <c r="E639" s="11">
        <v>1</v>
      </c>
      <c r="F639" s="11">
        <v>1</v>
      </c>
      <c r="G639" s="11">
        <v>4</v>
      </c>
    </row>
    <row r="640" spans="1:7" x14ac:dyDescent="0.25">
      <c r="A640" s="11">
        <v>2026</v>
      </c>
      <c r="B640" s="11" t="s">
        <v>10</v>
      </c>
      <c r="C640" s="4">
        <v>23</v>
      </c>
      <c r="D640" s="11">
        <v>3</v>
      </c>
      <c r="E640" s="11">
        <v>2</v>
      </c>
      <c r="F640" s="11">
        <v>2</v>
      </c>
      <c r="G640" s="11">
        <v>2</v>
      </c>
    </row>
    <row r="641" spans="1:7" x14ac:dyDescent="0.25">
      <c r="A641" s="11">
        <v>2026</v>
      </c>
      <c r="B641" s="11" t="s">
        <v>10</v>
      </c>
      <c r="C641" s="4">
        <v>24</v>
      </c>
      <c r="D641" s="11">
        <v>2</v>
      </c>
      <c r="E641" s="11">
        <v>1</v>
      </c>
      <c r="F641" s="11">
        <v>2</v>
      </c>
      <c r="G641" s="11">
        <v>1</v>
      </c>
    </row>
    <row r="642" spans="1:7" x14ac:dyDescent="0.25">
      <c r="A642" s="11">
        <v>2026</v>
      </c>
      <c r="B642" s="11" t="s">
        <v>10</v>
      </c>
      <c r="C642" s="4">
        <v>25</v>
      </c>
      <c r="D642" s="11">
        <v>3</v>
      </c>
      <c r="E642" s="11">
        <v>1</v>
      </c>
      <c r="F642" s="11">
        <v>2</v>
      </c>
      <c r="G642" s="11">
        <v>4</v>
      </c>
    </row>
    <row r="643" spans="1:7" x14ac:dyDescent="0.25">
      <c r="A643" s="11">
        <v>2026</v>
      </c>
      <c r="B643" s="11" t="s">
        <v>10</v>
      </c>
      <c r="C643" s="4">
        <v>26</v>
      </c>
      <c r="D643" s="11">
        <v>3</v>
      </c>
      <c r="E643" s="11">
        <v>2</v>
      </c>
      <c r="F643" s="11">
        <v>1</v>
      </c>
      <c r="G643" s="11">
        <v>1</v>
      </c>
    </row>
    <row r="644" spans="1:7" x14ac:dyDescent="0.25">
      <c r="A644" s="11">
        <v>2026</v>
      </c>
      <c r="B644" s="11" t="s">
        <v>10</v>
      </c>
      <c r="C644" s="4">
        <v>27</v>
      </c>
      <c r="D644" s="11">
        <v>2</v>
      </c>
      <c r="E644" s="11">
        <v>1</v>
      </c>
      <c r="F644" s="11">
        <v>3</v>
      </c>
      <c r="G644" s="11">
        <v>1</v>
      </c>
    </row>
    <row r="645" spans="1:7" x14ac:dyDescent="0.25">
      <c r="A645" s="11">
        <v>2026</v>
      </c>
      <c r="B645" s="11" t="s">
        <v>10</v>
      </c>
      <c r="C645" s="4">
        <v>28</v>
      </c>
      <c r="D645" s="11">
        <v>1</v>
      </c>
      <c r="E645" s="11">
        <v>1</v>
      </c>
      <c r="F645" s="11">
        <v>2</v>
      </c>
      <c r="G645" s="11">
        <v>2</v>
      </c>
    </row>
    <row r="646" spans="1:7" x14ac:dyDescent="0.25">
      <c r="A646" s="11">
        <v>2026</v>
      </c>
      <c r="B646" s="11" t="s">
        <v>11</v>
      </c>
      <c r="C646" s="4">
        <v>1</v>
      </c>
      <c r="D646" s="11">
        <v>2</v>
      </c>
      <c r="E646" s="11">
        <v>1</v>
      </c>
      <c r="F646" s="11">
        <v>1</v>
      </c>
      <c r="G646" s="11">
        <v>1</v>
      </c>
    </row>
    <row r="647" spans="1:7" x14ac:dyDescent="0.25">
      <c r="A647" s="11">
        <v>2026</v>
      </c>
      <c r="B647" s="11" t="s">
        <v>11</v>
      </c>
      <c r="C647" s="4">
        <v>2</v>
      </c>
      <c r="D647" s="11">
        <v>1</v>
      </c>
      <c r="E647" s="11">
        <v>1</v>
      </c>
      <c r="F647" s="11">
        <v>1</v>
      </c>
      <c r="G647" s="11">
        <v>1</v>
      </c>
    </row>
    <row r="648" spans="1:7" x14ac:dyDescent="0.25">
      <c r="A648" s="11">
        <v>2026</v>
      </c>
      <c r="B648" s="11" t="s">
        <v>11</v>
      </c>
      <c r="C648" s="4">
        <v>3</v>
      </c>
      <c r="D648" s="11">
        <v>4</v>
      </c>
      <c r="E648" s="11">
        <v>2</v>
      </c>
      <c r="F648" s="11">
        <v>4</v>
      </c>
      <c r="G648" s="11">
        <v>1</v>
      </c>
    </row>
    <row r="649" spans="1:7" x14ac:dyDescent="0.25">
      <c r="A649" s="11">
        <v>2026</v>
      </c>
      <c r="B649" s="11" t="s">
        <v>11</v>
      </c>
      <c r="C649" s="4">
        <v>4</v>
      </c>
      <c r="D649" s="11">
        <v>1</v>
      </c>
      <c r="E649" s="11">
        <v>1</v>
      </c>
      <c r="F649" s="11">
        <v>1</v>
      </c>
      <c r="G649" s="11">
        <v>1</v>
      </c>
    </row>
    <row r="650" spans="1:7" x14ac:dyDescent="0.25">
      <c r="A650" s="11">
        <v>2026</v>
      </c>
      <c r="B650" s="11" t="s">
        <v>11</v>
      </c>
      <c r="C650" s="4">
        <v>5</v>
      </c>
      <c r="D650" s="11">
        <v>1</v>
      </c>
      <c r="E650" s="11">
        <v>1</v>
      </c>
      <c r="F650" s="11">
        <v>2</v>
      </c>
      <c r="G650" s="11">
        <v>1</v>
      </c>
    </row>
    <row r="651" spans="1:7" x14ac:dyDescent="0.25">
      <c r="A651" s="11">
        <v>2026</v>
      </c>
      <c r="B651" s="11" t="s">
        <v>11</v>
      </c>
      <c r="C651" s="4">
        <v>6</v>
      </c>
      <c r="D651" s="11">
        <v>1</v>
      </c>
      <c r="E651" s="11">
        <v>2</v>
      </c>
      <c r="F651" s="11">
        <v>1</v>
      </c>
      <c r="G651" s="11">
        <v>2</v>
      </c>
    </row>
    <row r="652" spans="1:7" x14ac:dyDescent="0.25">
      <c r="A652" s="11">
        <v>2026</v>
      </c>
      <c r="B652" s="11" t="s">
        <v>11</v>
      </c>
      <c r="C652" s="4">
        <v>7</v>
      </c>
      <c r="D652" s="11">
        <v>3</v>
      </c>
      <c r="E652" s="11">
        <v>2</v>
      </c>
      <c r="F652" s="11">
        <v>2</v>
      </c>
      <c r="G652" s="11">
        <v>3</v>
      </c>
    </row>
    <row r="653" spans="1:7" x14ac:dyDescent="0.25">
      <c r="A653" s="11">
        <v>2026</v>
      </c>
      <c r="B653" s="11" t="s">
        <v>11</v>
      </c>
      <c r="C653" s="4">
        <v>8</v>
      </c>
      <c r="D653" s="11">
        <v>3</v>
      </c>
      <c r="E653" s="11">
        <v>3</v>
      </c>
      <c r="F653" s="11">
        <v>2</v>
      </c>
      <c r="G653" s="11">
        <v>3</v>
      </c>
    </row>
    <row r="654" spans="1:7" x14ac:dyDescent="0.25">
      <c r="A654" s="11">
        <v>2026</v>
      </c>
      <c r="B654" s="11" t="s">
        <v>11</v>
      </c>
      <c r="C654" s="4">
        <v>9</v>
      </c>
      <c r="D654" s="11">
        <v>1</v>
      </c>
      <c r="E654" s="11">
        <v>2</v>
      </c>
      <c r="F654" s="11">
        <v>1</v>
      </c>
      <c r="G654" s="11">
        <v>2</v>
      </c>
    </row>
    <row r="655" spans="1:7" x14ac:dyDescent="0.25">
      <c r="A655" s="11">
        <v>2026</v>
      </c>
      <c r="B655" s="11" t="s">
        <v>11</v>
      </c>
      <c r="C655" s="4">
        <v>10</v>
      </c>
      <c r="D655" s="11">
        <v>1</v>
      </c>
      <c r="E655" s="11">
        <v>3</v>
      </c>
      <c r="F655" s="11">
        <v>3</v>
      </c>
      <c r="G655" s="11">
        <v>3</v>
      </c>
    </row>
    <row r="656" spans="1:7" x14ac:dyDescent="0.25">
      <c r="A656" s="11">
        <v>2026</v>
      </c>
      <c r="B656" s="11" t="s">
        <v>11</v>
      </c>
      <c r="C656" s="4">
        <v>11</v>
      </c>
      <c r="D656" s="11">
        <v>1</v>
      </c>
      <c r="E656" s="11">
        <v>1</v>
      </c>
      <c r="F656" s="11">
        <v>3</v>
      </c>
      <c r="G656" s="11">
        <v>1</v>
      </c>
    </row>
    <row r="657" spans="1:7" x14ac:dyDescent="0.25">
      <c r="A657" s="11">
        <v>2026</v>
      </c>
      <c r="B657" s="11" t="s">
        <v>11</v>
      </c>
      <c r="C657" s="4">
        <v>12</v>
      </c>
      <c r="D657" s="11">
        <v>2</v>
      </c>
      <c r="E657" s="11">
        <v>1</v>
      </c>
      <c r="F657" s="11">
        <v>2</v>
      </c>
      <c r="G657" s="11">
        <v>1</v>
      </c>
    </row>
    <row r="658" spans="1:7" x14ac:dyDescent="0.25">
      <c r="A658" s="11">
        <v>2026</v>
      </c>
      <c r="B658" s="11" t="s">
        <v>11</v>
      </c>
      <c r="C658" s="4">
        <v>13</v>
      </c>
      <c r="D658" s="11">
        <v>1</v>
      </c>
      <c r="E658" s="11">
        <v>1</v>
      </c>
      <c r="F658" s="11">
        <v>1</v>
      </c>
      <c r="G658" s="11">
        <v>1</v>
      </c>
    </row>
    <row r="659" spans="1:7" x14ac:dyDescent="0.25">
      <c r="A659" s="11">
        <v>2026</v>
      </c>
      <c r="B659" s="11" t="s">
        <v>11</v>
      </c>
      <c r="C659" s="4">
        <v>14</v>
      </c>
      <c r="D659" s="11">
        <v>4</v>
      </c>
      <c r="E659" s="11">
        <v>4</v>
      </c>
      <c r="F659" s="11">
        <v>2</v>
      </c>
      <c r="G659" s="11">
        <v>1</v>
      </c>
    </row>
    <row r="660" spans="1:7" x14ac:dyDescent="0.25">
      <c r="A660" s="11">
        <v>2026</v>
      </c>
      <c r="B660" s="11" t="s">
        <v>11</v>
      </c>
      <c r="C660" s="4">
        <v>15</v>
      </c>
      <c r="D660" s="11">
        <v>1</v>
      </c>
      <c r="E660" s="11">
        <v>1</v>
      </c>
      <c r="F660" s="11">
        <v>3</v>
      </c>
      <c r="G660" s="11">
        <v>4</v>
      </c>
    </row>
    <row r="661" spans="1:7" x14ac:dyDescent="0.25">
      <c r="A661" s="11">
        <v>2026</v>
      </c>
      <c r="B661" s="11" t="s">
        <v>11</v>
      </c>
      <c r="C661" s="4">
        <v>16</v>
      </c>
      <c r="D661" s="11">
        <v>1</v>
      </c>
      <c r="E661" s="11">
        <v>2</v>
      </c>
      <c r="F661" s="11">
        <v>1</v>
      </c>
      <c r="G661" s="11">
        <v>3</v>
      </c>
    </row>
    <row r="662" spans="1:7" x14ac:dyDescent="0.25">
      <c r="A662" s="11">
        <v>2026</v>
      </c>
      <c r="B662" s="11" t="s">
        <v>11</v>
      </c>
      <c r="C662" s="4">
        <v>17</v>
      </c>
      <c r="D662" s="11">
        <v>2</v>
      </c>
      <c r="E662" s="11">
        <v>1</v>
      </c>
      <c r="F662" s="11">
        <v>3</v>
      </c>
      <c r="G662" s="11">
        <v>4</v>
      </c>
    </row>
    <row r="663" spans="1:7" x14ac:dyDescent="0.25">
      <c r="A663" s="11">
        <v>2026</v>
      </c>
      <c r="B663" s="11" t="s">
        <v>11</v>
      </c>
      <c r="C663" s="4">
        <v>18</v>
      </c>
      <c r="D663" s="11">
        <v>1</v>
      </c>
      <c r="E663" s="11">
        <v>2</v>
      </c>
      <c r="F663" s="11">
        <v>2</v>
      </c>
      <c r="G663" s="11">
        <v>4</v>
      </c>
    </row>
    <row r="664" spans="1:7" x14ac:dyDescent="0.25">
      <c r="A664" s="11">
        <v>2026</v>
      </c>
      <c r="B664" s="11" t="s">
        <v>11</v>
      </c>
      <c r="C664" s="4">
        <v>19</v>
      </c>
      <c r="D664" s="11">
        <v>2</v>
      </c>
      <c r="E664" s="11">
        <v>2</v>
      </c>
      <c r="F664" s="11">
        <v>2</v>
      </c>
      <c r="G664" s="11">
        <v>2</v>
      </c>
    </row>
    <row r="665" spans="1:7" x14ac:dyDescent="0.25">
      <c r="A665" s="11">
        <v>2026</v>
      </c>
      <c r="B665" s="11" t="s">
        <v>11</v>
      </c>
      <c r="C665" s="4">
        <v>20</v>
      </c>
      <c r="D665" s="11">
        <v>4</v>
      </c>
      <c r="E665" s="11">
        <v>1</v>
      </c>
      <c r="F665" s="11">
        <v>1</v>
      </c>
      <c r="G665" s="11">
        <v>2</v>
      </c>
    </row>
    <row r="666" spans="1:7" x14ac:dyDescent="0.25">
      <c r="A666" s="11">
        <v>2026</v>
      </c>
      <c r="B666" s="11" t="s">
        <v>11</v>
      </c>
      <c r="C666" s="4">
        <v>21</v>
      </c>
      <c r="D666" s="11">
        <v>1</v>
      </c>
      <c r="E666" s="11">
        <v>2</v>
      </c>
      <c r="F666" s="11">
        <v>4</v>
      </c>
      <c r="G666" s="11">
        <v>2</v>
      </c>
    </row>
    <row r="667" spans="1:7" x14ac:dyDescent="0.25">
      <c r="A667" s="11">
        <v>2026</v>
      </c>
      <c r="B667" s="11" t="s">
        <v>11</v>
      </c>
      <c r="C667" s="4">
        <v>22</v>
      </c>
      <c r="D667" s="11">
        <v>2</v>
      </c>
      <c r="E667" s="11">
        <v>1</v>
      </c>
      <c r="F667" s="11">
        <v>3</v>
      </c>
      <c r="G667" s="11">
        <v>2</v>
      </c>
    </row>
    <row r="668" spans="1:7" x14ac:dyDescent="0.25">
      <c r="A668" s="11">
        <v>2026</v>
      </c>
      <c r="B668" s="11" t="s">
        <v>11</v>
      </c>
      <c r="C668" s="4">
        <v>23</v>
      </c>
      <c r="D668" s="11">
        <v>1</v>
      </c>
      <c r="E668" s="11">
        <v>3</v>
      </c>
      <c r="F668" s="11">
        <v>1</v>
      </c>
      <c r="G668" s="11">
        <v>2</v>
      </c>
    </row>
    <row r="669" spans="1:7" x14ac:dyDescent="0.25">
      <c r="A669" s="11">
        <v>2026</v>
      </c>
      <c r="B669" s="11" t="s">
        <v>11</v>
      </c>
      <c r="C669" s="4">
        <v>24</v>
      </c>
      <c r="D669" s="11">
        <v>2</v>
      </c>
      <c r="E669" s="11">
        <v>1</v>
      </c>
      <c r="F669" s="11">
        <v>1</v>
      </c>
      <c r="G669" s="11">
        <v>2</v>
      </c>
    </row>
    <row r="670" spans="1:7" x14ac:dyDescent="0.25">
      <c r="A670" s="11">
        <v>2026</v>
      </c>
      <c r="B670" s="11" t="s">
        <v>11</v>
      </c>
      <c r="C670" s="4">
        <v>25</v>
      </c>
      <c r="D670" s="11">
        <v>2</v>
      </c>
      <c r="E670" s="11">
        <v>3</v>
      </c>
      <c r="F670" s="11">
        <v>4</v>
      </c>
      <c r="G670" s="11">
        <v>1</v>
      </c>
    </row>
    <row r="671" spans="1:7" x14ac:dyDescent="0.25">
      <c r="A671" s="11">
        <v>2026</v>
      </c>
      <c r="B671" s="11" t="s">
        <v>11</v>
      </c>
      <c r="C671" s="4">
        <v>26</v>
      </c>
      <c r="D671" s="11">
        <v>2</v>
      </c>
      <c r="E671" s="11">
        <v>1</v>
      </c>
      <c r="F671" s="11">
        <v>1</v>
      </c>
      <c r="G671" s="11">
        <v>4</v>
      </c>
    </row>
    <row r="672" spans="1:7" x14ac:dyDescent="0.25">
      <c r="A672" s="11">
        <v>2026</v>
      </c>
      <c r="B672" s="11" t="s">
        <v>11</v>
      </c>
      <c r="C672" s="4">
        <v>27</v>
      </c>
      <c r="D672" s="11">
        <v>1</v>
      </c>
      <c r="E672" s="11">
        <v>1</v>
      </c>
      <c r="F672" s="11">
        <v>1</v>
      </c>
      <c r="G672" s="11">
        <v>2</v>
      </c>
    </row>
    <row r="673" spans="1:7" x14ac:dyDescent="0.25">
      <c r="A673" s="11">
        <v>2026</v>
      </c>
      <c r="B673" s="11" t="s">
        <v>11</v>
      </c>
      <c r="C673" s="4">
        <v>28</v>
      </c>
      <c r="D673" s="11">
        <v>1</v>
      </c>
      <c r="E673" s="11">
        <v>1</v>
      </c>
      <c r="F673" s="11">
        <v>1</v>
      </c>
      <c r="G673" s="11">
        <v>3</v>
      </c>
    </row>
    <row r="674" spans="1:7" x14ac:dyDescent="0.25">
      <c r="A674" s="11">
        <v>2027</v>
      </c>
      <c r="B674" s="11" t="s">
        <v>0</v>
      </c>
      <c r="C674" s="4">
        <v>1</v>
      </c>
      <c r="D674" s="11">
        <v>4</v>
      </c>
      <c r="E674" s="11">
        <v>2</v>
      </c>
      <c r="F674" s="11">
        <v>2</v>
      </c>
      <c r="G674" s="11">
        <v>1</v>
      </c>
    </row>
    <row r="675" spans="1:7" x14ac:dyDescent="0.25">
      <c r="A675" s="11">
        <v>2027</v>
      </c>
      <c r="B675" s="11" t="s">
        <v>0</v>
      </c>
      <c r="C675" s="4">
        <v>2</v>
      </c>
      <c r="D675" s="11">
        <v>2</v>
      </c>
      <c r="E675" s="11">
        <v>3</v>
      </c>
      <c r="F675" s="11">
        <v>3</v>
      </c>
      <c r="G675" s="11">
        <v>1</v>
      </c>
    </row>
    <row r="676" spans="1:7" x14ac:dyDescent="0.25">
      <c r="A676" s="11">
        <v>2027</v>
      </c>
      <c r="B676" s="11" t="s">
        <v>0</v>
      </c>
      <c r="C676" s="4">
        <v>3</v>
      </c>
      <c r="D676" s="11">
        <v>1</v>
      </c>
      <c r="E676" s="11">
        <v>1</v>
      </c>
      <c r="F676" s="11">
        <v>3</v>
      </c>
      <c r="G676" s="11">
        <v>1</v>
      </c>
    </row>
    <row r="677" spans="1:7" x14ac:dyDescent="0.25">
      <c r="A677" s="11">
        <v>2027</v>
      </c>
      <c r="B677" s="11" t="s">
        <v>0</v>
      </c>
      <c r="C677" s="4">
        <v>4</v>
      </c>
      <c r="D677" s="11">
        <v>1</v>
      </c>
      <c r="E677" s="11">
        <v>2</v>
      </c>
      <c r="F677" s="11">
        <v>3</v>
      </c>
      <c r="G677" s="11">
        <v>2</v>
      </c>
    </row>
    <row r="678" spans="1:7" x14ac:dyDescent="0.25">
      <c r="A678" s="11">
        <v>2027</v>
      </c>
      <c r="B678" s="11" t="s">
        <v>0</v>
      </c>
      <c r="C678" s="4">
        <v>5</v>
      </c>
      <c r="D678" s="11">
        <v>1</v>
      </c>
      <c r="E678" s="11">
        <v>3</v>
      </c>
      <c r="F678" s="11">
        <v>2</v>
      </c>
      <c r="G678" s="11">
        <v>1</v>
      </c>
    </row>
    <row r="679" spans="1:7" x14ac:dyDescent="0.25">
      <c r="A679" s="11">
        <v>2027</v>
      </c>
      <c r="B679" s="11" t="s">
        <v>0</v>
      </c>
      <c r="C679" s="4">
        <v>6</v>
      </c>
      <c r="D679" s="11">
        <v>3</v>
      </c>
      <c r="E679" s="11">
        <v>1</v>
      </c>
      <c r="F679" s="11">
        <v>2</v>
      </c>
      <c r="G679" s="11">
        <v>1</v>
      </c>
    </row>
    <row r="680" spans="1:7" x14ac:dyDescent="0.25">
      <c r="A680" s="11">
        <v>2027</v>
      </c>
      <c r="B680" s="11" t="s">
        <v>0</v>
      </c>
      <c r="C680" s="4">
        <v>7</v>
      </c>
      <c r="D680" s="11">
        <v>2</v>
      </c>
      <c r="E680" s="11">
        <v>3</v>
      </c>
      <c r="F680" s="11">
        <v>3</v>
      </c>
      <c r="G680" s="11">
        <v>1</v>
      </c>
    </row>
    <row r="681" spans="1:7" x14ac:dyDescent="0.25">
      <c r="A681" s="11">
        <v>2027</v>
      </c>
      <c r="B681" s="11" t="s">
        <v>0</v>
      </c>
      <c r="C681" s="4">
        <v>8</v>
      </c>
      <c r="D681" s="11">
        <v>1</v>
      </c>
      <c r="E681" s="11">
        <v>1</v>
      </c>
      <c r="F681" s="11">
        <v>1</v>
      </c>
      <c r="G681" s="11">
        <v>1</v>
      </c>
    </row>
    <row r="682" spans="1:7" x14ac:dyDescent="0.25">
      <c r="A682" s="11">
        <v>2027</v>
      </c>
      <c r="B682" s="11" t="s">
        <v>0</v>
      </c>
      <c r="C682" s="4">
        <v>9</v>
      </c>
      <c r="D682" s="11">
        <v>1</v>
      </c>
      <c r="E682" s="11">
        <v>2</v>
      </c>
      <c r="F682" s="11">
        <v>4</v>
      </c>
      <c r="G682" s="11">
        <v>1</v>
      </c>
    </row>
    <row r="683" spans="1:7" x14ac:dyDescent="0.25">
      <c r="A683" s="11">
        <v>2027</v>
      </c>
      <c r="B683" s="11" t="s">
        <v>0</v>
      </c>
      <c r="C683" s="4">
        <v>10</v>
      </c>
      <c r="D683" s="11">
        <v>2</v>
      </c>
      <c r="E683" s="11">
        <v>2</v>
      </c>
      <c r="F683" s="11">
        <v>4</v>
      </c>
      <c r="G683" s="11">
        <v>2</v>
      </c>
    </row>
    <row r="684" spans="1:7" x14ac:dyDescent="0.25">
      <c r="A684" s="11">
        <v>2027</v>
      </c>
      <c r="B684" s="11" t="s">
        <v>0</v>
      </c>
      <c r="C684" s="4">
        <v>11</v>
      </c>
      <c r="D684" s="11">
        <v>3</v>
      </c>
      <c r="E684" s="11">
        <v>4</v>
      </c>
      <c r="F684" s="11">
        <v>2</v>
      </c>
      <c r="G684" s="11">
        <v>1</v>
      </c>
    </row>
    <row r="685" spans="1:7" x14ac:dyDescent="0.25">
      <c r="A685" s="11">
        <v>2027</v>
      </c>
      <c r="B685" s="11" t="s">
        <v>0</v>
      </c>
      <c r="C685" s="4">
        <v>12</v>
      </c>
      <c r="D685" s="11">
        <v>1</v>
      </c>
      <c r="E685" s="11">
        <v>3</v>
      </c>
      <c r="F685" s="11">
        <v>1</v>
      </c>
      <c r="G685" s="11">
        <v>1</v>
      </c>
    </row>
    <row r="686" spans="1:7" x14ac:dyDescent="0.25">
      <c r="A686" s="11">
        <v>2027</v>
      </c>
      <c r="B686" s="11" t="s">
        <v>0</v>
      </c>
      <c r="C686" s="4">
        <v>13</v>
      </c>
      <c r="D686" s="11">
        <v>2</v>
      </c>
      <c r="E686" s="11">
        <v>2</v>
      </c>
      <c r="F686" s="11">
        <v>2</v>
      </c>
      <c r="G686" s="11">
        <v>3</v>
      </c>
    </row>
    <row r="687" spans="1:7" x14ac:dyDescent="0.25">
      <c r="A687" s="11">
        <v>2027</v>
      </c>
      <c r="B687" s="11" t="s">
        <v>0</v>
      </c>
      <c r="C687" s="4">
        <v>14</v>
      </c>
      <c r="D687" s="11">
        <v>2</v>
      </c>
      <c r="E687" s="11">
        <v>2</v>
      </c>
      <c r="F687" s="11">
        <v>4</v>
      </c>
      <c r="G687" s="11">
        <v>3</v>
      </c>
    </row>
    <row r="688" spans="1:7" x14ac:dyDescent="0.25">
      <c r="A688" s="11">
        <v>2027</v>
      </c>
      <c r="B688" s="11" t="s">
        <v>0</v>
      </c>
      <c r="C688" s="4">
        <v>15</v>
      </c>
      <c r="D688" s="11">
        <v>2</v>
      </c>
      <c r="E688" s="11">
        <v>1</v>
      </c>
      <c r="F688" s="11">
        <v>3</v>
      </c>
      <c r="G688" s="11">
        <v>1</v>
      </c>
    </row>
    <row r="689" spans="1:7" x14ac:dyDescent="0.25">
      <c r="A689" s="11">
        <v>2027</v>
      </c>
      <c r="B689" s="11" t="s">
        <v>0</v>
      </c>
      <c r="C689" s="4">
        <v>16</v>
      </c>
      <c r="D689" s="11">
        <v>4</v>
      </c>
      <c r="E689" s="11">
        <v>2</v>
      </c>
      <c r="F689" s="11">
        <v>3</v>
      </c>
      <c r="G689" s="11">
        <v>4</v>
      </c>
    </row>
    <row r="690" spans="1:7" x14ac:dyDescent="0.25">
      <c r="A690" s="11">
        <v>2027</v>
      </c>
      <c r="B690" s="11" t="s">
        <v>0</v>
      </c>
      <c r="C690" s="4">
        <v>17</v>
      </c>
      <c r="D690" s="11">
        <v>3</v>
      </c>
      <c r="E690" s="11">
        <v>2</v>
      </c>
      <c r="F690" s="11">
        <v>3</v>
      </c>
      <c r="G690" s="11">
        <v>1</v>
      </c>
    </row>
    <row r="691" spans="1:7" x14ac:dyDescent="0.25">
      <c r="A691" s="11">
        <v>2027</v>
      </c>
      <c r="B691" s="11" t="s">
        <v>0</v>
      </c>
      <c r="C691" s="4">
        <v>18</v>
      </c>
      <c r="D691" s="11">
        <v>2</v>
      </c>
      <c r="E691" s="11">
        <v>1</v>
      </c>
      <c r="F691" s="11">
        <v>2</v>
      </c>
      <c r="G691" s="11">
        <v>2</v>
      </c>
    </row>
    <row r="692" spans="1:7" x14ac:dyDescent="0.25">
      <c r="A692" s="11">
        <v>2027</v>
      </c>
      <c r="B692" s="11" t="s">
        <v>0</v>
      </c>
      <c r="C692" s="4">
        <v>19</v>
      </c>
      <c r="D692" s="11">
        <v>1</v>
      </c>
      <c r="E692" s="11">
        <v>1</v>
      </c>
      <c r="F692" s="11">
        <v>1</v>
      </c>
      <c r="G692" s="11">
        <v>1</v>
      </c>
    </row>
    <row r="693" spans="1:7" x14ac:dyDescent="0.25">
      <c r="A693" s="11">
        <v>2027</v>
      </c>
      <c r="B693" s="11" t="s">
        <v>0</v>
      </c>
      <c r="C693" s="4">
        <v>20</v>
      </c>
      <c r="D693" s="11">
        <v>1</v>
      </c>
      <c r="E693" s="11">
        <v>2</v>
      </c>
      <c r="F693" s="11">
        <v>2</v>
      </c>
      <c r="G693" s="11">
        <v>1</v>
      </c>
    </row>
    <row r="694" spans="1:7" x14ac:dyDescent="0.25">
      <c r="A694" s="11">
        <v>2027</v>
      </c>
      <c r="B694" s="11" t="s">
        <v>0</v>
      </c>
      <c r="C694" s="4">
        <v>21</v>
      </c>
      <c r="D694" s="11">
        <v>4</v>
      </c>
      <c r="E694" s="11">
        <v>1</v>
      </c>
      <c r="F694" s="11">
        <v>2</v>
      </c>
      <c r="G694" s="11">
        <v>2</v>
      </c>
    </row>
    <row r="695" spans="1:7" x14ac:dyDescent="0.25">
      <c r="A695" s="11">
        <v>2027</v>
      </c>
      <c r="B695" s="11" t="s">
        <v>0</v>
      </c>
      <c r="C695" s="4">
        <v>22</v>
      </c>
      <c r="D695" s="11">
        <v>3</v>
      </c>
      <c r="E695" s="11">
        <v>2</v>
      </c>
      <c r="F695" s="11">
        <v>3</v>
      </c>
      <c r="G695" s="11">
        <v>3</v>
      </c>
    </row>
    <row r="696" spans="1:7" x14ac:dyDescent="0.25">
      <c r="A696" s="11">
        <v>2027</v>
      </c>
      <c r="B696" s="11" t="s">
        <v>0</v>
      </c>
      <c r="C696" s="4">
        <v>23</v>
      </c>
      <c r="D696" s="11">
        <v>2</v>
      </c>
      <c r="E696" s="11">
        <v>3</v>
      </c>
      <c r="F696" s="11">
        <v>4</v>
      </c>
      <c r="G696" s="11">
        <v>1</v>
      </c>
    </row>
    <row r="697" spans="1:7" x14ac:dyDescent="0.25">
      <c r="A697" s="11">
        <v>2027</v>
      </c>
      <c r="B697" s="11" t="s">
        <v>0</v>
      </c>
      <c r="C697" s="4">
        <v>24</v>
      </c>
      <c r="D697" s="11">
        <v>1</v>
      </c>
      <c r="E697" s="11">
        <v>1</v>
      </c>
      <c r="F697" s="11">
        <v>2</v>
      </c>
      <c r="G697" s="11">
        <v>2</v>
      </c>
    </row>
    <row r="698" spans="1:7" x14ac:dyDescent="0.25">
      <c r="A698" s="11">
        <v>2027</v>
      </c>
      <c r="B698" s="11" t="s">
        <v>0</v>
      </c>
      <c r="C698" s="4">
        <v>25</v>
      </c>
      <c r="D698" s="11">
        <v>1</v>
      </c>
      <c r="E698" s="11">
        <v>1</v>
      </c>
      <c r="F698" s="11">
        <v>1</v>
      </c>
      <c r="G698" s="11">
        <v>2</v>
      </c>
    </row>
    <row r="699" spans="1:7" x14ac:dyDescent="0.25">
      <c r="A699" s="11">
        <v>2027</v>
      </c>
      <c r="B699" s="11" t="s">
        <v>0</v>
      </c>
      <c r="C699" s="4">
        <v>26</v>
      </c>
      <c r="D699" s="11">
        <v>1</v>
      </c>
      <c r="E699" s="11">
        <v>1</v>
      </c>
      <c r="F699" s="11">
        <v>2</v>
      </c>
      <c r="G699" s="11">
        <v>3</v>
      </c>
    </row>
    <row r="700" spans="1:7" x14ac:dyDescent="0.25">
      <c r="A700" s="11">
        <v>2027</v>
      </c>
      <c r="B700" s="11" t="s">
        <v>0</v>
      </c>
      <c r="C700" s="4">
        <v>27</v>
      </c>
      <c r="D700" s="11">
        <v>1</v>
      </c>
      <c r="E700" s="11">
        <v>1</v>
      </c>
      <c r="F700" s="11">
        <v>2</v>
      </c>
      <c r="G700" s="11">
        <v>1</v>
      </c>
    </row>
    <row r="701" spans="1:7" x14ac:dyDescent="0.25">
      <c r="A701" s="11">
        <v>2027</v>
      </c>
      <c r="B701" s="11" t="s">
        <v>0</v>
      </c>
      <c r="C701" s="4">
        <v>28</v>
      </c>
      <c r="D701" s="11">
        <v>1</v>
      </c>
      <c r="E701" s="11">
        <v>1</v>
      </c>
      <c r="F701" s="11">
        <v>2</v>
      </c>
      <c r="G701" s="11">
        <v>4</v>
      </c>
    </row>
    <row r="702" spans="1:7" x14ac:dyDescent="0.25">
      <c r="A702" s="11">
        <v>2027</v>
      </c>
      <c r="B702" s="11" t="s">
        <v>1</v>
      </c>
      <c r="C702" s="4">
        <v>1</v>
      </c>
      <c r="D702" s="11">
        <v>1</v>
      </c>
      <c r="E702" s="11">
        <v>1</v>
      </c>
      <c r="F702" s="11">
        <v>2</v>
      </c>
      <c r="G702" s="11">
        <v>1</v>
      </c>
    </row>
    <row r="703" spans="1:7" x14ac:dyDescent="0.25">
      <c r="A703" s="11">
        <v>2027</v>
      </c>
      <c r="B703" s="11" t="s">
        <v>1</v>
      </c>
      <c r="C703" s="4">
        <v>2</v>
      </c>
      <c r="D703" s="11">
        <v>1</v>
      </c>
      <c r="E703" s="11">
        <v>3</v>
      </c>
      <c r="F703" s="11">
        <v>3</v>
      </c>
      <c r="G703" s="11">
        <v>1</v>
      </c>
    </row>
    <row r="704" spans="1:7" x14ac:dyDescent="0.25">
      <c r="A704" s="11">
        <v>2027</v>
      </c>
      <c r="B704" s="11" t="s">
        <v>1</v>
      </c>
      <c r="C704" s="4">
        <v>3</v>
      </c>
      <c r="D704" s="11">
        <v>1</v>
      </c>
      <c r="E704" s="11">
        <v>1</v>
      </c>
      <c r="F704" s="11">
        <v>1</v>
      </c>
      <c r="G704" s="11">
        <v>4</v>
      </c>
    </row>
    <row r="705" spans="1:7" x14ac:dyDescent="0.25">
      <c r="A705" s="11">
        <v>2027</v>
      </c>
      <c r="B705" s="11" t="s">
        <v>1</v>
      </c>
      <c r="C705" s="4">
        <v>4</v>
      </c>
      <c r="D705" s="11">
        <v>4</v>
      </c>
      <c r="E705" s="11">
        <v>2</v>
      </c>
      <c r="F705" s="11">
        <v>1</v>
      </c>
      <c r="G705" s="11">
        <v>2</v>
      </c>
    </row>
    <row r="706" spans="1:7" x14ac:dyDescent="0.25">
      <c r="A706" s="11">
        <v>2027</v>
      </c>
      <c r="B706" s="11" t="s">
        <v>1</v>
      </c>
      <c r="C706" s="4">
        <v>5</v>
      </c>
      <c r="D706" s="11">
        <v>1</v>
      </c>
      <c r="E706" s="11">
        <v>2</v>
      </c>
      <c r="F706" s="11">
        <v>1</v>
      </c>
      <c r="G706" s="11">
        <v>1</v>
      </c>
    </row>
    <row r="707" spans="1:7" x14ac:dyDescent="0.25">
      <c r="A707" s="11">
        <v>2027</v>
      </c>
      <c r="B707" s="11" t="s">
        <v>1</v>
      </c>
      <c r="C707" s="4">
        <v>6</v>
      </c>
      <c r="D707" s="11">
        <v>4</v>
      </c>
      <c r="E707" s="11">
        <v>1</v>
      </c>
      <c r="F707" s="11">
        <v>1</v>
      </c>
      <c r="G707" s="11">
        <v>4</v>
      </c>
    </row>
    <row r="708" spans="1:7" x14ac:dyDescent="0.25">
      <c r="A708" s="11">
        <v>2027</v>
      </c>
      <c r="B708" s="11" t="s">
        <v>1</v>
      </c>
      <c r="C708" s="4">
        <v>7</v>
      </c>
      <c r="D708" s="11">
        <v>1</v>
      </c>
      <c r="E708" s="11">
        <v>2</v>
      </c>
      <c r="F708" s="11">
        <v>2</v>
      </c>
      <c r="G708" s="11">
        <v>2</v>
      </c>
    </row>
    <row r="709" spans="1:7" x14ac:dyDescent="0.25">
      <c r="A709" s="11">
        <v>2027</v>
      </c>
      <c r="B709" s="11" t="s">
        <v>1</v>
      </c>
      <c r="C709" s="4">
        <v>8</v>
      </c>
      <c r="D709" s="11">
        <v>1</v>
      </c>
      <c r="E709" s="11">
        <v>1</v>
      </c>
      <c r="F709" s="11">
        <v>3</v>
      </c>
      <c r="G709" s="11">
        <v>1</v>
      </c>
    </row>
    <row r="710" spans="1:7" x14ac:dyDescent="0.25">
      <c r="A710" s="11">
        <v>2027</v>
      </c>
      <c r="B710" s="11" t="s">
        <v>1</v>
      </c>
      <c r="C710" s="4">
        <v>9</v>
      </c>
      <c r="D710" s="11">
        <v>1</v>
      </c>
      <c r="E710" s="11">
        <v>2</v>
      </c>
      <c r="F710" s="11">
        <v>3</v>
      </c>
      <c r="G710" s="11">
        <v>3</v>
      </c>
    </row>
    <row r="711" spans="1:7" x14ac:dyDescent="0.25">
      <c r="A711" s="11">
        <v>2027</v>
      </c>
      <c r="B711" s="11" t="s">
        <v>1</v>
      </c>
      <c r="C711" s="4">
        <v>10</v>
      </c>
      <c r="D711" s="11">
        <v>1</v>
      </c>
      <c r="E711" s="11">
        <v>1</v>
      </c>
      <c r="F711" s="11">
        <v>3</v>
      </c>
      <c r="G711" s="11">
        <v>2</v>
      </c>
    </row>
    <row r="712" spans="1:7" x14ac:dyDescent="0.25">
      <c r="A712" s="11">
        <v>2027</v>
      </c>
      <c r="B712" s="11" t="s">
        <v>1</v>
      </c>
      <c r="C712" s="4">
        <v>11</v>
      </c>
      <c r="D712" s="11">
        <v>2</v>
      </c>
      <c r="E712" s="11">
        <v>2</v>
      </c>
      <c r="F712" s="11">
        <v>3</v>
      </c>
      <c r="G712" s="11">
        <v>4</v>
      </c>
    </row>
    <row r="713" spans="1:7" x14ac:dyDescent="0.25">
      <c r="A713" s="11">
        <v>2027</v>
      </c>
      <c r="B713" s="11" t="s">
        <v>1</v>
      </c>
      <c r="C713" s="4">
        <v>12</v>
      </c>
      <c r="D713" s="11">
        <v>1</v>
      </c>
      <c r="E713" s="11">
        <v>3</v>
      </c>
      <c r="F713" s="11">
        <v>3</v>
      </c>
      <c r="G713" s="11">
        <v>1</v>
      </c>
    </row>
    <row r="714" spans="1:7" x14ac:dyDescent="0.25">
      <c r="A714" s="11">
        <v>2027</v>
      </c>
      <c r="B714" s="11" t="s">
        <v>1</v>
      </c>
      <c r="C714" s="4">
        <v>13</v>
      </c>
      <c r="D714" s="11">
        <v>2</v>
      </c>
      <c r="E714" s="11">
        <v>2</v>
      </c>
      <c r="F714" s="11">
        <v>1</v>
      </c>
      <c r="G714" s="11">
        <v>1</v>
      </c>
    </row>
    <row r="715" spans="1:7" x14ac:dyDescent="0.25">
      <c r="A715" s="11">
        <v>2027</v>
      </c>
      <c r="B715" s="11" t="s">
        <v>1</v>
      </c>
      <c r="C715" s="4">
        <v>14</v>
      </c>
      <c r="D715" s="11">
        <v>1</v>
      </c>
      <c r="E715" s="11">
        <v>4</v>
      </c>
      <c r="F715" s="11">
        <v>1</v>
      </c>
      <c r="G715" s="11">
        <v>3</v>
      </c>
    </row>
    <row r="716" spans="1:7" x14ac:dyDescent="0.25">
      <c r="A716" s="11">
        <v>2027</v>
      </c>
      <c r="B716" s="11" t="s">
        <v>1</v>
      </c>
      <c r="C716" s="4">
        <v>15</v>
      </c>
      <c r="D716" s="11">
        <v>4</v>
      </c>
      <c r="E716" s="11">
        <v>1</v>
      </c>
      <c r="F716" s="11">
        <v>2</v>
      </c>
      <c r="G716" s="11">
        <v>4</v>
      </c>
    </row>
    <row r="717" spans="1:7" x14ac:dyDescent="0.25">
      <c r="A717" s="11">
        <v>2027</v>
      </c>
      <c r="B717" s="11" t="s">
        <v>1</v>
      </c>
      <c r="C717" s="4">
        <v>16</v>
      </c>
      <c r="D717" s="11">
        <v>1</v>
      </c>
      <c r="E717" s="11">
        <v>3</v>
      </c>
      <c r="F717" s="11">
        <v>2</v>
      </c>
      <c r="G717" s="11">
        <v>2</v>
      </c>
    </row>
    <row r="718" spans="1:7" x14ac:dyDescent="0.25">
      <c r="A718" s="11">
        <v>2027</v>
      </c>
      <c r="B718" s="11" t="s">
        <v>1</v>
      </c>
      <c r="C718" s="4">
        <v>17</v>
      </c>
      <c r="D718" s="11">
        <v>1</v>
      </c>
      <c r="E718" s="11">
        <v>2</v>
      </c>
      <c r="F718" s="11">
        <v>3</v>
      </c>
      <c r="G718" s="11">
        <v>2</v>
      </c>
    </row>
    <row r="719" spans="1:7" x14ac:dyDescent="0.25">
      <c r="A719" s="11">
        <v>2027</v>
      </c>
      <c r="B719" s="11" t="s">
        <v>1</v>
      </c>
      <c r="C719" s="4">
        <v>18</v>
      </c>
      <c r="D719" s="11">
        <v>2</v>
      </c>
      <c r="E719" s="11">
        <v>3</v>
      </c>
      <c r="F719" s="11">
        <v>1</v>
      </c>
      <c r="G719" s="11">
        <v>4</v>
      </c>
    </row>
    <row r="720" spans="1:7" x14ac:dyDescent="0.25">
      <c r="A720" s="11">
        <v>2027</v>
      </c>
      <c r="B720" s="11" t="s">
        <v>1</v>
      </c>
      <c r="C720" s="4">
        <v>19</v>
      </c>
      <c r="D720" s="11">
        <v>3</v>
      </c>
      <c r="E720" s="11">
        <v>1</v>
      </c>
      <c r="F720" s="11">
        <v>3</v>
      </c>
      <c r="G720" s="11">
        <v>2</v>
      </c>
    </row>
    <row r="721" spans="1:7" x14ac:dyDescent="0.25">
      <c r="A721" s="11">
        <v>2027</v>
      </c>
      <c r="B721" s="11" t="s">
        <v>1</v>
      </c>
      <c r="C721" s="4">
        <v>20</v>
      </c>
      <c r="D721" s="11">
        <v>2</v>
      </c>
      <c r="E721" s="11">
        <v>1</v>
      </c>
      <c r="F721" s="11">
        <v>1</v>
      </c>
      <c r="G721" s="11">
        <v>2</v>
      </c>
    </row>
    <row r="722" spans="1:7" x14ac:dyDescent="0.25">
      <c r="A722" s="11">
        <v>2027</v>
      </c>
      <c r="B722" s="11" t="s">
        <v>1</v>
      </c>
      <c r="C722" s="4">
        <v>21</v>
      </c>
      <c r="D722" s="11">
        <v>1</v>
      </c>
      <c r="E722" s="11">
        <v>1</v>
      </c>
      <c r="F722" s="11">
        <v>1</v>
      </c>
      <c r="G722" s="11">
        <v>1</v>
      </c>
    </row>
    <row r="723" spans="1:7" x14ac:dyDescent="0.25">
      <c r="A723" s="11">
        <v>2027</v>
      </c>
      <c r="B723" s="11" t="s">
        <v>1</v>
      </c>
      <c r="C723" s="4">
        <v>22</v>
      </c>
      <c r="D723" s="11">
        <v>2</v>
      </c>
      <c r="E723" s="11">
        <v>2</v>
      </c>
      <c r="F723" s="11">
        <v>1</v>
      </c>
      <c r="G723" s="11">
        <v>1</v>
      </c>
    </row>
    <row r="724" spans="1:7" x14ac:dyDescent="0.25">
      <c r="A724" s="11">
        <v>2027</v>
      </c>
      <c r="B724" s="11" t="s">
        <v>1</v>
      </c>
      <c r="C724" s="4">
        <v>23</v>
      </c>
      <c r="D724" s="11">
        <v>2</v>
      </c>
      <c r="E724" s="11">
        <v>4</v>
      </c>
      <c r="F724" s="11">
        <v>3</v>
      </c>
      <c r="G724" s="11">
        <v>2</v>
      </c>
    </row>
    <row r="725" spans="1:7" x14ac:dyDescent="0.25">
      <c r="A725" s="11">
        <v>2027</v>
      </c>
      <c r="B725" s="11" t="s">
        <v>1</v>
      </c>
      <c r="C725" s="4">
        <v>24</v>
      </c>
      <c r="D725" s="11">
        <v>1</v>
      </c>
      <c r="E725" s="11">
        <v>4</v>
      </c>
      <c r="F725" s="11">
        <v>2</v>
      </c>
      <c r="G725" s="11">
        <v>2</v>
      </c>
    </row>
    <row r="726" spans="1:7" x14ac:dyDescent="0.25">
      <c r="A726" s="11">
        <v>2027</v>
      </c>
      <c r="B726" s="11" t="s">
        <v>1</v>
      </c>
      <c r="C726" s="4">
        <v>25</v>
      </c>
      <c r="D726" s="11">
        <v>4</v>
      </c>
      <c r="E726" s="11">
        <v>2</v>
      </c>
      <c r="F726" s="11">
        <v>3</v>
      </c>
      <c r="G726" s="11">
        <v>2</v>
      </c>
    </row>
    <row r="727" spans="1:7" x14ac:dyDescent="0.25">
      <c r="A727" s="11">
        <v>2027</v>
      </c>
      <c r="B727" s="11" t="s">
        <v>1</v>
      </c>
      <c r="C727" s="4">
        <v>26</v>
      </c>
      <c r="D727" s="11">
        <v>3</v>
      </c>
      <c r="E727" s="11">
        <v>2</v>
      </c>
      <c r="F727" s="11">
        <v>1</v>
      </c>
      <c r="G727" s="11">
        <v>1</v>
      </c>
    </row>
    <row r="728" spans="1:7" x14ac:dyDescent="0.25">
      <c r="A728" s="11">
        <v>2027</v>
      </c>
      <c r="B728" s="11" t="s">
        <v>1</v>
      </c>
      <c r="C728" s="4">
        <v>27</v>
      </c>
      <c r="D728" s="11">
        <v>2</v>
      </c>
      <c r="E728" s="11">
        <v>1</v>
      </c>
      <c r="F728" s="11">
        <v>3</v>
      </c>
      <c r="G728" s="11">
        <v>2</v>
      </c>
    </row>
    <row r="729" spans="1:7" x14ac:dyDescent="0.25">
      <c r="A729" s="11">
        <v>2027</v>
      </c>
      <c r="B729" s="11" t="s">
        <v>1</v>
      </c>
      <c r="C729" s="4">
        <v>28</v>
      </c>
      <c r="D729" s="11">
        <v>1</v>
      </c>
      <c r="E729" s="11">
        <v>1</v>
      </c>
      <c r="F729" s="11">
        <v>1</v>
      </c>
      <c r="G729" s="11">
        <v>2</v>
      </c>
    </row>
    <row r="730" spans="1:7" x14ac:dyDescent="0.25">
      <c r="A730" s="11">
        <v>2027</v>
      </c>
      <c r="B730" s="11" t="s">
        <v>2</v>
      </c>
      <c r="C730" s="4">
        <v>1</v>
      </c>
      <c r="D730" s="11">
        <v>1</v>
      </c>
      <c r="E730" s="11">
        <v>2</v>
      </c>
      <c r="F730" s="11">
        <v>1</v>
      </c>
      <c r="G730" s="11">
        <v>1</v>
      </c>
    </row>
    <row r="731" spans="1:7" x14ac:dyDescent="0.25">
      <c r="A731" s="11">
        <v>2027</v>
      </c>
      <c r="B731" s="11" t="s">
        <v>2</v>
      </c>
      <c r="C731" s="4">
        <v>2</v>
      </c>
      <c r="D731" s="11">
        <v>1</v>
      </c>
      <c r="E731" s="11">
        <v>1</v>
      </c>
      <c r="F731" s="11">
        <v>2</v>
      </c>
      <c r="G731" s="11">
        <v>1</v>
      </c>
    </row>
    <row r="732" spans="1:7" x14ac:dyDescent="0.25">
      <c r="A732" s="11">
        <v>2027</v>
      </c>
      <c r="B732" s="11" t="s">
        <v>2</v>
      </c>
      <c r="C732" s="4">
        <v>3</v>
      </c>
      <c r="D732" s="11">
        <v>1</v>
      </c>
      <c r="E732" s="11">
        <v>2</v>
      </c>
      <c r="F732" s="11">
        <v>1</v>
      </c>
      <c r="G732" s="11">
        <v>1</v>
      </c>
    </row>
    <row r="733" spans="1:7" x14ac:dyDescent="0.25">
      <c r="A733" s="11">
        <v>2027</v>
      </c>
      <c r="B733" s="11" t="s">
        <v>2</v>
      </c>
      <c r="C733" s="4">
        <v>4</v>
      </c>
      <c r="D733" s="11">
        <v>2</v>
      </c>
      <c r="E733" s="11">
        <v>2</v>
      </c>
      <c r="F733" s="11">
        <v>1</v>
      </c>
      <c r="G733" s="11">
        <v>3</v>
      </c>
    </row>
    <row r="734" spans="1:7" x14ac:dyDescent="0.25">
      <c r="A734" s="11">
        <v>2027</v>
      </c>
      <c r="B734" s="11" t="s">
        <v>2</v>
      </c>
      <c r="C734" s="4">
        <v>5</v>
      </c>
      <c r="D734" s="11">
        <v>2</v>
      </c>
      <c r="E734" s="11">
        <v>1</v>
      </c>
      <c r="F734" s="11">
        <v>1</v>
      </c>
      <c r="G734" s="11">
        <v>1</v>
      </c>
    </row>
    <row r="735" spans="1:7" x14ac:dyDescent="0.25">
      <c r="A735" s="11">
        <v>2027</v>
      </c>
      <c r="B735" s="11" t="s">
        <v>2</v>
      </c>
      <c r="C735" s="4">
        <v>6</v>
      </c>
      <c r="D735" s="11">
        <v>2</v>
      </c>
      <c r="E735" s="11">
        <v>4</v>
      </c>
      <c r="F735" s="11">
        <v>1</v>
      </c>
      <c r="G735" s="11">
        <v>3</v>
      </c>
    </row>
    <row r="736" spans="1:7" x14ac:dyDescent="0.25">
      <c r="A736" s="11">
        <v>2027</v>
      </c>
      <c r="B736" s="11" t="s">
        <v>2</v>
      </c>
      <c r="C736" s="4">
        <v>7</v>
      </c>
      <c r="D736" s="11">
        <v>1</v>
      </c>
      <c r="E736" s="11">
        <v>3</v>
      </c>
      <c r="F736" s="11">
        <v>3</v>
      </c>
      <c r="G736" s="11">
        <v>3</v>
      </c>
    </row>
    <row r="737" spans="1:7" x14ac:dyDescent="0.25">
      <c r="A737" s="11">
        <v>2027</v>
      </c>
      <c r="B737" s="11" t="s">
        <v>2</v>
      </c>
      <c r="C737" s="4">
        <v>8</v>
      </c>
      <c r="D737" s="11">
        <v>1</v>
      </c>
      <c r="E737" s="11">
        <v>2</v>
      </c>
      <c r="F737" s="11">
        <v>2</v>
      </c>
      <c r="G737" s="11">
        <v>2</v>
      </c>
    </row>
    <row r="738" spans="1:7" x14ac:dyDescent="0.25">
      <c r="A738" s="11">
        <v>2027</v>
      </c>
      <c r="B738" s="11" t="s">
        <v>2</v>
      </c>
      <c r="C738" s="4">
        <v>9</v>
      </c>
      <c r="D738" s="11">
        <v>2</v>
      </c>
      <c r="E738" s="11">
        <v>3</v>
      </c>
      <c r="F738" s="11">
        <v>1</v>
      </c>
      <c r="G738" s="11">
        <v>2</v>
      </c>
    </row>
    <row r="739" spans="1:7" x14ac:dyDescent="0.25">
      <c r="A739" s="11">
        <v>2027</v>
      </c>
      <c r="B739" s="11" t="s">
        <v>2</v>
      </c>
      <c r="C739" s="4">
        <v>10</v>
      </c>
      <c r="D739" s="11">
        <v>3</v>
      </c>
      <c r="E739" s="11">
        <v>3</v>
      </c>
      <c r="F739" s="11">
        <v>1</v>
      </c>
      <c r="G739" s="11">
        <v>4</v>
      </c>
    </row>
    <row r="740" spans="1:7" x14ac:dyDescent="0.25">
      <c r="A740" s="11">
        <v>2027</v>
      </c>
      <c r="B740" s="11" t="s">
        <v>2</v>
      </c>
      <c r="C740" s="4">
        <v>11</v>
      </c>
      <c r="D740" s="11">
        <v>3</v>
      </c>
      <c r="E740" s="11">
        <v>4</v>
      </c>
      <c r="F740" s="11">
        <v>1</v>
      </c>
      <c r="G740" s="11">
        <v>4</v>
      </c>
    </row>
    <row r="741" spans="1:7" x14ac:dyDescent="0.25">
      <c r="A741" s="11">
        <v>2027</v>
      </c>
      <c r="B741" s="11" t="s">
        <v>2</v>
      </c>
      <c r="C741" s="4">
        <v>12</v>
      </c>
      <c r="D741" s="11">
        <v>4</v>
      </c>
      <c r="E741" s="11">
        <v>3</v>
      </c>
      <c r="F741" s="11">
        <v>1</v>
      </c>
      <c r="G741" s="11">
        <v>1</v>
      </c>
    </row>
    <row r="742" spans="1:7" x14ac:dyDescent="0.25">
      <c r="A742" s="11">
        <v>2027</v>
      </c>
      <c r="B742" s="11" t="s">
        <v>2</v>
      </c>
      <c r="C742" s="4">
        <v>13</v>
      </c>
      <c r="D742" s="11">
        <v>4</v>
      </c>
      <c r="E742" s="11">
        <v>1</v>
      </c>
      <c r="F742" s="11">
        <v>1</v>
      </c>
      <c r="G742" s="11">
        <v>3</v>
      </c>
    </row>
    <row r="743" spans="1:7" x14ac:dyDescent="0.25">
      <c r="A743" s="11">
        <v>2027</v>
      </c>
      <c r="B743" s="11" t="s">
        <v>2</v>
      </c>
      <c r="C743" s="4">
        <v>14</v>
      </c>
      <c r="D743" s="11">
        <v>2</v>
      </c>
      <c r="E743" s="11">
        <v>1</v>
      </c>
      <c r="F743" s="11">
        <v>1</v>
      </c>
      <c r="G743" s="11">
        <v>2</v>
      </c>
    </row>
    <row r="744" spans="1:7" x14ac:dyDescent="0.25">
      <c r="A744" s="11">
        <v>2027</v>
      </c>
      <c r="B744" s="11" t="s">
        <v>2</v>
      </c>
      <c r="C744" s="4">
        <v>15</v>
      </c>
      <c r="D744" s="11">
        <v>1</v>
      </c>
      <c r="E744" s="11">
        <v>3</v>
      </c>
      <c r="F744" s="11">
        <v>3</v>
      </c>
      <c r="G744" s="11">
        <v>1</v>
      </c>
    </row>
    <row r="745" spans="1:7" x14ac:dyDescent="0.25">
      <c r="A745" s="11">
        <v>2027</v>
      </c>
      <c r="B745" s="11" t="s">
        <v>2</v>
      </c>
      <c r="C745" s="4">
        <v>16</v>
      </c>
      <c r="D745" s="11">
        <v>1</v>
      </c>
      <c r="E745" s="11">
        <v>3</v>
      </c>
      <c r="F745" s="11">
        <v>2</v>
      </c>
      <c r="G745" s="11">
        <v>4</v>
      </c>
    </row>
    <row r="746" spans="1:7" x14ac:dyDescent="0.25">
      <c r="A746" s="11">
        <v>2027</v>
      </c>
      <c r="B746" s="11" t="s">
        <v>2</v>
      </c>
      <c r="C746" s="4">
        <v>17</v>
      </c>
      <c r="D746" s="11">
        <v>1</v>
      </c>
      <c r="E746" s="11">
        <v>2</v>
      </c>
      <c r="F746" s="11">
        <v>2</v>
      </c>
      <c r="G746" s="11">
        <v>1</v>
      </c>
    </row>
    <row r="747" spans="1:7" x14ac:dyDescent="0.25">
      <c r="A747" s="11">
        <v>2027</v>
      </c>
      <c r="B747" s="11" t="s">
        <v>2</v>
      </c>
      <c r="C747" s="4">
        <v>18</v>
      </c>
      <c r="D747" s="11">
        <v>2</v>
      </c>
      <c r="E747" s="11">
        <v>1</v>
      </c>
      <c r="F747" s="11">
        <v>3</v>
      </c>
      <c r="G747" s="11">
        <v>1</v>
      </c>
    </row>
    <row r="748" spans="1:7" x14ac:dyDescent="0.25">
      <c r="A748" s="11">
        <v>2027</v>
      </c>
      <c r="B748" s="11" t="s">
        <v>2</v>
      </c>
      <c r="C748" s="4">
        <v>19</v>
      </c>
      <c r="D748" s="11">
        <v>1</v>
      </c>
      <c r="E748" s="11">
        <v>2</v>
      </c>
      <c r="F748" s="11">
        <v>1</v>
      </c>
      <c r="G748" s="11">
        <v>3</v>
      </c>
    </row>
    <row r="749" spans="1:7" x14ac:dyDescent="0.25">
      <c r="A749" s="11">
        <v>2027</v>
      </c>
      <c r="B749" s="11" t="s">
        <v>2</v>
      </c>
      <c r="C749" s="4">
        <v>20</v>
      </c>
      <c r="D749" s="11">
        <v>4</v>
      </c>
      <c r="E749" s="11">
        <v>3</v>
      </c>
      <c r="F749" s="11">
        <v>3</v>
      </c>
      <c r="G749" s="11">
        <v>2</v>
      </c>
    </row>
    <row r="750" spans="1:7" x14ac:dyDescent="0.25">
      <c r="A750" s="11">
        <v>2027</v>
      </c>
      <c r="B750" s="11" t="s">
        <v>2</v>
      </c>
      <c r="C750" s="4">
        <v>21</v>
      </c>
      <c r="D750" s="11">
        <v>1</v>
      </c>
      <c r="E750" s="11">
        <v>1</v>
      </c>
      <c r="F750" s="11">
        <v>1</v>
      </c>
      <c r="G750" s="11">
        <v>4</v>
      </c>
    </row>
    <row r="751" spans="1:7" x14ac:dyDescent="0.25">
      <c r="A751" s="11">
        <v>2027</v>
      </c>
      <c r="B751" s="11" t="s">
        <v>2</v>
      </c>
      <c r="C751" s="4">
        <v>22</v>
      </c>
      <c r="D751" s="11">
        <v>2</v>
      </c>
      <c r="E751" s="11">
        <v>2</v>
      </c>
      <c r="F751" s="11">
        <v>2</v>
      </c>
      <c r="G751" s="11">
        <v>4</v>
      </c>
    </row>
    <row r="752" spans="1:7" x14ac:dyDescent="0.25">
      <c r="A752" s="11">
        <v>2027</v>
      </c>
      <c r="B752" s="11" t="s">
        <v>2</v>
      </c>
      <c r="C752" s="4">
        <v>23</v>
      </c>
      <c r="D752" s="11">
        <v>2</v>
      </c>
      <c r="E752" s="11">
        <v>2</v>
      </c>
      <c r="F752" s="11">
        <v>2</v>
      </c>
      <c r="G752" s="11">
        <v>2</v>
      </c>
    </row>
    <row r="753" spans="1:7" x14ac:dyDescent="0.25">
      <c r="A753" s="11">
        <v>2027</v>
      </c>
      <c r="B753" s="11" t="s">
        <v>2</v>
      </c>
      <c r="C753" s="4">
        <v>24</v>
      </c>
      <c r="D753" s="11">
        <v>1</v>
      </c>
      <c r="E753" s="11">
        <v>1</v>
      </c>
      <c r="F753" s="11">
        <v>3</v>
      </c>
      <c r="G753" s="11">
        <v>1</v>
      </c>
    </row>
    <row r="754" spans="1:7" x14ac:dyDescent="0.25">
      <c r="A754" s="11">
        <v>2027</v>
      </c>
      <c r="B754" s="11" t="s">
        <v>2</v>
      </c>
      <c r="C754" s="4">
        <v>25</v>
      </c>
      <c r="D754" s="11">
        <v>3</v>
      </c>
      <c r="E754" s="11">
        <v>1</v>
      </c>
      <c r="F754" s="11">
        <v>1</v>
      </c>
      <c r="G754" s="11">
        <v>2</v>
      </c>
    </row>
    <row r="755" spans="1:7" x14ac:dyDescent="0.25">
      <c r="A755" s="11">
        <v>2027</v>
      </c>
      <c r="B755" s="11" t="s">
        <v>2</v>
      </c>
      <c r="C755" s="4">
        <v>26</v>
      </c>
      <c r="D755" s="11">
        <v>3</v>
      </c>
      <c r="E755" s="11">
        <v>2</v>
      </c>
      <c r="F755" s="11">
        <v>1</v>
      </c>
      <c r="G755" s="11">
        <v>3</v>
      </c>
    </row>
    <row r="756" spans="1:7" x14ac:dyDescent="0.25">
      <c r="A756" s="11">
        <v>2027</v>
      </c>
      <c r="B756" s="11" t="s">
        <v>2</v>
      </c>
      <c r="C756" s="4">
        <v>27</v>
      </c>
      <c r="D756" s="11">
        <v>1</v>
      </c>
      <c r="E756" s="11">
        <v>1</v>
      </c>
      <c r="F756" s="11">
        <v>3</v>
      </c>
      <c r="G756" s="11">
        <v>3</v>
      </c>
    </row>
    <row r="757" spans="1:7" x14ac:dyDescent="0.25">
      <c r="A757" s="11">
        <v>2027</v>
      </c>
      <c r="B757" s="11" t="s">
        <v>2</v>
      </c>
      <c r="C757" s="4">
        <v>28</v>
      </c>
      <c r="D757" s="11">
        <v>3</v>
      </c>
      <c r="E757" s="11">
        <v>1</v>
      </c>
      <c r="F757" s="11">
        <v>1</v>
      </c>
      <c r="G757" s="11">
        <v>2</v>
      </c>
    </row>
    <row r="758" spans="1:7" x14ac:dyDescent="0.25">
      <c r="A758" s="11">
        <v>2027</v>
      </c>
      <c r="B758" s="11" t="s">
        <v>3</v>
      </c>
      <c r="C758" s="4">
        <v>1</v>
      </c>
      <c r="D758" s="11">
        <v>3</v>
      </c>
      <c r="E758" s="11">
        <v>1</v>
      </c>
      <c r="F758" s="11">
        <v>1</v>
      </c>
      <c r="G758" s="11">
        <v>2</v>
      </c>
    </row>
    <row r="759" spans="1:7" x14ac:dyDescent="0.25">
      <c r="A759" s="11">
        <v>2027</v>
      </c>
      <c r="B759" s="11" t="s">
        <v>3</v>
      </c>
      <c r="C759" s="4">
        <v>2</v>
      </c>
      <c r="D759" s="11">
        <v>1</v>
      </c>
      <c r="E759" s="11">
        <v>3</v>
      </c>
      <c r="F759" s="11">
        <v>2</v>
      </c>
      <c r="G759" s="11">
        <v>1</v>
      </c>
    </row>
    <row r="760" spans="1:7" x14ac:dyDescent="0.25">
      <c r="A760" s="11">
        <v>2027</v>
      </c>
      <c r="B760" s="11" t="s">
        <v>3</v>
      </c>
      <c r="C760" s="4">
        <v>3</v>
      </c>
      <c r="D760" s="11">
        <v>1</v>
      </c>
      <c r="E760" s="11">
        <v>3</v>
      </c>
      <c r="F760" s="11">
        <v>1</v>
      </c>
      <c r="G760" s="11">
        <v>3</v>
      </c>
    </row>
    <row r="761" spans="1:7" x14ac:dyDescent="0.25">
      <c r="A761" s="11">
        <v>2027</v>
      </c>
      <c r="B761" s="11" t="s">
        <v>3</v>
      </c>
      <c r="C761" s="4">
        <v>4</v>
      </c>
      <c r="D761" s="11">
        <v>3</v>
      </c>
      <c r="E761" s="11">
        <v>1</v>
      </c>
      <c r="F761" s="11">
        <v>2</v>
      </c>
      <c r="G761" s="11">
        <v>1</v>
      </c>
    </row>
    <row r="762" spans="1:7" x14ac:dyDescent="0.25">
      <c r="A762" s="11">
        <v>2027</v>
      </c>
      <c r="B762" s="11" t="s">
        <v>3</v>
      </c>
      <c r="C762" s="4">
        <v>5</v>
      </c>
      <c r="D762" s="11">
        <v>1</v>
      </c>
      <c r="E762" s="11">
        <v>1</v>
      </c>
      <c r="F762" s="11">
        <v>3</v>
      </c>
      <c r="G762" s="11">
        <v>3</v>
      </c>
    </row>
    <row r="763" spans="1:7" x14ac:dyDescent="0.25">
      <c r="A763" s="11">
        <v>2027</v>
      </c>
      <c r="B763" s="11" t="s">
        <v>3</v>
      </c>
      <c r="C763" s="4">
        <v>6</v>
      </c>
      <c r="D763" s="11">
        <v>4</v>
      </c>
      <c r="E763" s="11">
        <v>2</v>
      </c>
      <c r="F763" s="11">
        <v>4</v>
      </c>
      <c r="G763" s="11">
        <v>2</v>
      </c>
    </row>
    <row r="764" spans="1:7" x14ac:dyDescent="0.25">
      <c r="A764" s="11">
        <v>2027</v>
      </c>
      <c r="B764" s="11" t="s">
        <v>3</v>
      </c>
      <c r="C764" s="4">
        <v>7</v>
      </c>
      <c r="D764" s="11">
        <v>1</v>
      </c>
      <c r="E764" s="11">
        <v>3</v>
      </c>
      <c r="F764" s="11">
        <v>1</v>
      </c>
      <c r="G764" s="11">
        <v>4</v>
      </c>
    </row>
    <row r="765" spans="1:7" x14ac:dyDescent="0.25">
      <c r="A765" s="11">
        <v>2027</v>
      </c>
      <c r="B765" s="11" t="s">
        <v>3</v>
      </c>
      <c r="C765" s="4">
        <v>8</v>
      </c>
      <c r="D765" s="11">
        <v>1</v>
      </c>
      <c r="E765" s="11">
        <v>3</v>
      </c>
      <c r="F765" s="11">
        <v>2</v>
      </c>
      <c r="G765" s="11">
        <v>2</v>
      </c>
    </row>
    <row r="766" spans="1:7" x14ac:dyDescent="0.25">
      <c r="A766" s="11">
        <v>2027</v>
      </c>
      <c r="B766" s="11" t="s">
        <v>3</v>
      </c>
      <c r="C766" s="4">
        <v>9</v>
      </c>
      <c r="D766" s="11">
        <v>1</v>
      </c>
      <c r="E766" s="11">
        <v>3</v>
      </c>
      <c r="F766" s="11">
        <v>2</v>
      </c>
      <c r="G766" s="11">
        <v>3</v>
      </c>
    </row>
    <row r="767" spans="1:7" x14ac:dyDescent="0.25">
      <c r="A767" s="11">
        <v>2027</v>
      </c>
      <c r="B767" s="11" t="s">
        <v>3</v>
      </c>
      <c r="C767" s="4">
        <v>10</v>
      </c>
      <c r="D767" s="11">
        <v>1</v>
      </c>
      <c r="E767" s="11">
        <v>2</v>
      </c>
      <c r="F767" s="11">
        <v>2</v>
      </c>
      <c r="G767" s="11">
        <v>2</v>
      </c>
    </row>
    <row r="768" spans="1:7" x14ac:dyDescent="0.25">
      <c r="A768" s="11">
        <v>2027</v>
      </c>
      <c r="B768" s="11" t="s">
        <v>3</v>
      </c>
      <c r="C768" s="4">
        <v>11</v>
      </c>
      <c r="D768" s="11">
        <v>3</v>
      </c>
      <c r="E768" s="11">
        <v>1</v>
      </c>
      <c r="F768" s="11">
        <v>2</v>
      </c>
      <c r="G768" s="11">
        <v>1</v>
      </c>
    </row>
    <row r="769" spans="1:7" x14ac:dyDescent="0.25">
      <c r="A769" s="11">
        <v>2027</v>
      </c>
      <c r="B769" s="11" t="s">
        <v>3</v>
      </c>
      <c r="C769" s="4">
        <v>12</v>
      </c>
      <c r="D769" s="11">
        <v>1</v>
      </c>
      <c r="E769" s="11">
        <v>1</v>
      </c>
      <c r="F769" s="11">
        <v>2</v>
      </c>
      <c r="G769" s="11">
        <v>1</v>
      </c>
    </row>
    <row r="770" spans="1:7" x14ac:dyDescent="0.25">
      <c r="A770" s="11">
        <v>2027</v>
      </c>
      <c r="B770" s="11" t="s">
        <v>3</v>
      </c>
      <c r="C770" s="4">
        <v>13</v>
      </c>
      <c r="D770" s="11">
        <v>2</v>
      </c>
      <c r="E770" s="11">
        <v>3</v>
      </c>
      <c r="F770" s="11">
        <v>1</v>
      </c>
      <c r="G770" s="11">
        <v>2</v>
      </c>
    </row>
    <row r="771" spans="1:7" x14ac:dyDescent="0.25">
      <c r="A771" s="11">
        <v>2027</v>
      </c>
      <c r="B771" s="11" t="s">
        <v>3</v>
      </c>
      <c r="C771" s="4">
        <v>14</v>
      </c>
      <c r="D771" s="11">
        <v>1</v>
      </c>
      <c r="E771" s="11">
        <v>2</v>
      </c>
      <c r="F771" s="11">
        <v>1</v>
      </c>
      <c r="G771" s="11">
        <v>1</v>
      </c>
    </row>
    <row r="772" spans="1:7" x14ac:dyDescent="0.25">
      <c r="A772" s="11">
        <v>2027</v>
      </c>
      <c r="B772" s="11" t="s">
        <v>3</v>
      </c>
      <c r="C772" s="4">
        <v>15</v>
      </c>
      <c r="D772" s="11">
        <v>1</v>
      </c>
      <c r="E772" s="11">
        <v>1</v>
      </c>
      <c r="F772" s="11">
        <v>1</v>
      </c>
      <c r="G772" s="11">
        <v>4</v>
      </c>
    </row>
    <row r="773" spans="1:7" x14ac:dyDescent="0.25">
      <c r="A773" s="11">
        <v>2027</v>
      </c>
      <c r="B773" s="11" t="s">
        <v>3</v>
      </c>
      <c r="C773" s="4">
        <v>16</v>
      </c>
      <c r="D773" s="11">
        <v>3</v>
      </c>
      <c r="E773" s="11">
        <v>1</v>
      </c>
      <c r="F773" s="11">
        <v>1</v>
      </c>
      <c r="G773" s="11">
        <v>1</v>
      </c>
    </row>
    <row r="774" spans="1:7" x14ac:dyDescent="0.25">
      <c r="A774" s="11">
        <v>2027</v>
      </c>
      <c r="B774" s="11" t="s">
        <v>3</v>
      </c>
      <c r="C774" s="4">
        <v>17</v>
      </c>
      <c r="D774" s="11">
        <v>4</v>
      </c>
      <c r="E774" s="11">
        <v>3</v>
      </c>
      <c r="F774" s="11">
        <v>2</v>
      </c>
      <c r="G774" s="11">
        <v>2</v>
      </c>
    </row>
    <row r="775" spans="1:7" x14ac:dyDescent="0.25">
      <c r="A775" s="11">
        <v>2027</v>
      </c>
      <c r="B775" s="11" t="s">
        <v>3</v>
      </c>
      <c r="C775" s="4">
        <v>18</v>
      </c>
      <c r="D775" s="11">
        <v>1</v>
      </c>
      <c r="E775" s="11">
        <v>1</v>
      </c>
      <c r="F775" s="11">
        <v>2</v>
      </c>
      <c r="G775" s="11">
        <v>1</v>
      </c>
    </row>
    <row r="776" spans="1:7" x14ac:dyDescent="0.25">
      <c r="A776" s="11">
        <v>2027</v>
      </c>
      <c r="B776" s="11" t="s">
        <v>3</v>
      </c>
      <c r="C776" s="4">
        <v>19</v>
      </c>
      <c r="D776" s="11">
        <v>1</v>
      </c>
      <c r="E776" s="11">
        <v>1</v>
      </c>
      <c r="F776" s="11">
        <v>2</v>
      </c>
      <c r="G776" s="11">
        <v>2</v>
      </c>
    </row>
    <row r="777" spans="1:7" x14ac:dyDescent="0.25">
      <c r="A777" s="11">
        <v>2027</v>
      </c>
      <c r="B777" s="11" t="s">
        <v>3</v>
      </c>
      <c r="C777" s="4">
        <v>20</v>
      </c>
      <c r="D777" s="11">
        <v>1</v>
      </c>
      <c r="E777" s="11">
        <v>2</v>
      </c>
      <c r="F777" s="11">
        <v>2</v>
      </c>
      <c r="G777" s="11">
        <v>1</v>
      </c>
    </row>
    <row r="778" spans="1:7" x14ac:dyDescent="0.25">
      <c r="A778" s="11">
        <v>2027</v>
      </c>
      <c r="B778" s="11" t="s">
        <v>3</v>
      </c>
      <c r="C778" s="4">
        <v>21</v>
      </c>
      <c r="D778" s="11">
        <v>2</v>
      </c>
      <c r="E778" s="11">
        <v>4</v>
      </c>
      <c r="F778" s="11">
        <v>1</v>
      </c>
      <c r="G778" s="11">
        <v>2</v>
      </c>
    </row>
    <row r="779" spans="1:7" x14ac:dyDescent="0.25">
      <c r="A779" s="11">
        <v>2027</v>
      </c>
      <c r="B779" s="11" t="s">
        <v>3</v>
      </c>
      <c r="C779" s="4">
        <v>22</v>
      </c>
      <c r="D779" s="11">
        <v>1</v>
      </c>
      <c r="E779" s="11">
        <v>2</v>
      </c>
      <c r="F779" s="11">
        <v>1</v>
      </c>
      <c r="G779" s="11">
        <v>1</v>
      </c>
    </row>
    <row r="780" spans="1:7" x14ac:dyDescent="0.25">
      <c r="A780" s="11">
        <v>2027</v>
      </c>
      <c r="B780" s="11" t="s">
        <v>3</v>
      </c>
      <c r="C780" s="4">
        <v>23</v>
      </c>
      <c r="D780" s="11">
        <v>2</v>
      </c>
      <c r="E780" s="11">
        <v>2</v>
      </c>
      <c r="F780" s="11">
        <v>4</v>
      </c>
      <c r="G780" s="11">
        <v>3</v>
      </c>
    </row>
    <row r="781" spans="1:7" x14ac:dyDescent="0.25">
      <c r="A781" s="11">
        <v>2027</v>
      </c>
      <c r="B781" s="11" t="s">
        <v>3</v>
      </c>
      <c r="C781" s="4">
        <v>24</v>
      </c>
      <c r="D781" s="11">
        <v>1</v>
      </c>
      <c r="E781" s="11">
        <v>1</v>
      </c>
      <c r="F781" s="11">
        <v>1</v>
      </c>
      <c r="G781" s="11">
        <v>1</v>
      </c>
    </row>
    <row r="782" spans="1:7" x14ac:dyDescent="0.25">
      <c r="A782" s="11">
        <v>2027</v>
      </c>
      <c r="B782" s="11" t="s">
        <v>3</v>
      </c>
      <c r="C782" s="4">
        <v>25</v>
      </c>
      <c r="D782" s="11">
        <v>3</v>
      </c>
      <c r="E782" s="11">
        <v>1</v>
      </c>
      <c r="F782" s="11">
        <v>2</v>
      </c>
      <c r="G782" s="11">
        <v>3</v>
      </c>
    </row>
    <row r="783" spans="1:7" x14ac:dyDescent="0.25">
      <c r="A783" s="11">
        <v>2027</v>
      </c>
      <c r="B783" s="11" t="s">
        <v>3</v>
      </c>
      <c r="C783" s="4">
        <v>26</v>
      </c>
      <c r="D783" s="11">
        <v>2</v>
      </c>
      <c r="E783" s="11">
        <v>1</v>
      </c>
      <c r="F783" s="11">
        <v>1</v>
      </c>
      <c r="G783" s="11">
        <v>1</v>
      </c>
    </row>
    <row r="784" spans="1:7" x14ac:dyDescent="0.25">
      <c r="A784" s="11">
        <v>2027</v>
      </c>
      <c r="B784" s="11" t="s">
        <v>3</v>
      </c>
      <c r="C784" s="4">
        <v>27</v>
      </c>
      <c r="D784" s="11">
        <v>3</v>
      </c>
      <c r="E784" s="11">
        <v>2</v>
      </c>
      <c r="F784" s="11">
        <v>4</v>
      </c>
      <c r="G784" s="11">
        <v>1</v>
      </c>
    </row>
    <row r="785" spans="1:7" x14ac:dyDescent="0.25">
      <c r="A785" s="11">
        <v>2027</v>
      </c>
      <c r="B785" s="11" t="s">
        <v>3</v>
      </c>
      <c r="C785" s="4">
        <v>28</v>
      </c>
      <c r="D785" s="11">
        <v>2</v>
      </c>
      <c r="E785" s="11">
        <v>2</v>
      </c>
      <c r="F785" s="11">
        <v>2</v>
      </c>
      <c r="G785" s="11">
        <v>1</v>
      </c>
    </row>
    <row r="786" spans="1:7" x14ac:dyDescent="0.25">
      <c r="A786" s="11">
        <v>2027</v>
      </c>
      <c r="B786" s="11" t="s">
        <v>4</v>
      </c>
      <c r="C786" s="4">
        <v>1</v>
      </c>
      <c r="D786" s="11">
        <v>2</v>
      </c>
      <c r="E786" s="11">
        <v>4</v>
      </c>
      <c r="F786" s="11">
        <v>1</v>
      </c>
      <c r="G786" s="11">
        <v>3</v>
      </c>
    </row>
    <row r="787" spans="1:7" x14ac:dyDescent="0.25">
      <c r="A787" s="11">
        <v>2027</v>
      </c>
      <c r="B787" s="11" t="s">
        <v>4</v>
      </c>
      <c r="C787" s="4">
        <v>2</v>
      </c>
      <c r="D787" s="11">
        <v>3</v>
      </c>
      <c r="E787" s="11">
        <v>3</v>
      </c>
      <c r="F787" s="11">
        <v>1</v>
      </c>
      <c r="G787" s="11">
        <v>1</v>
      </c>
    </row>
    <row r="788" spans="1:7" x14ac:dyDescent="0.25">
      <c r="A788" s="11">
        <v>2027</v>
      </c>
      <c r="B788" s="11" t="s">
        <v>4</v>
      </c>
      <c r="C788" s="4">
        <v>3</v>
      </c>
      <c r="D788" s="11">
        <v>1</v>
      </c>
      <c r="E788" s="11">
        <v>4</v>
      </c>
      <c r="F788" s="11">
        <v>2</v>
      </c>
      <c r="G788" s="11">
        <v>2</v>
      </c>
    </row>
    <row r="789" spans="1:7" x14ac:dyDescent="0.25">
      <c r="A789" s="11">
        <v>2027</v>
      </c>
      <c r="B789" s="11" t="s">
        <v>4</v>
      </c>
      <c r="C789" s="4">
        <v>4</v>
      </c>
      <c r="D789" s="11">
        <v>1</v>
      </c>
      <c r="E789" s="11">
        <v>2</v>
      </c>
      <c r="F789" s="11">
        <v>2</v>
      </c>
      <c r="G789" s="11">
        <v>1</v>
      </c>
    </row>
    <row r="790" spans="1:7" x14ac:dyDescent="0.25">
      <c r="A790" s="11">
        <v>2027</v>
      </c>
      <c r="B790" s="11" t="s">
        <v>4</v>
      </c>
      <c r="C790" s="4">
        <v>5</v>
      </c>
      <c r="D790" s="11">
        <v>3</v>
      </c>
      <c r="E790" s="11">
        <v>1</v>
      </c>
      <c r="F790" s="11">
        <v>4</v>
      </c>
      <c r="G790" s="11">
        <v>2</v>
      </c>
    </row>
    <row r="791" spans="1:7" x14ac:dyDescent="0.25">
      <c r="A791" s="11">
        <v>2027</v>
      </c>
      <c r="B791" s="11" t="s">
        <v>4</v>
      </c>
      <c r="C791" s="4">
        <v>6</v>
      </c>
      <c r="D791" s="11">
        <v>2</v>
      </c>
      <c r="E791" s="11">
        <v>2</v>
      </c>
      <c r="F791" s="11">
        <v>1</v>
      </c>
      <c r="G791" s="11">
        <v>1</v>
      </c>
    </row>
    <row r="792" spans="1:7" x14ac:dyDescent="0.25">
      <c r="A792" s="11">
        <v>2027</v>
      </c>
      <c r="B792" s="11" t="s">
        <v>4</v>
      </c>
      <c r="C792" s="4">
        <v>7</v>
      </c>
      <c r="D792" s="11">
        <v>3</v>
      </c>
      <c r="E792" s="11">
        <v>1</v>
      </c>
      <c r="F792" s="11">
        <v>2</v>
      </c>
      <c r="G792" s="11">
        <v>2</v>
      </c>
    </row>
    <row r="793" spans="1:7" x14ac:dyDescent="0.25">
      <c r="A793" s="11">
        <v>2027</v>
      </c>
      <c r="B793" s="11" t="s">
        <v>4</v>
      </c>
      <c r="C793" s="4">
        <v>8</v>
      </c>
      <c r="D793" s="11">
        <v>3</v>
      </c>
      <c r="E793" s="11">
        <v>2</v>
      </c>
      <c r="F793" s="11">
        <v>2</v>
      </c>
      <c r="G793" s="11">
        <v>2</v>
      </c>
    </row>
    <row r="794" spans="1:7" x14ac:dyDescent="0.25">
      <c r="A794" s="11">
        <v>2027</v>
      </c>
      <c r="B794" s="11" t="s">
        <v>4</v>
      </c>
      <c r="C794" s="4">
        <v>9</v>
      </c>
      <c r="D794" s="11">
        <v>2</v>
      </c>
      <c r="E794" s="11">
        <v>4</v>
      </c>
      <c r="F794" s="11">
        <v>3</v>
      </c>
      <c r="G794" s="11">
        <v>1</v>
      </c>
    </row>
    <row r="795" spans="1:7" x14ac:dyDescent="0.25">
      <c r="A795" s="11">
        <v>2027</v>
      </c>
      <c r="B795" s="11" t="s">
        <v>4</v>
      </c>
      <c r="C795" s="4">
        <v>10</v>
      </c>
      <c r="D795" s="11">
        <v>2</v>
      </c>
      <c r="E795" s="11">
        <v>3</v>
      </c>
      <c r="F795" s="11">
        <v>1</v>
      </c>
      <c r="G795" s="11">
        <v>4</v>
      </c>
    </row>
    <row r="796" spans="1:7" x14ac:dyDescent="0.25">
      <c r="A796" s="11">
        <v>2027</v>
      </c>
      <c r="B796" s="11" t="s">
        <v>4</v>
      </c>
      <c r="C796" s="4">
        <v>11</v>
      </c>
      <c r="D796" s="11">
        <v>2</v>
      </c>
      <c r="E796" s="11">
        <v>4</v>
      </c>
      <c r="F796" s="11">
        <v>3</v>
      </c>
      <c r="G796" s="11">
        <v>1</v>
      </c>
    </row>
    <row r="797" spans="1:7" x14ac:dyDescent="0.25">
      <c r="A797" s="11">
        <v>2027</v>
      </c>
      <c r="B797" s="11" t="s">
        <v>4</v>
      </c>
      <c r="C797" s="4">
        <v>12</v>
      </c>
      <c r="D797" s="11">
        <v>1</v>
      </c>
      <c r="E797" s="11">
        <v>1</v>
      </c>
      <c r="F797" s="11">
        <v>1</v>
      </c>
      <c r="G797" s="11">
        <v>2</v>
      </c>
    </row>
    <row r="798" spans="1:7" x14ac:dyDescent="0.25">
      <c r="A798" s="11">
        <v>2027</v>
      </c>
      <c r="B798" s="11" t="s">
        <v>4</v>
      </c>
      <c r="C798" s="4">
        <v>13</v>
      </c>
      <c r="D798" s="11">
        <v>2</v>
      </c>
      <c r="E798" s="11">
        <v>2</v>
      </c>
      <c r="F798" s="11">
        <v>2</v>
      </c>
      <c r="G798" s="11">
        <v>2</v>
      </c>
    </row>
    <row r="799" spans="1:7" x14ac:dyDescent="0.25">
      <c r="A799" s="11">
        <v>2027</v>
      </c>
      <c r="B799" s="11" t="s">
        <v>4</v>
      </c>
      <c r="C799" s="4">
        <v>14</v>
      </c>
      <c r="D799" s="11">
        <v>2</v>
      </c>
      <c r="E799" s="11">
        <v>3</v>
      </c>
      <c r="F799" s="11">
        <v>2</v>
      </c>
      <c r="G799" s="11">
        <v>2</v>
      </c>
    </row>
    <row r="800" spans="1:7" x14ac:dyDescent="0.25">
      <c r="A800" s="11">
        <v>2027</v>
      </c>
      <c r="B800" s="11" t="s">
        <v>4</v>
      </c>
      <c r="C800" s="4">
        <v>15</v>
      </c>
      <c r="D800" s="11">
        <v>1</v>
      </c>
      <c r="E800" s="11">
        <v>2</v>
      </c>
      <c r="F800" s="11">
        <v>1</v>
      </c>
      <c r="G800" s="11">
        <v>3</v>
      </c>
    </row>
    <row r="801" spans="1:7" x14ac:dyDescent="0.25">
      <c r="A801" s="11">
        <v>2027</v>
      </c>
      <c r="B801" s="11" t="s">
        <v>4</v>
      </c>
      <c r="C801" s="4">
        <v>16</v>
      </c>
      <c r="D801" s="11">
        <v>2</v>
      </c>
      <c r="E801" s="11">
        <v>2</v>
      </c>
      <c r="F801" s="11">
        <v>1</v>
      </c>
      <c r="G801" s="11">
        <v>1</v>
      </c>
    </row>
    <row r="802" spans="1:7" x14ac:dyDescent="0.25">
      <c r="A802" s="11">
        <v>2027</v>
      </c>
      <c r="B802" s="11" t="s">
        <v>4</v>
      </c>
      <c r="C802" s="4">
        <v>17</v>
      </c>
      <c r="D802" s="11">
        <v>1</v>
      </c>
      <c r="E802" s="11">
        <v>1</v>
      </c>
      <c r="F802" s="11">
        <v>1</v>
      </c>
      <c r="G802" s="11">
        <v>1</v>
      </c>
    </row>
    <row r="803" spans="1:7" x14ac:dyDescent="0.25">
      <c r="A803" s="11">
        <v>2027</v>
      </c>
      <c r="B803" s="11" t="s">
        <v>4</v>
      </c>
      <c r="C803" s="4">
        <v>18</v>
      </c>
      <c r="D803" s="11">
        <v>1</v>
      </c>
      <c r="E803" s="11">
        <v>2</v>
      </c>
      <c r="F803" s="11">
        <v>3</v>
      </c>
      <c r="G803" s="11">
        <v>1</v>
      </c>
    </row>
    <row r="804" spans="1:7" x14ac:dyDescent="0.25">
      <c r="A804" s="11">
        <v>2027</v>
      </c>
      <c r="B804" s="11" t="s">
        <v>4</v>
      </c>
      <c r="C804" s="4">
        <v>19</v>
      </c>
      <c r="D804" s="11">
        <v>1</v>
      </c>
      <c r="E804" s="11">
        <v>1</v>
      </c>
      <c r="F804" s="11">
        <v>3</v>
      </c>
      <c r="G804" s="11">
        <v>3</v>
      </c>
    </row>
    <row r="805" spans="1:7" x14ac:dyDescent="0.25">
      <c r="A805" s="11">
        <v>2027</v>
      </c>
      <c r="B805" s="11" t="s">
        <v>4</v>
      </c>
      <c r="C805" s="4">
        <v>20</v>
      </c>
      <c r="D805" s="11">
        <v>1</v>
      </c>
      <c r="E805" s="11">
        <v>2</v>
      </c>
      <c r="F805" s="11">
        <v>3</v>
      </c>
      <c r="G805" s="11">
        <v>3</v>
      </c>
    </row>
    <row r="806" spans="1:7" x14ac:dyDescent="0.25">
      <c r="A806" s="11">
        <v>2027</v>
      </c>
      <c r="B806" s="11" t="s">
        <v>4</v>
      </c>
      <c r="C806" s="4">
        <v>21</v>
      </c>
      <c r="D806" s="11">
        <v>1</v>
      </c>
      <c r="E806" s="11">
        <v>2</v>
      </c>
      <c r="F806" s="11">
        <v>4</v>
      </c>
      <c r="G806" s="11">
        <v>1</v>
      </c>
    </row>
    <row r="807" spans="1:7" x14ac:dyDescent="0.25">
      <c r="A807" s="11">
        <v>2027</v>
      </c>
      <c r="B807" s="11" t="s">
        <v>4</v>
      </c>
      <c r="C807" s="4">
        <v>22</v>
      </c>
      <c r="D807" s="11">
        <v>4</v>
      </c>
      <c r="E807" s="11">
        <v>4</v>
      </c>
      <c r="F807" s="11">
        <v>1</v>
      </c>
      <c r="G807" s="11">
        <v>2</v>
      </c>
    </row>
    <row r="808" spans="1:7" x14ac:dyDescent="0.25">
      <c r="A808" s="11">
        <v>2027</v>
      </c>
      <c r="B808" s="11" t="s">
        <v>4</v>
      </c>
      <c r="C808" s="4">
        <v>23</v>
      </c>
      <c r="D808" s="11">
        <v>2</v>
      </c>
      <c r="E808" s="11">
        <v>2</v>
      </c>
      <c r="F808" s="11">
        <v>2</v>
      </c>
      <c r="G808" s="11">
        <v>1</v>
      </c>
    </row>
    <row r="809" spans="1:7" x14ac:dyDescent="0.25">
      <c r="A809" s="11">
        <v>2027</v>
      </c>
      <c r="B809" s="11" t="s">
        <v>4</v>
      </c>
      <c r="C809" s="4">
        <v>24</v>
      </c>
      <c r="D809" s="11">
        <v>3</v>
      </c>
      <c r="E809" s="11">
        <v>1</v>
      </c>
      <c r="F809" s="11">
        <v>4</v>
      </c>
      <c r="G809" s="11">
        <v>2</v>
      </c>
    </row>
    <row r="810" spans="1:7" x14ac:dyDescent="0.25">
      <c r="A810" s="11">
        <v>2027</v>
      </c>
      <c r="B810" s="11" t="s">
        <v>4</v>
      </c>
      <c r="C810" s="4">
        <v>25</v>
      </c>
      <c r="D810" s="11">
        <v>2</v>
      </c>
      <c r="E810" s="11">
        <v>1</v>
      </c>
      <c r="F810" s="11">
        <v>1</v>
      </c>
      <c r="G810" s="11">
        <v>2</v>
      </c>
    </row>
    <row r="811" spans="1:7" x14ac:dyDescent="0.25">
      <c r="A811" s="11">
        <v>2027</v>
      </c>
      <c r="B811" s="11" t="s">
        <v>4</v>
      </c>
      <c r="C811" s="4">
        <v>26</v>
      </c>
      <c r="D811" s="11">
        <v>2</v>
      </c>
      <c r="E811" s="11">
        <v>1</v>
      </c>
      <c r="F811" s="11">
        <v>2</v>
      </c>
      <c r="G811" s="11">
        <v>2</v>
      </c>
    </row>
    <row r="812" spans="1:7" x14ac:dyDescent="0.25">
      <c r="A812" s="11">
        <v>2027</v>
      </c>
      <c r="B812" s="11" t="s">
        <v>4</v>
      </c>
      <c r="C812" s="4">
        <v>27</v>
      </c>
      <c r="D812" s="11">
        <v>1</v>
      </c>
      <c r="E812" s="11">
        <v>2</v>
      </c>
      <c r="F812" s="11">
        <v>2</v>
      </c>
      <c r="G812" s="11">
        <v>2</v>
      </c>
    </row>
    <row r="813" spans="1:7" x14ac:dyDescent="0.25">
      <c r="A813" s="11">
        <v>2027</v>
      </c>
      <c r="B813" s="11" t="s">
        <v>4</v>
      </c>
      <c r="C813" s="4">
        <v>28</v>
      </c>
      <c r="D813" s="11">
        <v>1</v>
      </c>
      <c r="E813" s="11">
        <v>2</v>
      </c>
      <c r="F813" s="11">
        <v>1</v>
      </c>
      <c r="G813" s="11">
        <v>4</v>
      </c>
    </row>
    <row r="814" spans="1:7" x14ac:dyDescent="0.25">
      <c r="A814" s="11">
        <v>2027</v>
      </c>
      <c r="B814" s="11" t="s">
        <v>5</v>
      </c>
      <c r="C814" s="4">
        <v>1</v>
      </c>
      <c r="D814" s="11">
        <v>1</v>
      </c>
      <c r="E814" s="11">
        <v>4</v>
      </c>
      <c r="F814" s="11">
        <v>2</v>
      </c>
      <c r="G814" s="11">
        <v>4</v>
      </c>
    </row>
    <row r="815" spans="1:7" x14ac:dyDescent="0.25">
      <c r="A815" s="11">
        <v>2027</v>
      </c>
      <c r="B815" s="11" t="s">
        <v>5</v>
      </c>
      <c r="C815" s="4">
        <v>2</v>
      </c>
      <c r="D815" s="11">
        <v>2</v>
      </c>
      <c r="E815" s="11">
        <v>1</v>
      </c>
      <c r="F815" s="11">
        <v>3</v>
      </c>
      <c r="G815" s="11">
        <v>3</v>
      </c>
    </row>
    <row r="816" spans="1:7" x14ac:dyDescent="0.25">
      <c r="A816" s="11">
        <v>2027</v>
      </c>
      <c r="B816" s="11" t="s">
        <v>5</v>
      </c>
      <c r="C816" s="4">
        <v>3</v>
      </c>
      <c r="D816" s="11">
        <v>4</v>
      </c>
      <c r="E816" s="11">
        <v>2</v>
      </c>
      <c r="F816" s="11">
        <v>2</v>
      </c>
      <c r="G816" s="11">
        <v>3</v>
      </c>
    </row>
    <row r="817" spans="1:7" x14ac:dyDescent="0.25">
      <c r="A817" s="11">
        <v>2027</v>
      </c>
      <c r="B817" s="11" t="s">
        <v>5</v>
      </c>
      <c r="C817" s="4">
        <v>4</v>
      </c>
      <c r="D817" s="11">
        <v>1</v>
      </c>
      <c r="E817" s="11">
        <v>3</v>
      </c>
      <c r="F817" s="11">
        <v>1</v>
      </c>
      <c r="G817" s="11">
        <v>2</v>
      </c>
    </row>
    <row r="818" spans="1:7" x14ac:dyDescent="0.25">
      <c r="A818" s="11">
        <v>2027</v>
      </c>
      <c r="B818" s="11" t="s">
        <v>5</v>
      </c>
      <c r="C818" s="4">
        <v>5</v>
      </c>
      <c r="D818" s="11">
        <v>1</v>
      </c>
      <c r="E818" s="11">
        <v>1</v>
      </c>
      <c r="F818" s="11">
        <v>1</v>
      </c>
      <c r="G818" s="11">
        <v>3</v>
      </c>
    </row>
    <row r="819" spans="1:7" x14ac:dyDescent="0.25">
      <c r="A819" s="11">
        <v>2027</v>
      </c>
      <c r="B819" s="11" t="s">
        <v>5</v>
      </c>
      <c r="C819" s="4">
        <v>6</v>
      </c>
      <c r="D819" s="11">
        <v>2</v>
      </c>
      <c r="E819" s="11">
        <v>3</v>
      </c>
      <c r="F819" s="11">
        <v>2</v>
      </c>
      <c r="G819" s="11">
        <v>3</v>
      </c>
    </row>
    <row r="820" spans="1:7" x14ac:dyDescent="0.25">
      <c r="A820" s="11">
        <v>2027</v>
      </c>
      <c r="B820" s="11" t="s">
        <v>5</v>
      </c>
      <c r="C820" s="4">
        <v>7</v>
      </c>
      <c r="D820" s="11">
        <v>3</v>
      </c>
      <c r="E820" s="11">
        <v>4</v>
      </c>
      <c r="F820" s="11">
        <v>2</v>
      </c>
      <c r="G820" s="11">
        <v>2</v>
      </c>
    </row>
    <row r="821" spans="1:7" x14ac:dyDescent="0.25">
      <c r="A821" s="11">
        <v>2027</v>
      </c>
      <c r="B821" s="11" t="s">
        <v>5</v>
      </c>
      <c r="C821" s="4">
        <v>8</v>
      </c>
      <c r="D821" s="11">
        <v>2</v>
      </c>
      <c r="E821" s="11">
        <v>1</v>
      </c>
      <c r="F821" s="11">
        <v>3</v>
      </c>
      <c r="G821" s="11">
        <v>3</v>
      </c>
    </row>
    <row r="822" spans="1:7" x14ac:dyDescent="0.25">
      <c r="A822" s="11">
        <v>2027</v>
      </c>
      <c r="B822" s="11" t="s">
        <v>5</v>
      </c>
      <c r="C822" s="4">
        <v>9</v>
      </c>
      <c r="D822" s="11">
        <v>1</v>
      </c>
      <c r="E822" s="11">
        <v>3</v>
      </c>
      <c r="F822" s="11">
        <v>2</v>
      </c>
      <c r="G822" s="11">
        <v>3</v>
      </c>
    </row>
    <row r="823" spans="1:7" x14ac:dyDescent="0.25">
      <c r="A823" s="11">
        <v>2027</v>
      </c>
      <c r="B823" s="11" t="s">
        <v>5</v>
      </c>
      <c r="C823" s="4">
        <v>10</v>
      </c>
      <c r="D823" s="11">
        <v>4</v>
      </c>
      <c r="E823" s="11">
        <v>1</v>
      </c>
      <c r="F823" s="11">
        <v>3</v>
      </c>
      <c r="G823" s="11">
        <v>1</v>
      </c>
    </row>
    <row r="824" spans="1:7" x14ac:dyDescent="0.25">
      <c r="A824" s="11">
        <v>2027</v>
      </c>
      <c r="B824" s="11" t="s">
        <v>5</v>
      </c>
      <c r="C824" s="4">
        <v>11</v>
      </c>
      <c r="D824" s="11">
        <v>3</v>
      </c>
      <c r="E824" s="11">
        <v>2</v>
      </c>
      <c r="F824" s="11">
        <v>3</v>
      </c>
      <c r="G824" s="11">
        <v>2</v>
      </c>
    </row>
    <row r="825" spans="1:7" x14ac:dyDescent="0.25">
      <c r="A825" s="11">
        <v>2027</v>
      </c>
      <c r="B825" s="11" t="s">
        <v>5</v>
      </c>
      <c r="C825" s="4">
        <v>12</v>
      </c>
      <c r="D825" s="11">
        <v>3</v>
      </c>
      <c r="E825" s="11">
        <v>4</v>
      </c>
      <c r="F825" s="11">
        <v>3</v>
      </c>
      <c r="G825" s="11">
        <v>1</v>
      </c>
    </row>
    <row r="826" spans="1:7" x14ac:dyDescent="0.25">
      <c r="A826" s="11">
        <v>2027</v>
      </c>
      <c r="B826" s="11" t="s">
        <v>5</v>
      </c>
      <c r="C826" s="4">
        <v>13</v>
      </c>
      <c r="D826" s="11">
        <v>3</v>
      </c>
      <c r="E826" s="11">
        <v>2</v>
      </c>
      <c r="F826" s="11">
        <v>4</v>
      </c>
      <c r="G826" s="11">
        <v>2</v>
      </c>
    </row>
    <row r="827" spans="1:7" x14ac:dyDescent="0.25">
      <c r="A827" s="11">
        <v>2027</v>
      </c>
      <c r="B827" s="11" t="s">
        <v>5</v>
      </c>
      <c r="C827" s="4">
        <v>14</v>
      </c>
      <c r="D827" s="11">
        <v>2</v>
      </c>
      <c r="E827" s="11">
        <v>1</v>
      </c>
      <c r="F827" s="11">
        <v>1</v>
      </c>
      <c r="G827" s="11">
        <v>1</v>
      </c>
    </row>
    <row r="828" spans="1:7" x14ac:dyDescent="0.25">
      <c r="A828" s="11">
        <v>2027</v>
      </c>
      <c r="B828" s="11" t="s">
        <v>5</v>
      </c>
      <c r="C828" s="4">
        <v>15</v>
      </c>
      <c r="D828" s="11">
        <v>1</v>
      </c>
      <c r="E828" s="11">
        <v>4</v>
      </c>
      <c r="F828" s="11">
        <v>4</v>
      </c>
      <c r="G828" s="11">
        <v>3</v>
      </c>
    </row>
    <row r="829" spans="1:7" x14ac:dyDescent="0.25">
      <c r="A829" s="11">
        <v>2027</v>
      </c>
      <c r="B829" s="11" t="s">
        <v>5</v>
      </c>
      <c r="C829" s="4">
        <v>16</v>
      </c>
      <c r="D829" s="11">
        <v>2</v>
      </c>
      <c r="E829" s="11">
        <v>1</v>
      </c>
      <c r="F829" s="11">
        <v>2</v>
      </c>
      <c r="G829" s="11">
        <v>3</v>
      </c>
    </row>
    <row r="830" spans="1:7" x14ac:dyDescent="0.25">
      <c r="A830" s="11">
        <v>2027</v>
      </c>
      <c r="B830" s="11" t="s">
        <v>5</v>
      </c>
      <c r="C830" s="4">
        <v>17</v>
      </c>
      <c r="D830" s="11">
        <v>2</v>
      </c>
      <c r="E830" s="11">
        <v>3</v>
      </c>
      <c r="F830" s="11">
        <v>1</v>
      </c>
      <c r="G830" s="11">
        <v>1</v>
      </c>
    </row>
    <row r="831" spans="1:7" x14ac:dyDescent="0.25">
      <c r="A831" s="11">
        <v>2027</v>
      </c>
      <c r="B831" s="11" t="s">
        <v>5</v>
      </c>
      <c r="C831" s="4">
        <v>18</v>
      </c>
      <c r="D831" s="11">
        <v>2</v>
      </c>
      <c r="E831" s="11">
        <v>1</v>
      </c>
      <c r="F831" s="11">
        <v>1</v>
      </c>
      <c r="G831" s="11">
        <v>4</v>
      </c>
    </row>
    <row r="832" spans="1:7" x14ac:dyDescent="0.25">
      <c r="A832" s="11">
        <v>2027</v>
      </c>
      <c r="B832" s="11" t="s">
        <v>5</v>
      </c>
      <c r="C832" s="4">
        <v>19</v>
      </c>
      <c r="D832" s="11">
        <v>1</v>
      </c>
      <c r="E832" s="11">
        <v>1</v>
      </c>
      <c r="F832" s="11">
        <v>4</v>
      </c>
      <c r="G832" s="11">
        <v>1</v>
      </c>
    </row>
    <row r="833" spans="1:7" x14ac:dyDescent="0.25">
      <c r="A833" s="11">
        <v>2027</v>
      </c>
      <c r="B833" s="11" t="s">
        <v>5</v>
      </c>
      <c r="C833" s="4">
        <v>20</v>
      </c>
      <c r="D833" s="11">
        <v>4</v>
      </c>
      <c r="E833" s="11">
        <v>2</v>
      </c>
      <c r="F833" s="11">
        <v>3</v>
      </c>
      <c r="G833" s="11">
        <v>1</v>
      </c>
    </row>
    <row r="834" spans="1:7" x14ac:dyDescent="0.25">
      <c r="A834" s="11">
        <v>2027</v>
      </c>
      <c r="B834" s="11" t="s">
        <v>5</v>
      </c>
      <c r="C834" s="4">
        <v>21</v>
      </c>
      <c r="D834" s="11">
        <v>4</v>
      </c>
      <c r="E834" s="11">
        <v>4</v>
      </c>
      <c r="F834" s="11">
        <v>1</v>
      </c>
      <c r="G834" s="11">
        <v>1</v>
      </c>
    </row>
    <row r="835" spans="1:7" x14ac:dyDescent="0.25">
      <c r="A835" s="11">
        <v>2027</v>
      </c>
      <c r="B835" s="11" t="s">
        <v>5</v>
      </c>
      <c r="C835" s="4">
        <v>22</v>
      </c>
      <c r="D835" s="11">
        <v>4</v>
      </c>
      <c r="E835" s="11">
        <v>2</v>
      </c>
      <c r="F835" s="11">
        <v>2</v>
      </c>
      <c r="G835" s="11">
        <v>2</v>
      </c>
    </row>
    <row r="836" spans="1:7" x14ac:dyDescent="0.25">
      <c r="A836" s="11">
        <v>2027</v>
      </c>
      <c r="B836" s="11" t="s">
        <v>5</v>
      </c>
      <c r="C836" s="4">
        <v>23</v>
      </c>
      <c r="D836" s="11">
        <v>3</v>
      </c>
      <c r="E836" s="11">
        <v>2</v>
      </c>
      <c r="F836" s="11">
        <v>2</v>
      </c>
      <c r="G836" s="11">
        <v>1</v>
      </c>
    </row>
    <row r="837" spans="1:7" x14ac:dyDescent="0.25">
      <c r="A837" s="11">
        <v>2027</v>
      </c>
      <c r="B837" s="11" t="s">
        <v>5</v>
      </c>
      <c r="C837" s="4">
        <v>24</v>
      </c>
      <c r="D837" s="11">
        <v>1</v>
      </c>
      <c r="E837" s="11">
        <v>3</v>
      </c>
      <c r="F837" s="11">
        <v>1</v>
      </c>
      <c r="G837" s="11">
        <v>3</v>
      </c>
    </row>
    <row r="838" spans="1:7" x14ac:dyDescent="0.25">
      <c r="A838" s="11">
        <v>2027</v>
      </c>
      <c r="B838" s="11" t="s">
        <v>5</v>
      </c>
      <c r="C838" s="4">
        <v>25</v>
      </c>
      <c r="D838" s="11">
        <v>1</v>
      </c>
      <c r="E838" s="11">
        <v>1</v>
      </c>
      <c r="F838" s="11">
        <v>2</v>
      </c>
      <c r="G838" s="11">
        <v>4</v>
      </c>
    </row>
    <row r="839" spans="1:7" x14ac:dyDescent="0.25">
      <c r="A839" s="11">
        <v>2027</v>
      </c>
      <c r="B839" s="11" t="s">
        <v>5</v>
      </c>
      <c r="C839" s="4">
        <v>26</v>
      </c>
      <c r="D839" s="11">
        <v>3</v>
      </c>
      <c r="E839" s="11">
        <v>1</v>
      </c>
      <c r="F839" s="11">
        <v>3</v>
      </c>
      <c r="G839" s="11">
        <v>3</v>
      </c>
    </row>
    <row r="840" spans="1:7" x14ac:dyDescent="0.25">
      <c r="A840" s="11">
        <v>2027</v>
      </c>
      <c r="B840" s="11" t="s">
        <v>5</v>
      </c>
      <c r="C840" s="4">
        <v>27</v>
      </c>
      <c r="D840" s="11">
        <v>3</v>
      </c>
      <c r="E840" s="11">
        <v>2</v>
      </c>
      <c r="F840" s="11">
        <v>1</v>
      </c>
      <c r="G840" s="11">
        <v>1</v>
      </c>
    </row>
    <row r="841" spans="1:7" x14ac:dyDescent="0.25">
      <c r="A841" s="11">
        <v>2027</v>
      </c>
      <c r="B841" s="11" t="s">
        <v>5</v>
      </c>
      <c r="C841" s="4">
        <v>28</v>
      </c>
      <c r="D841" s="11">
        <v>1</v>
      </c>
      <c r="E841" s="11">
        <v>1</v>
      </c>
      <c r="F841" s="11">
        <v>2</v>
      </c>
      <c r="G841" s="11">
        <v>4</v>
      </c>
    </row>
    <row r="842" spans="1:7" x14ac:dyDescent="0.25">
      <c r="A842" s="11">
        <v>2027</v>
      </c>
      <c r="B842" s="11" t="s">
        <v>6</v>
      </c>
      <c r="C842" s="4">
        <v>1</v>
      </c>
      <c r="D842" s="11">
        <v>2</v>
      </c>
      <c r="E842" s="11">
        <v>1</v>
      </c>
      <c r="F842" s="11">
        <v>1</v>
      </c>
      <c r="G842" s="11">
        <v>4</v>
      </c>
    </row>
    <row r="843" spans="1:7" x14ac:dyDescent="0.25">
      <c r="A843" s="11">
        <v>2027</v>
      </c>
      <c r="B843" s="11" t="s">
        <v>6</v>
      </c>
      <c r="C843" s="4">
        <v>2</v>
      </c>
      <c r="D843" s="11">
        <v>3</v>
      </c>
      <c r="E843" s="11">
        <v>3</v>
      </c>
      <c r="F843" s="11">
        <v>1</v>
      </c>
      <c r="G843" s="11">
        <v>1</v>
      </c>
    </row>
    <row r="844" spans="1:7" x14ac:dyDescent="0.25">
      <c r="A844" s="11">
        <v>2027</v>
      </c>
      <c r="B844" s="11" t="s">
        <v>6</v>
      </c>
      <c r="C844" s="4">
        <v>3</v>
      </c>
      <c r="D844" s="11">
        <v>1</v>
      </c>
      <c r="E844" s="11">
        <v>3</v>
      </c>
      <c r="F844" s="11">
        <v>4</v>
      </c>
      <c r="G844" s="11">
        <v>2</v>
      </c>
    </row>
    <row r="845" spans="1:7" x14ac:dyDescent="0.25">
      <c r="A845" s="11">
        <v>2027</v>
      </c>
      <c r="B845" s="11" t="s">
        <v>6</v>
      </c>
      <c r="C845" s="4">
        <v>4</v>
      </c>
      <c r="D845" s="11">
        <v>2</v>
      </c>
      <c r="E845" s="11">
        <v>2</v>
      </c>
      <c r="F845" s="11">
        <v>3</v>
      </c>
      <c r="G845" s="11">
        <v>1</v>
      </c>
    </row>
    <row r="846" spans="1:7" x14ac:dyDescent="0.25">
      <c r="A846" s="11">
        <v>2027</v>
      </c>
      <c r="B846" s="11" t="s">
        <v>6</v>
      </c>
      <c r="C846" s="4">
        <v>5</v>
      </c>
      <c r="D846" s="11">
        <v>3</v>
      </c>
      <c r="E846" s="11">
        <v>1</v>
      </c>
      <c r="F846" s="11">
        <v>2</v>
      </c>
      <c r="G846" s="11">
        <v>2</v>
      </c>
    </row>
    <row r="847" spans="1:7" x14ac:dyDescent="0.25">
      <c r="A847" s="11">
        <v>2027</v>
      </c>
      <c r="B847" s="11" t="s">
        <v>6</v>
      </c>
      <c r="C847" s="4">
        <v>6</v>
      </c>
      <c r="D847" s="11">
        <v>1</v>
      </c>
      <c r="E847" s="11">
        <v>1</v>
      </c>
      <c r="F847" s="11">
        <v>2</v>
      </c>
      <c r="G847" s="11">
        <v>1</v>
      </c>
    </row>
    <row r="848" spans="1:7" x14ac:dyDescent="0.25">
      <c r="A848" s="11">
        <v>2027</v>
      </c>
      <c r="B848" s="11" t="s">
        <v>6</v>
      </c>
      <c r="C848" s="4">
        <v>7</v>
      </c>
      <c r="D848" s="11">
        <v>2</v>
      </c>
      <c r="E848" s="11">
        <v>2</v>
      </c>
      <c r="F848" s="11">
        <v>3</v>
      </c>
      <c r="G848" s="11">
        <v>1</v>
      </c>
    </row>
    <row r="849" spans="1:7" x14ac:dyDescent="0.25">
      <c r="A849" s="11">
        <v>2027</v>
      </c>
      <c r="B849" s="11" t="s">
        <v>6</v>
      </c>
      <c r="C849" s="4">
        <v>8</v>
      </c>
      <c r="D849" s="11">
        <v>4</v>
      </c>
      <c r="E849" s="11">
        <v>4</v>
      </c>
      <c r="F849" s="11">
        <v>2</v>
      </c>
      <c r="G849" s="11">
        <v>1</v>
      </c>
    </row>
    <row r="850" spans="1:7" x14ac:dyDescent="0.25">
      <c r="A850" s="11">
        <v>2027</v>
      </c>
      <c r="B850" s="11" t="s">
        <v>6</v>
      </c>
      <c r="C850" s="4">
        <v>9</v>
      </c>
      <c r="D850" s="11">
        <v>1</v>
      </c>
      <c r="E850" s="11">
        <v>3</v>
      </c>
      <c r="F850" s="11">
        <v>2</v>
      </c>
      <c r="G850" s="11">
        <v>3</v>
      </c>
    </row>
    <row r="851" spans="1:7" x14ac:dyDescent="0.25">
      <c r="A851" s="11">
        <v>2027</v>
      </c>
      <c r="B851" s="11" t="s">
        <v>6</v>
      </c>
      <c r="C851" s="4">
        <v>10</v>
      </c>
      <c r="D851" s="11">
        <v>1</v>
      </c>
      <c r="E851" s="11">
        <v>3</v>
      </c>
      <c r="F851" s="11">
        <v>3</v>
      </c>
      <c r="G851" s="11">
        <v>1</v>
      </c>
    </row>
    <row r="852" spans="1:7" x14ac:dyDescent="0.25">
      <c r="A852" s="11">
        <v>2027</v>
      </c>
      <c r="B852" s="11" t="s">
        <v>6</v>
      </c>
      <c r="C852" s="4">
        <v>11</v>
      </c>
      <c r="D852" s="11">
        <v>3</v>
      </c>
      <c r="E852" s="11">
        <v>1</v>
      </c>
      <c r="F852" s="11">
        <v>1</v>
      </c>
      <c r="G852" s="11">
        <v>4</v>
      </c>
    </row>
    <row r="853" spans="1:7" x14ac:dyDescent="0.25">
      <c r="A853" s="11">
        <v>2027</v>
      </c>
      <c r="B853" s="11" t="s">
        <v>6</v>
      </c>
      <c r="C853" s="4">
        <v>12</v>
      </c>
      <c r="D853" s="11">
        <v>2</v>
      </c>
      <c r="E853" s="11">
        <v>2</v>
      </c>
      <c r="F853" s="11">
        <v>1</v>
      </c>
      <c r="G853" s="11">
        <v>1</v>
      </c>
    </row>
    <row r="854" spans="1:7" x14ac:dyDescent="0.25">
      <c r="A854" s="11">
        <v>2027</v>
      </c>
      <c r="B854" s="11" t="s">
        <v>6</v>
      </c>
      <c r="C854" s="4">
        <v>13</v>
      </c>
      <c r="D854" s="11">
        <v>3</v>
      </c>
      <c r="E854" s="11">
        <v>1</v>
      </c>
      <c r="F854" s="11">
        <v>2</v>
      </c>
      <c r="G854" s="11">
        <v>1</v>
      </c>
    </row>
    <row r="855" spans="1:7" x14ac:dyDescent="0.25">
      <c r="A855" s="11">
        <v>2027</v>
      </c>
      <c r="B855" s="11" t="s">
        <v>6</v>
      </c>
      <c r="C855" s="4">
        <v>14</v>
      </c>
      <c r="D855" s="11">
        <v>2</v>
      </c>
      <c r="E855" s="11">
        <v>2</v>
      </c>
      <c r="F855" s="11">
        <v>1</v>
      </c>
      <c r="G855" s="11">
        <v>4</v>
      </c>
    </row>
    <row r="856" spans="1:7" x14ac:dyDescent="0.25">
      <c r="A856" s="11">
        <v>2027</v>
      </c>
      <c r="B856" s="11" t="s">
        <v>6</v>
      </c>
      <c r="C856" s="4">
        <v>15</v>
      </c>
      <c r="D856" s="11">
        <v>1</v>
      </c>
      <c r="E856" s="11">
        <v>4</v>
      </c>
      <c r="F856" s="11">
        <v>3</v>
      </c>
      <c r="G856" s="11">
        <v>2</v>
      </c>
    </row>
    <row r="857" spans="1:7" x14ac:dyDescent="0.25">
      <c r="A857" s="11">
        <v>2027</v>
      </c>
      <c r="B857" s="11" t="s">
        <v>6</v>
      </c>
      <c r="C857" s="4">
        <v>16</v>
      </c>
      <c r="D857" s="11">
        <v>1</v>
      </c>
      <c r="E857" s="11">
        <v>1</v>
      </c>
      <c r="F857" s="11">
        <v>1</v>
      </c>
      <c r="G857" s="11">
        <v>1</v>
      </c>
    </row>
    <row r="858" spans="1:7" x14ac:dyDescent="0.25">
      <c r="A858" s="11">
        <v>2027</v>
      </c>
      <c r="B858" s="11" t="s">
        <v>6</v>
      </c>
      <c r="C858" s="4">
        <v>17</v>
      </c>
      <c r="D858" s="11">
        <v>2</v>
      </c>
      <c r="E858" s="11">
        <v>3</v>
      </c>
      <c r="F858" s="11">
        <v>1</v>
      </c>
      <c r="G858" s="11">
        <v>3</v>
      </c>
    </row>
    <row r="859" spans="1:7" x14ac:dyDescent="0.25">
      <c r="A859" s="11">
        <v>2027</v>
      </c>
      <c r="B859" s="11" t="s">
        <v>6</v>
      </c>
      <c r="C859" s="4">
        <v>18</v>
      </c>
      <c r="D859" s="11">
        <v>3</v>
      </c>
      <c r="E859" s="11">
        <v>4</v>
      </c>
      <c r="F859" s="11">
        <v>3</v>
      </c>
      <c r="G859" s="11">
        <v>1</v>
      </c>
    </row>
    <row r="860" spans="1:7" x14ac:dyDescent="0.25">
      <c r="A860" s="11">
        <v>2027</v>
      </c>
      <c r="B860" s="11" t="s">
        <v>6</v>
      </c>
      <c r="C860" s="4">
        <v>19</v>
      </c>
      <c r="D860" s="11">
        <v>1</v>
      </c>
      <c r="E860" s="11">
        <v>3</v>
      </c>
      <c r="F860" s="11">
        <v>2</v>
      </c>
      <c r="G860" s="11">
        <v>1</v>
      </c>
    </row>
    <row r="861" spans="1:7" x14ac:dyDescent="0.25">
      <c r="A861" s="11">
        <v>2027</v>
      </c>
      <c r="B861" s="11" t="s">
        <v>6</v>
      </c>
      <c r="C861" s="4">
        <v>20</v>
      </c>
      <c r="D861" s="11">
        <v>3</v>
      </c>
      <c r="E861" s="11">
        <v>1</v>
      </c>
      <c r="F861" s="11">
        <v>2</v>
      </c>
      <c r="G861" s="11">
        <v>2</v>
      </c>
    </row>
    <row r="862" spans="1:7" x14ac:dyDescent="0.25">
      <c r="A862" s="11">
        <v>2027</v>
      </c>
      <c r="B862" s="11" t="s">
        <v>6</v>
      </c>
      <c r="C862" s="4">
        <v>21</v>
      </c>
      <c r="D862" s="11">
        <v>2</v>
      </c>
      <c r="E862" s="11">
        <v>4</v>
      </c>
      <c r="F862" s="11">
        <v>2</v>
      </c>
      <c r="G862" s="11">
        <v>2</v>
      </c>
    </row>
    <row r="863" spans="1:7" x14ac:dyDescent="0.25">
      <c r="A863" s="11">
        <v>2027</v>
      </c>
      <c r="B863" s="11" t="s">
        <v>6</v>
      </c>
      <c r="C863" s="4">
        <v>22</v>
      </c>
      <c r="D863" s="11">
        <v>2</v>
      </c>
      <c r="E863" s="11">
        <v>1</v>
      </c>
      <c r="F863" s="11">
        <v>1</v>
      </c>
      <c r="G863" s="11">
        <v>4</v>
      </c>
    </row>
    <row r="864" spans="1:7" x14ac:dyDescent="0.25">
      <c r="A864" s="11">
        <v>2027</v>
      </c>
      <c r="B864" s="11" t="s">
        <v>6</v>
      </c>
      <c r="C864" s="4">
        <v>23</v>
      </c>
      <c r="D864" s="11">
        <v>4</v>
      </c>
      <c r="E864" s="11">
        <v>1</v>
      </c>
      <c r="F864" s="11">
        <v>1</v>
      </c>
      <c r="G864" s="11">
        <v>2</v>
      </c>
    </row>
    <row r="865" spans="1:7" x14ac:dyDescent="0.25">
      <c r="A865" s="11">
        <v>2027</v>
      </c>
      <c r="B865" s="11" t="s">
        <v>6</v>
      </c>
      <c r="C865" s="4">
        <v>24</v>
      </c>
      <c r="D865" s="11">
        <v>2</v>
      </c>
      <c r="E865" s="11">
        <v>1</v>
      </c>
      <c r="F865" s="11">
        <v>2</v>
      </c>
      <c r="G865" s="11">
        <v>1</v>
      </c>
    </row>
    <row r="866" spans="1:7" x14ac:dyDescent="0.25">
      <c r="A866" s="11">
        <v>2027</v>
      </c>
      <c r="B866" s="11" t="s">
        <v>6</v>
      </c>
      <c r="C866" s="4">
        <v>25</v>
      </c>
      <c r="D866" s="11">
        <v>1</v>
      </c>
      <c r="E866" s="11">
        <v>1</v>
      </c>
      <c r="F866" s="11">
        <v>2</v>
      </c>
      <c r="G866" s="11">
        <v>3</v>
      </c>
    </row>
    <row r="867" spans="1:7" x14ac:dyDescent="0.25">
      <c r="A867" s="11">
        <v>2027</v>
      </c>
      <c r="B867" s="11" t="s">
        <v>6</v>
      </c>
      <c r="C867" s="4">
        <v>26</v>
      </c>
      <c r="D867" s="11">
        <v>2</v>
      </c>
      <c r="E867" s="11">
        <v>2</v>
      </c>
      <c r="F867" s="11">
        <v>3</v>
      </c>
      <c r="G867" s="11">
        <v>3</v>
      </c>
    </row>
    <row r="868" spans="1:7" x14ac:dyDescent="0.25">
      <c r="A868" s="11">
        <v>2027</v>
      </c>
      <c r="B868" s="11" t="s">
        <v>6</v>
      </c>
      <c r="C868" s="4">
        <v>27</v>
      </c>
      <c r="D868" s="11">
        <v>1</v>
      </c>
      <c r="E868" s="11">
        <v>3</v>
      </c>
      <c r="F868" s="11">
        <v>1</v>
      </c>
      <c r="G868" s="11">
        <v>1</v>
      </c>
    </row>
    <row r="869" spans="1:7" x14ac:dyDescent="0.25">
      <c r="A869" s="11">
        <v>2027</v>
      </c>
      <c r="B869" s="11" t="s">
        <v>6</v>
      </c>
      <c r="C869" s="4">
        <v>28</v>
      </c>
      <c r="D869" s="11">
        <v>3</v>
      </c>
      <c r="E869" s="11">
        <v>2</v>
      </c>
      <c r="F869" s="11">
        <v>1</v>
      </c>
      <c r="G869" s="11">
        <v>4</v>
      </c>
    </row>
    <row r="870" spans="1:7" x14ac:dyDescent="0.25">
      <c r="A870" s="11">
        <v>2027</v>
      </c>
      <c r="B870" s="11" t="s">
        <v>7</v>
      </c>
      <c r="C870" s="4">
        <v>1</v>
      </c>
      <c r="D870" s="11">
        <v>2</v>
      </c>
      <c r="E870" s="11">
        <v>1</v>
      </c>
      <c r="F870" s="11">
        <v>1</v>
      </c>
      <c r="G870" s="11">
        <v>2</v>
      </c>
    </row>
    <row r="871" spans="1:7" x14ac:dyDescent="0.25">
      <c r="A871" s="11">
        <v>2027</v>
      </c>
      <c r="B871" s="11" t="s">
        <v>7</v>
      </c>
      <c r="C871" s="4">
        <v>2</v>
      </c>
      <c r="D871" s="11">
        <v>2</v>
      </c>
      <c r="E871" s="11">
        <v>3</v>
      </c>
      <c r="F871" s="11">
        <v>1</v>
      </c>
      <c r="G871" s="11">
        <v>1</v>
      </c>
    </row>
    <row r="872" spans="1:7" x14ac:dyDescent="0.25">
      <c r="A872" s="11">
        <v>2027</v>
      </c>
      <c r="B872" s="11" t="s">
        <v>7</v>
      </c>
      <c r="C872" s="4">
        <v>3</v>
      </c>
      <c r="D872" s="11">
        <v>1</v>
      </c>
      <c r="E872" s="11">
        <v>3</v>
      </c>
      <c r="F872" s="11">
        <v>2</v>
      </c>
      <c r="G872" s="11">
        <v>1</v>
      </c>
    </row>
    <row r="873" spans="1:7" x14ac:dyDescent="0.25">
      <c r="A873" s="11">
        <v>2027</v>
      </c>
      <c r="B873" s="11" t="s">
        <v>7</v>
      </c>
      <c r="C873" s="4">
        <v>4</v>
      </c>
      <c r="D873" s="11">
        <v>3</v>
      </c>
      <c r="E873" s="11">
        <v>3</v>
      </c>
      <c r="F873" s="11">
        <v>1</v>
      </c>
      <c r="G873" s="11">
        <v>2</v>
      </c>
    </row>
    <row r="874" spans="1:7" x14ac:dyDescent="0.25">
      <c r="A874" s="11">
        <v>2027</v>
      </c>
      <c r="B874" s="11" t="s">
        <v>7</v>
      </c>
      <c r="C874" s="4">
        <v>5</v>
      </c>
      <c r="D874" s="11">
        <v>1</v>
      </c>
      <c r="E874" s="11">
        <v>1</v>
      </c>
      <c r="F874" s="11">
        <v>3</v>
      </c>
      <c r="G874" s="11">
        <v>3</v>
      </c>
    </row>
    <row r="875" spans="1:7" x14ac:dyDescent="0.25">
      <c r="A875" s="11">
        <v>2027</v>
      </c>
      <c r="B875" s="11" t="s">
        <v>7</v>
      </c>
      <c r="C875" s="4">
        <v>6</v>
      </c>
      <c r="D875" s="11">
        <v>2</v>
      </c>
      <c r="E875" s="11">
        <v>2</v>
      </c>
      <c r="F875" s="11">
        <v>3</v>
      </c>
      <c r="G875" s="11">
        <v>1</v>
      </c>
    </row>
    <row r="876" spans="1:7" x14ac:dyDescent="0.25">
      <c r="A876" s="11">
        <v>2027</v>
      </c>
      <c r="B876" s="11" t="s">
        <v>7</v>
      </c>
      <c r="C876" s="4">
        <v>7</v>
      </c>
      <c r="D876" s="11">
        <v>1</v>
      </c>
      <c r="E876" s="11">
        <v>1</v>
      </c>
      <c r="F876" s="11">
        <v>3</v>
      </c>
      <c r="G876" s="11">
        <v>1</v>
      </c>
    </row>
    <row r="877" spans="1:7" x14ac:dyDescent="0.25">
      <c r="A877" s="11">
        <v>2027</v>
      </c>
      <c r="B877" s="11" t="s">
        <v>7</v>
      </c>
      <c r="C877" s="4">
        <v>8</v>
      </c>
      <c r="D877" s="11">
        <v>2</v>
      </c>
      <c r="E877" s="11">
        <v>3</v>
      </c>
      <c r="F877" s="11">
        <v>1</v>
      </c>
      <c r="G877" s="11">
        <v>1</v>
      </c>
    </row>
    <row r="878" spans="1:7" x14ac:dyDescent="0.25">
      <c r="A878" s="11">
        <v>2027</v>
      </c>
      <c r="B878" s="11" t="s">
        <v>7</v>
      </c>
      <c r="C878" s="4">
        <v>9</v>
      </c>
      <c r="D878" s="11">
        <v>1</v>
      </c>
      <c r="E878" s="11">
        <v>4</v>
      </c>
      <c r="F878" s="11">
        <v>3</v>
      </c>
      <c r="G878" s="11">
        <v>2</v>
      </c>
    </row>
    <row r="879" spans="1:7" x14ac:dyDescent="0.25">
      <c r="A879" s="11">
        <v>2027</v>
      </c>
      <c r="B879" s="11" t="s">
        <v>7</v>
      </c>
      <c r="C879" s="4">
        <v>10</v>
      </c>
      <c r="D879" s="11">
        <v>1</v>
      </c>
      <c r="E879" s="11">
        <v>2</v>
      </c>
      <c r="F879" s="11">
        <v>2</v>
      </c>
      <c r="G879" s="11">
        <v>3</v>
      </c>
    </row>
    <row r="880" spans="1:7" x14ac:dyDescent="0.25">
      <c r="A880" s="11">
        <v>2027</v>
      </c>
      <c r="B880" s="11" t="s">
        <v>7</v>
      </c>
      <c r="C880" s="4">
        <v>11</v>
      </c>
      <c r="D880" s="11">
        <v>2</v>
      </c>
      <c r="E880" s="11">
        <v>1</v>
      </c>
      <c r="F880" s="11">
        <v>2</v>
      </c>
      <c r="G880" s="11">
        <v>1</v>
      </c>
    </row>
    <row r="881" spans="1:7" x14ac:dyDescent="0.25">
      <c r="A881" s="11">
        <v>2027</v>
      </c>
      <c r="B881" s="11" t="s">
        <v>7</v>
      </c>
      <c r="C881" s="4">
        <v>12</v>
      </c>
      <c r="D881" s="11">
        <v>1</v>
      </c>
      <c r="E881" s="11">
        <v>4</v>
      </c>
      <c r="F881" s="11">
        <v>3</v>
      </c>
      <c r="G881" s="11">
        <v>1</v>
      </c>
    </row>
    <row r="882" spans="1:7" x14ac:dyDescent="0.25">
      <c r="A882" s="11">
        <v>2027</v>
      </c>
      <c r="B882" s="11" t="s">
        <v>7</v>
      </c>
      <c r="C882" s="4">
        <v>13</v>
      </c>
      <c r="D882" s="11">
        <v>1</v>
      </c>
      <c r="E882" s="11">
        <v>1</v>
      </c>
      <c r="F882" s="11">
        <v>1</v>
      </c>
      <c r="G882" s="11">
        <v>2</v>
      </c>
    </row>
    <row r="883" spans="1:7" x14ac:dyDescent="0.25">
      <c r="A883" s="11">
        <v>2027</v>
      </c>
      <c r="B883" s="11" t="s">
        <v>7</v>
      </c>
      <c r="C883" s="4">
        <v>14</v>
      </c>
      <c r="D883" s="11">
        <v>4</v>
      </c>
      <c r="E883" s="11">
        <v>1</v>
      </c>
      <c r="F883" s="11">
        <v>2</v>
      </c>
      <c r="G883" s="11">
        <v>2</v>
      </c>
    </row>
    <row r="884" spans="1:7" x14ac:dyDescent="0.25">
      <c r="A884" s="11">
        <v>2027</v>
      </c>
      <c r="B884" s="11" t="s">
        <v>7</v>
      </c>
      <c r="C884" s="4">
        <v>15</v>
      </c>
      <c r="D884" s="11">
        <v>4</v>
      </c>
      <c r="E884" s="11">
        <v>1</v>
      </c>
      <c r="F884" s="11">
        <v>1</v>
      </c>
      <c r="G884" s="11">
        <v>3</v>
      </c>
    </row>
    <row r="885" spans="1:7" x14ac:dyDescent="0.25">
      <c r="A885" s="11">
        <v>2027</v>
      </c>
      <c r="B885" s="11" t="s">
        <v>7</v>
      </c>
      <c r="C885" s="4">
        <v>16</v>
      </c>
      <c r="D885" s="11">
        <v>1</v>
      </c>
      <c r="E885" s="11">
        <v>1</v>
      </c>
      <c r="F885" s="11">
        <v>1</v>
      </c>
      <c r="G885" s="11">
        <v>1</v>
      </c>
    </row>
    <row r="886" spans="1:7" x14ac:dyDescent="0.25">
      <c r="A886" s="11">
        <v>2027</v>
      </c>
      <c r="B886" s="11" t="s">
        <v>7</v>
      </c>
      <c r="C886" s="4">
        <v>17</v>
      </c>
      <c r="D886" s="11">
        <v>1</v>
      </c>
      <c r="E886" s="11">
        <v>2</v>
      </c>
      <c r="F886" s="11">
        <v>1</v>
      </c>
      <c r="G886" s="11">
        <v>2</v>
      </c>
    </row>
    <row r="887" spans="1:7" x14ac:dyDescent="0.25">
      <c r="A887" s="11">
        <v>2027</v>
      </c>
      <c r="B887" s="11" t="s">
        <v>7</v>
      </c>
      <c r="C887" s="4">
        <v>18</v>
      </c>
      <c r="D887" s="11">
        <v>1</v>
      </c>
      <c r="E887" s="11">
        <v>3</v>
      </c>
      <c r="F887" s="11">
        <v>1</v>
      </c>
      <c r="G887" s="11">
        <v>3</v>
      </c>
    </row>
    <row r="888" spans="1:7" x14ac:dyDescent="0.25">
      <c r="A888" s="11">
        <v>2027</v>
      </c>
      <c r="B888" s="11" t="s">
        <v>7</v>
      </c>
      <c r="C888" s="4">
        <v>19</v>
      </c>
      <c r="D888" s="11">
        <v>1</v>
      </c>
      <c r="E888" s="11">
        <v>1</v>
      </c>
      <c r="F888" s="11">
        <v>3</v>
      </c>
      <c r="G888" s="11">
        <v>4</v>
      </c>
    </row>
    <row r="889" spans="1:7" x14ac:dyDescent="0.25">
      <c r="A889" s="11">
        <v>2027</v>
      </c>
      <c r="B889" s="11" t="s">
        <v>7</v>
      </c>
      <c r="C889" s="4">
        <v>20</v>
      </c>
      <c r="D889" s="11">
        <v>1</v>
      </c>
      <c r="E889" s="11">
        <v>3</v>
      </c>
      <c r="F889" s="11">
        <v>2</v>
      </c>
      <c r="G889" s="11">
        <v>1</v>
      </c>
    </row>
    <row r="890" spans="1:7" x14ac:dyDescent="0.25">
      <c r="A890" s="11">
        <v>2027</v>
      </c>
      <c r="B890" s="11" t="s">
        <v>7</v>
      </c>
      <c r="C890" s="4">
        <v>21</v>
      </c>
      <c r="D890" s="11">
        <v>3</v>
      </c>
      <c r="E890" s="11">
        <v>1</v>
      </c>
      <c r="F890" s="11">
        <v>2</v>
      </c>
      <c r="G890" s="11">
        <v>2</v>
      </c>
    </row>
    <row r="891" spans="1:7" x14ac:dyDescent="0.25">
      <c r="A891" s="11">
        <v>2027</v>
      </c>
      <c r="B891" s="11" t="s">
        <v>7</v>
      </c>
      <c r="C891" s="4">
        <v>22</v>
      </c>
      <c r="D891" s="11">
        <v>1</v>
      </c>
      <c r="E891" s="11">
        <v>2</v>
      </c>
      <c r="F891" s="11">
        <v>1</v>
      </c>
      <c r="G891" s="11">
        <v>1</v>
      </c>
    </row>
    <row r="892" spans="1:7" x14ac:dyDescent="0.25">
      <c r="A892" s="11">
        <v>2027</v>
      </c>
      <c r="B892" s="11" t="s">
        <v>7</v>
      </c>
      <c r="C892" s="4">
        <v>23</v>
      </c>
      <c r="D892" s="11">
        <v>2</v>
      </c>
      <c r="E892" s="11">
        <v>3</v>
      </c>
      <c r="F892" s="11">
        <v>2</v>
      </c>
      <c r="G892" s="11">
        <v>2</v>
      </c>
    </row>
    <row r="893" spans="1:7" x14ac:dyDescent="0.25">
      <c r="A893" s="11">
        <v>2027</v>
      </c>
      <c r="B893" s="11" t="s">
        <v>7</v>
      </c>
      <c r="C893" s="4">
        <v>24</v>
      </c>
      <c r="D893" s="11">
        <v>2</v>
      </c>
      <c r="E893" s="11">
        <v>2</v>
      </c>
      <c r="F893" s="11">
        <v>3</v>
      </c>
      <c r="G893" s="11">
        <v>1</v>
      </c>
    </row>
    <row r="894" spans="1:7" x14ac:dyDescent="0.25">
      <c r="A894" s="11">
        <v>2027</v>
      </c>
      <c r="B894" s="11" t="s">
        <v>7</v>
      </c>
      <c r="C894" s="4">
        <v>25</v>
      </c>
      <c r="D894" s="11">
        <v>3</v>
      </c>
      <c r="E894" s="11">
        <v>3</v>
      </c>
      <c r="F894" s="11">
        <v>4</v>
      </c>
      <c r="G894" s="11">
        <v>2</v>
      </c>
    </row>
    <row r="895" spans="1:7" x14ac:dyDescent="0.25">
      <c r="A895" s="11">
        <v>2027</v>
      </c>
      <c r="B895" s="11" t="s">
        <v>7</v>
      </c>
      <c r="C895" s="4">
        <v>26</v>
      </c>
      <c r="D895" s="11">
        <v>2</v>
      </c>
      <c r="E895" s="11">
        <v>1</v>
      </c>
      <c r="F895" s="11">
        <v>1</v>
      </c>
      <c r="G895" s="11">
        <v>3</v>
      </c>
    </row>
    <row r="896" spans="1:7" x14ac:dyDescent="0.25">
      <c r="A896" s="11">
        <v>2027</v>
      </c>
      <c r="B896" s="11" t="s">
        <v>7</v>
      </c>
      <c r="C896" s="4">
        <v>27</v>
      </c>
      <c r="D896" s="11">
        <v>1</v>
      </c>
      <c r="E896" s="11">
        <v>1</v>
      </c>
      <c r="F896" s="11">
        <v>2</v>
      </c>
      <c r="G896" s="11">
        <v>2</v>
      </c>
    </row>
    <row r="897" spans="1:7" x14ac:dyDescent="0.25">
      <c r="A897" s="11">
        <v>2027</v>
      </c>
      <c r="B897" s="11" t="s">
        <v>7</v>
      </c>
      <c r="C897" s="4">
        <v>28</v>
      </c>
      <c r="D897" s="11">
        <v>1</v>
      </c>
      <c r="E897" s="11">
        <v>2</v>
      </c>
      <c r="F897" s="11">
        <v>2</v>
      </c>
      <c r="G897" s="11">
        <v>2</v>
      </c>
    </row>
    <row r="898" spans="1:7" x14ac:dyDescent="0.25">
      <c r="A898" s="11">
        <v>2027</v>
      </c>
      <c r="B898" s="11" t="s">
        <v>8</v>
      </c>
      <c r="C898" s="4">
        <v>1</v>
      </c>
      <c r="D898" s="11">
        <v>1</v>
      </c>
      <c r="E898" s="11">
        <v>1</v>
      </c>
      <c r="F898" s="11">
        <v>4</v>
      </c>
      <c r="G898" s="11">
        <v>1</v>
      </c>
    </row>
    <row r="899" spans="1:7" x14ac:dyDescent="0.25">
      <c r="A899" s="11">
        <v>2027</v>
      </c>
      <c r="B899" s="11" t="s">
        <v>8</v>
      </c>
      <c r="C899" s="4">
        <v>2</v>
      </c>
      <c r="D899" s="11">
        <v>2</v>
      </c>
      <c r="E899" s="11">
        <v>2</v>
      </c>
      <c r="F899" s="11">
        <v>2</v>
      </c>
      <c r="G899" s="11">
        <v>1</v>
      </c>
    </row>
    <row r="900" spans="1:7" x14ac:dyDescent="0.25">
      <c r="A900" s="11">
        <v>2027</v>
      </c>
      <c r="B900" s="11" t="s">
        <v>8</v>
      </c>
      <c r="C900" s="4">
        <v>3</v>
      </c>
      <c r="D900" s="11">
        <v>3</v>
      </c>
      <c r="E900" s="11">
        <v>1</v>
      </c>
      <c r="F900" s="11">
        <v>2</v>
      </c>
      <c r="G900" s="11">
        <v>1</v>
      </c>
    </row>
    <row r="901" spans="1:7" x14ac:dyDescent="0.25">
      <c r="A901" s="11">
        <v>2027</v>
      </c>
      <c r="B901" s="11" t="s">
        <v>8</v>
      </c>
      <c r="C901" s="4">
        <v>4</v>
      </c>
      <c r="D901" s="11">
        <v>2</v>
      </c>
      <c r="E901" s="11">
        <v>4</v>
      </c>
      <c r="F901" s="11">
        <v>4</v>
      </c>
      <c r="G901" s="11">
        <v>4</v>
      </c>
    </row>
    <row r="902" spans="1:7" x14ac:dyDescent="0.25">
      <c r="A902" s="11">
        <v>2027</v>
      </c>
      <c r="B902" s="11" t="s">
        <v>8</v>
      </c>
      <c r="C902" s="4">
        <v>5</v>
      </c>
      <c r="D902" s="11">
        <v>1</v>
      </c>
      <c r="E902" s="11">
        <v>2</v>
      </c>
      <c r="F902" s="11">
        <v>4</v>
      </c>
      <c r="G902" s="11">
        <v>2</v>
      </c>
    </row>
    <row r="903" spans="1:7" x14ac:dyDescent="0.25">
      <c r="A903" s="11">
        <v>2027</v>
      </c>
      <c r="B903" s="11" t="s">
        <v>8</v>
      </c>
      <c r="C903" s="4">
        <v>6</v>
      </c>
      <c r="D903" s="11">
        <v>1</v>
      </c>
      <c r="E903" s="11">
        <v>3</v>
      </c>
      <c r="F903" s="11">
        <v>1</v>
      </c>
      <c r="G903" s="11">
        <v>2</v>
      </c>
    </row>
    <row r="904" spans="1:7" x14ac:dyDescent="0.25">
      <c r="A904" s="11">
        <v>2027</v>
      </c>
      <c r="B904" s="11" t="s">
        <v>8</v>
      </c>
      <c r="C904" s="4">
        <v>7</v>
      </c>
      <c r="D904" s="11">
        <v>3</v>
      </c>
      <c r="E904" s="11">
        <v>3</v>
      </c>
      <c r="F904" s="11">
        <v>2</v>
      </c>
      <c r="G904" s="11">
        <v>2</v>
      </c>
    </row>
    <row r="905" spans="1:7" x14ac:dyDescent="0.25">
      <c r="A905" s="11">
        <v>2027</v>
      </c>
      <c r="B905" s="11" t="s">
        <v>8</v>
      </c>
      <c r="C905" s="4">
        <v>8</v>
      </c>
      <c r="D905" s="11">
        <v>1</v>
      </c>
      <c r="E905" s="11">
        <v>2</v>
      </c>
      <c r="F905" s="11">
        <v>2</v>
      </c>
      <c r="G905" s="11">
        <v>3</v>
      </c>
    </row>
    <row r="906" spans="1:7" x14ac:dyDescent="0.25">
      <c r="A906" s="11">
        <v>2027</v>
      </c>
      <c r="B906" s="11" t="s">
        <v>8</v>
      </c>
      <c r="C906" s="4">
        <v>9</v>
      </c>
      <c r="D906" s="11">
        <v>4</v>
      </c>
      <c r="E906" s="11">
        <v>1</v>
      </c>
      <c r="F906" s="11">
        <v>1</v>
      </c>
      <c r="G906" s="11">
        <v>2</v>
      </c>
    </row>
    <row r="907" spans="1:7" x14ac:dyDescent="0.25">
      <c r="A907" s="11">
        <v>2027</v>
      </c>
      <c r="B907" s="11" t="s">
        <v>8</v>
      </c>
      <c r="C907" s="4">
        <v>10</v>
      </c>
      <c r="D907" s="11">
        <v>1</v>
      </c>
      <c r="E907" s="11">
        <v>1</v>
      </c>
      <c r="F907" s="11">
        <v>1</v>
      </c>
      <c r="G907" s="11">
        <v>2</v>
      </c>
    </row>
    <row r="908" spans="1:7" x14ac:dyDescent="0.25">
      <c r="A908" s="11">
        <v>2027</v>
      </c>
      <c r="B908" s="11" t="s">
        <v>8</v>
      </c>
      <c r="C908" s="4">
        <v>11</v>
      </c>
      <c r="D908" s="11">
        <v>1</v>
      </c>
      <c r="E908" s="11">
        <v>1</v>
      </c>
      <c r="F908" s="11">
        <v>2</v>
      </c>
      <c r="G908" s="11">
        <v>1</v>
      </c>
    </row>
    <row r="909" spans="1:7" x14ac:dyDescent="0.25">
      <c r="A909" s="11">
        <v>2027</v>
      </c>
      <c r="B909" s="11" t="s">
        <v>8</v>
      </c>
      <c r="C909" s="4">
        <v>12</v>
      </c>
      <c r="D909" s="11">
        <v>4</v>
      </c>
      <c r="E909" s="11">
        <v>2</v>
      </c>
      <c r="F909" s="11">
        <v>4</v>
      </c>
      <c r="G909" s="11">
        <v>4</v>
      </c>
    </row>
    <row r="910" spans="1:7" x14ac:dyDescent="0.25">
      <c r="A910" s="11">
        <v>2027</v>
      </c>
      <c r="B910" s="11" t="s">
        <v>8</v>
      </c>
      <c r="C910" s="4">
        <v>13</v>
      </c>
      <c r="D910" s="11">
        <v>1</v>
      </c>
      <c r="E910" s="11">
        <v>2</v>
      </c>
      <c r="F910" s="11">
        <v>1</v>
      </c>
      <c r="G910" s="11">
        <v>1</v>
      </c>
    </row>
    <row r="911" spans="1:7" x14ac:dyDescent="0.25">
      <c r="A911" s="11">
        <v>2027</v>
      </c>
      <c r="B911" s="11" t="s">
        <v>8</v>
      </c>
      <c r="C911" s="4">
        <v>14</v>
      </c>
      <c r="D911" s="11">
        <v>4</v>
      </c>
      <c r="E911" s="11">
        <v>2</v>
      </c>
      <c r="F911" s="11">
        <v>3</v>
      </c>
      <c r="G911" s="11">
        <v>2</v>
      </c>
    </row>
    <row r="912" spans="1:7" x14ac:dyDescent="0.25">
      <c r="A912" s="11">
        <v>2027</v>
      </c>
      <c r="B912" s="11" t="s">
        <v>8</v>
      </c>
      <c r="C912" s="4">
        <v>15</v>
      </c>
      <c r="D912" s="11">
        <v>2</v>
      </c>
      <c r="E912" s="11">
        <v>2</v>
      </c>
      <c r="F912" s="11">
        <v>2</v>
      </c>
      <c r="G912" s="11">
        <v>2</v>
      </c>
    </row>
    <row r="913" spans="1:7" x14ac:dyDescent="0.25">
      <c r="A913" s="11">
        <v>2027</v>
      </c>
      <c r="B913" s="11" t="s">
        <v>8</v>
      </c>
      <c r="C913" s="4">
        <v>16</v>
      </c>
      <c r="D913" s="11">
        <v>2</v>
      </c>
      <c r="E913" s="11">
        <v>2</v>
      </c>
      <c r="F913" s="11">
        <v>4</v>
      </c>
      <c r="G913" s="11">
        <v>4</v>
      </c>
    </row>
    <row r="914" spans="1:7" x14ac:dyDescent="0.25">
      <c r="A914" s="11">
        <v>2027</v>
      </c>
      <c r="B914" s="11" t="s">
        <v>8</v>
      </c>
      <c r="C914" s="4">
        <v>17</v>
      </c>
      <c r="D914" s="11">
        <v>3</v>
      </c>
      <c r="E914" s="11">
        <v>2</v>
      </c>
      <c r="F914" s="11">
        <v>3</v>
      </c>
      <c r="G914" s="11">
        <v>1</v>
      </c>
    </row>
    <row r="915" spans="1:7" x14ac:dyDescent="0.25">
      <c r="A915" s="11">
        <v>2027</v>
      </c>
      <c r="B915" s="11" t="s">
        <v>8</v>
      </c>
      <c r="C915" s="4">
        <v>18</v>
      </c>
      <c r="D915" s="11">
        <v>1</v>
      </c>
      <c r="E915" s="11">
        <v>2</v>
      </c>
      <c r="F915" s="11">
        <v>1</v>
      </c>
      <c r="G915" s="11">
        <v>1</v>
      </c>
    </row>
    <row r="916" spans="1:7" x14ac:dyDescent="0.25">
      <c r="A916" s="11">
        <v>2027</v>
      </c>
      <c r="B916" s="11" t="s">
        <v>8</v>
      </c>
      <c r="C916" s="4">
        <v>19</v>
      </c>
      <c r="D916" s="11">
        <v>4</v>
      </c>
      <c r="E916" s="11">
        <v>1</v>
      </c>
      <c r="F916" s="11">
        <v>2</v>
      </c>
      <c r="G916" s="11">
        <v>1</v>
      </c>
    </row>
    <row r="917" spans="1:7" x14ac:dyDescent="0.25">
      <c r="A917" s="11">
        <v>2027</v>
      </c>
      <c r="B917" s="11" t="s">
        <v>8</v>
      </c>
      <c r="C917" s="4">
        <v>20</v>
      </c>
      <c r="D917" s="11">
        <v>2</v>
      </c>
      <c r="E917" s="11">
        <v>2</v>
      </c>
      <c r="F917" s="11">
        <v>1</v>
      </c>
      <c r="G917" s="11">
        <v>2</v>
      </c>
    </row>
    <row r="918" spans="1:7" x14ac:dyDescent="0.25">
      <c r="A918" s="11">
        <v>2027</v>
      </c>
      <c r="B918" s="11" t="s">
        <v>8</v>
      </c>
      <c r="C918" s="4">
        <v>21</v>
      </c>
      <c r="D918" s="11">
        <v>4</v>
      </c>
      <c r="E918" s="11">
        <v>1</v>
      </c>
      <c r="F918" s="11">
        <v>1</v>
      </c>
      <c r="G918" s="11">
        <v>1</v>
      </c>
    </row>
    <row r="919" spans="1:7" x14ac:dyDescent="0.25">
      <c r="A919" s="11">
        <v>2027</v>
      </c>
      <c r="B919" s="11" t="s">
        <v>8</v>
      </c>
      <c r="C919" s="4">
        <v>22</v>
      </c>
      <c r="D919" s="11">
        <v>1</v>
      </c>
      <c r="E919" s="11">
        <v>2</v>
      </c>
      <c r="F919" s="11">
        <v>3</v>
      </c>
      <c r="G919" s="11">
        <v>1</v>
      </c>
    </row>
    <row r="920" spans="1:7" x14ac:dyDescent="0.25">
      <c r="A920" s="11">
        <v>2027</v>
      </c>
      <c r="B920" s="11" t="s">
        <v>8</v>
      </c>
      <c r="C920" s="4">
        <v>23</v>
      </c>
      <c r="D920" s="11">
        <v>1</v>
      </c>
      <c r="E920" s="11">
        <v>1</v>
      </c>
      <c r="F920" s="11">
        <v>2</v>
      </c>
      <c r="G920" s="11">
        <v>2</v>
      </c>
    </row>
    <row r="921" spans="1:7" x14ac:dyDescent="0.25">
      <c r="A921" s="11">
        <v>2027</v>
      </c>
      <c r="B921" s="11" t="s">
        <v>8</v>
      </c>
      <c r="C921" s="4">
        <v>24</v>
      </c>
      <c r="D921" s="11">
        <v>1</v>
      </c>
      <c r="E921" s="11">
        <v>3</v>
      </c>
      <c r="F921" s="11">
        <v>1</v>
      </c>
      <c r="G921" s="11">
        <v>2</v>
      </c>
    </row>
    <row r="922" spans="1:7" x14ac:dyDescent="0.25">
      <c r="A922" s="11">
        <v>2027</v>
      </c>
      <c r="B922" s="11" t="s">
        <v>8</v>
      </c>
      <c r="C922" s="4">
        <v>25</v>
      </c>
      <c r="D922" s="11">
        <v>1</v>
      </c>
      <c r="E922" s="11">
        <v>1</v>
      </c>
      <c r="F922" s="11">
        <v>3</v>
      </c>
      <c r="G922" s="11">
        <v>3</v>
      </c>
    </row>
    <row r="923" spans="1:7" x14ac:dyDescent="0.25">
      <c r="A923" s="11">
        <v>2027</v>
      </c>
      <c r="B923" s="11" t="s">
        <v>8</v>
      </c>
      <c r="C923" s="4">
        <v>26</v>
      </c>
      <c r="D923" s="11">
        <v>2</v>
      </c>
      <c r="E923" s="11">
        <v>2</v>
      </c>
      <c r="F923" s="11">
        <v>1</v>
      </c>
      <c r="G923" s="11">
        <v>2</v>
      </c>
    </row>
    <row r="924" spans="1:7" x14ac:dyDescent="0.25">
      <c r="A924" s="11">
        <v>2027</v>
      </c>
      <c r="B924" s="11" t="s">
        <v>8</v>
      </c>
      <c r="C924" s="4">
        <v>27</v>
      </c>
      <c r="D924" s="11">
        <v>2</v>
      </c>
      <c r="E924" s="11">
        <v>2</v>
      </c>
      <c r="F924" s="11">
        <v>1</v>
      </c>
      <c r="G924" s="11">
        <v>1</v>
      </c>
    </row>
    <row r="925" spans="1:7" x14ac:dyDescent="0.25">
      <c r="A925" s="11">
        <v>2027</v>
      </c>
      <c r="B925" s="11" t="s">
        <v>8</v>
      </c>
      <c r="C925" s="4">
        <v>28</v>
      </c>
      <c r="D925" s="11">
        <v>1</v>
      </c>
      <c r="E925" s="11">
        <v>3</v>
      </c>
      <c r="F925" s="11">
        <v>1</v>
      </c>
      <c r="G925" s="11">
        <v>3</v>
      </c>
    </row>
    <row r="926" spans="1:7" x14ac:dyDescent="0.25">
      <c r="A926" s="11">
        <v>2027</v>
      </c>
      <c r="B926" s="11" t="s">
        <v>9</v>
      </c>
      <c r="C926" s="4">
        <v>1</v>
      </c>
      <c r="D926" s="11">
        <v>2</v>
      </c>
      <c r="E926" s="11">
        <v>2</v>
      </c>
      <c r="F926" s="11">
        <v>1</v>
      </c>
      <c r="G926" s="11">
        <v>1</v>
      </c>
    </row>
    <row r="927" spans="1:7" x14ac:dyDescent="0.25">
      <c r="A927" s="11">
        <v>2027</v>
      </c>
      <c r="B927" s="11" t="s">
        <v>9</v>
      </c>
      <c r="C927" s="4">
        <v>2</v>
      </c>
      <c r="D927" s="11">
        <v>1</v>
      </c>
      <c r="E927" s="11">
        <v>1</v>
      </c>
      <c r="F927" s="11">
        <v>2</v>
      </c>
      <c r="G927" s="11">
        <v>1</v>
      </c>
    </row>
    <row r="928" spans="1:7" x14ac:dyDescent="0.25">
      <c r="A928" s="11">
        <v>2027</v>
      </c>
      <c r="B928" s="11" t="s">
        <v>9</v>
      </c>
      <c r="C928" s="4">
        <v>3</v>
      </c>
      <c r="D928" s="11">
        <v>3</v>
      </c>
      <c r="E928" s="11">
        <v>3</v>
      </c>
      <c r="F928" s="11">
        <v>1</v>
      </c>
      <c r="G928" s="11">
        <v>1</v>
      </c>
    </row>
    <row r="929" spans="1:7" x14ac:dyDescent="0.25">
      <c r="A929" s="11">
        <v>2027</v>
      </c>
      <c r="B929" s="11" t="s">
        <v>9</v>
      </c>
      <c r="C929" s="4">
        <v>4</v>
      </c>
      <c r="D929" s="11">
        <v>2</v>
      </c>
      <c r="E929" s="11">
        <v>1</v>
      </c>
      <c r="F929" s="11">
        <v>4</v>
      </c>
      <c r="G929" s="11">
        <v>3</v>
      </c>
    </row>
    <row r="930" spans="1:7" x14ac:dyDescent="0.25">
      <c r="A930" s="11">
        <v>2027</v>
      </c>
      <c r="B930" s="11" t="s">
        <v>9</v>
      </c>
      <c r="C930" s="4">
        <v>5</v>
      </c>
      <c r="D930" s="11">
        <v>3</v>
      </c>
      <c r="E930" s="11">
        <v>2</v>
      </c>
      <c r="F930" s="11">
        <v>2</v>
      </c>
      <c r="G930" s="11">
        <v>1</v>
      </c>
    </row>
    <row r="931" spans="1:7" x14ac:dyDescent="0.25">
      <c r="A931" s="11">
        <v>2027</v>
      </c>
      <c r="B931" s="11" t="s">
        <v>9</v>
      </c>
      <c r="C931" s="4">
        <v>6</v>
      </c>
      <c r="D931" s="11">
        <v>1</v>
      </c>
      <c r="E931" s="11">
        <v>1</v>
      </c>
      <c r="F931" s="11">
        <v>1</v>
      </c>
      <c r="G931" s="11">
        <v>1</v>
      </c>
    </row>
    <row r="932" spans="1:7" x14ac:dyDescent="0.25">
      <c r="A932" s="11">
        <v>2027</v>
      </c>
      <c r="B932" s="11" t="s">
        <v>9</v>
      </c>
      <c r="C932" s="4">
        <v>7</v>
      </c>
      <c r="D932" s="11">
        <v>2</v>
      </c>
      <c r="E932" s="11">
        <v>1</v>
      </c>
      <c r="F932" s="11">
        <v>1</v>
      </c>
      <c r="G932" s="11">
        <v>4</v>
      </c>
    </row>
    <row r="933" spans="1:7" x14ac:dyDescent="0.25">
      <c r="A933" s="11">
        <v>2027</v>
      </c>
      <c r="B933" s="11" t="s">
        <v>9</v>
      </c>
      <c r="C933" s="4">
        <v>8</v>
      </c>
      <c r="D933" s="11">
        <v>2</v>
      </c>
      <c r="E933" s="11">
        <v>2</v>
      </c>
      <c r="F933" s="11">
        <v>3</v>
      </c>
      <c r="G933" s="11">
        <v>3</v>
      </c>
    </row>
    <row r="934" spans="1:7" x14ac:dyDescent="0.25">
      <c r="A934" s="11">
        <v>2027</v>
      </c>
      <c r="B934" s="11" t="s">
        <v>9</v>
      </c>
      <c r="C934" s="4">
        <v>9</v>
      </c>
      <c r="D934" s="11">
        <v>2</v>
      </c>
      <c r="E934" s="11">
        <v>3</v>
      </c>
      <c r="F934" s="11">
        <v>3</v>
      </c>
      <c r="G934" s="11">
        <v>1</v>
      </c>
    </row>
    <row r="935" spans="1:7" x14ac:dyDescent="0.25">
      <c r="A935" s="11">
        <v>2027</v>
      </c>
      <c r="B935" s="11" t="s">
        <v>9</v>
      </c>
      <c r="C935" s="4">
        <v>10</v>
      </c>
      <c r="D935" s="11">
        <v>1</v>
      </c>
      <c r="E935" s="11">
        <v>1</v>
      </c>
      <c r="F935" s="11">
        <v>2</v>
      </c>
      <c r="G935" s="11">
        <v>3</v>
      </c>
    </row>
    <row r="936" spans="1:7" x14ac:dyDescent="0.25">
      <c r="A936" s="11">
        <v>2027</v>
      </c>
      <c r="B936" s="11" t="s">
        <v>9</v>
      </c>
      <c r="C936" s="4">
        <v>11</v>
      </c>
      <c r="D936" s="11">
        <v>1</v>
      </c>
      <c r="E936" s="11">
        <v>4</v>
      </c>
      <c r="F936" s="11">
        <v>2</v>
      </c>
      <c r="G936" s="11">
        <v>1</v>
      </c>
    </row>
    <row r="937" spans="1:7" x14ac:dyDescent="0.25">
      <c r="A937" s="11">
        <v>2027</v>
      </c>
      <c r="B937" s="11" t="s">
        <v>9</v>
      </c>
      <c r="C937" s="4">
        <v>12</v>
      </c>
      <c r="D937" s="11">
        <v>4</v>
      </c>
      <c r="E937" s="11">
        <v>2</v>
      </c>
      <c r="F937" s="11">
        <v>1</v>
      </c>
      <c r="G937" s="11">
        <v>3</v>
      </c>
    </row>
    <row r="938" spans="1:7" x14ac:dyDescent="0.25">
      <c r="A938" s="11">
        <v>2027</v>
      </c>
      <c r="B938" s="11" t="s">
        <v>9</v>
      </c>
      <c r="C938" s="4">
        <v>13</v>
      </c>
      <c r="D938" s="11">
        <v>3</v>
      </c>
      <c r="E938" s="11">
        <v>1</v>
      </c>
      <c r="F938" s="11">
        <v>1</v>
      </c>
      <c r="G938" s="11">
        <v>1</v>
      </c>
    </row>
    <row r="939" spans="1:7" x14ac:dyDescent="0.25">
      <c r="A939" s="11">
        <v>2027</v>
      </c>
      <c r="B939" s="11" t="s">
        <v>9</v>
      </c>
      <c r="C939" s="4">
        <v>14</v>
      </c>
      <c r="D939" s="11">
        <v>2</v>
      </c>
      <c r="E939" s="11">
        <v>1</v>
      </c>
      <c r="F939" s="11">
        <v>3</v>
      </c>
      <c r="G939" s="11">
        <v>1</v>
      </c>
    </row>
    <row r="940" spans="1:7" x14ac:dyDescent="0.25">
      <c r="A940" s="11">
        <v>2027</v>
      </c>
      <c r="B940" s="11" t="s">
        <v>9</v>
      </c>
      <c r="C940" s="4">
        <v>15</v>
      </c>
      <c r="D940" s="11">
        <v>1</v>
      </c>
      <c r="E940" s="11">
        <v>4</v>
      </c>
      <c r="F940" s="11">
        <v>3</v>
      </c>
      <c r="G940" s="11">
        <v>2</v>
      </c>
    </row>
    <row r="941" spans="1:7" x14ac:dyDescent="0.25">
      <c r="A941" s="11">
        <v>2027</v>
      </c>
      <c r="B941" s="11" t="s">
        <v>9</v>
      </c>
      <c r="C941" s="4">
        <v>16</v>
      </c>
      <c r="D941" s="11">
        <v>3</v>
      </c>
      <c r="E941" s="11">
        <v>2</v>
      </c>
      <c r="F941" s="11">
        <v>1</v>
      </c>
      <c r="G941" s="11">
        <v>3</v>
      </c>
    </row>
    <row r="942" spans="1:7" x14ac:dyDescent="0.25">
      <c r="A942" s="11">
        <v>2027</v>
      </c>
      <c r="B942" s="11" t="s">
        <v>9</v>
      </c>
      <c r="C942" s="4">
        <v>17</v>
      </c>
      <c r="D942" s="11">
        <v>1</v>
      </c>
      <c r="E942" s="11">
        <v>2</v>
      </c>
      <c r="F942" s="11">
        <v>2</v>
      </c>
      <c r="G942" s="11">
        <v>2</v>
      </c>
    </row>
    <row r="943" spans="1:7" x14ac:dyDescent="0.25">
      <c r="A943" s="11">
        <v>2027</v>
      </c>
      <c r="B943" s="11" t="s">
        <v>9</v>
      </c>
      <c r="C943" s="4">
        <v>18</v>
      </c>
      <c r="D943" s="11">
        <v>4</v>
      </c>
      <c r="E943" s="11">
        <v>1</v>
      </c>
      <c r="F943" s="11">
        <v>3</v>
      </c>
      <c r="G943" s="11">
        <v>1</v>
      </c>
    </row>
    <row r="944" spans="1:7" x14ac:dyDescent="0.25">
      <c r="A944" s="11">
        <v>2027</v>
      </c>
      <c r="B944" s="11" t="s">
        <v>9</v>
      </c>
      <c r="C944" s="4">
        <v>19</v>
      </c>
      <c r="D944" s="11">
        <v>1</v>
      </c>
      <c r="E944" s="11">
        <v>4</v>
      </c>
      <c r="F944" s="11">
        <v>2</v>
      </c>
      <c r="G944" s="11">
        <v>3</v>
      </c>
    </row>
    <row r="945" spans="1:7" x14ac:dyDescent="0.25">
      <c r="A945" s="11">
        <v>2027</v>
      </c>
      <c r="B945" s="11" t="s">
        <v>9</v>
      </c>
      <c r="C945" s="4">
        <v>20</v>
      </c>
      <c r="D945" s="11">
        <v>1</v>
      </c>
      <c r="E945" s="11">
        <v>2</v>
      </c>
      <c r="F945" s="11">
        <v>2</v>
      </c>
      <c r="G945" s="11">
        <v>1</v>
      </c>
    </row>
    <row r="946" spans="1:7" x14ac:dyDescent="0.25">
      <c r="A946" s="11">
        <v>2027</v>
      </c>
      <c r="B946" s="11" t="s">
        <v>9</v>
      </c>
      <c r="C946" s="4">
        <v>21</v>
      </c>
      <c r="D946" s="11">
        <v>1</v>
      </c>
      <c r="E946" s="11">
        <v>1</v>
      </c>
      <c r="F946" s="11">
        <v>1</v>
      </c>
      <c r="G946" s="11">
        <v>1</v>
      </c>
    </row>
    <row r="947" spans="1:7" x14ac:dyDescent="0.25">
      <c r="A947" s="11">
        <v>2027</v>
      </c>
      <c r="B947" s="11" t="s">
        <v>9</v>
      </c>
      <c r="C947" s="4">
        <v>22</v>
      </c>
      <c r="D947" s="11">
        <v>3</v>
      </c>
      <c r="E947" s="11">
        <v>1</v>
      </c>
      <c r="F947" s="11">
        <v>1</v>
      </c>
      <c r="G947" s="11">
        <v>1</v>
      </c>
    </row>
    <row r="948" spans="1:7" x14ac:dyDescent="0.25">
      <c r="A948" s="11">
        <v>2027</v>
      </c>
      <c r="B948" s="11" t="s">
        <v>9</v>
      </c>
      <c r="C948" s="4">
        <v>23</v>
      </c>
      <c r="D948" s="11">
        <v>2</v>
      </c>
      <c r="E948" s="11">
        <v>3</v>
      </c>
      <c r="F948" s="11">
        <v>2</v>
      </c>
      <c r="G948" s="11">
        <v>2</v>
      </c>
    </row>
    <row r="949" spans="1:7" x14ac:dyDescent="0.25">
      <c r="A949" s="11">
        <v>2027</v>
      </c>
      <c r="B949" s="11" t="s">
        <v>9</v>
      </c>
      <c r="C949" s="4">
        <v>24</v>
      </c>
      <c r="D949" s="11">
        <v>3</v>
      </c>
      <c r="E949" s="11">
        <v>2</v>
      </c>
      <c r="F949" s="11">
        <v>4</v>
      </c>
      <c r="G949" s="11">
        <v>1</v>
      </c>
    </row>
    <row r="950" spans="1:7" x14ac:dyDescent="0.25">
      <c r="A950" s="11">
        <v>2027</v>
      </c>
      <c r="B950" s="11" t="s">
        <v>9</v>
      </c>
      <c r="C950" s="4">
        <v>25</v>
      </c>
      <c r="D950" s="11">
        <v>2</v>
      </c>
      <c r="E950" s="11">
        <v>2</v>
      </c>
      <c r="F950" s="11">
        <v>1</v>
      </c>
      <c r="G950" s="11">
        <v>1</v>
      </c>
    </row>
    <row r="951" spans="1:7" x14ac:dyDescent="0.25">
      <c r="A951" s="11">
        <v>2027</v>
      </c>
      <c r="B951" s="11" t="s">
        <v>9</v>
      </c>
      <c r="C951" s="4">
        <v>26</v>
      </c>
      <c r="D951" s="11">
        <v>1</v>
      </c>
      <c r="E951" s="11">
        <v>3</v>
      </c>
      <c r="F951" s="11">
        <v>1</v>
      </c>
      <c r="G951" s="11">
        <v>1</v>
      </c>
    </row>
    <row r="952" spans="1:7" x14ac:dyDescent="0.25">
      <c r="A952" s="11">
        <v>2027</v>
      </c>
      <c r="B952" s="11" t="s">
        <v>9</v>
      </c>
      <c r="C952" s="4">
        <v>27</v>
      </c>
      <c r="D952" s="11">
        <v>3</v>
      </c>
      <c r="E952" s="11">
        <v>1</v>
      </c>
      <c r="F952" s="11">
        <v>1</v>
      </c>
      <c r="G952" s="11">
        <v>2</v>
      </c>
    </row>
    <row r="953" spans="1:7" x14ac:dyDescent="0.25">
      <c r="A953" s="11">
        <v>2027</v>
      </c>
      <c r="B953" s="11" t="s">
        <v>9</v>
      </c>
      <c r="C953" s="4">
        <v>28</v>
      </c>
      <c r="D953" s="11">
        <v>4</v>
      </c>
      <c r="E953" s="11">
        <v>1</v>
      </c>
      <c r="F953" s="11">
        <v>3</v>
      </c>
      <c r="G953" s="11">
        <v>1</v>
      </c>
    </row>
    <row r="954" spans="1:7" x14ac:dyDescent="0.25">
      <c r="A954" s="11">
        <v>2027</v>
      </c>
      <c r="B954" s="11" t="s">
        <v>10</v>
      </c>
      <c r="C954" s="4">
        <v>1</v>
      </c>
      <c r="D954" s="11">
        <v>2</v>
      </c>
      <c r="E954" s="11">
        <v>2</v>
      </c>
      <c r="F954" s="11">
        <v>2</v>
      </c>
      <c r="G954" s="11">
        <v>4</v>
      </c>
    </row>
    <row r="955" spans="1:7" x14ac:dyDescent="0.25">
      <c r="A955" s="11">
        <v>2027</v>
      </c>
      <c r="B955" s="11" t="s">
        <v>10</v>
      </c>
      <c r="C955" s="4">
        <v>2</v>
      </c>
      <c r="D955" s="11">
        <v>2</v>
      </c>
      <c r="E955" s="11">
        <v>1</v>
      </c>
      <c r="F955" s="11">
        <v>2</v>
      </c>
      <c r="G955" s="11">
        <v>1</v>
      </c>
    </row>
    <row r="956" spans="1:7" x14ac:dyDescent="0.25">
      <c r="A956" s="11">
        <v>2027</v>
      </c>
      <c r="B956" s="11" t="s">
        <v>10</v>
      </c>
      <c r="C956" s="4">
        <v>3</v>
      </c>
      <c r="D956" s="11">
        <v>1</v>
      </c>
      <c r="E956" s="11">
        <v>1</v>
      </c>
      <c r="F956" s="11">
        <v>1</v>
      </c>
      <c r="G956" s="11">
        <v>1</v>
      </c>
    </row>
    <row r="957" spans="1:7" x14ac:dyDescent="0.25">
      <c r="A957" s="11">
        <v>2027</v>
      </c>
      <c r="B957" s="11" t="s">
        <v>10</v>
      </c>
      <c r="C957" s="4">
        <v>4</v>
      </c>
      <c r="D957" s="11">
        <v>2</v>
      </c>
      <c r="E957" s="11">
        <v>2</v>
      </c>
      <c r="F957" s="11">
        <v>3</v>
      </c>
      <c r="G957" s="11">
        <v>1</v>
      </c>
    </row>
    <row r="958" spans="1:7" x14ac:dyDescent="0.25">
      <c r="A958" s="11">
        <v>2027</v>
      </c>
      <c r="B958" s="11" t="s">
        <v>10</v>
      </c>
      <c r="C958" s="4">
        <v>5</v>
      </c>
      <c r="D958" s="11">
        <v>1</v>
      </c>
      <c r="E958" s="11">
        <v>1</v>
      </c>
      <c r="F958" s="11">
        <v>2</v>
      </c>
      <c r="G958" s="11">
        <v>2</v>
      </c>
    </row>
    <row r="959" spans="1:7" x14ac:dyDescent="0.25">
      <c r="A959" s="11">
        <v>2027</v>
      </c>
      <c r="B959" s="11" t="s">
        <v>10</v>
      </c>
      <c r="C959" s="4">
        <v>6</v>
      </c>
      <c r="D959" s="11">
        <v>1</v>
      </c>
      <c r="E959" s="11">
        <v>3</v>
      </c>
      <c r="F959" s="11">
        <v>1</v>
      </c>
      <c r="G959" s="11">
        <v>2</v>
      </c>
    </row>
    <row r="960" spans="1:7" x14ac:dyDescent="0.25">
      <c r="A960" s="11">
        <v>2027</v>
      </c>
      <c r="B960" s="11" t="s">
        <v>10</v>
      </c>
      <c r="C960" s="4">
        <v>7</v>
      </c>
      <c r="D960" s="11">
        <v>1</v>
      </c>
      <c r="E960" s="11">
        <v>3</v>
      </c>
      <c r="F960" s="11">
        <v>1</v>
      </c>
      <c r="G960" s="11">
        <v>1</v>
      </c>
    </row>
    <row r="961" spans="1:7" x14ac:dyDescent="0.25">
      <c r="A961" s="11">
        <v>2027</v>
      </c>
      <c r="B961" s="11" t="s">
        <v>10</v>
      </c>
      <c r="C961" s="4">
        <v>8</v>
      </c>
      <c r="D961" s="11">
        <v>1</v>
      </c>
      <c r="E961" s="11">
        <v>4</v>
      </c>
      <c r="F961" s="11">
        <v>2</v>
      </c>
      <c r="G961" s="11">
        <v>1</v>
      </c>
    </row>
    <row r="962" spans="1:7" x14ac:dyDescent="0.25">
      <c r="A962" s="11">
        <v>2027</v>
      </c>
      <c r="B962" s="11" t="s">
        <v>10</v>
      </c>
      <c r="C962" s="4">
        <v>9</v>
      </c>
      <c r="D962" s="11">
        <v>2</v>
      </c>
      <c r="E962" s="11">
        <v>2</v>
      </c>
      <c r="F962" s="11">
        <v>2</v>
      </c>
      <c r="G962" s="11">
        <v>2</v>
      </c>
    </row>
    <row r="963" spans="1:7" x14ac:dyDescent="0.25">
      <c r="A963" s="11">
        <v>2027</v>
      </c>
      <c r="B963" s="11" t="s">
        <v>10</v>
      </c>
      <c r="C963" s="4">
        <v>10</v>
      </c>
      <c r="D963" s="11">
        <v>2</v>
      </c>
      <c r="E963" s="11">
        <v>2</v>
      </c>
      <c r="F963" s="11">
        <v>3</v>
      </c>
      <c r="G963" s="11">
        <v>2</v>
      </c>
    </row>
    <row r="964" spans="1:7" x14ac:dyDescent="0.25">
      <c r="A964" s="11">
        <v>2027</v>
      </c>
      <c r="B964" s="11" t="s">
        <v>10</v>
      </c>
      <c r="C964" s="4">
        <v>11</v>
      </c>
      <c r="D964" s="11">
        <v>4</v>
      </c>
      <c r="E964" s="11">
        <v>1</v>
      </c>
      <c r="F964" s="11">
        <v>3</v>
      </c>
      <c r="G964" s="11">
        <v>2</v>
      </c>
    </row>
    <row r="965" spans="1:7" x14ac:dyDescent="0.25">
      <c r="A965" s="11">
        <v>2027</v>
      </c>
      <c r="B965" s="11" t="s">
        <v>10</v>
      </c>
      <c r="C965" s="4">
        <v>12</v>
      </c>
      <c r="D965" s="11">
        <v>1</v>
      </c>
      <c r="E965" s="11">
        <v>4</v>
      </c>
      <c r="F965" s="11">
        <v>1</v>
      </c>
      <c r="G965" s="11">
        <v>1</v>
      </c>
    </row>
    <row r="966" spans="1:7" x14ac:dyDescent="0.25">
      <c r="A966" s="11">
        <v>2027</v>
      </c>
      <c r="B966" s="11" t="s">
        <v>10</v>
      </c>
      <c r="C966" s="4">
        <v>13</v>
      </c>
      <c r="D966" s="11">
        <v>2</v>
      </c>
      <c r="E966" s="11">
        <v>1</v>
      </c>
      <c r="F966" s="11">
        <v>4</v>
      </c>
      <c r="G966" s="11">
        <v>2</v>
      </c>
    </row>
    <row r="967" spans="1:7" x14ac:dyDescent="0.25">
      <c r="A967" s="11">
        <v>2027</v>
      </c>
      <c r="B967" s="11" t="s">
        <v>10</v>
      </c>
      <c r="C967" s="4">
        <v>14</v>
      </c>
      <c r="D967" s="11">
        <v>1</v>
      </c>
      <c r="E967" s="11">
        <v>2</v>
      </c>
      <c r="F967" s="11">
        <v>3</v>
      </c>
      <c r="G967" s="11">
        <v>4</v>
      </c>
    </row>
    <row r="968" spans="1:7" x14ac:dyDescent="0.25">
      <c r="A968" s="11">
        <v>2027</v>
      </c>
      <c r="B968" s="11" t="s">
        <v>10</v>
      </c>
      <c r="C968" s="4">
        <v>15</v>
      </c>
      <c r="D968" s="11">
        <v>3</v>
      </c>
      <c r="E968" s="11">
        <v>1</v>
      </c>
      <c r="F968" s="11">
        <v>3</v>
      </c>
      <c r="G968" s="11">
        <v>2</v>
      </c>
    </row>
    <row r="969" spans="1:7" x14ac:dyDescent="0.25">
      <c r="A969" s="11">
        <v>2027</v>
      </c>
      <c r="B969" s="11" t="s">
        <v>10</v>
      </c>
      <c r="C969" s="4">
        <v>16</v>
      </c>
      <c r="D969" s="11">
        <v>3</v>
      </c>
      <c r="E969" s="11">
        <v>2</v>
      </c>
      <c r="F969" s="11">
        <v>2</v>
      </c>
      <c r="G969" s="11">
        <v>2</v>
      </c>
    </row>
    <row r="970" spans="1:7" x14ac:dyDescent="0.25">
      <c r="A970" s="11">
        <v>2027</v>
      </c>
      <c r="B970" s="11" t="s">
        <v>10</v>
      </c>
      <c r="C970" s="4">
        <v>17</v>
      </c>
      <c r="D970" s="11">
        <v>1</v>
      </c>
      <c r="E970" s="11">
        <v>3</v>
      </c>
      <c r="F970" s="11">
        <v>2</v>
      </c>
      <c r="G970" s="11">
        <v>4</v>
      </c>
    </row>
    <row r="971" spans="1:7" x14ac:dyDescent="0.25">
      <c r="A971" s="11">
        <v>2027</v>
      </c>
      <c r="B971" s="11" t="s">
        <v>10</v>
      </c>
      <c r="C971" s="4">
        <v>18</v>
      </c>
      <c r="D971" s="11">
        <v>1</v>
      </c>
      <c r="E971" s="11">
        <v>4</v>
      </c>
      <c r="F971" s="11">
        <v>1</v>
      </c>
      <c r="G971" s="11">
        <v>1</v>
      </c>
    </row>
    <row r="972" spans="1:7" x14ac:dyDescent="0.25">
      <c r="A972" s="11">
        <v>2027</v>
      </c>
      <c r="B972" s="11" t="s">
        <v>10</v>
      </c>
      <c r="C972" s="4">
        <v>19</v>
      </c>
      <c r="D972" s="11">
        <v>1</v>
      </c>
      <c r="E972" s="11">
        <v>2</v>
      </c>
      <c r="F972" s="11">
        <v>1</v>
      </c>
      <c r="G972" s="11">
        <v>3</v>
      </c>
    </row>
    <row r="973" spans="1:7" x14ac:dyDescent="0.25">
      <c r="A973" s="11">
        <v>2027</v>
      </c>
      <c r="B973" s="11" t="s">
        <v>10</v>
      </c>
      <c r="C973" s="4">
        <v>20</v>
      </c>
      <c r="D973" s="11">
        <v>3</v>
      </c>
      <c r="E973" s="11">
        <v>1</v>
      </c>
      <c r="F973" s="11">
        <v>4</v>
      </c>
      <c r="G973" s="11">
        <v>1</v>
      </c>
    </row>
    <row r="974" spans="1:7" x14ac:dyDescent="0.25">
      <c r="A974" s="11">
        <v>2027</v>
      </c>
      <c r="B974" s="11" t="s">
        <v>10</v>
      </c>
      <c r="C974" s="4">
        <v>21</v>
      </c>
      <c r="D974" s="11">
        <v>4</v>
      </c>
      <c r="E974" s="11">
        <v>2</v>
      </c>
      <c r="F974" s="11">
        <v>3</v>
      </c>
      <c r="G974" s="11">
        <v>4</v>
      </c>
    </row>
    <row r="975" spans="1:7" x14ac:dyDescent="0.25">
      <c r="A975" s="11">
        <v>2027</v>
      </c>
      <c r="B975" s="11" t="s">
        <v>10</v>
      </c>
      <c r="C975" s="4">
        <v>22</v>
      </c>
      <c r="D975" s="11">
        <v>2</v>
      </c>
      <c r="E975" s="11">
        <v>2</v>
      </c>
      <c r="F975" s="11">
        <v>1</v>
      </c>
      <c r="G975" s="11">
        <v>2</v>
      </c>
    </row>
    <row r="976" spans="1:7" x14ac:dyDescent="0.25">
      <c r="A976" s="11">
        <v>2027</v>
      </c>
      <c r="B976" s="11" t="s">
        <v>10</v>
      </c>
      <c r="C976" s="4">
        <v>23</v>
      </c>
      <c r="D976" s="11">
        <v>3</v>
      </c>
      <c r="E976" s="11">
        <v>2</v>
      </c>
      <c r="F976" s="11">
        <v>2</v>
      </c>
      <c r="G976" s="11">
        <v>1</v>
      </c>
    </row>
    <row r="977" spans="1:7" x14ac:dyDescent="0.25">
      <c r="A977" s="11">
        <v>2027</v>
      </c>
      <c r="B977" s="11" t="s">
        <v>10</v>
      </c>
      <c r="C977" s="4">
        <v>24</v>
      </c>
      <c r="D977" s="11">
        <v>4</v>
      </c>
      <c r="E977" s="11">
        <v>2</v>
      </c>
      <c r="F977" s="11">
        <v>1</v>
      </c>
      <c r="G977" s="11">
        <v>1</v>
      </c>
    </row>
    <row r="978" spans="1:7" x14ac:dyDescent="0.25">
      <c r="A978" s="11">
        <v>2027</v>
      </c>
      <c r="B978" s="11" t="s">
        <v>10</v>
      </c>
      <c r="C978" s="4">
        <v>25</v>
      </c>
      <c r="D978" s="11">
        <v>2</v>
      </c>
      <c r="E978" s="11">
        <v>3</v>
      </c>
      <c r="F978" s="11">
        <v>2</v>
      </c>
      <c r="G978" s="11">
        <v>1</v>
      </c>
    </row>
    <row r="979" spans="1:7" x14ac:dyDescent="0.25">
      <c r="A979" s="11">
        <v>2027</v>
      </c>
      <c r="B979" s="11" t="s">
        <v>10</v>
      </c>
      <c r="C979" s="4">
        <v>26</v>
      </c>
      <c r="D979" s="11">
        <v>3</v>
      </c>
      <c r="E979" s="11">
        <v>1</v>
      </c>
      <c r="F979" s="11">
        <v>3</v>
      </c>
      <c r="G979" s="11">
        <v>4</v>
      </c>
    </row>
    <row r="980" spans="1:7" x14ac:dyDescent="0.25">
      <c r="A980" s="11">
        <v>2027</v>
      </c>
      <c r="B980" s="11" t="s">
        <v>10</v>
      </c>
      <c r="C980" s="4">
        <v>27</v>
      </c>
      <c r="D980" s="11">
        <v>1</v>
      </c>
      <c r="E980" s="11">
        <v>2</v>
      </c>
      <c r="F980" s="11">
        <v>1</v>
      </c>
      <c r="G980" s="11">
        <v>1</v>
      </c>
    </row>
    <row r="981" spans="1:7" x14ac:dyDescent="0.25">
      <c r="A981" s="11">
        <v>2027</v>
      </c>
      <c r="B981" s="11" t="s">
        <v>10</v>
      </c>
      <c r="C981" s="4">
        <v>28</v>
      </c>
      <c r="D981" s="11">
        <v>2</v>
      </c>
      <c r="E981" s="11">
        <v>1</v>
      </c>
      <c r="F981" s="11">
        <v>2</v>
      </c>
      <c r="G981" s="11">
        <v>2</v>
      </c>
    </row>
    <row r="982" spans="1:7" x14ac:dyDescent="0.25">
      <c r="A982" s="11">
        <v>2027</v>
      </c>
      <c r="B982" s="11" t="s">
        <v>11</v>
      </c>
      <c r="C982" s="4">
        <v>1</v>
      </c>
      <c r="D982" s="11">
        <v>2</v>
      </c>
      <c r="E982" s="11">
        <v>4</v>
      </c>
      <c r="F982" s="11">
        <v>2</v>
      </c>
      <c r="G982" s="11">
        <v>2</v>
      </c>
    </row>
    <row r="983" spans="1:7" x14ac:dyDescent="0.25">
      <c r="A983" s="11">
        <v>2027</v>
      </c>
      <c r="B983" s="11" t="s">
        <v>11</v>
      </c>
      <c r="C983" s="4">
        <v>2</v>
      </c>
      <c r="D983" s="11">
        <v>2</v>
      </c>
      <c r="E983" s="11">
        <v>1</v>
      </c>
      <c r="F983" s="11">
        <v>4</v>
      </c>
      <c r="G983" s="11">
        <v>2</v>
      </c>
    </row>
    <row r="984" spans="1:7" x14ac:dyDescent="0.25">
      <c r="A984" s="11">
        <v>2027</v>
      </c>
      <c r="B984" s="11" t="s">
        <v>11</v>
      </c>
      <c r="C984" s="4">
        <v>3</v>
      </c>
      <c r="D984" s="11">
        <v>1</v>
      </c>
      <c r="E984" s="11">
        <v>2</v>
      </c>
      <c r="F984" s="11">
        <v>1</v>
      </c>
      <c r="G984" s="11">
        <v>4</v>
      </c>
    </row>
    <row r="985" spans="1:7" x14ac:dyDescent="0.25">
      <c r="A985" s="11">
        <v>2027</v>
      </c>
      <c r="B985" s="11" t="s">
        <v>11</v>
      </c>
      <c r="C985" s="4">
        <v>4</v>
      </c>
      <c r="D985" s="11">
        <v>1</v>
      </c>
      <c r="E985" s="11">
        <v>3</v>
      </c>
      <c r="F985" s="11">
        <v>2</v>
      </c>
      <c r="G985" s="11">
        <v>1</v>
      </c>
    </row>
    <row r="986" spans="1:7" x14ac:dyDescent="0.25">
      <c r="A986" s="11">
        <v>2027</v>
      </c>
      <c r="B986" s="11" t="s">
        <v>11</v>
      </c>
      <c r="C986" s="4">
        <v>5</v>
      </c>
      <c r="D986" s="11">
        <v>2</v>
      </c>
      <c r="E986" s="11">
        <v>1</v>
      </c>
      <c r="F986" s="11">
        <v>1</v>
      </c>
      <c r="G986" s="11">
        <v>1</v>
      </c>
    </row>
    <row r="987" spans="1:7" x14ac:dyDescent="0.25">
      <c r="A987" s="11">
        <v>2027</v>
      </c>
      <c r="B987" s="11" t="s">
        <v>11</v>
      </c>
      <c r="C987" s="4">
        <v>6</v>
      </c>
      <c r="D987" s="11">
        <v>3</v>
      </c>
      <c r="E987" s="11">
        <v>2</v>
      </c>
      <c r="F987" s="11">
        <v>3</v>
      </c>
      <c r="G987" s="11">
        <v>3</v>
      </c>
    </row>
    <row r="988" spans="1:7" x14ac:dyDescent="0.25">
      <c r="A988" s="11">
        <v>2027</v>
      </c>
      <c r="B988" s="11" t="s">
        <v>11</v>
      </c>
      <c r="C988" s="4">
        <v>7</v>
      </c>
      <c r="D988" s="11">
        <v>1</v>
      </c>
      <c r="E988" s="11">
        <v>1</v>
      </c>
      <c r="F988" s="11">
        <v>2</v>
      </c>
      <c r="G988" s="11">
        <v>1</v>
      </c>
    </row>
    <row r="989" spans="1:7" x14ac:dyDescent="0.25">
      <c r="A989" s="11">
        <v>2027</v>
      </c>
      <c r="B989" s="11" t="s">
        <v>11</v>
      </c>
      <c r="C989" s="4">
        <v>8</v>
      </c>
      <c r="D989" s="11">
        <v>1</v>
      </c>
      <c r="E989" s="11">
        <v>1</v>
      </c>
      <c r="F989" s="11">
        <v>3</v>
      </c>
      <c r="G989" s="11">
        <v>2</v>
      </c>
    </row>
    <row r="990" spans="1:7" x14ac:dyDescent="0.25">
      <c r="A990" s="11">
        <v>2027</v>
      </c>
      <c r="B990" s="11" t="s">
        <v>11</v>
      </c>
      <c r="C990" s="4">
        <v>9</v>
      </c>
      <c r="D990" s="11">
        <v>1</v>
      </c>
      <c r="E990" s="11">
        <v>2</v>
      </c>
      <c r="F990" s="11">
        <v>2</v>
      </c>
      <c r="G990" s="11">
        <v>3</v>
      </c>
    </row>
    <row r="991" spans="1:7" x14ac:dyDescent="0.25">
      <c r="A991" s="11">
        <v>2027</v>
      </c>
      <c r="B991" s="11" t="s">
        <v>11</v>
      </c>
      <c r="C991" s="4">
        <v>10</v>
      </c>
      <c r="D991" s="11">
        <v>1</v>
      </c>
      <c r="E991" s="11">
        <v>1</v>
      </c>
      <c r="F991" s="11">
        <v>1</v>
      </c>
      <c r="G991" s="11">
        <v>3</v>
      </c>
    </row>
    <row r="992" spans="1:7" x14ac:dyDescent="0.25">
      <c r="A992" s="11">
        <v>2027</v>
      </c>
      <c r="B992" s="11" t="s">
        <v>11</v>
      </c>
      <c r="C992" s="4">
        <v>11</v>
      </c>
      <c r="D992" s="11">
        <v>3</v>
      </c>
      <c r="E992" s="11">
        <v>1</v>
      </c>
      <c r="F992" s="11">
        <v>1</v>
      </c>
      <c r="G992" s="11">
        <v>1</v>
      </c>
    </row>
    <row r="993" spans="1:7" x14ac:dyDescent="0.25">
      <c r="A993" s="11">
        <v>2027</v>
      </c>
      <c r="B993" s="11" t="s">
        <v>11</v>
      </c>
      <c r="C993" s="4">
        <v>12</v>
      </c>
      <c r="D993" s="11">
        <v>1</v>
      </c>
      <c r="E993" s="11">
        <v>1</v>
      </c>
      <c r="F993" s="11">
        <v>3</v>
      </c>
      <c r="G993" s="11">
        <v>2</v>
      </c>
    </row>
    <row r="994" spans="1:7" x14ac:dyDescent="0.25">
      <c r="A994" s="11">
        <v>2027</v>
      </c>
      <c r="B994" s="11" t="s">
        <v>11</v>
      </c>
      <c r="C994" s="4">
        <v>13</v>
      </c>
      <c r="D994" s="11">
        <v>1</v>
      </c>
      <c r="E994" s="11">
        <v>1</v>
      </c>
      <c r="F994" s="11">
        <v>4</v>
      </c>
      <c r="G994" s="11">
        <v>4</v>
      </c>
    </row>
    <row r="995" spans="1:7" x14ac:dyDescent="0.25">
      <c r="A995" s="11">
        <v>2027</v>
      </c>
      <c r="B995" s="11" t="s">
        <v>11</v>
      </c>
      <c r="C995" s="4">
        <v>14</v>
      </c>
      <c r="D995" s="11">
        <v>1</v>
      </c>
      <c r="E995" s="11">
        <v>2</v>
      </c>
      <c r="F995" s="11">
        <v>1</v>
      </c>
      <c r="G995" s="11">
        <v>2</v>
      </c>
    </row>
    <row r="996" spans="1:7" x14ac:dyDescent="0.25">
      <c r="A996" s="11">
        <v>2027</v>
      </c>
      <c r="B996" s="11" t="s">
        <v>11</v>
      </c>
      <c r="C996" s="4">
        <v>15</v>
      </c>
      <c r="D996" s="11">
        <v>2</v>
      </c>
      <c r="E996" s="11">
        <v>2</v>
      </c>
      <c r="F996" s="11">
        <v>1</v>
      </c>
      <c r="G996" s="11">
        <v>1</v>
      </c>
    </row>
    <row r="997" spans="1:7" x14ac:dyDescent="0.25">
      <c r="A997" s="11">
        <v>2027</v>
      </c>
      <c r="B997" s="11" t="s">
        <v>11</v>
      </c>
      <c r="C997" s="4">
        <v>16</v>
      </c>
      <c r="D997" s="11">
        <v>2</v>
      </c>
      <c r="E997" s="11">
        <v>1</v>
      </c>
      <c r="F997" s="11">
        <v>3</v>
      </c>
      <c r="G997" s="11">
        <v>1</v>
      </c>
    </row>
    <row r="998" spans="1:7" x14ac:dyDescent="0.25">
      <c r="A998" s="11">
        <v>2027</v>
      </c>
      <c r="B998" s="11" t="s">
        <v>11</v>
      </c>
      <c r="C998" s="4">
        <v>17</v>
      </c>
      <c r="D998" s="11">
        <v>1</v>
      </c>
      <c r="E998" s="11">
        <v>1</v>
      </c>
      <c r="F998" s="11">
        <v>2</v>
      </c>
      <c r="G998" s="11">
        <v>1</v>
      </c>
    </row>
    <row r="999" spans="1:7" x14ac:dyDescent="0.25">
      <c r="A999" s="11">
        <v>2027</v>
      </c>
      <c r="B999" s="11" t="s">
        <v>11</v>
      </c>
      <c r="C999" s="4">
        <v>18</v>
      </c>
      <c r="D999" s="11">
        <v>1</v>
      </c>
      <c r="E999" s="11">
        <v>3</v>
      </c>
      <c r="F999" s="11">
        <v>2</v>
      </c>
      <c r="G999" s="11">
        <v>2</v>
      </c>
    </row>
    <row r="1000" spans="1:7" x14ac:dyDescent="0.25">
      <c r="A1000" s="11">
        <v>2027</v>
      </c>
      <c r="B1000" s="11" t="s">
        <v>11</v>
      </c>
      <c r="C1000" s="4">
        <v>19</v>
      </c>
      <c r="D1000" s="11">
        <v>1</v>
      </c>
      <c r="E1000" s="11">
        <v>1</v>
      </c>
      <c r="F1000" s="11">
        <v>1</v>
      </c>
      <c r="G1000" s="11">
        <v>3</v>
      </c>
    </row>
    <row r="1001" spans="1:7" x14ac:dyDescent="0.25">
      <c r="A1001" s="11">
        <v>2027</v>
      </c>
      <c r="B1001" s="11" t="s">
        <v>11</v>
      </c>
      <c r="C1001" s="4">
        <v>20</v>
      </c>
      <c r="D1001" s="11">
        <v>2</v>
      </c>
      <c r="E1001" s="11">
        <v>1</v>
      </c>
      <c r="F1001" s="11">
        <v>1</v>
      </c>
      <c r="G1001" s="11">
        <v>3</v>
      </c>
    </row>
    <row r="1002" spans="1:7" x14ac:dyDescent="0.25">
      <c r="A1002" s="11">
        <v>2027</v>
      </c>
      <c r="B1002" s="11" t="s">
        <v>11</v>
      </c>
      <c r="C1002" s="4">
        <v>21</v>
      </c>
      <c r="D1002" s="11">
        <v>2</v>
      </c>
      <c r="E1002" s="11">
        <v>1</v>
      </c>
      <c r="F1002" s="11">
        <v>1</v>
      </c>
      <c r="G1002" s="11">
        <v>1</v>
      </c>
    </row>
    <row r="1003" spans="1:7" x14ac:dyDescent="0.25">
      <c r="A1003" s="11">
        <v>2027</v>
      </c>
      <c r="B1003" s="11" t="s">
        <v>11</v>
      </c>
      <c r="C1003" s="4">
        <v>22</v>
      </c>
      <c r="D1003" s="11">
        <v>1</v>
      </c>
      <c r="E1003" s="11">
        <v>2</v>
      </c>
      <c r="F1003" s="11">
        <v>2</v>
      </c>
      <c r="G1003" s="11">
        <v>1</v>
      </c>
    </row>
    <row r="1004" spans="1:7" x14ac:dyDescent="0.25">
      <c r="A1004" s="11">
        <v>2027</v>
      </c>
      <c r="B1004" s="11" t="s">
        <v>11</v>
      </c>
      <c r="C1004" s="4">
        <v>23</v>
      </c>
      <c r="D1004" s="11">
        <v>1</v>
      </c>
      <c r="E1004" s="11">
        <v>1</v>
      </c>
      <c r="F1004" s="11">
        <v>3</v>
      </c>
      <c r="G1004" s="11">
        <v>1</v>
      </c>
    </row>
    <row r="1005" spans="1:7" x14ac:dyDescent="0.25">
      <c r="A1005" s="11">
        <v>2027</v>
      </c>
      <c r="B1005" s="11" t="s">
        <v>11</v>
      </c>
      <c r="C1005" s="4">
        <v>24</v>
      </c>
      <c r="D1005" s="11">
        <v>1</v>
      </c>
      <c r="E1005" s="11">
        <v>1</v>
      </c>
      <c r="F1005" s="11">
        <v>1</v>
      </c>
      <c r="G1005" s="11">
        <v>3</v>
      </c>
    </row>
    <row r="1006" spans="1:7" x14ac:dyDescent="0.25">
      <c r="A1006" s="11">
        <v>2027</v>
      </c>
      <c r="B1006" s="11" t="s">
        <v>11</v>
      </c>
      <c r="C1006" s="4">
        <v>25</v>
      </c>
      <c r="D1006" s="11">
        <v>3</v>
      </c>
      <c r="E1006" s="11">
        <v>2</v>
      </c>
      <c r="F1006" s="11">
        <v>1</v>
      </c>
      <c r="G1006" s="11">
        <v>2</v>
      </c>
    </row>
    <row r="1007" spans="1:7" x14ac:dyDescent="0.25">
      <c r="A1007" s="11">
        <v>2027</v>
      </c>
      <c r="B1007" s="11" t="s">
        <v>11</v>
      </c>
      <c r="C1007" s="4">
        <v>26</v>
      </c>
      <c r="D1007" s="11">
        <v>2</v>
      </c>
      <c r="E1007" s="11">
        <v>1</v>
      </c>
      <c r="F1007" s="11">
        <v>1</v>
      </c>
      <c r="G1007" s="11">
        <v>3</v>
      </c>
    </row>
    <row r="1008" spans="1:7" x14ac:dyDescent="0.25">
      <c r="A1008" s="11">
        <v>2027</v>
      </c>
      <c r="B1008" s="11" t="s">
        <v>11</v>
      </c>
      <c r="C1008" s="4">
        <v>27</v>
      </c>
      <c r="D1008" s="11">
        <v>2</v>
      </c>
      <c r="E1008" s="11">
        <v>1</v>
      </c>
      <c r="F1008" s="11">
        <v>2</v>
      </c>
      <c r="G1008" s="11">
        <v>4</v>
      </c>
    </row>
    <row r="1009" spans="1:7" x14ac:dyDescent="0.25">
      <c r="A1009" s="11">
        <v>2027</v>
      </c>
      <c r="B1009" s="11" t="s">
        <v>11</v>
      </c>
      <c r="C1009" s="4">
        <v>28</v>
      </c>
      <c r="D1009" s="11">
        <v>2</v>
      </c>
      <c r="E1009" s="11">
        <v>1</v>
      </c>
      <c r="F1009" s="11">
        <v>1</v>
      </c>
      <c r="G1009" s="11">
        <v>1</v>
      </c>
    </row>
    <row r="1010" spans="1:7" x14ac:dyDescent="0.25">
      <c r="A1010" s="11">
        <v>2028</v>
      </c>
      <c r="B1010" s="11" t="s">
        <v>0</v>
      </c>
      <c r="C1010" s="4">
        <v>1</v>
      </c>
      <c r="D1010" s="11">
        <v>1</v>
      </c>
      <c r="E1010" s="11">
        <v>1</v>
      </c>
      <c r="F1010" s="11">
        <v>1</v>
      </c>
      <c r="G1010" s="11">
        <v>1</v>
      </c>
    </row>
    <row r="1011" spans="1:7" x14ac:dyDescent="0.25">
      <c r="A1011" s="11">
        <v>2028</v>
      </c>
      <c r="B1011" s="11" t="s">
        <v>0</v>
      </c>
      <c r="C1011" s="4">
        <v>2</v>
      </c>
      <c r="D1011" s="11">
        <v>1</v>
      </c>
      <c r="E1011" s="11">
        <v>2</v>
      </c>
      <c r="F1011" s="11">
        <v>4</v>
      </c>
      <c r="G1011" s="11">
        <v>1</v>
      </c>
    </row>
    <row r="1012" spans="1:7" x14ac:dyDescent="0.25">
      <c r="A1012" s="11">
        <v>2028</v>
      </c>
      <c r="B1012" s="11" t="s">
        <v>0</v>
      </c>
      <c r="C1012" s="4">
        <v>3</v>
      </c>
      <c r="D1012" s="11">
        <v>2</v>
      </c>
      <c r="E1012" s="11">
        <v>1</v>
      </c>
      <c r="F1012" s="11">
        <v>3</v>
      </c>
      <c r="G1012" s="11">
        <v>1</v>
      </c>
    </row>
    <row r="1013" spans="1:7" x14ac:dyDescent="0.25">
      <c r="A1013" s="11">
        <v>2028</v>
      </c>
      <c r="B1013" s="11" t="s">
        <v>0</v>
      </c>
      <c r="C1013" s="4">
        <v>4</v>
      </c>
      <c r="D1013" s="11">
        <v>1</v>
      </c>
      <c r="E1013" s="11">
        <v>2</v>
      </c>
      <c r="F1013" s="11">
        <v>1</v>
      </c>
      <c r="G1013" s="11">
        <v>2</v>
      </c>
    </row>
    <row r="1014" spans="1:7" x14ac:dyDescent="0.25">
      <c r="A1014" s="11">
        <v>2028</v>
      </c>
      <c r="B1014" s="11" t="s">
        <v>0</v>
      </c>
      <c r="C1014" s="4">
        <v>5</v>
      </c>
      <c r="D1014" s="11">
        <v>3</v>
      </c>
      <c r="E1014" s="11">
        <v>1</v>
      </c>
      <c r="F1014" s="11">
        <v>4</v>
      </c>
      <c r="G1014" s="11">
        <v>2</v>
      </c>
    </row>
    <row r="1015" spans="1:7" x14ac:dyDescent="0.25">
      <c r="A1015" s="11">
        <v>2028</v>
      </c>
      <c r="B1015" s="11" t="s">
        <v>0</v>
      </c>
      <c r="C1015" s="4">
        <v>6</v>
      </c>
      <c r="D1015" s="11">
        <v>3</v>
      </c>
      <c r="E1015" s="11">
        <v>2</v>
      </c>
      <c r="F1015" s="11">
        <v>2</v>
      </c>
      <c r="G1015" s="11">
        <v>2</v>
      </c>
    </row>
    <row r="1016" spans="1:7" x14ac:dyDescent="0.25">
      <c r="A1016" s="11">
        <v>2028</v>
      </c>
      <c r="B1016" s="11" t="s">
        <v>0</v>
      </c>
      <c r="C1016" s="4">
        <v>7</v>
      </c>
      <c r="D1016" s="11">
        <v>4</v>
      </c>
      <c r="E1016" s="11">
        <v>1</v>
      </c>
      <c r="F1016" s="11">
        <v>4</v>
      </c>
      <c r="G1016" s="11">
        <v>1</v>
      </c>
    </row>
    <row r="1017" spans="1:7" x14ac:dyDescent="0.25">
      <c r="A1017" s="11">
        <v>2028</v>
      </c>
      <c r="B1017" s="11" t="s">
        <v>0</v>
      </c>
      <c r="C1017" s="4">
        <v>8</v>
      </c>
      <c r="D1017" s="11">
        <v>4</v>
      </c>
      <c r="E1017" s="11">
        <v>4</v>
      </c>
      <c r="F1017" s="11">
        <v>4</v>
      </c>
      <c r="G1017" s="11">
        <v>2</v>
      </c>
    </row>
    <row r="1018" spans="1:7" x14ac:dyDescent="0.25">
      <c r="A1018" s="11">
        <v>2028</v>
      </c>
      <c r="B1018" s="11" t="s">
        <v>0</v>
      </c>
      <c r="C1018" s="4">
        <v>9</v>
      </c>
      <c r="D1018" s="11">
        <v>4</v>
      </c>
      <c r="E1018" s="11">
        <v>3</v>
      </c>
      <c r="F1018" s="11">
        <v>2</v>
      </c>
      <c r="G1018" s="11">
        <v>1</v>
      </c>
    </row>
    <row r="1019" spans="1:7" x14ac:dyDescent="0.25">
      <c r="A1019" s="11">
        <v>2028</v>
      </c>
      <c r="B1019" s="11" t="s">
        <v>0</v>
      </c>
      <c r="C1019" s="4">
        <v>10</v>
      </c>
      <c r="D1019" s="11">
        <v>1</v>
      </c>
      <c r="E1019" s="11">
        <v>3</v>
      </c>
      <c r="F1019" s="11">
        <v>2</v>
      </c>
      <c r="G1019" s="11">
        <v>1</v>
      </c>
    </row>
    <row r="1020" spans="1:7" x14ac:dyDescent="0.25">
      <c r="A1020" s="11">
        <v>2028</v>
      </c>
      <c r="B1020" s="11" t="s">
        <v>0</v>
      </c>
      <c r="C1020" s="4">
        <v>11</v>
      </c>
      <c r="D1020" s="11">
        <v>2</v>
      </c>
      <c r="E1020" s="11">
        <v>2</v>
      </c>
      <c r="F1020" s="11">
        <v>3</v>
      </c>
      <c r="G1020" s="11">
        <v>1</v>
      </c>
    </row>
    <row r="1021" spans="1:7" x14ac:dyDescent="0.25">
      <c r="A1021" s="11">
        <v>2028</v>
      </c>
      <c r="B1021" s="11" t="s">
        <v>0</v>
      </c>
      <c r="C1021" s="4">
        <v>12</v>
      </c>
      <c r="D1021" s="11">
        <v>1</v>
      </c>
      <c r="E1021" s="11">
        <v>2</v>
      </c>
      <c r="F1021" s="11">
        <v>3</v>
      </c>
      <c r="G1021" s="11">
        <v>2</v>
      </c>
    </row>
    <row r="1022" spans="1:7" x14ac:dyDescent="0.25">
      <c r="A1022" s="11">
        <v>2028</v>
      </c>
      <c r="B1022" s="11" t="s">
        <v>0</v>
      </c>
      <c r="C1022" s="4">
        <v>13</v>
      </c>
      <c r="D1022" s="11">
        <v>1</v>
      </c>
      <c r="E1022" s="11">
        <v>3</v>
      </c>
      <c r="F1022" s="11">
        <v>2</v>
      </c>
      <c r="G1022" s="11">
        <v>3</v>
      </c>
    </row>
    <row r="1023" spans="1:7" x14ac:dyDescent="0.25">
      <c r="A1023" s="11">
        <v>2028</v>
      </c>
      <c r="B1023" s="11" t="s">
        <v>0</v>
      </c>
      <c r="C1023" s="4">
        <v>14</v>
      </c>
      <c r="D1023" s="11">
        <v>1</v>
      </c>
      <c r="E1023" s="11">
        <v>1</v>
      </c>
      <c r="F1023" s="11">
        <v>4</v>
      </c>
      <c r="G1023" s="11">
        <v>2</v>
      </c>
    </row>
    <row r="1024" spans="1:7" x14ac:dyDescent="0.25">
      <c r="A1024" s="11">
        <v>2028</v>
      </c>
      <c r="B1024" s="11" t="s">
        <v>0</v>
      </c>
      <c r="C1024" s="4">
        <v>15</v>
      </c>
      <c r="D1024" s="11">
        <v>1</v>
      </c>
      <c r="E1024" s="11">
        <v>1</v>
      </c>
      <c r="F1024" s="11">
        <v>2</v>
      </c>
      <c r="G1024" s="11">
        <v>3</v>
      </c>
    </row>
    <row r="1025" spans="1:7" x14ac:dyDescent="0.25">
      <c r="A1025" s="11">
        <v>2028</v>
      </c>
      <c r="B1025" s="11" t="s">
        <v>0</v>
      </c>
      <c r="C1025" s="4">
        <v>16</v>
      </c>
      <c r="D1025" s="11">
        <v>1</v>
      </c>
      <c r="E1025" s="11">
        <v>2</v>
      </c>
      <c r="F1025" s="11">
        <v>2</v>
      </c>
      <c r="G1025" s="11">
        <v>1</v>
      </c>
    </row>
    <row r="1026" spans="1:7" x14ac:dyDescent="0.25">
      <c r="A1026" s="11">
        <v>2028</v>
      </c>
      <c r="B1026" s="11" t="s">
        <v>0</v>
      </c>
      <c r="C1026" s="4">
        <v>17</v>
      </c>
      <c r="D1026" s="11">
        <v>1</v>
      </c>
      <c r="E1026" s="11">
        <v>1</v>
      </c>
      <c r="F1026" s="11">
        <v>2</v>
      </c>
      <c r="G1026" s="11">
        <v>4</v>
      </c>
    </row>
    <row r="1027" spans="1:7" x14ac:dyDescent="0.25">
      <c r="A1027" s="11">
        <v>2028</v>
      </c>
      <c r="B1027" s="11" t="s">
        <v>0</v>
      </c>
      <c r="C1027" s="4">
        <v>18</v>
      </c>
      <c r="D1027" s="11">
        <v>1</v>
      </c>
      <c r="E1027" s="11">
        <v>3</v>
      </c>
      <c r="F1027" s="11">
        <v>1</v>
      </c>
      <c r="G1027" s="11">
        <v>2</v>
      </c>
    </row>
    <row r="1028" spans="1:7" x14ac:dyDescent="0.25">
      <c r="A1028" s="11">
        <v>2028</v>
      </c>
      <c r="B1028" s="11" t="s">
        <v>0</v>
      </c>
      <c r="C1028" s="4">
        <v>19</v>
      </c>
      <c r="D1028" s="11">
        <v>2</v>
      </c>
      <c r="E1028" s="11">
        <v>2</v>
      </c>
      <c r="F1028" s="11">
        <v>1</v>
      </c>
      <c r="G1028" s="11">
        <v>3</v>
      </c>
    </row>
    <row r="1029" spans="1:7" x14ac:dyDescent="0.25">
      <c r="A1029" s="11">
        <v>2028</v>
      </c>
      <c r="B1029" s="11" t="s">
        <v>0</v>
      </c>
      <c r="C1029" s="4">
        <v>20</v>
      </c>
      <c r="D1029" s="11">
        <v>2</v>
      </c>
      <c r="E1029" s="11">
        <v>2</v>
      </c>
      <c r="F1029" s="11">
        <v>4</v>
      </c>
      <c r="G1029" s="11">
        <v>3</v>
      </c>
    </row>
    <row r="1030" spans="1:7" x14ac:dyDescent="0.25">
      <c r="A1030" s="11">
        <v>2028</v>
      </c>
      <c r="B1030" s="11" t="s">
        <v>0</v>
      </c>
      <c r="C1030" s="4">
        <v>21</v>
      </c>
      <c r="D1030" s="11">
        <v>3</v>
      </c>
      <c r="E1030" s="11">
        <v>1</v>
      </c>
      <c r="F1030" s="11">
        <v>1</v>
      </c>
      <c r="G1030" s="11">
        <v>3</v>
      </c>
    </row>
    <row r="1031" spans="1:7" x14ac:dyDescent="0.25">
      <c r="A1031" s="11">
        <v>2028</v>
      </c>
      <c r="B1031" s="11" t="s">
        <v>0</v>
      </c>
      <c r="C1031" s="4">
        <v>22</v>
      </c>
      <c r="D1031" s="11">
        <v>2</v>
      </c>
      <c r="E1031" s="11">
        <v>3</v>
      </c>
      <c r="F1031" s="11">
        <v>2</v>
      </c>
      <c r="G1031" s="11">
        <v>1</v>
      </c>
    </row>
    <row r="1032" spans="1:7" x14ac:dyDescent="0.25">
      <c r="A1032" s="11">
        <v>2028</v>
      </c>
      <c r="B1032" s="11" t="s">
        <v>0</v>
      </c>
      <c r="C1032" s="4">
        <v>23</v>
      </c>
      <c r="D1032" s="11">
        <v>2</v>
      </c>
      <c r="E1032" s="11">
        <v>1</v>
      </c>
      <c r="F1032" s="11">
        <v>1</v>
      </c>
      <c r="G1032" s="11">
        <v>2</v>
      </c>
    </row>
    <row r="1033" spans="1:7" x14ac:dyDescent="0.25">
      <c r="A1033" s="11">
        <v>2028</v>
      </c>
      <c r="B1033" s="11" t="s">
        <v>0</v>
      </c>
      <c r="C1033" s="4">
        <v>24</v>
      </c>
      <c r="D1033" s="11">
        <v>4</v>
      </c>
      <c r="E1033" s="11">
        <v>1</v>
      </c>
      <c r="F1033" s="11">
        <v>3</v>
      </c>
      <c r="G1033" s="11">
        <v>1</v>
      </c>
    </row>
    <row r="1034" spans="1:7" x14ac:dyDescent="0.25">
      <c r="A1034" s="11">
        <v>2028</v>
      </c>
      <c r="B1034" s="11" t="s">
        <v>0</v>
      </c>
      <c r="C1034" s="4">
        <v>25</v>
      </c>
      <c r="D1034" s="11">
        <v>3</v>
      </c>
      <c r="E1034" s="11">
        <v>2</v>
      </c>
      <c r="F1034" s="11">
        <v>1</v>
      </c>
      <c r="G1034" s="11">
        <v>1</v>
      </c>
    </row>
    <row r="1035" spans="1:7" x14ac:dyDescent="0.25">
      <c r="A1035" s="11">
        <v>2028</v>
      </c>
      <c r="B1035" s="11" t="s">
        <v>0</v>
      </c>
      <c r="C1035" s="4">
        <v>26</v>
      </c>
      <c r="D1035" s="11">
        <v>3</v>
      </c>
      <c r="E1035" s="11">
        <v>4</v>
      </c>
      <c r="F1035" s="11">
        <v>1</v>
      </c>
      <c r="G1035" s="11">
        <v>1</v>
      </c>
    </row>
    <row r="1036" spans="1:7" x14ac:dyDescent="0.25">
      <c r="A1036" s="11">
        <v>2028</v>
      </c>
      <c r="B1036" s="11" t="s">
        <v>0</v>
      </c>
      <c r="C1036" s="4">
        <v>27</v>
      </c>
      <c r="D1036" s="11">
        <v>1</v>
      </c>
      <c r="E1036" s="11">
        <v>3</v>
      </c>
      <c r="F1036" s="11">
        <v>1</v>
      </c>
      <c r="G1036" s="11">
        <v>1</v>
      </c>
    </row>
    <row r="1037" spans="1:7" x14ac:dyDescent="0.25">
      <c r="A1037" s="11">
        <v>2028</v>
      </c>
      <c r="B1037" s="11" t="s">
        <v>0</v>
      </c>
      <c r="C1037" s="4">
        <v>28</v>
      </c>
      <c r="D1037" s="11">
        <v>2</v>
      </c>
      <c r="E1037" s="11">
        <v>2</v>
      </c>
      <c r="F1037" s="11">
        <v>1</v>
      </c>
      <c r="G1037" s="11">
        <v>2</v>
      </c>
    </row>
    <row r="1038" spans="1:7" x14ac:dyDescent="0.25">
      <c r="A1038" s="11">
        <v>2028</v>
      </c>
      <c r="B1038" s="11" t="s">
        <v>1</v>
      </c>
      <c r="C1038" s="4">
        <v>1</v>
      </c>
      <c r="D1038" s="11">
        <v>2</v>
      </c>
      <c r="E1038" s="11">
        <v>3</v>
      </c>
      <c r="F1038" s="11">
        <v>2</v>
      </c>
      <c r="G1038" s="11">
        <v>1</v>
      </c>
    </row>
    <row r="1039" spans="1:7" x14ac:dyDescent="0.25">
      <c r="A1039" s="11">
        <v>2028</v>
      </c>
      <c r="B1039" s="11" t="s">
        <v>1</v>
      </c>
      <c r="C1039" s="4">
        <v>2</v>
      </c>
      <c r="D1039" s="11">
        <v>1</v>
      </c>
      <c r="E1039" s="11">
        <v>1</v>
      </c>
      <c r="F1039" s="11">
        <v>1</v>
      </c>
      <c r="G1039" s="11">
        <v>2</v>
      </c>
    </row>
    <row r="1040" spans="1:7" x14ac:dyDescent="0.25">
      <c r="A1040" s="11">
        <v>2028</v>
      </c>
      <c r="B1040" s="11" t="s">
        <v>1</v>
      </c>
      <c r="C1040" s="4">
        <v>3</v>
      </c>
      <c r="D1040" s="11">
        <v>3</v>
      </c>
      <c r="E1040" s="11">
        <v>2</v>
      </c>
      <c r="F1040" s="11">
        <v>1</v>
      </c>
      <c r="G1040" s="11">
        <v>4</v>
      </c>
    </row>
    <row r="1041" spans="1:7" x14ac:dyDescent="0.25">
      <c r="A1041" s="11">
        <v>2028</v>
      </c>
      <c r="B1041" s="11" t="s">
        <v>1</v>
      </c>
      <c r="C1041" s="4">
        <v>4</v>
      </c>
      <c r="D1041" s="11">
        <v>2</v>
      </c>
      <c r="E1041" s="11">
        <v>2</v>
      </c>
      <c r="F1041" s="11">
        <v>1</v>
      </c>
      <c r="G1041" s="11">
        <v>2</v>
      </c>
    </row>
    <row r="1042" spans="1:7" x14ac:dyDescent="0.25">
      <c r="A1042" s="11">
        <v>2028</v>
      </c>
      <c r="B1042" s="11" t="s">
        <v>1</v>
      </c>
      <c r="C1042" s="4">
        <v>5</v>
      </c>
      <c r="D1042" s="11">
        <v>2</v>
      </c>
      <c r="E1042" s="11">
        <v>1</v>
      </c>
      <c r="F1042" s="11">
        <v>2</v>
      </c>
      <c r="G1042" s="11">
        <v>2</v>
      </c>
    </row>
    <row r="1043" spans="1:7" x14ac:dyDescent="0.25">
      <c r="A1043" s="11">
        <v>2028</v>
      </c>
      <c r="B1043" s="11" t="s">
        <v>1</v>
      </c>
      <c r="C1043" s="4">
        <v>6</v>
      </c>
      <c r="D1043" s="11">
        <v>3</v>
      </c>
      <c r="E1043" s="11">
        <v>3</v>
      </c>
      <c r="F1043" s="11">
        <v>4</v>
      </c>
      <c r="G1043" s="11">
        <v>3</v>
      </c>
    </row>
    <row r="1044" spans="1:7" x14ac:dyDescent="0.25">
      <c r="A1044" s="11">
        <v>2028</v>
      </c>
      <c r="B1044" s="11" t="s">
        <v>1</v>
      </c>
      <c r="C1044" s="4">
        <v>7</v>
      </c>
      <c r="D1044" s="11">
        <v>4</v>
      </c>
      <c r="E1044" s="11">
        <v>2</v>
      </c>
      <c r="F1044" s="11">
        <v>3</v>
      </c>
      <c r="G1044" s="11">
        <v>1</v>
      </c>
    </row>
    <row r="1045" spans="1:7" x14ac:dyDescent="0.25">
      <c r="A1045" s="11">
        <v>2028</v>
      </c>
      <c r="B1045" s="11" t="s">
        <v>1</v>
      </c>
      <c r="C1045" s="4">
        <v>8</v>
      </c>
      <c r="D1045" s="11">
        <v>1</v>
      </c>
      <c r="E1045" s="11">
        <v>2</v>
      </c>
      <c r="F1045" s="11">
        <v>1</v>
      </c>
      <c r="G1045" s="11">
        <v>1</v>
      </c>
    </row>
    <row r="1046" spans="1:7" x14ac:dyDescent="0.25">
      <c r="A1046" s="11">
        <v>2028</v>
      </c>
      <c r="B1046" s="11" t="s">
        <v>1</v>
      </c>
      <c r="C1046" s="4">
        <v>9</v>
      </c>
      <c r="D1046" s="11">
        <v>1</v>
      </c>
      <c r="E1046" s="11">
        <v>2</v>
      </c>
      <c r="F1046" s="11">
        <v>1</v>
      </c>
      <c r="G1046" s="11">
        <v>2</v>
      </c>
    </row>
    <row r="1047" spans="1:7" x14ac:dyDescent="0.25">
      <c r="A1047" s="11">
        <v>2028</v>
      </c>
      <c r="B1047" s="11" t="s">
        <v>1</v>
      </c>
      <c r="C1047" s="4">
        <v>10</v>
      </c>
      <c r="D1047" s="11">
        <v>2</v>
      </c>
      <c r="E1047" s="11">
        <v>2</v>
      </c>
      <c r="F1047" s="11">
        <v>4</v>
      </c>
      <c r="G1047" s="11">
        <v>1</v>
      </c>
    </row>
    <row r="1048" spans="1:7" x14ac:dyDescent="0.25">
      <c r="A1048" s="11">
        <v>2028</v>
      </c>
      <c r="B1048" s="11" t="s">
        <v>1</v>
      </c>
      <c r="C1048" s="4">
        <v>11</v>
      </c>
      <c r="D1048" s="11">
        <v>1</v>
      </c>
      <c r="E1048" s="11">
        <v>1</v>
      </c>
      <c r="F1048" s="11">
        <v>4</v>
      </c>
      <c r="G1048" s="11">
        <v>1</v>
      </c>
    </row>
    <row r="1049" spans="1:7" x14ac:dyDescent="0.25">
      <c r="A1049" s="11">
        <v>2028</v>
      </c>
      <c r="B1049" s="11" t="s">
        <v>1</v>
      </c>
      <c r="C1049" s="4">
        <v>12</v>
      </c>
      <c r="D1049" s="11">
        <v>3</v>
      </c>
      <c r="E1049" s="11">
        <v>1</v>
      </c>
      <c r="F1049" s="11">
        <v>1</v>
      </c>
      <c r="G1049" s="11">
        <v>2</v>
      </c>
    </row>
    <row r="1050" spans="1:7" x14ac:dyDescent="0.25">
      <c r="A1050" s="11">
        <v>2028</v>
      </c>
      <c r="B1050" s="11" t="s">
        <v>1</v>
      </c>
      <c r="C1050" s="4">
        <v>13</v>
      </c>
      <c r="D1050" s="11">
        <v>1</v>
      </c>
      <c r="E1050" s="11">
        <v>2</v>
      </c>
      <c r="F1050" s="11">
        <v>4</v>
      </c>
      <c r="G1050" s="11">
        <v>1</v>
      </c>
    </row>
    <row r="1051" spans="1:7" x14ac:dyDescent="0.25">
      <c r="A1051" s="11">
        <v>2028</v>
      </c>
      <c r="B1051" s="11" t="s">
        <v>1</v>
      </c>
      <c r="C1051" s="4">
        <v>14</v>
      </c>
      <c r="D1051" s="11">
        <v>2</v>
      </c>
      <c r="E1051" s="11">
        <v>2</v>
      </c>
      <c r="F1051" s="11">
        <v>3</v>
      </c>
      <c r="G1051" s="11">
        <v>1</v>
      </c>
    </row>
    <row r="1052" spans="1:7" x14ac:dyDescent="0.25">
      <c r="A1052" s="11">
        <v>2028</v>
      </c>
      <c r="B1052" s="11" t="s">
        <v>1</v>
      </c>
      <c r="C1052" s="4">
        <v>15</v>
      </c>
      <c r="D1052" s="11">
        <v>1</v>
      </c>
      <c r="E1052" s="11">
        <v>3</v>
      </c>
      <c r="F1052" s="11">
        <v>2</v>
      </c>
      <c r="G1052" s="11">
        <v>2</v>
      </c>
    </row>
    <row r="1053" spans="1:7" x14ac:dyDescent="0.25">
      <c r="A1053" s="11">
        <v>2028</v>
      </c>
      <c r="B1053" s="11" t="s">
        <v>1</v>
      </c>
      <c r="C1053" s="4">
        <v>16</v>
      </c>
      <c r="D1053" s="11">
        <v>1</v>
      </c>
      <c r="E1053" s="11">
        <v>1</v>
      </c>
      <c r="F1053" s="11">
        <v>4</v>
      </c>
      <c r="G1053" s="11">
        <v>2</v>
      </c>
    </row>
    <row r="1054" spans="1:7" x14ac:dyDescent="0.25">
      <c r="A1054" s="11">
        <v>2028</v>
      </c>
      <c r="B1054" s="11" t="s">
        <v>1</v>
      </c>
      <c r="C1054" s="4">
        <v>17</v>
      </c>
      <c r="D1054" s="11">
        <v>2</v>
      </c>
      <c r="E1054" s="11">
        <v>1</v>
      </c>
      <c r="F1054" s="11">
        <v>1</v>
      </c>
      <c r="G1054" s="11">
        <v>1</v>
      </c>
    </row>
    <row r="1055" spans="1:7" x14ac:dyDescent="0.25">
      <c r="A1055" s="11">
        <v>2028</v>
      </c>
      <c r="B1055" s="11" t="s">
        <v>1</v>
      </c>
      <c r="C1055" s="4">
        <v>18</v>
      </c>
      <c r="D1055" s="11">
        <v>2</v>
      </c>
      <c r="E1055" s="11">
        <v>1</v>
      </c>
      <c r="F1055" s="11">
        <v>1</v>
      </c>
      <c r="G1055" s="11">
        <v>4</v>
      </c>
    </row>
    <row r="1056" spans="1:7" x14ac:dyDescent="0.25">
      <c r="A1056" s="11">
        <v>2028</v>
      </c>
      <c r="B1056" s="11" t="s">
        <v>1</v>
      </c>
      <c r="C1056" s="4">
        <v>19</v>
      </c>
      <c r="D1056" s="11">
        <v>3</v>
      </c>
      <c r="E1056" s="11">
        <v>1</v>
      </c>
      <c r="F1056" s="11">
        <v>1</v>
      </c>
      <c r="G1056" s="11">
        <v>3</v>
      </c>
    </row>
    <row r="1057" spans="1:7" x14ac:dyDescent="0.25">
      <c r="A1057" s="11">
        <v>2028</v>
      </c>
      <c r="B1057" s="11" t="s">
        <v>1</v>
      </c>
      <c r="C1057" s="4">
        <v>20</v>
      </c>
      <c r="D1057" s="11">
        <v>2</v>
      </c>
      <c r="E1057" s="11">
        <v>1</v>
      </c>
      <c r="F1057" s="11">
        <v>3</v>
      </c>
      <c r="G1057" s="11">
        <v>1</v>
      </c>
    </row>
    <row r="1058" spans="1:7" x14ac:dyDescent="0.25">
      <c r="A1058" s="11">
        <v>2028</v>
      </c>
      <c r="B1058" s="11" t="s">
        <v>1</v>
      </c>
      <c r="C1058" s="4">
        <v>21</v>
      </c>
      <c r="D1058" s="11">
        <v>3</v>
      </c>
      <c r="E1058" s="11">
        <v>4</v>
      </c>
      <c r="F1058" s="11">
        <v>2</v>
      </c>
      <c r="G1058" s="11">
        <v>1</v>
      </c>
    </row>
    <row r="1059" spans="1:7" x14ac:dyDescent="0.25">
      <c r="A1059" s="11">
        <v>2028</v>
      </c>
      <c r="B1059" s="11" t="s">
        <v>1</v>
      </c>
      <c r="C1059" s="4">
        <v>22</v>
      </c>
      <c r="D1059" s="11">
        <v>1</v>
      </c>
      <c r="E1059" s="11">
        <v>3</v>
      </c>
      <c r="F1059" s="11">
        <v>1</v>
      </c>
      <c r="G1059" s="11">
        <v>2</v>
      </c>
    </row>
    <row r="1060" spans="1:7" x14ac:dyDescent="0.25">
      <c r="A1060" s="11">
        <v>2028</v>
      </c>
      <c r="B1060" s="11" t="s">
        <v>1</v>
      </c>
      <c r="C1060" s="4">
        <v>23</v>
      </c>
      <c r="D1060" s="11">
        <v>2</v>
      </c>
      <c r="E1060" s="11">
        <v>3</v>
      </c>
      <c r="F1060" s="11">
        <v>1</v>
      </c>
      <c r="G1060" s="11">
        <v>1</v>
      </c>
    </row>
    <row r="1061" spans="1:7" x14ac:dyDescent="0.25">
      <c r="A1061" s="11">
        <v>2028</v>
      </c>
      <c r="B1061" s="11" t="s">
        <v>1</v>
      </c>
      <c r="C1061" s="4">
        <v>24</v>
      </c>
      <c r="D1061" s="11">
        <v>1</v>
      </c>
      <c r="E1061" s="11">
        <v>2</v>
      </c>
      <c r="F1061" s="11">
        <v>2</v>
      </c>
      <c r="G1061" s="11">
        <v>1</v>
      </c>
    </row>
    <row r="1062" spans="1:7" x14ac:dyDescent="0.25">
      <c r="A1062" s="11">
        <v>2028</v>
      </c>
      <c r="B1062" s="11" t="s">
        <v>1</v>
      </c>
      <c r="C1062" s="4">
        <v>25</v>
      </c>
      <c r="D1062" s="11">
        <v>2</v>
      </c>
      <c r="E1062" s="11">
        <v>1</v>
      </c>
      <c r="F1062" s="11">
        <v>4</v>
      </c>
      <c r="G1062" s="11">
        <v>1</v>
      </c>
    </row>
    <row r="1063" spans="1:7" x14ac:dyDescent="0.25">
      <c r="A1063" s="11">
        <v>2028</v>
      </c>
      <c r="B1063" s="11" t="s">
        <v>1</v>
      </c>
      <c r="C1063" s="4">
        <v>26</v>
      </c>
      <c r="D1063" s="11">
        <v>1</v>
      </c>
      <c r="E1063" s="11">
        <v>1</v>
      </c>
      <c r="F1063" s="11">
        <v>1</v>
      </c>
      <c r="G1063" s="11">
        <v>1</v>
      </c>
    </row>
    <row r="1064" spans="1:7" x14ac:dyDescent="0.25">
      <c r="A1064" s="11">
        <v>2028</v>
      </c>
      <c r="B1064" s="11" t="s">
        <v>1</v>
      </c>
      <c r="C1064" s="4">
        <v>27</v>
      </c>
      <c r="D1064" s="11">
        <v>2</v>
      </c>
      <c r="E1064" s="11">
        <v>2</v>
      </c>
      <c r="F1064" s="11">
        <v>4</v>
      </c>
      <c r="G1064" s="11">
        <v>3</v>
      </c>
    </row>
    <row r="1065" spans="1:7" x14ac:dyDescent="0.25">
      <c r="A1065" s="11">
        <v>2028</v>
      </c>
      <c r="B1065" s="11" t="s">
        <v>1</v>
      </c>
      <c r="C1065" s="4">
        <v>28</v>
      </c>
      <c r="D1065" s="11">
        <v>1</v>
      </c>
      <c r="E1065" s="11">
        <v>3</v>
      </c>
      <c r="F1065" s="11">
        <v>1</v>
      </c>
      <c r="G1065" s="11">
        <v>1</v>
      </c>
    </row>
    <row r="1066" spans="1:7" x14ac:dyDescent="0.25">
      <c r="A1066" s="11">
        <v>2028</v>
      </c>
      <c r="B1066" s="11" t="s">
        <v>2</v>
      </c>
      <c r="C1066" s="4">
        <v>1</v>
      </c>
      <c r="D1066" s="11">
        <v>2</v>
      </c>
      <c r="E1066" s="11">
        <v>2</v>
      </c>
      <c r="F1066" s="11">
        <v>3</v>
      </c>
      <c r="G1066" s="11">
        <v>1</v>
      </c>
    </row>
    <row r="1067" spans="1:7" x14ac:dyDescent="0.25">
      <c r="A1067" s="11">
        <v>2028</v>
      </c>
      <c r="B1067" s="11" t="s">
        <v>2</v>
      </c>
      <c r="C1067" s="4">
        <v>2</v>
      </c>
      <c r="D1067" s="11">
        <v>3</v>
      </c>
      <c r="E1067" s="11">
        <v>3</v>
      </c>
      <c r="F1067" s="11">
        <v>2</v>
      </c>
      <c r="G1067" s="11">
        <v>4</v>
      </c>
    </row>
    <row r="1068" spans="1:7" x14ac:dyDescent="0.25">
      <c r="A1068" s="11">
        <v>2028</v>
      </c>
      <c r="B1068" s="11" t="s">
        <v>2</v>
      </c>
      <c r="C1068" s="4">
        <v>3</v>
      </c>
      <c r="D1068" s="11">
        <v>1</v>
      </c>
      <c r="E1068" s="11">
        <v>1</v>
      </c>
      <c r="F1068" s="11">
        <v>3</v>
      </c>
      <c r="G1068" s="11">
        <v>2</v>
      </c>
    </row>
    <row r="1069" spans="1:7" x14ac:dyDescent="0.25">
      <c r="A1069" s="11">
        <v>2028</v>
      </c>
      <c r="B1069" s="11" t="s">
        <v>2</v>
      </c>
      <c r="C1069" s="4">
        <v>4</v>
      </c>
      <c r="D1069" s="11">
        <v>1</v>
      </c>
      <c r="E1069" s="11">
        <v>2</v>
      </c>
      <c r="F1069" s="11">
        <v>1</v>
      </c>
      <c r="G1069" s="11">
        <v>1</v>
      </c>
    </row>
    <row r="1070" spans="1:7" x14ac:dyDescent="0.25">
      <c r="A1070" s="11">
        <v>2028</v>
      </c>
      <c r="B1070" s="11" t="s">
        <v>2</v>
      </c>
      <c r="C1070" s="4">
        <v>5</v>
      </c>
      <c r="D1070" s="11">
        <v>4</v>
      </c>
      <c r="E1070" s="11">
        <v>4</v>
      </c>
      <c r="F1070" s="11">
        <v>3</v>
      </c>
      <c r="G1070" s="11">
        <v>4</v>
      </c>
    </row>
    <row r="1071" spans="1:7" x14ac:dyDescent="0.25">
      <c r="A1071" s="11">
        <v>2028</v>
      </c>
      <c r="B1071" s="11" t="s">
        <v>2</v>
      </c>
      <c r="C1071" s="4">
        <v>6</v>
      </c>
      <c r="D1071" s="11">
        <v>1</v>
      </c>
      <c r="E1071" s="11">
        <v>1</v>
      </c>
      <c r="F1071" s="11">
        <v>2</v>
      </c>
      <c r="G1071" s="11">
        <v>2</v>
      </c>
    </row>
    <row r="1072" spans="1:7" x14ac:dyDescent="0.25">
      <c r="A1072" s="11">
        <v>2028</v>
      </c>
      <c r="B1072" s="11" t="s">
        <v>2</v>
      </c>
      <c r="C1072" s="4">
        <v>7</v>
      </c>
      <c r="D1072" s="11">
        <v>1</v>
      </c>
      <c r="E1072" s="11">
        <v>1</v>
      </c>
      <c r="F1072" s="11">
        <v>2</v>
      </c>
      <c r="G1072" s="11">
        <v>2</v>
      </c>
    </row>
    <row r="1073" spans="1:7" x14ac:dyDescent="0.25">
      <c r="A1073" s="11">
        <v>2028</v>
      </c>
      <c r="B1073" s="11" t="s">
        <v>2</v>
      </c>
      <c r="C1073" s="4">
        <v>8</v>
      </c>
      <c r="D1073" s="11">
        <v>2</v>
      </c>
      <c r="E1073" s="11">
        <v>1</v>
      </c>
      <c r="F1073" s="11">
        <v>3</v>
      </c>
      <c r="G1073" s="11">
        <v>1</v>
      </c>
    </row>
    <row r="1074" spans="1:7" x14ac:dyDescent="0.25">
      <c r="A1074" s="11">
        <v>2028</v>
      </c>
      <c r="B1074" s="11" t="s">
        <v>2</v>
      </c>
      <c r="C1074" s="4">
        <v>9</v>
      </c>
      <c r="D1074" s="11">
        <v>1</v>
      </c>
      <c r="E1074" s="11">
        <v>3</v>
      </c>
      <c r="F1074" s="11">
        <v>2</v>
      </c>
      <c r="G1074" s="11">
        <v>2</v>
      </c>
    </row>
    <row r="1075" spans="1:7" x14ac:dyDescent="0.25">
      <c r="A1075" s="11">
        <v>2028</v>
      </c>
      <c r="B1075" s="11" t="s">
        <v>2</v>
      </c>
      <c r="C1075" s="4">
        <v>10</v>
      </c>
      <c r="D1075" s="11">
        <v>1</v>
      </c>
      <c r="E1075" s="11">
        <v>2</v>
      </c>
      <c r="F1075" s="11">
        <v>1</v>
      </c>
      <c r="G1075" s="11">
        <v>3</v>
      </c>
    </row>
    <row r="1076" spans="1:7" x14ac:dyDescent="0.25">
      <c r="A1076" s="11">
        <v>2028</v>
      </c>
      <c r="B1076" s="11" t="s">
        <v>2</v>
      </c>
      <c r="C1076" s="4">
        <v>11</v>
      </c>
      <c r="D1076" s="11">
        <v>4</v>
      </c>
      <c r="E1076" s="11">
        <v>1</v>
      </c>
      <c r="F1076" s="11">
        <v>1</v>
      </c>
      <c r="G1076" s="11">
        <v>4</v>
      </c>
    </row>
    <row r="1077" spans="1:7" x14ac:dyDescent="0.25">
      <c r="A1077" s="11">
        <v>2028</v>
      </c>
      <c r="B1077" s="11" t="s">
        <v>2</v>
      </c>
      <c r="C1077" s="4">
        <v>12</v>
      </c>
      <c r="D1077" s="11">
        <v>2</v>
      </c>
      <c r="E1077" s="11">
        <v>3</v>
      </c>
      <c r="F1077" s="11">
        <v>1</v>
      </c>
      <c r="G1077" s="11">
        <v>1</v>
      </c>
    </row>
    <row r="1078" spans="1:7" x14ac:dyDescent="0.25">
      <c r="A1078" s="11">
        <v>2028</v>
      </c>
      <c r="B1078" s="11" t="s">
        <v>2</v>
      </c>
      <c r="C1078" s="4">
        <v>13</v>
      </c>
      <c r="D1078" s="11">
        <v>2</v>
      </c>
      <c r="E1078" s="11">
        <v>1</v>
      </c>
      <c r="F1078" s="11">
        <v>2</v>
      </c>
      <c r="G1078" s="11">
        <v>4</v>
      </c>
    </row>
    <row r="1079" spans="1:7" x14ac:dyDescent="0.25">
      <c r="A1079" s="11">
        <v>2028</v>
      </c>
      <c r="B1079" s="11" t="s">
        <v>2</v>
      </c>
      <c r="C1079" s="4">
        <v>14</v>
      </c>
      <c r="D1079" s="11">
        <v>4</v>
      </c>
      <c r="E1079" s="11">
        <v>2</v>
      </c>
      <c r="F1079" s="11">
        <v>3</v>
      </c>
      <c r="G1079" s="11">
        <v>1</v>
      </c>
    </row>
    <row r="1080" spans="1:7" x14ac:dyDescent="0.25">
      <c r="A1080" s="11">
        <v>2028</v>
      </c>
      <c r="B1080" s="11" t="s">
        <v>2</v>
      </c>
      <c r="C1080" s="4">
        <v>15</v>
      </c>
      <c r="D1080" s="11">
        <v>1</v>
      </c>
      <c r="E1080" s="11">
        <v>2</v>
      </c>
      <c r="F1080" s="11">
        <v>3</v>
      </c>
      <c r="G1080" s="11">
        <v>4</v>
      </c>
    </row>
    <row r="1081" spans="1:7" x14ac:dyDescent="0.25">
      <c r="A1081" s="11">
        <v>2028</v>
      </c>
      <c r="B1081" s="11" t="s">
        <v>2</v>
      </c>
      <c r="C1081" s="4">
        <v>16</v>
      </c>
      <c r="D1081" s="11">
        <v>3</v>
      </c>
      <c r="E1081" s="11">
        <v>3</v>
      </c>
      <c r="F1081" s="11">
        <v>3</v>
      </c>
      <c r="G1081" s="11">
        <v>3</v>
      </c>
    </row>
    <row r="1082" spans="1:7" x14ac:dyDescent="0.25">
      <c r="A1082" s="11">
        <v>2028</v>
      </c>
      <c r="B1082" s="11" t="s">
        <v>2</v>
      </c>
      <c r="C1082" s="4">
        <v>17</v>
      </c>
      <c r="D1082" s="11">
        <v>3</v>
      </c>
      <c r="E1082" s="11">
        <v>4</v>
      </c>
      <c r="F1082" s="11">
        <v>1</v>
      </c>
      <c r="G1082" s="11">
        <v>2</v>
      </c>
    </row>
    <row r="1083" spans="1:7" x14ac:dyDescent="0.25">
      <c r="A1083" s="11">
        <v>2028</v>
      </c>
      <c r="B1083" s="11" t="s">
        <v>2</v>
      </c>
      <c r="C1083" s="4">
        <v>18</v>
      </c>
      <c r="D1083" s="11">
        <v>3</v>
      </c>
      <c r="E1083" s="11">
        <v>1</v>
      </c>
      <c r="F1083" s="11">
        <v>2</v>
      </c>
      <c r="G1083" s="11">
        <v>1</v>
      </c>
    </row>
    <row r="1084" spans="1:7" x14ac:dyDescent="0.25">
      <c r="A1084" s="11">
        <v>2028</v>
      </c>
      <c r="B1084" s="11" t="s">
        <v>2</v>
      </c>
      <c r="C1084" s="4">
        <v>19</v>
      </c>
      <c r="D1084" s="11">
        <v>1</v>
      </c>
      <c r="E1084" s="11">
        <v>1</v>
      </c>
      <c r="F1084" s="11">
        <v>3</v>
      </c>
      <c r="G1084" s="11">
        <v>1</v>
      </c>
    </row>
    <row r="1085" spans="1:7" x14ac:dyDescent="0.25">
      <c r="A1085" s="11">
        <v>2028</v>
      </c>
      <c r="B1085" s="11" t="s">
        <v>2</v>
      </c>
      <c r="C1085" s="4">
        <v>20</v>
      </c>
      <c r="D1085" s="11">
        <v>2</v>
      </c>
      <c r="E1085" s="11">
        <v>4</v>
      </c>
      <c r="F1085" s="11">
        <v>1</v>
      </c>
      <c r="G1085" s="11">
        <v>1</v>
      </c>
    </row>
    <row r="1086" spans="1:7" x14ac:dyDescent="0.25">
      <c r="A1086" s="11">
        <v>2028</v>
      </c>
      <c r="B1086" s="11" t="s">
        <v>2</v>
      </c>
      <c r="C1086" s="4">
        <v>21</v>
      </c>
      <c r="D1086" s="11">
        <v>1</v>
      </c>
      <c r="E1086" s="11">
        <v>4</v>
      </c>
      <c r="F1086" s="11">
        <v>3</v>
      </c>
      <c r="G1086" s="11">
        <v>4</v>
      </c>
    </row>
    <row r="1087" spans="1:7" x14ac:dyDescent="0.25">
      <c r="A1087" s="11">
        <v>2028</v>
      </c>
      <c r="B1087" s="11" t="s">
        <v>2</v>
      </c>
      <c r="C1087" s="4">
        <v>22</v>
      </c>
      <c r="D1087" s="11">
        <v>2</v>
      </c>
      <c r="E1087" s="11">
        <v>2</v>
      </c>
      <c r="F1087" s="11">
        <v>3</v>
      </c>
      <c r="G1087" s="11">
        <v>3</v>
      </c>
    </row>
    <row r="1088" spans="1:7" x14ac:dyDescent="0.25">
      <c r="A1088" s="11">
        <v>2028</v>
      </c>
      <c r="B1088" s="11" t="s">
        <v>2</v>
      </c>
      <c r="C1088" s="4">
        <v>23</v>
      </c>
      <c r="D1088" s="11">
        <v>2</v>
      </c>
      <c r="E1088" s="11">
        <v>2</v>
      </c>
      <c r="F1088" s="11">
        <v>2</v>
      </c>
      <c r="G1088" s="11">
        <v>1</v>
      </c>
    </row>
    <row r="1089" spans="1:7" x14ac:dyDescent="0.25">
      <c r="A1089" s="11">
        <v>2028</v>
      </c>
      <c r="B1089" s="11" t="s">
        <v>2</v>
      </c>
      <c r="C1089" s="4">
        <v>24</v>
      </c>
      <c r="D1089" s="11">
        <v>4</v>
      </c>
      <c r="E1089" s="11">
        <v>1</v>
      </c>
      <c r="F1089" s="11">
        <v>4</v>
      </c>
      <c r="G1089" s="11">
        <v>2</v>
      </c>
    </row>
    <row r="1090" spans="1:7" x14ac:dyDescent="0.25">
      <c r="A1090" s="11">
        <v>2028</v>
      </c>
      <c r="B1090" s="11" t="s">
        <v>2</v>
      </c>
      <c r="C1090" s="4">
        <v>25</v>
      </c>
      <c r="D1090" s="11">
        <v>1</v>
      </c>
      <c r="E1090" s="11">
        <v>4</v>
      </c>
      <c r="F1090" s="11">
        <v>1</v>
      </c>
      <c r="G1090" s="11">
        <v>2</v>
      </c>
    </row>
    <row r="1091" spans="1:7" x14ac:dyDescent="0.25">
      <c r="A1091" s="11">
        <v>2028</v>
      </c>
      <c r="B1091" s="11" t="s">
        <v>2</v>
      </c>
      <c r="C1091" s="4">
        <v>26</v>
      </c>
      <c r="D1091" s="11">
        <v>3</v>
      </c>
      <c r="E1091" s="11">
        <v>4</v>
      </c>
      <c r="F1091" s="11">
        <v>3</v>
      </c>
      <c r="G1091" s="11">
        <v>2</v>
      </c>
    </row>
    <row r="1092" spans="1:7" x14ac:dyDescent="0.25">
      <c r="A1092" s="11">
        <v>2028</v>
      </c>
      <c r="B1092" s="11" t="s">
        <v>2</v>
      </c>
      <c r="C1092" s="4">
        <v>27</v>
      </c>
      <c r="D1092" s="11">
        <v>2</v>
      </c>
      <c r="E1092" s="11">
        <v>3</v>
      </c>
      <c r="F1092" s="11">
        <v>1</v>
      </c>
      <c r="G1092" s="11">
        <v>4</v>
      </c>
    </row>
    <row r="1093" spans="1:7" x14ac:dyDescent="0.25">
      <c r="A1093" s="11">
        <v>2028</v>
      </c>
      <c r="B1093" s="11" t="s">
        <v>2</v>
      </c>
      <c r="C1093" s="4">
        <v>28</v>
      </c>
      <c r="D1093" s="11">
        <v>3</v>
      </c>
      <c r="E1093" s="11">
        <v>3</v>
      </c>
      <c r="F1093" s="11">
        <v>3</v>
      </c>
      <c r="G1093" s="11">
        <v>2</v>
      </c>
    </row>
    <row r="1094" spans="1:7" x14ac:dyDescent="0.25">
      <c r="A1094" s="11">
        <v>2028</v>
      </c>
      <c r="B1094" s="11" t="s">
        <v>3</v>
      </c>
      <c r="C1094" s="4">
        <v>1</v>
      </c>
      <c r="D1094" s="11">
        <v>2</v>
      </c>
      <c r="E1094" s="11">
        <v>1</v>
      </c>
      <c r="F1094" s="11">
        <v>4</v>
      </c>
      <c r="G1094" s="11">
        <v>2</v>
      </c>
    </row>
    <row r="1095" spans="1:7" x14ac:dyDescent="0.25">
      <c r="A1095" s="11">
        <v>2028</v>
      </c>
      <c r="B1095" s="11" t="s">
        <v>3</v>
      </c>
      <c r="C1095" s="4">
        <v>2</v>
      </c>
      <c r="D1095" s="11">
        <v>2</v>
      </c>
      <c r="E1095" s="11">
        <v>1</v>
      </c>
      <c r="F1095" s="11">
        <v>1</v>
      </c>
      <c r="G1095" s="11">
        <v>2</v>
      </c>
    </row>
    <row r="1096" spans="1:7" x14ac:dyDescent="0.25">
      <c r="A1096" s="11">
        <v>2028</v>
      </c>
      <c r="B1096" s="11" t="s">
        <v>3</v>
      </c>
      <c r="C1096" s="4">
        <v>3</v>
      </c>
      <c r="D1096" s="11">
        <v>1</v>
      </c>
      <c r="E1096" s="11">
        <v>1</v>
      </c>
      <c r="F1096" s="11">
        <v>2</v>
      </c>
      <c r="G1096" s="11">
        <v>1</v>
      </c>
    </row>
    <row r="1097" spans="1:7" x14ac:dyDescent="0.25">
      <c r="A1097" s="11">
        <v>2028</v>
      </c>
      <c r="B1097" s="11" t="s">
        <v>3</v>
      </c>
      <c r="C1097" s="4">
        <v>4</v>
      </c>
      <c r="D1097" s="11">
        <v>1</v>
      </c>
      <c r="E1097" s="11">
        <v>2</v>
      </c>
      <c r="F1097" s="11">
        <v>1</v>
      </c>
      <c r="G1097" s="11">
        <v>2</v>
      </c>
    </row>
    <row r="1098" spans="1:7" x14ac:dyDescent="0.25">
      <c r="A1098" s="11">
        <v>2028</v>
      </c>
      <c r="B1098" s="11" t="s">
        <v>3</v>
      </c>
      <c r="C1098" s="4">
        <v>5</v>
      </c>
      <c r="D1098" s="11">
        <v>1</v>
      </c>
      <c r="E1098" s="11">
        <v>1</v>
      </c>
      <c r="F1098" s="11">
        <v>1</v>
      </c>
      <c r="G1098" s="11">
        <v>2</v>
      </c>
    </row>
    <row r="1099" spans="1:7" x14ac:dyDescent="0.25">
      <c r="A1099" s="11">
        <v>2028</v>
      </c>
      <c r="B1099" s="11" t="s">
        <v>3</v>
      </c>
      <c r="C1099" s="4">
        <v>6</v>
      </c>
      <c r="D1099" s="11">
        <v>3</v>
      </c>
      <c r="E1099" s="11">
        <v>3</v>
      </c>
      <c r="F1099" s="11">
        <v>1</v>
      </c>
      <c r="G1099" s="11">
        <v>2</v>
      </c>
    </row>
    <row r="1100" spans="1:7" x14ac:dyDescent="0.25">
      <c r="A1100" s="11">
        <v>2028</v>
      </c>
      <c r="B1100" s="11" t="s">
        <v>3</v>
      </c>
      <c r="C1100" s="4">
        <v>7</v>
      </c>
      <c r="D1100" s="11">
        <v>1</v>
      </c>
      <c r="E1100" s="11">
        <v>3</v>
      </c>
      <c r="F1100" s="11">
        <v>1</v>
      </c>
      <c r="G1100" s="11">
        <v>4</v>
      </c>
    </row>
    <row r="1101" spans="1:7" x14ac:dyDescent="0.25">
      <c r="A1101" s="11">
        <v>2028</v>
      </c>
      <c r="B1101" s="11" t="s">
        <v>3</v>
      </c>
      <c r="C1101" s="4">
        <v>8</v>
      </c>
      <c r="D1101" s="11">
        <v>3</v>
      </c>
      <c r="E1101" s="11">
        <v>3</v>
      </c>
      <c r="F1101" s="11">
        <v>1</v>
      </c>
      <c r="G1101" s="11">
        <v>1</v>
      </c>
    </row>
    <row r="1102" spans="1:7" x14ac:dyDescent="0.25">
      <c r="A1102" s="11">
        <v>2028</v>
      </c>
      <c r="B1102" s="11" t="s">
        <v>3</v>
      </c>
      <c r="C1102" s="4">
        <v>9</v>
      </c>
      <c r="D1102" s="11">
        <v>2</v>
      </c>
      <c r="E1102" s="11">
        <v>3</v>
      </c>
      <c r="F1102" s="11">
        <v>2</v>
      </c>
      <c r="G1102" s="11">
        <v>2</v>
      </c>
    </row>
    <row r="1103" spans="1:7" x14ac:dyDescent="0.25">
      <c r="A1103" s="11">
        <v>2028</v>
      </c>
      <c r="B1103" s="11" t="s">
        <v>3</v>
      </c>
      <c r="C1103" s="4">
        <v>10</v>
      </c>
      <c r="D1103" s="11">
        <v>1</v>
      </c>
      <c r="E1103" s="11">
        <v>3</v>
      </c>
      <c r="F1103" s="11">
        <v>1</v>
      </c>
      <c r="G1103" s="11">
        <v>2</v>
      </c>
    </row>
    <row r="1104" spans="1:7" x14ac:dyDescent="0.25">
      <c r="A1104" s="11">
        <v>2028</v>
      </c>
      <c r="B1104" s="11" t="s">
        <v>3</v>
      </c>
      <c r="C1104" s="4">
        <v>11</v>
      </c>
      <c r="D1104" s="11">
        <v>1</v>
      </c>
      <c r="E1104" s="11">
        <v>2</v>
      </c>
      <c r="F1104" s="11">
        <v>3</v>
      </c>
      <c r="G1104" s="11">
        <v>1</v>
      </c>
    </row>
    <row r="1105" spans="1:7" x14ac:dyDescent="0.25">
      <c r="A1105" s="11">
        <v>2028</v>
      </c>
      <c r="B1105" s="11" t="s">
        <v>3</v>
      </c>
      <c r="C1105" s="4">
        <v>12</v>
      </c>
      <c r="D1105" s="11">
        <v>2</v>
      </c>
      <c r="E1105" s="11">
        <v>3</v>
      </c>
      <c r="F1105" s="11">
        <v>1</v>
      </c>
      <c r="G1105" s="11">
        <v>1</v>
      </c>
    </row>
    <row r="1106" spans="1:7" x14ac:dyDescent="0.25">
      <c r="A1106" s="11">
        <v>2028</v>
      </c>
      <c r="B1106" s="11" t="s">
        <v>3</v>
      </c>
      <c r="C1106" s="4">
        <v>13</v>
      </c>
      <c r="D1106" s="11">
        <v>1</v>
      </c>
      <c r="E1106" s="11">
        <v>1</v>
      </c>
      <c r="F1106" s="11">
        <v>4</v>
      </c>
      <c r="G1106" s="11">
        <v>4</v>
      </c>
    </row>
    <row r="1107" spans="1:7" x14ac:dyDescent="0.25">
      <c r="A1107" s="11">
        <v>2028</v>
      </c>
      <c r="B1107" s="11" t="s">
        <v>3</v>
      </c>
      <c r="C1107" s="4">
        <v>14</v>
      </c>
      <c r="D1107" s="11">
        <v>1</v>
      </c>
      <c r="E1107" s="11">
        <v>4</v>
      </c>
      <c r="F1107" s="11">
        <v>1</v>
      </c>
      <c r="G1107" s="11">
        <v>3</v>
      </c>
    </row>
    <row r="1108" spans="1:7" x14ac:dyDescent="0.25">
      <c r="A1108" s="11">
        <v>2028</v>
      </c>
      <c r="B1108" s="11" t="s">
        <v>3</v>
      </c>
      <c r="C1108" s="4">
        <v>15</v>
      </c>
      <c r="D1108" s="11">
        <v>1</v>
      </c>
      <c r="E1108" s="11">
        <v>2</v>
      </c>
      <c r="F1108" s="11">
        <v>1</v>
      </c>
      <c r="G1108" s="11">
        <v>3</v>
      </c>
    </row>
    <row r="1109" spans="1:7" x14ac:dyDescent="0.25">
      <c r="A1109" s="11">
        <v>2028</v>
      </c>
      <c r="B1109" s="11" t="s">
        <v>3</v>
      </c>
      <c r="C1109" s="4">
        <v>16</v>
      </c>
      <c r="D1109" s="11">
        <v>4</v>
      </c>
      <c r="E1109" s="11">
        <v>1</v>
      </c>
      <c r="F1109" s="11">
        <v>4</v>
      </c>
      <c r="G1109" s="11">
        <v>1</v>
      </c>
    </row>
    <row r="1110" spans="1:7" x14ac:dyDescent="0.25">
      <c r="A1110" s="11">
        <v>2028</v>
      </c>
      <c r="B1110" s="11" t="s">
        <v>3</v>
      </c>
      <c r="C1110" s="4">
        <v>17</v>
      </c>
      <c r="D1110" s="11">
        <v>2</v>
      </c>
      <c r="E1110" s="11">
        <v>2</v>
      </c>
      <c r="F1110" s="11">
        <v>1</v>
      </c>
      <c r="G1110" s="11">
        <v>1</v>
      </c>
    </row>
    <row r="1111" spans="1:7" x14ac:dyDescent="0.25">
      <c r="A1111" s="11">
        <v>2028</v>
      </c>
      <c r="B1111" s="11" t="s">
        <v>3</v>
      </c>
      <c r="C1111" s="4">
        <v>18</v>
      </c>
      <c r="D1111" s="11">
        <v>4</v>
      </c>
      <c r="E1111" s="11">
        <v>1</v>
      </c>
      <c r="F1111" s="11">
        <v>2</v>
      </c>
      <c r="G1111" s="11">
        <v>3</v>
      </c>
    </row>
    <row r="1112" spans="1:7" x14ac:dyDescent="0.25">
      <c r="A1112" s="11">
        <v>2028</v>
      </c>
      <c r="B1112" s="11" t="s">
        <v>3</v>
      </c>
      <c r="C1112" s="4">
        <v>19</v>
      </c>
      <c r="D1112" s="11">
        <v>1</v>
      </c>
      <c r="E1112" s="11">
        <v>2</v>
      </c>
      <c r="F1112" s="11">
        <v>1</v>
      </c>
      <c r="G1112" s="11">
        <v>1</v>
      </c>
    </row>
    <row r="1113" spans="1:7" x14ac:dyDescent="0.25">
      <c r="A1113" s="11">
        <v>2028</v>
      </c>
      <c r="B1113" s="11" t="s">
        <v>3</v>
      </c>
      <c r="C1113" s="4">
        <v>20</v>
      </c>
      <c r="D1113" s="11">
        <v>2</v>
      </c>
      <c r="E1113" s="11">
        <v>2</v>
      </c>
      <c r="F1113" s="11">
        <v>2</v>
      </c>
      <c r="G1113" s="11">
        <v>2</v>
      </c>
    </row>
    <row r="1114" spans="1:7" x14ac:dyDescent="0.25">
      <c r="A1114" s="11">
        <v>2028</v>
      </c>
      <c r="B1114" s="11" t="s">
        <v>3</v>
      </c>
      <c r="C1114" s="4">
        <v>21</v>
      </c>
      <c r="D1114" s="11">
        <v>1</v>
      </c>
      <c r="E1114" s="11">
        <v>2</v>
      </c>
      <c r="F1114" s="11">
        <v>4</v>
      </c>
      <c r="G1114" s="11">
        <v>1</v>
      </c>
    </row>
    <row r="1115" spans="1:7" x14ac:dyDescent="0.25">
      <c r="A1115" s="11">
        <v>2028</v>
      </c>
      <c r="B1115" s="11" t="s">
        <v>3</v>
      </c>
      <c r="C1115" s="4">
        <v>22</v>
      </c>
      <c r="D1115" s="11">
        <v>2</v>
      </c>
      <c r="E1115" s="11">
        <v>1</v>
      </c>
      <c r="F1115" s="11">
        <v>4</v>
      </c>
      <c r="G1115" s="11">
        <v>1</v>
      </c>
    </row>
    <row r="1116" spans="1:7" x14ac:dyDescent="0.25">
      <c r="A1116" s="11">
        <v>2028</v>
      </c>
      <c r="B1116" s="11" t="s">
        <v>3</v>
      </c>
      <c r="C1116" s="4">
        <v>23</v>
      </c>
      <c r="D1116" s="11">
        <v>3</v>
      </c>
      <c r="E1116" s="11">
        <v>1</v>
      </c>
      <c r="F1116" s="11">
        <v>2</v>
      </c>
      <c r="G1116" s="11">
        <v>4</v>
      </c>
    </row>
    <row r="1117" spans="1:7" x14ac:dyDescent="0.25">
      <c r="A1117" s="11">
        <v>2028</v>
      </c>
      <c r="B1117" s="11" t="s">
        <v>3</v>
      </c>
      <c r="C1117" s="4">
        <v>24</v>
      </c>
      <c r="D1117" s="11">
        <v>2</v>
      </c>
      <c r="E1117" s="11">
        <v>2</v>
      </c>
      <c r="F1117" s="11">
        <v>1</v>
      </c>
      <c r="G1117" s="11">
        <v>2</v>
      </c>
    </row>
    <row r="1118" spans="1:7" x14ac:dyDescent="0.25">
      <c r="A1118" s="11">
        <v>2028</v>
      </c>
      <c r="B1118" s="11" t="s">
        <v>3</v>
      </c>
      <c r="C1118" s="4">
        <v>25</v>
      </c>
      <c r="D1118" s="11">
        <v>1</v>
      </c>
      <c r="E1118" s="11">
        <v>4</v>
      </c>
      <c r="F1118" s="11">
        <v>1</v>
      </c>
      <c r="G1118" s="11">
        <v>1</v>
      </c>
    </row>
    <row r="1119" spans="1:7" x14ac:dyDescent="0.25">
      <c r="A1119" s="11">
        <v>2028</v>
      </c>
      <c r="B1119" s="11" t="s">
        <v>3</v>
      </c>
      <c r="C1119" s="4">
        <v>26</v>
      </c>
      <c r="D1119" s="11">
        <v>2</v>
      </c>
      <c r="E1119" s="11">
        <v>1</v>
      </c>
      <c r="F1119" s="11">
        <v>1</v>
      </c>
      <c r="G1119" s="11">
        <v>2</v>
      </c>
    </row>
    <row r="1120" spans="1:7" x14ac:dyDescent="0.25">
      <c r="A1120" s="11">
        <v>2028</v>
      </c>
      <c r="B1120" s="11" t="s">
        <v>3</v>
      </c>
      <c r="C1120" s="4">
        <v>27</v>
      </c>
      <c r="D1120" s="11">
        <v>1</v>
      </c>
      <c r="E1120" s="11">
        <v>1</v>
      </c>
      <c r="F1120" s="11">
        <v>3</v>
      </c>
      <c r="G1120" s="11">
        <v>4</v>
      </c>
    </row>
    <row r="1121" spans="1:7" x14ac:dyDescent="0.25">
      <c r="A1121" s="11">
        <v>2028</v>
      </c>
      <c r="B1121" s="11" t="s">
        <v>3</v>
      </c>
      <c r="C1121" s="4">
        <v>28</v>
      </c>
      <c r="D1121" s="11">
        <v>1</v>
      </c>
      <c r="E1121" s="11">
        <v>3</v>
      </c>
      <c r="F1121" s="11">
        <v>1</v>
      </c>
      <c r="G1121" s="11">
        <v>2</v>
      </c>
    </row>
    <row r="1122" spans="1:7" x14ac:dyDescent="0.25">
      <c r="A1122" s="11">
        <v>2028</v>
      </c>
      <c r="B1122" s="11" t="s">
        <v>4</v>
      </c>
      <c r="C1122" s="4">
        <v>1</v>
      </c>
      <c r="D1122" s="11">
        <v>1</v>
      </c>
      <c r="E1122" s="11">
        <v>2</v>
      </c>
      <c r="F1122" s="11">
        <v>1</v>
      </c>
      <c r="G1122" s="11">
        <v>3</v>
      </c>
    </row>
    <row r="1123" spans="1:7" x14ac:dyDescent="0.25">
      <c r="A1123" s="11">
        <v>2028</v>
      </c>
      <c r="B1123" s="11" t="s">
        <v>4</v>
      </c>
      <c r="C1123" s="4">
        <v>2</v>
      </c>
      <c r="D1123" s="11">
        <v>1</v>
      </c>
      <c r="E1123" s="11">
        <v>1</v>
      </c>
      <c r="F1123" s="11">
        <v>1</v>
      </c>
      <c r="G1123" s="11">
        <v>1</v>
      </c>
    </row>
    <row r="1124" spans="1:7" x14ac:dyDescent="0.25">
      <c r="A1124" s="11">
        <v>2028</v>
      </c>
      <c r="B1124" s="11" t="s">
        <v>4</v>
      </c>
      <c r="C1124" s="4">
        <v>3</v>
      </c>
      <c r="D1124" s="11">
        <v>3</v>
      </c>
      <c r="E1124" s="11">
        <v>1</v>
      </c>
      <c r="F1124" s="11">
        <v>2</v>
      </c>
      <c r="G1124" s="11">
        <v>4</v>
      </c>
    </row>
    <row r="1125" spans="1:7" x14ac:dyDescent="0.25">
      <c r="A1125" s="11">
        <v>2028</v>
      </c>
      <c r="B1125" s="11" t="s">
        <v>4</v>
      </c>
      <c r="C1125" s="4">
        <v>4</v>
      </c>
      <c r="D1125" s="11">
        <v>4</v>
      </c>
      <c r="E1125" s="11">
        <v>2</v>
      </c>
      <c r="F1125" s="11">
        <v>3</v>
      </c>
      <c r="G1125" s="11">
        <v>1</v>
      </c>
    </row>
    <row r="1126" spans="1:7" x14ac:dyDescent="0.25">
      <c r="A1126" s="11">
        <v>2028</v>
      </c>
      <c r="B1126" s="11" t="s">
        <v>4</v>
      </c>
      <c r="C1126" s="4">
        <v>5</v>
      </c>
      <c r="D1126" s="11">
        <v>2</v>
      </c>
      <c r="E1126" s="11">
        <v>2</v>
      </c>
      <c r="F1126" s="11">
        <v>2</v>
      </c>
      <c r="G1126" s="11">
        <v>4</v>
      </c>
    </row>
    <row r="1127" spans="1:7" x14ac:dyDescent="0.25">
      <c r="A1127" s="11">
        <v>2028</v>
      </c>
      <c r="B1127" s="11" t="s">
        <v>4</v>
      </c>
      <c r="C1127" s="4">
        <v>6</v>
      </c>
      <c r="D1127" s="11">
        <v>1</v>
      </c>
      <c r="E1127" s="11">
        <v>2</v>
      </c>
      <c r="F1127" s="11">
        <v>1</v>
      </c>
      <c r="G1127" s="11">
        <v>2</v>
      </c>
    </row>
    <row r="1128" spans="1:7" x14ac:dyDescent="0.25">
      <c r="A1128" s="11">
        <v>2028</v>
      </c>
      <c r="B1128" s="11" t="s">
        <v>4</v>
      </c>
      <c r="C1128" s="4">
        <v>7</v>
      </c>
      <c r="D1128" s="11">
        <v>1</v>
      </c>
      <c r="E1128" s="11">
        <v>1</v>
      </c>
      <c r="F1128" s="11">
        <v>3</v>
      </c>
      <c r="G1128" s="11">
        <v>2</v>
      </c>
    </row>
    <row r="1129" spans="1:7" x14ac:dyDescent="0.25">
      <c r="A1129" s="11">
        <v>2028</v>
      </c>
      <c r="B1129" s="11" t="s">
        <v>4</v>
      </c>
      <c r="C1129" s="4">
        <v>8</v>
      </c>
      <c r="D1129" s="11">
        <v>2</v>
      </c>
      <c r="E1129" s="11">
        <v>1</v>
      </c>
      <c r="F1129" s="11">
        <v>2</v>
      </c>
      <c r="G1129" s="11">
        <v>1</v>
      </c>
    </row>
    <row r="1130" spans="1:7" x14ac:dyDescent="0.25">
      <c r="A1130" s="11">
        <v>2028</v>
      </c>
      <c r="B1130" s="11" t="s">
        <v>4</v>
      </c>
      <c r="C1130" s="4">
        <v>9</v>
      </c>
      <c r="D1130" s="11">
        <v>3</v>
      </c>
      <c r="E1130" s="11">
        <v>2</v>
      </c>
      <c r="F1130" s="11">
        <v>3</v>
      </c>
      <c r="G1130" s="11">
        <v>1</v>
      </c>
    </row>
    <row r="1131" spans="1:7" x14ac:dyDescent="0.25">
      <c r="A1131" s="11">
        <v>2028</v>
      </c>
      <c r="B1131" s="11" t="s">
        <v>4</v>
      </c>
      <c r="C1131" s="4">
        <v>10</v>
      </c>
      <c r="D1131" s="11">
        <v>1</v>
      </c>
      <c r="E1131" s="11">
        <v>1</v>
      </c>
      <c r="F1131" s="11">
        <v>2</v>
      </c>
      <c r="G1131" s="11">
        <v>2</v>
      </c>
    </row>
    <row r="1132" spans="1:7" x14ac:dyDescent="0.25">
      <c r="A1132" s="11">
        <v>2028</v>
      </c>
      <c r="B1132" s="11" t="s">
        <v>4</v>
      </c>
      <c r="C1132" s="4">
        <v>11</v>
      </c>
      <c r="D1132" s="11">
        <v>1</v>
      </c>
      <c r="E1132" s="11">
        <v>1</v>
      </c>
      <c r="F1132" s="11">
        <v>4</v>
      </c>
      <c r="G1132" s="11">
        <v>2</v>
      </c>
    </row>
    <row r="1133" spans="1:7" x14ac:dyDescent="0.25">
      <c r="A1133" s="11">
        <v>2028</v>
      </c>
      <c r="B1133" s="11" t="s">
        <v>4</v>
      </c>
      <c r="C1133" s="4">
        <v>12</v>
      </c>
      <c r="D1133" s="11">
        <v>2</v>
      </c>
      <c r="E1133" s="11">
        <v>1</v>
      </c>
      <c r="F1133" s="11">
        <v>1</v>
      </c>
      <c r="G1133" s="11">
        <v>3</v>
      </c>
    </row>
    <row r="1134" spans="1:7" x14ac:dyDescent="0.25">
      <c r="A1134" s="11">
        <v>2028</v>
      </c>
      <c r="B1134" s="11" t="s">
        <v>4</v>
      </c>
      <c r="C1134" s="4">
        <v>13</v>
      </c>
      <c r="D1134" s="11">
        <v>2</v>
      </c>
      <c r="E1134" s="11">
        <v>1</v>
      </c>
      <c r="F1134" s="11">
        <v>3</v>
      </c>
      <c r="G1134" s="11">
        <v>3</v>
      </c>
    </row>
    <row r="1135" spans="1:7" x14ac:dyDescent="0.25">
      <c r="A1135" s="11">
        <v>2028</v>
      </c>
      <c r="B1135" s="11" t="s">
        <v>4</v>
      </c>
      <c r="C1135" s="4">
        <v>14</v>
      </c>
      <c r="D1135" s="11">
        <v>1</v>
      </c>
      <c r="E1135" s="11">
        <v>1</v>
      </c>
      <c r="F1135" s="11">
        <v>2</v>
      </c>
      <c r="G1135" s="11">
        <v>4</v>
      </c>
    </row>
    <row r="1136" spans="1:7" x14ac:dyDescent="0.25">
      <c r="A1136" s="11">
        <v>2028</v>
      </c>
      <c r="B1136" s="11" t="s">
        <v>4</v>
      </c>
      <c r="C1136" s="4">
        <v>15</v>
      </c>
      <c r="D1136" s="11">
        <v>2</v>
      </c>
      <c r="E1136" s="11">
        <v>2</v>
      </c>
      <c r="F1136" s="11">
        <v>1</v>
      </c>
      <c r="G1136" s="11">
        <v>1</v>
      </c>
    </row>
    <row r="1137" spans="1:7" x14ac:dyDescent="0.25">
      <c r="A1137" s="11">
        <v>2028</v>
      </c>
      <c r="B1137" s="11" t="s">
        <v>4</v>
      </c>
      <c r="C1137" s="4">
        <v>16</v>
      </c>
      <c r="D1137" s="11">
        <v>4</v>
      </c>
      <c r="E1137" s="11">
        <v>1</v>
      </c>
      <c r="F1137" s="11">
        <v>2</v>
      </c>
      <c r="G1137" s="11">
        <v>2</v>
      </c>
    </row>
    <row r="1138" spans="1:7" x14ac:dyDescent="0.25">
      <c r="A1138" s="11">
        <v>2028</v>
      </c>
      <c r="B1138" s="11" t="s">
        <v>4</v>
      </c>
      <c r="C1138" s="4">
        <v>17</v>
      </c>
      <c r="D1138" s="11">
        <v>4</v>
      </c>
      <c r="E1138" s="11">
        <v>2</v>
      </c>
      <c r="F1138" s="11">
        <v>2</v>
      </c>
      <c r="G1138" s="11">
        <v>1</v>
      </c>
    </row>
    <row r="1139" spans="1:7" x14ac:dyDescent="0.25">
      <c r="A1139" s="11">
        <v>2028</v>
      </c>
      <c r="B1139" s="11" t="s">
        <v>4</v>
      </c>
      <c r="C1139" s="4">
        <v>18</v>
      </c>
      <c r="D1139" s="11">
        <v>1</v>
      </c>
      <c r="E1139" s="11">
        <v>1</v>
      </c>
      <c r="F1139" s="11">
        <v>3</v>
      </c>
      <c r="G1139" s="11">
        <v>1</v>
      </c>
    </row>
    <row r="1140" spans="1:7" x14ac:dyDescent="0.25">
      <c r="A1140" s="11">
        <v>2028</v>
      </c>
      <c r="B1140" s="11" t="s">
        <v>4</v>
      </c>
      <c r="C1140" s="4">
        <v>19</v>
      </c>
      <c r="D1140" s="11">
        <v>1</v>
      </c>
      <c r="E1140" s="11">
        <v>2</v>
      </c>
      <c r="F1140" s="11">
        <v>1</v>
      </c>
      <c r="G1140" s="11">
        <v>1</v>
      </c>
    </row>
    <row r="1141" spans="1:7" x14ac:dyDescent="0.25">
      <c r="A1141" s="11">
        <v>2028</v>
      </c>
      <c r="B1141" s="11" t="s">
        <v>4</v>
      </c>
      <c r="C1141" s="4">
        <v>20</v>
      </c>
      <c r="D1141" s="11">
        <v>4</v>
      </c>
      <c r="E1141" s="11">
        <v>2</v>
      </c>
      <c r="F1141" s="11">
        <v>1</v>
      </c>
      <c r="G1141" s="11">
        <v>3</v>
      </c>
    </row>
    <row r="1142" spans="1:7" x14ac:dyDescent="0.25">
      <c r="A1142" s="11">
        <v>2028</v>
      </c>
      <c r="B1142" s="11" t="s">
        <v>4</v>
      </c>
      <c r="C1142" s="4">
        <v>21</v>
      </c>
      <c r="D1142" s="11">
        <v>1</v>
      </c>
      <c r="E1142" s="11">
        <v>1</v>
      </c>
      <c r="F1142" s="11">
        <v>2</v>
      </c>
      <c r="G1142" s="11">
        <v>2</v>
      </c>
    </row>
    <row r="1143" spans="1:7" x14ac:dyDescent="0.25">
      <c r="A1143" s="11">
        <v>2028</v>
      </c>
      <c r="B1143" s="11" t="s">
        <v>4</v>
      </c>
      <c r="C1143" s="4">
        <v>22</v>
      </c>
      <c r="D1143" s="11">
        <v>1</v>
      </c>
      <c r="E1143" s="11">
        <v>1</v>
      </c>
      <c r="F1143" s="11">
        <v>2</v>
      </c>
      <c r="G1143" s="11">
        <v>3</v>
      </c>
    </row>
    <row r="1144" spans="1:7" x14ac:dyDescent="0.25">
      <c r="A1144" s="11">
        <v>2028</v>
      </c>
      <c r="B1144" s="11" t="s">
        <v>4</v>
      </c>
      <c r="C1144" s="4">
        <v>23</v>
      </c>
      <c r="D1144" s="11">
        <v>1</v>
      </c>
      <c r="E1144" s="11">
        <v>4</v>
      </c>
      <c r="F1144" s="11">
        <v>1</v>
      </c>
      <c r="G1144" s="11">
        <v>3</v>
      </c>
    </row>
    <row r="1145" spans="1:7" x14ac:dyDescent="0.25">
      <c r="A1145" s="11">
        <v>2028</v>
      </c>
      <c r="B1145" s="11" t="s">
        <v>4</v>
      </c>
      <c r="C1145" s="4">
        <v>24</v>
      </c>
      <c r="D1145" s="11">
        <v>1</v>
      </c>
      <c r="E1145" s="11">
        <v>3</v>
      </c>
      <c r="F1145" s="11">
        <v>1</v>
      </c>
      <c r="G1145" s="11">
        <v>4</v>
      </c>
    </row>
    <row r="1146" spans="1:7" x14ac:dyDescent="0.25">
      <c r="A1146" s="11">
        <v>2028</v>
      </c>
      <c r="B1146" s="11" t="s">
        <v>4</v>
      </c>
      <c r="C1146" s="4">
        <v>25</v>
      </c>
      <c r="D1146" s="11">
        <v>3</v>
      </c>
      <c r="E1146" s="11">
        <v>3</v>
      </c>
      <c r="F1146" s="11">
        <v>1</v>
      </c>
      <c r="G1146" s="11">
        <v>3</v>
      </c>
    </row>
    <row r="1147" spans="1:7" x14ac:dyDescent="0.25">
      <c r="A1147" s="11">
        <v>2028</v>
      </c>
      <c r="B1147" s="11" t="s">
        <v>4</v>
      </c>
      <c r="C1147" s="4">
        <v>26</v>
      </c>
      <c r="D1147" s="11">
        <v>2</v>
      </c>
      <c r="E1147" s="11">
        <v>3</v>
      </c>
      <c r="F1147" s="11">
        <v>1</v>
      </c>
      <c r="G1147" s="11">
        <v>1</v>
      </c>
    </row>
    <row r="1148" spans="1:7" x14ac:dyDescent="0.25">
      <c r="A1148" s="11">
        <v>2028</v>
      </c>
      <c r="B1148" s="11" t="s">
        <v>4</v>
      </c>
      <c r="C1148" s="4">
        <v>27</v>
      </c>
      <c r="D1148" s="11">
        <v>1</v>
      </c>
      <c r="E1148" s="11">
        <v>1</v>
      </c>
      <c r="F1148" s="11">
        <v>1</v>
      </c>
      <c r="G1148" s="11">
        <v>2</v>
      </c>
    </row>
    <row r="1149" spans="1:7" x14ac:dyDescent="0.25">
      <c r="A1149" s="11">
        <v>2028</v>
      </c>
      <c r="B1149" s="11" t="s">
        <v>4</v>
      </c>
      <c r="C1149" s="4">
        <v>28</v>
      </c>
      <c r="D1149" s="11">
        <v>2</v>
      </c>
      <c r="E1149" s="11">
        <v>4</v>
      </c>
      <c r="F1149" s="11">
        <v>3</v>
      </c>
      <c r="G1149" s="11">
        <v>3</v>
      </c>
    </row>
    <row r="1150" spans="1:7" x14ac:dyDescent="0.25">
      <c r="A1150" s="11">
        <v>2028</v>
      </c>
      <c r="B1150" s="11" t="s">
        <v>5</v>
      </c>
      <c r="C1150" s="4">
        <v>1</v>
      </c>
      <c r="D1150" s="11">
        <v>1</v>
      </c>
      <c r="E1150" s="11">
        <v>2</v>
      </c>
      <c r="F1150" s="11">
        <v>3</v>
      </c>
      <c r="G1150" s="11">
        <v>4</v>
      </c>
    </row>
    <row r="1151" spans="1:7" x14ac:dyDescent="0.25">
      <c r="A1151" s="11">
        <v>2028</v>
      </c>
      <c r="B1151" s="11" t="s">
        <v>5</v>
      </c>
      <c r="C1151" s="4">
        <v>2</v>
      </c>
      <c r="D1151" s="11">
        <v>2</v>
      </c>
      <c r="E1151" s="11">
        <v>1</v>
      </c>
      <c r="F1151" s="11">
        <v>3</v>
      </c>
      <c r="G1151" s="11">
        <v>1</v>
      </c>
    </row>
    <row r="1152" spans="1:7" x14ac:dyDescent="0.25">
      <c r="A1152" s="11">
        <v>2028</v>
      </c>
      <c r="B1152" s="11" t="s">
        <v>5</v>
      </c>
      <c r="C1152" s="4">
        <v>3</v>
      </c>
      <c r="D1152" s="11">
        <v>1</v>
      </c>
      <c r="E1152" s="11">
        <v>1</v>
      </c>
      <c r="F1152" s="11">
        <v>2</v>
      </c>
      <c r="G1152" s="11">
        <v>2</v>
      </c>
    </row>
    <row r="1153" spans="1:7" x14ac:dyDescent="0.25">
      <c r="A1153" s="11">
        <v>2028</v>
      </c>
      <c r="B1153" s="11" t="s">
        <v>5</v>
      </c>
      <c r="C1153" s="4">
        <v>4</v>
      </c>
      <c r="D1153" s="11">
        <v>2</v>
      </c>
      <c r="E1153" s="11">
        <v>2</v>
      </c>
      <c r="F1153" s="11">
        <v>2</v>
      </c>
      <c r="G1153" s="11">
        <v>2</v>
      </c>
    </row>
    <row r="1154" spans="1:7" x14ac:dyDescent="0.25">
      <c r="A1154" s="11">
        <v>2028</v>
      </c>
      <c r="B1154" s="11" t="s">
        <v>5</v>
      </c>
      <c r="C1154" s="4">
        <v>5</v>
      </c>
      <c r="D1154" s="11">
        <v>3</v>
      </c>
      <c r="E1154" s="11">
        <v>1</v>
      </c>
      <c r="F1154" s="11">
        <v>1</v>
      </c>
      <c r="G1154" s="11">
        <v>2</v>
      </c>
    </row>
    <row r="1155" spans="1:7" x14ac:dyDescent="0.25">
      <c r="A1155" s="11">
        <v>2028</v>
      </c>
      <c r="B1155" s="11" t="s">
        <v>5</v>
      </c>
      <c r="C1155" s="4">
        <v>6</v>
      </c>
      <c r="D1155" s="11">
        <v>2</v>
      </c>
      <c r="E1155" s="11">
        <v>2</v>
      </c>
      <c r="F1155" s="11">
        <v>2</v>
      </c>
      <c r="G1155" s="11">
        <v>1</v>
      </c>
    </row>
    <row r="1156" spans="1:7" x14ac:dyDescent="0.25">
      <c r="A1156" s="11">
        <v>2028</v>
      </c>
      <c r="B1156" s="11" t="s">
        <v>5</v>
      </c>
      <c r="C1156" s="4">
        <v>7</v>
      </c>
      <c r="D1156" s="11">
        <v>1</v>
      </c>
      <c r="E1156" s="11">
        <v>1</v>
      </c>
      <c r="F1156" s="11">
        <v>2</v>
      </c>
      <c r="G1156" s="11">
        <v>3</v>
      </c>
    </row>
    <row r="1157" spans="1:7" x14ac:dyDescent="0.25">
      <c r="A1157" s="11">
        <v>2028</v>
      </c>
      <c r="B1157" s="11" t="s">
        <v>5</v>
      </c>
      <c r="C1157" s="4">
        <v>8</v>
      </c>
      <c r="D1157" s="11">
        <v>2</v>
      </c>
      <c r="E1157" s="11">
        <v>1</v>
      </c>
      <c r="F1157" s="11">
        <v>3</v>
      </c>
      <c r="G1157" s="11">
        <v>3</v>
      </c>
    </row>
    <row r="1158" spans="1:7" x14ac:dyDescent="0.25">
      <c r="A1158" s="11">
        <v>2028</v>
      </c>
      <c r="B1158" s="11" t="s">
        <v>5</v>
      </c>
      <c r="C1158" s="4">
        <v>9</v>
      </c>
      <c r="D1158" s="11">
        <v>1</v>
      </c>
      <c r="E1158" s="11">
        <v>2</v>
      </c>
      <c r="F1158" s="11">
        <v>2</v>
      </c>
      <c r="G1158" s="11">
        <v>2</v>
      </c>
    </row>
    <row r="1159" spans="1:7" x14ac:dyDescent="0.25">
      <c r="A1159" s="11">
        <v>2028</v>
      </c>
      <c r="B1159" s="11" t="s">
        <v>5</v>
      </c>
      <c r="C1159" s="4">
        <v>10</v>
      </c>
      <c r="D1159" s="11">
        <v>3</v>
      </c>
      <c r="E1159" s="11">
        <v>3</v>
      </c>
      <c r="F1159" s="11">
        <v>1</v>
      </c>
      <c r="G1159" s="11">
        <v>1</v>
      </c>
    </row>
    <row r="1160" spans="1:7" x14ac:dyDescent="0.25">
      <c r="A1160" s="11">
        <v>2028</v>
      </c>
      <c r="B1160" s="11" t="s">
        <v>5</v>
      </c>
      <c r="C1160" s="4">
        <v>11</v>
      </c>
      <c r="D1160" s="11">
        <v>1</v>
      </c>
      <c r="E1160" s="11">
        <v>1</v>
      </c>
      <c r="F1160" s="11">
        <v>1</v>
      </c>
      <c r="G1160" s="11">
        <v>1</v>
      </c>
    </row>
    <row r="1161" spans="1:7" x14ac:dyDescent="0.25">
      <c r="A1161" s="11">
        <v>2028</v>
      </c>
      <c r="B1161" s="11" t="s">
        <v>5</v>
      </c>
      <c r="C1161" s="4">
        <v>12</v>
      </c>
      <c r="D1161" s="11">
        <v>3</v>
      </c>
      <c r="E1161" s="11">
        <v>2</v>
      </c>
      <c r="F1161" s="11">
        <v>4</v>
      </c>
      <c r="G1161" s="11">
        <v>3</v>
      </c>
    </row>
    <row r="1162" spans="1:7" x14ac:dyDescent="0.25">
      <c r="A1162" s="11">
        <v>2028</v>
      </c>
      <c r="B1162" s="11" t="s">
        <v>5</v>
      </c>
      <c r="C1162" s="4">
        <v>13</v>
      </c>
      <c r="D1162" s="11">
        <v>1</v>
      </c>
      <c r="E1162" s="11">
        <v>2</v>
      </c>
      <c r="F1162" s="11">
        <v>1</v>
      </c>
      <c r="G1162" s="11">
        <v>2</v>
      </c>
    </row>
    <row r="1163" spans="1:7" x14ac:dyDescent="0.25">
      <c r="A1163" s="11">
        <v>2028</v>
      </c>
      <c r="B1163" s="11" t="s">
        <v>5</v>
      </c>
      <c r="C1163" s="4">
        <v>14</v>
      </c>
      <c r="D1163" s="11">
        <v>3</v>
      </c>
      <c r="E1163" s="11">
        <v>1</v>
      </c>
      <c r="F1163" s="11">
        <v>1</v>
      </c>
      <c r="G1163" s="11">
        <v>1</v>
      </c>
    </row>
    <row r="1164" spans="1:7" x14ac:dyDescent="0.25">
      <c r="A1164" s="11">
        <v>2028</v>
      </c>
      <c r="B1164" s="11" t="s">
        <v>5</v>
      </c>
      <c r="C1164" s="4">
        <v>15</v>
      </c>
      <c r="D1164" s="11">
        <v>2</v>
      </c>
      <c r="E1164" s="11">
        <v>2</v>
      </c>
      <c r="F1164" s="11">
        <v>4</v>
      </c>
      <c r="G1164" s="11">
        <v>2</v>
      </c>
    </row>
    <row r="1165" spans="1:7" x14ac:dyDescent="0.25">
      <c r="A1165" s="11">
        <v>2028</v>
      </c>
      <c r="B1165" s="11" t="s">
        <v>5</v>
      </c>
      <c r="C1165" s="4">
        <v>16</v>
      </c>
      <c r="D1165" s="11">
        <v>4</v>
      </c>
      <c r="E1165" s="11">
        <v>2</v>
      </c>
      <c r="F1165" s="11">
        <v>1</v>
      </c>
      <c r="G1165" s="11">
        <v>3</v>
      </c>
    </row>
    <row r="1166" spans="1:7" x14ac:dyDescent="0.25">
      <c r="A1166" s="11">
        <v>2028</v>
      </c>
      <c r="B1166" s="11" t="s">
        <v>5</v>
      </c>
      <c r="C1166" s="4">
        <v>17</v>
      </c>
      <c r="D1166" s="11">
        <v>4</v>
      </c>
      <c r="E1166" s="11">
        <v>2</v>
      </c>
      <c r="F1166" s="11">
        <v>1</v>
      </c>
      <c r="G1166" s="11">
        <v>1</v>
      </c>
    </row>
    <row r="1167" spans="1:7" x14ac:dyDescent="0.25">
      <c r="A1167" s="11">
        <v>2028</v>
      </c>
      <c r="B1167" s="11" t="s">
        <v>5</v>
      </c>
      <c r="C1167" s="4">
        <v>18</v>
      </c>
      <c r="D1167" s="11">
        <v>1</v>
      </c>
      <c r="E1167" s="11">
        <v>3</v>
      </c>
      <c r="F1167" s="11">
        <v>2</v>
      </c>
      <c r="G1167" s="11">
        <v>1</v>
      </c>
    </row>
    <row r="1168" spans="1:7" x14ac:dyDescent="0.25">
      <c r="A1168" s="11">
        <v>2028</v>
      </c>
      <c r="B1168" s="11" t="s">
        <v>5</v>
      </c>
      <c r="C1168" s="4">
        <v>19</v>
      </c>
      <c r="D1168" s="11">
        <v>1</v>
      </c>
      <c r="E1168" s="11">
        <v>2</v>
      </c>
      <c r="F1168" s="11">
        <v>3</v>
      </c>
      <c r="G1168" s="11">
        <v>1</v>
      </c>
    </row>
    <row r="1169" spans="1:7" x14ac:dyDescent="0.25">
      <c r="A1169" s="11">
        <v>2028</v>
      </c>
      <c r="B1169" s="11" t="s">
        <v>5</v>
      </c>
      <c r="C1169" s="4">
        <v>20</v>
      </c>
      <c r="D1169" s="11">
        <v>2</v>
      </c>
      <c r="E1169" s="11">
        <v>1</v>
      </c>
      <c r="F1169" s="11">
        <v>1</v>
      </c>
      <c r="G1169" s="11">
        <v>3</v>
      </c>
    </row>
    <row r="1170" spans="1:7" x14ac:dyDescent="0.25">
      <c r="A1170" s="11">
        <v>2028</v>
      </c>
      <c r="B1170" s="11" t="s">
        <v>5</v>
      </c>
      <c r="C1170" s="4">
        <v>21</v>
      </c>
      <c r="D1170" s="11">
        <v>3</v>
      </c>
      <c r="E1170" s="11">
        <v>1</v>
      </c>
      <c r="F1170" s="11">
        <v>4</v>
      </c>
      <c r="G1170" s="11">
        <v>1</v>
      </c>
    </row>
    <row r="1171" spans="1:7" x14ac:dyDescent="0.25">
      <c r="A1171" s="11">
        <v>2028</v>
      </c>
      <c r="B1171" s="11" t="s">
        <v>5</v>
      </c>
      <c r="C1171" s="4">
        <v>22</v>
      </c>
      <c r="D1171" s="11">
        <v>1</v>
      </c>
      <c r="E1171" s="11">
        <v>3</v>
      </c>
      <c r="F1171" s="11">
        <v>1</v>
      </c>
      <c r="G1171" s="11">
        <v>1</v>
      </c>
    </row>
    <row r="1172" spans="1:7" x14ac:dyDescent="0.25">
      <c r="A1172" s="11">
        <v>2028</v>
      </c>
      <c r="B1172" s="11" t="s">
        <v>5</v>
      </c>
      <c r="C1172" s="4">
        <v>23</v>
      </c>
      <c r="D1172" s="11">
        <v>1</v>
      </c>
      <c r="E1172" s="11">
        <v>1</v>
      </c>
      <c r="F1172" s="11">
        <v>1</v>
      </c>
      <c r="G1172" s="11">
        <v>4</v>
      </c>
    </row>
    <row r="1173" spans="1:7" x14ac:dyDescent="0.25">
      <c r="A1173" s="11">
        <v>2028</v>
      </c>
      <c r="B1173" s="11" t="s">
        <v>5</v>
      </c>
      <c r="C1173" s="4">
        <v>24</v>
      </c>
      <c r="D1173" s="11">
        <v>1</v>
      </c>
      <c r="E1173" s="11">
        <v>2</v>
      </c>
      <c r="F1173" s="11">
        <v>1</v>
      </c>
      <c r="G1173" s="11">
        <v>1</v>
      </c>
    </row>
    <row r="1174" spans="1:7" x14ac:dyDescent="0.25">
      <c r="A1174" s="11">
        <v>2028</v>
      </c>
      <c r="B1174" s="11" t="s">
        <v>5</v>
      </c>
      <c r="C1174" s="4">
        <v>25</v>
      </c>
      <c r="D1174" s="11">
        <v>3</v>
      </c>
      <c r="E1174" s="11">
        <v>1</v>
      </c>
      <c r="F1174" s="11">
        <v>1</v>
      </c>
      <c r="G1174" s="11">
        <v>3</v>
      </c>
    </row>
    <row r="1175" spans="1:7" x14ac:dyDescent="0.25">
      <c r="A1175" s="11">
        <v>2028</v>
      </c>
      <c r="B1175" s="11" t="s">
        <v>5</v>
      </c>
      <c r="C1175" s="4">
        <v>26</v>
      </c>
      <c r="D1175" s="11">
        <v>2</v>
      </c>
      <c r="E1175" s="11">
        <v>1</v>
      </c>
      <c r="F1175" s="11">
        <v>4</v>
      </c>
      <c r="G1175" s="11">
        <v>3</v>
      </c>
    </row>
    <row r="1176" spans="1:7" x14ac:dyDescent="0.25">
      <c r="A1176" s="11">
        <v>2028</v>
      </c>
      <c r="B1176" s="11" t="s">
        <v>5</v>
      </c>
      <c r="C1176" s="4">
        <v>27</v>
      </c>
      <c r="D1176" s="11">
        <v>1</v>
      </c>
      <c r="E1176" s="11">
        <v>1</v>
      </c>
      <c r="F1176" s="11">
        <v>1</v>
      </c>
      <c r="G1176" s="11">
        <v>2</v>
      </c>
    </row>
    <row r="1177" spans="1:7" x14ac:dyDescent="0.25">
      <c r="A1177" s="11">
        <v>2028</v>
      </c>
      <c r="B1177" s="11" t="s">
        <v>5</v>
      </c>
      <c r="C1177" s="4">
        <v>28</v>
      </c>
      <c r="D1177" s="11">
        <v>2</v>
      </c>
      <c r="E1177" s="11">
        <v>1</v>
      </c>
      <c r="F1177" s="11">
        <v>4</v>
      </c>
      <c r="G1177" s="11">
        <v>3</v>
      </c>
    </row>
    <row r="1178" spans="1:7" x14ac:dyDescent="0.25">
      <c r="A1178" s="11">
        <v>2028</v>
      </c>
      <c r="B1178" s="11" t="s">
        <v>6</v>
      </c>
      <c r="C1178" s="4">
        <v>1</v>
      </c>
      <c r="D1178" s="11">
        <v>2</v>
      </c>
      <c r="E1178" s="11">
        <v>2</v>
      </c>
      <c r="F1178" s="11">
        <v>3</v>
      </c>
      <c r="G1178" s="11">
        <v>1</v>
      </c>
    </row>
    <row r="1179" spans="1:7" x14ac:dyDescent="0.25">
      <c r="A1179" s="11">
        <v>2028</v>
      </c>
      <c r="B1179" s="11" t="s">
        <v>6</v>
      </c>
      <c r="C1179" s="4">
        <v>2</v>
      </c>
      <c r="D1179" s="11">
        <v>3</v>
      </c>
      <c r="E1179" s="11">
        <v>2</v>
      </c>
      <c r="F1179" s="11">
        <v>1</v>
      </c>
      <c r="G1179" s="11">
        <v>1</v>
      </c>
    </row>
    <row r="1180" spans="1:7" x14ac:dyDescent="0.25">
      <c r="A1180" s="11">
        <v>2028</v>
      </c>
      <c r="B1180" s="11" t="s">
        <v>6</v>
      </c>
      <c r="C1180" s="4">
        <v>3</v>
      </c>
      <c r="D1180" s="11">
        <v>3</v>
      </c>
      <c r="E1180" s="11">
        <v>1</v>
      </c>
      <c r="F1180" s="11">
        <v>2</v>
      </c>
      <c r="G1180" s="11">
        <v>2</v>
      </c>
    </row>
    <row r="1181" spans="1:7" x14ac:dyDescent="0.25">
      <c r="A1181" s="11">
        <v>2028</v>
      </c>
      <c r="B1181" s="11" t="s">
        <v>6</v>
      </c>
      <c r="C1181" s="4">
        <v>4</v>
      </c>
      <c r="D1181" s="11">
        <v>2</v>
      </c>
      <c r="E1181" s="11">
        <v>1</v>
      </c>
      <c r="F1181" s="11">
        <v>1</v>
      </c>
      <c r="G1181" s="11">
        <v>1</v>
      </c>
    </row>
    <row r="1182" spans="1:7" x14ac:dyDescent="0.25">
      <c r="A1182" s="11">
        <v>2028</v>
      </c>
      <c r="B1182" s="11" t="s">
        <v>6</v>
      </c>
      <c r="C1182" s="4">
        <v>5</v>
      </c>
      <c r="D1182" s="11">
        <v>3</v>
      </c>
      <c r="E1182" s="11">
        <v>2</v>
      </c>
      <c r="F1182" s="11">
        <v>4</v>
      </c>
      <c r="G1182" s="11">
        <v>1</v>
      </c>
    </row>
    <row r="1183" spans="1:7" x14ac:dyDescent="0.25">
      <c r="A1183" s="11">
        <v>2028</v>
      </c>
      <c r="B1183" s="11" t="s">
        <v>6</v>
      </c>
      <c r="C1183" s="4">
        <v>6</v>
      </c>
      <c r="D1183" s="11">
        <v>1</v>
      </c>
      <c r="E1183" s="11">
        <v>3</v>
      </c>
      <c r="F1183" s="11">
        <v>3</v>
      </c>
      <c r="G1183" s="11">
        <v>2</v>
      </c>
    </row>
    <row r="1184" spans="1:7" x14ac:dyDescent="0.25">
      <c r="A1184" s="11">
        <v>2028</v>
      </c>
      <c r="B1184" s="11" t="s">
        <v>6</v>
      </c>
      <c r="C1184" s="4">
        <v>7</v>
      </c>
      <c r="D1184" s="11">
        <v>1</v>
      </c>
      <c r="E1184" s="11">
        <v>1</v>
      </c>
      <c r="F1184" s="11">
        <v>1</v>
      </c>
      <c r="G1184" s="11">
        <v>4</v>
      </c>
    </row>
    <row r="1185" spans="1:7" x14ac:dyDescent="0.25">
      <c r="A1185" s="11">
        <v>2028</v>
      </c>
      <c r="B1185" s="11" t="s">
        <v>6</v>
      </c>
      <c r="C1185" s="4">
        <v>8</v>
      </c>
      <c r="D1185" s="11">
        <v>3</v>
      </c>
      <c r="E1185" s="11">
        <v>2</v>
      </c>
      <c r="F1185" s="11">
        <v>2</v>
      </c>
      <c r="G1185" s="11">
        <v>2</v>
      </c>
    </row>
    <row r="1186" spans="1:7" x14ac:dyDescent="0.25">
      <c r="A1186" s="11">
        <v>2028</v>
      </c>
      <c r="B1186" s="11" t="s">
        <v>6</v>
      </c>
      <c r="C1186" s="4">
        <v>9</v>
      </c>
      <c r="D1186" s="11">
        <v>2</v>
      </c>
      <c r="E1186" s="11">
        <v>4</v>
      </c>
      <c r="F1186" s="11">
        <v>4</v>
      </c>
      <c r="G1186" s="11">
        <v>1</v>
      </c>
    </row>
    <row r="1187" spans="1:7" x14ac:dyDescent="0.25">
      <c r="A1187" s="11">
        <v>2028</v>
      </c>
      <c r="B1187" s="11" t="s">
        <v>6</v>
      </c>
      <c r="C1187" s="4">
        <v>10</v>
      </c>
      <c r="D1187" s="11">
        <v>1</v>
      </c>
      <c r="E1187" s="11">
        <v>2</v>
      </c>
      <c r="F1187" s="11">
        <v>3</v>
      </c>
      <c r="G1187" s="11">
        <v>1</v>
      </c>
    </row>
    <row r="1188" spans="1:7" x14ac:dyDescent="0.25">
      <c r="A1188" s="11">
        <v>2028</v>
      </c>
      <c r="B1188" s="11" t="s">
        <v>6</v>
      </c>
      <c r="C1188" s="4">
        <v>11</v>
      </c>
      <c r="D1188" s="11">
        <v>2</v>
      </c>
      <c r="E1188" s="11">
        <v>2</v>
      </c>
      <c r="F1188" s="11">
        <v>2</v>
      </c>
      <c r="G1188" s="11">
        <v>2</v>
      </c>
    </row>
    <row r="1189" spans="1:7" x14ac:dyDescent="0.25">
      <c r="A1189" s="11">
        <v>2028</v>
      </c>
      <c r="B1189" s="11" t="s">
        <v>6</v>
      </c>
      <c r="C1189" s="4">
        <v>12</v>
      </c>
      <c r="D1189" s="11">
        <v>3</v>
      </c>
      <c r="E1189" s="11">
        <v>2</v>
      </c>
      <c r="F1189" s="11">
        <v>1</v>
      </c>
      <c r="G1189" s="11">
        <v>2</v>
      </c>
    </row>
    <row r="1190" spans="1:7" x14ac:dyDescent="0.25">
      <c r="A1190" s="11">
        <v>2028</v>
      </c>
      <c r="B1190" s="11" t="s">
        <v>6</v>
      </c>
      <c r="C1190" s="4">
        <v>13</v>
      </c>
      <c r="D1190" s="11">
        <v>1</v>
      </c>
      <c r="E1190" s="11">
        <v>2</v>
      </c>
      <c r="F1190" s="11">
        <v>1</v>
      </c>
      <c r="G1190" s="11">
        <v>2</v>
      </c>
    </row>
    <row r="1191" spans="1:7" x14ac:dyDescent="0.25">
      <c r="A1191" s="11">
        <v>2028</v>
      </c>
      <c r="B1191" s="11" t="s">
        <v>6</v>
      </c>
      <c r="C1191" s="4">
        <v>14</v>
      </c>
      <c r="D1191" s="11">
        <v>4</v>
      </c>
      <c r="E1191" s="11">
        <v>3</v>
      </c>
      <c r="F1191" s="11">
        <v>1</v>
      </c>
      <c r="G1191" s="11">
        <v>2</v>
      </c>
    </row>
    <row r="1192" spans="1:7" x14ac:dyDescent="0.25">
      <c r="A1192" s="11">
        <v>2028</v>
      </c>
      <c r="B1192" s="11" t="s">
        <v>6</v>
      </c>
      <c r="C1192" s="4">
        <v>15</v>
      </c>
      <c r="D1192" s="11">
        <v>2</v>
      </c>
      <c r="E1192" s="11">
        <v>2</v>
      </c>
      <c r="F1192" s="11">
        <v>4</v>
      </c>
      <c r="G1192" s="11">
        <v>2</v>
      </c>
    </row>
    <row r="1193" spans="1:7" x14ac:dyDescent="0.25">
      <c r="A1193" s="11">
        <v>2028</v>
      </c>
      <c r="B1193" s="11" t="s">
        <v>6</v>
      </c>
      <c r="C1193" s="4">
        <v>16</v>
      </c>
      <c r="D1193" s="11">
        <v>1</v>
      </c>
      <c r="E1193" s="11">
        <v>1</v>
      </c>
      <c r="F1193" s="11">
        <v>4</v>
      </c>
      <c r="G1193" s="11">
        <v>4</v>
      </c>
    </row>
    <row r="1194" spans="1:7" x14ac:dyDescent="0.25">
      <c r="A1194" s="11">
        <v>2028</v>
      </c>
      <c r="B1194" s="11" t="s">
        <v>6</v>
      </c>
      <c r="C1194" s="4">
        <v>17</v>
      </c>
      <c r="D1194" s="11">
        <v>1</v>
      </c>
      <c r="E1194" s="11">
        <v>1</v>
      </c>
      <c r="F1194" s="11">
        <v>1</v>
      </c>
      <c r="G1194" s="11">
        <v>1</v>
      </c>
    </row>
    <row r="1195" spans="1:7" x14ac:dyDescent="0.25">
      <c r="A1195" s="11">
        <v>2028</v>
      </c>
      <c r="B1195" s="11" t="s">
        <v>6</v>
      </c>
      <c r="C1195" s="4">
        <v>18</v>
      </c>
      <c r="D1195" s="11">
        <v>2</v>
      </c>
      <c r="E1195" s="11">
        <v>2</v>
      </c>
      <c r="F1195" s="11">
        <v>4</v>
      </c>
      <c r="G1195" s="11">
        <v>1</v>
      </c>
    </row>
    <row r="1196" spans="1:7" x14ac:dyDescent="0.25">
      <c r="A1196" s="11">
        <v>2028</v>
      </c>
      <c r="B1196" s="11" t="s">
        <v>6</v>
      </c>
      <c r="C1196" s="4">
        <v>19</v>
      </c>
      <c r="D1196" s="11">
        <v>2</v>
      </c>
      <c r="E1196" s="11">
        <v>2</v>
      </c>
      <c r="F1196" s="11">
        <v>3</v>
      </c>
      <c r="G1196" s="11">
        <v>1</v>
      </c>
    </row>
    <row r="1197" spans="1:7" x14ac:dyDescent="0.25">
      <c r="A1197" s="11">
        <v>2028</v>
      </c>
      <c r="B1197" s="11" t="s">
        <v>6</v>
      </c>
      <c r="C1197" s="4">
        <v>20</v>
      </c>
      <c r="D1197" s="11">
        <v>2</v>
      </c>
      <c r="E1197" s="11">
        <v>3</v>
      </c>
      <c r="F1197" s="11">
        <v>3</v>
      </c>
      <c r="G1197" s="11">
        <v>1</v>
      </c>
    </row>
    <row r="1198" spans="1:7" x14ac:dyDescent="0.25">
      <c r="A1198" s="11">
        <v>2028</v>
      </c>
      <c r="B1198" s="11" t="s">
        <v>6</v>
      </c>
      <c r="C1198" s="4">
        <v>21</v>
      </c>
      <c r="D1198" s="11">
        <v>3</v>
      </c>
      <c r="E1198" s="11">
        <v>1</v>
      </c>
      <c r="F1198" s="11">
        <v>2</v>
      </c>
      <c r="G1198" s="11">
        <v>3</v>
      </c>
    </row>
    <row r="1199" spans="1:7" x14ac:dyDescent="0.25">
      <c r="A1199" s="11">
        <v>2028</v>
      </c>
      <c r="B1199" s="11" t="s">
        <v>6</v>
      </c>
      <c r="C1199" s="4">
        <v>22</v>
      </c>
      <c r="D1199" s="11">
        <v>3</v>
      </c>
      <c r="E1199" s="11">
        <v>2</v>
      </c>
      <c r="F1199" s="11">
        <v>1</v>
      </c>
      <c r="G1199" s="11">
        <v>1</v>
      </c>
    </row>
    <row r="1200" spans="1:7" x14ac:dyDescent="0.25">
      <c r="A1200" s="11">
        <v>2028</v>
      </c>
      <c r="B1200" s="11" t="s">
        <v>6</v>
      </c>
      <c r="C1200" s="4">
        <v>23</v>
      </c>
      <c r="D1200" s="11">
        <v>2</v>
      </c>
      <c r="E1200" s="11">
        <v>2</v>
      </c>
      <c r="F1200" s="11">
        <v>4</v>
      </c>
      <c r="G1200" s="11">
        <v>3</v>
      </c>
    </row>
    <row r="1201" spans="1:7" x14ac:dyDescent="0.25">
      <c r="A1201" s="11">
        <v>2028</v>
      </c>
      <c r="B1201" s="11" t="s">
        <v>6</v>
      </c>
      <c r="C1201" s="4">
        <v>24</v>
      </c>
      <c r="D1201" s="11">
        <v>1</v>
      </c>
      <c r="E1201" s="11">
        <v>2</v>
      </c>
      <c r="F1201" s="11">
        <v>3</v>
      </c>
      <c r="G1201" s="11">
        <v>1</v>
      </c>
    </row>
    <row r="1202" spans="1:7" x14ac:dyDescent="0.25">
      <c r="A1202" s="11">
        <v>2028</v>
      </c>
      <c r="B1202" s="11" t="s">
        <v>6</v>
      </c>
      <c r="C1202" s="4">
        <v>25</v>
      </c>
      <c r="D1202" s="11">
        <v>3</v>
      </c>
      <c r="E1202" s="11">
        <v>1</v>
      </c>
      <c r="F1202" s="11">
        <v>3</v>
      </c>
      <c r="G1202" s="11">
        <v>2</v>
      </c>
    </row>
    <row r="1203" spans="1:7" x14ac:dyDescent="0.25">
      <c r="A1203" s="11">
        <v>2028</v>
      </c>
      <c r="B1203" s="11" t="s">
        <v>6</v>
      </c>
      <c r="C1203" s="4">
        <v>26</v>
      </c>
      <c r="D1203" s="11">
        <v>3</v>
      </c>
      <c r="E1203" s="11">
        <v>3</v>
      </c>
      <c r="F1203" s="11">
        <v>1</v>
      </c>
      <c r="G1203" s="11">
        <v>2</v>
      </c>
    </row>
    <row r="1204" spans="1:7" x14ac:dyDescent="0.25">
      <c r="A1204" s="11">
        <v>2028</v>
      </c>
      <c r="B1204" s="11" t="s">
        <v>6</v>
      </c>
      <c r="C1204" s="4">
        <v>27</v>
      </c>
      <c r="D1204" s="11">
        <v>3</v>
      </c>
      <c r="E1204" s="11">
        <v>2</v>
      </c>
      <c r="F1204" s="11">
        <v>2</v>
      </c>
      <c r="G1204" s="11">
        <v>4</v>
      </c>
    </row>
    <row r="1205" spans="1:7" x14ac:dyDescent="0.25">
      <c r="A1205" s="11">
        <v>2028</v>
      </c>
      <c r="B1205" s="11" t="s">
        <v>6</v>
      </c>
      <c r="C1205" s="4">
        <v>28</v>
      </c>
      <c r="D1205" s="11">
        <v>1</v>
      </c>
      <c r="E1205" s="11">
        <v>1</v>
      </c>
      <c r="F1205" s="11">
        <v>1</v>
      </c>
      <c r="G1205" s="11">
        <v>3</v>
      </c>
    </row>
    <row r="1206" spans="1:7" x14ac:dyDescent="0.25">
      <c r="A1206" s="11">
        <v>2028</v>
      </c>
      <c r="B1206" s="11" t="s">
        <v>7</v>
      </c>
      <c r="C1206" s="4">
        <v>1</v>
      </c>
      <c r="D1206" s="11">
        <v>1</v>
      </c>
      <c r="E1206" s="11">
        <v>2</v>
      </c>
      <c r="F1206" s="11">
        <v>1</v>
      </c>
      <c r="G1206" s="11">
        <v>1</v>
      </c>
    </row>
    <row r="1207" spans="1:7" x14ac:dyDescent="0.25">
      <c r="A1207" s="11">
        <v>2028</v>
      </c>
      <c r="B1207" s="11" t="s">
        <v>7</v>
      </c>
      <c r="C1207" s="4">
        <v>2</v>
      </c>
      <c r="D1207" s="11">
        <v>1</v>
      </c>
      <c r="E1207" s="11">
        <v>1</v>
      </c>
      <c r="F1207" s="11">
        <v>3</v>
      </c>
      <c r="G1207" s="11">
        <v>1</v>
      </c>
    </row>
    <row r="1208" spans="1:7" x14ac:dyDescent="0.25">
      <c r="A1208" s="11">
        <v>2028</v>
      </c>
      <c r="B1208" s="11" t="s">
        <v>7</v>
      </c>
      <c r="C1208" s="4">
        <v>3</v>
      </c>
      <c r="D1208" s="11">
        <v>3</v>
      </c>
      <c r="E1208" s="11">
        <v>4</v>
      </c>
      <c r="F1208" s="11">
        <v>2</v>
      </c>
      <c r="G1208" s="11">
        <v>1</v>
      </c>
    </row>
    <row r="1209" spans="1:7" x14ac:dyDescent="0.25">
      <c r="A1209" s="11">
        <v>2028</v>
      </c>
      <c r="B1209" s="11" t="s">
        <v>7</v>
      </c>
      <c r="C1209" s="4">
        <v>4</v>
      </c>
      <c r="D1209" s="11">
        <v>2</v>
      </c>
      <c r="E1209" s="11">
        <v>1</v>
      </c>
      <c r="F1209" s="11">
        <v>1</v>
      </c>
      <c r="G1209" s="11">
        <v>2</v>
      </c>
    </row>
    <row r="1210" spans="1:7" x14ac:dyDescent="0.25">
      <c r="A1210" s="11">
        <v>2028</v>
      </c>
      <c r="B1210" s="11" t="s">
        <v>7</v>
      </c>
      <c r="C1210" s="4">
        <v>5</v>
      </c>
      <c r="D1210" s="11">
        <v>3</v>
      </c>
      <c r="E1210" s="11">
        <v>2</v>
      </c>
      <c r="F1210" s="11">
        <v>2</v>
      </c>
      <c r="G1210" s="11">
        <v>3</v>
      </c>
    </row>
    <row r="1211" spans="1:7" x14ac:dyDescent="0.25">
      <c r="A1211" s="11">
        <v>2028</v>
      </c>
      <c r="B1211" s="11" t="s">
        <v>7</v>
      </c>
      <c r="C1211" s="4">
        <v>6</v>
      </c>
      <c r="D1211" s="11">
        <v>3</v>
      </c>
      <c r="E1211" s="11">
        <v>2</v>
      </c>
      <c r="F1211" s="11">
        <v>1</v>
      </c>
      <c r="G1211" s="11">
        <v>3</v>
      </c>
    </row>
    <row r="1212" spans="1:7" x14ac:dyDescent="0.25">
      <c r="A1212" s="11">
        <v>2028</v>
      </c>
      <c r="B1212" s="11" t="s">
        <v>7</v>
      </c>
      <c r="C1212" s="4">
        <v>7</v>
      </c>
      <c r="D1212" s="11">
        <v>3</v>
      </c>
      <c r="E1212" s="11">
        <v>3</v>
      </c>
      <c r="F1212" s="11">
        <v>1</v>
      </c>
      <c r="G1212" s="11">
        <v>3</v>
      </c>
    </row>
    <row r="1213" spans="1:7" x14ac:dyDescent="0.25">
      <c r="A1213" s="11">
        <v>2028</v>
      </c>
      <c r="B1213" s="11" t="s">
        <v>7</v>
      </c>
      <c r="C1213" s="4">
        <v>8</v>
      </c>
      <c r="D1213" s="11">
        <v>2</v>
      </c>
      <c r="E1213" s="11">
        <v>1</v>
      </c>
      <c r="F1213" s="11">
        <v>3</v>
      </c>
      <c r="G1213" s="11">
        <v>1</v>
      </c>
    </row>
    <row r="1214" spans="1:7" x14ac:dyDescent="0.25">
      <c r="A1214" s="11">
        <v>2028</v>
      </c>
      <c r="B1214" s="11" t="s">
        <v>7</v>
      </c>
      <c r="C1214" s="4">
        <v>9</v>
      </c>
      <c r="D1214" s="11">
        <v>1</v>
      </c>
      <c r="E1214" s="11">
        <v>2</v>
      </c>
      <c r="F1214" s="11">
        <v>3</v>
      </c>
      <c r="G1214" s="11">
        <v>4</v>
      </c>
    </row>
    <row r="1215" spans="1:7" x14ac:dyDescent="0.25">
      <c r="A1215" s="11">
        <v>2028</v>
      </c>
      <c r="B1215" s="11" t="s">
        <v>7</v>
      </c>
      <c r="C1215" s="4">
        <v>10</v>
      </c>
      <c r="D1215" s="11">
        <v>1</v>
      </c>
      <c r="E1215" s="11">
        <v>1</v>
      </c>
      <c r="F1215" s="11">
        <v>1</v>
      </c>
      <c r="G1215" s="11">
        <v>1</v>
      </c>
    </row>
    <row r="1216" spans="1:7" x14ac:dyDescent="0.25">
      <c r="A1216" s="11">
        <v>2028</v>
      </c>
      <c r="B1216" s="11" t="s">
        <v>7</v>
      </c>
      <c r="C1216" s="4">
        <v>11</v>
      </c>
      <c r="D1216" s="11">
        <v>2</v>
      </c>
      <c r="E1216" s="11">
        <v>3</v>
      </c>
      <c r="F1216" s="11">
        <v>2</v>
      </c>
      <c r="G1216" s="11">
        <v>2</v>
      </c>
    </row>
    <row r="1217" spans="1:7" x14ac:dyDescent="0.25">
      <c r="A1217" s="11">
        <v>2028</v>
      </c>
      <c r="B1217" s="11" t="s">
        <v>7</v>
      </c>
      <c r="C1217" s="4">
        <v>12</v>
      </c>
      <c r="D1217" s="11">
        <v>1</v>
      </c>
      <c r="E1217" s="11">
        <v>1</v>
      </c>
      <c r="F1217" s="11">
        <v>1</v>
      </c>
      <c r="G1217" s="11">
        <v>3</v>
      </c>
    </row>
    <row r="1218" spans="1:7" x14ac:dyDescent="0.25">
      <c r="A1218" s="11">
        <v>2028</v>
      </c>
      <c r="B1218" s="11" t="s">
        <v>7</v>
      </c>
      <c r="C1218" s="4">
        <v>13</v>
      </c>
      <c r="D1218" s="11">
        <v>1</v>
      </c>
      <c r="E1218" s="11">
        <v>1</v>
      </c>
      <c r="F1218" s="11">
        <v>4</v>
      </c>
      <c r="G1218" s="11">
        <v>3</v>
      </c>
    </row>
    <row r="1219" spans="1:7" x14ac:dyDescent="0.25">
      <c r="A1219" s="11">
        <v>2028</v>
      </c>
      <c r="B1219" s="11" t="s">
        <v>7</v>
      </c>
      <c r="C1219" s="4">
        <v>14</v>
      </c>
      <c r="D1219" s="11">
        <v>1</v>
      </c>
      <c r="E1219" s="11">
        <v>1</v>
      </c>
      <c r="F1219" s="11">
        <v>2</v>
      </c>
      <c r="G1219" s="11">
        <v>2</v>
      </c>
    </row>
    <row r="1220" spans="1:7" x14ac:dyDescent="0.25">
      <c r="A1220" s="11">
        <v>2028</v>
      </c>
      <c r="B1220" s="11" t="s">
        <v>7</v>
      </c>
      <c r="C1220" s="4">
        <v>15</v>
      </c>
      <c r="D1220" s="11">
        <v>1</v>
      </c>
      <c r="E1220" s="11">
        <v>4</v>
      </c>
      <c r="F1220" s="11">
        <v>1</v>
      </c>
      <c r="G1220" s="11">
        <v>3</v>
      </c>
    </row>
    <row r="1221" spans="1:7" x14ac:dyDescent="0.25">
      <c r="A1221" s="11">
        <v>2028</v>
      </c>
      <c r="B1221" s="11" t="s">
        <v>7</v>
      </c>
      <c r="C1221" s="4">
        <v>16</v>
      </c>
      <c r="D1221" s="11">
        <v>3</v>
      </c>
      <c r="E1221" s="11">
        <v>2</v>
      </c>
      <c r="F1221" s="11">
        <v>1</v>
      </c>
      <c r="G1221" s="11">
        <v>1</v>
      </c>
    </row>
    <row r="1222" spans="1:7" x14ac:dyDescent="0.25">
      <c r="A1222" s="11">
        <v>2028</v>
      </c>
      <c r="B1222" s="11" t="s">
        <v>7</v>
      </c>
      <c r="C1222" s="4">
        <v>17</v>
      </c>
      <c r="D1222" s="11">
        <v>3</v>
      </c>
      <c r="E1222" s="11">
        <v>1</v>
      </c>
      <c r="F1222" s="11">
        <v>2</v>
      </c>
      <c r="G1222" s="11">
        <v>4</v>
      </c>
    </row>
    <row r="1223" spans="1:7" x14ac:dyDescent="0.25">
      <c r="A1223" s="11">
        <v>2028</v>
      </c>
      <c r="B1223" s="11" t="s">
        <v>7</v>
      </c>
      <c r="C1223" s="4">
        <v>18</v>
      </c>
      <c r="D1223" s="11">
        <v>3</v>
      </c>
      <c r="E1223" s="11">
        <v>4</v>
      </c>
      <c r="F1223" s="11">
        <v>1</v>
      </c>
      <c r="G1223" s="11">
        <v>2</v>
      </c>
    </row>
    <row r="1224" spans="1:7" x14ac:dyDescent="0.25">
      <c r="A1224" s="11">
        <v>2028</v>
      </c>
      <c r="B1224" s="11" t="s">
        <v>7</v>
      </c>
      <c r="C1224" s="4">
        <v>19</v>
      </c>
      <c r="D1224" s="11">
        <v>3</v>
      </c>
      <c r="E1224" s="11">
        <v>3</v>
      </c>
      <c r="F1224" s="11">
        <v>3</v>
      </c>
      <c r="G1224" s="11">
        <v>3</v>
      </c>
    </row>
    <row r="1225" spans="1:7" x14ac:dyDescent="0.25">
      <c r="A1225" s="11">
        <v>2028</v>
      </c>
      <c r="B1225" s="11" t="s">
        <v>7</v>
      </c>
      <c r="C1225" s="4">
        <v>20</v>
      </c>
      <c r="D1225" s="11">
        <v>3</v>
      </c>
      <c r="E1225" s="11">
        <v>4</v>
      </c>
      <c r="F1225" s="11">
        <v>3</v>
      </c>
      <c r="G1225" s="11">
        <v>1</v>
      </c>
    </row>
    <row r="1226" spans="1:7" x14ac:dyDescent="0.25">
      <c r="A1226" s="11">
        <v>2028</v>
      </c>
      <c r="B1226" s="11" t="s">
        <v>7</v>
      </c>
      <c r="C1226" s="4">
        <v>21</v>
      </c>
      <c r="D1226" s="11">
        <v>2</v>
      </c>
      <c r="E1226" s="11">
        <v>1</v>
      </c>
      <c r="F1226" s="11">
        <v>3</v>
      </c>
      <c r="G1226" s="11">
        <v>2</v>
      </c>
    </row>
    <row r="1227" spans="1:7" x14ac:dyDescent="0.25">
      <c r="A1227" s="11">
        <v>2028</v>
      </c>
      <c r="B1227" s="11" t="s">
        <v>7</v>
      </c>
      <c r="C1227" s="4">
        <v>22</v>
      </c>
      <c r="D1227" s="11">
        <v>1</v>
      </c>
      <c r="E1227" s="11">
        <v>2</v>
      </c>
      <c r="F1227" s="11">
        <v>2</v>
      </c>
      <c r="G1227" s="11">
        <v>1</v>
      </c>
    </row>
    <row r="1228" spans="1:7" x14ac:dyDescent="0.25">
      <c r="A1228" s="11">
        <v>2028</v>
      </c>
      <c r="B1228" s="11" t="s">
        <v>7</v>
      </c>
      <c r="C1228" s="4">
        <v>23</v>
      </c>
      <c r="D1228" s="11">
        <v>1</v>
      </c>
      <c r="E1228" s="11">
        <v>2</v>
      </c>
      <c r="F1228" s="11">
        <v>3</v>
      </c>
      <c r="G1228" s="11">
        <v>2</v>
      </c>
    </row>
    <row r="1229" spans="1:7" x14ac:dyDescent="0.25">
      <c r="A1229" s="11">
        <v>2028</v>
      </c>
      <c r="B1229" s="11" t="s">
        <v>7</v>
      </c>
      <c r="C1229" s="4">
        <v>24</v>
      </c>
      <c r="D1229" s="11">
        <v>4</v>
      </c>
      <c r="E1229" s="11">
        <v>3</v>
      </c>
      <c r="F1229" s="11">
        <v>1</v>
      </c>
      <c r="G1229" s="11">
        <v>2</v>
      </c>
    </row>
    <row r="1230" spans="1:7" x14ac:dyDescent="0.25">
      <c r="A1230" s="11">
        <v>2028</v>
      </c>
      <c r="B1230" s="11" t="s">
        <v>7</v>
      </c>
      <c r="C1230" s="4">
        <v>25</v>
      </c>
      <c r="D1230" s="11">
        <v>1</v>
      </c>
      <c r="E1230" s="11">
        <v>3</v>
      </c>
      <c r="F1230" s="11">
        <v>3</v>
      </c>
      <c r="G1230" s="11">
        <v>1</v>
      </c>
    </row>
    <row r="1231" spans="1:7" x14ac:dyDescent="0.25">
      <c r="A1231" s="11">
        <v>2028</v>
      </c>
      <c r="B1231" s="11" t="s">
        <v>7</v>
      </c>
      <c r="C1231" s="4">
        <v>26</v>
      </c>
      <c r="D1231" s="11">
        <v>1</v>
      </c>
      <c r="E1231" s="11">
        <v>1</v>
      </c>
      <c r="F1231" s="11">
        <v>3</v>
      </c>
      <c r="G1231" s="11">
        <v>3</v>
      </c>
    </row>
    <row r="1232" spans="1:7" x14ac:dyDescent="0.25">
      <c r="A1232" s="11">
        <v>2028</v>
      </c>
      <c r="B1232" s="11" t="s">
        <v>7</v>
      </c>
      <c r="C1232" s="4">
        <v>27</v>
      </c>
      <c r="D1232" s="11">
        <v>1</v>
      </c>
      <c r="E1232" s="11">
        <v>2</v>
      </c>
      <c r="F1232" s="11">
        <v>1</v>
      </c>
      <c r="G1232" s="11">
        <v>2</v>
      </c>
    </row>
    <row r="1233" spans="1:7" x14ac:dyDescent="0.25">
      <c r="A1233" s="11">
        <v>2028</v>
      </c>
      <c r="B1233" s="11" t="s">
        <v>7</v>
      </c>
      <c r="C1233" s="4">
        <v>28</v>
      </c>
      <c r="D1233" s="11">
        <v>1</v>
      </c>
      <c r="E1233" s="11">
        <v>3</v>
      </c>
      <c r="F1233" s="11">
        <v>3</v>
      </c>
      <c r="G1233" s="11">
        <v>1</v>
      </c>
    </row>
    <row r="1234" spans="1:7" x14ac:dyDescent="0.25">
      <c r="A1234" s="11">
        <v>2028</v>
      </c>
      <c r="B1234" s="11" t="s">
        <v>8</v>
      </c>
      <c r="C1234" s="4">
        <v>1</v>
      </c>
      <c r="D1234" s="11">
        <v>2</v>
      </c>
      <c r="E1234" s="11">
        <v>2</v>
      </c>
      <c r="F1234" s="11">
        <v>1</v>
      </c>
      <c r="G1234" s="11">
        <v>1</v>
      </c>
    </row>
    <row r="1235" spans="1:7" x14ac:dyDescent="0.25">
      <c r="A1235" s="11">
        <v>2028</v>
      </c>
      <c r="B1235" s="11" t="s">
        <v>8</v>
      </c>
      <c r="C1235" s="4">
        <v>2</v>
      </c>
      <c r="D1235" s="11">
        <v>2</v>
      </c>
      <c r="E1235" s="11">
        <v>1</v>
      </c>
      <c r="F1235" s="11">
        <v>2</v>
      </c>
      <c r="G1235" s="11">
        <v>3</v>
      </c>
    </row>
    <row r="1236" spans="1:7" x14ac:dyDescent="0.25">
      <c r="A1236" s="11">
        <v>2028</v>
      </c>
      <c r="B1236" s="11" t="s">
        <v>8</v>
      </c>
      <c r="C1236" s="4">
        <v>3</v>
      </c>
      <c r="D1236" s="11">
        <v>1</v>
      </c>
      <c r="E1236" s="11">
        <v>4</v>
      </c>
      <c r="F1236" s="11">
        <v>1</v>
      </c>
      <c r="G1236" s="11">
        <v>1</v>
      </c>
    </row>
    <row r="1237" spans="1:7" x14ac:dyDescent="0.25">
      <c r="A1237" s="11">
        <v>2028</v>
      </c>
      <c r="B1237" s="11" t="s">
        <v>8</v>
      </c>
      <c r="C1237" s="4">
        <v>4</v>
      </c>
      <c r="D1237" s="11">
        <v>1</v>
      </c>
      <c r="E1237" s="11">
        <v>4</v>
      </c>
      <c r="F1237" s="11">
        <v>3</v>
      </c>
      <c r="G1237" s="11">
        <v>2</v>
      </c>
    </row>
    <row r="1238" spans="1:7" x14ac:dyDescent="0.25">
      <c r="A1238" s="11">
        <v>2028</v>
      </c>
      <c r="B1238" s="11" t="s">
        <v>8</v>
      </c>
      <c r="C1238" s="4">
        <v>5</v>
      </c>
      <c r="D1238" s="11">
        <v>1</v>
      </c>
      <c r="E1238" s="11">
        <v>2</v>
      </c>
      <c r="F1238" s="11">
        <v>1</v>
      </c>
      <c r="G1238" s="11">
        <v>4</v>
      </c>
    </row>
    <row r="1239" spans="1:7" x14ac:dyDescent="0.25">
      <c r="A1239" s="11">
        <v>2028</v>
      </c>
      <c r="B1239" s="11" t="s">
        <v>8</v>
      </c>
      <c r="C1239" s="4">
        <v>6</v>
      </c>
      <c r="D1239" s="11">
        <v>3</v>
      </c>
      <c r="E1239" s="11">
        <v>3</v>
      </c>
      <c r="F1239" s="11">
        <v>2</v>
      </c>
      <c r="G1239" s="11">
        <v>2</v>
      </c>
    </row>
    <row r="1240" spans="1:7" x14ac:dyDescent="0.25">
      <c r="A1240" s="11">
        <v>2028</v>
      </c>
      <c r="B1240" s="11" t="s">
        <v>8</v>
      </c>
      <c r="C1240" s="4">
        <v>7</v>
      </c>
      <c r="D1240" s="11">
        <v>3</v>
      </c>
      <c r="E1240" s="11">
        <v>1</v>
      </c>
      <c r="F1240" s="11">
        <v>1</v>
      </c>
      <c r="G1240" s="11">
        <v>1</v>
      </c>
    </row>
    <row r="1241" spans="1:7" x14ac:dyDescent="0.25">
      <c r="A1241" s="11">
        <v>2028</v>
      </c>
      <c r="B1241" s="11" t="s">
        <v>8</v>
      </c>
      <c r="C1241" s="4">
        <v>8</v>
      </c>
      <c r="D1241" s="11">
        <v>1</v>
      </c>
      <c r="E1241" s="11">
        <v>3</v>
      </c>
      <c r="F1241" s="11">
        <v>2</v>
      </c>
      <c r="G1241" s="11">
        <v>3</v>
      </c>
    </row>
    <row r="1242" spans="1:7" x14ac:dyDescent="0.25">
      <c r="A1242" s="11">
        <v>2028</v>
      </c>
      <c r="B1242" s="11" t="s">
        <v>8</v>
      </c>
      <c r="C1242" s="4">
        <v>9</v>
      </c>
      <c r="D1242" s="11">
        <v>2</v>
      </c>
      <c r="E1242" s="11">
        <v>2</v>
      </c>
      <c r="F1242" s="11">
        <v>3</v>
      </c>
      <c r="G1242" s="11">
        <v>2</v>
      </c>
    </row>
    <row r="1243" spans="1:7" x14ac:dyDescent="0.25">
      <c r="A1243" s="11">
        <v>2028</v>
      </c>
      <c r="B1243" s="11" t="s">
        <v>8</v>
      </c>
      <c r="C1243" s="4">
        <v>10</v>
      </c>
      <c r="D1243" s="11">
        <v>4</v>
      </c>
      <c r="E1243" s="11">
        <v>1</v>
      </c>
      <c r="F1243" s="11">
        <v>3</v>
      </c>
      <c r="G1243" s="11">
        <v>1</v>
      </c>
    </row>
    <row r="1244" spans="1:7" x14ac:dyDescent="0.25">
      <c r="A1244" s="11">
        <v>2028</v>
      </c>
      <c r="B1244" s="11" t="s">
        <v>8</v>
      </c>
      <c r="C1244" s="4">
        <v>11</v>
      </c>
      <c r="D1244" s="11">
        <v>2</v>
      </c>
      <c r="E1244" s="11">
        <v>1</v>
      </c>
      <c r="F1244" s="11">
        <v>2</v>
      </c>
      <c r="G1244" s="11">
        <v>4</v>
      </c>
    </row>
    <row r="1245" spans="1:7" x14ac:dyDescent="0.25">
      <c r="A1245" s="11">
        <v>2028</v>
      </c>
      <c r="B1245" s="11" t="s">
        <v>8</v>
      </c>
      <c r="C1245" s="4">
        <v>12</v>
      </c>
      <c r="D1245" s="11">
        <v>1</v>
      </c>
      <c r="E1245" s="11">
        <v>1</v>
      </c>
      <c r="F1245" s="11">
        <v>3</v>
      </c>
      <c r="G1245" s="11">
        <v>3</v>
      </c>
    </row>
    <row r="1246" spans="1:7" x14ac:dyDescent="0.25">
      <c r="A1246" s="11">
        <v>2028</v>
      </c>
      <c r="B1246" s="11" t="s">
        <v>8</v>
      </c>
      <c r="C1246" s="4">
        <v>13</v>
      </c>
      <c r="D1246" s="11">
        <v>2</v>
      </c>
      <c r="E1246" s="11">
        <v>2</v>
      </c>
      <c r="F1246" s="11">
        <v>3</v>
      </c>
      <c r="G1246" s="11">
        <v>4</v>
      </c>
    </row>
    <row r="1247" spans="1:7" x14ac:dyDescent="0.25">
      <c r="A1247" s="11">
        <v>2028</v>
      </c>
      <c r="B1247" s="11" t="s">
        <v>8</v>
      </c>
      <c r="C1247" s="4">
        <v>14</v>
      </c>
      <c r="D1247" s="11">
        <v>1</v>
      </c>
      <c r="E1247" s="11">
        <v>3</v>
      </c>
      <c r="F1247" s="11">
        <v>3</v>
      </c>
      <c r="G1247" s="11">
        <v>1</v>
      </c>
    </row>
    <row r="1248" spans="1:7" x14ac:dyDescent="0.25">
      <c r="A1248" s="11">
        <v>2028</v>
      </c>
      <c r="B1248" s="11" t="s">
        <v>8</v>
      </c>
      <c r="C1248" s="4">
        <v>15</v>
      </c>
      <c r="D1248" s="11">
        <v>1</v>
      </c>
      <c r="E1248" s="11">
        <v>2</v>
      </c>
      <c r="F1248" s="11">
        <v>4</v>
      </c>
      <c r="G1248" s="11">
        <v>1</v>
      </c>
    </row>
    <row r="1249" spans="1:7" x14ac:dyDescent="0.25">
      <c r="A1249" s="11">
        <v>2028</v>
      </c>
      <c r="B1249" s="11" t="s">
        <v>8</v>
      </c>
      <c r="C1249" s="4">
        <v>16</v>
      </c>
      <c r="D1249" s="11">
        <v>2</v>
      </c>
      <c r="E1249" s="11">
        <v>1</v>
      </c>
      <c r="F1249" s="11">
        <v>1</v>
      </c>
      <c r="G1249" s="11">
        <v>1</v>
      </c>
    </row>
    <row r="1250" spans="1:7" x14ac:dyDescent="0.25">
      <c r="A1250" s="11">
        <v>2028</v>
      </c>
      <c r="B1250" s="11" t="s">
        <v>8</v>
      </c>
      <c r="C1250" s="4">
        <v>17</v>
      </c>
      <c r="D1250" s="11">
        <v>2</v>
      </c>
      <c r="E1250" s="11">
        <v>3</v>
      </c>
      <c r="F1250" s="11">
        <v>1</v>
      </c>
      <c r="G1250" s="11">
        <v>2</v>
      </c>
    </row>
    <row r="1251" spans="1:7" x14ac:dyDescent="0.25">
      <c r="A1251" s="11">
        <v>2028</v>
      </c>
      <c r="B1251" s="11" t="s">
        <v>8</v>
      </c>
      <c r="C1251" s="4">
        <v>18</v>
      </c>
      <c r="D1251" s="11">
        <v>2</v>
      </c>
      <c r="E1251" s="11">
        <v>3</v>
      </c>
      <c r="F1251" s="11">
        <v>1</v>
      </c>
      <c r="G1251" s="11">
        <v>1</v>
      </c>
    </row>
    <row r="1252" spans="1:7" x14ac:dyDescent="0.25">
      <c r="A1252" s="11">
        <v>2028</v>
      </c>
      <c r="B1252" s="11" t="s">
        <v>8</v>
      </c>
      <c r="C1252" s="4">
        <v>19</v>
      </c>
      <c r="D1252" s="11">
        <v>4</v>
      </c>
      <c r="E1252" s="11">
        <v>1</v>
      </c>
      <c r="F1252" s="11">
        <v>2</v>
      </c>
      <c r="G1252" s="11">
        <v>3</v>
      </c>
    </row>
    <row r="1253" spans="1:7" x14ac:dyDescent="0.25">
      <c r="A1253" s="11">
        <v>2028</v>
      </c>
      <c r="B1253" s="11" t="s">
        <v>8</v>
      </c>
      <c r="C1253" s="4">
        <v>20</v>
      </c>
      <c r="D1253" s="11">
        <v>3</v>
      </c>
      <c r="E1253" s="11">
        <v>2</v>
      </c>
      <c r="F1253" s="11">
        <v>1</v>
      </c>
      <c r="G1253" s="11">
        <v>1</v>
      </c>
    </row>
    <row r="1254" spans="1:7" x14ac:dyDescent="0.25">
      <c r="A1254" s="11">
        <v>2028</v>
      </c>
      <c r="B1254" s="11" t="s">
        <v>8</v>
      </c>
      <c r="C1254" s="4">
        <v>21</v>
      </c>
      <c r="D1254" s="11">
        <v>2</v>
      </c>
      <c r="E1254" s="11">
        <v>1</v>
      </c>
      <c r="F1254" s="11">
        <v>3</v>
      </c>
      <c r="G1254" s="11">
        <v>1</v>
      </c>
    </row>
    <row r="1255" spans="1:7" x14ac:dyDescent="0.25">
      <c r="A1255" s="11">
        <v>2028</v>
      </c>
      <c r="B1255" s="11" t="s">
        <v>8</v>
      </c>
      <c r="C1255" s="4">
        <v>22</v>
      </c>
      <c r="D1255" s="11">
        <v>3</v>
      </c>
      <c r="E1255" s="11">
        <v>1</v>
      </c>
      <c r="F1255" s="11">
        <v>2</v>
      </c>
      <c r="G1255" s="11">
        <v>1</v>
      </c>
    </row>
    <row r="1256" spans="1:7" x14ac:dyDescent="0.25">
      <c r="A1256" s="11">
        <v>2028</v>
      </c>
      <c r="B1256" s="11" t="s">
        <v>8</v>
      </c>
      <c r="C1256" s="4">
        <v>23</v>
      </c>
      <c r="D1256" s="11">
        <v>3</v>
      </c>
      <c r="E1256" s="11">
        <v>2</v>
      </c>
      <c r="F1256" s="11">
        <v>2</v>
      </c>
      <c r="G1256" s="11">
        <v>1</v>
      </c>
    </row>
    <row r="1257" spans="1:7" x14ac:dyDescent="0.25">
      <c r="A1257" s="11">
        <v>2028</v>
      </c>
      <c r="B1257" s="11" t="s">
        <v>8</v>
      </c>
      <c r="C1257" s="4">
        <v>24</v>
      </c>
      <c r="D1257" s="11">
        <v>1</v>
      </c>
      <c r="E1257" s="11">
        <v>2</v>
      </c>
      <c r="F1257" s="11">
        <v>1</v>
      </c>
      <c r="G1257" s="11">
        <v>2</v>
      </c>
    </row>
    <row r="1258" spans="1:7" x14ac:dyDescent="0.25">
      <c r="A1258" s="11">
        <v>2028</v>
      </c>
      <c r="B1258" s="11" t="s">
        <v>8</v>
      </c>
      <c r="C1258" s="4">
        <v>25</v>
      </c>
      <c r="D1258" s="11">
        <v>1</v>
      </c>
      <c r="E1258" s="11">
        <v>1</v>
      </c>
      <c r="F1258" s="11">
        <v>3</v>
      </c>
      <c r="G1258" s="11">
        <v>1</v>
      </c>
    </row>
    <row r="1259" spans="1:7" x14ac:dyDescent="0.25">
      <c r="A1259" s="11">
        <v>2028</v>
      </c>
      <c r="B1259" s="11" t="s">
        <v>8</v>
      </c>
      <c r="C1259" s="4">
        <v>26</v>
      </c>
      <c r="D1259" s="11">
        <v>1</v>
      </c>
      <c r="E1259" s="11">
        <v>2</v>
      </c>
      <c r="F1259" s="11">
        <v>2</v>
      </c>
      <c r="G1259" s="11">
        <v>1</v>
      </c>
    </row>
    <row r="1260" spans="1:7" x14ac:dyDescent="0.25">
      <c r="A1260" s="11">
        <v>2028</v>
      </c>
      <c r="B1260" s="11" t="s">
        <v>8</v>
      </c>
      <c r="C1260" s="4">
        <v>27</v>
      </c>
      <c r="D1260" s="11">
        <v>3</v>
      </c>
      <c r="E1260" s="11">
        <v>1</v>
      </c>
      <c r="F1260" s="11">
        <v>2</v>
      </c>
      <c r="G1260" s="11">
        <v>1</v>
      </c>
    </row>
    <row r="1261" spans="1:7" x14ac:dyDescent="0.25">
      <c r="A1261" s="11">
        <v>2028</v>
      </c>
      <c r="B1261" s="11" t="s">
        <v>8</v>
      </c>
      <c r="C1261" s="4">
        <v>28</v>
      </c>
      <c r="D1261" s="11">
        <v>3</v>
      </c>
      <c r="E1261" s="11">
        <v>3</v>
      </c>
      <c r="F1261" s="11">
        <v>2</v>
      </c>
      <c r="G1261" s="11">
        <v>1</v>
      </c>
    </row>
    <row r="1262" spans="1:7" x14ac:dyDescent="0.25">
      <c r="A1262" s="11">
        <v>2028</v>
      </c>
      <c r="B1262" s="11" t="s">
        <v>9</v>
      </c>
      <c r="C1262" s="4">
        <v>1</v>
      </c>
      <c r="D1262" s="11">
        <v>3</v>
      </c>
      <c r="E1262" s="11">
        <v>1</v>
      </c>
      <c r="F1262" s="11">
        <v>1</v>
      </c>
      <c r="G1262" s="11">
        <v>1</v>
      </c>
    </row>
    <row r="1263" spans="1:7" x14ac:dyDescent="0.25">
      <c r="A1263" s="11">
        <v>2028</v>
      </c>
      <c r="B1263" s="11" t="s">
        <v>9</v>
      </c>
      <c r="C1263" s="4">
        <v>2</v>
      </c>
      <c r="D1263" s="11">
        <v>1</v>
      </c>
      <c r="E1263" s="11">
        <v>2</v>
      </c>
      <c r="F1263" s="11">
        <v>2</v>
      </c>
      <c r="G1263" s="11">
        <v>1</v>
      </c>
    </row>
    <row r="1264" spans="1:7" x14ac:dyDescent="0.25">
      <c r="A1264" s="11">
        <v>2028</v>
      </c>
      <c r="B1264" s="11" t="s">
        <v>9</v>
      </c>
      <c r="C1264" s="4">
        <v>3</v>
      </c>
      <c r="D1264" s="11">
        <v>1</v>
      </c>
      <c r="E1264" s="11">
        <v>2</v>
      </c>
      <c r="F1264" s="11">
        <v>2</v>
      </c>
      <c r="G1264" s="11">
        <v>1</v>
      </c>
    </row>
    <row r="1265" spans="1:7" x14ac:dyDescent="0.25">
      <c r="A1265" s="11">
        <v>2028</v>
      </c>
      <c r="B1265" s="11" t="s">
        <v>9</v>
      </c>
      <c r="C1265" s="4">
        <v>4</v>
      </c>
      <c r="D1265" s="11">
        <v>2</v>
      </c>
      <c r="E1265" s="11">
        <v>3</v>
      </c>
      <c r="F1265" s="11">
        <v>2</v>
      </c>
      <c r="G1265" s="11">
        <v>3</v>
      </c>
    </row>
    <row r="1266" spans="1:7" x14ac:dyDescent="0.25">
      <c r="A1266" s="11">
        <v>2028</v>
      </c>
      <c r="B1266" s="11" t="s">
        <v>9</v>
      </c>
      <c r="C1266" s="4">
        <v>5</v>
      </c>
      <c r="D1266" s="11">
        <v>3</v>
      </c>
      <c r="E1266" s="11">
        <v>2</v>
      </c>
      <c r="F1266" s="11">
        <v>3</v>
      </c>
      <c r="G1266" s="11">
        <v>2</v>
      </c>
    </row>
    <row r="1267" spans="1:7" x14ac:dyDescent="0.25">
      <c r="A1267" s="11">
        <v>2028</v>
      </c>
      <c r="B1267" s="11" t="s">
        <v>9</v>
      </c>
      <c r="C1267" s="4">
        <v>6</v>
      </c>
      <c r="D1267" s="11">
        <v>2</v>
      </c>
      <c r="E1267" s="11">
        <v>3</v>
      </c>
      <c r="F1267" s="11">
        <v>1</v>
      </c>
      <c r="G1267" s="11">
        <v>2</v>
      </c>
    </row>
    <row r="1268" spans="1:7" x14ac:dyDescent="0.25">
      <c r="A1268" s="11">
        <v>2028</v>
      </c>
      <c r="B1268" s="11" t="s">
        <v>9</v>
      </c>
      <c r="C1268" s="4">
        <v>7</v>
      </c>
      <c r="D1268" s="11">
        <v>2</v>
      </c>
      <c r="E1268" s="11">
        <v>2</v>
      </c>
      <c r="F1268" s="11">
        <v>3</v>
      </c>
      <c r="G1268" s="11">
        <v>1</v>
      </c>
    </row>
    <row r="1269" spans="1:7" x14ac:dyDescent="0.25">
      <c r="A1269" s="11">
        <v>2028</v>
      </c>
      <c r="B1269" s="11" t="s">
        <v>9</v>
      </c>
      <c r="C1269" s="4">
        <v>8</v>
      </c>
      <c r="D1269" s="11">
        <v>3</v>
      </c>
      <c r="E1269" s="11">
        <v>3</v>
      </c>
      <c r="F1269" s="11">
        <v>2</v>
      </c>
      <c r="G1269" s="11">
        <v>1</v>
      </c>
    </row>
    <row r="1270" spans="1:7" x14ac:dyDescent="0.25">
      <c r="A1270" s="11">
        <v>2028</v>
      </c>
      <c r="B1270" s="11" t="s">
        <v>9</v>
      </c>
      <c r="C1270" s="4">
        <v>9</v>
      </c>
      <c r="D1270" s="11">
        <v>1</v>
      </c>
      <c r="E1270" s="11">
        <v>2</v>
      </c>
      <c r="F1270" s="11">
        <v>1</v>
      </c>
      <c r="G1270" s="11">
        <v>1</v>
      </c>
    </row>
    <row r="1271" spans="1:7" x14ac:dyDescent="0.25">
      <c r="A1271" s="11">
        <v>2028</v>
      </c>
      <c r="B1271" s="11" t="s">
        <v>9</v>
      </c>
      <c r="C1271" s="4">
        <v>10</v>
      </c>
      <c r="D1271" s="11">
        <v>1</v>
      </c>
      <c r="E1271" s="11">
        <v>1</v>
      </c>
      <c r="F1271" s="11">
        <v>3</v>
      </c>
      <c r="G1271" s="11">
        <v>2</v>
      </c>
    </row>
    <row r="1272" spans="1:7" x14ac:dyDescent="0.25">
      <c r="A1272" s="11">
        <v>2028</v>
      </c>
      <c r="B1272" s="11" t="s">
        <v>9</v>
      </c>
      <c r="C1272" s="4">
        <v>11</v>
      </c>
      <c r="D1272" s="11">
        <v>2</v>
      </c>
      <c r="E1272" s="11">
        <v>2</v>
      </c>
      <c r="F1272" s="11">
        <v>3</v>
      </c>
      <c r="G1272" s="11">
        <v>2</v>
      </c>
    </row>
    <row r="1273" spans="1:7" x14ac:dyDescent="0.25">
      <c r="A1273" s="11">
        <v>2028</v>
      </c>
      <c r="B1273" s="11" t="s">
        <v>9</v>
      </c>
      <c r="C1273" s="4">
        <v>12</v>
      </c>
      <c r="D1273" s="11">
        <v>2</v>
      </c>
      <c r="E1273" s="11">
        <v>3</v>
      </c>
      <c r="F1273" s="11">
        <v>2</v>
      </c>
      <c r="G1273" s="11">
        <v>2</v>
      </c>
    </row>
    <row r="1274" spans="1:7" x14ac:dyDescent="0.25">
      <c r="A1274" s="11">
        <v>2028</v>
      </c>
      <c r="B1274" s="11" t="s">
        <v>9</v>
      </c>
      <c r="C1274" s="4">
        <v>13</v>
      </c>
      <c r="D1274" s="11">
        <v>1</v>
      </c>
      <c r="E1274" s="11">
        <v>2</v>
      </c>
      <c r="F1274" s="11">
        <v>1</v>
      </c>
      <c r="G1274" s="11">
        <v>1</v>
      </c>
    </row>
    <row r="1275" spans="1:7" x14ac:dyDescent="0.25">
      <c r="A1275" s="11">
        <v>2028</v>
      </c>
      <c r="B1275" s="11" t="s">
        <v>9</v>
      </c>
      <c r="C1275" s="4">
        <v>14</v>
      </c>
      <c r="D1275" s="11">
        <v>1</v>
      </c>
      <c r="E1275" s="11">
        <v>2</v>
      </c>
      <c r="F1275" s="11">
        <v>3</v>
      </c>
      <c r="G1275" s="11">
        <v>2</v>
      </c>
    </row>
    <row r="1276" spans="1:7" x14ac:dyDescent="0.25">
      <c r="A1276" s="11">
        <v>2028</v>
      </c>
      <c r="B1276" s="11" t="s">
        <v>9</v>
      </c>
      <c r="C1276" s="4">
        <v>15</v>
      </c>
      <c r="D1276" s="11">
        <v>4</v>
      </c>
      <c r="E1276" s="11">
        <v>1</v>
      </c>
      <c r="F1276" s="11">
        <v>2</v>
      </c>
      <c r="G1276" s="11">
        <v>2</v>
      </c>
    </row>
    <row r="1277" spans="1:7" x14ac:dyDescent="0.25">
      <c r="A1277" s="11">
        <v>2028</v>
      </c>
      <c r="B1277" s="11" t="s">
        <v>9</v>
      </c>
      <c r="C1277" s="4">
        <v>16</v>
      </c>
      <c r="D1277" s="11">
        <v>1</v>
      </c>
      <c r="E1277" s="11">
        <v>3</v>
      </c>
      <c r="F1277" s="11">
        <v>3</v>
      </c>
      <c r="G1277" s="11">
        <v>1</v>
      </c>
    </row>
    <row r="1278" spans="1:7" x14ac:dyDescent="0.25">
      <c r="A1278" s="11">
        <v>2028</v>
      </c>
      <c r="B1278" s="11" t="s">
        <v>9</v>
      </c>
      <c r="C1278" s="4">
        <v>17</v>
      </c>
      <c r="D1278" s="11">
        <v>1</v>
      </c>
      <c r="E1278" s="11">
        <v>1</v>
      </c>
      <c r="F1278" s="11">
        <v>3</v>
      </c>
      <c r="G1278" s="11">
        <v>2</v>
      </c>
    </row>
    <row r="1279" spans="1:7" x14ac:dyDescent="0.25">
      <c r="A1279" s="11">
        <v>2028</v>
      </c>
      <c r="B1279" s="11" t="s">
        <v>9</v>
      </c>
      <c r="C1279" s="4">
        <v>18</v>
      </c>
      <c r="D1279" s="11">
        <v>1</v>
      </c>
      <c r="E1279" s="11">
        <v>3</v>
      </c>
      <c r="F1279" s="11">
        <v>1</v>
      </c>
      <c r="G1279" s="11">
        <v>2</v>
      </c>
    </row>
    <row r="1280" spans="1:7" x14ac:dyDescent="0.25">
      <c r="A1280" s="11">
        <v>2028</v>
      </c>
      <c r="B1280" s="11" t="s">
        <v>9</v>
      </c>
      <c r="C1280" s="4">
        <v>19</v>
      </c>
      <c r="D1280" s="11">
        <v>1</v>
      </c>
      <c r="E1280" s="11">
        <v>1</v>
      </c>
      <c r="F1280" s="11">
        <v>3</v>
      </c>
      <c r="G1280" s="11">
        <v>4</v>
      </c>
    </row>
    <row r="1281" spans="1:7" x14ac:dyDescent="0.25">
      <c r="A1281" s="11">
        <v>2028</v>
      </c>
      <c r="B1281" s="11" t="s">
        <v>9</v>
      </c>
      <c r="C1281" s="4">
        <v>20</v>
      </c>
      <c r="D1281" s="11">
        <v>1</v>
      </c>
      <c r="E1281" s="11">
        <v>2</v>
      </c>
      <c r="F1281" s="11">
        <v>3</v>
      </c>
      <c r="G1281" s="11">
        <v>3</v>
      </c>
    </row>
    <row r="1282" spans="1:7" x14ac:dyDescent="0.25">
      <c r="A1282" s="11">
        <v>2028</v>
      </c>
      <c r="B1282" s="11" t="s">
        <v>9</v>
      </c>
      <c r="C1282" s="4">
        <v>21</v>
      </c>
      <c r="D1282" s="11">
        <v>3</v>
      </c>
      <c r="E1282" s="11">
        <v>1</v>
      </c>
      <c r="F1282" s="11">
        <v>2</v>
      </c>
      <c r="G1282" s="11">
        <v>2</v>
      </c>
    </row>
    <row r="1283" spans="1:7" x14ac:dyDescent="0.25">
      <c r="A1283" s="11">
        <v>2028</v>
      </c>
      <c r="B1283" s="11" t="s">
        <v>9</v>
      </c>
      <c r="C1283" s="4">
        <v>22</v>
      </c>
      <c r="D1283" s="11">
        <v>2</v>
      </c>
      <c r="E1283" s="11">
        <v>1</v>
      </c>
      <c r="F1283" s="11">
        <v>2</v>
      </c>
      <c r="G1283" s="11">
        <v>1</v>
      </c>
    </row>
    <row r="1284" spans="1:7" x14ac:dyDescent="0.25">
      <c r="A1284" s="11">
        <v>2028</v>
      </c>
      <c r="B1284" s="11" t="s">
        <v>9</v>
      </c>
      <c r="C1284" s="4">
        <v>23</v>
      </c>
      <c r="D1284" s="11">
        <v>2</v>
      </c>
      <c r="E1284" s="11">
        <v>3</v>
      </c>
      <c r="F1284" s="11">
        <v>1</v>
      </c>
      <c r="G1284" s="11">
        <v>2</v>
      </c>
    </row>
    <row r="1285" spans="1:7" x14ac:dyDescent="0.25">
      <c r="A1285" s="11">
        <v>2028</v>
      </c>
      <c r="B1285" s="11" t="s">
        <v>9</v>
      </c>
      <c r="C1285" s="4">
        <v>24</v>
      </c>
      <c r="D1285" s="11">
        <v>4</v>
      </c>
      <c r="E1285" s="11">
        <v>4</v>
      </c>
      <c r="F1285" s="11">
        <v>4</v>
      </c>
      <c r="G1285" s="11">
        <v>2</v>
      </c>
    </row>
    <row r="1286" spans="1:7" x14ac:dyDescent="0.25">
      <c r="A1286" s="11">
        <v>2028</v>
      </c>
      <c r="B1286" s="11" t="s">
        <v>9</v>
      </c>
      <c r="C1286" s="4">
        <v>25</v>
      </c>
      <c r="D1286" s="11">
        <v>1</v>
      </c>
      <c r="E1286" s="11">
        <v>1</v>
      </c>
      <c r="F1286" s="11">
        <v>2</v>
      </c>
      <c r="G1286" s="11">
        <v>1</v>
      </c>
    </row>
    <row r="1287" spans="1:7" x14ac:dyDescent="0.25">
      <c r="A1287" s="11">
        <v>2028</v>
      </c>
      <c r="B1287" s="11" t="s">
        <v>9</v>
      </c>
      <c r="C1287" s="4">
        <v>26</v>
      </c>
      <c r="D1287" s="11">
        <v>1</v>
      </c>
      <c r="E1287" s="11">
        <v>2</v>
      </c>
      <c r="F1287" s="11">
        <v>1</v>
      </c>
      <c r="G1287" s="11">
        <v>3</v>
      </c>
    </row>
    <row r="1288" spans="1:7" x14ac:dyDescent="0.25">
      <c r="A1288" s="11">
        <v>2028</v>
      </c>
      <c r="B1288" s="11" t="s">
        <v>9</v>
      </c>
      <c r="C1288" s="4">
        <v>27</v>
      </c>
      <c r="D1288" s="11">
        <v>2</v>
      </c>
      <c r="E1288" s="11">
        <v>2</v>
      </c>
      <c r="F1288" s="11">
        <v>2</v>
      </c>
      <c r="G1288" s="11">
        <v>1</v>
      </c>
    </row>
    <row r="1289" spans="1:7" x14ac:dyDescent="0.25">
      <c r="A1289" s="11">
        <v>2028</v>
      </c>
      <c r="B1289" s="11" t="s">
        <v>9</v>
      </c>
      <c r="C1289" s="4">
        <v>28</v>
      </c>
      <c r="D1289" s="11">
        <v>1</v>
      </c>
      <c r="E1289" s="11">
        <v>1</v>
      </c>
      <c r="F1289" s="11">
        <v>1</v>
      </c>
      <c r="G1289" s="11">
        <v>2</v>
      </c>
    </row>
    <row r="1290" spans="1:7" x14ac:dyDescent="0.25">
      <c r="A1290" s="11">
        <v>2028</v>
      </c>
      <c r="B1290" s="11" t="s">
        <v>10</v>
      </c>
      <c r="C1290" s="4">
        <v>1</v>
      </c>
      <c r="D1290" s="11">
        <v>4</v>
      </c>
      <c r="E1290" s="11">
        <v>3</v>
      </c>
      <c r="F1290" s="11">
        <v>3</v>
      </c>
      <c r="G1290" s="11">
        <v>2</v>
      </c>
    </row>
    <row r="1291" spans="1:7" x14ac:dyDescent="0.25">
      <c r="A1291" s="11">
        <v>2028</v>
      </c>
      <c r="B1291" s="11" t="s">
        <v>10</v>
      </c>
      <c r="C1291" s="4">
        <v>2</v>
      </c>
      <c r="D1291" s="11">
        <v>2</v>
      </c>
      <c r="E1291" s="11">
        <v>1</v>
      </c>
      <c r="F1291" s="11">
        <v>1</v>
      </c>
      <c r="G1291" s="11">
        <v>2</v>
      </c>
    </row>
    <row r="1292" spans="1:7" x14ac:dyDescent="0.25">
      <c r="A1292" s="11">
        <v>2028</v>
      </c>
      <c r="B1292" s="11" t="s">
        <v>10</v>
      </c>
      <c r="C1292" s="4">
        <v>3</v>
      </c>
      <c r="D1292" s="11">
        <v>4</v>
      </c>
      <c r="E1292" s="11">
        <v>1</v>
      </c>
      <c r="F1292" s="11">
        <v>2</v>
      </c>
      <c r="G1292" s="11">
        <v>2</v>
      </c>
    </row>
    <row r="1293" spans="1:7" x14ac:dyDescent="0.25">
      <c r="A1293" s="11">
        <v>2028</v>
      </c>
      <c r="B1293" s="11" t="s">
        <v>10</v>
      </c>
      <c r="C1293" s="4">
        <v>4</v>
      </c>
      <c r="D1293" s="11">
        <v>3</v>
      </c>
      <c r="E1293" s="11">
        <v>1</v>
      </c>
      <c r="F1293" s="11">
        <v>3</v>
      </c>
      <c r="G1293" s="11">
        <v>4</v>
      </c>
    </row>
    <row r="1294" spans="1:7" x14ac:dyDescent="0.25">
      <c r="A1294" s="11">
        <v>2028</v>
      </c>
      <c r="B1294" s="11" t="s">
        <v>10</v>
      </c>
      <c r="C1294" s="4">
        <v>5</v>
      </c>
      <c r="D1294" s="11">
        <v>2</v>
      </c>
      <c r="E1294" s="11">
        <v>1</v>
      </c>
      <c r="F1294" s="11">
        <v>1</v>
      </c>
      <c r="G1294" s="11">
        <v>1</v>
      </c>
    </row>
    <row r="1295" spans="1:7" x14ac:dyDescent="0.25">
      <c r="A1295" s="11">
        <v>2028</v>
      </c>
      <c r="B1295" s="11" t="s">
        <v>10</v>
      </c>
      <c r="C1295" s="4">
        <v>6</v>
      </c>
      <c r="D1295" s="11">
        <v>2</v>
      </c>
      <c r="E1295" s="11">
        <v>3</v>
      </c>
      <c r="F1295" s="11">
        <v>1</v>
      </c>
      <c r="G1295" s="11">
        <v>2</v>
      </c>
    </row>
    <row r="1296" spans="1:7" x14ac:dyDescent="0.25">
      <c r="A1296" s="11">
        <v>2028</v>
      </c>
      <c r="B1296" s="11" t="s">
        <v>10</v>
      </c>
      <c r="C1296" s="4">
        <v>7</v>
      </c>
      <c r="D1296" s="11">
        <v>3</v>
      </c>
      <c r="E1296" s="11">
        <v>2</v>
      </c>
      <c r="F1296" s="11">
        <v>1</v>
      </c>
      <c r="G1296" s="11">
        <v>1</v>
      </c>
    </row>
    <row r="1297" spans="1:7" x14ac:dyDescent="0.25">
      <c r="A1297" s="11">
        <v>2028</v>
      </c>
      <c r="B1297" s="11" t="s">
        <v>10</v>
      </c>
      <c r="C1297" s="4">
        <v>8</v>
      </c>
      <c r="D1297" s="11">
        <v>3</v>
      </c>
      <c r="E1297" s="11">
        <v>1</v>
      </c>
      <c r="F1297" s="11">
        <v>1</v>
      </c>
      <c r="G1297" s="11">
        <v>1</v>
      </c>
    </row>
    <row r="1298" spans="1:7" x14ac:dyDescent="0.25">
      <c r="A1298" s="11">
        <v>2028</v>
      </c>
      <c r="B1298" s="11" t="s">
        <v>10</v>
      </c>
      <c r="C1298" s="4">
        <v>9</v>
      </c>
      <c r="D1298" s="11">
        <v>3</v>
      </c>
      <c r="E1298" s="11">
        <v>1</v>
      </c>
      <c r="F1298" s="11">
        <v>4</v>
      </c>
      <c r="G1298" s="11">
        <v>2</v>
      </c>
    </row>
    <row r="1299" spans="1:7" x14ac:dyDescent="0.25">
      <c r="A1299" s="11">
        <v>2028</v>
      </c>
      <c r="B1299" s="11" t="s">
        <v>10</v>
      </c>
      <c r="C1299" s="4">
        <v>10</v>
      </c>
      <c r="D1299" s="11">
        <v>4</v>
      </c>
      <c r="E1299" s="11">
        <v>4</v>
      </c>
      <c r="F1299" s="11">
        <v>3</v>
      </c>
      <c r="G1299" s="11">
        <v>2</v>
      </c>
    </row>
    <row r="1300" spans="1:7" x14ac:dyDescent="0.25">
      <c r="A1300" s="11">
        <v>2028</v>
      </c>
      <c r="B1300" s="11" t="s">
        <v>10</v>
      </c>
      <c r="C1300" s="4">
        <v>11</v>
      </c>
      <c r="D1300" s="11">
        <v>1</v>
      </c>
      <c r="E1300" s="11">
        <v>1</v>
      </c>
      <c r="F1300" s="11">
        <v>3</v>
      </c>
      <c r="G1300" s="11">
        <v>2</v>
      </c>
    </row>
    <row r="1301" spans="1:7" x14ac:dyDescent="0.25">
      <c r="A1301" s="11">
        <v>2028</v>
      </c>
      <c r="B1301" s="11" t="s">
        <v>10</v>
      </c>
      <c r="C1301" s="4">
        <v>12</v>
      </c>
      <c r="D1301" s="11">
        <v>2</v>
      </c>
      <c r="E1301" s="11">
        <v>2</v>
      </c>
      <c r="F1301" s="11">
        <v>3</v>
      </c>
      <c r="G1301" s="11">
        <v>2</v>
      </c>
    </row>
    <row r="1302" spans="1:7" x14ac:dyDescent="0.25">
      <c r="A1302" s="11">
        <v>2028</v>
      </c>
      <c r="B1302" s="11" t="s">
        <v>10</v>
      </c>
      <c r="C1302" s="4">
        <v>13</v>
      </c>
      <c r="D1302" s="11">
        <v>1</v>
      </c>
      <c r="E1302" s="11">
        <v>1</v>
      </c>
      <c r="F1302" s="11">
        <v>1</v>
      </c>
      <c r="G1302" s="11">
        <v>1</v>
      </c>
    </row>
    <row r="1303" spans="1:7" x14ac:dyDescent="0.25">
      <c r="A1303" s="11">
        <v>2028</v>
      </c>
      <c r="B1303" s="11" t="s">
        <v>10</v>
      </c>
      <c r="C1303" s="4">
        <v>14</v>
      </c>
      <c r="D1303" s="11">
        <v>1</v>
      </c>
      <c r="E1303" s="11">
        <v>1</v>
      </c>
      <c r="F1303" s="11">
        <v>3</v>
      </c>
      <c r="G1303" s="11">
        <v>2</v>
      </c>
    </row>
    <row r="1304" spans="1:7" x14ac:dyDescent="0.25">
      <c r="A1304" s="11">
        <v>2028</v>
      </c>
      <c r="B1304" s="11" t="s">
        <v>10</v>
      </c>
      <c r="C1304" s="4">
        <v>15</v>
      </c>
      <c r="D1304" s="11">
        <v>1</v>
      </c>
      <c r="E1304" s="11">
        <v>1</v>
      </c>
      <c r="F1304" s="11">
        <v>4</v>
      </c>
      <c r="G1304" s="11">
        <v>4</v>
      </c>
    </row>
    <row r="1305" spans="1:7" x14ac:dyDescent="0.25">
      <c r="A1305" s="11">
        <v>2028</v>
      </c>
      <c r="B1305" s="11" t="s">
        <v>10</v>
      </c>
      <c r="C1305" s="4">
        <v>16</v>
      </c>
      <c r="D1305" s="11">
        <v>1</v>
      </c>
      <c r="E1305" s="11">
        <v>1</v>
      </c>
      <c r="F1305" s="11">
        <v>3</v>
      </c>
      <c r="G1305" s="11">
        <v>2</v>
      </c>
    </row>
    <row r="1306" spans="1:7" x14ac:dyDescent="0.25">
      <c r="A1306" s="11">
        <v>2028</v>
      </c>
      <c r="B1306" s="11" t="s">
        <v>10</v>
      </c>
      <c r="C1306" s="4">
        <v>17</v>
      </c>
      <c r="D1306" s="11">
        <v>1</v>
      </c>
      <c r="E1306" s="11">
        <v>2</v>
      </c>
      <c r="F1306" s="11">
        <v>2</v>
      </c>
      <c r="G1306" s="11">
        <v>2</v>
      </c>
    </row>
    <row r="1307" spans="1:7" x14ac:dyDescent="0.25">
      <c r="A1307" s="11">
        <v>2028</v>
      </c>
      <c r="B1307" s="11" t="s">
        <v>10</v>
      </c>
      <c r="C1307" s="4">
        <v>18</v>
      </c>
      <c r="D1307" s="11">
        <v>1</v>
      </c>
      <c r="E1307" s="11">
        <v>3</v>
      </c>
      <c r="F1307" s="11">
        <v>3</v>
      </c>
      <c r="G1307" s="11">
        <v>2</v>
      </c>
    </row>
    <row r="1308" spans="1:7" x14ac:dyDescent="0.25">
      <c r="A1308" s="11">
        <v>2028</v>
      </c>
      <c r="B1308" s="11" t="s">
        <v>10</v>
      </c>
      <c r="C1308" s="4">
        <v>19</v>
      </c>
      <c r="D1308" s="11">
        <v>2</v>
      </c>
      <c r="E1308" s="11">
        <v>4</v>
      </c>
      <c r="F1308" s="11">
        <v>3</v>
      </c>
      <c r="G1308" s="11">
        <v>3</v>
      </c>
    </row>
    <row r="1309" spans="1:7" x14ac:dyDescent="0.25">
      <c r="A1309" s="11">
        <v>2028</v>
      </c>
      <c r="B1309" s="11" t="s">
        <v>10</v>
      </c>
      <c r="C1309" s="4">
        <v>20</v>
      </c>
      <c r="D1309" s="11">
        <v>1</v>
      </c>
      <c r="E1309" s="11">
        <v>1</v>
      </c>
      <c r="F1309" s="11">
        <v>2</v>
      </c>
      <c r="G1309" s="11">
        <v>1</v>
      </c>
    </row>
    <row r="1310" spans="1:7" x14ac:dyDescent="0.25">
      <c r="A1310" s="11">
        <v>2028</v>
      </c>
      <c r="B1310" s="11" t="s">
        <v>10</v>
      </c>
      <c r="C1310" s="4">
        <v>21</v>
      </c>
      <c r="D1310" s="11">
        <v>2</v>
      </c>
      <c r="E1310" s="11">
        <v>1</v>
      </c>
      <c r="F1310" s="11">
        <v>1</v>
      </c>
      <c r="G1310" s="11">
        <v>1</v>
      </c>
    </row>
    <row r="1311" spans="1:7" x14ac:dyDescent="0.25">
      <c r="A1311" s="11">
        <v>2028</v>
      </c>
      <c r="B1311" s="11" t="s">
        <v>10</v>
      </c>
      <c r="C1311" s="4">
        <v>22</v>
      </c>
      <c r="D1311" s="11">
        <v>2</v>
      </c>
      <c r="E1311" s="11">
        <v>2</v>
      </c>
      <c r="F1311" s="11">
        <v>1</v>
      </c>
      <c r="G1311" s="11">
        <v>1</v>
      </c>
    </row>
    <row r="1312" spans="1:7" x14ac:dyDescent="0.25">
      <c r="A1312" s="11">
        <v>2028</v>
      </c>
      <c r="B1312" s="11" t="s">
        <v>10</v>
      </c>
      <c r="C1312" s="4">
        <v>23</v>
      </c>
      <c r="D1312" s="11">
        <v>3</v>
      </c>
      <c r="E1312" s="11">
        <v>1</v>
      </c>
      <c r="F1312" s="11">
        <v>3</v>
      </c>
      <c r="G1312" s="11">
        <v>2</v>
      </c>
    </row>
    <row r="1313" spans="1:7" x14ac:dyDescent="0.25">
      <c r="A1313" s="11">
        <v>2028</v>
      </c>
      <c r="B1313" s="11" t="s">
        <v>10</v>
      </c>
      <c r="C1313" s="4">
        <v>24</v>
      </c>
      <c r="D1313" s="11">
        <v>3</v>
      </c>
      <c r="E1313" s="11">
        <v>1</v>
      </c>
      <c r="F1313" s="11">
        <v>2</v>
      </c>
      <c r="G1313" s="11">
        <v>2</v>
      </c>
    </row>
    <row r="1314" spans="1:7" x14ac:dyDescent="0.25">
      <c r="A1314" s="11">
        <v>2028</v>
      </c>
      <c r="B1314" s="11" t="s">
        <v>10</v>
      </c>
      <c r="C1314" s="4">
        <v>25</v>
      </c>
      <c r="D1314" s="11">
        <v>3</v>
      </c>
      <c r="E1314" s="11">
        <v>1</v>
      </c>
      <c r="F1314" s="11">
        <v>3</v>
      </c>
      <c r="G1314" s="11">
        <v>1</v>
      </c>
    </row>
    <row r="1315" spans="1:7" x14ac:dyDescent="0.25">
      <c r="A1315" s="11">
        <v>2028</v>
      </c>
      <c r="B1315" s="11" t="s">
        <v>10</v>
      </c>
      <c r="C1315" s="4">
        <v>26</v>
      </c>
      <c r="D1315" s="11">
        <v>3</v>
      </c>
      <c r="E1315" s="11">
        <v>1</v>
      </c>
      <c r="F1315" s="11">
        <v>1</v>
      </c>
      <c r="G1315" s="11">
        <v>1</v>
      </c>
    </row>
    <row r="1316" spans="1:7" x14ac:dyDescent="0.25">
      <c r="A1316" s="11">
        <v>2028</v>
      </c>
      <c r="B1316" s="11" t="s">
        <v>10</v>
      </c>
      <c r="C1316" s="4">
        <v>27</v>
      </c>
      <c r="D1316" s="11">
        <v>1</v>
      </c>
      <c r="E1316" s="11">
        <v>2</v>
      </c>
      <c r="F1316" s="11">
        <v>1</v>
      </c>
      <c r="G1316" s="11">
        <v>3</v>
      </c>
    </row>
    <row r="1317" spans="1:7" x14ac:dyDescent="0.25">
      <c r="A1317" s="11">
        <v>2028</v>
      </c>
      <c r="B1317" s="11" t="s">
        <v>10</v>
      </c>
      <c r="C1317" s="4">
        <v>28</v>
      </c>
      <c r="D1317" s="11">
        <v>1</v>
      </c>
      <c r="E1317" s="11">
        <v>3</v>
      </c>
      <c r="F1317" s="11">
        <v>3</v>
      </c>
      <c r="G1317" s="11">
        <v>1</v>
      </c>
    </row>
    <row r="1318" spans="1:7" x14ac:dyDescent="0.25">
      <c r="A1318" s="11">
        <v>2028</v>
      </c>
      <c r="B1318" s="11" t="s">
        <v>11</v>
      </c>
      <c r="C1318" s="4">
        <v>1</v>
      </c>
      <c r="D1318" s="11">
        <v>1</v>
      </c>
      <c r="E1318" s="11">
        <v>2</v>
      </c>
      <c r="F1318" s="11">
        <v>2</v>
      </c>
      <c r="G1318" s="11">
        <v>3</v>
      </c>
    </row>
    <row r="1319" spans="1:7" x14ac:dyDescent="0.25">
      <c r="A1319" s="11">
        <v>2028</v>
      </c>
      <c r="B1319" s="11" t="s">
        <v>11</v>
      </c>
      <c r="C1319" s="4">
        <v>2</v>
      </c>
      <c r="D1319" s="11">
        <v>4</v>
      </c>
      <c r="E1319" s="11">
        <v>3</v>
      </c>
      <c r="F1319" s="11">
        <v>1</v>
      </c>
      <c r="G1319" s="11">
        <v>3</v>
      </c>
    </row>
    <row r="1320" spans="1:7" x14ac:dyDescent="0.25">
      <c r="A1320" s="11">
        <v>2028</v>
      </c>
      <c r="B1320" s="11" t="s">
        <v>11</v>
      </c>
      <c r="C1320" s="4">
        <v>3</v>
      </c>
      <c r="D1320" s="11">
        <v>2</v>
      </c>
      <c r="E1320" s="11">
        <v>1</v>
      </c>
      <c r="F1320" s="11">
        <v>1</v>
      </c>
      <c r="G1320" s="11">
        <v>1</v>
      </c>
    </row>
    <row r="1321" spans="1:7" x14ac:dyDescent="0.25">
      <c r="A1321" s="11">
        <v>2028</v>
      </c>
      <c r="B1321" s="11" t="s">
        <v>11</v>
      </c>
      <c r="C1321" s="4">
        <v>4</v>
      </c>
      <c r="D1321" s="11">
        <v>3</v>
      </c>
      <c r="E1321" s="11">
        <v>2</v>
      </c>
      <c r="F1321" s="11">
        <v>2</v>
      </c>
      <c r="G1321" s="11">
        <v>1</v>
      </c>
    </row>
    <row r="1322" spans="1:7" x14ac:dyDescent="0.25">
      <c r="A1322" s="11">
        <v>2028</v>
      </c>
      <c r="B1322" s="11" t="s">
        <v>11</v>
      </c>
      <c r="C1322" s="4">
        <v>5</v>
      </c>
      <c r="D1322" s="11">
        <v>1</v>
      </c>
      <c r="E1322" s="11">
        <v>3</v>
      </c>
      <c r="F1322" s="11">
        <v>1</v>
      </c>
      <c r="G1322" s="11">
        <v>2</v>
      </c>
    </row>
    <row r="1323" spans="1:7" x14ac:dyDescent="0.25">
      <c r="A1323" s="11">
        <v>2028</v>
      </c>
      <c r="B1323" s="11" t="s">
        <v>11</v>
      </c>
      <c r="C1323" s="4">
        <v>6</v>
      </c>
      <c r="D1323" s="11">
        <v>1</v>
      </c>
      <c r="E1323" s="11">
        <v>3</v>
      </c>
      <c r="F1323" s="11">
        <v>3</v>
      </c>
      <c r="G1323" s="11">
        <v>2</v>
      </c>
    </row>
    <row r="1324" spans="1:7" x14ac:dyDescent="0.25">
      <c r="A1324" s="11">
        <v>2028</v>
      </c>
      <c r="B1324" s="11" t="s">
        <v>11</v>
      </c>
      <c r="C1324" s="4">
        <v>7</v>
      </c>
      <c r="D1324" s="11">
        <v>3</v>
      </c>
      <c r="E1324" s="11">
        <v>4</v>
      </c>
      <c r="F1324" s="11">
        <v>1</v>
      </c>
      <c r="G1324" s="11">
        <v>1</v>
      </c>
    </row>
    <row r="1325" spans="1:7" x14ac:dyDescent="0.25">
      <c r="A1325" s="11">
        <v>2028</v>
      </c>
      <c r="B1325" s="11" t="s">
        <v>11</v>
      </c>
      <c r="C1325" s="4">
        <v>8</v>
      </c>
      <c r="D1325" s="11">
        <v>1</v>
      </c>
      <c r="E1325" s="11">
        <v>4</v>
      </c>
      <c r="F1325" s="11">
        <v>4</v>
      </c>
      <c r="G1325" s="11">
        <v>2</v>
      </c>
    </row>
    <row r="1326" spans="1:7" x14ac:dyDescent="0.25">
      <c r="A1326" s="11">
        <v>2028</v>
      </c>
      <c r="B1326" s="11" t="s">
        <v>11</v>
      </c>
      <c r="C1326" s="4">
        <v>9</v>
      </c>
      <c r="D1326" s="11">
        <v>1</v>
      </c>
      <c r="E1326" s="11">
        <v>2</v>
      </c>
      <c r="F1326" s="11">
        <v>1</v>
      </c>
      <c r="G1326" s="11">
        <v>4</v>
      </c>
    </row>
    <row r="1327" spans="1:7" x14ac:dyDescent="0.25">
      <c r="A1327" s="11">
        <v>2028</v>
      </c>
      <c r="B1327" s="11" t="s">
        <v>11</v>
      </c>
      <c r="C1327" s="4">
        <v>10</v>
      </c>
      <c r="D1327" s="11">
        <v>2</v>
      </c>
      <c r="E1327" s="11">
        <v>1</v>
      </c>
      <c r="F1327" s="11">
        <v>3</v>
      </c>
      <c r="G1327" s="11">
        <v>1</v>
      </c>
    </row>
    <row r="1328" spans="1:7" x14ac:dyDescent="0.25">
      <c r="A1328" s="11">
        <v>2028</v>
      </c>
      <c r="B1328" s="11" t="s">
        <v>11</v>
      </c>
      <c r="C1328" s="4">
        <v>11</v>
      </c>
      <c r="D1328" s="11">
        <v>2</v>
      </c>
      <c r="E1328" s="11">
        <v>3</v>
      </c>
      <c r="F1328" s="11">
        <v>1</v>
      </c>
      <c r="G1328" s="11">
        <v>1</v>
      </c>
    </row>
    <row r="1329" spans="1:7" x14ac:dyDescent="0.25">
      <c r="A1329" s="11">
        <v>2028</v>
      </c>
      <c r="B1329" s="11" t="s">
        <v>11</v>
      </c>
      <c r="C1329" s="4">
        <v>12</v>
      </c>
      <c r="D1329" s="11">
        <v>1</v>
      </c>
      <c r="E1329" s="11">
        <v>1</v>
      </c>
      <c r="F1329" s="11">
        <v>4</v>
      </c>
      <c r="G1329" s="11">
        <v>2</v>
      </c>
    </row>
    <row r="1330" spans="1:7" x14ac:dyDescent="0.25">
      <c r="A1330" s="11">
        <v>2028</v>
      </c>
      <c r="B1330" s="11" t="s">
        <v>11</v>
      </c>
      <c r="C1330" s="4">
        <v>13</v>
      </c>
      <c r="D1330" s="11">
        <v>2</v>
      </c>
      <c r="E1330" s="11">
        <v>1</v>
      </c>
      <c r="F1330" s="11">
        <v>2</v>
      </c>
      <c r="G1330" s="11">
        <v>1</v>
      </c>
    </row>
    <row r="1331" spans="1:7" x14ac:dyDescent="0.25">
      <c r="A1331" s="11">
        <v>2028</v>
      </c>
      <c r="B1331" s="11" t="s">
        <v>11</v>
      </c>
      <c r="C1331" s="4">
        <v>14</v>
      </c>
      <c r="D1331" s="11">
        <v>1</v>
      </c>
      <c r="E1331" s="11">
        <v>1</v>
      </c>
      <c r="F1331" s="11">
        <v>3</v>
      </c>
      <c r="G1331" s="11">
        <v>2</v>
      </c>
    </row>
    <row r="1332" spans="1:7" x14ac:dyDescent="0.25">
      <c r="A1332" s="11">
        <v>2028</v>
      </c>
      <c r="B1332" s="11" t="s">
        <v>11</v>
      </c>
      <c r="C1332" s="4">
        <v>15</v>
      </c>
      <c r="D1332" s="11">
        <v>3</v>
      </c>
      <c r="E1332" s="11">
        <v>1</v>
      </c>
      <c r="F1332" s="11">
        <v>1</v>
      </c>
      <c r="G1332" s="11">
        <v>1</v>
      </c>
    </row>
    <row r="1333" spans="1:7" x14ac:dyDescent="0.25">
      <c r="A1333" s="11">
        <v>2028</v>
      </c>
      <c r="B1333" s="11" t="s">
        <v>11</v>
      </c>
      <c r="C1333" s="4">
        <v>16</v>
      </c>
      <c r="D1333" s="11">
        <v>2</v>
      </c>
      <c r="E1333" s="11">
        <v>2</v>
      </c>
      <c r="F1333" s="11">
        <v>1</v>
      </c>
      <c r="G1333" s="11">
        <v>3</v>
      </c>
    </row>
    <row r="1334" spans="1:7" x14ac:dyDescent="0.25">
      <c r="A1334" s="11">
        <v>2028</v>
      </c>
      <c r="B1334" s="11" t="s">
        <v>11</v>
      </c>
      <c r="C1334" s="4">
        <v>17</v>
      </c>
      <c r="D1334" s="11">
        <v>3</v>
      </c>
      <c r="E1334" s="11">
        <v>1</v>
      </c>
      <c r="F1334" s="11">
        <v>3</v>
      </c>
      <c r="G1334" s="11">
        <v>2</v>
      </c>
    </row>
    <row r="1335" spans="1:7" x14ac:dyDescent="0.25">
      <c r="A1335" s="11">
        <v>2028</v>
      </c>
      <c r="B1335" s="11" t="s">
        <v>11</v>
      </c>
      <c r="C1335" s="4">
        <v>18</v>
      </c>
      <c r="D1335" s="11">
        <v>4</v>
      </c>
      <c r="E1335" s="11">
        <v>1</v>
      </c>
      <c r="F1335" s="11">
        <v>2</v>
      </c>
      <c r="G1335" s="11">
        <v>1</v>
      </c>
    </row>
    <row r="1336" spans="1:7" x14ac:dyDescent="0.25">
      <c r="A1336" s="11">
        <v>2028</v>
      </c>
      <c r="B1336" s="11" t="s">
        <v>11</v>
      </c>
      <c r="C1336" s="4">
        <v>19</v>
      </c>
      <c r="D1336" s="11">
        <v>4</v>
      </c>
      <c r="E1336" s="11">
        <v>2</v>
      </c>
      <c r="F1336" s="11">
        <v>2</v>
      </c>
      <c r="G1336" s="11">
        <v>2</v>
      </c>
    </row>
    <row r="1337" spans="1:7" x14ac:dyDescent="0.25">
      <c r="A1337" s="11">
        <v>2028</v>
      </c>
      <c r="B1337" s="11" t="s">
        <v>11</v>
      </c>
      <c r="C1337" s="4">
        <v>20</v>
      </c>
      <c r="D1337" s="11">
        <v>2</v>
      </c>
      <c r="E1337" s="11">
        <v>1</v>
      </c>
      <c r="F1337" s="11">
        <v>1</v>
      </c>
      <c r="G1337" s="11">
        <v>2</v>
      </c>
    </row>
    <row r="1338" spans="1:7" x14ac:dyDescent="0.25">
      <c r="A1338" s="11">
        <v>2028</v>
      </c>
      <c r="B1338" s="11" t="s">
        <v>11</v>
      </c>
      <c r="C1338" s="4">
        <v>21</v>
      </c>
      <c r="D1338" s="11">
        <v>2</v>
      </c>
      <c r="E1338" s="11">
        <v>2</v>
      </c>
      <c r="F1338" s="11">
        <v>3</v>
      </c>
      <c r="G1338" s="11">
        <v>1</v>
      </c>
    </row>
    <row r="1339" spans="1:7" x14ac:dyDescent="0.25">
      <c r="A1339" s="11">
        <v>2028</v>
      </c>
      <c r="B1339" s="11" t="s">
        <v>11</v>
      </c>
      <c r="C1339" s="4">
        <v>22</v>
      </c>
      <c r="D1339" s="11">
        <v>1</v>
      </c>
      <c r="E1339" s="11">
        <v>3</v>
      </c>
      <c r="F1339" s="11">
        <v>3</v>
      </c>
      <c r="G1339" s="11">
        <v>2</v>
      </c>
    </row>
    <row r="1340" spans="1:7" x14ac:dyDescent="0.25">
      <c r="A1340" s="11">
        <v>2028</v>
      </c>
      <c r="B1340" s="11" t="s">
        <v>11</v>
      </c>
      <c r="C1340" s="4">
        <v>23</v>
      </c>
      <c r="D1340" s="11">
        <v>1</v>
      </c>
      <c r="E1340" s="11">
        <v>1</v>
      </c>
      <c r="F1340" s="11">
        <v>1</v>
      </c>
      <c r="G1340" s="11">
        <v>2</v>
      </c>
    </row>
    <row r="1341" spans="1:7" x14ac:dyDescent="0.25">
      <c r="A1341" s="11">
        <v>2028</v>
      </c>
      <c r="B1341" s="11" t="s">
        <v>11</v>
      </c>
      <c r="C1341" s="4">
        <v>24</v>
      </c>
      <c r="D1341" s="11">
        <v>3</v>
      </c>
      <c r="E1341" s="11">
        <v>3</v>
      </c>
      <c r="F1341" s="11">
        <v>4</v>
      </c>
      <c r="G1341" s="11">
        <v>2</v>
      </c>
    </row>
    <row r="1342" spans="1:7" x14ac:dyDescent="0.25">
      <c r="A1342" s="11">
        <v>2028</v>
      </c>
      <c r="B1342" s="11" t="s">
        <v>11</v>
      </c>
      <c r="C1342" s="4">
        <v>25</v>
      </c>
      <c r="D1342" s="11">
        <v>2</v>
      </c>
      <c r="E1342" s="11">
        <v>1</v>
      </c>
      <c r="F1342" s="11">
        <v>2</v>
      </c>
      <c r="G1342" s="11">
        <v>1</v>
      </c>
    </row>
    <row r="1343" spans="1:7" x14ac:dyDescent="0.25">
      <c r="A1343" s="11">
        <v>2028</v>
      </c>
      <c r="B1343" s="11" t="s">
        <v>11</v>
      </c>
      <c r="C1343" s="4">
        <v>26</v>
      </c>
      <c r="D1343" s="11">
        <v>3</v>
      </c>
      <c r="E1343" s="11">
        <v>3</v>
      </c>
      <c r="F1343" s="11">
        <v>1</v>
      </c>
      <c r="G1343" s="11">
        <v>3</v>
      </c>
    </row>
    <row r="1344" spans="1:7" x14ac:dyDescent="0.25">
      <c r="A1344" s="11">
        <v>2028</v>
      </c>
      <c r="B1344" s="11" t="s">
        <v>11</v>
      </c>
      <c r="C1344" s="4">
        <v>27</v>
      </c>
      <c r="D1344" s="11">
        <v>2</v>
      </c>
      <c r="E1344" s="11">
        <v>2</v>
      </c>
      <c r="F1344" s="11">
        <v>1</v>
      </c>
      <c r="G1344" s="11">
        <v>1</v>
      </c>
    </row>
    <row r="1345" spans="1:7" x14ac:dyDescent="0.25">
      <c r="A1345" s="11">
        <v>2028</v>
      </c>
      <c r="B1345" s="11" t="s">
        <v>11</v>
      </c>
      <c r="C1345" s="4">
        <v>28</v>
      </c>
      <c r="D1345" s="11">
        <v>2</v>
      </c>
      <c r="E1345" s="11">
        <v>1</v>
      </c>
      <c r="F1345" s="11">
        <v>1</v>
      </c>
      <c r="G1345" s="11">
        <v>3</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181C-71D3-4E1B-8324-C0C09B2CB8A6}">
  <sheetPr codeName="Sheet6"/>
  <dimension ref="B1:B14"/>
  <sheetViews>
    <sheetView workbookViewId="0">
      <selection activeCell="E17" sqref="E17"/>
    </sheetView>
  </sheetViews>
  <sheetFormatPr defaultRowHeight="15" x14ac:dyDescent="0.25"/>
  <sheetData>
    <row r="1" spans="2:2" x14ac:dyDescent="0.25">
      <c r="B1" s="21" t="s">
        <v>146</v>
      </c>
    </row>
    <row r="2" spans="2:2" x14ac:dyDescent="0.25">
      <c r="B2" s="22" t="s">
        <v>147</v>
      </c>
    </row>
    <row r="3" spans="2:2" x14ac:dyDescent="0.25">
      <c r="B3" s="23" t="s">
        <v>148</v>
      </c>
    </row>
    <row r="4" spans="2:2" x14ac:dyDescent="0.25">
      <c r="B4" s="24" t="s">
        <v>149</v>
      </c>
    </row>
    <row r="5" spans="2:2" x14ac:dyDescent="0.25">
      <c r="B5" s="25" t="s">
        <v>150</v>
      </c>
    </row>
    <row r="6" spans="2:2" x14ac:dyDescent="0.25">
      <c r="B6" s="26" t="s">
        <v>151</v>
      </c>
    </row>
    <row r="7" spans="2:2" x14ac:dyDescent="0.25">
      <c r="B7" s="27" t="s">
        <v>152</v>
      </c>
    </row>
    <row r="8" spans="2:2" x14ac:dyDescent="0.25">
      <c r="B8" s="28" t="s">
        <v>153</v>
      </c>
    </row>
    <row r="9" spans="2:2" x14ac:dyDescent="0.25">
      <c r="B9" s="29" t="s">
        <v>154</v>
      </c>
    </row>
    <row r="10" spans="2:2" x14ac:dyDescent="0.25">
      <c r="B10" s="30" t="s">
        <v>155</v>
      </c>
    </row>
    <row r="12" spans="2:2" x14ac:dyDescent="0.25">
      <c r="B12" s="31" t="s">
        <v>156</v>
      </c>
    </row>
    <row r="14" spans="2:2" x14ac:dyDescent="0.25">
      <c r="B14" s="32">
        <v>322664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Processing</vt:lpstr>
      <vt:lpstr>Control</vt:lpstr>
      <vt:lpstr>Data</vt:lpstr>
      <vt:lpstr>HOTMAP-DATA</vt:lpstr>
      <vt:lpstr>R</vt:lpstr>
      <vt:lpstr>mydata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2025-03-15T10:08:57Z</dcterms:created>
  <dcterms:modified xsi:type="dcterms:W3CDTF">2026-09-18T06:14:23Z</dcterms:modified>
</cp:coreProperties>
</file>