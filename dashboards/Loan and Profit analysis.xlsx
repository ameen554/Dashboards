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pivotTables/pivotTable1.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d.docs.live.net/c6e5fe5563ab6cfd/Desktop/Dashboard Projects/Dashboard/Chart74/"/>
    </mc:Choice>
  </mc:AlternateContent>
  <xr:revisionPtr revIDLastSave="1" documentId="13_ncr:1_{419DD9FF-44C8-4166-9361-0422E5B6EA96}" xr6:coauthVersionLast="47" xr6:coauthVersionMax="47" xr10:uidLastSave="{86618DF5-7EFE-4B2E-93FC-79EEEB6E7A82}"/>
  <bookViews>
    <workbookView xWindow="-120" yWindow="-120" windowWidth="20730" windowHeight="11310" xr2:uid="{8C108A14-8EBA-4A5F-A006-58E17A8CC879}"/>
  </bookViews>
  <sheets>
    <sheet name="DASHBOARD" sheetId="1" r:id="rId1"/>
    <sheet name="Processing" sheetId="3" r:id="rId2"/>
    <sheet name="Control" sheetId="4" r:id="rId3"/>
    <sheet name="Data" sheetId="2" r:id="rId4"/>
    <sheet name="R" sheetId="5" r:id="rId5"/>
  </sheets>
  <definedNames>
    <definedName name="Slicer_Year">#N/A</definedName>
  </definedNames>
  <calcPr calcId="191029"/>
  <pivotCaches>
    <pivotCache cacheId="1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8" i="1" l="1"/>
  <c r="I10" i="1"/>
  <c r="C2" i="3" s="1"/>
  <c r="I8" i="1"/>
  <c r="E8" i="1"/>
  <c r="G11" i="3"/>
  <c r="G9" i="3"/>
  <c r="G3" i="3"/>
  <c r="F3" i="3"/>
  <c r="E4" i="3"/>
  <c r="G2" i="3" s="1"/>
  <c r="G5" i="3" s="1"/>
  <c r="B3" i="3"/>
  <c r="B4" i="3"/>
  <c r="F8" i="3"/>
  <c r="B5" i="3"/>
  <c r="B2" i="3" l="1"/>
  <c r="B6" i="3" s="1"/>
  <c r="F2" i="3"/>
  <c r="F5" i="3" s="1"/>
  <c r="G8" i="3"/>
  <c r="G10" i="3" s="1"/>
  <c r="C4" i="3"/>
  <c r="C9" i="3"/>
  <c r="J10" i="1" l="1"/>
  <c r="J2" i="3"/>
  <c r="C6" i="3"/>
  <c r="Q10" i="1" s="1"/>
  <c r="E10" i="1"/>
  <c r="F4" i="3"/>
  <c r="G4" i="3"/>
  <c r="M10" i="1" l="1"/>
  <c r="M2" i="3"/>
  <c r="L2" i="3"/>
  <c r="N3" i="3" s="1"/>
  <c r="R10" i="1"/>
  <c r="K2" i="3" l="1"/>
  <c r="N2" i="3" s="1"/>
  <c r="M3" i="3" l="1"/>
</calcChain>
</file>

<file path=xl/sharedStrings.xml><?xml version="1.0" encoding="utf-8"?>
<sst xmlns="http://schemas.openxmlformats.org/spreadsheetml/2006/main" count="46" uniqueCount="40">
  <si>
    <t>Year</t>
  </si>
  <si>
    <t>Interest Rate</t>
  </si>
  <si>
    <t>Credit Capacity</t>
  </si>
  <si>
    <t>Use Loan Capital</t>
  </si>
  <si>
    <t>Indent</t>
  </si>
  <si>
    <t>Loan Interest</t>
  </si>
  <si>
    <t>Loan Body</t>
  </si>
  <si>
    <t>Debt Service Ratio</t>
  </si>
  <si>
    <t>Sum of Credit Capacity</t>
  </si>
  <si>
    <t>Row Labels</t>
  </si>
  <si>
    <t>Grand Total</t>
  </si>
  <si>
    <t>Revenue</t>
  </si>
  <si>
    <t>Sum of Revenue</t>
  </si>
  <si>
    <t>Average of Interest Rate</t>
  </si>
  <si>
    <t>Markup</t>
  </si>
  <si>
    <t>Marketing</t>
  </si>
  <si>
    <t>Operating</t>
  </si>
  <si>
    <t>Other</t>
  </si>
  <si>
    <t>Expense</t>
  </si>
  <si>
    <t>Sum of Marketing</t>
  </si>
  <si>
    <t>Sum of Operating</t>
  </si>
  <si>
    <t>Sum of Other</t>
  </si>
  <si>
    <t>Margin</t>
  </si>
  <si>
    <t>Debt</t>
  </si>
  <si>
    <t>Total</t>
  </si>
  <si>
    <t>Light 1</t>
  </si>
  <si>
    <t>Light 2</t>
  </si>
  <si>
    <t>X</t>
  </si>
  <si>
    <t>Y</t>
  </si>
  <si>
    <t>Profit</t>
  </si>
  <si>
    <t xml:space="preserve">              Revenue</t>
  </si>
  <si>
    <t>Margin Without Loan Impact</t>
  </si>
  <si>
    <t>#F94A1A</t>
  </si>
  <si>
    <t>#00B491</t>
  </si>
  <si>
    <t>#1AFFD5</t>
  </si>
  <si>
    <t>#0088FE</t>
  </si>
  <si>
    <t>#005DB2</t>
  </si>
  <si>
    <t>#23272D</t>
  </si>
  <si>
    <t>#13171A</t>
  </si>
  <si>
    <t>#2E353B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</si>
</sst>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_(&quot;$&quot;* #,##0_);_(&quot;$&quot;* \(#,##0\);_(&quot;$&quot;* &quot;-&quot;??_);_(@_)"/>
    <numFmt numFmtId="165" formatCode="0.0%"/>
    <numFmt numFmtId="166" formatCode="0.000"/>
    <numFmt numFmtId="167" formatCode="&quot;$&quot;#\ ###"/>
    <numFmt numFmtId="168" formatCode="&quot;$&quot;#\ ###\ ###"/>
  </numFmts>
  <fonts count="13"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theme="1"/>
      <name val="Aptos Narrow"/>
      <family val="2"/>
      <charset val="204"/>
      <scheme val="minor"/>
    </font>
    <font>
      <sz val="8"/>
      <name val="Aptos Narrow"/>
      <family val="2"/>
      <scheme val="minor"/>
    </font>
    <font>
      <sz val="16"/>
      <color theme="0"/>
      <name val="Aptos Narrow"/>
      <family val="2"/>
      <scheme val="minor"/>
    </font>
    <font>
      <sz val="22"/>
      <color theme="0"/>
      <name val="Aptos Narrow"/>
      <family val="2"/>
      <scheme val="minor"/>
    </font>
    <font>
      <sz val="22"/>
      <color rgb="FFFF0000"/>
      <name val="Aptos Narrow"/>
      <family val="2"/>
      <scheme val="minor"/>
    </font>
    <font>
      <sz val="22"/>
      <color rgb="FF1AFFD5"/>
      <name val="Aptos Narrow"/>
      <family val="2"/>
      <scheme val="minor"/>
    </font>
    <font>
      <sz val="8"/>
      <color theme="0"/>
      <name val="Aptos Narrow"/>
      <family val="2"/>
      <scheme val="minor"/>
    </font>
    <font>
      <u/>
      <sz val="11"/>
      <color theme="10"/>
      <name val="Aptos Narrow"/>
      <family val="2"/>
      <scheme val="minor"/>
    </font>
  </fonts>
  <fills count="10">
    <fill>
      <patternFill patternType="none"/>
    </fill>
    <fill>
      <patternFill patternType="gray125"/>
    </fill>
    <fill>
      <patternFill patternType="solid">
        <fgColor rgb="FF23272D"/>
        <bgColor indexed="64"/>
      </patternFill>
    </fill>
    <fill>
      <patternFill patternType="solid">
        <fgColor rgb="FF13171A"/>
        <bgColor indexed="64"/>
      </patternFill>
    </fill>
    <fill>
      <patternFill patternType="solid">
        <fgColor rgb="FFF94A1A"/>
        <bgColor indexed="64"/>
      </patternFill>
    </fill>
    <fill>
      <patternFill patternType="solid">
        <fgColor rgb="FF00B491"/>
        <bgColor indexed="64"/>
      </patternFill>
    </fill>
    <fill>
      <patternFill patternType="solid">
        <fgColor rgb="FF1AFFD5"/>
        <bgColor indexed="64"/>
      </patternFill>
    </fill>
    <fill>
      <patternFill patternType="solid">
        <fgColor rgb="FF0088FE"/>
        <bgColor indexed="64"/>
      </patternFill>
    </fill>
    <fill>
      <patternFill patternType="solid">
        <fgColor rgb="FF005DB2"/>
        <bgColor indexed="64"/>
      </patternFill>
    </fill>
    <fill>
      <patternFill patternType="solid">
        <fgColor rgb="FF2E353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12" fillId="0" borderId="0" applyNumberFormat="0" applyFill="0" applyBorder="0" applyAlignment="0" applyProtection="0"/>
  </cellStyleXfs>
  <cellXfs count="43">
    <xf numFmtId="0" fontId="0" fillId="0" borderId="0" xfId="0"/>
    <xf numFmtId="0" fontId="0" fillId="2" borderId="0" xfId="0" applyFill="1"/>
    <xf numFmtId="0" fontId="0" fillId="0" borderId="0" xfId="0" applyAlignment="1">
      <alignment horizontal="center"/>
    </xf>
    <xf numFmtId="0" fontId="3" fillId="0" borderId="0" xfId="0" applyFont="1"/>
    <xf numFmtId="9" fontId="0" fillId="0" borderId="0" xfId="0" applyNumberFormat="1"/>
    <xf numFmtId="9" fontId="0" fillId="0" borderId="0" xfId="2" applyFont="1" applyAlignment="1">
      <alignment horizontal="center"/>
    </xf>
    <xf numFmtId="44" fontId="0" fillId="0" borderId="0" xfId="1" applyFont="1"/>
    <xf numFmtId="164" fontId="0" fillId="0" borderId="0" xfId="1" applyNumberFormat="1" applyFont="1"/>
    <xf numFmtId="0" fontId="3" fillId="0" borderId="0" xfId="0" applyFont="1" applyAlignment="1">
      <alignment horizontal="right"/>
    </xf>
    <xf numFmtId="0" fontId="3" fillId="0" borderId="0" xfId="0" applyFont="1" applyAlignment="1">
      <alignment horizontal="center"/>
    </xf>
    <xf numFmtId="0" fontId="5" fillId="0" borderId="0" xfId="0" applyFont="1" applyAlignment="1">
      <alignment horizontal="center"/>
    </xf>
    <xf numFmtId="9" fontId="0" fillId="0" borderId="0" xfId="0" applyNumberFormat="1" applyAlignment="1">
      <alignment horizontal="center"/>
    </xf>
    <xf numFmtId="164" fontId="0" fillId="0" borderId="0" xfId="1" applyNumberFormat="1" applyFont="1" applyAlignment="1">
      <alignment horizontal="center"/>
    </xf>
    <xf numFmtId="165" fontId="0" fillId="0" borderId="0" xfId="0" applyNumberFormat="1" applyAlignment="1">
      <alignment horizontal="center"/>
    </xf>
    <xf numFmtId="166" fontId="0" fillId="0" borderId="1" xfId="0" applyNumberFormat="1" applyBorder="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center"/>
    </xf>
    <xf numFmtId="164" fontId="3" fillId="0" borderId="0" xfId="1" applyNumberFormat="1" applyFont="1" applyAlignment="1">
      <alignment horizontal="center"/>
    </xf>
    <xf numFmtId="165" fontId="0" fillId="0" borderId="0" xfId="2" applyNumberFormat="1" applyFont="1" applyAlignment="1">
      <alignment horizontal="center"/>
    </xf>
    <xf numFmtId="0" fontId="4" fillId="2" borderId="0" xfId="0" applyFont="1" applyFill="1"/>
    <xf numFmtId="167" fontId="9" fillId="2" borderId="0" xfId="1" applyNumberFormat="1" applyFont="1" applyFill="1" applyAlignment="1">
      <alignment vertical="center"/>
    </xf>
    <xf numFmtId="0" fontId="11" fillId="2" borderId="0" xfId="0" applyFont="1" applyFill="1" applyAlignment="1">
      <alignment vertical="center"/>
    </xf>
    <xf numFmtId="0" fontId="11" fillId="3" borderId="0" xfId="0" applyFont="1" applyFill="1" applyAlignment="1">
      <alignment vertical="center"/>
    </xf>
    <xf numFmtId="0" fontId="0" fillId="3" borderId="0" xfId="0" applyFill="1"/>
    <xf numFmtId="44" fontId="0" fillId="0" borderId="0" xfId="0" applyNumberFormat="1"/>
    <xf numFmtId="165" fontId="0" fillId="0" borderId="0" xfId="2" applyNumberFormat="1" applyFont="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12" fillId="2" borderId="0" xfId="3" applyFill="1"/>
    <xf numFmtId="0" fontId="7" fillId="3" borderId="0" xfId="0" applyFont="1" applyFill="1" applyAlignment="1">
      <alignment horizontal="center"/>
    </xf>
    <xf numFmtId="0" fontId="7" fillId="3" borderId="0" xfId="0" applyFont="1" applyFill="1" applyAlignment="1">
      <alignment horizontal="left"/>
    </xf>
    <xf numFmtId="0" fontId="10" fillId="3" borderId="0" xfId="0" applyFont="1" applyFill="1" applyAlignment="1">
      <alignment horizontal="right" vertical="top"/>
    </xf>
    <xf numFmtId="168" fontId="9" fillId="3" borderId="0" xfId="1" applyNumberFormat="1" applyFont="1" applyFill="1" applyAlignment="1">
      <alignment horizontal="center" vertical="top"/>
    </xf>
    <xf numFmtId="165" fontId="10" fillId="3" borderId="0" xfId="2" applyNumberFormat="1" applyFont="1" applyFill="1" applyAlignment="1">
      <alignment horizontal="left" vertical="top"/>
    </xf>
    <xf numFmtId="168" fontId="10" fillId="3" borderId="0" xfId="1" applyNumberFormat="1" applyFont="1" applyFill="1" applyAlignment="1">
      <alignment horizontal="center" vertical="top"/>
    </xf>
    <xf numFmtId="168" fontId="8" fillId="3" borderId="0" xfId="1" applyNumberFormat="1" applyFont="1" applyFill="1" applyAlignment="1">
      <alignment horizontal="right" vertical="top"/>
    </xf>
    <xf numFmtId="9" fontId="8" fillId="3" borderId="0" xfId="2" applyFont="1" applyFill="1" applyAlignment="1">
      <alignment horizontal="center" vertical="top"/>
    </xf>
  </cellXfs>
  <cellStyles count="4">
    <cellStyle name="Currency" xfId="1" builtinId="4"/>
    <cellStyle name="Hyperlink" xfId="3" builtinId="8"/>
    <cellStyle name="Normal" xfId="0" builtinId="0"/>
    <cellStyle name="Percent" xfId="2" builtinId="5"/>
  </cellStyles>
  <dxfs count="6">
    <dxf>
      <font>
        <color rgb="FFFF0000"/>
      </font>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_);_(&quot;$&quot;* \(#,##0\);_(&quot;$&quot;* &quot;-&quot;??_);_(@_)"/>
    </dxf>
    <dxf>
      <alignment horizontal="center" vertical="bottom" textRotation="0" wrapText="0" indent="0" justifyLastLine="0" shrinkToFit="0" readingOrder="0"/>
    </dxf>
    <dxf>
      <font>
        <b/>
        <color theme="1"/>
      </font>
      <border>
        <bottom style="thin">
          <color theme="4"/>
        </bottom>
        <vertical/>
        <horizontal/>
      </border>
    </dxf>
    <dxf>
      <font>
        <color theme="1"/>
      </font>
      <fill>
        <patternFill patternType="solid">
          <fgColor auto="1"/>
          <bgColor rgb="FF23272D"/>
        </patternFill>
      </fill>
      <border diagonalUp="0" diagonalDown="0">
        <left/>
        <right/>
        <top/>
        <bottom/>
        <vertical/>
        <horizontal/>
      </border>
    </dxf>
  </dxfs>
  <tableStyles count="1" defaultTableStyle="TableStyleMedium2" defaultPivotStyle="PivotStyleLight16">
    <tableStyle name="SlicerStyleLight1 2" pivot="0" table="0" count="10" xr9:uid="{7FCF957E-ACA9-43C8-953C-78BB5BC9D0E6}">
      <tableStyleElement type="wholeTable" dxfId="5"/>
      <tableStyleElement type="headerRow" dxfId="4"/>
    </tableStyle>
  </tableStyles>
  <colors>
    <mruColors>
      <color rgb="FF2E353B"/>
      <color rgb="FF13171A"/>
      <color rgb="FF23272D"/>
      <color rgb="FF005DB2"/>
      <color rgb="FF0088FE"/>
      <color rgb="FF1AFFD5"/>
      <color rgb="FF00B491"/>
      <color rgb="FFFF3300"/>
      <color rgb="FFFF6600"/>
      <color rgb="FFF94A1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C00000"/>
              </stop>
              <stop position="1">
                <color rgb="FFF94A1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499984740745262"/>
          </font>
          <fill>
            <patternFill patternType="solid">
              <fgColor rgb="FFFFFFFF"/>
              <bgColor rgb="FF202328"/>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2.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2.xml"/><Relationship Id="rId1" Type="http://schemas.microsoft.com/office/2011/relationships/chartStyle" Target="style2.xml"/><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3-9732-496F-A3F6-82538AF8E8B6}"/>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6-9732-496F-A3F6-82538AF8E8B6}"/>
              </c:ext>
            </c:extLst>
          </c:dPt>
          <c:cat>
            <c:strRef>
              <c:f>Processing!$F$1:$G$1</c:f>
              <c:strCache>
                <c:ptCount val="2"/>
                <c:pt idx="0">
                  <c:v>Credit Capacity</c:v>
                </c:pt>
                <c:pt idx="1">
                  <c:v>Use Loan Capital</c:v>
                </c:pt>
              </c:strCache>
            </c:strRef>
          </c:cat>
          <c:val>
            <c:numRef>
              <c:f>Processing!$F$2:$G$2</c:f>
              <c:numCache>
                <c:formatCode>0%</c:formatCode>
                <c:ptCount val="2"/>
                <c:pt idx="0">
                  <c:v>0.5</c:v>
                </c:pt>
                <c:pt idx="1">
                  <c:v>0.5</c:v>
                </c:pt>
              </c:numCache>
            </c:numRef>
          </c:val>
          <c:extLst>
            <c:ext xmlns:c16="http://schemas.microsoft.com/office/drawing/2014/chart" uri="{C3380CC4-5D6E-409C-BE32-E72D297353CC}">
              <c16:uniqueId val="{00000000-9732-496F-A3F6-82538AF8E8B6}"/>
            </c:ext>
          </c:extLst>
        </c:ser>
        <c:ser>
          <c:idx val="1"/>
          <c:order val="1"/>
          <c:spPr>
            <a:solidFill>
              <a:schemeClr val="accent2"/>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4-9732-496F-A3F6-82538AF8E8B6}"/>
              </c:ext>
            </c:extLst>
          </c:dPt>
          <c:dPt>
            <c:idx val="1"/>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9732-496F-A3F6-82538AF8E8B6}"/>
              </c:ext>
            </c:extLst>
          </c:dPt>
          <c:cat>
            <c:strRef>
              <c:f>Processing!$F$1:$G$1</c:f>
              <c:strCache>
                <c:ptCount val="2"/>
                <c:pt idx="0">
                  <c:v>Credit Capacity</c:v>
                </c:pt>
                <c:pt idx="1">
                  <c:v>Use Loan Capital</c:v>
                </c:pt>
              </c:strCache>
            </c:strRef>
          </c:cat>
          <c:val>
            <c:numRef>
              <c:f>Processing!$F$3:$G$3</c:f>
              <c:numCache>
                <c:formatCode>0%</c:formatCode>
                <c:ptCount val="2"/>
                <c:pt idx="0">
                  <c:v>0.1</c:v>
                </c:pt>
                <c:pt idx="1">
                  <c:v>0.1</c:v>
                </c:pt>
              </c:numCache>
            </c:numRef>
          </c:val>
          <c:extLst>
            <c:ext xmlns:c16="http://schemas.microsoft.com/office/drawing/2014/chart" uri="{C3380CC4-5D6E-409C-BE32-E72D297353CC}">
              <c16:uniqueId val="{00000001-9732-496F-A3F6-82538AF8E8B6}"/>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5-9732-496F-A3F6-82538AF8E8B6}"/>
              </c:ext>
            </c:extLst>
          </c:dPt>
          <c:dPt>
            <c:idx val="1"/>
            <c:invertIfNegative val="0"/>
            <c:bubble3D val="0"/>
            <c:spPr>
              <a:noFill/>
              <a:ln>
                <a:noFill/>
              </a:ln>
              <a:effectLst/>
            </c:spPr>
            <c:extLst>
              <c:ext xmlns:c16="http://schemas.microsoft.com/office/drawing/2014/chart" uri="{C3380CC4-5D6E-409C-BE32-E72D297353CC}">
                <c16:uniqueId val="{00000008-9732-496F-A3F6-82538AF8E8B6}"/>
              </c:ext>
            </c:extLst>
          </c:dPt>
          <c:cat>
            <c:strRef>
              <c:f>Processing!$F$1:$G$1</c:f>
              <c:strCache>
                <c:ptCount val="2"/>
                <c:pt idx="0">
                  <c:v>Credit Capacity</c:v>
                </c:pt>
                <c:pt idx="1">
                  <c:v>Use Loan Capital</c:v>
                </c:pt>
              </c:strCache>
            </c:strRef>
          </c:cat>
          <c:val>
            <c:numRef>
              <c:f>Processing!$F$4:$G$4</c:f>
              <c:numCache>
                <c:formatCode>0%</c:formatCode>
                <c:ptCount val="2"/>
                <c:pt idx="0">
                  <c:v>0.5</c:v>
                </c:pt>
                <c:pt idx="1">
                  <c:v>0.5</c:v>
                </c:pt>
              </c:numCache>
            </c:numRef>
          </c:val>
          <c:extLst>
            <c:ext xmlns:c16="http://schemas.microsoft.com/office/drawing/2014/chart" uri="{C3380CC4-5D6E-409C-BE32-E72D297353CC}">
              <c16:uniqueId val="{00000002-9732-496F-A3F6-82538AF8E8B6}"/>
            </c:ext>
          </c:extLst>
        </c:ser>
        <c:dLbls>
          <c:showLegendKey val="0"/>
          <c:showVal val="0"/>
          <c:showCatName val="0"/>
          <c:showSerName val="0"/>
          <c:showPercent val="0"/>
          <c:showBubbleSize val="0"/>
        </c:dLbls>
        <c:gapWidth val="43"/>
        <c:overlap val="100"/>
        <c:axId val="1392301487"/>
        <c:axId val="1392297647"/>
      </c:barChart>
      <c:catAx>
        <c:axId val="1392301487"/>
        <c:scaling>
          <c:orientation val="minMax"/>
        </c:scaling>
        <c:delete val="1"/>
        <c:axPos val="b"/>
        <c:numFmt formatCode="General" sourceLinked="1"/>
        <c:majorTickMark val="none"/>
        <c:minorTickMark val="none"/>
        <c:tickLblPos val="nextTo"/>
        <c:crossAx val="1392297647"/>
        <c:crosses val="autoZero"/>
        <c:auto val="1"/>
        <c:lblAlgn val="ctr"/>
        <c:lblOffset val="100"/>
        <c:noMultiLvlLbl val="0"/>
      </c:catAx>
      <c:valAx>
        <c:axId val="1392297647"/>
        <c:scaling>
          <c:orientation val="minMax"/>
        </c:scaling>
        <c:delete val="1"/>
        <c:axPos val="l"/>
        <c:numFmt formatCode="0%" sourceLinked="1"/>
        <c:majorTickMark val="none"/>
        <c:minorTickMark val="none"/>
        <c:tickLblPos val="nextTo"/>
        <c:crossAx val="139230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dLbls>
            <c:dLbl>
              <c:idx val="0"/>
              <c:layout>
                <c:manualLayout>
                  <c:x val="0.2777777777777777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B8-45CE-B4F5-02D1CD61C7D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Processing!$G$8</c:f>
              <c:numCache>
                <c:formatCode>0%</c:formatCode>
                <c:ptCount val="1"/>
                <c:pt idx="0">
                  <c:v>0.86</c:v>
                </c:pt>
              </c:numCache>
            </c:numRef>
          </c:val>
          <c:extLst>
            <c:ext xmlns:c16="http://schemas.microsoft.com/office/drawing/2014/chart" uri="{C3380CC4-5D6E-409C-BE32-E72D297353CC}">
              <c16:uniqueId val="{00000000-72B8-45CE-B4F5-02D1CD61C7D1}"/>
            </c:ext>
          </c:extLst>
        </c:ser>
        <c:ser>
          <c:idx val="1"/>
          <c:order val="1"/>
          <c:spPr>
            <a:blipFill>
              <a:blip xmlns:r="http://schemas.openxmlformats.org/officeDocument/2006/relationships" r:embed="rId4"/>
              <a:stretch>
                <a:fillRect/>
              </a:stretch>
            </a:blipFill>
            <a:ln>
              <a:noFill/>
            </a:ln>
            <a:effectLst/>
          </c:spPr>
          <c:invertIfNegative val="0"/>
          <c:val>
            <c:numRef>
              <c:f>Processing!$G$9</c:f>
              <c:numCache>
                <c:formatCode>0%</c:formatCode>
                <c:ptCount val="1"/>
                <c:pt idx="0">
                  <c:v>0.1</c:v>
                </c:pt>
              </c:numCache>
            </c:numRef>
          </c:val>
          <c:extLst>
            <c:ext xmlns:c16="http://schemas.microsoft.com/office/drawing/2014/chart" uri="{C3380CC4-5D6E-409C-BE32-E72D297353CC}">
              <c16:uniqueId val="{00000001-72B8-45CE-B4F5-02D1CD61C7D1}"/>
            </c:ext>
          </c:extLst>
        </c:ser>
        <c:ser>
          <c:idx val="2"/>
          <c:order val="2"/>
          <c:spPr>
            <a:blipFill>
              <a:blip xmlns:r="http://schemas.openxmlformats.org/officeDocument/2006/relationships" r:embed="rId5"/>
              <a:stretch>
                <a:fillRect/>
              </a:stretch>
            </a:blipFill>
            <a:ln>
              <a:noFill/>
            </a:ln>
            <a:effectLst/>
          </c:spPr>
          <c:invertIfNegative val="0"/>
          <c:dLbls>
            <c:dLbl>
              <c:idx val="0"/>
              <c:layout>
                <c:manualLayout>
                  <c:x val="0.2734375"/>
                  <c:y val="-5.555491378045088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B8-45CE-B4F5-02D1CD61C7D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Processing!$G$10</c:f>
              <c:numCache>
                <c:formatCode>0%</c:formatCode>
                <c:ptCount val="1"/>
                <c:pt idx="0">
                  <c:v>0.14000000000000001</c:v>
                </c:pt>
              </c:numCache>
            </c:numRef>
          </c:val>
          <c:extLst>
            <c:ext xmlns:c16="http://schemas.microsoft.com/office/drawing/2014/chart" uri="{C3380CC4-5D6E-409C-BE32-E72D297353CC}">
              <c16:uniqueId val="{00000002-72B8-45CE-B4F5-02D1CD61C7D1}"/>
            </c:ext>
          </c:extLst>
        </c:ser>
        <c:ser>
          <c:idx val="3"/>
          <c:order val="3"/>
          <c:spPr>
            <a:blipFill>
              <a:blip xmlns:r="http://schemas.openxmlformats.org/officeDocument/2006/relationships" r:embed="rId6"/>
              <a:stretch>
                <a:fillRect/>
              </a:stretch>
            </a:blipFill>
            <a:ln>
              <a:noFill/>
            </a:ln>
            <a:effectLst/>
          </c:spPr>
          <c:invertIfNegative val="0"/>
          <c:val>
            <c:numRef>
              <c:f>Processing!$G$11</c:f>
              <c:numCache>
                <c:formatCode>0%</c:formatCode>
                <c:ptCount val="1"/>
                <c:pt idx="0">
                  <c:v>0.1</c:v>
                </c:pt>
              </c:numCache>
            </c:numRef>
          </c:val>
          <c:extLst>
            <c:ext xmlns:c16="http://schemas.microsoft.com/office/drawing/2014/chart" uri="{C3380CC4-5D6E-409C-BE32-E72D297353CC}">
              <c16:uniqueId val="{00000003-72B8-45CE-B4F5-02D1CD61C7D1}"/>
            </c:ext>
          </c:extLst>
        </c:ser>
        <c:dLbls>
          <c:showLegendKey val="0"/>
          <c:showVal val="0"/>
          <c:showCatName val="0"/>
          <c:showSerName val="0"/>
          <c:showPercent val="0"/>
          <c:showBubbleSize val="0"/>
        </c:dLbls>
        <c:gapWidth val="190"/>
        <c:overlap val="100"/>
        <c:axId val="1450394063"/>
        <c:axId val="1450401743"/>
      </c:barChart>
      <c:catAx>
        <c:axId val="1450394063"/>
        <c:scaling>
          <c:orientation val="minMax"/>
        </c:scaling>
        <c:delete val="1"/>
        <c:axPos val="b"/>
        <c:majorTickMark val="none"/>
        <c:minorTickMark val="none"/>
        <c:tickLblPos val="nextTo"/>
        <c:crossAx val="1450401743"/>
        <c:crosses val="autoZero"/>
        <c:auto val="1"/>
        <c:lblAlgn val="ctr"/>
        <c:lblOffset val="100"/>
        <c:noMultiLvlLbl val="0"/>
      </c:catAx>
      <c:valAx>
        <c:axId val="1450401743"/>
        <c:scaling>
          <c:orientation val="minMax"/>
        </c:scaling>
        <c:delete val="1"/>
        <c:axPos val="l"/>
        <c:numFmt formatCode="0%" sourceLinked="1"/>
        <c:majorTickMark val="none"/>
        <c:minorTickMark val="none"/>
        <c:tickLblPos val="nextTo"/>
        <c:crossAx val="145039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8000">
                    <a:srgbClr val="C00000"/>
                  </a:gs>
                  <a:gs pos="100000">
                    <a:srgbClr val="F43906"/>
                  </a:gs>
                </a:gsLst>
                <a:lin ang="0" scaled="0"/>
              </a:gradFill>
              <a:ln w="19050">
                <a:noFill/>
              </a:ln>
              <a:effectLst/>
            </c:spPr>
            <c:extLst>
              <c:ext xmlns:c16="http://schemas.microsoft.com/office/drawing/2014/chart" uri="{C3380CC4-5D6E-409C-BE32-E72D297353CC}">
                <c16:uniqueId val="{0000000B-3969-4DE8-BA43-21F41506923F}"/>
              </c:ext>
            </c:extLst>
          </c:dPt>
          <c:dPt>
            <c:idx val="1"/>
            <c:bubble3D val="0"/>
            <c:spPr>
              <a:noFill/>
              <a:ln w="19050">
                <a:noFill/>
              </a:ln>
              <a:effectLst/>
            </c:spPr>
            <c:extLst>
              <c:ext xmlns:c16="http://schemas.microsoft.com/office/drawing/2014/chart" uri="{C3380CC4-5D6E-409C-BE32-E72D297353CC}">
                <c16:uniqueId val="{0000000D-3969-4DE8-BA43-21F41506923F}"/>
              </c:ext>
            </c:extLst>
          </c:dPt>
          <c:dPt>
            <c:idx val="2"/>
            <c:bubble3D val="0"/>
            <c:spPr>
              <a:gradFill>
                <a:gsLst>
                  <a:gs pos="1000">
                    <a:srgbClr val="00B491"/>
                  </a:gs>
                  <a:gs pos="100000">
                    <a:srgbClr val="1AFFD5"/>
                  </a:gs>
                </a:gsLst>
                <a:lin ang="0" scaled="0"/>
              </a:gradFill>
              <a:ln w="19050">
                <a:noFill/>
              </a:ln>
              <a:effectLst/>
            </c:spPr>
            <c:extLst>
              <c:ext xmlns:c16="http://schemas.microsoft.com/office/drawing/2014/chart" uri="{C3380CC4-5D6E-409C-BE32-E72D297353CC}">
                <c16:uniqueId val="{0000000F-3969-4DE8-BA43-21F41506923F}"/>
              </c:ext>
            </c:extLst>
          </c:dPt>
          <c:val>
            <c:numRef>
              <c:f>Processing!$J$2:$L$2</c:f>
              <c:numCache>
                <c:formatCode>0%</c:formatCode>
                <c:ptCount val="3"/>
                <c:pt idx="0" formatCode="0.0%">
                  <c:v>0.41513228292563281</c:v>
                </c:pt>
                <c:pt idx="1">
                  <c:v>0.42902740471037454</c:v>
                </c:pt>
                <c:pt idx="2">
                  <c:v>0.15584031236399271</c:v>
                </c:pt>
              </c:numCache>
            </c:numRef>
          </c:val>
          <c:extLst>
            <c:ext xmlns:c16="http://schemas.microsoft.com/office/drawing/2014/chart" uri="{C3380CC4-5D6E-409C-BE32-E72D297353CC}">
              <c16:uniqueId val="{00000010-3969-4DE8-BA43-21F41506923F}"/>
            </c:ext>
          </c:extLst>
        </c:ser>
        <c:dLbls>
          <c:showLegendKey val="0"/>
          <c:showVal val="0"/>
          <c:showCatName val="0"/>
          <c:showSerName val="0"/>
          <c:showPercent val="0"/>
          <c:showBubbleSize val="0"/>
          <c:showLeaderLines val="1"/>
        </c:dLbls>
        <c:firstSliceAng val="270"/>
      </c:pieChart>
      <c:scatterChart>
        <c:scatterStyle val="lineMarker"/>
        <c:varyColors val="0"/>
        <c:ser>
          <c:idx val="1"/>
          <c:order val="1"/>
          <c:tx>
            <c:strRef>
              <c:f>Processing!$O$2</c:f>
              <c:strCache>
                <c:ptCount val="1"/>
                <c:pt idx="0">
                  <c:v>Light 1</c:v>
                </c:pt>
              </c:strCache>
            </c:strRef>
          </c:tx>
          <c:spPr>
            <a:ln w="25400" cap="rnd">
              <a:noFill/>
              <a:round/>
            </a:ln>
            <a:effectLst>
              <a:glow rad="139700">
                <a:srgbClr val="F94A1A">
                  <a:alpha val="40000"/>
                </a:srgbClr>
              </a:glow>
            </a:effectLst>
          </c:spPr>
          <c:marker>
            <c:symbol val="circle"/>
            <c:size val="7"/>
            <c:spPr>
              <a:solidFill>
                <a:schemeClr val="bg1"/>
              </a:solidFill>
              <a:ln w="9525">
                <a:noFill/>
              </a:ln>
              <a:effectLst>
                <a:glow rad="139700">
                  <a:srgbClr val="F94A1A">
                    <a:alpha val="40000"/>
                  </a:srgbClr>
                </a:glow>
              </a:effectLst>
            </c:spPr>
          </c:marker>
          <c:xVal>
            <c:numRef>
              <c:f>Processing!$M$2</c:f>
              <c:numCache>
                <c:formatCode>0.000</c:formatCode>
                <c:ptCount val="1"/>
                <c:pt idx="0">
                  <c:v>0.86116482355830215</c:v>
                </c:pt>
              </c:numCache>
            </c:numRef>
          </c:xVal>
          <c:yVal>
            <c:numRef>
              <c:f>Processing!$N$2</c:f>
              <c:numCache>
                <c:formatCode>0.000</c:formatCode>
                <c:ptCount val="1"/>
                <c:pt idx="0">
                  <c:v>0.50832582726613296</c:v>
                </c:pt>
              </c:numCache>
            </c:numRef>
          </c:yVal>
          <c:smooth val="0"/>
          <c:extLst>
            <c:ext xmlns:c16="http://schemas.microsoft.com/office/drawing/2014/chart" uri="{C3380CC4-5D6E-409C-BE32-E72D297353CC}">
              <c16:uniqueId val="{00000012-3969-4DE8-BA43-21F41506923F}"/>
            </c:ext>
          </c:extLst>
        </c:ser>
        <c:ser>
          <c:idx val="2"/>
          <c:order val="2"/>
          <c:tx>
            <c:strRef>
              <c:f>Processing!$O$3</c:f>
              <c:strCache>
                <c:ptCount val="1"/>
                <c:pt idx="0">
                  <c:v>Light 2</c:v>
                </c:pt>
              </c:strCache>
            </c:strRef>
          </c:tx>
          <c:spPr>
            <a:ln w="25400" cap="rnd">
              <a:noFill/>
              <a:round/>
            </a:ln>
            <a:effectLst>
              <a:glow rad="139700">
                <a:srgbClr val="1AFFD5">
                  <a:alpha val="40000"/>
                </a:srgbClr>
              </a:glow>
            </a:effectLst>
          </c:spPr>
          <c:marker>
            <c:symbol val="circle"/>
            <c:size val="6"/>
            <c:spPr>
              <a:solidFill>
                <a:schemeClr val="bg1"/>
              </a:solidFill>
              <a:ln w="9525">
                <a:noFill/>
              </a:ln>
              <a:effectLst>
                <a:glow rad="139700">
                  <a:srgbClr val="1AFFD5">
                    <a:alpha val="40000"/>
                  </a:srgbClr>
                </a:glow>
              </a:effectLst>
            </c:spPr>
          </c:marker>
          <c:xVal>
            <c:numRef>
              <c:f>Processing!$M$3</c:f>
              <c:numCache>
                <c:formatCode>0.000</c:formatCode>
                <c:ptCount val="1"/>
                <c:pt idx="0">
                  <c:v>-0.55770871195415261</c:v>
                </c:pt>
              </c:numCache>
            </c:numRef>
          </c:xVal>
          <c:yVal>
            <c:numRef>
              <c:f>Processing!$N$3</c:f>
              <c:numCache>
                <c:formatCode>0.000</c:formatCode>
                <c:ptCount val="1"/>
                <c:pt idx="0">
                  <c:v>-0.83003674172318331</c:v>
                </c:pt>
              </c:numCache>
            </c:numRef>
          </c:yVal>
          <c:smooth val="0"/>
          <c:extLst>
            <c:ext xmlns:c16="http://schemas.microsoft.com/office/drawing/2014/chart" uri="{C3380CC4-5D6E-409C-BE32-E72D297353CC}">
              <c16:uniqueId val="{00000014-3969-4DE8-BA43-21F41506923F}"/>
            </c:ext>
          </c:extLst>
        </c:ser>
        <c:dLbls>
          <c:showLegendKey val="0"/>
          <c:showVal val="0"/>
          <c:showCatName val="0"/>
          <c:showSerName val="0"/>
          <c:showPercent val="0"/>
          <c:showBubbleSize val="0"/>
        </c:dLbls>
        <c:axId val="1306202080"/>
        <c:axId val="1306192480"/>
      </c:scatterChart>
      <c:valAx>
        <c:axId val="1306202080"/>
        <c:scaling>
          <c:orientation val="minMax"/>
          <c:max val="1"/>
          <c:min val="-1"/>
        </c:scaling>
        <c:delete val="1"/>
        <c:axPos val="b"/>
        <c:numFmt formatCode="0.000" sourceLinked="1"/>
        <c:majorTickMark val="out"/>
        <c:minorTickMark val="none"/>
        <c:tickLblPos val="nextTo"/>
        <c:crossAx val="1306192480"/>
        <c:crosses val="autoZero"/>
        <c:crossBetween val="midCat"/>
      </c:valAx>
      <c:valAx>
        <c:axId val="1306192480"/>
        <c:scaling>
          <c:orientation val="minMax"/>
          <c:max val="1"/>
          <c:min val="-1"/>
        </c:scaling>
        <c:delete val="1"/>
        <c:axPos val="l"/>
        <c:numFmt formatCode="0.000" sourceLinked="1"/>
        <c:majorTickMark val="out"/>
        <c:minorTickMark val="none"/>
        <c:tickLblPos val="nextTo"/>
        <c:crossAx val="1306202080"/>
        <c:crosses val="autoZero"/>
        <c:crossBetween val="midCat"/>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6" fmlaLink="Processing!$E$3" max="10" page="10" val="5"/>
</file>

<file path=xl/ctrlProps/ctrlProp2.xml><?xml version="1.0" encoding="utf-8"?>
<formControlPr xmlns="http://schemas.microsoft.com/office/spreadsheetml/2009/9/main" objectType="Spin" dx="26" fmlaLink="DASHBOARD!$A$5" max="50" page="10" val="49"/>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396240</xdr:colOff>
      <xdr:row>12</xdr:row>
      <xdr:rowOff>129539</xdr:rowOff>
    </xdr:from>
    <xdr:to>
      <xdr:col>14</xdr:col>
      <xdr:colOff>518160</xdr:colOff>
      <xdr:row>27</xdr:row>
      <xdr:rowOff>147123</xdr:rowOff>
    </xdr:to>
    <xdr:sp macro="" textlink="">
      <xdr:nvSpPr>
        <xdr:cNvPr id="2" name="Rectangle: Rounded Corners 1">
          <a:extLst>
            <a:ext uri="{FF2B5EF4-FFF2-40B4-BE49-F238E27FC236}">
              <a16:creationId xmlns:a16="http://schemas.microsoft.com/office/drawing/2014/main" id="{D315BF48-CE08-44C0-875A-6C5733082A1A}"/>
            </a:ext>
          </a:extLst>
        </xdr:cNvPr>
        <xdr:cNvSpPr/>
      </xdr:nvSpPr>
      <xdr:spPr>
        <a:xfrm>
          <a:off x="6492240" y="2310031"/>
          <a:ext cx="2560320" cy="2743200"/>
        </a:xfrm>
        <a:prstGeom prst="roundRect">
          <a:avLst>
            <a:gd name="adj" fmla="val 4570"/>
          </a:avLst>
        </a:prstGeom>
        <a:solidFill>
          <a:srgbClr val="1317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198120</xdr:colOff>
      <xdr:row>12</xdr:row>
      <xdr:rowOff>129539</xdr:rowOff>
    </xdr:from>
    <xdr:to>
      <xdr:col>10</xdr:col>
      <xdr:colOff>198120</xdr:colOff>
      <xdr:row>27</xdr:row>
      <xdr:rowOff>147123</xdr:rowOff>
    </xdr:to>
    <xdr:sp macro="" textlink="">
      <xdr:nvSpPr>
        <xdr:cNvPr id="3" name="Rectangle: Rounded Corners 2">
          <a:extLst>
            <a:ext uri="{FF2B5EF4-FFF2-40B4-BE49-F238E27FC236}">
              <a16:creationId xmlns:a16="http://schemas.microsoft.com/office/drawing/2014/main" id="{75E3B92D-47DA-48F0-B2D4-F40782A7D3AA}"/>
            </a:ext>
          </a:extLst>
        </xdr:cNvPr>
        <xdr:cNvSpPr/>
      </xdr:nvSpPr>
      <xdr:spPr>
        <a:xfrm>
          <a:off x="2636520" y="2310031"/>
          <a:ext cx="3657600" cy="2743200"/>
        </a:xfrm>
        <a:prstGeom prst="roundRect">
          <a:avLst>
            <a:gd name="adj" fmla="val 4292"/>
          </a:avLst>
        </a:prstGeom>
        <a:solidFill>
          <a:srgbClr val="1317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76200</xdr:colOff>
      <xdr:row>12</xdr:row>
      <xdr:rowOff>129539</xdr:rowOff>
    </xdr:from>
    <xdr:to>
      <xdr:col>19</xdr:col>
      <xdr:colOff>198120</xdr:colOff>
      <xdr:row>27</xdr:row>
      <xdr:rowOff>147123</xdr:rowOff>
    </xdr:to>
    <xdr:sp macro="" textlink="">
      <xdr:nvSpPr>
        <xdr:cNvPr id="4" name="Rectangle: Rounded Corners 3">
          <a:extLst>
            <a:ext uri="{FF2B5EF4-FFF2-40B4-BE49-F238E27FC236}">
              <a16:creationId xmlns:a16="http://schemas.microsoft.com/office/drawing/2014/main" id="{FC7957E0-E769-4B7D-AD89-5B04A8CA738D}"/>
            </a:ext>
          </a:extLst>
        </xdr:cNvPr>
        <xdr:cNvSpPr/>
      </xdr:nvSpPr>
      <xdr:spPr>
        <a:xfrm>
          <a:off x="9220200" y="2310031"/>
          <a:ext cx="2560320" cy="2743200"/>
        </a:xfrm>
        <a:prstGeom prst="roundRect">
          <a:avLst>
            <a:gd name="adj" fmla="val 4570"/>
          </a:avLst>
        </a:prstGeom>
        <a:solidFill>
          <a:srgbClr val="1317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281940</xdr:colOff>
      <xdr:row>25</xdr:row>
      <xdr:rowOff>106680</xdr:rowOff>
    </xdr:from>
    <xdr:to>
      <xdr:col>6</xdr:col>
      <xdr:colOff>606055</xdr:colOff>
      <xdr:row>26</xdr:row>
      <xdr:rowOff>46163</xdr:rowOff>
    </xdr:to>
    <xdr:sp macro="" textlink="">
      <xdr:nvSpPr>
        <xdr:cNvPr id="13" name="Oval 12">
          <a:extLst>
            <a:ext uri="{FF2B5EF4-FFF2-40B4-BE49-F238E27FC236}">
              <a16:creationId xmlns:a16="http://schemas.microsoft.com/office/drawing/2014/main" id="{CB918C29-C4E5-42BC-BAB4-1800D3667167}"/>
            </a:ext>
          </a:extLst>
        </xdr:cNvPr>
        <xdr:cNvSpPr/>
      </xdr:nvSpPr>
      <xdr:spPr>
        <a:xfrm flipV="1">
          <a:off x="3329940" y="3947160"/>
          <a:ext cx="933715" cy="122363"/>
        </a:xfrm>
        <a:prstGeom prst="ellipse">
          <a:avLst/>
        </a:prstGeom>
        <a:gradFill>
          <a:gsLst>
            <a:gs pos="0">
              <a:srgbClr val="C70200"/>
            </a:gs>
            <a:gs pos="60000">
              <a:srgbClr val="F94A1A"/>
            </a:gs>
            <a:gs pos="100000">
              <a:srgbClr val="C70200"/>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388894</xdr:colOff>
      <xdr:row>25</xdr:row>
      <xdr:rowOff>106680</xdr:rowOff>
    </xdr:from>
    <xdr:to>
      <xdr:col>9</xdr:col>
      <xdr:colOff>103409</xdr:colOff>
      <xdr:row>26</xdr:row>
      <xdr:rowOff>46163</xdr:rowOff>
    </xdr:to>
    <xdr:sp macro="" textlink="">
      <xdr:nvSpPr>
        <xdr:cNvPr id="14" name="Oval 13">
          <a:extLst>
            <a:ext uri="{FF2B5EF4-FFF2-40B4-BE49-F238E27FC236}">
              <a16:creationId xmlns:a16="http://schemas.microsoft.com/office/drawing/2014/main" id="{11F01510-5B5E-4F27-9EF1-6E555D7885BA}"/>
            </a:ext>
          </a:extLst>
        </xdr:cNvPr>
        <xdr:cNvSpPr/>
      </xdr:nvSpPr>
      <xdr:spPr>
        <a:xfrm flipV="1">
          <a:off x="4656094" y="3947160"/>
          <a:ext cx="933715" cy="122363"/>
        </a:xfrm>
        <a:prstGeom prst="ellipse">
          <a:avLst/>
        </a:prstGeom>
        <a:gradFill>
          <a:gsLst>
            <a:gs pos="0">
              <a:srgbClr val="00B491"/>
            </a:gs>
            <a:gs pos="60000">
              <a:srgbClr val="1AFFD5"/>
            </a:gs>
            <a:gs pos="100000">
              <a:srgbClr val="00B491"/>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563880</xdr:colOff>
      <xdr:row>16</xdr:row>
      <xdr:rowOff>15240</xdr:rowOff>
    </xdr:from>
    <xdr:to>
      <xdr:col>9</xdr:col>
      <xdr:colOff>441960</xdr:colOff>
      <xdr:row>26</xdr:row>
      <xdr:rowOff>106680</xdr:rowOff>
    </xdr:to>
    <xdr:graphicFrame macro="">
      <xdr:nvGraphicFramePr>
        <xdr:cNvPr id="6" name="Chart 5">
          <a:extLst>
            <a:ext uri="{FF2B5EF4-FFF2-40B4-BE49-F238E27FC236}">
              <a16:creationId xmlns:a16="http://schemas.microsoft.com/office/drawing/2014/main" id="{EC45C9EB-6686-492D-A014-69EB88BA5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251460</xdr:colOff>
      <xdr:row>17</xdr:row>
      <xdr:rowOff>76200</xdr:rowOff>
    </xdr:from>
    <xdr:to>
      <xdr:col>7</xdr:col>
      <xdr:colOff>37648</xdr:colOff>
      <xdr:row>26</xdr:row>
      <xdr:rowOff>48195</xdr:rowOff>
    </xdr:to>
    <xdr:grpSp>
      <xdr:nvGrpSpPr>
        <xdr:cNvPr id="7" name="Group 6">
          <a:extLst>
            <a:ext uri="{FF2B5EF4-FFF2-40B4-BE49-F238E27FC236}">
              <a16:creationId xmlns:a16="http://schemas.microsoft.com/office/drawing/2014/main" id="{C2AC88BA-2521-44CC-A5CE-2F9588521873}"/>
            </a:ext>
          </a:extLst>
        </xdr:cNvPr>
        <xdr:cNvGrpSpPr/>
      </xdr:nvGrpSpPr>
      <xdr:grpSpPr>
        <a:xfrm>
          <a:off x="2613660" y="2695575"/>
          <a:ext cx="967288" cy="1686495"/>
          <a:chOff x="5823533" y="6905744"/>
          <a:chExt cx="1005388" cy="1617915"/>
        </a:xfrm>
      </xdr:grpSpPr>
      <xdr:sp macro="" textlink="">
        <xdr:nvSpPr>
          <xdr:cNvPr id="8" name="Oval 7">
            <a:extLst>
              <a:ext uri="{FF2B5EF4-FFF2-40B4-BE49-F238E27FC236}">
                <a16:creationId xmlns:a16="http://schemas.microsoft.com/office/drawing/2014/main" id="{8916FB7A-2BA1-DD8A-0EEC-330FF626789F}"/>
              </a:ext>
            </a:extLst>
          </xdr:cNvPr>
          <xdr:cNvSpPr/>
        </xdr:nvSpPr>
        <xdr:spPr>
          <a:xfrm rot="10800000">
            <a:off x="5823533" y="6905744"/>
            <a:ext cx="1005388" cy="135959"/>
          </a:xfrm>
          <a:prstGeom prst="ellipse">
            <a:avLst/>
          </a:prstGeom>
          <a:gradFill flip="none" rotWithShape="1">
            <a:gsLst>
              <a:gs pos="7000">
                <a:srgbClr val="C4C8CB">
                  <a:alpha val="0"/>
                  <a:lumMod val="70000"/>
                  <a:lumOff val="30000"/>
                </a:srgbClr>
              </a:gs>
              <a:gs pos="26000">
                <a:schemeClr val="bg1">
                  <a:alpha val="25000"/>
                </a:schemeClr>
              </a:gs>
              <a:gs pos="24000">
                <a:srgbClr val="FFFFFF">
                  <a:alpha val="0"/>
                </a:srgbClr>
              </a:gs>
              <a:gs pos="93000">
                <a:srgbClr val="F8F8F9">
                  <a:alpha val="0"/>
                </a:srgbClr>
              </a:gs>
              <a:gs pos="100000">
                <a:srgbClr val="969696"/>
              </a:gs>
              <a:gs pos="0">
                <a:schemeClr val="bg1">
                  <a:lumMod val="59000"/>
                </a:schemeClr>
              </a:gs>
            </a:gsLst>
            <a:path path="shape">
              <a:fillToRect l="50000" t="50000" r="50000" b="50000"/>
            </a:path>
            <a:tileRect/>
          </a:gradFill>
          <a:ln w="31750">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Freeform 7">
            <a:extLst>
              <a:ext uri="{FF2B5EF4-FFF2-40B4-BE49-F238E27FC236}">
                <a16:creationId xmlns:a16="http://schemas.microsoft.com/office/drawing/2014/main" id="{8E077A06-078C-08B2-628B-86065226388F}"/>
              </a:ext>
            </a:extLst>
          </xdr:cNvPr>
          <xdr:cNvSpPr/>
        </xdr:nvSpPr>
        <xdr:spPr>
          <a:xfrm rot="16200000">
            <a:off x="5549333" y="7279913"/>
            <a:ext cx="1556737" cy="930756"/>
          </a:xfrm>
          <a:custGeom>
            <a:avLst/>
            <a:gdLst>
              <a:gd name="connsiteX0" fmla="*/ 4266687 w 4266687"/>
              <a:gd name="connsiteY0" fmla="*/ 0 h 1590131"/>
              <a:gd name="connsiteX1" fmla="*/ 4029573 w 4266687"/>
              <a:gd name="connsiteY1" fmla="*/ 794488 h 1590131"/>
              <a:gd name="connsiteX2" fmla="*/ 4266687 w 4266687"/>
              <a:gd name="connsiteY2" fmla="*/ 1588976 h 1590131"/>
              <a:gd name="connsiteX3" fmla="*/ 3185604 w 4266687"/>
              <a:gd name="connsiteY3" fmla="*/ 1588976 h 1590131"/>
              <a:gd name="connsiteX4" fmla="*/ 3081401 w 4266687"/>
              <a:gd name="connsiteY4" fmla="*/ 1588976 h 1590131"/>
              <a:gd name="connsiteX5" fmla="*/ 2496656 w 4266687"/>
              <a:gd name="connsiteY5" fmla="*/ 1588976 h 1590131"/>
              <a:gd name="connsiteX6" fmla="*/ 2503483 w 4266687"/>
              <a:gd name="connsiteY6" fmla="*/ 1590131 h 1590131"/>
              <a:gd name="connsiteX7" fmla="*/ 1422400 w 4266687"/>
              <a:gd name="connsiteY7" fmla="*/ 1590131 h 1590131"/>
              <a:gd name="connsiteX8" fmla="*/ 1318197 w 4266687"/>
              <a:gd name="connsiteY8" fmla="*/ 1590131 h 1590131"/>
              <a:gd name="connsiteX9" fmla="*/ 237114 w 4266687"/>
              <a:gd name="connsiteY9" fmla="*/ 1590131 h 1590131"/>
              <a:gd name="connsiteX10" fmla="*/ 0 w 4266687"/>
              <a:gd name="connsiteY10" fmla="*/ 795643 h 1590131"/>
              <a:gd name="connsiteX11" fmla="*/ 237114 w 4266687"/>
              <a:gd name="connsiteY11" fmla="*/ 1155 h 1590131"/>
              <a:gd name="connsiteX12" fmla="*/ 1318197 w 4266687"/>
              <a:gd name="connsiteY12" fmla="*/ 1155 h 1590131"/>
              <a:gd name="connsiteX13" fmla="*/ 1422400 w 4266687"/>
              <a:gd name="connsiteY13" fmla="*/ 1155 h 1590131"/>
              <a:gd name="connsiteX14" fmla="*/ 1993491 w 4266687"/>
              <a:gd name="connsiteY14" fmla="*/ 1155 h 1590131"/>
              <a:gd name="connsiteX15" fmla="*/ 2000318 w 4266687"/>
              <a:gd name="connsiteY15" fmla="*/ 0 h 1590131"/>
              <a:gd name="connsiteX16" fmla="*/ 3081401 w 4266687"/>
              <a:gd name="connsiteY16" fmla="*/ 0 h 1590131"/>
              <a:gd name="connsiteX17" fmla="*/ 3185604 w 4266687"/>
              <a:gd name="connsiteY17" fmla="*/ 0 h 15901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4266687" h="1590131">
                <a:moveTo>
                  <a:pt x="4266687" y="0"/>
                </a:moveTo>
                <a:cubicBezTo>
                  <a:pt x="4135684" y="0"/>
                  <a:pt x="4029573" y="355772"/>
                  <a:pt x="4029573" y="794488"/>
                </a:cubicBezTo>
                <a:cubicBezTo>
                  <a:pt x="4029573" y="1233205"/>
                  <a:pt x="4135684" y="1588976"/>
                  <a:pt x="4266687" y="1588976"/>
                </a:cubicBezTo>
                <a:lnTo>
                  <a:pt x="3185604" y="1588976"/>
                </a:lnTo>
                <a:lnTo>
                  <a:pt x="3081401" y="1588976"/>
                </a:lnTo>
                <a:lnTo>
                  <a:pt x="2496656" y="1588976"/>
                </a:lnTo>
                <a:lnTo>
                  <a:pt x="2503483" y="1590131"/>
                </a:lnTo>
                <a:lnTo>
                  <a:pt x="1422400" y="1590131"/>
                </a:lnTo>
                <a:lnTo>
                  <a:pt x="1318197" y="1590131"/>
                </a:lnTo>
                <a:lnTo>
                  <a:pt x="237114" y="1590131"/>
                </a:lnTo>
                <a:cubicBezTo>
                  <a:pt x="106111" y="1590131"/>
                  <a:pt x="0" y="1234360"/>
                  <a:pt x="0" y="795643"/>
                </a:cubicBezTo>
                <a:cubicBezTo>
                  <a:pt x="0" y="356927"/>
                  <a:pt x="106111" y="1155"/>
                  <a:pt x="237114" y="1155"/>
                </a:cubicBezTo>
                <a:lnTo>
                  <a:pt x="1318197" y="1155"/>
                </a:lnTo>
                <a:lnTo>
                  <a:pt x="1422400" y="1155"/>
                </a:lnTo>
                <a:lnTo>
                  <a:pt x="1993491" y="1155"/>
                </a:lnTo>
                <a:lnTo>
                  <a:pt x="2000318" y="0"/>
                </a:lnTo>
                <a:lnTo>
                  <a:pt x="3081401" y="0"/>
                </a:lnTo>
                <a:lnTo>
                  <a:pt x="3185604" y="0"/>
                </a:lnTo>
                <a:close/>
              </a:path>
            </a:pathLst>
          </a:custGeom>
          <a:gradFill>
            <a:gsLst>
              <a:gs pos="7000">
                <a:srgbClr val="C4C8CB">
                  <a:alpha val="0"/>
                  <a:lumMod val="70000"/>
                  <a:lumOff val="30000"/>
                </a:srgbClr>
              </a:gs>
              <a:gs pos="26000">
                <a:schemeClr val="bg1">
                  <a:alpha val="25000"/>
                </a:schemeClr>
              </a:gs>
              <a:gs pos="24000">
                <a:srgbClr val="FFFFFF">
                  <a:alpha val="0"/>
                </a:srgbClr>
              </a:gs>
              <a:gs pos="93000">
                <a:srgbClr val="F8F8F9">
                  <a:alpha val="0"/>
                </a:srgbClr>
              </a:gs>
              <a:gs pos="100000">
                <a:srgbClr val="969696"/>
              </a:gs>
              <a:gs pos="0">
                <a:schemeClr val="bg1">
                  <a:lumMod val="59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Arc 9">
            <a:extLst>
              <a:ext uri="{FF2B5EF4-FFF2-40B4-BE49-F238E27FC236}">
                <a16:creationId xmlns:a16="http://schemas.microsoft.com/office/drawing/2014/main" id="{422D719C-20B9-2C36-9C6A-BA769A9AA7C4}"/>
              </a:ext>
            </a:extLst>
          </xdr:cNvPr>
          <xdr:cNvSpPr/>
        </xdr:nvSpPr>
        <xdr:spPr>
          <a:xfrm>
            <a:off x="5826820" y="7381601"/>
            <a:ext cx="1002100" cy="138678"/>
          </a:xfrm>
          <a:prstGeom prst="arc">
            <a:avLst>
              <a:gd name="adj1" fmla="val 88452"/>
              <a:gd name="adj2" fmla="val 10756746"/>
            </a:avLst>
          </a:prstGeom>
          <a:ln w="31750">
            <a:solidFill>
              <a:schemeClr val="tx1">
                <a:lumMod val="75000"/>
                <a:lumOff val="2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ru-RU" sz="1100"/>
          </a:p>
        </xdr:txBody>
      </xdr:sp>
      <xdr:sp macro="" textlink="">
        <xdr:nvSpPr>
          <xdr:cNvPr id="11" name="Arc 10">
            <a:extLst>
              <a:ext uri="{FF2B5EF4-FFF2-40B4-BE49-F238E27FC236}">
                <a16:creationId xmlns:a16="http://schemas.microsoft.com/office/drawing/2014/main" id="{FEE0BCA8-555A-9FBC-853B-3E538A9597DE}"/>
              </a:ext>
            </a:extLst>
          </xdr:cNvPr>
          <xdr:cNvSpPr/>
        </xdr:nvSpPr>
        <xdr:spPr>
          <a:xfrm>
            <a:off x="5826820" y="7871056"/>
            <a:ext cx="1002100" cy="138678"/>
          </a:xfrm>
          <a:prstGeom prst="arc">
            <a:avLst>
              <a:gd name="adj1" fmla="val 88452"/>
              <a:gd name="adj2" fmla="val 10756746"/>
            </a:avLst>
          </a:prstGeom>
          <a:ln w="31750">
            <a:solidFill>
              <a:schemeClr val="tx1">
                <a:lumMod val="75000"/>
                <a:lumOff val="2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ru-RU" sz="1100"/>
          </a:p>
        </xdr:txBody>
      </xdr:sp>
      <xdr:sp macro="" textlink="">
        <xdr:nvSpPr>
          <xdr:cNvPr id="12" name="Arc 11">
            <a:extLst>
              <a:ext uri="{FF2B5EF4-FFF2-40B4-BE49-F238E27FC236}">
                <a16:creationId xmlns:a16="http://schemas.microsoft.com/office/drawing/2014/main" id="{DE4B9517-A049-8255-DD67-A9CA970B9541}"/>
              </a:ext>
            </a:extLst>
          </xdr:cNvPr>
          <xdr:cNvSpPr/>
        </xdr:nvSpPr>
        <xdr:spPr>
          <a:xfrm>
            <a:off x="5826820" y="8367307"/>
            <a:ext cx="1002100" cy="138678"/>
          </a:xfrm>
          <a:prstGeom prst="arc">
            <a:avLst>
              <a:gd name="adj1" fmla="val 88452"/>
              <a:gd name="adj2" fmla="val 10756746"/>
            </a:avLst>
          </a:prstGeom>
          <a:ln w="31750">
            <a:solidFill>
              <a:schemeClr val="tx1">
                <a:lumMod val="75000"/>
                <a:lumOff val="2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ru-RU" sz="1100"/>
          </a:p>
        </xdr:txBody>
      </xdr:sp>
    </xdr:grpSp>
    <xdr:clientData/>
  </xdr:twoCellAnchor>
  <xdr:twoCellAnchor>
    <xdr:from>
      <xdr:col>7</xdr:col>
      <xdr:colOff>358140</xdr:colOff>
      <xdr:row>17</xdr:row>
      <xdr:rowOff>76200</xdr:rowOff>
    </xdr:from>
    <xdr:to>
      <xdr:col>9</xdr:col>
      <xdr:colOff>144328</xdr:colOff>
      <xdr:row>26</xdr:row>
      <xdr:rowOff>48195</xdr:rowOff>
    </xdr:to>
    <xdr:grpSp>
      <xdr:nvGrpSpPr>
        <xdr:cNvPr id="15" name="Group 14">
          <a:extLst>
            <a:ext uri="{FF2B5EF4-FFF2-40B4-BE49-F238E27FC236}">
              <a16:creationId xmlns:a16="http://schemas.microsoft.com/office/drawing/2014/main" id="{5C581828-E8B7-E298-A596-4431443DE729}"/>
            </a:ext>
          </a:extLst>
        </xdr:cNvPr>
        <xdr:cNvGrpSpPr/>
      </xdr:nvGrpSpPr>
      <xdr:grpSpPr>
        <a:xfrm>
          <a:off x="3901440" y="2695575"/>
          <a:ext cx="967288" cy="1686495"/>
          <a:chOff x="5823533" y="6905744"/>
          <a:chExt cx="1005388" cy="1617915"/>
        </a:xfrm>
      </xdr:grpSpPr>
      <xdr:sp macro="" textlink="">
        <xdr:nvSpPr>
          <xdr:cNvPr id="16" name="Oval 15">
            <a:extLst>
              <a:ext uri="{FF2B5EF4-FFF2-40B4-BE49-F238E27FC236}">
                <a16:creationId xmlns:a16="http://schemas.microsoft.com/office/drawing/2014/main" id="{A0BB11AD-A999-7957-D467-C7DC3870C4AE}"/>
              </a:ext>
            </a:extLst>
          </xdr:cNvPr>
          <xdr:cNvSpPr/>
        </xdr:nvSpPr>
        <xdr:spPr>
          <a:xfrm rot="10800000">
            <a:off x="5823533" y="6905744"/>
            <a:ext cx="1005388" cy="135959"/>
          </a:xfrm>
          <a:prstGeom prst="ellipse">
            <a:avLst/>
          </a:prstGeom>
          <a:gradFill flip="none" rotWithShape="1">
            <a:gsLst>
              <a:gs pos="7000">
                <a:srgbClr val="C4C8CB">
                  <a:alpha val="0"/>
                  <a:lumMod val="70000"/>
                  <a:lumOff val="30000"/>
                </a:srgbClr>
              </a:gs>
              <a:gs pos="26000">
                <a:schemeClr val="bg1">
                  <a:alpha val="25000"/>
                </a:schemeClr>
              </a:gs>
              <a:gs pos="24000">
                <a:srgbClr val="FFFFFF">
                  <a:alpha val="0"/>
                </a:srgbClr>
              </a:gs>
              <a:gs pos="93000">
                <a:srgbClr val="F8F8F9">
                  <a:alpha val="0"/>
                </a:srgbClr>
              </a:gs>
              <a:gs pos="100000">
                <a:srgbClr val="969696"/>
              </a:gs>
              <a:gs pos="0">
                <a:schemeClr val="bg1">
                  <a:lumMod val="59000"/>
                </a:schemeClr>
              </a:gs>
            </a:gsLst>
            <a:path path="shape">
              <a:fillToRect l="50000" t="50000" r="50000" b="50000"/>
            </a:path>
            <a:tileRect/>
          </a:gradFill>
          <a:ln w="31750">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7" name="Freeform 7">
            <a:extLst>
              <a:ext uri="{FF2B5EF4-FFF2-40B4-BE49-F238E27FC236}">
                <a16:creationId xmlns:a16="http://schemas.microsoft.com/office/drawing/2014/main" id="{C40D1950-AF80-6E54-1042-3113A479D49B}"/>
              </a:ext>
            </a:extLst>
          </xdr:cNvPr>
          <xdr:cNvSpPr/>
        </xdr:nvSpPr>
        <xdr:spPr>
          <a:xfrm rot="16200000">
            <a:off x="5549333" y="7279913"/>
            <a:ext cx="1556737" cy="930756"/>
          </a:xfrm>
          <a:custGeom>
            <a:avLst/>
            <a:gdLst>
              <a:gd name="connsiteX0" fmla="*/ 4266687 w 4266687"/>
              <a:gd name="connsiteY0" fmla="*/ 0 h 1590131"/>
              <a:gd name="connsiteX1" fmla="*/ 4029573 w 4266687"/>
              <a:gd name="connsiteY1" fmla="*/ 794488 h 1590131"/>
              <a:gd name="connsiteX2" fmla="*/ 4266687 w 4266687"/>
              <a:gd name="connsiteY2" fmla="*/ 1588976 h 1590131"/>
              <a:gd name="connsiteX3" fmla="*/ 3185604 w 4266687"/>
              <a:gd name="connsiteY3" fmla="*/ 1588976 h 1590131"/>
              <a:gd name="connsiteX4" fmla="*/ 3081401 w 4266687"/>
              <a:gd name="connsiteY4" fmla="*/ 1588976 h 1590131"/>
              <a:gd name="connsiteX5" fmla="*/ 2496656 w 4266687"/>
              <a:gd name="connsiteY5" fmla="*/ 1588976 h 1590131"/>
              <a:gd name="connsiteX6" fmla="*/ 2503483 w 4266687"/>
              <a:gd name="connsiteY6" fmla="*/ 1590131 h 1590131"/>
              <a:gd name="connsiteX7" fmla="*/ 1422400 w 4266687"/>
              <a:gd name="connsiteY7" fmla="*/ 1590131 h 1590131"/>
              <a:gd name="connsiteX8" fmla="*/ 1318197 w 4266687"/>
              <a:gd name="connsiteY8" fmla="*/ 1590131 h 1590131"/>
              <a:gd name="connsiteX9" fmla="*/ 237114 w 4266687"/>
              <a:gd name="connsiteY9" fmla="*/ 1590131 h 1590131"/>
              <a:gd name="connsiteX10" fmla="*/ 0 w 4266687"/>
              <a:gd name="connsiteY10" fmla="*/ 795643 h 1590131"/>
              <a:gd name="connsiteX11" fmla="*/ 237114 w 4266687"/>
              <a:gd name="connsiteY11" fmla="*/ 1155 h 1590131"/>
              <a:gd name="connsiteX12" fmla="*/ 1318197 w 4266687"/>
              <a:gd name="connsiteY12" fmla="*/ 1155 h 1590131"/>
              <a:gd name="connsiteX13" fmla="*/ 1422400 w 4266687"/>
              <a:gd name="connsiteY13" fmla="*/ 1155 h 1590131"/>
              <a:gd name="connsiteX14" fmla="*/ 1993491 w 4266687"/>
              <a:gd name="connsiteY14" fmla="*/ 1155 h 1590131"/>
              <a:gd name="connsiteX15" fmla="*/ 2000318 w 4266687"/>
              <a:gd name="connsiteY15" fmla="*/ 0 h 1590131"/>
              <a:gd name="connsiteX16" fmla="*/ 3081401 w 4266687"/>
              <a:gd name="connsiteY16" fmla="*/ 0 h 1590131"/>
              <a:gd name="connsiteX17" fmla="*/ 3185604 w 4266687"/>
              <a:gd name="connsiteY17" fmla="*/ 0 h 15901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4266687" h="1590131">
                <a:moveTo>
                  <a:pt x="4266687" y="0"/>
                </a:moveTo>
                <a:cubicBezTo>
                  <a:pt x="4135684" y="0"/>
                  <a:pt x="4029573" y="355772"/>
                  <a:pt x="4029573" y="794488"/>
                </a:cubicBezTo>
                <a:cubicBezTo>
                  <a:pt x="4029573" y="1233205"/>
                  <a:pt x="4135684" y="1588976"/>
                  <a:pt x="4266687" y="1588976"/>
                </a:cubicBezTo>
                <a:lnTo>
                  <a:pt x="3185604" y="1588976"/>
                </a:lnTo>
                <a:lnTo>
                  <a:pt x="3081401" y="1588976"/>
                </a:lnTo>
                <a:lnTo>
                  <a:pt x="2496656" y="1588976"/>
                </a:lnTo>
                <a:lnTo>
                  <a:pt x="2503483" y="1590131"/>
                </a:lnTo>
                <a:lnTo>
                  <a:pt x="1422400" y="1590131"/>
                </a:lnTo>
                <a:lnTo>
                  <a:pt x="1318197" y="1590131"/>
                </a:lnTo>
                <a:lnTo>
                  <a:pt x="237114" y="1590131"/>
                </a:lnTo>
                <a:cubicBezTo>
                  <a:pt x="106111" y="1590131"/>
                  <a:pt x="0" y="1234360"/>
                  <a:pt x="0" y="795643"/>
                </a:cubicBezTo>
                <a:cubicBezTo>
                  <a:pt x="0" y="356927"/>
                  <a:pt x="106111" y="1155"/>
                  <a:pt x="237114" y="1155"/>
                </a:cubicBezTo>
                <a:lnTo>
                  <a:pt x="1318197" y="1155"/>
                </a:lnTo>
                <a:lnTo>
                  <a:pt x="1422400" y="1155"/>
                </a:lnTo>
                <a:lnTo>
                  <a:pt x="1993491" y="1155"/>
                </a:lnTo>
                <a:lnTo>
                  <a:pt x="2000318" y="0"/>
                </a:lnTo>
                <a:lnTo>
                  <a:pt x="3081401" y="0"/>
                </a:lnTo>
                <a:lnTo>
                  <a:pt x="3185604" y="0"/>
                </a:lnTo>
                <a:close/>
              </a:path>
            </a:pathLst>
          </a:custGeom>
          <a:gradFill>
            <a:gsLst>
              <a:gs pos="7000">
                <a:srgbClr val="C4C8CB">
                  <a:alpha val="0"/>
                  <a:lumMod val="70000"/>
                  <a:lumOff val="30000"/>
                </a:srgbClr>
              </a:gs>
              <a:gs pos="26000">
                <a:schemeClr val="bg1">
                  <a:alpha val="25000"/>
                </a:schemeClr>
              </a:gs>
              <a:gs pos="24000">
                <a:srgbClr val="FFFFFF">
                  <a:alpha val="0"/>
                </a:srgbClr>
              </a:gs>
              <a:gs pos="93000">
                <a:srgbClr val="F8F8F9">
                  <a:alpha val="0"/>
                </a:srgbClr>
              </a:gs>
              <a:gs pos="100000">
                <a:srgbClr val="969696"/>
              </a:gs>
              <a:gs pos="0">
                <a:schemeClr val="bg1">
                  <a:lumMod val="59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 name="Arc 17">
            <a:extLst>
              <a:ext uri="{FF2B5EF4-FFF2-40B4-BE49-F238E27FC236}">
                <a16:creationId xmlns:a16="http://schemas.microsoft.com/office/drawing/2014/main" id="{F299D61C-2EA2-20A0-38A8-CDE7AAB15E0D}"/>
              </a:ext>
            </a:extLst>
          </xdr:cNvPr>
          <xdr:cNvSpPr/>
        </xdr:nvSpPr>
        <xdr:spPr>
          <a:xfrm>
            <a:off x="5826820" y="7381601"/>
            <a:ext cx="1002100" cy="138678"/>
          </a:xfrm>
          <a:prstGeom prst="arc">
            <a:avLst>
              <a:gd name="adj1" fmla="val 88452"/>
              <a:gd name="adj2" fmla="val 10756746"/>
            </a:avLst>
          </a:prstGeom>
          <a:ln w="31750">
            <a:solidFill>
              <a:schemeClr val="tx1">
                <a:lumMod val="75000"/>
                <a:lumOff val="2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ru-RU" sz="1100"/>
          </a:p>
        </xdr:txBody>
      </xdr:sp>
      <xdr:sp macro="" textlink="">
        <xdr:nvSpPr>
          <xdr:cNvPr id="19" name="Arc 18">
            <a:extLst>
              <a:ext uri="{FF2B5EF4-FFF2-40B4-BE49-F238E27FC236}">
                <a16:creationId xmlns:a16="http://schemas.microsoft.com/office/drawing/2014/main" id="{300FCCEE-62AC-B02C-0625-6A5455B92F38}"/>
              </a:ext>
            </a:extLst>
          </xdr:cNvPr>
          <xdr:cNvSpPr/>
        </xdr:nvSpPr>
        <xdr:spPr>
          <a:xfrm>
            <a:off x="5826820" y="7871056"/>
            <a:ext cx="1002100" cy="138678"/>
          </a:xfrm>
          <a:prstGeom prst="arc">
            <a:avLst>
              <a:gd name="adj1" fmla="val 88452"/>
              <a:gd name="adj2" fmla="val 10756746"/>
            </a:avLst>
          </a:prstGeom>
          <a:ln w="31750">
            <a:solidFill>
              <a:schemeClr val="tx1">
                <a:lumMod val="75000"/>
                <a:lumOff val="2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ru-RU" sz="1100"/>
          </a:p>
        </xdr:txBody>
      </xdr:sp>
      <xdr:sp macro="" textlink="">
        <xdr:nvSpPr>
          <xdr:cNvPr id="20" name="Arc 19">
            <a:extLst>
              <a:ext uri="{FF2B5EF4-FFF2-40B4-BE49-F238E27FC236}">
                <a16:creationId xmlns:a16="http://schemas.microsoft.com/office/drawing/2014/main" id="{BA0ECCC3-DFBC-3216-2232-347B2899EDCA}"/>
              </a:ext>
            </a:extLst>
          </xdr:cNvPr>
          <xdr:cNvSpPr/>
        </xdr:nvSpPr>
        <xdr:spPr>
          <a:xfrm>
            <a:off x="5826820" y="8367307"/>
            <a:ext cx="1002100" cy="138678"/>
          </a:xfrm>
          <a:prstGeom prst="arc">
            <a:avLst>
              <a:gd name="adj1" fmla="val 88452"/>
              <a:gd name="adj2" fmla="val 10756746"/>
            </a:avLst>
          </a:prstGeom>
          <a:ln w="31750">
            <a:solidFill>
              <a:schemeClr val="tx1">
                <a:lumMod val="75000"/>
                <a:lumOff val="2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ru-RU" sz="1100"/>
          </a:p>
        </xdr:txBody>
      </xdr:sp>
    </xdr:grpSp>
    <xdr:clientData/>
  </xdr:twoCellAnchor>
  <xdr:twoCellAnchor>
    <xdr:from>
      <xdr:col>5</xdr:col>
      <xdr:colOff>0</xdr:colOff>
      <xdr:row>13</xdr:row>
      <xdr:rowOff>83820</xdr:rowOff>
    </xdr:from>
    <xdr:to>
      <xdr:col>7</xdr:col>
      <xdr:colOff>289560</xdr:colOff>
      <xdr:row>15</xdr:row>
      <xdr:rowOff>47244</xdr:rowOff>
    </xdr:to>
    <xdr:sp macro="" textlink="Processing!F1">
      <xdr:nvSpPr>
        <xdr:cNvPr id="21" name="TextBox 20">
          <a:extLst>
            <a:ext uri="{FF2B5EF4-FFF2-40B4-BE49-F238E27FC236}">
              <a16:creationId xmlns:a16="http://schemas.microsoft.com/office/drawing/2014/main" id="{33F1222B-D3CC-EC93-0245-23B064C4B840}"/>
            </a:ext>
          </a:extLst>
        </xdr:cNvPr>
        <xdr:cNvSpPr txBox="1"/>
      </xdr:nvSpPr>
      <xdr:spPr>
        <a:xfrm>
          <a:off x="3048000" y="1729740"/>
          <a:ext cx="1508760" cy="329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B7A44A2-66B2-44C0-A244-2ED22F7DA11F}" type="TxLink">
            <a:rPr lang="en-US" sz="1400" b="0" i="0" u="none" strike="noStrike">
              <a:solidFill>
                <a:schemeClr val="bg1"/>
              </a:solidFill>
              <a:latin typeface="Aptos Narrow"/>
              <a:ea typeface="+mn-ea"/>
              <a:cs typeface="+mn-cs"/>
            </a:rPr>
            <a:pPr marL="0" indent="0" algn="ctr"/>
            <a:t>Credit Capacity</a:t>
          </a:fld>
          <a:endParaRPr lang="ru-RU" sz="1400" b="0" i="0" u="none" strike="noStrike">
            <a:solidFill>
              <a:schemeClr val="bg1"/>
            </a:solidFill>
            <a:latin typeface="Aptos Narrow"/>
            <a:ea typeface="+mn-ea"/>
            <a:cs typeface="+mn-cs"/>
          </a:endParaRPr>
        </a:p>
      </xdr:txBody>
    </xdr:sp>
    <xdr:clientData/>
  </xdr:twoCellAnchor>
  <xdr:twoCellAnchor>
    <xdr:from>
      <xdr:col>7</xdr:col>
      <xdr:colOff>114300</xdr:colOff>
      <xdr:row>13</xdr:row>
      <xdr:rowOff>83820</xdr:rowOff>
    </xdr:from>
    <xdr:to>
      <xdr:col>9</xdr:col>
      <xdr:colOff>403860</xdr:colOff>
      <xdr:row>15</xdr:row>
      <xdr:rowOff>47244</xdr:rowOff>
    </xdr:to>
    <xdr:sp macro="" textlink="Processing!G1">
      <xdr:nvSpPr>
        <xdr:cNvPr id="22" name="TextBox 21">
          <a:extLst>
            <a:ext uri="{FF2B5EF4-FFF2-40B4-BE49-F238E27FC236}">
              <a16:creationId xmlns:a16="http://schemas.microsoft.com/office/drawing/2014/main" id="{95120491-7939-FB6D-576A-23A3CDF9219D}"/>
            </a:ext>
          </a:extLst>
        </xdr:cNvPr>
        <xdr:cNvSpPr txBox="1"/>
      </xdr:nvSpPr>
      <xdr:spPr>
        <a:xfrm>
          <a:off x="4381500" y="1729740"/>
          <a:ext cx="1508760" cy="329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4FE4A2F-5EFC-41D6-84F5-34F2082382E6}" type="TxLink">
            <a:rPr lang="en-US" sz="1400" b="0" i="0" u="none" strike="noStrike">
              <a:solidFill>
                <a:schemeClr val="bg1"/>
              </a:solidFill>
              <a:latin typeface="Aptos Narrow"/>
              <a:ea typeface="+mn-ea"/>
              <a:cs typeface="+mn-cs"/>
            </a:rPr>
            <a:pPr marL="0" indent="0" algn="ctr"/>
            <a:t>Use Loan Capital</a:t>
          </a:fld>
          <a:endParaRPr lang="ru-RU" sz="1400" b="0" i="0" u="none" strike="noStrike">
            <a:solidFill>
              <a:schemeClr val="bg1"/>
            </a:solidFill>
            <a:latin typeface="Aptos Narrow"/>
            <a:ea typeface="+mn-ea"/>
            <a:cs typeface="+mn-cs"/>
          </a:endParaRPr>
        </a:p>
      </xdr:txBody>
    </xdr:sp>
    <xdr:clientData/>
  </xdr:twoCellAnchor>
  <xdr:twoCellAnchor>
    <xdr:from>
      <xdr:col>4</xdr:col>
      <xdr:colOff>534162</xdr:colOff>
      <xdr:row>15</xdr:row>
      <xdr:rowOff>15240</xdr:rowOff>
    </xdr:from>
    <xdr:to>
      <xdr:col>7</xdr:col>
      <xdr:colOff>364998</xdr:colOff>
      <xdr:row>16</xdr:row>
      <xdr:rowOff>161544</xdr:rowOff>
    </xdr:to>
    <xdr:sp macro="" textlink="Processing!F5">
      <xdr:nvSpPr>
        <xdr:cNvPr id="23" name="TextBox 22">
          <a:extLst>
            <a:ext uri="{FF2B5EF4-FFF2-40B4-BE49-F238E27FC236}">
              <a16:creationId xmlns:a16="http://schemas.microsoft.com/office/drawing/2014/main" id="{A9DBCC21-829B-7BA1-125B-57446B69A5BA}"/>
            </a:ext>
          </a:extLst>
        </xdr:cNvPr>
        <xdr:cNvSpPr txBox="1"/>
      </xdr:nvSpPr>
      <xdr:spPr>
        <a:xfrm>
          <a:off x="2972562" y="2026920"/>
          <a:ext cx="1659636" cy="329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5CFA4D-5727-4B05-B3F4-1811467BED40}" type="TxLink">
            <a:rPr lang="en-US" sz="2000" b="0" i="0" u="none" strike="noStrike">
              <a:solidFill>
                <a:schemeClr val="bg1"/>
              </a:solidFill>
              <a:latin typeface="Aptos Narrow"/>
              <a:ea typeface="+mn-ea"/>
              <a:cs typeface="+mn-cs"/>
            </a:rPr>
            <a:pPr marL="0" indent="0" algn="ctr"/>
            <a:t> $3,24,213 </a:t>
          </a:fld>
          <a:endParaRPr lang="ru-RU" sz="2000" b="0" i="0" u="none" strike="noStrike">
            <a:solidFill>
              <a:schemeClr val="bg1"/>
            </a:solidFill>
            <a:latin typeface="Aptos Narrow"/>
            <a:ea typeface="+mn-ea"/>
            <a:cs typeface="+mn-cs"/>
          </a:endParaRPr>
        </a:p>
      </xdr:txBody>
    </xdr:sp>
    <xdr:clientData/>
  </xdr:twoCellAnchor>
  <xdr:twoCellAnchor>
    <xdr:from>
      <xdr:col>6</xdr:col>
      <xdr:colOff>565480</xdr:colOff>
      <xdr:row>15</xdr:row>
      <xdr:rowOff>15240</xdr:rowOff>
    </xdr:from>
    <xdr:to>
      <xdr:col>9</xdr:col>
      <xdr:colOff>562280</xdr:colOff>
      <xdr:row>16</xdr:row>
      <xdr:rowOff>161544</xdr:rowOff>
    </xdr:to>
    <xdr:sp macro="" textlink="Processing!G5">
      <xdr:nvSpPr>
        <xdr:cNvPr id="24" name="TextBox 23">
          <a:extLst>
            <a:ext uri="{FF2B5EF4-FFF2-40B4-BE49-F238E27FC236}">
              <a16:creationId xmlns:a16="http://schemas.microsoft.com/office/drawing/2014/main" id="{91D59EEB-F86E-5885-F42C-E8F353073D68}"/>
            </a:ext>
          </a:extLst>
        </xdr:cNvPr>
        <xdr:cNvSpPr txBox="1"/>
      </xdr:nvSpPr>
      <xdr:spPr>
        <a:xfrm>
          <a:off x="4223080" y="2026920"/>
          <a:ext cx="1825600" cy="329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F5A8C3-A988-4AF1-AD95-77AA4DA9DAD6}" type="TxLink">
            <a:rPr lang="en-US" sz="2000" b="0" i="0" u="none" strike="noStrike">
              <a:solidFill>
                <a:schemeClr val="bg1"/>
              </a:solidFill>
              <a:latin typeface="Aptos Narrow"/>
              <a:ea typeface="+mn-ea"/>
              <a:cs typeface="+mn-cs"/>
            </a:rPr>
            <a:pPr marL="0" indent="0" algn="ctr"/>
            <a:t> $3,24,213 </a:t>
          </a:fld>
          <a:endParaRPr lang="ru-RU" sz="2000" b="0" i="0" u="none" strike="noStrike">
            <a:solidFill>
              <a:schemeClr val="bg1"/>
            </a:solidFill>
            <a:latin typeface="Aptos Narrow"/>
            <a:ea typeface="+mn-ea"/>
            <a:cs typeface="+mn-cs"/>
          </a:endParaRPr>
        </a:p>
      </xdr:txBody>
    </xdr:sp>
    <xdr:clientData/>
  </xdr:twoCellAnchor>
  <xdr:twoCellAnchor>
    <xdr:from>
      <xdr:col>5</xdr:col>
      <xdr:colOff>402456</xdr:colOff>
      <xdr:row>21</xdr:row>
      <xdr:rowOff>38100</xdr:rowOff>
    </xdr:from>
    <xdr:to>
      <xdr:col>6</xdr:col>
      <xdr:colOff>496704</xdr:colOff>
      <xdr:row>23</xdr:row>
      <xdr:rowOff>1524</xdr:rowOff>
    </xdr:to>
    <xdr:sp macro="" textlink="Processing!F2">
      <xdr:nvSpPr>
        <xdr:cNvPr id="25" name="TextBox 24">
          <a:extLst>
            <a:ext uri="{FF2B5EF4-FFF2-40B4-BE49-F238E27FC236}">
              <a16:creationId xmlns:a16="http://schemas.microsoft.com/office/drawing/2014/main" id="{66C2F6B4-DA07-8D8D-1296-AA58BC0BDBED}"/>
            </a:ext>
          </a:extLst>
        </xdr:cNvPr>
        <xdr:cNvSpPr txBox="1"/>
      </xdr:nvSpPr>
      <xdr:spPr>
        <a:xfrm>
          <a:off x="3450456" y="3878580"/>
          <a:ext cx="703848" cy="329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0EF0F33-C5D7-439C-9F72-CE5584517D08}" type="TxLink">
            <a:rPr lang="en-US" sz="2000" b="0" i="0" u="none" strike="noStrike">
              <a:solidFill>
                <a:schemeClr val="bg1"/>
              </a:solidFill>
              <a:latin typeface="Aptos Narrow"/>
              <a:ea typeface="+mn-ea"/>
              <a:cs typeface="+mn-cs"/>
            </a:rPr>
            <a:pPr marL="0" indent="0" algn="ctr"/>
            <a:t>50%</a:t>
          </a:fld>
          <a:endParaRPr lang="ru-RU" sz="4000" b="0" i="0" u="none" strike="noStrike">
            <a:solidFill>
              <a:schemeClr val="bg1"/>
            </a:solidFill>
            <a:latin typeface="Aptos Narrow"/>
            <a:ea typeface="+mn-ea"/>
            <a:cs typeface="+mn-cs"/>
          </a:endParaRPr>
        </a:p>
      </xdr:txBody>
    </xdr:sp>
    <xdr:clientData/>
  </xdr:twoCellAnchor>
  <xdr:twoCellAnchor>
    <xdr:from>
      <xdr:col>7</xdr:col>
      <xdr:colOff>481564</xdr:colOff>
      <xdr:row>21</xdr:row>
      <xdr:rowOff>38100</xdr:rowOff>
    </xdr:from>
    <xdr:to>
      <xdr:col>9</xdr:col>
      <xdr:colOff>36597</xdr:colOff>
      <xdr:row>23</xdr:row>
      <xdr:rowOff>1524</xdr:rowOff>
    </xdr:to>
    <xdr:sp macro="" textlink="Processing!G2">
      <xdr:nvSpPr>
        <xdr:cNvPr id="26" name="TextBox 25">
          <a:extLst>
            <a:ext uri="{FF2B5EF4-FFF2-40B4-BE49-F238E27FC236}">
              <a16:creationId xmlns:a16="http://schemas.microsoft.com/office/drawing/2014/main" id="{834BC7B0-6C3D-FA94-AF29-D3CBFE77376D}"/>
            </a:ext>
          </a:extLst>
        </xdr:cNvPr>
        <xdr:cNvSpPr txBox="1"/>
      </xdr:nvSpPr>
      <xdr:spPr>
        <a:xfrm>
          <a:off x="4748764" y="3878580"/>
          <a:ext cx="774233" cy="329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F77B2E2-D498-4145-9D98-255B7C2A5AC2}" type="TxLink">
            <a:rPr lang="en-US" sz="2000" b="0" i="0" u="none" strike="noStrike">
              <a:solidFill>
                <a:schemeClr val="bg1"/>
              </a:solidFill>
              <a:latin typeface="Aptos Narrow"/>
              <a:ea typeface="+mn-ea"/>
              <a:cs typeface="+mn-cs"/>
            </a:rPr>
            <a:pPr marL="0" indent="0" algn="ctr"/>
            <a:t>50%</a:t>
          </a:fld>
          <a:endParaRPr lang="ru-RU" sz="4000" b="0" i="0" u="none" strike="noStrike">
            <a:solidFill>
              <a:schemeClr val="bg1"/>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xdr:from>
          <xdr:col>7</xdr:col>
          <xdr:colOff>85725</xdr:colOff>
          <xdr:row>20</xdr:row>
          <xdr:rowOff>171450</xdr:rowOff>
        </xdr:from>
        <xdr:to>
          <xdr:col>7</xdr:col>
          <xdr:colOff>314325</xdr:colOff>
          <xdr:row>22</xdr:row>
          <xdr:rowOff>171450</xdr:rowOff>
        </xdr:to>
        <xdr:sp macro="" textlink="">
          <xdr:nvSpPr>
            <xdr:cNvPr id="1025" name="Spinner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16</xdr:col>
      <xdr:colOff>281940</xdr:colOff>
      <xdr:row>24</xdr:row>
      <xdr:rowOff>45720</xdr:rowOff>
    </xdr:from>
    <xdr:to>
      <xdr:col>17</xdr:col>
      <xdr:colOff>606055</xdr:colOff>
      <xdr:row>24</xdr:row>
      <xdr:rowOff>168083</xdr:rowOff>
    </xdr:to>
    <xdr:sp macro="" textlink="">
      <xdr:nvSpPr>
        <xdr:cNvPr id="34" name="Oval 33">
          <a:extLst>
            <a:ext uri="{FF2B5EF4-FFF2-40B4-BE49-F238E27FC236}">
              <a16:creationId xmlns:a16="http://schemas.microsoft.com/office/drawing/2014/main" id="{F0B6E015-352D-84C8-6759-5C9BB365B703}"/>
            </a:ext>
          </a:extLst>
        </xdr:cNvPr>
        <xdr:cNvSpPr/>
      </xdr:nvSpPr>
      <xdr:spPr>
        <a:xfrm flipV="1">
          <a:off x="10035540" y="3703320"/>
          <a:ext cx="933715" cy="122363"/>
        </a:xfrm>
        <a:prstGeom prst="ellipse">
          <a:avLst/>
        </a:prstGeom>
        <a:gradFill>
          <a:gsLst>
            <a:gs pos="0">
              <a:srgbClr val="C70200"/>
            </a:gs>
            <a:gs pos="60000">
              <a:srgbClr val="F94A1A"/>
            </a:gs>
            <a:gs pos="100000">
              <a:srgbClr val="C70200"/>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14</xdr:col>
      <xdr:colOff>495300</xdr:colOff>
      <xdr:row>13</xdr:row>
      <xdr:rowOff>167640</xdr:rowOff>
    </xdr:from>
    <xdr:to>
      <xdr:col>19</xdr:col>
      <xdr:colOff>373380</xdr:colOff>
      <xdr:row>25</xdr:row>
      <xdr:rowOff>68580</xdr:rowOff>
    </xdr:to>
    <xdr:graphicFrame macro="">
      <xdr:nvGraphicFramePr>
        <xdr:cNvPr id="27" name="Chart 26">
          <a:extLst>
            <a:ext uri="{FF2B5EF4-FFF2-40B4-BE49-F238E27FC236}">
              <a16:creationId xmlns:a16="http://schemas.microsoft.com/office/drawing/2014/main" id="{8AD323A1-4526-44C8-87E4-7B5280AD6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236220</xdr:colOff>
      <xdr:row>16</xdr:row>
      <xdr:rowOff>15240</xdr:rowOff>
    </xdr:from>
    <xdr:to>
      <xdr:col>18</xdr:col>
      <xdr:colOff>22408</xdr:colOff>
      <xdr:row>24</xdr:row>
      <xdr:rowOff>170115</xdr:rowOff>
    </xdr:to>
    <xdr:grpSp>
      <xdr:nvGrpSpPr>
        <xdr:cNvPr id="28" name="Group 27">
          <a:extLst>
            <a:ext uri="{FF2B5EF4-FFF2-40B4-BE49-F238E27FC236}">
              <a16:creationId xmlns:a16="http://schemas.microsoft.com/office/drawing/2014/main" id="{030315AE-9F98-74D4-4265-B5D1DB630127}"/>
            </a:ext>
          </a:extLst>
        </xdr:cNvPr>
        <xdr:cNvGrpSpPr/>
      </xdr:nvGrpSpPr>
      <xdr:grpSpPr>
        <a:xfrm>
          <a:off x="9094470" y="2444115"/>
          <a:ext cx="967288" cy="1678875"/>
          <a:chOff x="5823533" y="6905744"/>
          <a:chExt cx="1005388" cy="1617915"/>
        </a:xfrm>
      </xdr:grpSpPr>
      <xdr:sp macro="" textlink="">
        <xdr:nvSpPr>
          <xdr:cNvPr id="29" name="Oval 28">
            <a:extLst>
              <a:ext uri="{FF2B5EF4-FFF2-40B4-BE49-F238E27FC236}">
                <a16:creationId xmlns:a16="http://schemas.microsoft.com/office/drawing/2014/main" id="{605F0EDA-2B70-63CC-E0E6-ED39D7F7CAA1}"/>
              </a:ext>
            </a:extLst>
          </xdr:cNvPr>
          <xdr:cNvSpPr/>
        </xdr:nvSpPr>
        <xdr:spPr>
          <a:xfrm rot="10800000">
            <a:off x="5823533" y="6905744"/>
            <a:ext cx="1005388" cy="135959"/>
          </a:xfrm>
          <a:prstGeom prst="ellipse">
            <a:avLst/>
          </a:prstGeom>
          <a:gradFill flip="none" rotWithShape="1">
            <a:gsLst>
              <a:gs pos="7000">
                <a:srgbClr val="C4C8CB">
                  <a:alpha val="0"/>
                  <a:lumMod val="70000"/>
                  <a:lumOff val="30000"/>
                </a:srgbClr>
              </a:gs>
              <a:gs pos="26000">
                <a:schemeClr val="bg1">
                  <a:alpha val="25000"/>
                </a:schemeClr>
              </a:gs>
              <a:gs pos="24000">
                <a:srgbClr val="FFFFFF">
                  <a:alpha val="0"/>
                </a:srgbClr>
              </a:gs>
              <a:gs pos="93000">
                <a:srgbClr val="F8F8F9">
                  <a:alpha val="0"/>
                </a:srgbClr>
              </a:gs>
              <a:gs pos="100000">
                <a:srgbClr val="969696"/>
              </a:gs>
              <a:gs pos="0">
                <a:schemeClr val="bg1">
                  <a:lumMod val="59000"/>
                </a:schemeClr>
              </a:gs>
            </a:gsLst>
            <a:path path="shape">
              <a:fillToRect l="50000" t="50000" r="50000" b="50000"/>
            </a:path>
            <a:tileRect/>
          </a:gradFill>
          <a:ln w="31750">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0" name="Freeform 7">
            <a:extLst>
              <a:ext uri="{FF2B5EF4-FFF2-40B4-BE49-F238E27FC236}">
                <a16:creationId xmlns:a16="http://schemas.microsoft.com/office/drawing/2014/main" id="{A78BB339-E994-426C-4D77-A1A510F1D973}"/>
              </a:ext>
            </a:extLst>
          </xdr:cNvPr>
          <xdr:cNvSpPr/>
        </xdr:nvSpPr>
        <xdr:spPr>
          <a:xfrm rot="16200000">
            <a:off x="5549333" y="7279913"/>
            <a:ext cx="1556737" cy="930756"/>
          </a:xfrm>
          <a:custGeom>
            <a:avLst/>
            <a:gdLst>
              <a:gd name="connsiteX0" fmla="*/ 4266687 w 4266687"/>
              <a:gd name="connsiteY0" fmla="*/ 0 h 1590131"/>
              <a:gd name="connsiteX1" fmla="*/ 4029573 w 4266687"/>
              <a:gd name="connsiteY1" fmla="*/ 794488 h 1590131"/>
              <a:gd name="connsiteX2" fmla="*/ 4266687 w 4266687"/>
              <a:gd name="connsiteY2" fmla="*/ 1588976 h 1590131"/>
              <a:gd name="connsiteX3" fmla="*/ 3185604 w 4266687"/>
              <a:gd name="connsiteY3" fmla="*/ 1588976 h 1590131"/>
              <a:gd name="connsiteX4" fmla="*/ 3081401 w 4266687"/>
              <a:gd name="connsiteY4" fmla="*/ 1588976 h 1590131"/>
              <a:gd name="connsiteX5" fmla="*/ 2496656 w 4266687"/>
              <a:gd name="connsiteY5" fmla="*/ 1588976 h 1590131"/>
              <a:gd name="connsiteX6" fmla="*/ 2503483 w 4266687"/>
              <a:gd name="connsiteY6" fmla="*/ 1590131 h 1590131"/>
              <a:gd name="connsiteX7" fmla="*/ 1422400 w 4266687"/>
              <a:gd name="connsiteY7" fmla="*/ 1590131 h 1590131"/>
              <a:gd name="connsiteX8" fmla="*/ 1318197 w 4266687"/>
              <a:gd name="connsiteY8" fmla="*/ 1590131 h 1590131"/>
              <a:gd name="connsiteX9" fmla="*/ 237114 w 4266687"/>
              <a:gd name="connsiteY9" fmla="*/ 1590131 h 1590131"/>
              <a:gd name="connsiteX10" fmla="*/ 0 w 4266687"/>
              <a:gd name="connsiteY10" fmla="*/ 795643 h 1590131"/>
              <a:gd name="connsiteX11" fmla="*/ 237114 w 4266687"/>
              <a:gd name="connsiteY11" fmla="*/ 1155 h 1590131"/>
              <a:gd name="connsiteX12" fmla="*/ 1318197 w 4266687"/>
              <a:gd name="connsiteY12" fmla="*/ 1155 h 1590131"/>
              <a:gd name="connsiteX13" fmla="*/ 1422400 w 4266687"/>
              <a:gd name="connsiteY13" fmla="*/ 1155 h 1590131"/>
              <a:gd name="connsiteX14" fmla="*/ 1993491 w 4266687"/>
              <a:gd name="connsiteY14" fmla="*/ 1155 h 1590131"/>
              <a:gd name="connsiteX15" fmla="*/ 2000318 w 4266687"/>
              <a:gd name="connsiteY15" fmla="*/ 0 h 1590131"/>
              <a:gd name="connsiteX16" fmla="*/ 3081401 w 4266687"/>
              <a:gd name="connsiteY16" fmla="*/ 0 h 1590131"/>
              <a:gd name="connsiteX17" fmla="*/ 3185604 w 4266687"/>
              <a:gd name="connsiteY17" fmla="*/ 0 h 15901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4266687" h="1590131">
                <a:moveTo>
                  <a:pt x="4266687" y="0"/>
                </a:moveTo>
                <a:cubicBezTo>
                  <a:pt x="4135684" y="0"/>
                  <a:pt x="4029573" y="355772"/>
                  <a:pt x="4029573" y="794488"/>
                </a:cubicBezTo>
                <a:cubicBezTo>
                  <a:pt x="4029573" y="1233205"/>
                  <a:pt x="4135684" y="1588976"/>
                  <a:pt x="4266687" y="1588976"/>
                </a:cubicBezTo>
                <a:lnTo>
                  <a:pt x="3185604" y="1588976"/>
                </a:lnTo>
                <a:lnTo>
                  <a:pt x="3081401" y="1588976"/>
                </a:lnTo>
                <a:lnTo>
                  <a:pt x="2496656" y="1588976"/>
                </a:lnTo>
                <a:lnTo>
                  <a:pt x="2503483" y="1590131"/>
                </a:lnTo>
                <a:lnTo>
                  <a:pt x="1422400" y="1590131"/>
                </a:lnTo>
                <a:lnTo>
                  <a:pt x="1318197" y="1590131"/>
                </a:lnTo>
                <a:lnTo>
                  <a:pt x="237114" y="1590131"/>
                </a:lnTo>
                <a:cubicBezTo>
                  <a:pt x="106111" y="1590131"/>
                  <a:pt x="0" y="1234360"/>
                  <a:pt x="0" y="795643"/>
                </a:cubicBezTo>
                <a:cubicBezTo>
                  <a:pt x="0" y="356927"/>
                  <a:pt x="106111" y="1155"/>
                  <a:pt x="237114" y="1155"/>
                </a:cubicBezTo>
                <a:lnTo>
                  <a:pt x="1318197" y="1155"/>
                </a:lnTo>
                <a:lnTo>
                  <a:pt x="1422400" y="1155"/>
                </a:lnTo>
                <a:lnTo>
                  <a:pt x="1993491" y="1155"/>
                </a:lnTo>
                <a:lnTo>
                  <a:pt x="2000318" y="0"/>
                </a:lnTo>
                <a:lnTo>
                  <a:pt x="3081401" y="0"/>
                </a:lnTo>
                <a:lnTo>
                  <a:pt x="3185604" y="0"/>
                </a:lnTo>
                <a:close/>
              </a:path>
            </a:pathLst>
          </a:custGeom>
          <a:gradFill>
            <a:gsLst>
              <a:gs pos="7000">
                <a:srgbClr val="C4C8CB">
                  <a:alpha val="0"/>
                  <a:lumMod val="70000"/>
                  <a:lumOff val="30000"/>
                </a:srgbClr>
              </a:gs>
              <a:gs pos="26000">
                <a:schemeClr val="bg1">
                  <a:alpha val="25000"/>
                </a:schemeClr>
              </a:gs>
              <a:gs pos="24000">
                <a:srgbClr val="FFFFFF">
                  <a:alpha val="0"/>
                </a:srgbClr>
              </a:gs>
              <a:gs pos="93000">
                <a:srgbClr val="F8F8F9">
                  <a:alpha val="0"/>
                </a:srgbClr>
              </a:gs>
              <a:gs pos="100000">
                <a:srgbClr val="969696"/>
              </a:gs>
              <a:gs pos="0">
                <a:schemeClr val="bg1">
                  <a:lumMod val="59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1" name="Arc 30">
            <a:extLst>
              <a:ext uri="{FF2B5EF4-FFF2-40B4-BE49-F238E27FC236}">
                <a16:creationId xmlns:a16="http://schemas.microsoft.com/office/drawing/2014/main" id="{67C49050-08E8-3053-D6E9-11F2F70778C5}"/>
              </a:ext>
            </a:extLst>
          </xdr:cNvPr>
          <xdr:cNvSpPr/>
        </xdr:nvSpPr>
        <xdr:spPr>
          <a:xfrm>
            <a:off x="5826820" y="7381601"/>
            <a:ext cx="1002100" cy="138678"/>
          </a:xfrm>
          <a:prstGeom prst="arc">
            <a:avLst>
              <a:gd name="adj1" fmla="val 88452"/>
              <a:gd name="adj2" fmla="val 10756746"/>
            </a:avLst>
          </a:prstGeom>
          <a:ln w="31750">
            <a:solidFill>
              <a:schemeClr val="tx1">
                <a:lumMod val="75000"/>
                <a:lumOff val="2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ru-RU" sz="1100"/>
          </a:p>
        </xdr:txBody>
      </xdr:sp>
      <xdr:sp macro="" textlink="">
        <xdr:nvSpPr>
          <xdr:cNvPr id="32" name="Arc 31">
            <a:extLst>
              <a:ext uri="{FF2B5EF4-FFF2-40B4-BE49-F238E27FC236}">
                <a16:creationId xmlns:a16="http://schemas.microsoft.com/office/drawing/2014/main" id="{0AAB6BE2-6585-2BA7-FDB3-BDAD9BD5E367}"/>
              </a:ext>
            </a:extLst>
          </xdr:cNvPr>
          <xdr:cNvSpPr/>
        </xdr:nvSpPr>
        <xdr:spPr>
          <a:xfrm>
            <a:off x="5826820" y="7871056"/>
            <a:ext cx="1002100" cy="138678"/>
          </a:xfrm>
          <a:prstGeom prst="arc">
            <a:avLst>
              <a:gd name="adj1" fmla="val 88452"/>
              <a:gd name="adj2" fmla="val 10756746"/>
            </a:avLst>
          </a:prstGeom>
          <a:ln w="31750">
            <a:solidFill>
              <a:schemeClr val="tx1">
                <a:lumMod val="75000"/>
                <a:lumOff val="2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ru-RU" sz="1100"/>
          </a:p>
        </xdr:txBody>
      </xdr:sp>
      <xdr:sp macro="" textlink="">
        <xdr:nvSpPr>
          <xdr:cNvPr id="33" name="Arc 32">
            <a:extLst>
              <a:ext uri="{FF2B5EF4-FFF2-40B4-BE49-F238E27FC236}">
                <a16:creationId xmlns:a16="http://schemas.microsoft.com/office/drawing/2014/main" id="{2FE72D43-ADAA-B4E0-9299-D75AD7D035C6}"/>
              </a:ext>
            </a:extLst>
          </xdr:cNvPr>
          <xdr:cNvSpPr/>
        </xdr:nvSpPr>
        <xdr:spPr>
          <a:xfrm>
            <a:off x="5826820" y="8367307"/>
            <a:ext cx="1002100" cy="138678"/>
          </a:xfrm>
          <a:prstGeom prst="arc">
            <a:avLst>
              <a:gd name="adj1" fmla="val 88452"/>
              <a:gd name="adj2" fmla="val 10756746"/>
            </a:avLst>
          </a:prstGeom>
          <a:ln w="31750">
            <a:solidFill>
              <a:schemeClr val="tx1">
                <a:lumMod val="75000"/>
                <a:lumOff val="2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ru-RU" sz="1100"/>
          </a:p>
        </xdr:txBody>
      </xdr:sp>
    </xdr:grpSp>
    <xdr:clientData/>
  </xdr:twoCellAnchor>
  <xdr:twoCellAnchor>
    <xdr:from>
      <xdr:col>15</xdr:col>
      <xdr:colOff>579120</xdr:colOff>
      <xdr:row>13</xdr:row>
      <xdr:rowOff>114300</xdr:rowOff>
    </xdr:from>
    <xdr:to>
      <xdr:col>18</xdr:col>
      <xdr:colOff>259080</xdr:colOff>
      <xdr:row>15</xdr:row>
      <xdr:rowOff>77724</xdr:rowOff>
    </xdr:to>
    <xdr:sp macro="" textlink="Processing!F7">
      <xdr:nvSpPr>
        <xdr:cNvPr id="35" name="TextBox 34">
          <a:extLst>
            <a:ext uri="{FF2B5EF4-FFF2-40B4-BE49-F238E27FC236}">
              <a16:creationId xmlns:a16="http://schemas.microsoft.com/office/drawing/2014/main" id="{41417C7D-0B2E-F411-F3BD-8DA33883C1A5}"/>
            </a:ext>
          </a:extLst>
        </xdr:cNvPr>
        <xdr:cNvSpPr txBox="1"/>
      </xdr:nvSpPr>
      <xdr:spPr>
        <a:xfrm>
          <a:off x="9723120" y="1760220"/>
          <a:ext cx="1508760" cy="329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553461C-7616-4A8C-93FD-2F0A056F62E7}" type="TxLink">
            <a:rPr lang="en-US" sz="1400" b="0" i="0" u="none" strike="noStrike">
              <a:solidFill>
                <a:schemeClr val="bg1"/>
              </a:solidFill>
              <a:latin typeface="Aptos Narrow"/>
              <a:ea typeface="+mn-ea"/>
              <a:cs typeface="+mn-cs"/>
            </a:rPr>
            <a:pPr marL="0" indent="0" algn="ctr"/>
            <a:t>Loan Interest</a:t>
          </a:fld>
          <a:endParaRPr lang="ru-RU" sz="1800" b="0" i="0" u="none" strike="noStrike">
            <a:solidFill>
              <a:schemeClr val="bg1"/>
            </a:solidFill>
            <a:latin typeface="Aptos Narrow"/>
            <a:ea typeface="+mn-ea"/>
            <a:cs typeface="+mn-cs"/>
          </a:endParaRPr>
        </a:p>
      </xdr:txBody>
    </xdr:sp>
    <xdr:clientData/>
  </xdr:twoCellAnchor>
  <xdr:twoCellAnchor>
    <xdr:from>
      <xdr:col>15</xdr:col>
      <xdr:colOff>579120</xdr:colOff>
      <xdr:row>25</xdr:row>
      <xdr:rowOff>38100</xdr:rowOff>
    </xdr:from>
    <xdr:to>
      <xdr:col>18</xdr:col>
      <xdr:colOff>259080</xdr:colOff>
      <xdr:row>27</xdr:row>
      <xdr:rowOff>1524</xdr:rowOff>
    </xdr:to>
    <xdr:sp macro="" textlink="Processing!G7">
      <xdr:nvSpPr>
        <xdr:cNvPr id="36" name="TextBox 35">
          <a:extLst>
            <a:ext uri="{FF2B5EF4-FFF2-40B4-BE49-F238E27FC236}">
              <a16:creationId xmlns:a16="http://schemas.microsoft.com/office/drawing/2014/main" id="{FEF77FCD-DF1D-C505-46B2-E2C0E228FA75}"/>
            </a:ext>
          </a:extLst>
        </xdr:cNvPr>
        <xdr:cNvSpPr txBox="1"/>
      </xdr:nvSpPr>
      <xdr:spPr>
        <a:xfrm>
          <a:off x="9723120" y="3878580"/>
          <a:ext cx="1508760" cy="329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74703BE-3222-46FF-819D-67BF0C69DD9B}" type="TxLink">
            <a:rPr lang="en-US" sz="1400" b="0" i="0" u="none" strike="noStrike">
              <a:solidFill>
                <a:schemeClr val="bg1"/>
              </a:solidFill>
              <a:latin typeface="Aptos Narrow"/>
              <a:ea typeface="+mn-ea"/>
              <a:cs typeface="+mn-cs"/>
            </a:rPr>
            <a:pPr marL="0" indent="0" algn="ctr"/>
            <a:t>Loan Body</a:t>
          </a:fld>
          <a:endParaRPr lang="ru-RU" sz="1400" b="0" i="0" u="none" strike="noStrike">
            <a:solidFill>
              <a:schemeClr val="bg1"/>
            </a:solidFill>
            <a:latin typeface="Aptos Narrow"/>
            <a:ea typeface="+mn-ea"/>
            <a:cs typeface="+mn-cs"/>
          </a:endParaRPr>
        </a:p>
      </xdr:txBody>
    </xdr:sp>
    <xdr:clientData/>
  </xdr:twoCellAnchor>
  <xdr:twoCellAnchor>
    <xdr:from>
      <xdr:col>10</xdr:col>
      <xdr:colOff>213360</xdr:colOff>
      <xdr:row>14</xdr:row>
      <xdr:rowOff>38100</xdr:rowOff>
    </xdr:from>
    <xdr:to>
      <xdr:col>15</xdr:col>
      <xdr:colOff>91440</xdr:colOff>
      <xdr:row>27</xdr:row>
      <xdr:rowOff>175260</xdr:rowOff>
    </xdr:to>
    <xdr:grpSp>
      <xdr:nvGrpSpPr>
        <xdr:cNvPr id="40" name="Group 39">
          <a:extLst>
            <a:ext uri="{FF2B5EF4-FFF2-40B4-BE49-F238E27FC236}">
              <a16:creationId xmlns:a16="http://schemas.microsoft.com/office/drawing/2014/main" id="{EE911FB7-EDA2-6F6A-1E0D-1302CF137059}"/>
            </a:ext>
          </a:extLst>
        </xdr:cNvPr>
        <xdr:cNvGrpSpPr/>
      </xdr:nvGrpSpPr>
      <xdr:grpSpPr>
        <a:xfrm>
          <a:off x="5528310" y="2085975"/>
          <a:ext cx="2830830" cy="2613660"/>
          <a:chOff x="6309360" y="1866900"/>
          <a:chExt cx="2926080" cy="2514600"/>
        </a:xfrm>
      </xdr:grpSpPr>
      <xdr:sp macro="" textlink="">
        <xdr:nvSpPr>
          <xdr:cNvPr id="39" name="Oval 38">
            <a:extLst>
              <a:ext uri="{FF2B5EF4-FFF2-40B4-BE49-F238E27FC236}">
                <a16:creationId xmlns:a16="http://schemas.microsoft.com/office/drawing/2014/main" id="{F240EB33-D7FD-839E-B96C-802BA3ACD036}"/>
              </a:ext>
            </a:extLst>
          </xdr:cNvPr>
          <xdr:cNvSpPr/>
        </xdr:nvSpPr>
        <xdr:spPr>
          <a:xfrm>
            <a:off x="6835140" y="2194559"/>
            <a:ext cx="1828800" cy="1828800"/>
          </a:xfrm>
          <a:prstGeom prst="ellipse">
            <a:avLst/>
          </a:prstGeom>
          <a:gradFill flip="none" rotWithShape="1">
            <a:gsLst>
              <a:gs pos="0">
                <a:srgbClr val="2E353B"/>
              </a:gs>
              <a:gs pos="100000">
                <a:srgbClr val="202328"/>
              </a:gs>
            </a:gsLst>
            <a:path path="circle">
              <a:fillToRect l="50000" t="50000" r="50000" b="50000"/>
            </a:path>
            <a:tileRect/>
          </a:gradFill>
          <a:ln>
            <a:noFill/>
          </a:ln>
          <a:effectLst>
            <a:outerShdw blurRad="63500" sx="108000" sy="108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38" name="Chart 37">
            <a:extLst>
              <a:ext uri="{FF2B5EF4-FFF2-40B4-BE49-F238E27FC236}">
                <a16:creationId xmlns:a16="http://schemas.microsoft.com/office/drawing/2014/main" id="{1B5925B6-24DA-4BED-BC51-3C0788964E3B}"/>
              </a:ext>
            </a:extLst>
          </xdr:cNvPr>
          <xdr:cNvGraphicFramePr>
            <a:graphicFrameLocks/>
          </xdr:cNvGraphicFramePr>
        </xdr:nvGraphicFramePr>
        <xdr:xfrm>
          <a:off x="6309360" y="1866900"/>
          <a:ext cx="2926080" cy="25146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7" name="Oval 36">
            <a:extLst>
              <a:ext uri="{FF2B5EF4-FFF2-40B4-BE49-F238E27FC236}">
                <a16:creationId xmlns:a16="http://schemas.microsoft.com/office/drawing/2014/main" id="{112E9D40-C620-4B49-A39C-6274D01AD38B}"/>
              </a:ext>
            </a:extLst>
          </xdr:cNvPr>
          <xdr:cNvSpPr/>
        </xdr:nvSpPr>
        <xdr:spPr>
          <a:xfrm>
            <a:off x="6835140" y="2194559"/>
            <a:ext cx="1828800" cy="1828800"/>
          </a:xfrm>
          <a:prstGeom prst="ellipse">
            <a:avLst/>
          </a:prstGeom>
          <a:gradFill flip="none" rotWithShape="1">
            <a:gsLst>
              <a:gs pos="0">
                <a:srgbClr val="2E353B"/>
              </a:gs>
              <a:gs pos="100000">
                <a:srgbClr val="13171A"/>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11</xdr:col>
      <xdr:colOff>312420</xdr:colOff>
      <xdr:row>19</xdr:row>
      <xdr:rowOff>68580</xdr:rowOff>
    </xdr:from>
    <xdr:to>
      <xdr:col>13</xdr:col>
      <xdr:colOff>601980</xdr:colOff>
      <xdr:row>21</xdr:row>
      <xdr:rowOff>32004</xdr:rowOff>
    </xdr:to>
    <xdr:sp macro="" textlink="Processing!J1">
      <xdr:nvSpPr>
        <xdr:cNvPr id="41" name="TextBox 40">
          <a:extLst>
            <a:ext uri="{FF2B5EF4-FFF2-40B4-BE49-F238E27FC236}">
              <a16:creationId xmlns:a16="http://schemas.microsoft.com/office/drawing/2014/main" id="{05B702B5-5F40-D29C-210B-C0198EF79F67}"/>
            </a:ext>
          </a:extLst>
        </xdr:cNvPr>
        <xdr:cNvSpPr txBox="1"/>
      </xdr:nvSpPr>
      <xdr:spPr>
        <a:xfrm>
          <a:off x="7018020" y="2811780"/>
          <a:ext cx="1508760" cy="329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D118D59-E923-4E69-8A33-D2310E0E36B0}" type="TxLink">
            <a:rPr lang="en-US" sz="1400" b="0" i="0" u="none" strike="noStrike">
              <a:solidFill>
                <a:schemeClr val="bg1"/>
              </a:solidFill>
              <a:latin typeface="Aptos Narrow"/>
              <a:ea typeface="+mn-ea"/>
              <a:cs typeface="+mn-cs"/>
            </a:rPr>
            <a:pPr marL="0" indent="0" algn="ctr"/>
            <a:t>Debt Service Ratio</a:t>
          </a:fld>
          <a:endParaRPr lang="ru-RU" sz="1800" b="0" i="0" u="none" strike="noStrike">
            <a:solidFill>
              <a:schemeClr val="bg1"/>
            </a:solidFill>
            <a:latin typeface="Aptos Narrow"/>
            <a:ea typeface="+mn-ea"/>
            <a:cs typeface="+mn-cs"/>
          </a:endParaRPr>
        </a:p>
      </xdr:txBody>
    </xdr:sp>
    <xdr:clientData/>
  </xdr:twoCellAnchor>
  <xdr:twoCellAnchor>
    <xdr:from>
      <xdr:col>11</xdr:col>
      <xdr:colOff>312420</xdr:colOff>
      <xdr:row>21</xdr:row>
      <xdr:rowOff>15240</xdr:rowOff>
    </xdr:from>
    <xdr:to>
      <xdr:col>13</xdr:col>
      <xdr:colOff>601980</xdr:colOff>
      <xdr:row>22</xdr:row>
      <xdr:rowOff>161544</xdr:rowOff>
    </xdr:to>
    <xdr:sp macro="" textlink="Processing!C5">
      <xdr:nvSpPr>
        <xdr:cNvPr id="42" name="TextBox 41">
          <a:extLst>
            <a:ext uri="{FF2B5EF4-FFF2-40B4-BE49-F238E27FC236}">
              <a16:creationId xmlns:a16="http://schemas.microsoft.com/office/drawing/2014/main" id="{19662DE2-B8BD-9DC6-1FCB-691435AA057A}"/>
            </a:ext>
          </a:extLst>
        </xdr:cNvPr>
        <xdr:cNvSpPr txBox="1"/>
      </xdr:nvSpPr>
      <xdr:spPr>
        <a:xfrm>
          <a:off x="7018020" y="3124200"/>
          <a:ext cx="1508760" cy="329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0AD2708-4B0A-4E5F-AD22-678EA7A940AE}" type="TxLink">
            <a:rPr lang="en-US" sz="1400" b="0" i="0" u="none" strike="noStrike">
              <a:solidFill>
                <a:schemeClr val="bg1"/>
              </a:solidFill>
              <a:latin typeface="Aptos Narrow"/>
              <a:ea typeface="+mn-ea"/>
              <a:cs typeface="+mn-cs"/>
            </a:rPr>
            <a:pPr marL="0" indent="0" algn="ctr"/>
            <a:t>Margin</a:t>
          </a:fld>
          <a:endParaRPr lang="ru-RU" sz="2400" b="0" i="0" u="none" strike="noStrike">
            <a:solidFill>
              <a:schemeClr val="bg1"/>
            </a:solidFill>
            <a:latin typeface="Aptos Narrow"/>
            <a:ea typeface="+mn-ea"/>
            <a:cs typeface="+mn-cs"/>
          </a:endParaRPr>
        </a:p>
      </xdr:txBody>
    </xdr:sp>
    <xdr:clientData/>
  </xdr:twoCellAnchor>
  <xdr:twoCellAnchor>
    <xdr:from>
      <xdr:col>11</xdr:col>
      <xdr:colOff>312420</xdr:colOff>
      <xdr:row>17</xdr:row>
      <xdr:rowOff>60960</xdr:rowOff>
    </xdr:from>
    <xdr:to>
      <xdr:col>13</xdr:col>
      <xdr:colOff>601980</xdr:colOff>
      <xdr:row>19</xdr:row>
      <xdr:rowOff>24384</xdr:rowOff>
    </xdr:to>
    <xdr:sp macro="" textlink="Processing!J2">
      <xdr:nvSpPr>
        <xdr:cNvPr id="43" name="TextBox 42">
          <a:extLst>
            <a:ext uri="{FF2B5EF4-FFF2-40B4-BE49-F238E27FC236}">
              <a16:creationId xmlns:a16="http://schemas.microsoft.com/office/drawing/2014/main" id="{07972BF8-B2B3-6D7C-DB2F-0CE4C4BD7FE3}"/>
            </a:ext>
          </a:extLst>
        </xdr:cNvPr>
        <xdr:cNvSpPr txBox="1"/>
      </xdr:nvSpPr>
      <xdr:spPr>
        <a:xfrm>
          <a:off x="7018020" y="2438400"/>
          <a:ext cx="1508760" cy="329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DC3F29-C930-4778-9CA2-B65C275CE628}" type="TxLink">
            <a:rPr lang="en-US" sz="2400" b="0" i="0" u="none" strike="noStrike">
              <a:solidFill>
                <a:srgbClr val="F94A1A"/>
              </a:solidFill>
              <a:latin typeface="Aptos Narrow"/>
              <a:ea typeface="+mn-ea"/>
              <a:cs typeface="+mn-cs"/>
            </a:rPr>
            <a:pPr marL="0" indent="0" algn="ctr"/>
            <a:t>41.5%</a:t>
          </a:fld>
          <a:endParaRPr lang="ru-RU" sz="2400" b="0" i="0" u="none" strike="noStrike">
            <a:solidFill>
              <a:srgbClr val="F94A1A"/>
            </a:solidFill>
            <a:latin typeface="Aptos Narrow"/>
            <a:ea typeface="+mn-ea"/>
            <a:cs typeface="+mn-cs"/>
          </a:endParaRPr>
        </a:p>
      </xdr:txBody>
    </xdr:sp>
    <xdr:clientData/>
  </xdr:twoCellAnchor>
  <xdr:twoCellAnchor>
    <xdr:from>
      <xdr:col>11</xdr:col>
      <xdr:colOff>598389</xdr:colOff>
      <xdr:row>22</xdr:row>
      <xdr:rowOff>129540</xdr:rowOff>
    </xdr:from>
    <xdr:to>
      <xdr:col>13</xdr:col>
      <xdr:colOff>316011</xdr:colOff>
      <xdr:row>24</xdr:row>
      <xdr:rowOff>92964</xdr:rowOff>
    </xdr:to>
    <xdr:sp macro="" textlink="Processing!C6">
      <xdr:nvSpPr>
        <xdr:cNvPr id="44" name="TextBox 43">
          <a:extLst>
            <a:ext uri="{FF2B5EF4-FFF2-40B4-BE49-F238E27FC236}">
              <a16:creationId xmlns:a16="http://schemas.microsoft.com/office/drawing/2014/main" id="{903110B0-7BCC-52BC-0D8B-2B8118B2A37A}"/>
            </a:ext>
          </a:extLst>
        </xdr:cNvPr>
        <xdr:cNvSpPr txBox="1"/>
      </xdr:nvSpPr>
      <xdr:spPr>
        <a:xfrm>
          <a:off x="7303989" y="3421380"/>
          <a:ext cx="936822" cy="329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3E1929B-BC77-4498-8935-5B3583B15B46}" type="TxLink">
            <a:rPr lang="en-US" sz="2000" b="0" i="0" u="none" strike="noStrike">
              <a:solidFill>
                <a:srgbClr val="1AFFD5"/>
              </a:solidFill>
              <a:latin typeface="Aptos Narrow"/>
              <a:ea typeface="+mn-ea"/>
              <a:cs typeface="+mn-cs"/>
            </a:rPr>
            <a:pPr marL="0" indent="0" algn="ctr"/>
            <a:t>15.6%</a:t>
          </a:fld>
          <a:endParaRPr lang="ru-RU" sz="2000" b="0" i="0" u="none" strike="noStrike">
            <a:solidFill>
              <a:srgbClr val="1AFFD5"/>
            </a:solidFill>
            <a:latin typeface="Aptos Narrow"/>
            <a:ea typeface="+mn-ea"/>
            <a:cs typeface="+mn-cs"/>
          </a:endParaRPr>
        </a:p>
      </xdr:txBody>
    </xdr:sp>
    <xdr:clientData/>
  </xdr:twoCellAnchor>
  <xdr:twoCellAnchor editAs="oneCell">
    <xdr:from>
      <xdr:col>10</xdr:col>
      <xdr:colOff>544830</xdr:colOff>
      <xdr:row>27</xdr:row>
      <xdr:rowOff>144781</xdr:rowOff>
    </xdr:from>
    <xdr:to>
      <xdr:col>11</xdr:col>
      <xdr:colOff>560070</xdr:colOff>
      <xdr:row>28</xdr:row>
      <xdr:rowOff>120016</xdr:rowOff>
    </xdr:to>
    <mc:AlternateContent xmlns:mc="http://schemas.openxmlformats.org/markup-compatibility/2006" xmlns:a14="http://schemas.microsoft.com/office/drawing/2010/main">
      <mc:Choice Requires="a14">
        <xdr:graphicFrame macro="">
          <xdr:nvGraphicFramePr>
            <xdr:cNvPr id="45" name="Year">
              <a:extLst>
                <a:ext uri="{FF2B5EF4-FFF2-40B4-BE49-F238E27FC236}">
                  <a16:creationId xmlns:a16="http://schemas.microsoft.com/office/drawing/2014/main" id="{FD5CA78B-4720-4C55-8FEF-515B8342DAB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40830" y="5050889"/>
              <a:ext cx="2263140" cy="415583"/>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xdr:from>
          <xdr:col>9</xdr:col>
          <xdr:colOff>95250</xdr:colOff>
          <xdr:row>9</xdr:row>
          <xdr:rowOff>19050</xdr:rowOff>
        </xdr:from>
        <xdr:to>
          <xdr:col>9</xdr:col>
          <xdr:colOff>323850</xdr:colOff>
          <xdr:row>11</xdr:row>
          <xdr:rowOff>19050</xdr:rowOff>
        </xdr:to>
        <xdr:sp macro="" textlink="">
          <xdr:nvSpPr>
            <xdr:cNvPr id="1026" name="Spinner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xdr:col>
      <xdr:colOff>518160</xdr:colOff>
      <xdr:row>6</xdr:row>
      <xdr:rowOff>174171</xdr:rowOff>
    </xdr:from>
    <xdr:to>
      <xdr:col>4</xdr:col>
      <xdr:colOff>400594</xdr:colOff>
      <xdr:row>11</xdr:row>
      <xdr:rowOff>174171</xdr:rowOff>
    </xdr:to>
    <xdr:sp macro="" textlink="">
      <xdr:nvSpPr>
        <xdr:cNvPr id="47" name="Rectangle: Rounded Corners 46">
          <a:extLst>
            <a:ext uri="{FF2B5EF4-FFF2-40B4-BE49-F238E27FC236}">
              <a16:creationId xmlns:a16="http://schemas.microsoft.com/office/drawing/2014/main" id="{5FB86C0A-6898-25F3-472D-633CB1AC0CCA}"/>
            </a:ext>
          </a:extLst>
        </xdr:cNvPr>
        <xdr:cNvSpPr/>
      </xdr:nvSpPr>
      <xdr:spPr>
        <a:xfrm>
          <a:off x="2346960" y="1271451"/>
          <a:ext cx="492034" cy="914400"/>
        </a:xfrm>
        <a:prstGeom prst="roundRect">
          <a:avLst>
            <a:gd name="adj" fmla="val 22126"/>
          </a:avLst>
        </a:prstGeom>
        <a:solidFill>
          <a:srgbClr val="1317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548640</xdr:colOff>
      <xdr:row>6</xdr:row>
      <xdr:rowOff>174171</xdr:rowOff>
    </xdr:from>
    <xdr:to>
      <xdr:col>20</xdr:col>
      <xdr:colOff>50074</xdr:colOff>
      <xdr:row>11</xdr:row>
      <xdr:rowOff>174171</xdr:rowOff>
    </xdr:to>
    <xdr:sp macro="" textlink="">
      <xdr:nvSpPr>
        <xdr:cNvPr id="48" name="Rectangle: Rounded Corners 47">
          <a:extLst>
            <a:ext uri="{FF2B5EF4-FFF2-40B4-BE49-F238E27FC236}">
              <a16:creationId xmlns:a16="http://schemas.microsoft.com/office/drawing/2014/main" id="{39E48EA6-4DE7-38F1-CED2-A9599E45FBE9}"/>
            </a:ext>
          </a:extLst>
        </xdr:cNvPr>
        <xdr:cNvSpPr/>
      </xdr:nvSpPr>
      <xdr:spPr>
        <a:xfrm>
          <a:off x="11521440" y="1271451"/>
          <a:ext cx="492034" cy="914400"/>
        </a:xfrm>
        <a:prstGeom prst="roundRect">
          <a:avLst>
            <a:gd name="adj" fmla="val 22126"/>
          </a:avLst>
        </a:prstGeom>
        <a:solidFill>
          <a:srgbClr val="1317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112542</xdr:colOff>
      <xdr:row>2</xdr:row>
      <xdr:rowOff>91440</xdr:rowOff>
    </xdr:from>
    <xdr:to>
      <xdr:col>19</xdr:col>
      <xdr:colOff>369278</xdr:colOff>
      <xdr:row>7</xdr:row>
      <xdr:rowOff>72099</xdr:rowOff>
    </xdr:to>
    <xdr:sp macro="" textlink="">
      <xdr:nvSpPr>
        <xdr:cNvPr id="49" name="TextBox 48" hidden="1">
          <a:extLst>
            <a:ext uri="{FF2B5EF4-FFF2-40B4-BE49-F238E27FC236}">
              <a16:creationId xmlns:a16="http://schemas.microsoft.com/office/drawing/2014/main" id="{DCF8A2AB-1C7A-4B63-E27D-7281B2F63C3F}"/>
            </a:ext>
          </a:extLst>
        </xdr:cNvPr>
        <xdr:cNvSpPr txBox="1"/>
      </xdr:nvSpPr>
      <xdr:spPr>
        <a:xfrm>
          <a:off x="2550942" y="457200"/>
          <a:ext cx="9400736" cy="895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1" i="1" cap="none" spc="0">
              <a:ln w="635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Franklin Gothic Book" panose="020B0503020102020204" pitchFamily="34" charset="0"/>
            </a:rPr>
            <a:t>How Credit &amp; Markup Affect Margin</a:t>
          </a:r>
          <a:endParaRPr lang="ru-RU" sz="4400" b="1" i="1" cap="none" spc="0">
            <a:ln w="635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Franklin Gothic Book" panose="020B05030201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2</xdr:row>
      <xdr:rowOff>0</xdr:rowOff>
    </xdr:from>
    <xdr:to>
      <xdr:col>9</xdr:col>
      <xdr:colOff>180364</xdr:colOff>
      <xdr:row>3</xdr:row>
      <xdr:rowOff>126976</xdr:rowOff>
    </xdr:to>
    <xdr:grpSp>
      <xdr:nvGrpSpPr>
        <xdr:cNvPr id="2" name="Group 1">
          <a:extLst>
            <a:ext uri="{FF2B5EF4-FFF2-40B4-BE49-F238E27FC236}">
              <a16:creationId xmlns:a16="http://schemas.microsoft.com/office/drawing/2014/main" id="{38D555DB-3D00-4D18-9B7F-A82296396B15}"/>
            </a:ext>
          </a:extLst>
        </xdr:cNvPr>
        <xdr:cNvGrpSpPr/>
      </xdr:nvGrpSpPr>
      <xdr:grpSpPr>
        <a:xfrm>
          <a:off x="4876800" y="381000"/>
          <a:ext cx="789964" cy="317476"/>
          <a:chOff x="0" y="0"/>
          <a:chExt cx="1584102" cy="658023"/>
        </a:xfrm>
      </xdr:grpSpPr>
      <xdr:sp macro="" textlink="">
        <xdr:nvSpPr>
          <xdr:cNvPr id="3" name="Rectangle 2">
            <a:extLst>
              <a:ext uri="{FF2B5EF4-FFF2-40B4-BE49-F238E27FC236}">
                <a16:creationId xmlns:a16="http://schemas.microsoft.com/office/drawing/2014/main" id="{19AD9D20-7070-1FA3-F53E-0FD9D32065D9}"/>
              </a:ext>
            </a:extLst>
          </xdr:cNvPr>
          <xdr:cNvSpPr/>
        </xdr:nvSpPr>
        <xdr:spPr>
          <a:xfrm>
            <a:off x="0" y="276895"/>
            <a:ext cx="1584102" cy="381128"/>
          </a:xfrm>
          <a:prstGeom prst="rect">
            <a:avLst/>
          </a:prstGeom>
          <a:gradFill>
            <a:gsLst>
              <a:gs pos="0">
                <a:srgbClr val="C70200"/>
              </a:gs>
              <a:gs pos="60000">
                <a:srgbClr val="F94A1A"/>
              </a:gs>
              <a:gs pos="100000">
                <a:srgbClr val="C70200"/>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Oval 3">
            <a:extLst>
              <a:ext uri="{FF2B5EF4-FFF2-40B4-BE49-F238E27FC236}">
                <a16:creationId xmlns:a16="http://schemas.microsoft.com/office/drawing/2014/main" id="{9734A5FE-8847-15E9-86F3-8755F77A3465}"/>
              </a:ext>
            </a:extLst>
          </xdr:cNvPr>
          <xdr:cNvSpPr/>
        </xdr:nvSpPr>
        <xdr:spPr>
          <a:xfrm>
            <a:off x="0" y="0"/>
            <a:ext cx="1584102" cy="553791"/>
          </a:xfrm>
          <a:prstGeom prst="ellipse">
            <a:avLst/>
          </a:prstGeom>
          <a:gradFill flip="none" rotWithShape="1">
            <a:gsLst>
              <a:gs pos="0">
                <a:srgbClr val="F94A1A"/>
              </a:gs>
              <a:gs pos="96000">
                <a:srgbClr val="C70200"/>
              </a:gs>
            </a:gsLst>
            <a:lin ang="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8</xdr:col>
      <xdr:colOff>0</xdr:colOff>
      <xdr:row>3</xdr:row>
      <xdr:rowOff>177885</xdr:rowOff>
    </xdr:from>
    <xdr:to>
      <xdr:col>9</xdr:col>
      <xdr:colOff>180364</xdr:colOff>
      <xdr:row>8</xdr:row>
      <xdr:rowOff>54511</xdr:rowOff>
    </xdr:to>
    <xdr:sp macro="" textlink="">
      <xdr:nvSpPr>
        <xdr:cNvPr id="5" name="Rectangle 4">
          <a:extLst>
            <a:ext uri="{FF2B5EF4-FFF2-40B4-BE49-F238E27FC236}">
              <a16:creationId xmlns:a16="http://schemas.microsoft.com/office/drawing/2014/main" id="{7BFC94F8-2798-4774-8302-8A2060CA1132}"/>
            </a:ext>
          </a:extLst>
        </xdr:cNvPr>
        <xdr:cNvSpPr/>
      </xdr:nvSpPr>
      <xdr:spPr>
        <a:xfrm>
          <a:off x="4876800" y="726525"/>
          <a:ext cx="789964" cy="791026"/>
        </a:xfrm>
        <a:prstGeom prst="rect">
          <a:avLst/>
        </a:prstGeom>
        <a:gradFill>
          <a:gsLst>
            <a:gs pos="0">
              <a:srgbClr val="C70200"/>
            </a:gs>
            <a:gs pos="60000">
              <a:srgbClr val="F94A1A"/>
            </a:gs>
            <a:gs pos="100000">
              <a:srgbClr val="C70200"/>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556260</xdr:colOff>
      <xdr:row>2</xdr:row>
      <xdr:rowOff>0</xdr:rowOff>
    </xdr:from>
    <xdr:to>
      <xdr:col>11</xdr:col>
      <xdr:colOff>127024</xdr:colOff>
      <xdr:row>3</xdr:row>
      <xdr:rowOff>126976</xdr:rowOff>
    </xdr:to>
    <xdr:grpSp>
      <xdr:nvGrpSpPr>
        <xdr:cNvPr id="6" name="Group 5">
          <a:extLst>
            <a:ext uri="{FF2B5EF4-FFF2-40B4-BE49-F238E27FC236}">
              <a16:creationId xmlns:a16="http://schemas.microsoft.com/office/drawing/2014/main" id="{5EAA279D-2357-4D29-A203-9B49FD2A3BC6}"/>
            </a:ext>
          </a:extLst>
        </xdr:cNvPr>
        <xdr:cNvGrpSpPr/>
      </xdr:nvGrpSpPr>
      <xdr:grpSpPr>
        <a:xfrm>
          <a:off x="6042660" y="381000"/>
          <a:ext cx="789964" cy="317476"/>
          <a:chOff x="0" y="0"/>
          <a:chExt cx="1584102" cy="658023"/>
        </a:xfrm>
      </xdr:grpSpPr>
      <xdr:sp macro="" textlink="">
        <xdr:nvSpPr>
          <xdr:cNvPr id="7" name="Rectangle 6">
            <a:extLst>
              <a:ext uri="{FF2B5EF4-FFF2-40B4-BE49-F238E27FC236}">
                <a16:creationId xmlns:a16="http://schemas.microsoft.com/office/drawing/2014/main" id="{3D556078-9894-C412-309C-6668F4F4716E}"/>
              </a:ext>
            </a:extLst>
          </xdr:cNvPr>
          <xdr:cNvSpPr/>
        </xdr:nvSpPr>
        <xdr:spPr>
          <a:xfrm>
            <a:off x="0" y="276895"/>
            <a:ext cx="1584102" cy="381128"/>
          </a:xfrm>
          <a:prstGeom prst="rect">
            <a:avLst/>
          </a:prstGeom>
          <a:gradFill>
            <a:gsLst>
              <a:gs pos="0">
                <a:srgbClr val="00B491"/>
              </a:gs>
              <a:gs pos="60000">
                <a:srgbClr val="1AFFD5"/>
              </a:gs>
              <a:gs pos="100000">
                <a:srgbClr val="00B491"/>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Oval 7">
            <a:extLst>
              <a:ext uri="{FF2B5EF4-FFF2-40B4-BE49-F238E27FC236}">
                <a16:creationId xmlns:a16="http://schemas.microsoft.com/office/drawing/2014/main" id="{2F054D5B-6E25-87FD-3FE3-3A55DAB93A4F}"/>
              </a:ext>
            </a:extLst>
          </xdr:cNvPr>
          <xdr:cNvSpPr/>
        </xdr:nvSpPr>
        <xdr:spPr>
          <a:xfrm>
            <a:off x="0" y="0"/>
            <a:ext cx="1584102" cy="553791"/>
          </a:xfrm>
          <a:prstGeom prst="ellipse">
            <a:avLst/>
          </a:prstGeom>
          <a:gradFill flip="none" rotWithShape="1">
            <a:gsLst>
              <a:gs pos="0">
                <a:srgbClr val="1AFFD5"/>
              </a:gs>
              <a:gs pos="96000">
                <a:srgbClr val="00B491"/>
              </a:gs>
            </a:gsLst>
            <a:lin ang="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9</xdr:col>
      <xdr:colOff>556260</xdr:colOff>
      <xdr:row>3</xdr:row>
      <xdr:rowOff>177885</xdr:rowOff>
    </xdr:from>
    <xdr:to>
      <xdr:col>11</xdr:col>
      <xdr:colOff>127024</xdr:colOff>
      <xdr:row>8</xdr:row>
      <xdr:rowOff>54511</xdr:rowOff>
    </xdr:to>
    <xdr:sp macro="" textlink="">
      <xdr:nvSpPr>
        <xdr:cNvPr id="9" name="Rectangle 8">
          <a:extLst>
            <a:ext uri="{FF2B5EF4-FFF2-40B4-BE49-F238E27FC236}">
              <a16:creationId xmlns:a16="http://schemas.microsoft.com/office/drawing/2014/main" id="{98AB9712-F83A-46A3-955C-D817CC288BC1}"/>
            </a:ext>
          </a:extLst>
        </xdr:cNvPr>
        <xdr:cNvSpPr/>
      </xdr:nvSpPr>
      <xdr:spPr>
        <a:xfrm>
          <a:off x="6042660" y="726525"/>
          <a:ext cx="789964" cy="791026"/>
        </a:xfrm>
        <a:prstGeom prst="rect">
          <a:avLst/>
        </a:prstGeom>
        <a:gradFill>
          <a:gsLst>
            <a:gs pos="0">
              <a:srgbClr val="00B491"/>
            </a:gs>
            <a:gs pos="60000">
              <a:srgbClr val="1AFFD5"/>
            </a:gs>
            <a:gs pos="100000">
              <a:srgbClr val="00B491"/>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601980</xdr:colOff>
      <xdr:row>11</xdr:row>
      <xdr:rowOff>104961</xdr:rowOff>
    </xdr:from>
    <xdr:to>
      <xdr:col>9</xdr:col>
      <xdr:colOff>172744</xdr:colOff>
      <xdr:row>13</xdr:row>
      <xdr:rowOff>51235</xdr:rowOff>
    </xdr:to>
    <xdr:grpSp>
      <xdr:nvGrpSpPr>
        <xdr:cNvPr id="10" name="Group 9">
          <a:extLst>
            <a:ext uri="{FF2B5EF4-FFF2-40B4-BE49-F238E27FC236}">
              <a16:creationId xmlns:a16="http://schemas.microsoft.com/office/drawing/2014/main" id="{660D8E20-558B-4CEC-8E0C-43EF8D86BC53}"/>
            </a:ext>
          </a:extLst>
        </xdr:cNvPr>
        <xdr:cNvGrpSpPr/>
      </xdr:nvGrpSpPr>
      <xdr:grpSpPr>
        <a:xfrm>
          <a:off x="4869180" y="2200461"/>
          <a:ext cx="789964" cy="327274"/>
          <a:chOff x="0" y="0"/>
          <a:chExt cx="1584102" cy="658023"/>
        </a:xfrm>
      </xdr:grpSpPr>
      <xdr:sp macro="" textlink="">
        <xdr:nvSpPr>
          <xdr:cNvPr id="11" name="Rectangle 10">
            <a:extLst>
              <a:ext uri="{FF2B5EF4-FFF2-40B4-BE49-F238E27FC236}">
                <a16:creationId xmlns:a16="http://schemas.microsoft.com/office/drawing/2014/main" id="{28C9E6A7-94C8-98A8-2C0E-73DFBEE7327E}"/>
              </a:ext>
            </a:extLst>
          </xdr:cNvPr>
          <xdr:cNvSpPr/>
        </xdr:nvSpPr>
        <xdr:spPr>
          <a:xfrm>
            <a:off x="0" y="276895"/>
            <a:ext cx="1584102" cy="381128"/>
          </a:xfrm>
          <a:prstGeom prst="rect">
            <a:avLst/>
          </a:prstGeom>
          <a:gradFill>
            <a:gsLst>
              <a:gs pos="0">
                <a:srgbClr val="005DB2"/>
              </a:gs>
              <a:gs pos="60000">
                <a:srgbClr val="0088FE"/>
              </a:gs>
              <a:gs pos="100000">
                <a:srgbClr val="005DB2"/>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Oval 11">
            <a:extLst>
              <a:ext uri="{FF2B5EF4-FFF2-40B4-BE49-F238E27FC236}">
                <a16:creationId xmlns:a16="http://schemas.microsoft.com/office/drawing/2014/main" id="{6714BE85-8760-5E74-9E59-AF36EFA7EF47}"/>
              </a:ext>
            </a:extLst>
          </xdr:cNvPr>
          <xdr:cNvSpPr/>
        </xdr:nvSpPr>
        <xdr:spPr>
          <a:xfrm>
            <a:off x="0" y="0"/>
            <a:ext cx="1584102" cy="553791"/>
          </a:xfrm>
          <a:prstGeom prst="ellipse">
            <a:avLst/>
          </a:prstGeom>
          <a:gradFill flip="none" rotWithShape="1">
            <a:gsLst>
              <a:gs pos="0">
                <a:srgbClr val="0088FE"/>
              </a:gs>
              <a:gs pos="96000">
                <a:srgbClr val="005DB2"/>
              </a:gs>
            </a:gsLst>
            <a:lin ang="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7</xdr:col>
      <xdr:colOff>601980</xdr:colOff>
      <xdr:row>13</xdr:row>
      <xdr:rowOff>100540</xdr:rowOff>
    </xdr:from>
    <xdr:to>
      <xdr:col>9</xdr:col>
      <xdr:colOff>172744</xdr:colOff>
      <xdr:row>17</xdr:row>
      <xdr:rowOff>159473</xdr:rowOff>
    </xdr:to>
    <xdr:sp macro="" textlink="">
      <xdr:nvSpPr>
        <xdr:cNvPr id="13" name="Rectangle 12">
          <a:extLst>
            <a:ext uri="{FF2B5EF4-FFF2-40B4-BE49-F238E27FC236}">
              <a16:creationId xmlns:a16="http://schemas.microsoft.com/office/drawing/2014/main" id="{986E83AF-41DB-44DA-8A6D-95CDCDA40930}"/>
            </a:ext>
          </a:extLst>
        </xdr:cNvPr>
        <xdr:cNvSpPr/>
      </xdr:nvSpPr>
      <xdr:spPr>
        <a:xfrm>
          <a:off x="4869180" y="2477980"/>
          <a:ext cx="789964" cy="790453"/>
        </a:xfrm>
        <a:prstGeom prst="rect">
          <a:avLst/>
        </a:prstGeom>
        <a:gradFill>
          <a:gsLst>
            <a:gs pos="0">
              <a:srgbClr val="005DB2"/>
            </a:gs>
            <a:gs pos="60000">
              <a:srgbClr val="0088FE"/>
            </a:gs>
            <a:gs pos="100000">
              <a:srgbClr val="005DB2"/>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129540</xdr:colOff>
      <xdr:row>11</xdr:row>
      <xdr:rowOff>143061</xdr:rowOff>
    </xdr:from>
    <xdr:to>
      <xdr:col>12</xdr:col>
      <xdr:colOff>309904</xdr:colOff>
      <xdr:row>13</xdr:row>
      <xdr:rowOff>87731</xdr:rowOff>
    </xdr:to>
    <xdr:grpSp>
      <xdr:nvGrpSpPr>
        <xdr:cNvPr id="14" name="Group 13">
          <a:extLst>
            <a:ext uri="{FF2B5EF4-FFF2-40B4-BE49-F238E27FC236}">
              <a16:creationId xmlns:a16="http://schemas.microsoft.com/office/drawing/2014/main" id="{7E5B2469-1F27-4E9E-82A5-D03A5589D75B}"/>
            </a:ext>
          </a:extLst>
        </xdr:cNvPr>
        <xdr:cNvGrpSpPr/>
      </xdr:nvGrpSpPr>
      <xdr:grpSpPr>
        <a:xfrm>
          <a:off x="6835140" y="2238561"/>
          <a:ext cx="789964" cy="325670"/>
          <a:chOff x="9441180" y="3005087"/>
          <a:chExt cx="789964" cy="309284"/>
        </a:xfrm>
      </xdr:grpSpPr>
      <xdr:sp macro="" textlink="">
        <xdr:nvSpPr>
          <xdr:cNvPr id="15" name="Rectangle 14">
            <a:extLst>
              <a:ext uri="{FF2B5EF4-FFF2-40B4-BE49-F238E27FC236}">
                <a16:creationId xmlns:a16="http://schemas.microsoft.com/office/drawing/2014/main" id="{9829EFFB-3453-6C84-DA44-68BA31B45859}"/>
              </a:ext>
            </a:extLst>
          </xdr:cNvPr>
          <xdr:cNvSpPr/>
        </xdr:nvSpPr>
        <xdr:spPr>
          <a:xfrm>
            <a:off x="9441180" y="3130537"/>
            <a:ext cx="789964" cy="183834"/>
          </a:xfrm>
          <a:prstGeom prst="rect">
            <a:avLst/>
          </a:prstGeom>
          <a:gradFill>
            <a:gsLst>
              <a:gs pos="0">
                <a:srgbClr val="C70200"/>
              </a:gs>
              <a:gs pos="60000">
                <a:srgbClr val="F94A1A"/>
              </a:gs>
              <a:gs pos="100000">
                <a:srgbClr val="C70200"/>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6" name="Rectangle 15">
            <a:extLst>
              <a:ext uri="{FF2B5EF4-FFF2-40B4-BE49-F238E27FC236}">
                <a16:creationId xmlns:a16="http://schemas.microsoft.com/office/drawing/2014/main" id="{1BF49933-F9BF-EE82-FC5C-502CBC0858C4}"/>
              </a:ext>
            </a:extLst>
          </xdr:cNvPr>
          <xdr:cNvSpPr/>
        </xdr:nvSpPr>
        <xdr:spPr>
          <a:xfrm rot="10800000" flipH="1">
            <a:off x="9441180" y="3005087"/>
            <a:ext cx="789964" cy="178972"/>
          </a:xfrm>
          <a:prstGeom prst="rect">
            <a:avLst/>
          </a:prstGeom>
          <a:gradFill>
            <a:gsLst>
              <a:gs pos="0">
                <a:srgbClr val="005DB2"/>
              </a:gs>
              <a:gs pos="60000">
                <a:srgbClr val="0088FE"/>
              </a:gs>
              <a:gs pos="100000">
                <a:srgbClr val="005DB2"/>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7" name="Oval 16">
            <a:extLst>
              <a:ext uri="{FF2B5EF4-FFF2-40B4-BE49-F238E27FC236}">
                <a16:creationId xmlns:a16="http://schemas.microsoft.com/office/drawing/2014/main" id="{C14B6D0B-94E0-E4CF-8BF1-9F22A74632A1}"/>
              </a:ext>
            </a:extLst>
          </xdr:cNvPr>
          <xdr:cNvSpPr/>
        </xdr:nvSpPr>
        <xdr:spPr>
          <a:xfrm rot="10800000" flipH="1" flipV="1">
            <a:off x="9441180" y="3053746"/>
            <a:ext cx="789964" cy="260625"/>
          </a:xfrm>
          <a:prstGeom prst="ellipse">
            <a:avLst/>
          </a:prstGeom>
          <a:gradFill>
            <a:gsLst>
              <a:gs pos="0">
                <a:srgbClr val="005DB2"/>
              </a:gs>
              <a:gs pos="60000">
                <a:srgbClr val="0088FE"/>
              </a:gs>
              <a:gs pos="100000">
                <a:srgbClr val="005DB2"/>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12</xdr:col>
      <xdr:colOff>320040</xdr:colOff>
      <xdr:row>3</xdr:row>
      <xdr:rowOff>177885</xdr:rowOff>
    </xdr:from>
    <xdr:to>
      <xdr:col>13</xdr:col>
      <xdr:colOff>500404</xdr:colOff>
      <xdr:row>8</xdr:row>
      <xdr:rowOff>54511</xdr:rowOff>
    </xdr:to>
    <xdr:sp macro="" textlink="">
      <xdr:nvSpPr>
        <xdr:cNvPr id="19" name="Rectangle 18">
          <a:extLst>
            <a:ext uri="{FF2B5EF4-FFF2-40B4-BE49-F238E27FC236}">
              <a16:creationId xmlns:a16="http://schemas.microsoft.com/office/drawing/2014/main" id="{8C1CD1EE-A653-9ED7-CC2A-2B291D6DEF51}"/>
            </a:ext>
          </a:extLst>
        </xdr:cNvPr>
        <xdr:cNvSpPr/>
      </xdr:nvSpPr>
      <xdr:spPr>
        <a:xfrm>
          <a:off x="7635240" y="726525"/>
          <a:ext cx="789964" cy="791026"/>
        </a:xfrm>
        <a:prstGeom prst="rect">
          <a:avLst/>
        </a:prstGeom>
        <a:gradFill>
          <a:gsLst>
            <a:gs pos="0">
              <a:srgbClr val="C00000"/>
            </a:gs>
            <a:gs pos="60000">
              <a:srgbClr val="F94A1A"/>
            </a:gs>
            <a:gs pos="100000">
              <a:srgbClr val="C00000"/>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65.454029050925" createdVersion="8" refreshedVersion="8" minRefreshableVersion="3" recordCount="4" xr:uid="{42202AD3-584E-458C-8FAC-A49B1B8697AB}">
  <cacheSource type="worksheet">
    <worksheetSource name="mydata"/>
  </cacheSource>
  <cacheFields count="8">
    <cacheField name="Year" numFmtId="0">
      <sharedItems containsSemiMixedTypes="0" containsString="0" containsNumber="1" containsInteger="1" minValue="2025" maxValue="2028" count="4">
        <n v="2025"/>
        <n v="2026"/>
        <n v="2027"/>
        <n v="2028"/>
      </sharedItems>
    </cacheField>
    <cacheField name="Credit Capacity" numFmtId="164">
      <sharedItems containsSemiMixedTypes="0" containsString="0" containsNumber="1" containsInteger="1" minValue="345005" maxValue="878224"/>
    </cacheField>
    <cacheField name="Interest Rate" numFmtId="9">
      <sharedItems containsSemiMixedTypes="0" containsString="0" containsNumber="1" minValue="0.11999999999999998" maxValue="0.15"/>
    </cacheField>
    <cacheField name="Revenue" numFmtId="44">
      <sharedItems containsSemiMixedTypes="0" containsString="0" containsNumber="1" minValue="293774.13" maxValue="477287.20999999996"/>
    </cacheField>
    <cacheField name="Marketing" numFmtId="0">
      <sharedItems containsSemiMixedTypes="0" containsString="0" containsNumber="1" containsInteger="1" minValue="61673" maxValue="108868"/>
    </cacheField>
    <cacheField name="Operating" numFmtId="0">
      <sharedItems containsSemiMixedTypes="0" containsString="0" containsNumber="1" containsInteger="1" minValue="145136" maxValue="255634"/>
    </cacheField>
    <cacheField name="Other" numFmtId="0">
      <sharedItems containsSemiMixedTypes="0" containsString="0" containsNumber="1" containsInteger="1" minValue="62186" maxValue="94374"/>
    </cacheField>
    <cacheField name="Total Costs" numFmtId="0" formula="Marketing+Operating+Other" databaseField="0"/>
  </cacheFields>
  <extLst>
    <ext xmlns:x14="http://schemas.microsoft.com/office/spreadsheetml/2009/9/main" uri="{725AE2AE-9491-48be-B2B4-4EB974FC3084}">
      <x14:pivotCacheDefinition pivotCacheId="1726953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345005"/>
    <n v="0.15"/>
    <n v="293774.13"/>
    <n v="61673"/>
    <n v="145136"/>
    <n v="62186"/>
  </r>
  <r>
    <x v="1"/>
    <n v="648426"/>
    <n v="0.13999999999999999"/>
    <n v="407248.03999999992"/>
    <n v="81480"/>
    <n v="214945"/>
    <n v="85549"/>
  </r>
  <r>
    <x v="2"/>
    <n v="878224"/>
    <n v="0.12999999999999998"/>
    <n v="477287.20999999996"/>
    <n v="108868"/>
    <n v="255634"/>
    <n v="94374"/>
  </r>
  <r>
    <x v="3"/>
    <n v="656592"/>
    <n v="0.11999999999999998"/>
    <n v="373908.68"/>
    <n v="86495"/>
    <n v="201531"/>
    <n v="857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5F9DEC-9DC6-48BD-A342-1133F69CC033}" name="PivotTable1" cacheId="17"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G5" firstHeaderRow="0" firstDataRow="1" firstDataCol="1"/>
  <pivotFields count="8">
    <pivotField axis="axisRow" showAll="0">
      <items count="5">
        <item h="1" x="0"/>
        <item x="1"/>
        <item h="1" x="2"/>
        <item h="1" x="3"/>
        <item t="default"/>
      </items>
    </pivotField>
    <pivotField dataField="1" numFmtId="164" showAll="0"/>
    <pivotField dataField="1" numFmtId="9" showAll="0"/>
    <pivotField dataField="1" showAll="0"/>
    <pivotField dataField="1" showAll="0"/>
    <pivotField dataField="1" showAll="0"/>
    <pivotField dataField="1" showAll="0"/>
    <pivotField dragToRow="0" dragToCol="0" dragToPage="0" showAll="0" defaultSubtotal="0"/>
  </pivotFields>
  <rowFields count="1">
    <field x="0"/>
  </rowFields>
  <rowItems count="2">
    <i>
      <x v="1"/>
    </i>
    <i t="grand">
      <x/>
    </i>
  </rowItems>
  <colFields count="1">
    <field x="-2"/>
  </colFields>
  <colItems count="6">
    <i>
      <x/>
    </i>
    <i i="1">
      <x v="1"/>
    </i>
    <i i="2">
      <x v="2"/>
    </i>
    <i i="3">
      <x v="3"/>
    </i>
    <i i="4">
      <x v="4"/>
    </i>
    <i i="5">
      <x v="5"/>
    </i>
  </colItems>
  <dataFields count="6">
    <dataField name="Sum of Credit Capacity" fld="1" baseField="0" baseItem="0" numFmtId="164"/>
    <dataField name="Average of Interest Rate" fld="2" subtotal="average" baseField="0" baseItem="0" numFmtId="9"/>
    <dataField name="Sum of Revenue" fld="3" baseField="0" baseItem="0"/>
    <dataField name="Sum of Marketing" fld="4" baseField="0" baseItem="0"/>
    <dataField name="Sum of Operating" fld="5" baseField="0" baseItem="0"/>
    <dataField name="Sum of Other"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C9DBC7D-F4A1-440B-87DC-DDF310AD18FB}" sourceName="Year">
  <pivotTables>
    <pivotTable tabId="4" name="PivotTable1"/>
  </pivotTables>
  <data>
    <tabular pivotCacheId="1726953996">
      <items count="4">
        <i x="0"/>
        <i x="1"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E71600B-332C-4D53-AC3A-EC0535A9FE90}" cache="Slicer_Year" caption="Year" columnCount="4" showCaption="0"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58D084-F8B4-487D-8AAD-822C33452A2B}" name="mydata" displayName="mydata" ref="A1:G5" totalsRowShown="0">
  <autoFilter ref="A1:G5" xr:uid="{D758D084-F8B4-487D-8AAD-822C33452A2B}"/>
  <tableColumns count="7">
    <tableColumn id="1" xr3:uid="{35584CD8-0B83-40B5-B616-DDC9CC2812A8}" name="Year" dataDxfId="3"/>
    <tableColumn id="2" xr3:uid="{C3F325B5-5C11-4961-B5D9-1D8CCE7D86A1}" name="Credit Capacity" dataDxfId="2" dataCellStyle="Currency"/>
    <tableColumn id="3" xr3:uid="{CF40E135-83C3-4490-9DEA-F61E21CF4CD2}" name="Interest Rate" dataDxfId="1" dataCellStyle="Percent"/>
    <tableColumn id="4" xr3:uid="{044554F4-F1ED-42A1-9074-391FF1F48C61}" name="Revenue" dataCellStyle="Currency"/>
    <tableColumn id="5" xr3:uid="{0C6BC119-F12D-48FF-90BE-AE75B4962E83}" name="Marketing"/>
    <tableColumn id="6" xr3:uid="{6A78D56A-CA4F-421F-BFAF-2B30E456247F}" name="Operating"/>
    <tableColumn id="7" xr3:uid="{0A61FCA4-16C9-4EE7-B645-9EE55D5AA4BF}" name="Oth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1C47-4538-4F4D-BB2D-49C789E87E11}">
  <sheetPr codeName="Sheet1"/>
  <dimension ref="A1:V12"/>
  <sheetViews>
    <sheetView showRowColHeaders="0" tabSelected="1" topLeftCell="B7" zoomScaleNormal="100" workbookViewId="0">
      <selection activeCell="C20" sqref="C20"/>
    </sheetView>
  </sheetViews>
  <sheetFormatPr defaultColWidth="8.85546875" defaultRowHeight="15" x14ac:dyDescent="0.25"/>
  <cols>
    <col min="1" max="1" width="0" style="1" hidden="1" customWidth="1"/>
    <col min="2" max="19" width="8.85546875" style="1"/>
    <col min="20" max="20" width="5.5703125" style="1" customWidth="1"/>
    <col min="21" max="16384" width="8.85546875" style="1"/>
  </cols>
  <sheetData>
    <row r="1" spans="1:22" hidden="1" x14ac:dyDescent="0.25"/>
    <row r="2" spans="1:22" hidden="1" x14ac:dyDescent="0.25"/>
    <row r="3" spans="1:22" hidden="1" x14ac:dyDescent="0.25"/>
    <row r="5" spans="1:22" x14ac:dyDescent="0.25">
      <c r="A5" s="1">
        <v>49</v>
      </c>
      <c r="K5" s="34"/>
      <c r="L5" s="34"/>
      <c r="M5" s="34"/>
      <c r="N5" s="34"/>
    </row>
    <row r="6" spans="1:22" x14ac:dyDescent="0.25">
      <c r="V6" s="21"/>
    </row>
    <row r="7" spans="1:22" x14ac:dyDescent="0.25">
      <c r="V7" s="21"/>
    </row>
    <row r="8" spans="1:22" ht="14.45" customHeight="1" x14ac:dyDescent="0.25">
      <c r="E8" s="35" t="str">
        <f>Processing!A1</f>
        <v>Expense</v>
      </c>
      <c r="F8" s="35"/>
      <c r="G8" s="35"/>
      <c r="H8" s="35"/>
      <c r="I8" s="35" t="str">
        <f>Processing!C1</f>
        <v>Markup</v>
      </c>
      <c r="J8" s="35" t="s">
        <v>30</v>
      </c>
      <c r="K8" s="35"/>
      <c r="L8" s="35"/>
      <c r="M8" s="35" t="s">
        <v>29</v>
      </c>
      <c r="N8" s="35"/>
      <c r="O8" s="35"/>
      <c r="P8" s="35"/>
      <c r="Q8" s="24"/>
      <c r="R8" s="36" t="str">
        <f>Processing!C5</f>
        <v>Margin</v>
      </c>
      <c r="S8" s="36"/>
      <c r="T8" s="25"/>
    </row>
    <row r="9" spans="1:22" ht="14.45" customHeight="1" x14ac:dyDescent="0.25">
      <c r="D9" s="23"/>
      <c r="E9" s="35"/>
      <c r="F9" s="35"/>
      <c r="G9" s="35"/>
      <c r="H9" s="35"/>
      <c r="I9" s="35"/>
      <c r="J9" s="35"/>
      <c r="K9" s="35"/>
      <c r="L9" s="35"/>
      <c r="M9" s="35"/>
      <c r="N9" s="35"/>
      <c r="O9" s="35"/>
      <c r="P9" s="35"/>
      <c r="Q9" s="24"/>
      <c r="R9" s="36"/>
      <c r="S9" s="36"/>
      <c r="T9" s="25"/>
    </row>
    <row r="10" spans="1:22" ht="14.45" customHeight="1" x14ac:dyDescent="0.25">
      <c r="E10" s="38">
        <f>Processing!B6</f>
        <v>751576.82000000007</v>
      </c>
      <c r="F10" s="38"/>
      <c r="G10" s="38"/>
      <c r="H10" s="38"/>
      <c r="I10" s="42">
        <f>A5/100</f>
        <v>0.49</v>
      </c>
      <c r="J10" s="41">
        <f>Processing!C4</f>
        <v>890325.40999999992</v>
      </c>
      <c r="K10" s="41"/>
      <c r="L10" s="41"/>
      <c r="M10" s="40">
        <f>J10-E10</f>
        <v>138748.58999999985</v>
      </c>
      <c r="N10" s="40"/>
      <c r="O10" s="40"/>
      <c r="P10" s="40"/>
      <c r="Q10" s="37" t="str">
        <f>IF(Processing!C6&gt;Processing!C9,"↑","↓")</f>
        <v>↑</v>
      </c>
      <c r="R10" s="39">
        <f>Processing!C6</f>
        <v>0.15584031236399271</v>
      </c>
      <c r="S10" s="39"/>
      <c r="T10" s="25"/>
    </row>
    <row r="11" spans="1:22" ht="14.45" customHeight="1" x14ac:dyDescent="0.25">
      <c r="D11" s="22"/>
      <c r="E11" s="38"/>
      <c r="F11" s="38"/>
      <c r="G11" s="38"/>
      <c r="H11" s="38"/>
      <c r="I11" s="42"/>
      <c r="J11" s="41"/>
      <c r="K11" s="41"/>
      <c r="L11" s="41"/>
      <c r="M11" s="40"/>
      <c r="N11" s="40"/>
      <c r="O11" s="40"/>
      <c r="P11" s="40"/>
      <c r="Q11" s="37"/>
      <c r="R11" s="39"/>
      <c r="S11" s="39"/>
      <c r="T11" s="25"/>
    </row>
    <row r="12" spans="1:22" ht="14.45" customHeight="1" x14ac:dyDescent="0.25">
      <c r="D12" s="22"/>
      <c r="E12" s="38"/>
      <c r="F12" s="38"/>
      <c r="G12" s="38"/>
      <c r="H12" s="38"/>
      <c r="I12" s="42"/>
      <c r="J12" s="41"/>
      <c r="K12" s="41"/>
      <c r="L12" s="41"/>
      <c r="M12" s="40"/>
      <c r="N12" s="40"/>
      <c r="O12" s="40"/>
      <c r="P12" s="40"/>
      <c r="Q12" s="37"/>
      <c r="R12" s="39"/>
      <c r="S12" s="39"/>
      <c r="T12" s="25"/>
    </row>
  </sheetData>
  <mergeCells count="12">
    <mergeCell ref="K5:N5"/>
    <mergeCell ref="M8:P9"/>
    <mergeCell ref="R8:S9"/>
    <mergeCell ref="Q10:Q12"/>
    <mergeCell ref="E10:H12"/>
    <mergeCell ref="E8:H9"/>
    <mergeCell ref="J8:L9"/>
    <mergeCell ref="R10:S12"/>
    <mergeCell ref="M10:P12"/>
    <mergeCell ref="J10:L12"/>
    <mergeCell ref="I10:I12"/>
    <mergeCell ref="I8:I9"/>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Spinner 1">
              <controlPr defaultSize="0" autoPict="0">
                <anchor moveWithCells="1" sizeWithCells="1">
                  <from>
                    <xdr:col>7</xdr:col>
                    <xdr:colOff>85725</xdr:colOff>
                    <xdr:row>20</xdr:row>
                    <xdr:rowOff>171450</xdr:rowOff>
                  </from>
                  <to>
                    <xdr:col>7</xdr:col>
                    <xdr:colOff>314325</xdr:colOff>
                    <xdr:row>22</xdr:row>
                    <xdr:rowOff>171450</xdr:rowOff>
                  </to>
                </anchor>
              </controlPr>
            </control>
          </mc:Choice>
        </mc:AlternateContent>
        <mc:AlternateContent xmlns:mc="http://schemas.openxmlformats.org/markup-compatibility/2006">
          <mc:Choice Requires="x14">
            <control shapeId="1026" r:id="rId4" name="Spinner 2">
              <controlPr defaultSize="0" autoPict="0">
                <anchor moveWithCells="1" sizeWithCells="1">
                  <from>
                    <xdr:col>9</xdr:col>
                    <xdr:colOff>95250</xdr:colOff>
                    <xdr:row>9</xdr:row>
                    <xdr:rowOff>19050</xdr:rowOff>
                  </from>
                  <to>
                    <xdr:col>9</xdr:col>
                    <xdr:colOff>323850</xdr:colOff>
                    <xdr:row>11</xdr:row>
                    <xdr:rowOff>19050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D86D0E8F-3A04-4F14-B4AD-439A8ADEA1C0}">
            <xm:f>Processing!$C$6&lt;Processing!$C$9</xm:f>
            <x14:dxf>
              <font>
                <color rgb="FFFF0000"/>
              </font>
            </x14:dxf>
          </x14:cfRule>
          <xm:sqref>Q10:Q12</xm:sqref>
        </x14:conditionalFormatting>
      </x14:conditionalFormattings>
    </ex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7E398-9459-4505-B682-4FCA83195345}">
  <sheetPr codeName="Sheet2"/>
  <dimension ref="A1:O17"/>
  <sheetViews>
    <sheetView workbookViewId="0">
      <selection activeCell="P1" sqref="P1:S1"/>
    </sheetView>
  </sheetViews>
  <sheetFormatPr defaultRowHeight="15" x14ac:dyDescent="0.25"/>
  <cols>
    <col min="2" max="2" width="11.28515625" bestFit="1" customWidth="1"/>
    <col min="3" max="3" width="12.28515625" bestFit="1" customWidth="1"/>
    <col min="6" max="6" width="14.140625" bestFit="1" customWidth="1"/>
    <col min="7" max="7" width="14.85546875" bestFit="1" customWidth="1"/>
    <col min="9" max="9" width="8.85546875" customWidth="1"/>
  </cols>
  <sheetData>
    <row r="1" spans="1:15" x14ac:dyDescent="0.25">
      <c r="A1" s="9" t="s">
        <v>18</v>
      </c>
      <c r="C1" s="9" t="s">
        <v>14</v>
      </c>
      <c r="E1" s="2"/>
      <c r="F1" s="8" t="s">
        <v>2</v>
      </c>
      <c r="G1" s="9" t="s">
        <v>3</v>
      </c>
      <c r="H1" s="10" t="s">
        <v>4</v>
      </c>
      <c r="J1" s="9" t="s">
        <v>7</v>
      </c>
      <c r="K1" s="2"/>
      <c r="L1" s="2"/>
      <c r="M1" s="2">
        <v>1</v>
      </c>
      <c r="N1" s="2">
        <v>-1</v>
      </c>
    </row>
    <row r="2" spans="1:15" x14ac:dyDescent="0.25">
      <c r="A2" t="s">
        <v>23</v>
      </c>
      <c r="B2" s="12">
        <f>G5+G5*F8</f>
        <v>369602.82</v>
      </c>
      <c r="C2" s="11">
        <f>DASHBOARD!I10</f>
        <v>0.49</v>
      </c>
      <c r="E2" s="5">
        <v>1</v>
      </c>
      <c r="F2" s="11">
        <f>E2-E4</f>
        <v>0.5</v>
      </c>
      <c r="G2" s="5">
        <f>E4</f>
        <v>0.5</v>
      </c>
      <c r="H2" s="11">
        <v>0.1</v>
      </c>
      <c r="J2" s="13">
        <f>B2/C4</f>
        <v>0.41513228292563281</v>
      </c>
      <c r="K2" s="5">
        <f>100%-J2-L2</f>
        <v>0.42902740471037454</v>
      </c>
      <c r="L2" s="11">
        <f>C6</f>
        <v>0.15584031236399271</v>
      </c>
      <c r="M2" s="14">
        <f>SIN((J2+0.75)*2*PI())*M1</f>
        <v>0.86116482355830215</v>
      </c>
      <c r="N2" s="14">
        <f>COS((K2+L2+0.75)*2*PI())*N1</f>
        <v>0.50832582726613296</v>
      </c>
      <c r="O2" t="s">
        <v>25</v>
      </c>
    </row>
    <row r="3" spans="1:15" x14ac:dyDescent="0.25">
      <c r="A3" t="s">
        <v>15</v>
      </c>
      <c r="B3" s="12">
        <f>GETPIVOTDATA(""&amp;A3,Control!$A$3)</f>
        <v>81480</v>
      </c>
      <c r="C3" s="9" t="s">
        <v>11</v>
      </c>
      <c r="E3" s="2">
        <v>5</v>
      </c>
      <c r="F3" s="11">
        <f>$H$2</f>
        <v>0.1</v>
      </c>
      <c r="G3" s="11">
        <f>$H$2</f>
        <v>0.1</v>
      </c>
      <c r="H3" s="2"/>
      <c r="J3" s="2"/>
      <c r="K3" s="2"/>
      <c r="L3" s="2"/>
      <c r="M3" s="14">
        <f>SIN((J2+K2+0.75)*2*PI())*M1</f>
        <v>-0.55770871195415261</v>
      </c>
      <c r="N3" s="14">
        <f>COS((L2+0.75)*2*PI())*N1</f>
        <v>-0.83003674172318331</v>
      </c>
      <c r="O3" t="s">
        <v>26</v>
      </c>
    </row>
    <row r="4" spans="1:15" x14ac:dyDescent="0.25">
      <c r="A4" t="s">
        <v>16</v>
      </c>
      <c r="B4" s="12">
        <f>GETPIVOTDATA(""&amp;A4,Control!$A$3)</f>
        <v>214945</v>
      </c>
      <c r="C4" s="12">
        <f>GETPIVOTDATA("Sum of Revenue",Control!$A$3)+(G5+G5*C2)</f>
        <v>890325.40999999992</v>
      </c>
      <c r="E4" s="5">
        <f>E2/10*E3</f>
        <v>0.5</v>
      </c>
      <c r="F4" s="11">
        <f>100%-F2</f>
        <v>0.5</v>
      </c>
      <c r="G4" s="11">
        <f>F2</f>
        <v>0.5</v>
      </c>
      <c r="H4" s="2"/>
      <c r="M4" s="9" t="s">
        <v>27</v>
      </c>
      <c r="N4" s="9" t="s">
        <v>28</v>
      </c>
    </row>
    <row r="5" spans="1:15" x14ac:dyDescent="0.25">
      <c r="A5" t="s">
        <v>17</v>
      </c>
      <c r="B5" s="12">
        <f>GETPIVOTDATA(""&amp;A5,Control!$A$3)</f>
        <v>85549</v>
      </c>
      <c r="C5" s="9" t="s">
        <v>22</v>
      </c>
      <c r="E5" s="2"/>
      <c r="F5" s="12">
        <f>GETPIVOTDATA("Sum of Credit Capacity",Control!$A$3)*Processing!F2</f>
        <v>324213</v>
      </c>
      <c r="G5" s="12">
        <f>GETPIVOTDATA("Sum of Credit Capacity",Control!$A$3)*Processing!G2</f>
        <v>324213</v>
      </c>
      <c r="H5" s="2"/>
    </row>
    <row r="6" spans="1:15" x14ac:dyDescent="0.25">
      <c r="A6" s="3" t="s">
        <v>24</v>
      </c>
      <c r="B6" s="19">
        <f>SUM(B2:B5)</f>
        <v>751576.82000000007</v>
      </c>
      <c r="C6" s="20">
        <f>(C4-B6)/C4</f>
        <v>0.15584031236399271</v>
      </c>
    </row>
    <row r="7" spans="1:15" x14ac:dyDescent="0.25">
      <c r="F7" s="9" t="s">
        <v>5</v>
      </c>
      <c r="G7" s="9" t="s">
        <v>6</v>
      </c>
      <c r="H7" s="10" t="s">
        <v>4</v>
      </c>
    </row>
    <row r="8" spans="1:15" x14ac:dyDescent="0.25">
      <c r="C8" s="26" t="s">
        <v>31</v>
      </c>
      <c r="F8" s="5">
        <f>GETPIVOTDATA("Average of Interest Rate",Control!$A$3)</f>
        <v>0.13999999999999999</v>
      </c>
      <c r="G8" s="11">
        <f>100%-F8</f>
        <v>0.86</v>
      </c>
      <c r="H8" s="11">
        <v>0.1</v>
      </c>
    </row>
    <row r="9" spans="1:15" x14ac:dyDescent="0.25">
      <c r="C9" s="27">
        <f>(GETPIVOTDATA("Sum of Revenue",Control!$A$3)-SUM(B3:B5))/GETPIVOTDATA("Sum of Revenue",Control!$A$3)</f>
        <v>6.2060556509983267E-2</v>
      </c>
      <c r="F9" s="2"/>
      <c r="G9" s="11">
        <f>$H$8</f>
        <v>0.1</v>
      </c>
      <c r="H9" s="2"/>
    </row>
    <row r="10" spans="1:15" x14ac:dyDescent="0.25">
      <c r="F10" s="2"/>
      <c r="G10" s="5">
        <f>100%-G8</f>
        <v>0.14000000000000001</v>
      </c>
      <c r="H10" s="2"/>
    </row>
    <row r="11" spans="1:15" x14ac:dyDescent="0.25">
      <c r="F11" s="2"/>
      <c r="G11" s="11">
        <f>$H$8</f>
        <v>0.1</v>
      </c>
      <c r="H11" s="2"/>
    </row>
    <row r="17" spans="3:3" x14ac:dyDescent="0.25">
      <c r="C17" s="15"/>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DF955-8C61-4D59-8B46-77B8C8B1DAC9}">
  <sheetPr codeName="Sheet3"/>
  <dimension ref="A3:G5"/>
  <sheetViews>
    <sheetView workbookViewId="0">
      <selection sqref="A1:D1"/>
    </sheetView>
  </sheetViews>
  <sheetFormatPr defaultRowHeight="15" x14ac:dyDescent="0.25"/>
  <cols>
    <col min="1" max="1" width="12.42578125" bestFit="1" customWidth="1"/>
    <col min="2" max="2" width="20.28515625" bestFit="1" customWidth="1"/>
    <col min="3" max="3" width="20.5703125" bestFit="1" customWidth="1"/>
    <col min="4" max="4" width="14.140625" bestFit="1" customWidth="1"/>
    <col min="5" max="6" width="15.28515625" bestFit="1" customWidth="1"/>
    <col min="7" max="7" width="11.7109375" bestFit="1" customWidth="1"/>
    <col min="8" max="8" width="16.28515625" bestFit="1" customWidth="1"/>
  </cols>
  <sheetData>
    <row r="3" spans="1:7" x14ac:dyDescent="0.25">
      <c r="A3" s="16" t="s">
        <v>9</v>
      </c>
      <c r="B3" t="s">
        <v>8</v>
      </c>
      <c r="C3" t="s">
        <v>13</v>
      </c>
      <c r="D3" t="s">
        <v>12</v>
      </c>
      <c r="E3" t="s">
        <v>19</v>
      </c>
      <c r="F3" t="s">
        <v>20</v>
      </c>
      <c r="G3" t="s">
        <v>21</v>
      </c>
    </row>
    <row r="4" spans="1:7" x14ac:dyDescent="0.25">
      <c r="A4" s="17">
        <v>2026</v>
      </c>
      <c r="B4" s="15">
        <v>648426</v>
      </c>
      <c r="C4" s="4">
        <v>0.13999999999999999</v>
      </c>
      <c r="D4">
        <v>407248.03999999992</v>
      </c>
      <c r="E4">
        <v>81480</v>
      </c>
      <c r="F4">
        <v>214945</v>
      </c>
      <c r="G4">
        <v>85549</v>
      </c>
    </row>
    <row r="5" spans="1:7" x14ac:dyDescent="0.25">
      <c r="A5" s="17" t="s">
        <v>10</v>
      </c>
      <c r="B5" s="15">
        <v>648426</v>
      </c>
      <c r="C5" s="4">
        <v>0.13999999999999999</v>
      </c>
      <c r="D5">
        <v>407248.03999999992</v>
      </c>
      <c r="E5">
        <v>81480</v>
      </c>
      <c r="F5">
        <v>214945</v>
      </c>
      <c r="G5">
        <v>85549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DA7E-F89B-4659-B980-3ADBFB97EF52}">
  <sheetPr codeName="Sheet4"/>
  <dimension ref="A1:G5"/>
  <sheetViews>
    <sheetView workbookViewId="0">
      <selection activeCell="E19" sqref="E19"/>
    </sheetView>
  </sheetViews>
  <sheetFormatPr defaultRowHeight="15" x14ac:dyDescent="0.25"/>
  <cols>
    <col min="2" max="2" width="15.85546875" customWidth="1"/>
    <col min="3" max="3" width="13.42578125" customWidth="1"/>
    <col min="4" max="4" width="13.28515625" bestFit="1" customWidth="1"/>
  </cols>
  <sheetData>
    <row r="1" spans="1:7" x14ac:dyDescent="0.25">
      <c r="A1" s="18" t="s">
        <v>0</v>
      </c>
      <c r="B1" s="3" t="s">
        <v>2</v>
      </c>
      <c r="C1" s="3" t="s">
        <v>1</v>
      </c>
      <c r="D1" t="s">
        <v>11</v>
      </c>
      <c r="E1" t="s">
        <v>15</v>
      </c>
      <c r="F1" t="s">
        <v>16</v>
      </c>
      <c r="G1" t="s">
        <v>17</v>
      </c>
    </row>
    <row r="2" spans="1:7" x14ac:dyDescent="0.25">
      <c r="A2" s="2">
        <v>2025</v>
      </c>
      <c r="B2" s="7">
        <v>345005</v>
      </c>
      <c r="C2" s="5">
        <v>0.15</v>
      </c>
      <c r="D2" s="6">
        <v>293774.13</v>
      </c>
      <c r="E2">
        <v>61673</v>
      </c>
      <c r="F2">
        <v>145136</v>
      </c>
      <c r="G2">
        <v>62186</v>
      </c>
    </row>
    <row r="3" spans="1:7" x14ac:dyDescent="0.25">
      <c r="A3" s="2">
        <v>2026</v>
      </c>
      <c r="B3" s="7">
        <v>648426</v>
      </c>
      <c r="C3" s="5">
        <v>0.13999999999999999</v>
      </c>
      <c r="D3" s="6">
        <v>407248.03999999992</v>
      </c>
      <c r="E3">
        <v>81480</v>
      </c>
      <c r="F3">
        <v>214945</v>
      </c>
      <c r="G3">
        <v>85549</v>
      </c>
    </row>
    <row r="4" spans="1:7" x14ac:dyDescent="0.25">
      <c r="A4" s="2">
        <v>2027</v>
      </c>
      <c r="B4" s="7">
        <v>878224</v>
      </c>
      <c r="C4" s="5">
        <v>0.12999999999999998</v>
      </c>
      <c r="D4" s="6">
        <v>477287.20999999996</v>
      </c>
      <c r="E4">
        <v>108868</v>
      </c>
      <c r="F4">
        <v>255634</v>
      </c>
      <c r="G4">
        <v>94374</v>
      </c>
    </row>
    <row r="5" spans="1:7" x14ac:dyDescent="0.25">
      <c r="A5" s="2">
        <v>2028</v>
      </c>
      <c r="B5" s="7">
        <v>656592</v>
      </c>
      <c r="C5" s="5">
        <v>0.11999999999999998</v>
      </c>
      <c r="D5" s="6">
        <v>373908.68</v>
      </c>
      <c r="E5">
        <v>86495</v>
      </c>
      <c r="F5">
        <v>201531</v>
      </c>
      <c r="G5">
        <v>85782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88272-9345-4079-BE9B-1AAAC49512AC}">
  <sheetPr codeName="Sheet5"/>
  <dimension ref="B2:B13"/>
  <sheetViews>
    <sheetView zoomScaleNormal="100" workbookViewId="0">
      <selection activeCell="D1" sqref="D1:G1"/>
    </sheetView>
  </sheetViews>
  <sheetFormatPr defaultRowHeight="15" x14ac:dyDescent="0.25"/>
  <sheetData>
    <row r="2" spans="2:2" x14ac:dyDescent="0.25">
      <c r="B2" s="28" t="s">
        <v>32</v>
      </c>
    </row>
    <row r="4" spans="2:2" x14ac:dyDescent="0.25">
      <c r="B4" s="30" t="s">
        <v>34</v>
      </c>
    </row>
    <row r="5" spans="2:2" x14ac:dyDescent="0.25">
      <c r="B5" s="29" t="s">
        <v>33</v>
      </c>
    </row>
    <row r="7" spans="2:2" x14ac:dyDescent="0.25">
      <c r="B7" s="31" t="s">
        <v>35</v>
      </c>
    </row>
    <row r="8" spans="2:2" x14ac:dyDescent="0.25">
      <c r="B8" s="32" t="s">
        <v>36</v>
      </c>
    </row>
    <row r="10" spans="2:2" x14ac:dyDescent="0.25">
      <c r="B10" s="1" t="s">
        <v>37</v>
      </c>
    </row>
    <row r="11" spans="2:2" x14ac:dyDescent="0.25">
      <c r="B11" s="25" t="s">
        <v>38</v>
      </c>
    </row>
    <row r="13" spans="2:2" x14ac:dyDescent="0.25">
      <c r="B13" s="33" t="s">
        <v>39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Processing</vt:lpstr>
      <vt:lpstr>Control</vt:lpstr>
      <vt:lpstr>Data</vt:lpstr>
      <vt:lpstr>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Serhii Ivanyk</dc:creator>
  <cp:lastModifiedBy>User</cp:lastModifiedBy>
  <dcterms:created xsi:type="dcterms:W3CDTF">2025-04-18T07:04:49Z</dcterms:created>
  <dcterms:modified xsi:type="dcterms:W3CDTF">2026-09-18T06:41:13Z</dcterms:modified>
</cp:coreProperties>
</file>