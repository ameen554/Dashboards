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style1.xml" ContentType="application/vnd.ms-office.chartstyle+xml"/>
  <Override PartName="/xl/charts/colors1.xml" ContentType="application/vnd.ms-office.chartcolorstyle+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drawings/drawing2.xml" ContentType="application/vnd.openxmlformats-officedocument.drawing+xml"/>
  <Override PartName="/xl/slicers/slicer2.xml" ContentType="application/vnd.ms-excel.slicer+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style2.xml" ContentType="application/vnd.ms-office.chartstyle+xml"/>
  <Override PartName="/xl/charts/colors2.xml" ContentType="application/vnd.ms-office.chartcolorstyle+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charts/chart17.xml" ContentType="application/vnd.openxmlformats-officedocument.drawingml.chart+xml"/>
  <Override PartName="/xl/charts/chart18.xml" ContentType="application/vnd.openxmlformats-officedocument.drawingml.chart+xml"/>
  <Override PartName="/xl/charts/chart19.xml" ContentType="application/vnd.openxmlformats-officedocument.drawingml.chart+xml"/>
  <Override PartName="/xl/charts/chart20.xml" ContentType="application/vnd.openxmlformats-officedocument.drawingml.chart+xml"/>
  <Override PartName="/xl/drawings/drawing3.xml" ContentType="application/vnd.openxmlformats-officedocument.drawing+xml"/>
  <Override PartName="/xl/slicers/slicer3.xml" ContentType="application/vnd.ms-excel.slicer+xml"/>
  <Override PartName="/xl/charts/chart21.xml" ContentType="application/vnd.openxmlformats-officedocument.drawingml.chart+xml"/>
  <Override PartName="/xl/charts/chart22.xml" ContentType="application/vnd.openxmlformats-officedocument.drawingml.chart+xml"/>
  <Override PartName="/xl/charts/chart23.xml" ContentType="application/vnd.openxmlformats-officedocument.drawingml.chart+xml"/>
  <Override PartName="/xl/charts/style3.xml" ContentType="application/vnd.ms-office.chartstyle+xml"/>
  <Override PartName="/xl/charts/colors3.xml" ContentType="application/vnd.ms-office.chartcolorstyle+xml"/>
  <Override PartName="/xl/charts/chart24.xml" ContentType="application/vnd.openxmlformats-officedocument.drawingml.chart+xml"/>
  <Override PartName="/xl/charts/chart25.xml" ContentType="application/vnd.openxmlformats-officedocument.drawingml.chart+xml"/>
  <Override PartName="/xl/charts/chart26.xml" ContentType="application/vnd.openxmlformats-officedocument.drawingml.chart+xml"/>
  <Override PartName="/xl/charts/chart27.xml" ContentType="application/vnd.openxmlformats-officedocument.drawingml.chart+xml"/>
  <Override PartName="/xl/charts/chart28.xml" ContentType="application/vnd.openxmlformats-officedocument.drawingml.chart+xml"/>
  <Override PartName="/xl/charts/chart29.xml" ContentType="application/vnd.openxmlformats-officedocument.drawingml.chart+xml"/>
  <Override PartName="/xl/charts/chart30.xml" ContentType="application/vnd.openxmlformats-officedocument.drawingml.chart+xml"/>
  <Override PartName="/xl/charts/chart31.xml" ContentType="application/vnd.openxmlformats-officedocument.drawingml.chart+xml"/>
  <Override PartName="/xl/charts/style4.xml" ContentType="application/vnd.ms-office.chartstyle+xml"/>
  <Override PartName="/xl/charts/colors4.xml" ContentType="application/vnd.ms-office.chartcolorstyle+xml"/>
  <Override PartName="/xl/drawings/drawing4.xml" ContentType="application/vnd.openxmlformats-officedocument.drawing+xml"/>
  <Override PartName="/xl/slicers/slicer4.xml" ContentType="application/vnd.ms-excel.slicer+xml"/>
  <Override PartName="/xl/charts/chart32.xml" ContentType="application/vnd.openxmlformats-officedocument.drawingml.chart+xml"/>
  <Override PartName="/xl/charts/chart33.xml" ContentType="application/vnd.openxmlformats-officedocument.drawingml.chart+xml"/>
  <Override PartName="/xl/charts/chart34.xml" ContentType="application/vnd.openxmlformats-officedocument.drawingml.chart+xml"/>
  <Override PartName="/xl/charts/style5.xml" ContentType="application/vnd.ms-office.chartstyle+xml"/>
  <Override PartName="/xl/charts/colors5.xml" ContentType="application/vnd.ms-office.chartcolorstyle+xml"/>
  <Override PartName="/xl/charts/chart35.xml" ContentType="application/vnd.openxmlformats-officedocument.drawingml.chart+xml"/>
  <Override PartName="/xl/charts/chart36.xml" ContentType="application/vnd.openxmlformats-officedocument.drawingml.chart+xml"/>
  <Override PartName="/xl/charts/chart37.xml" ContentType="application/vnd.openxmlformats-officedocument.drawingml.chart+xml"/>
  <Override PartName="/xl/charts/chart38.xml" ContentType="application/vnd.openxmlformats-officedocument.drawingml.chart+xml"/>
  <Override PartName="/xl/charts/chart39.xml" ContentType="application/vnd.openxmlformats-officedocument.drawingml.chart+xml"/>
  <Override PartName="/xl/charts/chart40.xml" ContentType="application/vnd.openxmlformats-officedocument.drawingml.chart+xml"/>
  <Override PartName="/xl/charts/chart41.xml" ContentType="application/vnd.openxmlformats-officedocument.drawingml.chart+xml"/>
  <Override PartName="/xl/charts/chart42.xml" ContentType="application/vnd.openxmlformats-officedocument.drawingml.chart+xml"/>
  <Override PartName="/xl/charts/style6.xml" ContentType="application/vnd.ms-office.chartstyle+xml"/>
  <Override PartName="/xl/charts/colors6.xml" ContentType="application/vnd.ms-office.chartcolorstyle+xml"/>
  <Override PartName="/xl/drawings/drawing5.xml" ContentType="application/vnd.openxmlformats-officedocument.drawing+xml"/>
  <Override PartName="/xl/slicers/slicer5.xml" ContentType="application/vnd.ms-excel.slicer+xml"/>
  <Override PartName="/xl/charts/chart43.xml" ContentType="application/vnd.openxmlformats-officedocument.drawingml.chart+xml"/>
  <Override PartName="/xl/charts/style7.xml" ContentType="application/vnd.ms-office.chartstyle+xml"/>
  <Override PartName="/xl/charts/colors7.xml" ContentType="application/vnd.ms-office.chartcolorstyle+xml"/>
  <Override PartName="/xl/charts/chart44.xml" ContentType="application/vnd.openxmlformats-officedocument.drawingml.chart+xml"/>
  <Override PartName="/xl/charts/chart45.xml" ContentType="application/vnd.openxmlformats-officedocument.drawingml.chart+xml"/>
  <Override PartName="/xl/charts/chart46.xml" ContentType="application/vnd.openxmlformats-officedocument.drawingml.chart+xml"/>
  <Override PartName="/xl/charts/chart47.xml" ContentType="application/vnd.openxmlformats-officedocument.drawingml.chart+xml"/>
  <Override PartName="/xl/charts/chart48.xml" ContentType="application/vnd.openxmlformats-officedocument.drawingml.chart+xml"/>
  <Override PartName="/xl/charts/chart49.xml" ContentType="application/vnd.openxmlformats-officedocument.drawingml.chart+xml"/>
  <Override PartName="/xl/charts/chart50.xml" ContentType="application/vnd.openxmlformats-officedocument.drawingml.chart+xml"/>
  <Override PartName="/xl/charts/chart51.xml" ContentType="application/vnd.openxmlformats-officedocument.drawingml.chart+xml"/>
  <Override PartName="/xl/charts/style8.xml" ContentType="application/vnd.ms-office.chartstyle+xml"/>
  <Override PartName="/xl/charts/colors8.xml" ContentType="application/vnd.ms-office.chartcolorstyle+xml"/>
  <Override PartName="/xl/charts/chart52.xml" ContentType="application/vnd.openxmlformats-officedocument.drawingml.chart+xml"/>
  <Override PartName="/xl/charts/chart53.xml" ContentType="application/vnd.openxmlformats-officedocument.drawingml.chart+xml"/>
  <Override PartName="/xl/drawings/drawing6.xml" ContentType="application/vnd.openxmlformats-officedocument.drawing+xml"/>
  <Override PartName="/xl/slicers/slicer6.xml" ContentType="application/vnd.ms-excel.slicer+xml"/>
  <Override PartName="/xl/charts/chart54.xml" ContentType="application/vnd.openxmlformats-officedocument.drawingml.chart+xml"/>
  <Override PartName="/xl/charts/style9.xml" ContentType="application/vnd.ms-office.chartstyle+xml"/>
  <Override PartName="/xl/charts/colors9.xml" ContentType="application/vnd.ms-office.chartcolorstyle+xml"/>
  <Override PartName="/xl/charts/chart55.xml" ContentType="application/vnd.openxmlformats-officedocument.drawingml.chart+xml"/>
  <Override PartName="/xl/charts/chart56.xml" ContentType="application/vnd.openxmlformats-officedocument.drawingml.chart+xml"/>
  <Override PartName="/xl/charts/chart57.xml" ContentType="application/vnd.openxmlformats-officedocument.drawingml.chart+xml"/>
  <Override PartName="/xl/charts/chart58.xml" ContentType="application/vnd.openxmlformats-officedocument.drawingml.chart+xml"/>
  <Override PartName="/xl/charts/chart59.xml" ContentType="application/vnd.openxmlformats-officedocument.drawingml.chart+xml"/>
  <Override PartName="/xl/charts/chart60.xml" ContentType="application/vnd.openxmlformats-officedocument.drawingml.chart+xml"/>
  <Override PartName="/xl/charts/chart61.xml" ContentType="application/vnd.openxmlformats-officedocument.drawingml.chart+xml"/>
  <Override PartName="/xl/charts/chart62.xml" ContentType="application/vnd.openxmlformats-officedocument.drawingml.chart+xml"/>
  <Override PartName="/xl/charts/style10.xml" ContentType="application/vnd.ms-office.chartstyle+xml"/>
  <Override PartName="/xl/charts/colors10.xml" ContentType="application/vnd.ms-office.chartcolorstyle+xml"/>
  <Override PartName="/xl/charts/chart63.xml" ContentType="application/vnd.openxmlformats-officedocument.drawingml.chart+xml"/>
  <Override PartName="/xl/charts/chart64.xml" ContentType="application/vnd.openxmlformats-officedocument.drawingml.chart+xml"/>
  <Override PartName="/xl/drawings/drawing7.xml" ContentType="application/vnd.openxmlformats-officedocument.drawing+xml"/>
  <Override PartName="/xl/slicers/slicer7.xml" ContentType="application/vnd.ms-excel.slicer+xml"/>
  <Override PartName="/xl/charts/chart65.xml" ContentType="application/vnd.openxmlformats-officedocument.drawingml.chart+xml"/>
  <Override PartName="/xl/charts/chart66.xml" ContentType="application/vnd.openxmlformats-officedocument.drawingml.chart+xml"/>
  <Override PartName="/xl/charts/chart67.xml" ContentType="application/vnd.openxmlformats-officedocument.drawingml.chart+xml"/>
  <Override PartName="/xl/charts/style11.xml" ContentType="application/vnd.ms-office.chartstyle+xml"/>
  <Override PartName="/xl/charts/colors11.xml" ContentType="application/vnd.ms-office.chartcolorstyle+xml"/>
  <Override PartName="/xl/charts/chart68.xml" ContentType="application/vnd.openxmlformats-officedocument.drawingml.chart+xml"/>
  <Override PartName="/xl/charts/chart69.xml" ContentType="application/vnd.openxmlformats-officedocument.drawingml.chart+xml"/>
  <Override PartName="/xl/charts/chart70.xml" ContentType="application/vnd.openxmlformats-officedocument.drawingml.chart+xml"/>
  <Override PartName="/xl/charts/chart71.xml" ContentType="application/vnd.openxmlformats-officedocument.drawingml.chart+xml"/>
  <Override PartName="/xl/charts/chart72.xml" ContentType="application/vnd.openxmlformats-officedocument.drawingml.chart+xml"/>
  <Override PartName="/xl/charts/chart73.xml" ContentType="application/vnd.openxmlformats-officedocument.drawingml.chart+xml"/>
  <Override PartName="/xl/charts/chart74.xml" ContentType="application/vnd.openxmlformats-officedocument.drawingml.chart+xml"/>
  <Override PartName="/xl/drawings/drawing8.xml" ContentType="application/vnd.openxmlformats-officedocument.drawing+xml"/>
  <Override PartName="/xl/slicers/slicer8.xml" ContentType="application/vnd.ms-excel.slicer+xml"/>
  <Override PartName="/xl/charts/chart75.xml" ContentType="application/vnd.openxmlformats-officedocument.drawingml.chart+xml"/>
  <Override PartName="/xl/charts/chart76.xml" ContentType="application/vnd.openxmlformats-officedocument.drawingml.chart+xml"/>
  <Override PartName="/xl/charts/chart77.xml" ContentType="application/vnd.openxmlformats-officedocument.drawingml.chart+xml"/>
  <Override PartName="/xl/charts/style12.xml" ContentType="application/vnd.ms-office.chartstyle+xml"/>
  <Override PartName="/xl/charts/colors12.xml" ContentType="application/vnd.ms-office.chartcolorstyle+xml"/>
  <Override PartName="/xl/charts/chart78.xml" ContentType="application/vnd.openxmlformats-officedocument.drawingml.chart+xml"/>
  <Override PartName="/xl/charts/chart79.xml" ContentType="application/vnd.openxmlformats-officedocument.drawingml.chart+xml"/>
  <Override PartName="/xl/charts/chart80.xml" ContentType="application/vnd.openxmlformats-officedocument.drawingml.chart+xml"/>
  <Override PartName="/xl/charts/chart81.xml" ContentType="application/vnd.openxmlformats-officedocument.drawingml.chart+xml"/>
  <Override PartName="/xl/charts/chart82.xml" ContentType="application/vnd.openxmlformats-officedocument.drawingml.chart+xml"/>
  <Override PartName="/xl/charts/chart83.xml" ContentType="application/vnd.openxmlformats-officedocument.drawingml.chart+xml"/>
  <Override PartName="/xl/charts/chart84.xml" ContentType="application/vnd.openxmlformats-officedocument.drawingml.chart+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tables/table1.xml" ContentType="application/vnd.openxmlformats-officedocument.spreadsheetml.table+xml"/>
  <Override PartName="/xl/drawings/drawing9.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https://d.docs.live.net/c6e5fe5563ab6cfd/Desktop/Dashboard Projects/Dashboard/Chart106/"/>
    </mc:Choice>
  </mc:AlternateContent>
  <xr:revisionPtr revIDLastSave="1" documentId="13_ncr:1_{77F1D646-D7D7-4FDF-B3DE-DAF0EFC32FB5}" xr6:coauthVersionLast="47" xr6:coauthVersionMax="47" xr10:uidLastSave="{70FEC5CD-F745-42AF-B6DF-EC42794B742C}"/>
  <bookViews>
    <workbookView xWindow="-120" yWindow="-120" windowWidth="20730" windowHeight="11310" tabRatio="904" xr2:uid="{DECD55C9-3436-490A-9E52-8D13C61A75A8}"/>
  </bookViews>
  <sheets>
    <sheet name="DASHBOARD" sheetId="1" r:id="rId1"/>
    <sheet name="DASHBOARD Light" sheetId="11" r:id="rId2"/>
    <sheet name="Financial Goals" sheetId="7" r:id="rId3"/>
    <sheet name="Financial Goals Light" sheetId="12" r:id="rId4"/>
    <sheet name="Income Expenses" sheetId="8" r:id="rId5"/>
    <sheet name="Income Expenses Light" sheetId="13" r:id="rId6"/>
    <sheet name="Essential Costs" sheetId="9" r:id="rId7"/>
    <sheet name="Essential Costs Light" sheetId="14" r:id="rId8"/>
    <sheet name="Processing" sheetId="2" r:id="rId9"/>
    <sheet name="Control" sheetId="3" r:id="rId10"/>
    <sheet name="Data" sheetId="4" r:id="rId11"/>
    <sheet name="heatmap-DATA" sheetId="6" r:id="rId12"/>
    <sheet name="Resources" sheetId="5" r:id="rId13"/>
  </sheets>
  <definedNames>
    <definedName name="Slicer_Buttons">#N/A</definedName>
    <definedName name="Slicer_Buttons1">#N/A</definedName>
    <definedName name="Slicer_Month">#N/A</definedName>
    <definedName name="Slicer_Year">#N/A</definedName>
  </definedNames>
  <calcPr calcId="191029"/>
  <pivotCaches>
    <pivotCache cacheId="38" r:id="rId14"/>
    <pivotCache cacheId="39" r:id="rId15"/>
    <pivotCache cacheId="40" r:id="rId16"/>
  </pivotCaches>
  <extLst>
    <ext xmlns:x14="http://schemas.microsoft.com/office/spreadsheetml/2009/9/main" uri="{BBE1A952-AA13-448e-AADC-164F8A28A991}">
      <x14:slicerCaches>
        <x14:slicerCache r:id="rId17"/>
        <x14:slicerCache r:id="rId18"/>
        <x14:slicerCache r:id="rId19"/>
        <x14:slicerCache r:id="rId2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Q289" i="6" l="1"/>
  <c r="P289" i="6"/>
  <c r="O289" i="6"/>
  <c r="N289" i="6"/>
  <c r="M289" i="6"/>
  <c r="L289" i="6"/>
  <c r="K289" i="6"/>
  <c r="Q288" i="6"/>
  <c r="P288" i="6"/>
  <c r="O288" i="6"/>
  <c r="N288" i="6"/>
  <c r="Q283" i="6"/>
  <c r="P283" i="6"/>
  <c r="O283" i="6"/>
  <c r="N283" i="6"/>
  <c r="M283" i="6"/>
  <c r="L283" i="6"/>
  <c r="K283" i="6"/>
  <c r="O278" i="6"/>
  <c r="N278" i="6"/>
  <c r="M278" i="6"/>
  <c r="L278" i="6"/>
  <c r="K278" i="6"/>
  <c r="Q277" i="6"/>
  <c r="P277" i="6"/>
  <c r="O277" i="6"/>
  <c r="N277" i="6"/>
  <c r="M277" i="6"/>
  <c r="L277" i="6"/>
  <c r="K277" i="6"/>
  <c r="Q276" i="6"/>
  <c r="P276" i="6"/>
  <c r="L272" i="6"/>
  <c r="K272" i="6"/>
  <c r="Q271" i="6"/>
  <c r="P271" i="6"/>
  <c r="O271" i="6"/>
  <c r="N271" i="6"/>
  <c r="M271" i="6"/>
  <c r="L271" i="6"/>
  <c r="K271" i="6"/>
  <c r="Q270" i="6"/>
  <c r="P270" i="6"/>
  <c r="O270" i="6"/>
  <c r="N270" i="6"/>
  <c r="M270" i="6"/>
  <c r="Q265" i="6"/>
  <c r="P265" i="6"/>
  <c r="O265" i="6"/>
  <c r="N265" i="6"/>
  <c r="M265" i="6"/>
  <c r="L265" i="6"/>
  <c r="K265" i="6"/>
  <c r="N260" i="6"/>
  <c r="M260" i="6"/>
  <c r="L260" i="6"/>
  <c r="K260" i="6"/>
  <c r="Q259" i="6"/>
  <c r="P259" i="6"/>
  <c r="O259" i="6"/>
  <c r="N259" i="6"/>
  <c r="M259" i="6"/>
  <c r="L259" i="6"/>
  <c r="K259" i="6"/>
  <c r="Q258" i="6"/>
  <c r="P258" i="6"/>
  <c r="O258" i="6"/>
  <c r="K254" i="6"/>
  <c r="Q253" i="6"/>
  <c r="P253" i="6"/>
  <c r="O253" i="6"/>
  <c r="N253" i="6"/>
  <c r="M253" i="6"/>
  <c r="L253" i="6"/>
  <c r="P248" i="6"/>
  <c r="O248" i="6"/>
  <c r="N248" i="6"/>
  <c r="M248" i="6"/>
  <c r="L248" i="6"/>
  <c r="K248" i="6"/>
  <c r="Q247" i="6"/>
  <c r="P247" i="6"/>
  <c r="O247" i="6"/>
  <c r="N247" i="6"/>
  <c r="M247" i="6"/>
  <c r="L247" i="6"/>
  <c r="K247" i="6"/>
  <c r="Q246" i="6"/>
  <c r="M242" i="6"/>
  <c r="L242" i="6"/>
  <c r="K242" i="6"/>
  <c r="Q241" i="6"/>
  <c r="P241" i="6"/>
  <c r="O241" i="6"/>
  <c r="N241" i="6"/>
  <c r="M241" i="6"/>
  <c r="L241" i="6"/>
  <c r="K241" i="6"/>
  <c r="Q240" i="6"/>
  <c r="P240" i="6"/>
  <c r="O240" i="6"/>
  <c r="N240" i="6"/>
  <c r="K236" i="6"/>
  <c r="Q235" i="6"/>
  <c r="P235" i="6"/>
  <c r="O235" i="6"/>
  <c r="N235" i="6"/>
  <c r="M235" i="6"/>
  <c r="L235" i="6"/>
  <c r="O230" i="6"/>
  <c r="N230" i="6"/>
  <c r="M230" i="6"/>
  <c r="L230" i="6"/>
  <c r="K230" i="6"/>
  <c r="Q229" i="6"/>
  <c r="P229" i="6"/>
  <c r="O229" i="6"/>
  <c r="N229" i="6"/>
  <c r="M229" i="6"/>
  <c r="L229" i="6"/>
  <c r="K229" i="6"/>
  <c r="Q228" i="6"/>
  <c r="P228" i="6"/>
  <c r="O224" i="6"/>
  <c r="N224" i="6"/>
  <c r="M224" i="6"/>
  <c r="L224" i="6"/>
  <c r="K224" i="6"/>
  <c r="Q223" i="6"/>
  <c r="P223" i="6"/>
  <c r="O223" i="6"/>
  <c r="N223" i="6"/>
  <c r="M223" i="6"/>
  <c r="L223" i="6"/>
  <c r="K223" i="6"/>
  <c r="Q222" i="6"/>
  <c r="P222" i="6"/>
  <c r="L218" i="6"/>
  <c r="K218" i="6"/>
  <c r="Q217" i="6"/>
  <c r="P217" i="6"/>
  <c r="O217" i="6"/>
  <c r="N217" i="6"/>
  <c r="M217" i="6"/>
  <c r="P212" i="6"/>
  <c r="O212" i="6"/>
  <c r="N212" i="6"/>
  <c r="M212" i="6"/>
  <c r="L212" i="6"/>
  <c r="K212" i="6"/>
  <c r="Q211" i="6"/>
  <c r="P211" i="6"/>
  <c r="O211" i="6"/>
  <c r="N211" i="6"/>
  <c r="M211" i="6"/>
  <c r="L211" i="6"/>
  <c r="K211" i="6"/>
  <c r="Q210" i="6"/>
  <c r="N206" i="6"/>
  <c r="M206" i="6"/>
  <c r="L206" i="6"/>
  <c r="K206" i="6"/>
  <c r="Q205" i="6"/>
  <c r="P205" i="6"/>
  <c r="O205" i="6"/>
  <c r="N205" i="6"/>
  <c r="M205" i="6"/>
  <c r="L205" i="6"/>
  <c r="K205" i="6"/>
  <c r="Q204" i="6"/>
  <c r="P204" i="6"/>
  <c r="O204" i="6"/>
  <c r="K200" i="6"/>
  <c r="Q199" i="6"/>
  <c r="P199" i="6"/>
  <c r="O199" i="6"/>
  <c r="N199" i="6"/>
  <c r="M199" i="6"/>
  <c r="L199" i="6"/>
  <c r="P194" i="6"/>
  <c r="O194" i="6"/>
  <c r="N194" i="6"/>
  <c r="M194" i="6"/>
  <c r="L194" i="6"/>
  <c r="K194" i="6"/>
  <c r="Q193" i="6"/>
  <c r="P193" i="6"/>
  <c r="O193" i="6"/>
  <c r="N193" i="6"/>
  <c r="M193" i="6"/>
  <c r="L193" i="6"/>
  <c r="K193" i="6"/>
  <c r="Q192" i="6"/>
  <c r="M188" i="6"/>
  <c r="L188" i="6"/>
  <c r="K188" i="6"/>
  <c r="Q187" i="6"/>
  <c r="P187" i="6"/>
  <c r="O187" i="6"/>
  <c r="N187" i="6"/>
  <c r="M187" i="6"/>
  <c r="L187" i="6"/>
  <c r="K187" i="6"/>
  <c r="Q186" i="6"/>
  <c r="P186" i="6"/>
  <c r="O186" i="6"/>
  <c r="N186" i="6"/>
  <c r="Q181" i="6"/>
  <c r="P181" i="6"/>
  <c r="O181" i="6"/>
  <c r="N181" i="6"/>
  <c r="M181" i="6"/>
  <c r="L181" i="6"/>
  <c r="K181" i="6"/>
  <c r="O176" i="6"/>
  <c r="N176" i="6"/>
  <c r="M176" i="6"/>
  <c r="L176" i="6"/>
  <c r="K176" i="6"/>
  <c r="Q175" i="6"/>
  <c r="P175" i="6"/>
  <c r="O175" i="6"/>
  <c r="N175" i="6"/>
  <c r="M175" i="6"/>
  <c r="L175" i="6"/>
  <c r="K175" i="6"/>
  <c r="Q174" i="6"/>
  <c r="P174" i="6"/>
  <c r="L170" i="6"/>
  <c r="K170" i="6"/>
  <c r="Q169" i="6"/>
  <c r="P169" i="6"/>
  <c r="O169" i="6"/>
  <c r="N169" i="6"/>
  <c r="M169" i="6"/>
  <c r="L169" i="6"/>
  <c r="K169" i="6"/>
  <c r="Q168" i="6"/>
  <c r="P168" i="6"/>
  <c r="O168" i="6"/>
  <c r="N168" i="6"/>
  <c r="M168" i="6"/>
  <c r="Q163" i="6"/>
  <c r="P163" i="6"/>
  <c r="O163" i="6"/>
  <c r="N163" i="6"/>
  <c r="M163" i="6"/>
  <c r="L163" i="6"/>
  <c r="K163" i="6"/>
  <c r="N158" i="6"/>
  <c r="M158" i="6"/>
  <c r="L158" i="6"/>
  <c r="K158" i="6"/>
  <c r="Q157" i="6"/>
  <c r="P157" i="6"/>
  <c r="O157" i="6"/>
  <c r="N157" i="6"/>
  <c r="M157" i="6"/>
  <c r="L157" i="6"/>
  <c r="K157" i="6"/>
  <c r="Q156" i="6"/>
  <c r="P156" i="6"/>
  <c r="O156" i="6"/>
  <c r="N152" i="6"/>
  <c r="M152" i="6"/>
  <c r="L152" i="6"/>
  <c r="K152" i="6"/>
  <c r="Q151" i="6"/>
  <c r="P151" i="6"/>
  <c r="O151" i="6"/>
  <c r="N151" i="6"/>
  <c r="M151" i="6"/>
  <c r="L151" i="6"/>
  <c r="K151" i="6"/>
  <c r="Q150" i="6"/>
  <c r="P150" i="6"/>
  <c r="O150" i="6"/>
  <c r="K146" i="6"/>
  <c r="Q145" i="6"/>
  <c r="P145" i="6"/>
  <c r="O145" i="6"/>
  <c r="N145" i="6"/>
  <c r="M145" i="6"/>
  <c r="L145" i="6"/>
  <c r="O140" i="6"/>
  <c r="N140" i="6"/>
  <c r="M140" i="6"/>
  <c r="L140" i="6"/>
  <c r="K140" i="6"/>
  <c r="Q139" i="6"/>
  <c r="P139" i="6"/>
  <c r="O139" i="6"/>
  <c r="N139" i="6"/>
  <c r="M139" i="6"/>
  <c r="L139" i="6"/>
  <c r="K139" i="6"/>
  <c r="Q138" i="6"/>
  <c r="P138" i="6"/>
  <c r="M134" i="6"/>
  <c r="L134" i="6"/>
  <c r="K134" i="6"/>
  <c r="Q133" i="6"/>
  <c r="P133" i="6"/>
  <c r="O133" i="6"/>
  <c r="N133" i="6"/>
  <c r="M133" i="6"/>
  <c r="L133" i="6"/>
  <c r="K133" i="6"/>
  <c r="Q132" i="6"/>
  <c r="P132" i="6"/>
  <c r="O132" i="6"/>
  <c r="N132" i="6"/>
  <c r="Q127" i="6"/>
  <c r="P127" i="6"/>
  <c r="O127" i="6"/>
  <c r="N127" i="6"/>
  <c r="M127" i="6"/>
  <c r="L127" i="6"/>
  <c r="K127" i="6"/>
  <c r="O122" i="6"/>
  <c r="N122" i="6"/>
  <c r="M122" i="6"/>
  <c r="L122" i="6"/>
  <c r="K122" i="6"/>
  <c r="Q121" i="6"/>
  <c r="P121" i="6"/>
  <c r="O121" i="6"/>
  <c r="N121" i="6"/>
  <c r="M121" i="6"/>
  <c r="L121" i="6"/>
  <c r="K121" i="6"/>
  <c r="Q120" i="6"/>
  <c r="P120" i="6"/>
  <c r="L116" i="6"/>
  <c r="K116" i="6"/>
  <c r="Q115" i="6"/>
  <c r="P115" i="6"/>
  <c r="O115" i="6"/>
  <c r="N115" i="6"/>
  <c r="M115" i="6"/>
  <c r="P110" i="6"/>
  <c r="O110" i="6"/>
  <c r="N110" i="6"/>
  <c r="M110" i="6"/>
  <c r="L110" i="6"/>
  <c r="K110" i="6"/>
  <c r="Q109" i="6"/>
  <c r="P109" i="6"/>
  <c r="O109" i="6"/>
  <c r="N109" i="6"/>
  <c r="M109" i="6"/>
  <c r="L109" i="6"/>
  <c r="K109" i="6"/>
  <c r="Q108" i="6"/>
  <c r="N104" i="6"/>
  <c r="M104" i="6"/>
  <c r="L104" i="6"/>
  <c r="K104" i="6"/>
  <c r="Q103" i="6"/>
  <c r="P103" i="6"/>
  <c r="O103" i="6"/>
  <c r="N103" i="6"/>
  <c r="M103" i="6"/>
  <c r="L103" i="6"/>
  <c r="K103" i="6"/>
  <c r="Q102" i="6"/>
  <c r="P102" i="6"/>
  <c r="O102" i="6"/>
  <c r="K98" i="6"/>
  <c r="Q97" i="6"/>
  <c r="P97" i="6"/>
  <c r="O97" i="6"/>
  <c r="N97" i="6"/>
  <c r="M97" i="6"/>
  <c r="L97" i="6"/>
  <c r="P92" i="6"/>
  <c r="O92" i="6"/>
  <c r="N92" i="6"/>
  <c r="M92" i="6"/>
  <c r="L92" i="6"/>
  <c r="K92" i="6"/>
  <c r="Q91" i="6"/>
  <c r="P91" i="6"/>
  <c r="O91" i="6"/>
  <c r="N91" i="6"/>
  <c r="M91" i="6"/>
  <c r="L91" i="6"/>
  <c r="K91" i="6"/>
  <c r="Q90" i="6"/>
  <c r="M86" i="6"/>
  <c r="L86" i="6"/>
  <c r="K86" i="6"/>
  <c r="Q85" i="6"/>
  <c r="P85" i="6"/>
  <c r="O85" i="6"/>
  <c r="N85" i="6"/>
  <c r="M85" i="6"/>
  <c r="L85" i="6"/>
  <c r="K85" i="6"/>
  <c r="Q84" i="6"/>
  <c r="P84" i="6"/>
  <c r="O84" i="6"/>
  <c r="N84" i="6"/>
  <c r="L80" i="6"/>
  <c r="K80" i="6"/>
  <c r="Q79" i="6"/>
  <c r="P79" i="6"/>
  <c r="O79" i="6"/>
  <c r="N79" i="6"/>
  <c r="M79" i="6"/>
  <c r="P74" i="6"/>
  <c r="O74" i="6"/>
  <c r="N74" i="6"/>
  <c r="M74" i="6"/>
  <c r="L74" i="6"/>
  <c r="K74" i="6"/>
  <c r="Q73" i="6"/>
  <c r="P73" i="6"/>
  <c r="O73" i="6"/>
  <c r="N73" i="6"/>
  <c r="M73" i="6"/>
  <c r="L73" i="6"/>
  <c r="K73" i="6"/>
  <c r="Q72" i="6"/>
  <c r="M68" i="6"/>
  <c r="L68" i="6"/>
  <c r="K68" i="6"/>
  <c r="Q67" i="6"/>
  <c r="P67" i="6"/>
  <c r="O67" i="6"/>
  <c r="N67" i="6"/>
  <c r="M67" i="6"/>
  <c r="L67" i="6"/>
  <c r="K67" i="6"/>
  <c r="Q66" i="6"/>
  <c r="P66" i="6"/>
  <c r="O66" i="6"/>
  <c r="N66" i="6"/>
  <c r="K62" i="6"/>
  <c r="Q61" i="6"/>
  <c r="P61" i="6"/>
  <c r="O61" i="6"/>
  <c r="N61" i="6"/>
  <c r="M61" i="6"/>
  <c r="L61" i="6"/>
  <c r="O56" i="6"/>
  <c r="N56" i="6"/>
  <c r="M56" i="6"/>
  <c r="L56" i="6"/>
  <c r="K56" i="6"/>
  <c r="Q55" i="6"/>
  <c r="P55" i="6"/>
  <c r="O55" i="6"/>
  <c r="N55" i="6"/>
  <c r="M55" i="6"/>
  <c r="L55" i="6"/>
  <c r="K55" i="6"/>
  <c r="Q54" i="6"/>
  <c r="P54" i="6"/>
  <c r="M50" i="6"/>
  <c r="L50" i="6"/>
  <c r="K50" i="6"/>
  <c r="Q49" i="6"/>
  <c r="P49" i="6"/>
  <c r="O49" i="6"/>
  <c r="N49" i="6"/>
  <c r="M49" i="6"/>
  <c r="L49" i="6"/>
  <c r="K49" i="6"/>
  <c r="Q48" i="6"/>
  <c r="P48" i="6"/>
  <c r="O48" i="6"/>
  <c r="N48" i="6"/>
  <c r="Q43" i="6"/>
  <c r="P43" i="6"/>
  <c r="O43" i="6"/>
  <c r="N43" i="6"/>
  <c r="M43" i="6"/>
  <c r="L43" i="6"/>
  <c r="K43" i="6"/>
  <c r="N38" i="6"/>
  <c r="M38" i="6"/>
  <c r="L38" i="6"/>
  <c r="K38" i="6"/>
  <c r="Q37" i="6"/>
  <c r="P37" i="6"/>
  <c r="O37" i="6"/>
  <c r="N37" i="6"/>
  <c r="M37" i="6"/>
  <c r="L37" i="6"/>
  <c r="K37" i="6"/>
  <c r="Q36" i="6"/>
  <c r="P36" i="6"/>
  <c r="O36" i="6"/>
  <c r="L32" i="6"/>
  <c r="K32" i="6"/>
  <c r="Q31" i="6"/>
  <c r="P31" i="6"/>
  <c r="O31" i="6"/>
  <c r="N31" i="6"/>
  <c r="M31" i="6"/>
  <c r="P26" i="6"/>
  <c r="O26" i="6"/>
  <c r="N26" i="6"/>
  <c r="M26" i="6"/>
  <c r="L26" i="6"/>
  <c r="K26" i="6"/>
  <c r="Q25" i="6"/>
  <c r="P25" i="6"/>
  <c r="O25" i="6"/>
  <c r="N25" i="6"/>
  <c r="M25" i="6"/>
  <c r="L25" i="6"/>
  <c r="K25" i="6"/>
  <c r="Q24" i="6"/>
  <c r="N20" i="6"/>
  <c r="M20" i="6"/>
  <c r="L20" i="6"/>
  <c r="K20" i="6"/>
  <c r="Q19" i="6"/>
  <c r="P19" i="6"/>
  <c r="O19" i="6"/>
  <c r="N19" i="6"/>
  <c r="M19" i="6"/>
  <c r="L19" i="6"/>
  <c r="K19" i="6"/>
  <c r="Q18" i="6"/>
  <c r="P18" i="6"/>
  <c r="O18" i="6"/>
  <c r="K14" i="6"/>
  <c r="Q13" i="6"/>
  <c r="P13" i="6"/>
  <c r="O13" i="6"/>
  <c r="N13" i="6"/>
  <c r="M13" i="6"/>
  <c r="L13" i="6"/>
  <c r="K13" i="6"/>
  <c r="M12" i="6"/>
  <c r="N12" i="6"/>
  <c r="O12" i="6"/>
  <c r="P12" i="6"/>
  <c r="Q12" i="6"/>
  <c r="L12" i="6"/>
  <c r="Q7" i="6"/>
  <c r="P7" i="6"/>
  <c r="O7" i="6"/>
  <c r="N7" i="6"/>
  <c r="M7" i="6"/>
  <c r="L7" i="6"/>
  <c r="L2" i="6"/>
  <c r="M2" i="6"/>
  <c r="N2" i="6"/>
  <c r="O2" i="6"/>
  <c r="K2" i="6"/>
  <c r="A53" i="2" l="1"/>
  <c r="A54" i="2"/>
  <c r="A55" i="2"/>
  <c r="A56" i="2"/>
  <c r="A52" i="2"/>
  <c r="M53" i="2"/>
  <c r="N53" i="2" s="1"/>
  <c r="M54" i="2"/>
  <c r="M55" i="2"/>
  <c r="N55" i="2" s="1"/>
  <c r="M56" i="2"/>
  <c r="N56" i="2" s="1"/>
  <c r="M52" i="2"/>
  <c r="N52" i="2" s="1"/>
  <c r="S26" i="2"/>
  <c r="S27" i="2"/>
  <c r="S28" i="2"/>
  <c r="S29" i="2"/>
  <c r="S30" i="2"/>
  <c r="S31" i="2"/>
  <c r="S32" i="2"/>
  <c r="S33" i="2"/>
  <c r="S34" i="2"/>
  <c r="S35" i="2"/>
  <c r="S36" i="2"/>
  <c r="S37" i="2"/>
  <c r="S38" i="2"/>
  <c r="S39" i="2"/>
  <c r="S40" i="2"/>
  <c r="S41" i="2"/>
  <c r="S42" i="2"/>
  <c r="S43" i="2"/>
  <c r="S44" i="2"/>
  <c r="S45" i="2"/>
  <c r="S46" i="2"/>
  <c r="S47" i="2"/>
  <c r="S48" i="2"/>
  <c r="S25" i="2"/>
  <c r="I7" i="2"/>
  <c r="L54" i="2"/>
  <c r="H15" i="2"/>
  <c r="N54" i="2" l="1"/>
  <c r="M288" i="6"/>
  <c r="L288" i="6"/>
  <c r="K288" i="6"/>
  <c r="Q287" i="6"/>
  <c r="P287" i="6"/>
  <c r="O287" i="6"/>
  <c r="N287" i="6"/>
  <c r="M287" i="6"/>
  <c r="L287" i="6"/>
  <c r="K287" i="6"/>
  <c r="Q286" i="6"/>
  <c r="P286" i="6"/>
  <c r="O286" i="6"/>
  <c r="N286" i="6"/>
  <c r="M286" i="6"/>
  <c r="L286" i="6"/>
  <c r="K286" i="6"/>
  <c r="Q285" i="6"/>
  <c r="P285" i="6"/>
  <c r="O285" i="6"/>
  <c r="N285" i="6"/>
  <c r="M285" i="6"/>
  <c r="L285" i="6"/>
  <c r="K285" i="6"/>
  <c r="Q284" i="6"/>
  <c r="P284" i="6"/>
  <c r="O284" i="6"/>
  <c r="N284" i="6"/>
  <c r="M284" i="6"/>
  <c r="L284" i="6"/>
  <c r="K284" i="6"/>
  <c r="Q282" i="6"/>
  <c r="P282" i="6"/>
  <c r="O282" i="6"/>
  <c r="N282" i="6"/>
  <c r="M282" i="6"/>
  <c r="L282" i="6"/>
  <c r="K282" i="6"/>
  <c r="Q281" i="6"/>
  <c r="P281" i="6"/>
  <c r="O281" i="6"/>
  <c r="N281" i="6"/>
  <c r="M281" i="6"/>
  <c r="L281" i="6"/>
  <c r="K281" i="6"/>
  <c r="Q280" i="6"/>
  <c r="P280" i="6"/>
  <c r="O280" i="6"/>
  <c r="N280" i="6"/>
  <c r="M280" i="6"/>
  <c r="L280" i="6"/>
  <c r="K280" i="6"/>
  <c r="Q279" i="6"/>
  <c r="P279" i="6"/>
  <c r="O279" i="6"/>
  <c r="N279" i="6"/>
  <c r="M279" i="6"/>
  <c r="L279" i="6"/>
  <c r="K279" i="6"/>
  <c r="Q278" i="6"/>
  <c r="P278" i="6"/>
  <c r="O276" i="6"/>
  <c r="N276" i="6"/>
  <c r="M276" i="6"/>
  <c r="L276" i="6"/>
  <c r="K276" i="6"/>
  <c r="Q275" i="6"/>
  <c r="P275" i="6"/>
  <c r="O275" i="6"/>
  <c r="N275" i="6"/>
  <c r="M275" i="6"/>
  <c r="L275" i="6"/>
  <c r="K275" i="6"/>
  <c r="Q274" i="6"/>
  <c r="P274" i="6"/>
  <c r="O274" i="6"/>
  <c r="N274" i="6"/>
  <c r="M274" i="6"/>
  <c r="L274" i="6"/>
  <c r="K274" i="6"/>
  <c r="Q273" i="6"/>
  <c r="P273" i="6"/>
  <c r="O273" i="6"/>
  <c r="N273" i="6"/>
  <c r="M273" i="6"/>
  <c r="L273" i="6"/>
  <c r="K273" i="6"/>
  <c r="Q272" i="6"/>
  <c r="P272" i="6"/>
  <c r="O272" i="6"/>
  <c r="N272" i="6"/>
  <c r="M272" i="6"/>
  <c r="L270" i="6"/>
  <c r="K270" i="6"/>
  <c r="Q269" i="6"/>
  <c r="P269" i="6"/>
  <c r="O269" i="6"/>
  <c r="N269" i="6"/>
  <c r="M269" i="6"/>
  <c r="L269" i="6"/>
  <c r="K269" i="6"/>
  <c r="Q268" i="6"/>
  <c r="P268" i="6"/>
  <c r="O268" i="6"/>
  <c r="N268" i="6"/>
  <c r="M268" i="6"/>
  <c r="L268" i="6"/>
  <c r="K268" i="6"/>
  <c r="Q267" i="6"/>
  <c r="P267" i="6"/>
  <c r="O267" i="6"/>
  <c r="N267" i="6"/>
  <c r="M267" i="6"/>
  <c r="L267" i="6"/>
  <c r="K267" i="6"/>
  <c r="Q266" i="6"/>
  <c r="P266" i="6"/>
  <c r="O266" i="6"/>
  <c r="N266" i="6"/>
  <c r="M266" i="6"/>
  <c r="L266" i="6"/>
  <c r="K266" i="6"/>
  <c r="Q264" i="6"/>
  <c r="P264" i="6"/>
  <c r="O264" i="6"/>
  <c r="N264" i="6"/>
  <c r="M264" i="6"/>
  <c r="L264" i="6"/>
  <c r="K264" i="6"/>
  <c r="Q263" i="6"/>
  <c r="P263" i="6"/>
  <c r="O263" i="6"/>
  <c r="N263" i="6"/>
  <c r="M263" i="6"/>
  <c r="L263" i="6"/>
  <c r="K263" i="6"/>
  <c r="Q262" i="6"/>
  <c r="P262" i="6"/>
  <c r="O262" i="6"/>
  <c r="N262" i="6"/>
  <c r="M262" i="6"/>
  <c r="L262" i="6"/>
  <c r="K262" i="6"/>
  <c r="Q261" i="6"/>
  <c r="P261" i="6"/>
  <c r="O261" i="6"/>
  <c r="N261" i="6"/>
  <c r="M261" i="6"/>
  <c r="L261" i="6"/>
  <c r="K261" i="6"/>
  <c r="Q260" i="6"/>
  <c r="P260" i="6"/>
  <c r="O260" i="6"/>
  <c r="N258" i="6"/>
  <c r="M258" i="6"/>
  <c r="L258" i="6"/>
  <c r="K258" i="6"/>
  <c r="Q257" i="6"/>
  <c r="P257" i="6"/>
  <c r="O257" i="6"/>
  <c r="N257" i="6"/>
  <c r="M257" i="6"/>
  <c r="L257" i="6"/>
  <c r="K257" i="6"/>
  <c r="Q256" i="6"/>
  <c r="P256" i="6"/>
  <c r="O256" i="6"/>
  <c r="N256" i="6"/>
  <c r="M256" i="6"/>
  <c r="L256" i="6"/>
  <c r="K256" i="6"/>
  <c r="Q255" i="6"/>
  <c r="P255" i="6"/>
  <c r="O255" i="6"/>
  <c r="N255" i="6"/>
  <c r="M255" i="6"/>
  <c r="L255" i="6"/>
  <c r="K255" i="6"/>
  <c r="Q254" i="6"/>
  <c r="P254" i="6"/>
  <c r="O254" i="6"/>
  <c r="N254" i="6"/>
  <c r="M254" i="6"/>
  <c r="L254" i="6"/>
  <c r="K253" i="6"/>
  <c r="Q252" i="6"/>
  <c r="P252" i="6"/>
  <c r="O252" i="6"/>
  <c r="N252" i="6"/>
  <c r="M252" i="6"/>
  <c r="L252" i="6"/>
  <c r="K252" i="6"/>
  <c r="Q251" i="6"/>
  <c r="P251" i="6"/>
  <c r="O251" i="6"/>
  <c r="N251" i="6"/>
  <c r="M251" i="6"/>
  <c r="L251" i="6"/>
  <c r="K251" i="6"/>
  <c r="Q250" i="6"/>
  <c r="P250" i="6"/>
  <c r="O250" i="6"/>
  <c r="N250" i="6"/>
  <c r="M250" i="6"/>
  <c r="L250" i="6"/>
  <c r="K250" i="6"/>
  <c r="Q249" i="6"/>
  <c r="P249" i="6"/>
  <c r="O249" i="6"/>
  <c r="N249" i="6"/>
  <c r="M249" i="6"/>
  <c r="L249" i="6"/>
  <c r="K249" i="6"/>
  <c r="Q248" i="6"/>
  <c r="P246" i="6"/>
  <c r="O246" i="6"/>
  <c r="N246" i="6"/>
  <c r="M246" i="6"/>
  <c r="L246" i="6"/>
  <c r="K246" i="6"/>
  <c r="Q245" i="6"/>
  <c r="P245" i="6"/>
  <c r="O245" i="6"/>
  <c r="N245" i="6"/>
  <c r="M245" i="6"/>
  <c r="L245" i="6"/>
  <c r="K245" i="6"/>
  <c r="Q244" i="6"/>
  <c r="P244" i="6"/>
  <c r="O244" i="6"/>
  <c r="N244" i="6"/>
  <c r="M244" i="6"/>
  <c r="L244" i="6"/>
  <c r="K244" i="6"/>
  <c r="Q243" i="6"/>
  <c r="P243" i="6"/>
  <c r="O243" i="6"/>
  <c r="N243" i="6"/>
  <c r="M243" i="6"/>
  <c r="L243" i="6"/>
  <c r="K243" i="6"/>
  <c r="Q242" i="6"/>
  <c r="P242" i="6"/>
  <c r="O242" i="6"/>
  <c r="N242" i="6"/>
  <c r="M240" i="6"/>
  <c r="L240" i="6"/>
  <c r="K240" i="6"/>
  <c r="Q239" i="6"/>
  <c r="P239" i="6"/>
  <c r="O239" i="6"/>
  <c r="N239" i="6"/>
  <c r="M239" i="6"/>
  <c r="L239" i="6"/>
  <c r="K239" i="6"/>
  <c r="Q238" i="6"/>
  <c r="P238" i="6"/>
  <c r="O238" i="6"/>
  <c r="N238" i="6"/>
  <c r="M238" i="6"/>
  <c r="L238" i="6"/>
  <c r="K238" i="6"/>
  <c r="Q237" i="6"/>
  <c r="P237" i="6"/>
  <c r="O237" i="6"/>
  <c r="N237" i="6"/>
  <c r="M237" i="6"/>
  <c r="L237" i="6"/>
  <c r="K237" i="6"/>
  <c r="Q236" i="6"/>
  <c r="P236" i="6"/>
  <c r="O236" i="6"/>
  <c r="N236" i="6"/>
  <c r="M236" i="6"/>
  <c r="L236" i="6"/>
  <c r="K235" i="6"/>
  <c r="Q234" i="6"/>
  <c r="P234" i="6"/>
  <c r="O234" i="6"/>
  <c r="N234" i="6"/>
  <c r="M234" i="6"/>
  <c r="L234" i="6"/>
  <c r="K234" i="6"/>
  <c r="Q233" i="6"/>
  <c r="P233" i="6"/>
  <c r="O233" i="6"/>
  <c r="N233" i="6"/>
  <c r="M233" i="6"/>
  <c r="L233" i="6"/>
  <c r="K233" i="6"/>
  <c r="Q232" i="6"/>
  <c r="P232" i="6"/>
  <c r="O232" i="6"/>
  <c r="N232" i="6"/>
  <c r="M232" i="6"/>
  <c r="L232" i="6"/>
  <c r="K232" i="6"/>
  <c r="Q231" i="6"/>
  <c r="P231" i="6"/>
  <c r="O231" i="6"/>
  <c r="N231" i="6"/>
  <c r="M231" i="6"/>
  <c r="L231" i="6"/>
  <c r="K231" i="6"/>
  <c r="Q230" i="6"/>
  <c r="P230" i="6"/>
  <c r="O228" i="6"/>
  <c r="N228" i="6"/>
  <c r="M228" i="6"/>
  <c r="L228" i="6"/>
  <c r="K228" i="6"/>
  <c r="Q227" i="6"/>
  <c r="P227" i="6"/>
  <c r="O227" i="6"/>
  <c r="N227" i="6"/>
  <c r="M227" i="6"/>
  <c r="L227" i="6"/>
  <c r="K227" i="6"/>
  <c r="Q226" i="6"/>
  <c r="P226" i="6"/>
  <c r="O226" i="6"/>
  <c r="N226" i="6"/>
  <c r="M226" i="6"/>
  <c r="L226" i="6"/>
  <c r="K226" i="6"/>
  <c r="Q225" i="6"/>
  <c r="P225" i="6"/>
  <c r="O225" i="6"/>
  <c r="N225" i="6"/>
  <c r="M225" i="6"/>
  <c r="L225" i="6"/>
  <c r="K225" i="6"/>
  <c r="Q224" i="6"/>
  <c r="P224" i="6"/>
  <c r="O222" i="6"/>
  <c r="N222" i="6"/>
  <c r="M222" i="6"/>
  <c r="L222" i="6"/>
  <c r="K222" i="6"/>
  <c r="Q221" i="6"/>
  <c r="P221" i="6"/>
  <c r="O221" i="6"/>
  <c r="N221" i="6"/>
  <c r="M221" i="6"/>
  <c r="L221" i="6"/>
  <c r="K221" i="6"/>
  <c r="Q220" i="6"/>
  <c r="P220" i="6"/>
  <c r="O220" i="6"/>
  <c r="N220" i="6"/>
  <c r="M220" i="6"/>
  <c r="L220" i="6"/>
  <c r="K220" i="6"/>
  <c r="Q219" i="6"/>
  <c r="P219" i="6"/>
  <c r="O219" i="6"/>
  <c r="N219" i="6"/>
  <c r="M219" i="6"/>
  <c r="L219" i="6"/>
  <c r="K219" i="6"/>
  <c r="Q218" i="6"/>
  <c r="P218" i="6"/>
  <c r="O218" i="6"/>
  <c r="N218" i="6"/>
  <c r="M218" i="6"/>
  <c r="L217" i="6"/>
  <c r="K217" i="6"/>
  <c r="Q216" i="6"/>
  <c r="P216" i="6"/>
  <c r="O216" i="6"/>
  <c r="N216" i="6"/>
  <c r="M216" i="6"/>
  <c r="L216" i="6"/>
  <c r="K216" i="6"/>
  <c r="Q215" i="6"/>
  <c r="P215" i="6"/>
  <c r="O215" i="6"/>
  <c r="N215" i="6"/>
  <c r="M215" i="6"/>
  <c r="L215" i="6"/>
  <c r="K215" i="6"/>
  <c r="Q214" i="6"/>
  <c r="P214" i="6"/>
  <c r="O214" i="6"/>
  <c r="N214" i="6"/>
  <c r="M214" i="6"/>
  <c r="L214" i="6"/>
  <c r="K214" i="6"/>
  <c r="Q213" i="6"/>
  <c r="P213" i="6"/>
  <c r="O213" i="6"/>
  <c r="N213" i="6"/>
  <c r="M213" i="6"/>
  <c r="L213" i="6"/>
  <c r="K213" i="6"/>
  <c r="Q212" i="6"/>
  <c r="P210" i="6"/>
  <c r="O210" i="6"/>
  <c r="N210" i="6"/>
  <c r="M210" i="6"/>
  <c r="L210" i="6"/>
  <c r="K210" i="6"/>
  <c r="Q209" i="6"/>
  <c r="P209" i="6"/>
  <c r="O209" i="6"/>
  <c r="N209" i="6"/>
  <c r="M209" i="6"/>
  <c r="L209" i="6"/>
  <c r="K209" i="6"/>
  <c r="Q208" i="6"/>
  <c r="P208" i="6"/>
  <c r="O208" i="6"/>
  <c r="N208" i="6"/>
  <c r="M208" i="6"/>
  <c r="L208" i="6"/>
  <c r="K208" i="6"/>
  <c r="Q207" i="6"/>
  <c r="P207" i="6"/>
  <c r="O207" i="6"/>
  <c r="N207" i="6"/>
  <c r="M207" i="6"/>
  <c r="L207" i="6"/>
  <c r="K207" i="6"/>
  <c r="Q206" i="6"/>
  <c r="P206" i="6"/>
  <c r="O206" i="6"/>
  <c r="N204" i="6"/>
  <c r="M204" i="6"/>
  <c r="L204" i="6"/>
  <c r="K204" i="6"/>
  <c r="Q203" i="6"/>
  <c r="P203" i="6"/>
  <c r="O203" i="6"/>
  <c r="N203" i="6"/>
  <c r="M203" i="6"/>
  <c r="L203" i="6"/>
  <c r="K203" i="6"/>
  <c r="Q202" i="6"/>
  <c r="P202" i="6"/>
  <c r="O202" i="6"/>
  <c r="N202" i="6"/>
  <c r="M202" i="6"/>
  <c r="L202" i="6"/>
  <c r="K202" i="6"/>
  <c r="Q201" i="6"/>
  <c r="P201" i="6"/>
  <c r="O201" i="6"/>
  <c r="N201" i="6"/>
  <c r="M201" i="6"/>
  <c r="L201" i="6"/>
  <c r="K201" i="6"/>
  <c r="Q200" i="6"/>
  <c r="P200" i="6"/>
  <c r="O200" i="6"/>
  <c r="N200" i="6"/>
  <c r="M200" i="6"/>
  <c r="L200" i="6"/>
  <c r="K199" i="6"/>
  <c r="Q198" i="6"/>
  <c r="P198" i="6"/>
  <c r="O198" i="6"/>
  <c r="N198" i="6"/>
  <c r="M198" i="6"/>
  <c r="L198" i="6"/>
  <c r="K198" i="6"/>
  <c r="Q197" i="6"/>
  <c r="P197" i="6"/>
  <c r="O197" i="6"/>
  <c r="N197" i="6"/>
  <c r="M197" i="6"/>
  <c r="L197" i="6"/>
  <c r="K197" i="6"/>
  <c r="Q196" i="6"/>
  <c r="P196" i="6"/>
  <c r="O196" i="6"/>
  <c r="N196" i="6"/>
  <c r="M196" i="6"/>
  <c r="L196" i="6"/>
  <c r="K196" i="6"/>
  <c r="Q195" i="6"/>
  <c r="P195" i="6"/>
  <c r="O195" i="6"/>
  <c r="N195" i="6"/>
  <c r="M195" i="6"/>
  <c r="L195" i="6"/>
  <c r="K195" i="6"/>
  <c r="Q194" i="6"/>
  <c r="P192" i="6"/>
  <c r="O192" i="6"/>
  <c r="N192" i="6"/>
  <c r="M192" i="6"/>
  <c r="L192" i="6"/>
  <c r="K192" i="6"/>
  <c r="Q191" i="6"/>
  <c r="P191" i="6"/>
  <c r="O191" i="6"/>
  <c r="N191" i="6"/>
  <c r="M191" i="6"/>
  <c r="L191" i="6"/>
  <c r="K191" i="6"/>
  <c r="Q190" i="6"/>
  <c r="P190" i="6"/>
  <c r="O190" i="6"/>
  <c r="N190" i="6"/>
  <c r="M190" i="6"/>
  <c r="L190" i="6"/>
  <c r="K190" i="6"/>
  <c r="Q189" i="6"/>
  <c r="P189" i="6"/>
  <c r="O189" i="6"/>
  <c r="N189" i="6"/>
  <c r="M189" i="6"/>
  <c r="L189" i="6"/>
  <c r="K189" i="6"/>
  <c r="Q188" i="6"/>
  <c r="P188" i="6"/>
  <c r="O188" i="6"/>
  <c r="N188" i="6"/>
  <c r="M186" i="6"/>
  <c r="L186" i="6"/>
  <c r="K186" i="6"/>
  <c r="Q185" i="6"/>
  <c r="P185" i="6"/>
  <c r="O185" i="6"/>
  <c r="N185" i="6"/>
  <c r="M185" i="6"/>
  <c r="L185" i="6"/>
  <c r="K185" i="6"/>
  <c r="Q184" i="6"/>
  <c r="P184" i="6"/>
  <c r="O184" i="6"/>
  <c r="N184" i="6"/>
  <c r="M184" i="6"/>
  <c r="L184" i="6"/>
  <c r="K184" i="6"/>
  <c r="Q183" i="6"/>
  <c r="P183" i="6"/>
  <c r="O183" i="6"/>
  <c r="N183" i="6"/>
  <c r="M183" i="6"/>
  <c r="L183" i="6"/>
  <c r="K183" i="6"/>
  <c r="Q182" i="6"/>
  <c r="P182" i="6"/>
  <c r="O182" i="6"/>
  <c r="N182" i="6"/>
  <c r="M182" i="6"/>
  <c r="L182" i="6"/>
  <c r="K182" i="6"/>
  <c r="Q180" i="6"/>
  <c r="P180" i="6"/>
  <c r="O180" i="6"/>
  <c r="N180" i="6"/>
  <c r="M180" i="6"/>
  <c r="L180" i="6"/>
  <c r="K180" i="6"/>
  <c r="Q179" i="6"/>
  <c r="P179" i="6"/>
  <c r="O179" i="6"/>
  <c r="N179" i="6"/>
  <c r="M179" i="6"/>
  <c r="L179" i="6"/>
  <c r="K179" i="6"/>
  <c r="Q178" i="6"/>
  <c r="P178" i="6"/>
  <c r="O178" i="6"/>
  <c r="N178" i="6"/>
  <c r="M178" i="6"/>
  <c r="L178" i="6"/>
  <c r="K178" i="6"/>
  <c r="Q177" i="6"/>
  <c r="P177" i="6"/>
  <c r="O177" i="6"/>
  <c r="N177" i="6"/>
  <c r="M177" i="6"/>
  <c r="L177" i="6"/>
  <c r="K177" i="6"/>
  <c r="Q176" i="6"/>
  <c r="P176" i="6"/>
  <c r="O174" i="6"/>
  <c r="N174" i="6"/>
  <c r="M174" i="6"/>
  <c r="L174" i="6"/>
  <c r="K174" i="6"/>
  <c r="Q173" i="6"/>
  <c r="P173" i="6"/>
  <c r="O173" i="6"/>
  <c r="N173" i="6"/>
  <c r="M173" i="6"/>
  <c r="L173" i="6"/>
  <c r="K173" i="6"/>
  <c r="Q172" i="6"/>
  <c r="P172" i="6"/>
  <c r="O172" i="6"/>
  <c r="N172" i="6"/>
  <c r="M172" i="6"/>
  <c r="L172" i="6"/>
  <c r="K172" i="6"/>
  <c r="Q171" i="6"/>
  <c r="P171" i="6"/>
  <c r="O171" i="6"/>
  <c r="N171" i="6"/>
  <c r="M171" i="6"/>
  <c r="L171" i="6"/>
  <c r="K171" i="6"/>
  <c r="Q170" i="6"/>
  <c r="P170" i="6"/>
  <c r="O170" i="6"/>
  <c r="N170" i="6"/>
  <c r="M170" i="6"/>
  <c r="L168" i="6"/>
  <c r="K168" i="6"/>
  <c r="Q167" i="6"/>
  <c r="P167" i="6"/>
  <c r="O167" i="6"/>
  <c r="N167" i="6"/>
  <c r="M167" i="6"/>
  <c r="L167" i="6"/>
  <c r="K167" i="6"/>
  <c r="Q166" i="6"/>
  <c r="P166" i="6"/>
  <c r="O166" i="6"/>
  <c r="N166" i="6"/>
  <c r="M166" i="6"/>
  <c r="L166" i="6"/>
  <c r="K166" i="6"/>
  <c r="Q165" i="6"/>
  <c r="P165" i="6"/>
  <c r="O165" i="6"/>
  <c r="N165" i="6"/>
  <c r="M165" i="6"/>
  <c r="L165" i="6"/>
  <c r="K165" i="6"/>
  <c r="Q164" i="6"/>
  <c r="P164" i="6"/>
  <c r="O164" i="6"/>
  <c r="N164" i="6"/>
  <c r="M164" i="6"/>
  <c r="L164" i="6"/>
  <c r="K164" i="6"/>
  <c r="Q162" i="6"/>
  <c r="P162" i="6"/>
  <c r="O162" i="6"/>
  <c r="N162" i="6"/>
  <c r="M162" i="6"/>
  <c r="L162" i="6"/>
  <c r="K162" i="6"/>
  <c r="Q161" i="6"/>
  <c r="P161" i="6"/>
  <c r="O161" i="6"/>
  <c r="N161" i="6"/>
  <c r="M161" i="6"/>
  <c r="L161" i="6"/>
  <c r="K161" i="6"/>
  <c r="Q160" i="6"/>
  <c r="P160" i="6"/>
  <c r="O160" i="6"/>
  <c r="N160" i="6"/>
  <c r="M160" i="6"/>
  <c r="L160" i="6"/>
  <c r="K160" i="6"/>
  <c r="Q159" i="6"/>
  <c r="P159" i="6"/>
  <c r="O159" i="6"/>
  <c r="N159" i="6"/>
  <c r="M159" i="6"/>
  <c r="L159" i="6"/>
  <c r="K159" i="6"/>
  <c r="Q158" i="6"/>
  <c r="P158" i="6"/>
  <c r="O158" i="6"/>
  <c r="N156" i="6"/>
  <c r="M156" i="6"/>
  <c r="L156" i="6"/>
  <c r="K156" i="6"/>
  <c r="Q155" i="6"/>
  <c r="P155" i="6"/>
  <c r="O155" i="6"/>
  <c r="N155" i="6"/>
  <c r="M155" i="6"/>
  <c r="L155" i="6"/>
  <c r="K155" i="6"/>
  <c r="Q154" i="6"/>
  <c r="P154" i="6"/>
  <c r="O154" i="6"/>
  <c r="N154" i="6"/>
  <c r="M154" i="6"/>
  <c r="L154" i="6"/>
  <c r="K154" i="6"/>
  <c r="Q153" i="6"/>
  <c r="P153" i="6"/>
  <c r="O153" i="6"/>
  <c r="N153" i="6"/>
  <c r="M153" i="6"/>
  <c r="L153" i="6"/>
  <c r="K153" i="6"/>
  <c r="Q152" i="6"/>
  <c r="P152" i="6"/>
  <c r="O152" i="6"/>
  <c r="N150" i="6"/>
  <c r="M150" i="6"/>
  <c r="L150" i="6"/>
  <c r="K150" i="6"/>
  <c r="Q149" i="6"/>
  <c r="P149" i="6"/>
  <c r="O149" i="6"/>
  <c r="N149" i="6"/>
  <c r="M149" i="6"/>
  <c r="L149" i="6"/>
  <c r="K149" i="6"/>
  <c r="Q148" i="6"/>
  <c r="P148" i="6"/>
  <c r="O148" i="6"/>
  <c r="N148" i="6"/>
  <c r="M148" i="6"/>
  <c r="L148" i="6"/>
  <c r="K148" i="6"/>
  <c r="Q147" i="6"/>
  <c r="P147" i="6"/>
  <c r="O147" i="6"/>
  <c r="N147" i="6"/>
  <c r="M147" i="6"/>
  <c r="L147" i="6"/>
  <c r="K147" i="6"/>
  <c r="Q146" i="6"/>
  <c r="P146" i="6"/>
  <c r="O146" i="6"/>
  <c r="N146" i="6"/>
  <c r="M146" i="6"/>
  <c r="L146" i="6"/>
  <c r="K145" i="6"/>
  <c r="Q144" i="6"/>
  <c r="P144" i="6"/>
  <c r="O144" i="6"/>
  <c r="N144" i="6"/>
  <c r="M144" i="6"/>
  <c r="L144" i="6"/>
  <c r="K144" i="6"/>
  <c r="Q143" i="6"/>
  <c r="P143" i="6"/>
  <c r="O143" i="6"/>
  <c r="N143" i="6"/>
  <c r="M143" i="6"/>
  <c r="L143" i="6"/>
  <c r="K143" i="6"/>
  <c r="Q142" i="6"/>
  <c r="P142" i="6"/>
  <c r="O142" i="6"/>
  <c r="N142" i="6"/>
  <c r="M142" i="6"/>
  <c r="L142" i="6"/>
  <c r="K142" i="6"/>
  <c r="Q141" i="6"/>
  <c r="P141" i="6"/>
  <c r="O141" i="6"/>
  <c r="N141" i="6"/>
  <c r="M141" i="6"/>
  <c r="L141" i="6"/>
  <c r="K141" i="6"/>
  <c r="Q140" i="6"/>
  <c r="P140" i="6"/>
  <c r="O138" i="6"/>
  <c r="N138" i="6"/>
  <c r="M138" i="6"/>
  <c r="L138" i="6"/>
  <c r="K138" i="6"/>
  <c r="Q137" i="6"/>
  <c r="P137" i="6"/>
  <c r="O137" i="6"/>
  <c r="N137" i="6"/>
  <c r="M137" i="6"/>
  <c r="L137" i="6"/>
  <c r="K137" i="6"/>
  <c r="Q136" i="6"/>
  <c r="P136" i="6"/>
  <c r="O136" i="6"/>
  <c r="N136" i="6"/>
  <c r="M136" i="6"/>
  <c r="L136" i="6"/>
  <c r="K136" i="6"/>
  <c r="Q135" i="6"/>
  <c r="P135" i="6"/>
  <c r="O135" i="6"/>
  <c r="N135" i="6"/>
  <c r="M135" i="6"/>
  <c r="L135" i="6"/>
  <c r="K135" i="6"/>
  <c r="Q134" i="6"/>
  <c r="P134" i="6"/>
  <c r="O134" i="6"/>
  <c r="N134" i="6"/>
  <c r="M132" i="6"/>
  <c r="L132" i="6"/>
  <c r="K132" i="6"/>
  <c r="Q131" i="6"/>
  <c r="P131" i="6"/>
  <c r="O131" i="6"/>
  <c r="N131" i="6"/>
  <c r="M131" i="6"/>
  <c r="L131" i="6"/>
  <c r="K131" i="6"/>
  <c r="Q130" i="6"/>
  <c r="P130" i="6"/>
  <c r="O130" i="6"/>
  <c r="N130" i="6"/>
  <c r="M130" i="6"/>
  <c r="L130" i="6"/>
  <c r="K130" i="6"/>
  <c r="Q129" i="6"/>
  <c r="P129" i="6"/>
  <c r="O129" i="6"/>
  <c r="N129" i="6"/>
  <c r="M129" i="6"/>
  <c r="L129" i="6"/>
  <c r="K129" i="6"/>
  <c r="Q128" i="6"/>
  <c r="P128" i="6"/>
  <c r="O128" i="6"/>
  <c r="N128" i="6"/>
  <c r="M128" i="6"/>
  <c r="L128" i="6"/>
  <c r="K128" i="6"/>
  <c r="Q126" i="6"/>
  <c r="P126" i="6"/>
  <c r="O126" i="6"/>
  <c r="N126" i="6"/>
  <c r="M126" i="6"/>
  <c r="L126" i="6"/>
  <c r="K126" i="6"/>
  <c r="Q125" i="6"/>
  <c r="P125" i="6"/>
  <c r="O125" i="6"/>
  <c r="N125" i="6"/>
  <c r="M125" i="6"/>
  <c r="L125" i="6"/>
  <c r="K125" i="6"/>
  <c r="Q124" i="6"/>
  <c r="P124" i="6"/>
  <c r="O124" i="6"/>
  <c r="N124" i="6"/>
  <c r="M124" i="6"/>
  <c r="L124" i="6"/>
  <c r="K124" i="6"/>
  <c r="Q123" i="6"/>
  <c r="P123" i="6"/>
  <c r="O123" i="6"/>
  <c r="N123" i="6"/>
  <c r="M123" i="6"/>
  <c r="L123" i="6"/>
  <c r="K123" i="6"/>
  <c r="Q122" i="6"/>
  <c r="P122" i="6"/>
  <c r="O120" i="6"/>
  <c r="N120" i="6"/>
  <c r="M120" i="6"/>
  <c r="L120" i="6"/>
  <c r="K120" i="6"/>
  <c r="Q119" i="6"/>
  <c r="P119" i="6"/>
  <c r="O119" i="6"/>
  <c r="N119" i="6"/>
  <c r="M119" i="6"/>
  <c r="L119" i="6"/>
  <c r="K119" i="6"/>
  <c r="Q118" i="6"/>
  <c r="P118" i="6"/>
  <c r="O118" i="6"/>
  <c r="N118" i="6"/>
  <c r="M118" i="6"/>
  <c r="L118" i="6"/>
  <c r="K118" i="6"/>
  <c r="Q117" i="6"/>
  <c r="P117" i="6"/>
  <c r="O117" i="6"/>
  <c r="N117" i="6"/>
  <c r="M117" i="6"/>
  <c r="L117" i="6"/>
  <c r="K117" i="6"/>
  <c r="Q116" i="6"/>
  <c r="P116" i="6"/>
  <c r="O116" i="6"/>
  <c r="N116" i="6"/>
  <c r="M116" i="6"/>
  <c r="L115" i="6"/>
  <c r="K115" i="6"/>
  <c r="Q114" i="6"/>
  <c r="P114" i="6"/>
  <c r="O114" i="6"/>
  <c r="N114" i="6"/>
  <c r="M114" i="6"/>
  <c r="L114" i="6"/>
  <c r="K114" i="6"/>
  <c r="Q113" i="6"/>
  <c r="P113" i="6"/>
  <c r="O113" i="6"/>
  <c r="N113" i="6"/>
  <c r="M113" i="6"/>
  <c r="L113" i="6"/>
  <c r="K113" i="6"/>
  <c r="Q112" i="6"/>
  <c r="P112" i="6"/>
  <c r="O112" i="6"/>
  <c r="N112" i="6"/>
  <c r="M112" i="6"/>
  <c r="L112" i="6"/>
  <c r="K112" i="6"/>
  <c r="Q111" i="6"/>
  <c r="P111" i="6"/>
  <c r="O111" i="6"/>
  <c r="N111" i="6"/>
  <c r="M111" i="6"/>
  <c r="L111" i="6"/>
  <c r="K111" i="6"/>
  <c r="Q110" i="6"/>
  <c r="P108" i="6"/>
  <c r="O108" i="6"/>
  <c r="N108" i="6"/>
  <c r="M108" i="6"/>
  <c r="L108" i="6"/>
  <c r="K108" i="6"/>
  <c r="Q107" i="6"/>
  <c r="P107" i="6"/>
  <c r="O107" i="6"/>
  <c r="N107" i="6"/>
  <c r="M107" i="6"/>
  <c r="L107" i="6"/>
  <c r="K107" i="6"/>
  <c r="Q106" i="6"/>
  <c r="P106" i="6"/>
  <c r="O106" i="6"/>
  <c r="N106" i="6"/>
  <c r="M106" i="6"/>
  <c r="L106" i="6"/>
  <c r="K106" i="6"/>
  <c r="Q105" i="6"/>
  <c r="P105" i="6"/>
  <c r="O105" i="6"/>
  <c r="N105" i="6"/>
  <c r="M105" i="6"/>
  <c r="L105" i="6"/>
  <c r="K105" i="6"/>
  <c r="Q104" i="6"/>
  <c r="P104" i="6"/>
  <c r="O104" i="6"/>
  <c r="N102" i="6"/>
  <c r="M102" i="6"/>
  <c r="L102" i="6"/>
  <c r="K102" i="6"/>
  <c r="Q101" i="6"/>
  <c r="P101" i="6"/>
  <c r="O101" i="6"/>
  <c r="N101" i="6"/>
  <c r="M101" i="6"/>
  <c r="L101" i="6"/>
  <c r="K101" i="6"/>
  <c r="Q100" i="6"/>
  <c r="P100" i="6"/>
  <c r="O100" i="6"/>
  <c r="N100" i="6"/>
  <c r="M100" i="6"/>
  <c r="L100" i="6"/>
  <c r="K100" i="6"/>
  <c r="Q99" i="6"/>
  <c r="P99" i="6"/>
  <c r="O99" i="6"/>
  <c r="N99" i="6"/>
  <c r="M99" i="6"/>
  <c r="L99" i="6"/>
  <c r="K99" i="6"/>
  <c r="Q98" i="6"/>
  <c r="P98" i="6"/>
  <c r="O98" i="6"/>
  <c r="N98" i="6"/>
  <c r="M98" i="6"/>
  <c r="L98" i="6"/>
  <c r="K97" i="6"/>
  <c r="Q96" i="6"/>
  <c r="P96" i="6"/>
  <c r="O96" i="6"/>
  <c r="N96" i="6"/>
  <c r="M96" i="6"/>
  <c r="L96" i="6"/>
  <c r="K96" i="6"/>
  <c r="Q95" i="6"/>
  <c r="P95" i="6"/>
  <c r="O95" i="6"/>
  <c r="N95" i="6"/>
  <c r="M95" i="6"/>
  <c r="L95" i="6"/>
  <c r="K95" i="6"/>
  <c r="Q94" i="6"/>
  <c r="P94" i="6"/>
  <c r="O94" i="6"/>
  <c r="N94" i="6"/>
  <c r="M94" i="6"/>
  <c r="L94" i="6"/>
  <c r="K94" i="6"/>
  <c r="Q93" i="6"/>
  <c r="P93" i="6"/>
  <c r="O93" i="6"/>
  <c r="N93" i="6"/>
  <c r="M93" i="6"/>
  <c r="L93" i="6"/>
  <c r="K93" i="6"/>
  <c r="Q92" i="6"/>
  <c r="P90" i="6"/>
  <c r="O90" i="6"/>
  <c r="N90" i="6"/>
  <c r="M90" i="6"/>
  <c r="L90" i="6"/>
  <c r="K90" i="6"/>
  <c r="Q89" i="6"/>
  <c r="P89" i="6"/>
  <c r="O89" i="6"/>
  <c r="N89" i="6"/>
  <c r="M89" i="6"/>
  <c r="L89" i="6"/>
  <c r="K89" i="6"/>
  <c r="Q88" i="6"/>
  <c r="P88" i="6"/>
  <c r="O88" i="6"/>
  <c r="N88" i="6"/>
  <c r="M88" i="6"/>
  <c r="L88" i="6"/>
  <c r="K88" i="6"/>
  <c r="Q87" i="6"/>
  <c r="P87" i="6"/>
  <c r="O87" i="6"/>
  <c r="N87" i="6"/>
  <c r="M87" i="6"/>
  <c r="L87" i="6"/>
  <c r="K87" i="6"/>
  <c r="Q86" i="6"/>
  <c r="P86" i="6"/>
  <c r="O86" i="6"/>
  <c r="N86" i="6"/>
  <c r="M84" i="6"/>
  <c r="L84" i="6"/>
  <c r="K84" i="6"/>
  <c r="Q83" i="6"/>
  <c r="P83" i="6"/>
  <c r="O83" i="6"/>
  <c r="N83" i="6"/>
  <c r="M83" i="6"/>
  <c r="L83" i="6"/>
  <c r="K83" i="6"/>
  <c r="Q82" i="6"/>
  <c r="P82" i="6"/>
  <c r="O82" i="6"/>
  <c r="N82" i="6"/>
  <c r="M82" i="6"/>
  <c r="L82" i="6"/>
  <c r="K82" i="6"/>
  <c r="Q81" i="6"/>
  <c r="P81" i="6"/>
  <c r="O81" i="6"/>
  <c r="N81" i="6"/>
  <c r="M81" i="6"/>
  <c r="L81" i="6"/>
  <c r="K81" i="6"/>
  <c r="Q80" i="6"/>
  <c r="P80" i="6"/>
  <c r="O80" i="6"/>
  <c r="N80" i="6"/>
  <c r="M80" i="6"/>
  <c r="L79" i="6"/>
  <c r="K79" i="6"/>
  <c r="Q78" i="6"/>
  <c r="P78" i="6"/>
  <c r="O78" i="6"/>
  <c r="N78" i="6"/>
  <c r="M78" i="6"/>
  <c r="L78" i="6"/>
  <c r="K78" i="6"/>
  <c r="Q77" i="6"/>
  <c r="P77" i="6"/>
  <c r="O77" i="6"/>
  <c r="N77" i="6"/>
  <c r="M77" i="6"/>
  <c r="L77" i="6"/>
  <c r="K77" i="6"/>
  <c r="Q76" i="6"/>
  <c r="P76" i="6"/>
  <c r="O76" i="6"/>
  <c r="N76" i="6"/>
  <c r="M76" i="6"/>
  <c r="L76" i="6"/>
  <c r="K76" i="6"/>
  <c r="Q75" i="6"/>
  <c r="P75" i="6"/>
  <c r="O75" i="6"/>
  <c r="N75" i="6"/>
  <c r="M75" i="6"/>
  <c r="L75" i="6"/>
  <c r="K75" i="6"/>
  <c r="Q74" i="6"/>
  <c r="P72" i="6"/>
  <c r="O72" i="6"/>
  <c r="N72" i="6"/>
  <c r="M72" i="6"/>
  <c r="L72" i="6"/>
  <c r="K72" i="6"/>
  <c r="Q71" i="6"/>
  <c r="P71" i="6"/>
  <c r="O71" i="6"/>
  <c r="N71" i="6"/>
  <c r="M71" i="6"/>
  <c r="L71" i="6"/>
  <c r="K71" i="6"/>
  <c r="Q70" i="6"/>
  <c r="P70" i="6"/>
  <c r="O70" i="6"/>
  <c r="N70" i="6"/>
  <c r="M70" i="6"/>
  <c r="L70" i="6"/>
  <c r="K70" i="6"/>
  <c r="Q69" i="6"/>
  <c r="P69" i="6"/>
  <c r="O69" i="6"/>
  <c r="N69" i="6"/>
  <c r="M69" i="6"/>
  <c r="L69" i="6"/>
  <c r="K69" i="6"/>
  <c r="Q68" i="6"/>
  <c r="P68" i="6"/>
  <c r="O68" i="6"/>
  <c r="N68" i="6"/>
  <c r="M66" i="6"/>
  <c r="L66" i="6"/>
  <c r="K66" i="6"/>
  <c r="Q65" i="6"/>
  <c r="P65" i="6"/>
  <c r="O65" i="6"/>
  <c r="N65" i="6"/>
  <c r="M65" i="6"/>
  <c r="L65" i="6"/>
  <c r="K65" i="6"/>
  <c r="Q64" i="6"/>
  <c r="P64" i="6"/>
  <c r="O64" i="6"/>
  <c r="N64" i="6"/>
  <c r="M64" i="6"/>
  <c r="L64" i="6"/>
  <c r="K64" i="6"/>
  <c r="Q63" i="6"/>
  <c r="P63" i="6"/>
  <c r="O63" i="6"/>
  <c r="N63" i="6"/>
  <c r="M63" i="6"/>
  <c r="L63" i="6"/>
  <c r="K63" i="6"/>
  <c r="Q62" i="6"/>
  <c r="P62" i="6"/>
  <c r="O62" i="6"/>
  <c r="N62" i="6"/>
  <c r="M62" i="6"/>
  <c r="L62" i="6"/>
  <c r="K61" i="6"/>
  <c r="Q60" i="6"/>
  <c r="P60" i="6"/>
  <c r="O60" i="6"/>
  <c r="N60" i="6"/>
  <c r="M60" i="6"/>
  <c r="L60" i="6"/>
  <c r="K60" i="6"/>
  <c r="Q59" i="6"/>
  <c r="P59" i="6"/>
  <c r="O59" i="6"/>
  <c r="N59" i="6"/>
  <c r="M59" i="6"/>
  <c r="L59" i="6"/>
  <c r="K59" i="6"/>
  <c r="Q58" i="6"/>
  <c r="P58" i="6"/>
  <c r="O58" i="6"/>
  <c r="N58" i="6"/>
  <c r="M58" i="6"/>
  <c r="L58" i="6"/>
  <c r="K58" i="6"/>
  <c r="Q57" i="6"/>
  <c r="P57" i="6"/>
  <c r="O57" i="6"/>
  <c r="N57" i="6"/>
  <c r="M57" i="6"/>
  <c r="L57" i="6"/>
  <c r="K57" i="6"/>
  <c r="Q56" i="6"/>
  <c r="P56" i="6"/>
  <c r="O54" i="6"/>
  <c r="N54" i="6"/>
  <c r="M54" i="6"/>
  <c r="L54" i="6"/>
  <c r="K54" i="6"/>
  <c r="Q53" i="6"/>
  <c r="P53" i="6"/>
  <c r="O53" i="6"/>
  <c r="N53" i="6"/>
  <c r="M53" i="6"/>
  <c r="L53" i="6"/>
  <c r="K53" i="6"/>
  <c r="Q52" i="6"/>
  <c r="P52" i="6"/>
  <c r="O52" i="6"/>
  <c r="N52" i="6"/>
  <c r="M52" i="6"/>
  <c r="L52" i="6"/>
  <c r="K52" i="6"/>
  <c r="Q51" i="6"/>
  <c r="P51" i="6"/>
  <c r="O51" i="6"/>
  <c r="N51" i="6"/>
  <c r="M51" i="6"/>
  <c r="L51" i="6"/>
  <c r="K51" i="6"/>
  <c r="Q50" i="6"/>
  <c r="P50" i="6"/>
  <c r="O50" i="6"/>
  <c r="N50" i="6"/>
  <c r="M48" i="6"/>
  <c r="L48" i="6"/>
  <c r="K48" i="6"/>
  <c r="Q47" i="6"/>
  <c r="P47" i="6"/>
  <c r="O47" i="6"/>
  <c r="N47" i="6"/>
  <c r="M47" i="6"/>
  <c r="L47" i="6"/>
  <c r="K47" i="6"/>
  <c r="Q46" i="6"/>
  <c r="P46" i="6"/>
  <c r="O46" i="6"/>
  <c r="N46" i="6"/>
  <c r="M46" i="6"/>
  <c r="L46" i="6"/>
  <c r="K46" i="6"/>
  <c r="Q45" i="6"/>
  <c r="P45" i="6"/>
  <c r="O45" i="6"/>
  <c r="N45" i="6"/>
  <c r="M45" i="6"/>
  <c r="L45" i="6"/>
  <c r="K45" i="6"/>
  <c r="Q44" i="6"/>
  <c r="P44" i="6"/>
  <c r="O44" i="6"/>
  <c r="N44" i="6"/>
  <c r="M44" i="6"/>
  <c r="L44" i="6"/>
  <c r="K44" i="6"/>
  <c r="Q42" i="6"/>
  <c r="P42" i="6"/>
  <c r="O42" i="6"/>
  <c r="N42" i="6"/>
  <c r="M42" i="6"/>
  <c r="L42" i="6"/>
  <c r="K42" i="6"/>
  <c r="Q41" i="6"/>
  <c r="P41" i="6"/>
  <c r="O41" i="6"/>
  <c r="N41" i="6"/>
  <c r="M41" i="6"/>
  <c r="L41" i="6"/>
  <c r="K41" i="6"/>
  <c r="Q40" i="6"/>
  <c r="P40" i="6"/>
  <c r="O40" i="6"/>
  <c r="N40" i="6"/>
  <c r="M40" i="6"/>
  <c r="L40" i="6"/>
  <c r="K40" i="6"/>
  <c r="Q39" i="6"/>
  <c r="P39" i="6"/>
  <c r="O39" i="6"/>
  <c r="N39" i="6"/>
  <c r="M39" i="6"/>
  <c r="L39" i="6"/>
  <c r="K39" i="6"/>
  <c r="Q38" i="6"/>
  <c r="P38" i="6"/>
  <c r="O38" i="6"/>
  <c r="N36" i="6"/>
  <c r="M36" i="6"/>
  <c r="L36" i="6"/>
  <c r="K36" i="6"/>
  <c r="Q35" i="6"/>
  <c r="P35" i="6"/>
  <c r="O35" i="6"/>
  <c r="N35" i="6"/>
  <c r="M35" i="6"/>
  <c r="L35" i="6"/>
  <c r="K35" i="6"/>
  <c r="Q34" i="6"/>
  <c r="P34" i="6"/>
  <c r="O34" i="6"/>
  <c r="N34" i="6"/>
  <c r="M34" i="6"/>
  <c r="L34" i="6"/>
  <c r="K34" i="6"/>
  <c r="Q33" i="6"/>
  <c r="P33" i="6"/>
  <c r="O33" i="6"/>
  <c r="N33" i="6"/>
  <c r="M33" i="6"/>
  <c r="L33" i="6"/>
  <c r="K33" i="6"/>
  <c r="Q32" i="6"/>
  <c r="P32" i="6"/>
  <c r="O32" i="6"/>
  <c r="N32" i="6"/>
  <c r="M32" i="6"/>
  <c r="L31" i="6"/>
  <c r="K31" i="6"/>
  <c r="Q30" i="6"/>
  <c r="P30" i="6"/>
  <c r="O30" i="6"/>
  <c r="N30" i="6"/>
  <c r="M30" i="6"/>
  <c r="L30" i="6"/>
  <c r="K30" i="6"/>
  <c r="Q29" i="6"/>
  <c r="P29" i="6"/>
  <c r="O29" i="6"/>
  <c r="N29" i="6"/>
  <c r="M29" i="6"/>
  <c r="L29" i="6"/>
  <c r="K29" i="6"/>
  <c r="Q28" i="6"/>
  <c r="P28" i="6"/>
  <c r="O28" i="6"/>
  <c r="N28" i="6"/>
  <c r="M28" i="6"/>
  <c r="L28" i="6"/>
  <c r="K28" i="6"/>
  <c r="Q27" i="6"/>
  <c r="P27" i="6"/>
  <c r="O27" i="6"/>
  <c r="N27" i="6"/>
  <c r="M27" i="6"/>
  <c r="L27" i="6"/>
  <c r="K27" i="6"/>
  <c r="Q26" i="6"/>
  <c r="P24" i="6"/>
  <c r="O24" i="6"/>
  <c r="N24" i="6"/>
  <c r="M24" i="6"/>
  <c r="L24" i="6"/>
  <c r="K24" i="6"/>
  <c r="Q23" i="6"/>
  <c r="P23" i="6"/>
  <c r="O23" i="6"/>
  <c r="N23" i="6"/>
  <c r="M23" i="6"/>
  <c r="L23" i="6"/>
  <c r="K23" i="6"/>
  <c r="Q22" i="6"/>
  <c r="P22" i="6"/>
  <c r="O22" i="6"/>
  <c r="N22" i="6"/>
  <c r="M22" i="6"/>
  <c r="L22" i="6"/>
  <c r="K22" i="6"/>
  <c r="Q21" i="6"/>
  <c r="P21" i="6"/>
  <c r="O21" i="6"/>
  <c r="N21" i="6"/>
  <c r="M21" i="6"/>
  <c r="L21" i="6"/>
  <c r="K21" i="6"/>
  <c r="Q20" i="6"/>
  <c r="P20" i="6"/>
  <c r="O20" i="6"/>
  <c r="N18" i="6"/>
  <c r="M18" i="6"/>
  <c r="L18" i="6"/>
  <c r="K18" i="6"/>
  <c r="Q17" i="6"/>
  <c r="P17" i="6"/>
  <c r="O17" i="6"/>
  <c r="N17" i="6"/>
  <c r="M17" i="6"/>
  <c r="L17" i="6"/>
  <c r="K17" i="6"/>
  <c r="Q16" i="6"/>
  <c r="P16" i="6"/>
  <c r="O16" i="6"/>
  <c r="N16" i="6"/>
  <c r="M16" i="6"/>
  <c r="L16" i="6"/>
  <c r="K16" i="6"/>
  <c r="Q15" i="6"/>
  <c r="P15" i="6"/>
  <c r="O15" i="6"/>
  <c r="N15" i="6"/>
  <c r="M15" i="6"/>
  <c r="L15" i="6"/>
  <c r="K15" i="6"/>
  <c r="Q14" i="6"/>
  <c r="P14" i="6"/>
  <c r="O14" i="6"/>
  <c r="N14" i="6"/>
  <c r="M14" i="6"/>
  <c r="L14" i="6"/>
  <c r="K12" i="6"/>
  <c r="Q11" i="6"/>
  <c r="P11" i="6"/>
  <c r="O11" i="6"/>
  <c r="N11" i="6"/>
  <c r="M11" i="6"/>
  <c r="L11" i="6"/>
  <c r="K11" i="6"/>
  <c r="Q10" i="6"/>
  <c r="P10" i="6"/>
  <c r="O10" i="6"/>
  <c r="N10" i="6"/>
  <c r="M10" i="6"/>
  <c r="L10" i="6"/>
  <c r="K10" i="6"/>
  <c r="Q9" i="6"/>
  <c r="P9" i="6"/>
  <c r="O9" i="6"/>
  <c r="N9" i="6"/>
  <c r="M9" i="6"/>
  <c r="L9" i="6"/>
  <c r="K9" i="6"/>
  <c r="Q8" i="6"/>
  <c r="P8" i="6"/>
  <c r="O8" i="6"/>
  <c r="N8" i="6"/>
  <c r="M8" i="6"/>
  <c r="L8" i="6"/>
  <c r="K8" i="6"/>
  <c r="K7" i="6"/>
  <c r="Q6" i="6"/>
  <c r="P6" i="6"/>
  <c r="O6" i="6"/>
  <c r="N6" i="6"/>
  <c r="M6" i="6"/>
  <c r="L6" i="6"/>
  <c r="K6" i="6"/>
  <c r="Q5" i="6"/>
  <c r="P5" i="6"/>
  <c r="O5" i="6"/>
  <c r="N5" i="6"/>
  <c r="M5" i="6"/>
  <c r="L5" i="6"/>
  <c r="K5" i="6"/>
  <c r="Q4" i="6"/>
  <c r="P4" i="6"/>
  <c r="O4" i="6"/>
  <c r="N4" i="6"/>
  <c r="M4" i="6"/>
  <c r="L4" i="6"/>
  <c r="K4" i="6"/>
  <c r="Q3" i="6"/>
  <c r="P3" i="6"/>
  <c r="O3" i="6"/>
  <c r="N3" i="6"/>
  <c r="M3" i="6"/>
  <c r="L3" i="6"/>
  <c r="K3" i="6"/>
  <c r="Q2" i="6"/>
  <c r="P2" i="6"/>
  <c r="L56" i="2"/>
  <c r="L52" i="2"/>
  <c r="L55" i="2"/>
  <c r="K3" i="2"/>
  <c r="K6" i="2"/>
  <c r="K7" i="2"/>
  <c r="L53" i="2"/>
  <c r="K4" i="2"/>
  <c r="K5" i="2"/>
  <c r="L57" i="2" l="1" a="1"/>
  <c r="W3" i="2"/>
  <c r="W4" i="2"/>
  <c r="W5" i="2"/>
  <c r="W2" i="2"/>
  <c r="I2" i="2"/>
  <c r="I4" i="2"/>
  <c r="K11" i="2" l="1" a="1"/>
  <c r="K25" i="2" s="1" a="1"/>
  <c r="K18" i="2"/>
  <c r="L19" i="2"/>
  <c r="M20" i="2"/>
  <c r="N21" i="2"/>
  <c r="O22" i="2"/>
  <c r="P23" i="2"/>
  <c r="L18" i="2"/>
  <c r="M19" i="2"/>
  <c r="N20" i="2"/>
  <c r="O21" i="2"/>
  <c r="P22" i="2"/>
  <c r="Q23" i="2"/>
  <c r="M18" i="2"/>
  <c r="N19" i="2"/>
  <c r="O20" i="2"/>
  <c r="P21" i="2"/>
  <c r="Q22" i="2"/>
  <c r="M21" i="2"/>
  <c r="N18" i="2"/>
  <c r="O19" i="2"/>
  <c r="P20" i="2"/>
  <c r="Q21" i="2"/>
  <c r="K23" i="2"/>
  <c r="L20" i="2"/>
  <c r="O18" i="2"/>
  <c r="P19" i="2"/>
  <c r="Q20" i="2"/>
  <c r="K22" i="2"/>
  <c r="L23" i="2"/>
  <c r="N22" i="2"/>
  <c r="P18" i="2"/>
  <c r="Q19" i="2"/>
  <c r="K21" i="2"/>
  <c r="L22" i="2"/>
  <c r="M23" i="2"/>
  <c r="O23" i="2"/>
  <c r="Q18" i="2"/>
  <c r="K20" i="2"/>
  <c r="L21" i="2"/>
  <c r="M22" i="2"/>
  <c r="N23" i="2"/>
  <c r="K19" i="2"/>
  <c r="S2" i="2" a="1"/>
  <c r="K12" i="2" a="1"/>
  <c r="K13" i="2" a="1"/>
  <c r="Q13" i="2" a="1"/>
  <c r="Q15" i="2" a="1"/>
  <c r="L11" i="2" a="1"/>
  <c r="Y23" i="2"/>
  <c r="N15" i="2" a="1"/>
  <c r="L12" i="2" a="1"/>
  <c r="K14" i="2" a="1"/>
  <c r="Q14" i="2" a="1"/>
  <c r="K16" i="2" a="1"/>
  <c r="M11" i="2" a="1"/>
  <c r="V23" i="2"/>
  <c r="M12" i="2" a="1"/>
  <c r="L13" i="2" a="1"/>
  <c r="L14" i="2" a="1"/>
  <c r="K15" i="2" a="1"/>
  <c r="L16" i="2" a="1"/>
  <c r="N11" i="2" a="1"/>
  <c r="O13" i="2" a="1"/>
  <c r="N12" i="2" a="1"/>
  <c r="M13" i="2" a="1"/>
  <c r="L15" i="2" a="1"/>
  <c r="M16" i="2" a="1"/>
  <c r="O11" i="2" a="1"/>
  <c r="T23" i="2"/>
  <c r="O16" i="2" a="1"/>
  <c r="N13" i="2" a="1"/>
  <c r="M14" i="2" a="1"/>
  <c r="M15" i="2" a="1"/>
  <c r="N16" i="2" a="1"/>
  <c r="P11" i="2" a="1"/>
  <c r="U23" i="2"/>
  <c r="O12" i="2" a="1"/>
  <c r="P12" i="2" a="1"/>
  <c r="O14" i="2" a="1"/>
  <c r="O15" i="2" a="1"/>
  <c r="P16" i="2" a="1"/>
  <c r="W23" i="2"/>
  <c r="Q11" i="2" a="1"/>
  <c r="Q12" i="2" a="1"/>
  <c r="P13" i="2" a="1"/>
  <c r="P14" i="2" a="1"/>
  <c r="P15" i="2" a="1"/>
  <c r="Q16" i="2" a="1"/>
  <c r="X23" i="2"/>
  <c r="N14" i="2" a="1"/>
  <c r="I5" i="2" a="1"/>
  <c r="O17" i="2" l="1"/>
  <c r="N17" i="2"/>
  <c r="K38" i="2" l="1" a="1"/>
  <c r="P38" i="2" a="1"/>
  <c r="Q38" i="2" a="1"/>
  <c r="M38" i="2" a="1"/>
  <c r="N38" i="2" a="1"/>
  <c r="L38" i="2" a="1"/>
  <c r="O38" i="2" a="1"/>
  <c r="N44" i="2" a="1"/>
  <c r="O44" i="2" a="1"/>
  <c r="P44" i="2" a="1"/>
  <c r="M44" i="2" a="1"/>
  <c r="L44" i="2" a="1"/>
  <c r="Q44" i="2" a="1"/>
  <c r="K44" i="2" a="1"/>
  <c r="L35" i="2" a="1"/>
  <c r="O35" i="2" a="1"/>
  <c r="Q35" i="2" a="1"/>
  <c r="P35" i="2" a="1"/>
  <c r="K35" i="2" a="1"/>
  <c r="N35" i="2" a="1"/>
  <c r="M35" i="2" a="1"/>
  <c r="O27" i="2" a="1"/>
  <c r="L27" i="2" a="1"/>
  <c r="M27" i="2" a="1"/>
  <c r="N27" i="2" a="1"/>
  <c r="P27" i="2" a="1"/>
  <c r="K27" i="2" a="1"/>
  <c r="Q27" i="2" a="1"/>
  <c r="L30" i="2" a="1"/>
  <c r="N30" i="2" a="1"/>
  <c r="M30" i="2" a="1"/>
  <c r="K30" i="2" a="1"/>
  <c r="O30" i="2" a="1"/>
  <c r="P30" i="2" a="1"/>
  <c r="Q30" i="2" a="1"/>
  <c r="K36" i="2" a="1"/>
  <c r="N36" i="2" a="1"/>
  <c r="O36" i="2" a="1"/>
  <c r="Q36" i="2" a="1"/>
  <c r="L36" i="2" a="1"/>
  <c r="P36" i="2" a="1"/>
  <c r="M36" i="2" a="1"/>
  <c r="M26" i="2" a="1"/>
  <c r="L26" i="2" a="1"/>
  <c r="N26" i="2" a="1"/>
  <c r="P26" i="2" a="1"/>
  <c r="O26" i="2" a="1"/>
  <c r="Q26" i="2" a="1"/>
  <c r="K26" i="2" a="1"/>
  <c r="N29" i="2" a="1"/>
  <c r="M29" i="2" a="1"/>
  <c r="K29" i="2" a="1"/>
  <c r="L29" i="2" a="1"/>
  <c r="Q29" i="2" a="1"/>
  <c r="O29" i="2" a="1"/>
  <c r="P29" i="2" a="1"/>
  <c r="O43" i="2" a="1"/>
  <c r="N43" i="2" a="1"/>
  <c r="P43" i="2" a="1"/>
  <c r="M43" i="2" a="1"/>
  <c r="L43" i="2" a="1"/>
  <c r="K43" i="2" a="1"/>
  <c r="Q43" i="2" a="1"/>
  <c r="K33" i="2" a="1"/>
  <c r="P33" i="2" a="1"/>
  <c r="N33" i="2" a="1"/>
  <c r="O33" i="2" a="1"/>
  <c r="L33" i="2" a="1"/>
  <c r="Q33" i="2" a="1"/>
  <c r="M33" i="2" a="1"/>
  <c r="K37" i="2" a="1"/>
  <c r="N37" i="2" a="1"/>
  <c r="M37" i="2" a="1"/>
  <c r="L37" i="2" a="1"/>
  <c r="Q37" i="2" a="1"/>
  <c r="P37" i="2" a="1"/>
  <c r="O37" i="2" a="1"/>
  <c r="N42" i="2" a="1"/>
  <c r="M42" i="2" a="1"/>
  <c r="O42" i="2" a="1"/>
  <c r="P42" i="2" a="1"/>
  <c r="L42" i="2" a="1"/>
  <c r="Q42" i="2" a="1"/>
  <c r="K42" i="2" a="1"/>
  <c r="L32" i="2" a="1"/>
  <c r="N32" i="2" a="1"/>
  <c r="M32" i="2" a="1"/>
  <c r="K32" i="2" a="1"/>
  <c r="O32" i="2" a="1"/>
  <c r="P32" i="2" a="1"/>
  <c r="Q32" i="2" a="1"/>
  <c r="L46" i="2" a="1"/>
  <c r="M46" i="2" a="1"/>
  <c r="P46" i="2" a="1"/>
  <c r="N46" i="2" a="1"/>
  <c r="Q46" i="2" a="1"/>
  <c r="K46" i="2" a="1"/>
  <c r="O46" i="2" a="1"/>
  <c r="L45" i="2" a="1"/>
  <c r="O45" i="2" a="1"/>
  <c r="N45" i="2" a="1"/>
  <c r="P45" i="2" a="1"/>
  <c r="K45" i="2" a="1"/>
  <c r="Q45" i="2" a="1"/>
  <c r="M45" i="2" a="1"/>
  <c r="M28" i="2" a="1"/>
  <c r="N28" i="2" a="1"/>
  <c r="L28" i="2" a="1"/>
  <c r="P28" i="2" a="1"/>
  <c r="Q28" i="2" a="1"/>
  <c r="K28" i="2" a="1"/>
  <c r="O28" i="2" a="1"/>
  <c r="O34" i="2" a="1"/>
  <c r="P34" i="2" a="1"/>
  <c r="N34" i="2" a="1"/>
  <c r="L34" i="2" a="1"/>
  <c r="K34" i="2" a="1"/>
  <c r="M34" i="2" a="1"/>
  <c r="Q34" i="2" a="1"/>
  <c r="O25" i="2" a="1"/>
  <c r="L25" i="2" a="1"/>
  <c r="M25" i="2" a="1"/>
  <c r="N25" i="2" a="1"/>
  <c r="P25" i="2" a="1"/>
  <c r="Q25" i="2" a="1"/>
  <c r="M41" i="2" a="1"/>
  <c r="N41" i="2" a="1"/>
  <c r="O41" i="2" a="1"/>
  <c r="P41" i="2" a="1"/>
  <c r="Q41" i="2" a="1"/>
  <c r="K41" i="2" a="1"/>
  <c r="L41" i="2" a="1"/>
  <c r="L48" i="2" a="1"/>
  <c r="N48" i="2" a="1"/>
  <c r="K48" i="2" a="1"/>
  <c r="Q48" i="2" a="1"/>
  <c r="O48" i="2" a="1"/>
  <c r="M48" i="2" a="1"/>
  <c r="P48" i="2" a="1"/>
  <c r="K40" i="2" a="1"/>
  <c r="M40" i="2" a="1"/>
  <c r="O40" i="2" a="1"/>
  <c r="L40" i="2" a="1"/>
  <c r="P40" i="2" a="1"/>
  <c r="N40" i="2" a="1"/>
  <c r="Q40" i="2" a="1"/>
  <c r="L47" i="2" a="1"/>
  <c r="N47" i="2" a="1"/>
  <c r="M47" i="2" a="1"/>
  <c r="Q47" i="2" a="1"/>
  <c r="P47" i="2" a="1"/>
  <c r="O47" i="2" a="1"/>
  <c r="K47" i="2" a="1"/>
  <c r="K39" i="2" a="1"/>
  <c r="M39" i="2" a="1"/>
  <c r="L39" i="2" a="1"/>
  <c r="P39" i="2" a="1"/>
  <c r="Q39" i="2" a="1"/>
  <c r="O39" i="2" a="1"/>
  <c r="N39" i="2" a="1"/>
  <c r="N31" i="2" a="1"/>
  <c r="K31" i="2" a="1"/>
  <c r="M31" i="2" a="1"/>
  <c r="L31" i="2" a="1"/>
  <c r="Q31" i="2" a="1"/>
  <c r="P31" i="2" a="1"/>
  <c r="O31" i="2" a="1"/>
  <c r="D51" i="2" a="1"/>
  <c r="D51" i="2" s="1"/>
  <c r="C56" i="2"/>
  <c r="C55" i="2"/>
  <c r="C54" i="2"/>
  <c r="C53" i="2"/>
  <c r="C52" i="2"/>
  <c r="C35" i="2"/>
  <c r="C34" i="2"/>
  <c r="C36" i="2"/>
  <c r="C37" i="2"/>
  <c r="D50" i="2" l="1"/>
  <c r="D52" i="2" s="1"/>
  <c r="D59" i="2"/>
  <c r="H51" i="2"/>
  <c r="G51" i="2"/>
  <c r="F51" i="2"/>
  <c r="E51" i="2"/>
  <c r="E50" i="2" s="1"/>
  <c r="B38" i="2"/>
  <c r="D53" i="2"/>
  <c r="D56" i="2"/>
  <c r="D55" i="2"/>
  <c r="D54" i="2"/>
  <c r="E53" i="2"/>
  <c r="E59" i="2"/>
  <c r="H50" i="2" l="1"/>
  <c r="H59" i="2"/>
  <c r="G50" i="2"/>
  <c r="G59" i="2"/>
  <c r="F59" i="2"/>
  <c r="I60" i="2" s="1" a="1"/>
  <c r="F50" i="2"/>
  <c r="B44" i="2"/>
  <c r="B43" i="2"/>
  <c r="B41" i="2"/>
  <c r="B42" i="2"/>
  <c r="H55" i="2"/>
  <c r="H53" i="2"/>
  <c r="H56" i="2"/>
  <c r="C43" i="2"/>
  <c r="C42" i="2"/>
  <c r="C41" i="2"/>
  <c r="C44" i="2"/>
  <c r="E56" i="2"/>
  <c r="E52" i="2"/>
  <c r="F56" i="2"/>
  <c r="E55" i="2"/>
  <c r="E54" i="2"/>
  <c r="F55" i="2"/>
  <c r="H54" i="2" l="1"/>
  <c r="H52" i="2"/>
  <c r="G52" i="2"/>
  <c r="G56" i="2"/>
  <c r="I56" i="2" s="1" a="1"/>
  <c r="G54" i="2"/>
  <c r="G53" i="2"/>
  <c r="G55" i="2"/>
  <c r="I55" i="2" s="1" a="1"/>
  <c r="F53" i="2"/>
  <c r="F52" i="2"/>
  <c r="F54" i="2"/>
  <c r="I54" i="2" s="1" a="1"/>
  <c r="H57" i="2"/>
  <c r="H62" i="2" s="1"/>
  <c r="E57" i="2"/>
  <c r="E62" i="2" s="1"/>
  <c r="D57" i="2"/>
  <c r="D62" i="2" s="1"/>
  <c r="K56" i="2"/>
  <c r="K55" i="2"/>
  <c r="K54" i="2"/>
  <c r="K53" i="2"/>
  <c r="K52" i="2"/>
  <c r="B45" i="2"/>
  <c r="D44" i="2"/>
  <c r="D43" i="2"/>
  <c r="D42" i="2"/>
  <c r="D41" i="2"/>
  <c r="B35" i="2"/>
  <c r="F21" i="2"/>
  <c r="G12" i="2"/>
  <c r="E14" i="2"/>
  <c r="D8" i="2"/>
  <c r="F18" i="2"/>
  <c r="F20" i="2"/>
  <c r="C7" i="2"/>
  <c r="F6" i="2"/>
  <c r="C27" i="2"/>
  <c r="E8" i="2"/>
  <c r="F19" i="2"/>
  <c r="C22" i="2"/>
  <c r="F25" i="2"/>
  <c r="D12" i="2"/>
  <c r="G11" i="2"/>
  <c r="C21" i="2"/>
  <c r="E11" i="2"/>
  <c r="G5" i="2"/>
  <c r="E4" i="2"/>
  <c r="C20" i="2"/>
  <c r="F14" i="2"/>
  <c r="G7" i="2"/>
  <c r="F12" i="2"/>
  <c r="D11" i="2"/>
  <c r="F3" i="2"/>
  <c r="D14" i="2"/>
  <c r="F23" i="2"/>
  <c r="E3" i="2"/>
  <c r="C14" i="2"/>
  <c r="C13" i="2"/>
  <c r="C8" i="2"/>
  <c r="D4" i="2"/>
  <c r="C18" i="2"/>
  <c r="C12" i="2"/>
  <c r="F24" i="2"/>
  <c r="C29" i="2"/>
  <c r="C23" i="2"/>
  <c r="G4" i="2"/>
  <c r="E12" i="2"/>
  <c r="F5" i="2"/>
  <c r="F29" i="2"/>
  <c r="C5" i="2"/>
  <c r="D3" i="2"/>
  <c r="D9" i="2"/>
  <c r="E10" i="2"/>
  <c r="E6" i="2"/>
  <c r="E9" i="2"/>
  <c r="E7" i="2"/>
  <c r="F11" i="2"/>
  <c r="F10" i="2"/>
  <c r="C6" i="2"/>
  <c r="F27" i="2"/>
  <c r="C25" i="2"/>
  <c r="F7" i="2"/>
  <c r="E5" i="2"/>
  <c r="C4" i="2"/>
  <c r="F28" i="2"/>
  <c r="C19" i="2"/>
  <c r="G14" i="2"/>
  <c r="G8" i="2"/>
  <c r="C10" i="2"/>
  <c r="C9" i="2"/>
  <c r="G6" i="2"/>
  <c r="C24" i="2"/>
  <c r="E13" i="2"/>
  <c r="G10" i="2"/>
  <c r="F8" i="2"/>
  <c r="C26" i="2"/>
  <c r="F22" i="2"/>
  <c r="D13" i="2"/>
  <c r="C3" i="2"/>
  <c r="F9" i="2"/>
  <c r="G3" i="2"/>
  <c r="D10" i="2"/>
  <c r="F26" i="2"/>
  <c r="D7" i="2"/>
  <c r="G9" i="2"/>
  <c r="D6" i="2"/>
  <c r="C28" i="2"/>
  <c r="G13" i="2"/>
  <c r="D5" i="2"/>
  <c r="F4" i="2"/>
  <c r="F13" i="2"/>
  <c r="C11" i="2"/>
  <c r="E20" i="2"/>
  <c r="E19" i="2"/>
  <c r="E27" i="2"/>
  <c r="E23" i="2"/>
  <c r="E29" i="2"/>
  <c r="H5" i="2"/>
  <c r="H12" i="2"/>
  <c r="E28" i="2"/>
  <c r="H6" i="2"/>
  <c r="E25" i="2"/>
  <c r="H11" i="2"/>
  <c r="H13" i="2"/>
  <c r="H10" i="2"/>
  <c r="H14" i="2"/>
  <c r="H3" i="2"/>
  <c r="E18" i="2"/>
  <c r="H7" i="2"/>
  <c r="H8" i="2"/>
  <c r="H4" i="2"/>
  <c r="E24" i="2"/>
  <c r="E21" i="2"/>
  <c r="E22" i="2"/>
  <c r="E26" i="2"/>
  <c r="H9" i="2"/>
  <c r="I53" i="2" l="1" a="1"/>
  <c r="G57" i="2"/>
  <c r="G62" i="2" s="1"/>
  <c r="I52" i="2" a="1"/>
  <c r="F57" i="2"/>
  <c r="F62" i="2" s="1"/>
  <c r="I57" i="2"/>
  <c r="B15" i="2"/>
  <c r="D15" i="2"/>
  <c r="T2" i="2"/>
  <c r="L4" i="2" a="1"/>
  <c r="M4" i="2"/>
  <c r="L5" i="2" a="1"/>
  <c r="M5" i="2"/>
  <c r="L6" i="2" a="1"/>
  <c r="M6" i="2"/>
  <c r="L3" i="2" a="1"/>
  <c r="M3" i="2"/>
  <c r="M7" i="2"/>
  <c r="L7" i="2" a="1"/>
  <c r="H28" i="2"/>
  <c r="H25" i="2"/>
  <c r="H23" i="2"/>
  <c r="H26" i="2"/>
  <c r="B30" i="2"/>
  <c r="B20" i="2" s="1"/>
  <c r="G20" i="2" s="1"/>
  <c r="H22" i="2"/>
  <c r="H18" i="2"/>
  <c r="H24" i="2"/>
  <c r="H19" i="2"/>
  <c r="H29" i="2"/>
  <c r="H20" i="2"/>
  <c r="H27" i="2"/>
  <c r="H21" i="2"/>
  <c r="D60" i="2"/>
  <c r="D58" i="2" s="1"/>
  <c r="D61" i="2" s="1"/>
  <c r="B37" i="2"/>
  <c r="B36" i="2"/>
  <c r="B34" i="2"/>
  <c r="F30" i="2" a="1"/>
  <c r="E30" i="2" a="1"/>
  <c r="E15" i="2" l="1"/>
  <c r="F15" i="2" s="1"/>
  <c r="N6" i="2"/>
  <c r="T3" i="2"/>
  <c r="T7" i="2" s="1"/>
  <c r="N4" i="2"/>
  <c r="N5" i="2"/>
  <c r="N7" i="2"/>
  <c r="N3" i="2"/>
  <c r="B24" i="2"/>
  <c r="D24" i="2" s="1"/>
  <c r="B29" i="2"/>
  <c r="G29" i="2" s="1"/>
  <c r="D20" i="2"/>
  <c r="B25" i="2"/>
  <c r="G25" i="2" s="1"/>
  <c r="B21" i="2"/>
  <c r="G21" i="2" s="1"/>
  <c r="B19" i="2"/>
  <c r="G19" i="2" s="1"/>
  <c r="B22" i="2"/>
  <c r="D22" i="2" s="1"/>
  <c r="B26" i="2"/>
  <c r="D26" i="2" s="1"/>
  <c r="B18" i="2"/>
  <c r="G18" i="2" s="1"/>
  <c r="B27" i="2"/>
  <c r="G27" i="2" s="1"/>
  <c r="B23" i="2"/>
  <c r="G23" i="2" s="1"/>
  <c r="B28" i="2"/>
  <c r="D28" i="2" s="1"/>
  <c r="E60" i="2"/>
  <c r="E58" i="2" s="1"/>
  <c r="E61" i="2" s="1"/>
  <c r="H60" i="2"/>
  <c r="H58" i="2" s="1"/>
  <c r="H61" i="2" s="1"/>
  <c r="F60" i="2"/>
  <c r="F58" i="2" s="1"/>
  <c r="F61" i="2" s="1"/>
  <c r="G60" i="2"/>
  <c r="G58" i="2" s="1"/>
  <c r="G61" i="2" s="1"/>
  <c r="D34" i="2" a="1"/>
  <c r="D29" i="2" l="1"/>
  <c r="S3" i="2"/>
  <c r="S7" i="2" s="1"/>
  <c r="D18" i="2"/>
  <c r="D27" i="2"/>
  <c r="G24" i="2"/>
  <c r="G22" i="2"/>
  <c r="D25" i="2"/>
  <c r="D21" i="2"/>
  <c r="G26" i="2"/>
  <c r="D23" i="2"/>
  <c r="D19" i="2"/>
  <c r="G28" i="2"/>
  <c r="D34" i="2"/>
  <c r="F35" i="2"/>
  <c r="E35" i="2"/>
  <c r="F37" i="2"/>
  <c r="D35" i="2"/>
  <c r="F34" i="2"/>
  <c r="E37" i="2"/>
  <c r="D37" i="2"/>
  <c r="E36" i="2"/>
  <c r="F36" i="2"/>
  <c r="D36" i="2"/>
  <c r="E34" i="2"/>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<sst xmlns="http://schemas.openxmlformats.org/spreadsheetml/2006/main" count="391" uniqueCount="199">
  <si>
    <t>Month</t>
  </si>
  <si>
    <t>JAN</t>
  </si>
  <si>
    <t>FEB</t>
  </si>
  <si>
    <t>MAR</t>
  </si>
  <si>
    <t>APR</t>
  </si>
  <si>
    <t>MAY</t>
  </si>
  <si>
    <t>JUN</t>
  </si>
  <si>
    <t>JUL</t>
  </si>
  <si>
    <t>AUG</t>
  </si>
  <si>
    <t>SEP</t>
  </si>
  <si>
    <t>OCT</t>
  </si>
  <si>
    <t>NOV</t>
  </si>
  <si>
    <t>DEC</t>
  </si>
  <si>
    <t>indent</t>
  </si>
  <si>
    <t>Income</t>
  </si>
  <si>
    <t>indent Cursor</t>
  </si>
  <si>
    <t>Cursor</t>
  </si>
  <si>
    <t>Expenses</t>
  </si>
  <si>
    <t>Markers</t>
  </si>
  <si>
    <t>Labels</t>
  </si>
  <si>
    <t>Targets</t>
  </si>
  <si>
    <t>Start</t>
  </si>
  <si>
    <t>Process</t>
  </si>
  <si>
    <t>End</t>
  </si>
  <si>
    <t>Target 1</t>
  </si>
  <si>
    <t>Target 2</t>
  </si>
  <si>
    <t>Target 3</t>
  </si>
  <si>
    <t>Target 4</t>
  </si>
  <si>
    <t>Target 5</t>
  </si>
  <si>
    <t>Budget</t>
  </si>
  <si>
    <t>X</t>
  </si>
  <si>
    <t>Y</t>
  </si>
  <si>
    <t>Cursors</t>
  </si>
  <si>
    <t>SU</t>
  </si>
  <si>
    <t>MO</t>
  </si>
  <si>
    <t>TU</t>
  </si>
  <si>
    <t>WE</t>
  </si>
  <si>
    <t>TH</t>
  </si>
  <si>
    <t>FR</t>
  </si>
  <si>
    <t>SA</t>
  </si>
  <si>
    <t>Income &amp; Expenses</t>
  </si>
  <si>
    <t>Source Rating</t>
  </si>
  <si>
    <t>Sources</t>
  </si>
  <si>
    <t>Savings</t>
  </si>
  <si>
    <t>Side Job</t>
  </si>
  <si>
    <t>Salary</t>
  </si>
  <si>
    <t>Stock</t>
  </si>
  <si>
    <t>Name</t>
  </si>
  <si>
    <t>Rank</t>
  </si>
  <si>
    <t>Year</t>
  </si>
  <si>
    <t>Essential Costs</t>
  </si>
  <si>
    <t>Travel</t>
  </si>
  <si>
    <t>FoodCourt</t>
  </si>
  <si>
    <t>Supermarket</t>
  </si>
  <si>
    <t>Entertainment</t>
  </si>
  <si>
    <t>Workplace</t>
  </si>
  <si>
    <t>Buttons</t>
  </si>
  <si>
    <t>Costs</t>
  </si>
  <si>
    <t>Total</t>
  </si>
  <si>
    <t>Number</t>
  </si>
  <si>
    <t>Design Customization</t>
  </si>
  <si>
    <t>Num Month</t>
  </si>
  <si>
    <t>Row Labels</t>
  </si>
  <si>
    <t>Grand Total</t>
  </si>
  <si>
    <t>Sum of Target 1</t>
  </si>
  <si>
    <t>Max of Num Month</t>
  </si>
  <si>
    <t>Sum of Target 2</t>
  </si>
  <si>
    <t>Sum of Target 3</t>
  </si>
  <si>
    <t>Sum of Target 4</t>
  </si>
  <si>
    <t>Sum of Target 5</t>
  </si>
  <si>
    <t>Sum of Income</t>
  </si>
  <si>
    <t>Sum of Expenses</t>
  </si>
  <si>
    <t>Sum of Savings</t>
  </si>
  <si>
    <t>Sum of Side Job</t>
  </si>
  <si>
    <t>Sum of Stock</t>
  </si>
  <si>
    <t>Sum of Salary</t>
  </si>
  <si>
    <t>Sum of Travel</t>
  </si>
  <si>
    <t>Sum of FoodCourt</t>
  </si>
  <si>
    <t>Sum of Supermarket</t>
  </si>
  <si>
    <t>Sum of Entertainment</t>
  </si>
  <si>
    <t>Sum of Workplace</t>
  </si>
  <si>
    <t>Eating</t>
  </si>
  <si>
    <t>Fuel</t>
  </si>
  <si>
    <t>Leisure</t>
  </si>
  <si>
    <t>Shopping</t>
  </si>
  <si>
    <t>Hobbies</t>
  </si>
  <si>
    <t>Eating T</t>
  </si>
  <si>
    <t>Fuel T</t>
  </si>
  <si>
    <t>Leisure T</t>
  </si>
  <si>
    <t>Shopping T</t>
  </si>
  <si>
    <t>Hobbies T</t>
  </si>
  <si>
    <t>Eating F</t>
  </si>
  <si>
    <t>Fuel F</t>
  </si>
  <si>
    <t>Leisure F</t>
  </si>
  <si>
    <t>Shopping F</t>
  </si>
  <si>
    <t>Hobbies F</t>
  </si>
  <si>
    <t>Eating S</t>
  </si>
  <si>
    <t>Eating E</t>
  </si>
  <si>
    <t>Fuel E</t>
  </si>
  <si>
    <t>Leisure E</t>
  </si>
  <si>
    <t>Shopping E</t>
  </si>
  <si>
    <t>Hobbies E</t>
  </si>
  <si>
    <t>Eating W</t>
  </si>
  <si>
    <t>Sum of Eating T</t>
  </si>
  <si>
    <t>Sum of Fuel T</t>
  </si>
  <si>
    <t>Sum of Leisure T</t>
  </si>
  <si>
    <t>Sum of Shopping T</t>
  </si>
  <si>
    <t>Sum of Hobbies T</t>
  </si>
  <si>
    <t>Sum of Eating F</t>
  </si>
  <si>
    <t>Sum of Fuel F</t>
  </si>
  <si>
    <t>Sum of Leisure F</t>
  </si>
  <si>
    <t>Sum of Shopping F</t>
  </si>
  <si>
    <t>Sum of Hobbies F</t>
  </si>
  <si>
    <t>Sum of Eating S</t>
  </si>
  <si>
    <t>Sum of Eating E</t>
  </si>
  <si>
    <t>Sum of Fuel E</t>
  </si>
  <si>
    <t>Sum of Leisure E</t>
  </si>
  <si>
    <t>Sum of Shopping E</t>
  </si>
  <si>
    <t>Sum of Hobbies E</t>
  </si>
  <si>
    <t>Sum of Eating W</t>
  </si>
  <si>
    <t>Fuel S</t>
  </si>
  <si>
    <t>Leisure S</t>
  </si>
  <si>
    <t>Shopping S</t>
  </si>
  <si>
    <t>Hobbies S</t>
  </si>
  <si>
    <t>Fuel W</t>
  </si>
  <si>
    <t>Leisure W</t>
  </si>
  <si>
    <t>Shopping W</t>
  </si>
  <si>
    <t>Hobbies W</t>
  </si>
  <si>
    <t>Sum of Fuel W</t>
  </si>
  <si>
    <t>Sum of Leisure W</t>
  </si>
  <si>
    <t>Sum of Shopping W</t>
  </si>
  <si>
    <t>Sum of Hobbies W</t>
  </si>
  <si>
    <t>Sum of Fuel S</t>
  </si>
  <si>
    <t>Sum of Leisure S</t>
  </si>
  <si>
    <t>Sum of Hobbies S</t>
  </si>
  <si>
    <t>Sum of Shopping S</t>
  </si>
  <si>
    <t>Week</t>
  </si>
  <si>
    <t>NON</t>
  </si>
  <si>
    <t>LOW</t>
  </si>
  <si>
    <t>MIDDLE</t>
  </si>
  <si>
    <t>HIGH</t>
  </si>
  <si>
    <t>WEEK</t>
  </si>
  <si>
    <t>W/D</t>
  </si>
  <si>
    <t>Calendar</t>
  </si>
  <si>
    <t>heatmap</t>
  </si>
  <si>
    <t>Cost</t>
  </si>
  <si>
    <t>Budget Plan</t>
  </si>
  <si>
    <t>Years</t>
  </si>
  <si>
    <t>First</t>
  </si>
  <si>
    <t>Middle</t>
  </si>
  <si>
    <t xml:space="preserve"> Last</t>
  </si>
  <si>
    <t>Label</t>
  </si>
  <si>
    <t xml:space="preserve">       </t>
  </si>
  <si>
    <t>Financial Goals</t>
  </si>
  <si>
    <t>Total Progress</t>
  </si>
  <si>
    <t>Current</t>
  </si>
  <si>
    <t>Expense Areas</t>
  </si>
  <si>
    <t>Expense Categories</t>
  </si>
  <si>
    <t>#3883D4</t>
  </si>
  <si>
    <t>#224192</t>
  </si>
  <si>
    <t>#21509A</t>
  </si>
  <si>
    <t>#0F2453</t>
  </si>
  <si>
    <t>#6494DA</t>
  </si>
  <si>
    <t>#BCC6FF</t>
  </si>
  <si>
    <t>#2F6EC7</t>
  </si>
  <si>
    <t>Line</t>
  </si>
  <si>
    <t>#224E9F</t>
  </si>
  <si>
    <t>#1C4285</t>
  </si>
  <si>
    <t>#132D64</t>
  </si>
  <si>
    <t>#15306A</t>
  </si>
  <si>
    <t>#13295E</t>
  </si>
  <si>
    <t>#4F62B8</t>
  </si>
  <si>
    <t>#042433</t>
  </si>
  <si>
    <t>#0F2659</t>
  </si>
  <si>
    <t>#0A0E14</t>
  </si>
  <si>
    <t>#0D2048</t>
  </si>
  <si>
    <t>#A2ADBE</t>
  </si>
  <si>
    <t>#28BEBA</t>
  </si>
  <si>
    <t>#1D8986</t>
  </si>
  <si>
    <t>#5A82DC</t>
  </si>
  <si>
    <t>#2B5BCB</t>
  </si>
  <si>
    <t>#FFA3AC</t>
  </si>
  <si>
    <t>#FF5C6D</t>
  </si>
  <si>
    <t>#00ADD6</t>
  </si>
  <si>
    <t>#007D9B</t>
  </si>
  <si>
    <t>#6978B4</t>
  </si>
  <si>
    <t>#4E5E9D</t>
  </si>
  <si>
    <t>#193B8A</t>
  </si>
  <si>
    <t>#1992E6</t>
  </si>
  <si>
    <t>#2373DF</t>
  </si>
  <si>
    <t>#18387B</t>
  </si>
  <si>
    <t>#09C3F2</t>
  </si>
  <si>
    <t>#06D3D9</t>
  </si>
  <si>
    <t>#2C71E7</t>
  </si>
  <si>
    <t xml:space="preserve"> Activity </t>
  </si>
  <si>
    <t>#00103E</t>
  </si>
  <si>
    <t>#2C67BE</t>
  </si>
  <si>
    <t>#178BFF</t>
  </si>
  <si>
    <t>#215F9A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</si>
</sst>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44" formatCode="_(&quot;$&quot;* #,##0.00_);_(&quot;$&quot;* \(#,##0.00\);_(&quot;$&quot;* &quot;-&quot;??_);_(@_)"/>
    <numFmt numFmtId="164" formatCode="_(&quot;$&quot;* #,##0_);_(&quot;$&quot;* \(#,##0\);_(&quot;$&quot;* &quot;-&quot;??_);_(@_)"/>
    <numFmt numFmtId="165" formatCode="&quot;$&quot;#\ ###\ ###;\-&quot;$&quot;#\ ###\ ###;"/>
    <numFmt numFmtId="166" formatCode="&quot;$&quot;#\ ###\ ###;\-&quot;$&quot;#\ ###\ ###;&quot;$&quot;\ 0;"/>
  </numFmts>
  <fonts count="10" x14ac:knownFonts="1">
    <font>
      <sz val="11"/>
      <color theme="1"/>
      <name val="Aptos Narrow"/>
      <family val="2"/>
      <scheme val="minor"/>
    </font>
    <font>
      <sz val="11"/>
      <color theme="1"/>
      <name val="Aptos Narrow"/>
      <family val="2"/>
      <scheme val="minor"/>
    </font>
    <font>
      <b/>
      <sz val="11"/>
      <color theme="1"/>
      <name val="Aptos Narrow"/>
      <family val="2"/>
      <scheme val="minor"/>
    </font>
    <font>
      <sz val="11"/>
      <color theme="0"/>
      <name val="Aptos Narrow"/>
      <family val="2"/>
      <scheme val="minor"/>
    </font>
    <font>
      <sz val="11"/>
      <color rgb="FFFF0000"/>
      <name val="Aptos Narrow"/>
      <family val="2"/>
      <scheme val="minor"/>
    </font>
    <font>
      <b/>
      <sz val="11"/>
      <color rgb="FFFF00FF"/>
      <name val="Aptos Narrow"/>
      <family val="2"/>
      <scheme val="minor"/>
    </font>
    <font>
      <sz val="11"/>
      <color rgb="FFFF00FF"/>
      <name val="Aptos Narrow"/>
      <family val="2"/>
      <scheme val="minor"/>
    </font>
    <font>
      <u/>
      <sz val="11"/>
      <color theme="10"/>
      <name val="Aptos Narrow"/>
      <family val="2"/>
      <scheme val="minor"/>
    </font>
    <font>
      <sz val="9"/>
      <color rgb="FFFF0000"/>
      <name val="Aptos Narrow"/>
      <family val="2"/>
      <scheme val="minor"/>
    </font>
    <font>
      <u/>
      <sz val="28"/>
      <color theme="0"/>
      <name val="Aptos Narrow"/>
      <family val="2"/>
      <scheme val="minor"/>
    </font>
  </fonts>
  <fills count="43">
    <fill>
      <patternFill patternType="none"/>
    </fill>
    <fill>
      <patternFill patternType="gray125"/>
    </fill>
    <fill>
      <patternFill patternType="solid">
        <fgColor theme="0" tint="-4.9989318521683403E-2"/>
        <bgColor indexed="64"/>
      </patternFill>
    </fill>
    <fill>
      <patternFill patternType="solid">
        <fgColor rgb="FF3883D4"/>
        <bgColor indexed="64"/>
      </patternFill>
    </fill>
    <fill>
      <patternFill patternType="solid">
        <fgColor rgb="FF224192"/>
        <bgColor indexed="64"/>
      </patternFill>
    </fill>
    <fill>
      <patternFill patternType="solid">
        <fgColor rgb="FF21509A"/>
        <bgColor indexed="64"/>
      </patternFill>
    </fill>
    <fill>
      <patternFill patternType="solid">
        <fgColor rgb="FF0F2453"/>
        <bgColor indexed="64"/>
      </patternFill>
    </fill>
    <fill>
      <patternFill patternType="solid">
        <fgColor rgb="FF6494DA"/>
        <bgColor indexed="64"/>
      </patternFill>
    </fill>
    <fill>
      <patternFill patternType="solid">
        <fgColor rgb="FFBCC6FF"/>
        <bgColor indexed="64"/>
      </patternFill>
    </fill>
    <fill>
      <patternFill patternType="solid">
        <fgColor rgb="FF2F6EC7"/>
        <bgColor indexed="64"/>
      </patternFill>
    </fill>
    <fill>
      <patternFill patternType="solid">
        <fgColor rgb="FF224E9F"/>
        <bgColor indexed="64"/>
      </patternFill>
    </fill>
    <fill>
      <patternFill patternType="solid">
        <fgColor rgb="FF1C4285"/>
        <bgColor indexed="64"/>
      </patternFill>
    </fill>
    <fill>
      <patternFill patternType="solid">
        <fgColor rgb="FF132D64"/>
        <bgColor indexed="64"/>
      </patternFill>
    </fill>
    <fill>
      <patternFill patternType="solid">
        <fgColor rgb="FF15306A"/>
        <bgColor indexed="64"/>
      </patternFill>
    </fill>
    <fill>
      <patternFill patternType="solid">
        <fgColor rgb="FF13295E"/>
        <bgColor indexed="64"/>
      </patternFill>
    </fill>
    <fill>
      <patternFill patternType="solid">
        <fgColor rgb="FF4F62B8"/>
        <bgColor indexed="64"/>
      </patternFill>
    </fill>
    <fill>
      <patternFill patternType="solid">
        <fgColor rgb="FF042433"/>
        <bgColor indexed="64"/>
      </patternFill>
    </fill>
    <fill>
      <patternFill patternType="solid">
        <fgColor rgb="FF0F2659"/>
        <bgColor indexed="64"/>
      </patternFill>
    </fill>
    <fill>
      <patternFill patternType="solid">
        <fgColor rgb="FF0A0E14"/>
        <bgColor indexed="64"/>
      </patternFill>
    </fill>
    <fill>
      <patternFill patternType="solid">
        <fgColor rgb="FF0D2048"/>
        <bgColor indexed="64"/>
      </patternFill>
    </fill>
    <fill>
      <patternFill patternType="solid">
        <fgColor rgb="FFA2ADBE"/>
        <bgColor indexed="64"/>
      </patternFill>
    </fill>
    <fill>
      <patternFill patternType="solid">
        <fgColor rgb="FF28BEBA"/>
        <bgColor indexed="64"/>
      </patternFill>
    </fill>
    <fill>
      <patternFill patternType="solid">
        <fgColor rgb="FF1D8986"/>
        <bgColor indexed="64"/>
      </patternFill>
    </fill>
    <fill>
      <patternFill patternType="solid">
        <fgColor rgb="FF5A82DC"/>
        <bgColor indexed="64"/>
      </patternFill>
    </fill>
    <fill>
      <patternFill patternType="solid">
        <fgColor rgb="FF2B5BCB"/>
        <bgColor indexed="64"/>
      </patternFill>
    </fill>
    <fill>
      <patternFill patternType="solid">
        <fgColor rgb="FFFFA3AC"/>
        <bgColor indexed="64"/>
      </patternFill>
    </fill>
    <fill>
      <patternFill patternType="solid">
        <fgColor rgb="FFFF5C6D"/>
        <bgColor indexed="64"/>
      </patternFill>
    </fill>
    <fill>
      <patternFill patternType="solid">
        <fgColor rgb="FF00ADD6"/>
        <bgColor indexed="64"/>
      </patternFill>
    </fill>
    <fill>
      <patternFill patternType="solid">
        <fgColor rgb="FF007D9B"/>
        <bgColor indexed="64"/>
      </patternFill>
    </fill>
    <fill>
      <patternFill patternType="solid">
        <fgColor rgb="FF6978B4"/>
        <bgColor indexed="64"/>
      </patternFill>
    </fill>
    <fill>
      <patternFill patternType="solid">
        <fgColor rgb="FF4E5E9D"/>
        <bgColor indexed="64"/>
      </patternFill>
    </fill>
    <fill>
      <patternFill patternType="solid">
        <fgColor rgb="FF193B8A"/>
        <bgColor indexed="64"/>
      </patternFill>
    </fill>
    <fill>
      <patternFill patternType="solid">
        <fgColor rgb="FF1992E6"/>
        <bgColor indexed="64"/>
      </patternFill>
    </fill>
    <fill>
      <patternFill patternType="solid">
        <fgColor rgb="FF2373DF"/>
        <bgColor indexed="64"/>
      </patternFill>
    </fill>
    <fill>
      <patternFill patternType="solid">
        <fgColor rgb="FF18387B"/>
        <bgColor indexed="64"/>
      </patternFill>
    </fill>
    <fill>
      <patternFill patternType="solid">
        <fgColor rgb="FF09C3F2"/>
        <bgColor indexed="64"/>
      </patternFill>
    </fill>
    <fill>
      <patternFill patternType="solid">
        <fgColor rgb="FF06D3D9"/>
        <bgColor indexed="64"/>
      </patternFill>
    </fill>
    <fill>
      <patternFill patternType="solid">
        <fgColor rgb="FF2C71E7"/>
        <bgColor indexed="64"/>
      </patternFill>
    </fill>
    <fill>
      <patternFill patternType="solid">
        <fgColor rgb="FF00103E"/>
        <bgColor indexed="64"/>
      </patternFill>
    </fill>
    <fill>
      <patternFill patternType="solid">
        <fgColor rgb="FF178BFF"/>
        <bgColor indexed="64"/>
      </patternFill>
    </fill>
    <fill>
      <patternFill patternType="solid">
        <fgColor rgb="FF2C67BE"/>
        <bgColor indexed="64"/>
      </patternFill>
    </fill>
    <fill>
      <patternFill patternType="solid">
        <fgColor rgb="FF215F9A"/>
        <bgColor indexed="64"/>
      </patternFill>
    </fill>
    <fill>
      <patternFill patternType="darkUp">
        <bgColor rgb="FF2C67BE"/>
      </patternFill>
    </fill>
  </fills>
  <borders count="6">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4">
    <xf numFmtId="0" fontId="0" fillId="0" borderId="0"/>
    <xf numFmtId="44" fontId="1" fillId="0" borderId="0" applyFont="0" applyFill="0" applyBorder="0" applyAlignment="0" applyProtection="0"/>
    <xf numFmtId="9" fontId="1" fillId="0" borderId="0" applyFont="0" applyFill="0" applyBorder="0" applyAlignment="0" applyProtection="0"/>
    <xf numFmtId="0" fontId="7" fillId="0" borderId="0" applyNumberFormat="0" applyFill="0" applyBorder="0" applyAlignment="0" applyProtection="0"/>
  </cellStyleXfs>
  <cellXfs count="83">
    <xf numFmtId="0" fontId="0" fillId="0" borderId="0" xfId="0"/>
    <xf numFmtId="0" fontId="2" fillId="0" borderId="0" xfId="0" applyFont="1" applyAlignment="1">
      <alignment horizontal="center"/>
    </xf>
    <xf numFmtId="0" fontId="0" fillId="0" borderId="0" xfId="0" applyAlignment="1">
      <alignment horizontal="center"/>
    </xf>
    <xf numFmtId="0" fontId="2" fillId="0" borderId="0" xfId="0" applyFont="1" applyAlignment="1">
      <alignment horizontal="left"/>
    </xf>
    <xf numFmtId="164" fontId="0" fillId="0" borderId="0" xfId="1" applyNumberFormat="1" applyFont="1"/>
    <xf numFmtId="0" fontId="0" fillId="0" borderId="0" xfId="0" applyAlignment="1">
      <alignment horizontal="left"/>
    </xf>
    <xf numFmtId="9" fontId="2" fillId="0" borderId="0" xfId="2" applyFont="1" applyAlignment="1">
      <alignment horizontal="center"/>
    </xf>
    <xf numFmtId="9" fontId="0" fillId="0" borderId="0" xfId="2" applyFont="1" applyAlignment="1">
      <alignment horizontal="center"/>
    </xf>
    <xf numFmtId="0" fontId="2" fillId="0" borderId="1" xfId="0" applyFont="1" applyBorder="1" applyAlignment="1">
      <alignment horizontal="center" vertical="center"/>
    </xf>
    <xf numFmtId="9" fontId="0" fillId="0" borderId="0" xfId="0" applyNumberFormat="1" applyAlignment="1">
      <alignment horizontal="center"/>
    </xf>
    <xf numFmtId="0" fontId="0" fillId="0" borderId="1" xfId="0" applyBorder="1" applyAlignment="1">
      <alignment horizontal="center" vertical="center"/>
    </xf>
    <xf numFmtId="0" fontId="2" fillId="0" borderId="0" xfId="0" applyFont="1"/>
    <xf numFmtId="44" fontId="0" fillId="0" borderId="0" xfId="0" applyNumberFormat="1"/>
    <xf numFmtId="164" fontId="0" fillId="0" borderId="0" xfId="0" applyNumberFormat="1"/>
    <xf numFmtId="44" fontId="2" fillId="0" borderId="0" xfId="0" applyNumberFormat="1" applyFont="1"/>
    <xf numFmtId="0" fontId="0" fillId="0" borderId="0" xfId="0" quotePrefix="1"/>
    <xf numFmtId="0" fontId="2" fillId="0" borderId="1" xfId="0" applyFont="1" applyBorder="1" applyAlignment="1">
      <alignment horizontal="center"/>
    </xf>
    <xf numFmtId="0" fontId="0" fillId="0" borderId="1" xfId="0" applyBorder="1" applyAlignment="1">
      <alignment horizontal="center"/>
    </xf>
    <xf numFmtId="0" fontId="0" fillId="0" borderId="0" xfId="0" pivotButton="1"/>
    <xf numFmtId="0" fontId="0" fillId="0" borderId="0" xfId="2" applyNumberFormat="1" applyFont="1" applyAlignment="1">
      <alignment horizontal="center"/>
    </xf>
    <xf numFmtId="0" fontId="2" fillId="2" borderId="1" xfId="0" applyFont="1" applyFill="1" applyBorder="1" applyAlignment="1">
      <alignment horizontal="center" vertical="center"/>
    </xf>
    <xf numFmtId="0" fontId="2" fillId="2" borderId="1" xfId="0" applyFont="1" applyFill="1" applyBorder="1" applyAlignment="1">
      <alignment horizontal="center"/>
    </xf>
    <xf numFmtId="0" fontId="2" fillId="0" borderId="0" xfId="0" applyFont="1" applyAlignment="1">
      <alignment horizontal="center" vertical="center"/>
    </xf>
    <xf numFmtId="0" fontId="0" fillId="0" borderId="0" xfId="0" applyAlignment="1">
      <alignment horizontal="center" vertical="center"/>
    </xf>
    <xf numFmtId="0" fontId="2" fillId="0" borderId="0" xfId="0" applyFont="1" applyAlignment="1">
      <alignment horizontal="right" vertical="center"/>
    </xf>
    <xf numFmtId="0" fontId="0" fillId="0" borderId="2" xfId="0" applyBorder="1" applyAlignment="1">
      <alignment horizontal="center"/>
    </xf>
    <xf numFmtId="165" fontId="0" fillId="0" borderId="0" xfId="1" applyNumberFormat="1" applyFont="1" applyAlignment="1">
      <alignment horizontal="left"/>
    </xf>
    <xf numFmtId="9" fontId="0" fillId="0" borderId="0" xfId="2" applyFont="1"/>
    <xf numFmtId="166" fontId="0" fillId="0" borderId="0" xfId="1" applyNumberFormat="1" applyFont="1" applyAlignment="1">
      <alignment horizontal="left"/>
    </xf>
    <xf numFmtId="0" fontId="3" fillId="3" borderId="0" xfId="0" applyFont="1" applyFill="1"/>
    <xf numFmtId="0" fontId="3" fillId="4" borderId="0" xfId="0" applyFont="1" applyFill="1"/>
    <xf numFmtId="0" fontId="3" fillId="0" borderId="0" xfId="0" applyFont="1"/>
    <xf numFmtId="0" fontId="3" fillId="5" borderId="0" xfId="0" applyFont="1" applyFill="1"/>
    <xf numFmtId="0" fontId="3" fillId="6" borderId="0" xfId="0" applyFont="1" applyFill="1"/>
    <xf numFmtId="0" fontId="3" fillId="7" borderId="0" xfId="0" applyFont="1" applyFill="1"/>
    <xf numFmtId="0" fontId="3" fillId="8" borderId="0" xfId="0" applyFont="1" applyFill="1"/>
    <xf numFmtId="0" fontId="3" fillId="9" borderId="0" xfId="0" applyFont="1" applyFill="1"/>
    <xf numFmtId="0" fontId="3" fillId="10" borderId="0" xfId="0" applyFont="1" applyFill="1"/>
    <xf numFmtId="0" fontId="3" fillId="11" borderId="0" xfId="0" applyFont="1" applyFill="1"/>
    <xf numFmtId="0" fontId="3" fillId="12" borderId="0" xfId="0" applyFont="1" applyFill="1"/>
    <xf numFmtId="0" fontId="3" fillId="13" borderId="0" xfId="0" applyFont="1" applyFill="1"/>
    <xf numFmtId="0" fontId="3" fillId="14" borderId="0" xfId="0" applyFont="1" applyFill="1"/>
    <xf numFmtId="0" fontId="3" fillId="15" borderId="0" xfId="0" applyFont="1" applyFill="1"/>
    <xf numFmtId="0" fontId="3" fillId="16" borderId="0" xfId="0" applyFont="1" applyFill="1"/>
    <xf numFmtId="0" fontId="3" fillId="17" borderId="0" xfId="0" applyFont="1" applyFill="1"/>
    <xf numFmtId="0" fontId="3" fillId="18" borderId="0" xfId="0" applyFont="1" applyFill="1"/>
    <xf numFmtId="0" fontId="3" fillId="19" borderId="0" xfId="0" applyFont="1" applyFill="1"/>
    <xf numFmtId="0" fontId="3" fillId="20" borderId="0" xfId="0" applyFont="1" applyFill="1"/>
    <xf numFmtId="0" fontId="3" fillId="21" borderId="0" xfId="0" applyFont="1" applyFill="1"/>
    <xf numFmtId="0" fontId="3" fillId="22" borderId="0" xfId="0" applyFont="1" applyFill="1"/>
    <xf numFmtId="0" fontId="3" fillId="23" borderId="0" xfId="0" applyFont="1" applyFill="1"/>
    <xf numFmtId="0" fontId="3" fillId="24" borderId="0" xfId="0" applyFont="1" applyFill="1"/>
    <xf numFmtId="0" fontId="3" fillId="25" borderId="0" xfId="0" applyFont="1" applyFill="1"/>
    <xf numFmtId="0" fontId="3" fillId="26" borderId="0" xfId="0" applyFont="1" applyFill="1"/>
    <xf numFmtId="0" fontId="3" fillId="27" borderId="0" xfId="0" applyFont="1" applyFill="1"/>
    <xf numFmtId="0" fontId="3" fillId="28" borderId="0" xfId="0" applyFont="1" applyFill="1"/>
    <xf numFmtId="0" fontId="3" fillId="29" borderId="0" xfId="0" applyFont="1" applyFill="1"/>
    <xf numFmtId="0" fontId="3" fillId="30" borderId="0" xfId="0" applyFont="1" applyFill="1"/>
    <xf numFmtId="0" fontId="3" fillId="31" borderId="0" xfId="0" applyFont="1" applyFill="1"/>
    <xf numFmtId="0" fontId="0" fillId="33" borderId="0" xfId="0" applyFill="1"/>
    <xf numFmtId="0" fontId="3" fillId="32" borderId="0" xfId="0" applyFont="1" applyFill="1"/>
    <xf numFmtId="0" fontId="3" fillId="33" borderId="0" xfId="0" applyFont="1" applyFill="1"/>
    <xf numFmtId="0" fontId="3" fillId="34" borderId="0" xfId="0" applyFont="1" applyFill="1"/>
    <xf numFmtId="0" fontId="0" fillId="35" borderId="0" xfId="0" applyFill="1"/>
    <xf numFmtId="0" fontId="0" fillId="36" borderId="0" xfId="0" applyFill="1"/>
    <xf numFmtId="0" fontId="0" fillId="37" borderId="0" xfId="0" applyFill="1"/>
    <xf numFmtId="0" fontId="3" fillId="40" borderId="0" xfId="0" applyFont="1" applyFill="1" applyAlignment="1">
      <alignment horizontal="center"/>
    </xf>
    <xf numFmtId="0" fontId="3" fillId="39" borderId="0" xfId="0" applyFont="1" applyFill="1" applyAlignment="1">
      <alignment horizontal="center"/>
    </xf>
    <xf numFmtId="0" fontId="3" fillId="38" borderId="0" xfId="0" applyFont="1" applyFill="1" applyAlignment="1">
      <alignment horizontal="left"/>
    </xf>
    <xf numFmtId="0" fontId="3" fillId="40" borderId="0" xfId="0" applyFont="1" applyFill="1" applyAlignment="1">
      <alignment horizontal="left"/>
    </xf>
    <xf numFmtId="0" fontId="3" fillId="39" borderId="0" xfId="0" applyFont="1" applyFill="1" applyAlignment="1">
      <alignment horizontal="left"/>
    </xf>
    <xf numFmtId="0" fontId="3" fillId="41" borderId="0" xfId="0" applyFont="1" applyFill="1"/>
    <xf numFmtId="0" fontId="3" fillId="38" borderId="0" xfId="0" applyFont="1" applyFill="1" applyAlignment="1">
      <alignment horizontal="center"/>
    </xf>
    <xf numFmtId="0" fontId="3" fillId="42" borderId="0" xfId="0" applyFont="1" applyFill="1" applyAlignment="1">
      <alignment horizontal="center"/>
    </xf>
    <xf numFmtId="166" fontId="0" fillId="0" borderId="0" xfId="1" applyNumberFormat="1" applyFont="1" applyAlignment="1">
      <alignment horizontal="center"/>
    </xf>
    <xf numFmtId="0" fontId="5" fillId="2" borderId="1" xfId="0" applyFont="1" applyFill="1" applyBorder="1" applyAlignment="1">
      <alignment horizontal="center"/>
    </xf>
    <xf numFmtId="0" fontId="6" fillId="0" borderId="0" xfId="0" applyFont="1" applyAlignment="1">
      <alignment horizontal="center"/>
    </xf>
    <xf numFmtId="0" fontId="4" fillId="0" borderId="0" xfId="0" applyFont="1" applyAlignment="1">
      <alignment horizontal="center"/>
    </xf>
    <xf numFmtId="0" fontId="8" fillId="0" borderId="0" xfId="0" applyFont="1" applyAlignment="1">
      <alignment horizontal="left"/>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2" fillId="0" borderId="5" xfId="0" applyFont="1" applyBorder="1" applyAlignment="1">
      <alignment horizontal="center" vertical="center"/>
    </xf>
    <xf numFmtId="0" fontId="9" fillId="0" borderId="0" xfId="3" applyFont="1" applyFill="1" applyAlignment="1"/>
  </cellXfs>
  <cellStyles count="4">
    <cellStyle name="Currency" xfId="1" builtinId="4"/>
    <cellStyle name="Hyperlink" xfId="3" builtinId="8"/>
    <cellStyle name="Normal" xfId="0" builtinId="0"/>
    <cellStyle name="Percent" xfId="2" builtinId="5"/>
  </cellStyles>
  <dxfs count="54">
    <dxf>
      <font>
        <color theme="0"/>
      </font>
      <fill>
        <gradientFill degree="90">
          <stop position="0">
            <color rgb="FF00103E"/>
          </stop>
          <stop position="1">
            <color rgb="FF00103E"/>
          </stop>
        </gradientFill>
      </fill>
    </dxf>
    <dxf>
      <font>
        <color theme="0"/>
      </font>
      <fill>
        <patternFill patternType="darkUp">
          <fgColor rgb="FF2C67BE"/>
          <bgColor theme="1"/>
        </patternFill>
      </fill>
    </dxf>
    <dxf>
      <font>
        <color theme="0"/>
      </font>
      <fill>
        <gradientFill degree="90">
          <stop position="0">
            <color rgb="FF2C67BE"/>
          </stop>
          <stop position="1">
            <color rgb="FF2C67BE"/>
          </stop>
        </gradientFill>
      </fill>
    </dxf>
    <dxf>
      <font>
        <color theme="0"/>
      </font>
      <fill>
        <gradientFill degree="90">
          <stop position="0">
            <color rgb="FF178BFF"/>
          </stop>
          <stop position="1">
            <color rgb="FF178BFF"/>
          </stop>
        </gradientFill>
      </fill>
    </dxf>
    <dxf>
      <font>
        <b val="0"/>
        <i val="0"/>
        <strike val="0"/>
        <condense val="0"/>
        <extend val="0"/>
        <outline val="0"/>
        <shadow val="0"/>
        <u val="none"/>
        <vertAlign val="baseline"/>
        <sz val="11"/>
        <color theme="1"/>
        <name val="Aptos Narrow"/>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1"/>
        <color theme="1"/>
        <name val="Aptos Narrow"/>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1"/>
        <color theme="1"/>
        <name val="Aptos Narrow"/>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1"/>
        <color theme="1"/>
        <name val="Aptos Narrow"/>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1"/>
        <color theme="1"/>
        <name val="Aptos Narrow"/>
        <family val="2"/>
        <scheme val="minor"/>
      </font>
      <alignment horizontal="center" vertical="bottom" textRotation="0" wrapText="0" indent="0" justifyLastLine="0" shrinkToFit="0" readingOrder="0"/>
    </dxf>
    <dxf>
      <alignment horizontal="center" vertical="bottom" textRotation="0" wrapText="0" indent="0" justifyLastLine="0" shrinkToFit="0" readingOrder="0"/>
    </dxf>
    <dxf>
      <font>
        <b val="0"/>
        <i val="0"/>
        <strike val="0"/>
        <condense val="0"/>
        <extend val="0"/>
        <outline val="0"/>
        <shadow val="0"/>
        <u val="none"/>
        <vertAlign val="baseline"/>
        <sz val="11"/>
        <color theme="1"/>
        <name val="Aptos Narrow"/>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1"/>
        <color theme="1"/>
        <name val="Aptos Narrow"/>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1"/>
        <color theme="1"/>
        <name val="Aptos Narrow"/>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1"/>
        <color theme="1"/>
        <name val="Aptos Narrow"/>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1"/>
        <color theme="1"/>
        <name val="Aptos Narrow"/>
        <family val="2"/>
        <scheme val="minor"/>
      </font>
      <alignment horizontal="center" vertical="bottom" textRotation="0" wrapText="0" indent="0" justifyLastLine="0" shrinkToFit="0" readingOrder="0"/>
    </dxf>
    <dxf>
      <alignment horizontal="center" vertical="bottom" textRotation="0" wrapText="0" indent="0" justifyLastLine="0" shrinkToFit="0" readingOrder="0"/>
    </dxf>
    <dxf>
      <font>
        <b val="0"/>
        <i val="0"/>
        <strike val="0"/>
        <condense val="0"/>
        <extend val="0"/>
        <outline val="0"/>
        <shadow val="0"/>
        <u val="none"/>
        <vertAlign val="baseline"/>
        <sz val="11"/>
        <color theme="1"/>
        <name val="Aptos Narrow"/>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1"/>
        <color theme="1"/>
        <name val="Aptos Narrow"/>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1"/>
        <color theme="1"/>
        <name val="Aptos Narrow"/>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1"/>
        <color theme="1"/>
        <name val="Aptos Narrow"/>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1"/>
        <color theme="1"/>
        <name val="Aptos Narrow"/>
        <family val="2"/>
        <scheme val="minor"/>
      </font>
      <alignment horizontal="center" vertical="bottom" textRotation="0" wrapText="0" indent="0" justifyLastLine="0" shrinkToFit="0" readingOrder="0"/>
    </dxf>
    <dxf>
      <alignment horizontal="center" vertical="bottom" textRotation="0" wrapText="0" indent="0" justifyLastLine="0" shrinkToFit="0" readingOrder="0"/>
    </dxf>
    <dxf>
      <font>
        <b val="0"/>
        <i val="0"/>
        <strike val="0"/>
        <condense val="0"/>
        <extend val="0"/>
        <outline val="0"/>
        <shadow val="0"/>
        <u val="none"/>
        <vertAlign val="baseline"/>
        <sz val="11"/>
        <color theme="1"/>
        <name val="Aptos Narrow"/>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1"/>
        <color theme="1"/>
        <name val="Aptos Narrow"/>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1"/>
        <color theme="1"/>
        <name val="Aptos Narrow"/>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1"/>
        <color theme="1"/>
        <name val="Aptos Narrow"/>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1"/>
        <color theme="1"/>
        <name val="Aptos Narrow"/>
        <family val="2"/>
        <scheme val="minor"/>
      </font>
      <alignment horizontal="center" vertical="bottom" textRotation="0" wrapText="0" indent="0" justifyLastLine="0" shrinkToFit="0" readingOrder="0"/>
    </dxf>
    <dxf>
      <alignment horizontal="center" vertical="bottom" textRotation="0" wrapText="0" indent="0" justifyLastLine="0" shrinkToFit="0" readingOrder="0"/>
    </dxf>
    <dxf>
      <font>
        <b val="0"/>
        <i val="0"/>
        <strike val="0"/>
        <condense val="0"/>
        <extend val="0"/>
        <outline val="0"/>
        <shadow val="0"/>
        <u val="none"/>
        <vertAlign val="baseline"/>
        <sz val="11"/>
        <color theme="1"/>
        <name val="Aptos Narrow"/>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1"/>
        <color theme="1"/>
        <name val="Aptos Narrow"/>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1"/>
        <color theme="1"/>
        <name val="Aptos Narrow"/>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1"/>
        <color theme="1"/>
        <name val="Aptos Narrow"/>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1"/>
        <color theme="1"/>
        <name val="Aptos Narrow"/>
        <family val="2"/>
        <scheme val="minor"/>
      </font>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font>
        <b/>
        <i val="0"/>
        <strike val="0"/>
        <condense val="0"/>
        <extend val="0"/>
        <outline val="0"/>
        <shadow val="0"/>
        <u val="none"/>
        <vertAlign val="baseline"/>
        <sz val="11"/>
        <color theme="1"/>
        <name val="Aptos Narrow"/>
        <family val="2"/>
        <scheme val="minor"/>
      </font>
      <alignment horizontal="center" vertical="bottom" textRotation="0" wrapText="0" indent="0" justifyLastLine="0" shrinkToFit="0" readingOrder="0"/>
    </dxf>
    <dxf>
      <font>
        <b/>
        <color theme="1"/>
      </font>
      <border>
        <bottom style="thin">
          <color theme="4"/>
        </bottom>
        <vertical/>
        <horizontal/>
      </border>
    </dxf>
    <dxf>
      <font>
        <color theme="1"/>
      </font>
      <fill>
        <patternFill>
          <bgColor theme="0"/>
        </patternFill>
      </fill>
      <border diagonalUp="0" diagonalDown="0">
        <left/>
        <right/>
        <top/>
        <bottom/>
        <vertical/>
        <horizontal/>
      </border>
    </dxf>
    <dxf>
      <font>
        <b/>
        <color theme="1"/>
      </font>
      <border>
        <bottom style="thin">
          <color theme="4"/>
        </bottom>
        <vertical/>
        <horizontal/>
      </border>
    </dxf>
    <dxf>
      <font>
        <color theme="1"/>
      </font>
      <fill>
        <patternFill>
          <bgColor rgb="FF13295E"/>
        </patternFill>
      </fill>
      <border diagonalUp="0" diagonalDown="0">
        <left/>
        <right/>
        <top/>
        <bottom/>
        <vertical/>
        <horizontal/>
      </border>
    </dxf>
  </dxfs>
  <tableStyles count="2" defaultTableStyle="TableStyleMedium2" defaultPivotStyle="PivotStyleLight16">
    <tableStyle name="SlicerStyleLight1 2 2 3" pivot="0" table="0" count="10" xr9:uid="{B6990D4B-F9E2-4239-B822-BEF7AE22042C}">
      <tableStyleElement type="wholeTable" dxfId="53"/>
      <tableStyleElement type="headerRow" dxfId="52"/>
    </tableStyle>
    <tableStyle name="SlicerStyleLight1 2 2 3 2" pivot="0" table="0" count="10" xr9:uid="{D53C5361-09F9-45AA-A0CE-931F37EE7CE7}">
      <tableStyleElement type="wholeTable" dxfId="51"/>
      <tableStyleElement type="headerRow" dxfId="50"/>
    </tableStyle>
  </tableStyles>
  <colors>
    <mruColors>
      <color rgb="FF215F9A"/>
      <color rgb="FFFF00FF"/>
      <color rgb="FF178BFF"/>
      <color rgb="FF2C67BE"/>
      <color rgb="FF00103E"/>
      <color rgb="FF2373DF"/>
      <color rgb="FF2C71E7"/>
      <color rgb="FF06D3D9"/>
      <color rgb="FF09C3F2"/>
      <color rgb="FF18387B"/>
    </mruColors>
  </colors>
  <extLst>
    <ext xmlns:x14="http://schemas.microsoft.com/office/spreadsheetml/2009/9/main" uri="{46F421CA-312F-682f-3DD2-61675219B42D}">
      <x14:dxfs count="16">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sz val="8"/>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sz val="8"/>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sz val="8"/>
            <color theme="0"/>
          </font>
          <fill>
            <gradientFill degree="90">
              <stop position="0">
                <color rgb="FF5A91F4"/>
              </stop>
              <stop position="1">
                <color rgb="FF2069F0"/>
              </stop>
            </gradientFill>
          </fill>
          <border diagonalUp="0" diagonalDown="0">
            <left/>
            <right/>
            <top/>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sz val="8"/>
            <color rgb="FF455177"/>
          </font>
          <fill>
            <patternFill patternType="solid">
              <fgColor auto="1"/>
              <bgColor theme="0"/>
            </patternFill>
          </fill>
          <border diagonalUp="0" diagonalDown="0">
            <left/>
            <right/>
            <top/>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sz val="8"/>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sz val="8"/>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sz val="8"/>
            <color theme="0"/>
          </font>
          <fill>
            <gradientFill degree="90">
              <stop position="0">
                <color rgb="FF5A91F4"/>
              </stop>
              <stop position="1">
                <color rgb="FF2069F0"/>
              </stop>
            </gradientFill>
          </fill>
          <border diagonalUp="0" diagonalDown="0">
            <left/>
            <right/>
            <top/>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sz val="8"/>
            <color theme="3" tint="0.749961851863155"/>
          </font>
          <fill>
            <patternFill patternType="solid">
              <fgColor auto="1"/>
              <bgColor rgb="FF173273"/>
            </patternFill>
          </fill>
          <border diagonalUp="0" diagonalDown="0">
            <left/>
            <right/>
            <top/>
            <bottom/>
            <vertical/>
            <horizontal/>
          </border>
        </dxf>
      </x14:dxfs>
    </ext>
    <ext xmlns:x14="http://schemas.microsoft.com/office/spreadsheetml/2009/9/main" uri="{EB79DEF2-80B8-43e5-95BD-54CBDDF9020C}">
      <x14:slicerStyles defaultSlicerStyle="SlicerStyleLight1">
        <x14:slicerStyle name="SlicerStyleLight1 2 2 3">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Light1 2 2 3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5"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pivotCacheDefinition" Target="pivotCache/pivotCacheDefinition3.xml"/><Relationship Id="rId20" Type="http://schemas.microsoft.com/office/2007/relationships/slicerCache" Target="slicerCaches/slicerCache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eetMetadata" Target="metadata.xml"/><Relationship Id="rId5" Type="http://schemas.openxmlformats.org/officeDocument/2006/relationships/worksheet" Target="worksheets/sheet5.xml"/><Relationship Id="rId15" Type="http://schemas.openxmlformats.org/officeDocument/2006/relationships/pivotCacheDefinition" Target="pivotCache/pivotCacheDefinition2.xml"/><Relationship Id="rId23" Type="http://schemas.openxmlformats.org/officeDocument/2006/relationships/sharedStrings" Target="sharedStrings.xml"/><Relationship Id="rId10" Type="http://schemas.openxmlformats.org/officeDocument/2006/relationships/worksheet" Target="worksheets/sheet10.xml"/><Relationship Id="rId19" Type="http://schemas.microsoft.com/office/2007/relationships/slicerCache" Target="slicerCaches/slicerCache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1.xml"/><Relationship Id="rId22" Type="http://schemas.openxmlformats.org/officeDocument/2006/relationships/styles" Target="styles.xml"/></Relationships>
</file>

<file path=xl/charts/_rels/chart3.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4.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6.png"/><Relationship Id="rId1" Type="http://schemas.openxmlformats.org/officeDocument/2006/relationships/image" Target="../media/image5.png"/></Relationships>
</file>

<file path=xl/charts/_rels/chart1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14.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6.png"/><Relationship Id="rId1" Type="http://schemas.openxmlformats.org/officeDocument/2006/relationships/image" Target="../media/image5.png"/></Relationships>
</file>

<file path=xl/charts/_rels/chart2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24.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6.png"/><Relationship Id="rId1" Type="http://schemas.openxmlformats.org/officeDocument/2006/relationships/image" Target="../media/image5.png"/></Relationships>
</file>

<file path=xl/charts/_rels/chart31.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3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35.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6.png"/><Relationship Id="rId1" Type="http://schemas.openxmlformats.org/officeDocument/2006/relationships/image" Target="../media/image5.png"/></Relationships>
</file>

<file path=xl/charts/_rels/chart42.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43.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44.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6.png"/><Relationship Id="rId1" Type="http://schemas.openxmlformats.org/officeDocument/2006/relationships/image" Target="../media/image5.png"/></Relationships>
</file>

<file path=xl/charts/_rels/chart51.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54.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55.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6.png"/><Relationship Id="rId1" Type="http://schemas.openxmlformats.org/officeDocument/2006/relationships/image" Target="../media/image5.png"/></Relationships>
</file>

<file path=xl/charts/_rels/chart62.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67.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68.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6.png"/><Relationship Id="rId1" Type="http://schemas.openxmlformats.org/officeDocument/2006/relationships/image" Target="../media/image5.png"/></Relationships>
</file>

<file path=xl/charts/_rels/chart77.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78.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6.png"/><Relationship Id="rId1" Type="http://schemas.openxmlformats.org/officeDocument/2006/relationships/image" Target="../media/image5.png"/></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Processing!$H$2</c:f>
              <c:strCache>
                <c:ptCount val="1"/>
                <c:pt idx="0">
                  <c:v>Cursor</c:v>
                </c:pt>
              </c:strCache>
            </c:strRef>
          </c:tx>
          <c:spPr>
            <a:solidFill>
              <a:srgbClr val="A2ADBE">
                <a:alpha val="21000"/>
              </a:srgbClr>
            </a:solidFill>
            <a:ln>
              <a:noFill/>
            </a:ln>
            <a:effectLst/>
          </c:spPr>
          <c:invertIfNegative val="0"/>
          <c:cat>
            <c:strRef>
              <c:f>Processing!$B$3:$B$14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Processing!$H$3:$H$14</c:f>
              <c:numCache>
                <c:formatCode>0%</c:formatCode>
                <c:ptCount val="12"/>
                <c:pt idx="0">
                  <c:v>#N/A</c:v>
                </c:pt>
                <c:pt idx="1">
                  <c:v>#N/A</c:v>
                </c:pt>
                <c:pt idx="2">
                  <c:v>#N/A</c:v>
                </c:pt>
                <c:pt idx="3">
                  <c:v>1</c:v>
                </c:pt>
                <c:pt idx="4">
                  <c:v>1</c:v>
                </c:pt>
                <c:pt idx="5">
                  <c:v>1</c:v>
                </c:pt>
                <c:pt idx="6">
                  <c:v>#N/A</c:v>
                </c:pt>
                <c:pt idx="7">
                  <c:v>#N/A</c:v>
                </c:pt>
                <c:pt idx="8">
                  <c:v>#N/A</c:v>
                </c:pt>
                <c:pt idx="9">
                  <c:v>#N/A</c:v>
                </c:pt>
                <c:pt idx="10">
                  <c:v>#N/A</c:v>
                </c:pt>
                <c:pt idx="11">
                  <c:v>#N/A</c:v>
                </c:pt>
              </c:numCache>
            </c:numRef>
          </c:val>
          <c:extLst>
            <c:ext xmlns:c16="http://schemas.microsoft.com/office/drawing/2014/chart" uri="{C3380CC4-5D6E-409C-BE32-E72D297353CC}">
              <c16:uniqueId val="{00000000-2A93-4B41-90E6-18A27D795182}"/>
            </c:ext>
          </c:extLst>
        </c:ser>
        <c:dLbls>
          <c:showLegendKey val="0"/>
          <c:showVal val="0"/>
          <c:showCatName val="0"/>
          <c:showSerName val="0"/>
          <c:showPercent val="0"/>
          <c:showBubbleSize val="0"/>
        </c:dLbls>
        <c:gapWidth val="50"/>
        <c:overlap val="-27"/>
        <c:axId val="2029676367"/>
        <c:axId val="2029690287"/>
      </c:barChart>
      <c:catAx>
        <c:axId val="2029676367"/>
        <c:scaling>
          <c:orientation val="minMax"/>
        </c:scaling>
        <c:delete val="0"/>
        <c:axPos val="b"/>
        <c:numFmt formatCode="General" sourceLinked="1"/>
        <c:majorTickMark val="none"/>
        <c:minorTickMark val="none"/>
        <c:tickLblPos val="high"/>
        <c:spPr>
          <a:ln>
            <a:noFill/>
          </a:ln>
        </c:spPr>
        <c:txPr>
          <a:bodyPr/>
          <a:lstStyle/>
          <a:p>
            <a:pPr>
              <a:defRPr>
                <a:solidFill>
                  <a:schemeClr val="tx2">
                    <a:lumMod val="25000"/>
                    <a:lumOff val="75000"/>
                  </a:schemeClr>
                </a:solidFill>
              </a:defRPr>
            </a:pPr>
            <a:endParaRPr lang="ru-RU"/>
          </a:p>
        </c:txPr>
        <c:crossAx val="2029690287"/>
        <c:crosses val="autoZero"/>
        <c:auto val="1"/>
        <c:lblAlgn val="ctr"/>
        <c:lblOffset val="100"/>
        <c:noMultiLvlLbl val="0"/>
      </c:catAx>
      <c:valAx>
        <c:axId val="2029690287"/>
        <c:scaling>
          <c:orientation val="minMax"/>
          <c:max val="1"/>
          <c:min val="0"/>
        </c:scaling>
        <c:delete val="1"/>
        <c:axPos val="l"/>
        <c:numFmt formatCode="0%" sourceLinked="1"/>
        <c:majorTickMark val="none"/>
        <c:minorTickMark val="none"/>
        <c:tickLblPos val="nextTo"/>
        <c:crossAx val="2029676367"/>
        <c:crosses val="autoZero"/>
        <c:crossBetween val="between"/>
      </c:valAx>
      <c:spPr>
        <a:noFill/>
      </c:spPr>
    </c:plotArea>
    <c:plotVisOnly val="1"/>
    <c:dispBlanksAs val="gap"/>
    <c:showDLblsOverMax val="0"/>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0617869641294839"/>
          <c:y val="6.7401960784313722E-2"/>
          <c:w val="0.87159908136482955"/>
          <c:h val="0.86519607843137258"/>
        </c:manualLayout>
      </c:layout>
      <c:barChart>
        <c:barDir val="bar"/>
        <c:grouping val="stacked"/>
        <c:varyColors val="0"/>
        <c:ser>
          <c:idx val="0"/>
          <c:order val="0"/>
          <c:tx>
            <c:strRef>
              <c:f>Processing!$L$2</c:f>
              <c:strCache>
                <c:ptCount val="1"/>
                <c:pt idx="0">
                  <c:v>Start</c:v>
                </c:pt>
              </c:strCache>
            </c:strRef>
          </c:tx>
          <c:spPr>
            <a:gradFill flip="none" rotWithShape="1">
              <a:gsLst>
                <a:gs pos="0">
                  <a:srgbClr val="0A0E14"/>
                </a:gs>
                <a:gs pos="23000">
                  <a:srgbClr val="0D2048"/>
                </a:gs>
                <a:gs pos="100000">
                  <a:srgbClr val="0A0E14"/>
                </a:gs>
              </a:gsLst>
              <a:lin ang="5400000" scaled="0"/>
              <a:tileRect/>
            </a:gradFill>
            <a:ln>
              <a:noFill/>
            </a:ln>
            <a:effectLst>
              <a:outerShdw blurRad="63500" sx="102000" sy="102000" algn="ctr" rotWithShape="0">
                <a:prstClr val="black">
                  <a:alpha val="40000"/>
                </a:prstClr>
              </a:outerShdw>
            </a:effectLst>
          </c:spPr>
          <c:invertIfNegative val="0"/>
          <c:cat>
            <c:numRef>
              <c:f>Processing!$K$3:$K$7</c:f>
              <c:numCache>
                <c:formatCode>"$"#\ ###\ ###;\-"$"#\ ###\ ###;</c:formatCode>
                <c:ptCount val="5"/>
                <c:pt idx="0">
                  <c:v>0</c:v>
                </c:pt>
                <c:pt idx="1">
                  <c:v>500</c:v>
                </c:pt>
                <c:pt idx="2">
                  <c:v>1400</c:v>
                </c:pt>
                <c:pt idx="3">
                  <c:v>1000</c:v>
                </c:pt>
                <c:pt idx="4">
                  <c:v>0</c:v>
                </c:pt>
              </c:numCache>
            </c:numRef>
          </c:cat>
          <c:val>
            <c:numRef>
              <c:f>Processing!$L$3:$L$7</c:f>
              <c:numCache>
                <c:formatCode>General</c:formatCode>
                <c:ptCount val="5"/>
                <c:pt idx="0">
                  <c:v>0.2</c:v>
                </c:pt>
                <c:pt idx="1">
                  <c:v>1</c:v>
                </c:pt>
                <c:pt idx="2">
                  <c:v>3</c:v>
                </c:pt>
                <c:pt idx="3">
                  <c:v>4</c:v>
                </c:pt>
                <c:pt idx="4">
                  <c:v>7</c:v>
                </c:pt>
              </c:numCache>
            </c:numRef>
          </c:val>
          <c:extLst>
            <c:ext xmlns:c16="http://schemas.microsoft.com/office/drawing/2014/chart" uri="{C3380CC4-5D6E-409C-BE32-E72D297353CC}">
              <c16:uniqueId val="{00000000-59C5-4EA6-B174-8EFD62072132}"/>
            </c:ext>
          </c:extLst>
        </c:ser>
        <c:ser>
          <c:idx val="1"/>
          <c:order val="1"/>
          <c:tx>
            <c:strRef>
              <c:f>Processing!$M$2</c:f>
              <c:strCache>
                <c:ptCount val="1"/>
                <c:pt idx="0">
                  <c:v>Process</c:v>
                </c:pt>
              </c:strCache>
            </c:strRef>
          </c:tx>
          <c:spPr>
            <a:solidFill>
              <a:srgbClr val="2B5BCB"/>
            </a:solidFill>
            <a:ln w="101600">
              <a:solidFill>
                <a:srgbClr val="2B5BCB"/>
              </a:solidFill>
            </a:ln>
            <a:effectLst/>
          </c:spPr>
          <c:invertIfNegative val="0"/>
          <c:dPt>
            <c:idx val="0"/>
            <c:invertIfNegative val="0"/>
            <c:bubble3D val="0"/>
            <c:spPr>
              <a:solidFill>
                <a:srgbClr val="1D8986"/>
              </a:solidFill>
              <a:ln w="101600">
                <a:gradFill>
                  <a:gsLst>
                    <a:gs pos="0">
                      <a:srgbClr val="28BEBA"/>
                    </a:gs>
                    <a:gs pos="31000">
                      <a:srgbClr val="1D8986"/>
                    </a:gs>
                  </a:gsLst>
                  <a:lin ang="5400000" scaled="1"/>
                </a:gradFill>
              </a:ln>
              <a:effectLst/>
            </c:spPr>
            <c:extLst>
              <c:ext xmlns:c16="http://schemas.microsoft.com/office/drawing/2014/chart" uri="{C3380CC4-5D6E-409C-BE32-E72D297353CC}">
                <c16:uniqueId val="{00000002-59C5-4EA6-B174-8EFD62072132}"/>
              </c:ext>
            </c:extLst>
          </c:dPt>
          <c:dPt>
            <c:idx val="1"/>
            <c:invertIfNegative val="0"/>
            <c:bubble3D val="0"/>
            <c:spPr>
              <a:solidFill>
                <a:srgbClr val="2B5BCB"/>
              </a:solidFill>
              <a:ln w="101600">
                <a:gradFill>
                  <a:gsLst>
                    <a:gs pos="0">
                      <a:srgbClr val="5A82DC"/>
                    </a:gs>
                    <a:gs pos="31000">
                      <a:srgbClr val="2B5BCB"/>
                    </a:gs>
                  </a:gsLst>
                  <a:lin ang="5400000" scaled="1"/>
                </a:gradFill>
              </a:ln>
              <a:effectLst/>
            </c:spPr>
            <c:extLst>
              <c:ext xmlns:c16="http://schemas.microsoft.com/office/drawing/2014/chart" uri="{C3380CC4-5D6E-409C-BE32-E72D297353CC}">
                <c16:uniqueId val="{00000004-59C5-4EA6-B174-8EFD62072132}"/>
              </c:ext>
            </c:extLst>
          </c:dPt>
          <c:dPt>
            <c:idx val="2"/>
            <c:invertIfNegative val="0"/>
            <c:bubble3D val="0"/>
            <c:spPr>
              <a:solidFill>
                <a:srgbClr val="FF5C6D"/>
              </a:solidFill>
              <a:ln w="101600">
                <a:gradFill>
                  <a:gsLst>
                    <a:gs pos="0">
                      <a:srgbClr val="FFA3AC"/>
                    </a:gs>
                    <a:gs pos="31000">
                      <a:srgbClr val="FF5C6D"/>
                    </a:gs>
                  </a:gsLst>
                  <a:lin ang="5400000" scaled="1"/>
                </a:gradFill>
              </a:ln>
              <a:effectLst/>
            </c:spPr>
            <c:extLst>
              <c:ext xmlns:c16="http://schemas.microsoft.com/office/drawing/2014/chart" uri="{C3380CC4-5D6E-409C-BE32-E72D297353CC}">
                <c16:uniqueId val="{00000006-59C5-4EA6-B174-8EFD62072132}"/>
              </c:ext>
            </c:extLst>
          </c:dPt>
          <c:dPt>
            <c:idx val="3"/>
            <c:invertIfNegative val="0"/>
            <c:bubble3D val="0"/>
            <c:spPr>
              <a:solidFill>
                <a:srgbClr val="007D9B"/>
              </a:solidFill>
              <a:ln w="101600">
                <a:gradFill>
                  <a:gsLst>
                    <a:gs pos="0">
                      <a:srgbClr val="00ADD6"/>
                    </a:gs>
                    <a:gs pos="31000">
                      <a:srgbClr val="007D9B"/>
                    </a:gs>
                  </a:gsLst>
                  <a:lin ang="5400000" scaled="1"/>
                </a:gradFill>
              </a:ln>
              <a:effectLst/>
            </c:spPr>
            <c:extLst>
              <c:ext xmlns:c16="http://schemas.microsoft.com/office/drawing/2014/chart" uri="{C3380CC4-5D6E-409C-BE32-E72D297353CC}">
                <c16:uniqueId val="{00000008-59C5-4EA6-B174-8EFD62072132}"/>
              </c:ext>
            </c:extLst>
          </c:dPt>
          <c:dPt>
            <c:idx val="4"/>
            <c:invertIfNegative val="0"/>
            <c:bubble3D val="0"/>
            <c:spPr>
              <a:solidFill>
                <a:srgbClr val="4E5E9D"/>
              </a:solidFill>
              <a:ln w="101600">
                <a:gradFill>
                  <a:gsLst>
                    <a:gs pos="0">
                      <a:srgbClr val="6978B4"/>
                    </a:gs>
                    <a:gs pos="31000">
                      <a:srgbClr val="4E5E9D"/>
                    </a:gs>
                  </a:gsLst>
                  <a:lin ang="5400000" scaled="1"/>
                </a:gradFill>
              </a:ln>
              <a:effectLst/>
            </c:spPr>
            <c:extLst>
              <c:ext xmlns:c16="http://schemas.microsoft.com/office/drawing/2014/chart" uri="{C3380CC4-5D6E-409C-BE32-E72D297353CC}">
                <c16:uniqueId val="{0000000A-59C5-4EA6-B174-8EFD62072132}"/>
              </c:ext>
            </c:extLst>
          </c:dPt>
          <c:cat>
            <c:numRef>
              <c:f>Processing!$K$3:$K$7</c:f>
              <c:numCache>
                <c:formatCode>"$"#\ ###\ ###;\-"$"#\ ###\ ###;</c:formatCode>
                <c:ptCount val="5"/>
                <c:pt idx="0">
                  <c:v>0</c:v>
                </c:pt>
                <c:pt idx="1">
                  <c:v>500</c:v>
                </c:pt>
                <c:pt idx="2">
                  <c:v>1400</c:v>
                </c:pt>
                <c:pt idx="3">
                  <c:v>1000</c:v>
                </c:pt>
                <c:pt idx="4">
                  <c:v>0</c:v>
                </c:pt>
              </c:numCache>
            </c:numRef>
          </c:cat>
          <c:val>
            <c:numRef>
              <c:f>Processing!$M$3:$M$7</c:f>
              <c:numCache>
                <c:formatCode>General</c:formatCode>
                <c:ptCount val="5"/>
                <c:pt idx="0">
                  <c:v>1.8</c:v>
                </c:pt>
                <c:pt idx="1">
                  <c:v>3</c:v>
                </c:pt>
                <c:pt idx="2">
                  <c:v>2</c:v>
                </c:pt>
                <c:pt idx="3">
                  <c:v>4</c:v>
                </c:pt>
                <c:pt idx="4">
                  <c:v>4.8</c:v>
                </c:pt>
              </c:numCache>
            </c:numRef>
          </c:val>
          <c:extLst>
            <c:ext xmlns:c16="http://schemas.microsoft.com/office/drawing/2014/chart" uri="{C3380CC4-5D6E-409C-BE32-E72D297353CC}">
              <c16:uniqueId val="{0000000B-59C5-4EA6-B174-8EFD62072132}"/>
            </c:ext>
          </c:extLst>
        </c:ser>
        <c:ser>
          <c:idx val="2"/>
          <c:order val="2"/>
          <c:tx>
            <c:strRef>
              <c:f>Processing!$N$2</c:f>
              <c:strCache>
                <c:ptCount val="1"/>
                <c:pt idx="0">
                  <c:v>End</c:v>
                </c:pt>
              </c:strCache>
            </c:strRef>
          </c:tx>
          <c:spPr>
            <a:gradFill>
              <a:gsLst>
                <a:gs pos="0">
                  <a:srgbClr val="0A0E14"/>
                </a:gs>
                <a:gs pos="23000">
                  <a:srgbClr val="0D2048"/>
                </a:gs>
                <a:gs pos="100000">
                  <a:srgbClr val="0A0E14"/>
                </a:gs>
              </a:gsLst>
              <a:lin ang="5400000" scaled="0"/>
            </a:gradFill>
            <a:ln>
              <a:noFill/>
            </a:ln>
            <a:effectLst/>
          </c:spPr>
          <c:invertIfNegative val="0"/>
          <c:cat>
            <c:numRef>
              <c:f>Processing!$K$3:$K$7</c:f>
              <c:numCache>
                <c:formatCode>"$"#\ ###\ ###;\-"$"#\ ###\ ###;</c:formatCode>
                <c:ptCount val="5"/>
                <c:pt idx="0">
                  <c:v>0</c:v>
                </c:pt>
                <c:pt idx="1">
                  <c:v>500</c:v>
                </c:pt>
                <c:pt idx="2">
                  <c:v>1400</c:v>
                </c:pt>
                <c:pt idx="3">
                  <c:v>1000</c:v>
                </c:pt>
                <c:pt idx="4">
                  <c:v>0</c:v>
                </c:pt>
              </c:numCache>
            </c:numRef>
          </c:cat>
          <c:val>
            <c:numRef>
              <c:f>Processing!$N$3:$N$7</c:f>
              <c:numCache>
                <c:formatCode>General</c:formatCode>
                <c:ptCount val="5"/>
                <c:pt idx="0">
                  <c:v>10</c:v>
                </c:pt>
                <c:pt idx="1">
                  <c:v>8</c:v>
                </c:pt>
                <c:pt idx="2">
                  <c:v>7</c:v>
                </c:pt>
                <c:pt idx="3">
                  <c:v>4</c:v>
                </c:pt>
                <c:pt idx="4">
                  <c:v>0.19999999999999929</c:v>
                </c:pt>
              </c:numCache>
            </c:numRef>
          </c:val>
          <c:extLst>
            <c:ext xmlns:c16="http://schemas.microsoft.com/office/drawing/2014/chart" uri="{C3380CC4-5D6E-409C-BE32-E72D297353CC}">
              <c16:uniqueId val="{0000000C-59C5-4EA6-B174-8EFD62072132}"/>
            </c:ext>
          </c:extLst>
        </c:ser>
        <c:dLbls>
          <c:showLegendKey val="0"/>
          <c:showVal val="0"/>
          <c:showCatName val="0"/>
          <c:showSerName val="0"/>
          <c:showPercent val="0"/>
          <c:showBubbleSize val="0"/>
        </c:dLbls>
        <c:gapWidth val="200"/>
        <c:overlap val="100"/>
        <c:axId val="307646768"/>
        <c:axId val="307649168"/>
      </c:barChart>
      <c:catAx>
        <c:axId val="307646768"/>
        <c:scaling>
          <c:orientation val="maxMin"/>
        </c:scaling>
        <c:delete val="0"/>
        <c:axPos val="l"/>
        <c:numFmt formatCode="&quot;$&quot;#\ ###\ ###;\-&quot;$&quot;#\ ###\ ###;"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ru-RU"/>
          </a:p>
        </c:txPr>
        <c:crossAx val="307649168"/>
        <c:crosses val="autoZero"/>
        <c:auto val="1"/>
        <c:lblAlgn val="ctr"/>
        <c:lblOffset val="100"/>
        <c:noMultiLvlLbl val="0"/>
      </c:catAx>
      <c:valAx>
        <c:axId val="307649168"/>
        <c:scaling>
          <c:orientation val="minMax"/>
          <c:max val="12"/>
          <c:min val="0"/>
        </c:scaling>
        <c:delete val="1"/>
        <c:axPos val="t"/>
        <c:majorGridlines>
          <c:spPr>
            <a:ln w="9525" cap="flat" cmpd="sng" algn="ctr">
              <a:solidFill>
                <a:srgbClr val="193B8A">
                  <a:alpha val="50588"/>
                </a:srgbClr>
              </a:solidFill>
              <a:round/>
            </a:ln>
            <a:effectLst/>
          </c:spPr>
        </c:majorGridlines>
        <c:numFmt formatCode="General" sourceLinked="0"/>
        <c:majorTickMark val="out"/>
        <c:minorTickMark val="none"/>
        <c:tickLblPos val="nextTo"/>
        <c:crossAx val="307646768"/>
        <c:crosses val="autoZero"/>
        <c:crossBetween val="between"/>
        <c:majorUnit val="1"/>
      </c:valAx>
      <c:spPr>
        <a:noFill/>
      </c:spPr>
    </c:plotArea>
    <c:plotVisOnly val="1"/>
    <c:dispBlanksAs val="gap"/>
    <c:showDLblsOverMax val="0"/>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tx>
            <c:strRef>
              <c:f>Processing!$S$1</c:f>
              <c:strCache>
                <c:ptCount val="1"/>
                <c:pt idx="0">
                  <c:v>Budget</c:v>
                </c:pt>
              </c:strCache>
            </c:strRef>
          </c:tx>
          <c:spPr>
            <a:gradFill>
              <a:gsLst>
                <a:gs pos="50384">
                  <a:srgbClr val="BCC6FF"/>
                </a:gs>
                <a:gs pos="0">
                  <a:srgbClr val="6494DA"/>
                </a:gs>
                <a:gs pos="94000">
                  <a:srgbClr val="2F6EC7"/>
                </a:gs>
              </a:gsLst>
              <a:lin ang="5400000" scaled="1"/>
            </a:gradFill>
            <a:ln>
              <a:noFill/>
            </a:ln>
            <a:effectLst>
              <a:outerShdw blurRad="50800" dist="38100" dir="8100000" algn="tr" rotWithShape="0">
                <a:prstClr val="black">
                  <a:alpha val="40000"/>
                </a:prstClr>
              </a:outerShdw>
            </a:effectLst>
          </c:spPr>
          <c:dPt>
            <c:idx val="0"/>
            <c:bubble3D val="0"/>
            <c:spPr>
              <a:gradFill>
                <a:gsLst>
                  <a:gs pos="0">
                    <a:srgbClr val="09C3F2"/>
                  </a:gs>
                  <a:gs pos="100000">
                    <a:srgbClr val="06D3D9"/>
                  </a:gs>
                </a:gsLst>
                <a:lin ang="5400000" scaled="1"/>
              </a:gradFill>
              <a:ln w="19050">
                <a:noFill/>
              </a:ln>
              <a:effectLst>
                <a:outerShdw blurRad="50800" dist="38100" dir="8100000" algn="tr" rotWithShape="0">
                  <a:prstClr val="black">
                    <a:alpha val="40000"/>
                  </a:prstClr>
                </a:outerShdw>
              </a:effectLst>
            </c:spPr>
            <c:extLst>
              <c:ext xmlns:c16="http://schemas.microsoft.com/office/drawing/2014/chart" uri="{C3380CC4-5D6E-409C-BE32-E72D297353CC}">
                <c16:uniqueId val="{00000001-40F7-4786-A6FF-AECEA829859B}"/>
              </c:ext>
            </c:extLst>
          </c:dPt>
          <c:dPt>
            <c:idx val="1"/>
            <c:bubble3D val="0"/>
            <c:spPr>
              <a:gradFill>
                <a:gsLst>
                  <a:gs pos="0">
                    <a:srgbClr val="2C71E7"/>
                  </a:gs>
                  <a:gs pos="100000">
                    <a:srgbClr val="2373DF"/>
                  </a:gs>
                </a:gsLst>
                <a:lin ang="5400000" scaled="1"/>
              </a:gradFill>
              <a:ln w="19050">
                <a:noFill/>
              </a:ln>
              <a:effectLst>
                <a:outerShdw blurRad="50800" dist="38100" dir="8100000" algn="tr" rotWithShape="0">
                  <a:prstClr val="black">
                    <a:alpha val="40000"/>
                  </a:prstClr>
                </a:outerShdw>
              </a:effectLst>
            </c:spPr>
            <c:extLst>
              <c:ext xmlns:c16="http://schemas.microsoft.com/office/drawing/2014/chart" uri="{C3380CC4-5D6E-409C-BE32-E72D297353CC}">
                <c16:uniqueId val="{00000003-40F7-4786-A6FF-AECEA829859B}"/>
              </c:ext>
            </c:extLst>
          </c:dPt>
          <c:val>
            <c:numRef>
              <c:f>Processing!$S$3:$T$3</c:f>
              <c:numCache>
                <c:formatCode>0%</c:formatCode>
                <c:ptCount val="2"/>
                <c:pt idx="0">
                  <c:v>0.64091999999999993</c:v>
                </c:pt>
                <c:pt idx="1">
                  <c:v>0.35908000000000001</c:v>
                </c:pt>
              </c:numCache>
            </c:numRef>
          </c:val>
          <c:extLst>
            <c:ext xmlns:c16="http://schemas.microsoft.com/office/drawing/2014/chart" uri="{C3380CC4-5D6E-409C-BE32-E72D297353CC}">
              <c16:uniqueId val="{00000004-40F7-4786-A6FF-AECEA829859B}"/>
            </c:ext>
          </c:extLst>
        </c:ser>
        <c:dLbls>
          <c:showLegendKey val="0"/>
          <c:showVal val="0"/>
          <c:showCatName val="0"/>
          <c:showSerName val="0"/>
          <c:showPercent val="0"/>
          <c:showBubbleSize val="0"/>
          <c:showLeaderLines val="1"/>
        </c:dLbls>
        <c:firstSliceAng val="0"/>
        <c:holeSize val="75"/>
      </c:doughnutChart>
      <c:scatterChart>
        <c:scatterStyle val="lineMarker"/>
        <c:varyColors val="0"/>
        <c:ser>
          <c:idx val="1"/>
          <c:order val="1"/>
          <c:tx>
            <c:strRef>
              <c:f>Processing!$S$4</c:f>
              <c:strCache>
                <c:ptCount val="1"/>
                <c:pt idx="0">
                  <c:v>Cursors</c:v>
                </c:pt>
              </c:strCache>
            </c:strRef>
          </c:tx>
          <c:spPr>
            <a:ln w="25400" cap="rnd">
              <a:noFill/>
              <a:round/>
            </a:ln>
            <a:effectLst/>
          </c:spPr>
          <c:marker>
            <c:symbol val="circle"/>
            <c:size val="14"/>
            <c:spPr>
              <a:solidFill>
                <a:srgbClr val="09C3F2"/>
              </a:solidFill>
              <a:ln w="9525">
                <a:noFill/>
              </a:ln>
              <a:effectLst/>
            </c:spPr>
          </c:marker>
          <c:dPt>
            <c:idx val="1"/>
            <c:marker>
              <c:symbol val="circle"/>
              <c:size val="14"/>
              <c:spPr>
                <a:solidFill>
                  <a:srgbClr val="06D3D9"/>
                </a:solidFill>
                <a:ln w="9525">
                  <a:noFill/>
                </a:ln>
                <a:effectLst/>
              </c:spPr>
            </c:marker>
            <c:bubble3D val="0"/>
            <c:extLst>
              <c:ext xmlns:c16="http://schemas.microsoft.com/office/drawing/2014/chart" uri="{C3380CC4-5D6E-409C-BE32-E72D297353CC}">
                <c16:uniqueId val="{00000005-40F7-4786-A6FF-AECEA829859B}"/>
              </c:ext>
            </c:extLst>
          </c:dPt>
          <c:xVal>
            <c:numRef>
              <c:f>Processing!$S$6:$S$7</c:f>
              <c:numCache>
                <c:formatCode>General</c:formatCode>
                <c:ptCount val="2"/>
                <c:pt idx="0">
                  <c:v>0</c:v>
                </c:pt>
                <c:pt idx="1">
                  <c:v>-0.77418499792466078</c:v>
                </c:pt>
              </c:numCache>
            </c:numRef>
          </c:xVal>
          <c:yVal>
            <c:numRef>
              <c:f>Processing!$T$6:$T$7</c:f>
              <c:numCache>
                <c:formatCode>General</c:formatCode>
                <c:ptCount val="2"/>
                <c:pt idx="0">
                  <c:v>1</c:v>
                </c:pt>
                <c:pt idx="1">
                  <c:v>-0.63295938968340804</c:v>
                </c:pt>
              </c:numCache>
            </c:numRef>
          </c:yVal>
          <c:smooth val="0"/>
          <c:extLst>
            <c:ext xmlns:c16="http://schemas.microsoft.com/office/drawing/2014/chart" uri="{C3380CC4-5D6E-409C-BE32-E72D297353CC}">
              <c16:uniqueId val="{00000006-40F7-4786-A6FF-AECEA829859B}"/>
            </c:ext>
          </c:extLst>
        </c:ser>
        <c:dLbls>
          <c:showLegendKey val="0"/>
          <c:showVal val="0"/>
          <c:showCatName val="0"/>
          <c:showSerName val="0"/>
          <c:showPercent val="0"/>
          <c:showBubbleSize val="0"/>
        </c:dLbls>
        <c:axId val="1214836208"/>
        <c:axId val="1214847248"/>
      </c:scatterChart>
      <c:valAx>
        <c:axId val="1214847248"/>
        <c:scaling>
          <c:orientation val="minMax"/>
          <c:max val="1.1500000000000001"/>
          <c:min val="-1.1400000000000001"/>
        </c:scaling>
        <c:delete val="1"/>
        <c:axPos val="l"/>
        <c:numFmt formatCode="General" sourceLinked="1"/>
        <c:majorTickMark val="out"/>
        <c:minorTickMark val="none"/>
        <c:tickLblPos val="nextTo"/>
        <c:crossAx val="1214836208"/>
        <c:crosses val="autoZero"/>
        <c:crossBetween val="midCat"/>
      </c:valAx>
      <c:valAx>
        <c:axId val="1214836208"/>
        <c:scaling>
          <c:orientation val="minMax"/>
          <c:max val="1.1400000000000001"/>
          <c:min val="-1.1500000000000001"/>
        </c:scaling>
        <c:delete val="1"/>
        <c:axPos val="t"/>
        <c:numFmt formatCode="General" sourceLinked="1"/>
        <c:majorTickMark val="out"/>
        <c:minorTickMark val="none"/>
        <c:tickLblPos val="nextTo"/>
        <c:crossAx val="1214847248"/>
        <c:crosses val="max"/>
        <c:crossBetween val="midCat"/>
      </c:valAx>
      <c:spPr>
        <a:noFill/>
        <a:ln w="25400">
          <a:noFill/>
        </a:ln>
        <a:effectLst/>
      </c:spPr>
    </c:plotArea>
    <c:plotVisOnly val="1"/>
    <c:dispBlanksAs val="gap"/>
    <c:showDLblsOverMax val="0"/>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3.3763044812768567E-2"/>
          <c:y val="6.0185185185185182E-2"/>
          <c:w val="0.93247391037446281"/>
          <c:h val="0.88888888888888884"/>
        </c:manualLayout>
      </c:layout>
      <c:barChart>
        <c:barDir val="col"/>
        <c:grouping val="stacked"/>
        <c:varyColors val="0"/>
        <c:ser>
          <c:idx val="0"/>
          <c:order val="0"/>
          <c:spPr>
            <a:noFill/>
            <a:ln>
              <a:noFill/>
            </a:ln>
            <a:effectLst/>
          </c:spPr>
          <c:invertIfNegative val="0"/>
          <c:cat>
            <c:strRef>
              <c:f>Processing!$K$24:$Q$24</c:f>
              <c:strCache>
                <c:ptCount val="7"/>
                <c:pt idx="0">
                  <c:v>SU</c:v>
                </c:pt>
                <c:pt idx="1">
                  <c:v>MO</c:v>
                </c:pt>
                <c:pt idx="2">
                  <c:v>TU</c:v>
                </c:pt>
                <c:pt idx="3">
                  <c:v>WE</c:v>
                </c:pt>
                <c:pt idx="4">
                  <c:v>TH</c:v>
                </c:pt>
                <c:pt idx="5">
                  <c:v>FR</c:v>
                </c:pt>
                <c:pt idx="6">
                  <c:v>SA</c:v>
                </c:pt>
              </c:strCache>
            </c:strRef>
          </c:cat>
          <c:val>
            <c:numRef>
              <c:f>Processing!$K$25:$Q$25</c:f>
              <c:numCache>
                <c:formatCode>General</c:formatCode>
                <c:ptCount val="7"/>
                <c:pt idx="0">
                  <c:v>1</c:v>
                </c:pt>
                <c:pt idx="1">
                  <c:v>1</c:v>
                </c:pt>
                <c:pt idx="2">
                  <c:v>1</c:v>
                </c:pt>
                <c:pt idx="3">
                  <c:v>1</c:v>
                </c:pt>
                <c:pt idx="4">
                  <c:v>0</c:v>
                </c:pt>
                <c:pt idx="5">
                  <c:v>0</c:v>
                </c:pt>
                <c:pt idx="6">
                  <c:v>0</c:v>
                </c:pt>
              </c:numCache>
            </c:numRef>
          </c:val>
          <c:extLst>
            <c:ext xmlns:c16="http://schemas.microsoft.com/office/drawing/2014/chart" uri="{C3380CC4-5D6E-409C-BE32-E72D297353CC}">
              <c16:uniqueId val="{00000000-A26B-4F53-B65F-8181CEABE6EA}"/>
            </c:ext>
          </c:extLst>
        </c:ser>
        <c:ser>
          <c:idx val="1"/>
          <c:order val="1"/>
          <c:spPr>
            <a:blipFill>
              <a:blip xmlns:r="http://schemas.openxmlformats.org/officeDocument/2006/relationships" r:embed="rId1"/>
              <a:stretch>
                <a:fillRect/>
              </a:stretch>
            </a:blipFill>
            <a:ln>
              <a:noFill/>
            </a:ln>
            <a:effectLst/>
          </c:spPr>
          <c:invertIfNegative val="0"/>
          <c:cat>
            <c:strRef>
              <c:f>Processing!$K$24:$Q$24</c:f>
              <c:strCache>
                <c:ptCount val="7"/>
                <c:pt idx="0">
                  <c:v>SU</c:v>
                </c:pt>
                <c:pt idx="1">
                  <c:v>MO</c:v>
                </c:pt>
                <c:pt idx="2">
                  <c:v>TU</c:v>
                </c:pt>
                <c:pt idx="3">
                  <c:v>WE</c:v>
                </c:pt>
                <c:pt idx="4">
                  <c:v>TH</c:v>
                </c:pt>
                <c:pt idx="5">
                  <c:v>FR</c:v>
                </c:pt>
                <c:pt idx="6">
                  <c:v>SA</c:v>
                </c:pt>
              </c:strCache>
            </c:strRef>
          </c:cat>
          <c:val>
            <c:numRef>
              <c:f>Processing!$K$26:$Q$26</c:f>
              <c:numCache>
                <c:formatCode>General</c:formatCode>
                <c:ptCount val="7"/>
                <c:pt idx="0">
                  <c:v>0</c:v>
                </c:pt>
                <c:pt idx="1">
                  <c:v>0</c:v>
                </c:pt>
                <c:pt idx="2">
                  <c:v>0</c:v>
                </c:pt>
                <c:pt idx="3">
                  <c:v>0</c:v>
                </c:pt>
                <c:pt idx="4">
                  <c:v>0</c:v>
                </c:pt>
                <c:pt idx="5">
                  <c:v>1</c:v>
                </c:pt>
                <c:pt idx="6">
                  <c:v>0</c:v>
                </c:pt>
              </c:numCache>
            </c:numRef>
          </c:val>
          <c:extLst>
            <c:ext xmlns:c16="http://schemas.microsoft.com/office/drawing/2014/chart" uri="{C3380CC4-5D6E-409C-BE32-E72D297353CC}">
              <c16:uniqueId val="{00000001-A26B-4F53-B65F-8181CEABE6EA}"/>
            </c:ext>
          </c:extLst>
        </c:ser>
        <c:ser>
          <c:idx val="2"/>
          <c:order val="2"/>
          <c:spPr>
            <a:blipFill>
              <a:blip xmlns:r="http://schemas.openxmlformats.org/officeDocument/2006/relationships" r:embed="rId2"/>
              <a:stretch>
                <a:fillRect/>
              </a:stretch>
            </a:blipFill>
            <a:ln>
              <a:noFill/>
            </a:ln>
            <a:effectLst/>
          </c:spPr>
          <c:invertIfNegative val="0"/>
          <c:cat>
            <c:strRef>
              <c:f>Processing!$K$24:$Q$24</c:f>
              <c:strCache>
                <c:ptCount val="7"/>
                <c:pt idx="0">
                  <c:v>SU</c:v>
                </c:pt>
                <c:pt idx="1">
                  <c:v>MO</c:v>
                </c:pt>
                <c:pt idx="2">
                  <c:v>TU</c:v>
                </c:pt>
                <c:pt idx="3">
                  <c:v>WE</c:v>
                </c:pt>
                <c:pt idx="4">
                  <c:v>TH</c:v>
                </c:pt>
                <c:pt idx="5">
                  <c:v>FR</c:v>
                </c:pt>
                <c:pt idx="6">
                  <c:v>SA</c:v>
                </c:pt>
              </c:strCache>
            </c:strRef>
          </c:cat>
          <c:val>
            <c:numRef>
              <c:f>Processing!$K$27:$Q$27</c:f>
              <c:numCache>
                <c:formatCode>General</c:formatCode>
                <c:ptCount val="7"/>
                <c:pt idx="0">
                  <c:v>0</c:v>
                </c:pt>
                <c:pt idx="1">
                  <c:v>0</c:v>
                </c:pt>
                <c:pt idx="2">
                  <c:v>0</c:v>
                </c:pt>
                <c:pt idx="3">
                  <c:v>0</c:v>
                </c:pt>
                <c:pt idx="4">
                  <c:v>1</c:v>
                </c:pt>
                <c:pt idx="5">
                  <c:v>0</c:v>
                </c:pt>
                <c:pt idx="6">
                  <c:v>1</c:v>
                </c:pt>
              </c:numCache>
            </c:numRef>
          </c:val>
          <c:extLst>
            <c:ext xmlns:c16="http://schemas.microsoft.com/office/drawing/2014/chart" uri="{C3380CC4-5D6E-409C-BE32-E72D297353CC}">
              <c16:uniqueId val="{00000002-A26B-4F53-B65F-8181CEABE6EA}"/>
            </c:ext>
          </c:extLst>
        </c:ser>
        <c:ser>
          <c:idx val="3"/>
          <c:order val="3"/>
          <c:spPr>
            <a:blipFill>
              <a:blip xmlns:r="http://schemas.openxmlformats.org/officeDocument/2006/relationships" r:embed="rId3"/>
              <a:stretch>
                <a:fillRect/>
              </a:stretch>
            </a:blipFill>
            <a:ln>
              <a:noFill/>
            </a:ln>
            <a:effectLst/>
          </c:spPr>
          <c:invertIfNegative val="0"/>
          <c:cat>
            <c:strRef>
              <c:f>Processing!$K$24:$Q$24</c:f>
              <c:strCache>
                <c:ptCount val="7"/>
                <c:pt idx="0">
                  <c:v>SU</c:v>
                </c:pt>
                <c:pt idx="1">
                  <c:v>MO</c:v>
                </c:pt>
                <c:pt idx="2">
                  <c:v>TU</c:v>
                </c:pt>
                <c:pt idx="3">
                  <c:v>WE</c:v>
                </c:pt>
                <c:pt idx="4">
                  <c:v>TH</c:v>
                </c:pt>
                <c:pt idx="5">
                  <c:v>FR</c:v>
                </c:pt>
                <c:pt idx="6">
                  <c:v>SA</c:v>
                </c:pt>
              </c:strCache>
            </c:strRef>
          </c:cat>
          <c:val>
            <c:numRef>
              <c:f>Processing!$K$28:$Q$28</c:f>
              <c:numCache>
                <c:formatCode>General</c:formatCode>
                <c:ptCount val="7"/>
                <c:pt idx="0">
                  <c:v>0</c:v>
                </c:pt>
                <c:pt idx="1">
                  <c:v>0</c:v>
                </c:pt>
                <c:pt idx="2">
                  <c:v>0</c:v>
                </c:pt>
                <c:pt idx="3">
                  <c:v>0</c:v>
                </c:pt>
                <c:pt idx="4">
                  <c:v>0</c:v>
                </c:pt>
                <c:pt idx="5">
                  <c:v>0</c:v>
                </c:pt>
                <c:pt idx="6">
                  <c:v>0</c:v>
                </c:pt>
              </c:numCache>
            </c:numRef>
          </c:val>
          <c:extLst>
            <c:ext xmlns:c16="http://schemas.microsoft.com/office/drawing/2014/chart" uri="{C3380CC4-5D6E-409C-BE32-E72D297353CC}">
              <c16:uniqueId val="{00000003-A26B-4F53-B65F-8181CEABE6EA}"/>
            </c:ext>
          </c:extLst>
        </c:ser>
        <c:ser>
          <c:idx val="4"/>
          <c:order val="4"/>
          <c:spPr>
            <a:noFill/>
            <a:ln>
              <a:noFill/>
            </a:ln>
            <a:effectLst/>
          </c:spPr>
          <c:invertIfNegative val="0"/>
          <c:cat>
            <c:strRef>
              <c:f>Processing!$K$24:$Q$24</c:f>
              <c:strCache>
                <c:ptCount val="7"/>
                <c:pt idx="0">
                  <c:v>SU</c:v>
                </c:pt>
                <c:pt idx="1">
                  <c:v>MO</c:v>
                </c:pt>
                <c:pt idx="2">
                  <c:v>TU</c:v>
                </c:pt>
                <c:pt idx="3">
                  <c:v>WE</c:v>
                </c:pt>
                <c:pt idx="4">
                  <c:v>TH</c:v>
                </c:pt>
                <c:pt idx="5">
                  <c:v>FR</c:v>
                </c:pt>
                <c:pt idx="6">
                  <c:v>SA</c:v>
                </c:pt>
              </c:strCache>
            </c:strRef>
          </c:cat>
          <c:val>
            <c:numRef>
              <c:f>Processing!$K$29:$Q$29</c:f>
              <c:numCache>
                <c:formatCode>General</c:formatCode>
                <c:ptCount val="7"/>
                <c:pt idx="0">
                  <c:v>0</c:v>
                </c:pt>
                <c:pt idx="1">
                  <c:v>0</c:v>
                </c:pt>
                <c:pt idx="2">
                  <c:v>0</c:v>
                </c:pt>
                <c:pt idx="3">
                  <c:v>0</c:v>
                </c:pt>
                <c:pt idx="4">
                  <c:v>0</c:v>
                </c:pt>
                <c:pt idx="5">
                  <c:v>0</c:v>
                </c:pt>
                <c:pt idx="6">
                  <c:v>0</c:v>
                </c:pt>
              </c:numCache>
            </c:numRef>
          </c:val>
          <c:extLst>
            <c:ext xmlns:c16="http://schemas.microsoft.com/office/drawing/2014/chart" uri="{C3380CC4-5D6E-409C-BE32-E72D297353CC}">
              <c16:uniqueId val="{00000004-A26B-4F53-B65F-8181CEABE6EA}"/>
            </c:ext>
          </c:extLst>
        </c:ser>
        <c:ser>
          <c:idx val="5"/>
          <c:order val="5"/>
          <c:spPr>
            <a:blipFill>
              <a:blip xmlns:r="http://schemas.openxmlformats.org/officeDocument/2006/relationships" r:embed="rId1"/>
              <a:stretch>
                <a:fillRect/>
              </a:stretch>
            </a:blipFill>
            <a:ln>
              <a:noFill/>
            </a:ln>
            <a:effectLst/>
          </c:spPr>
          <c:invertIfNegative val="0"/>
          <c:cat>
            <c:strRef>
              <c:f>Processing!$K$24:$Q$24</c:f>
              <c:strCache>
                <c:ptCount val="7"/>
                <c:pt idx="0">
                  <c:v>SU</c:v>
                </c:pt>
                <c:pt idx="1">
                  <c:v>MO</c:v>
                </c:pt>
                <c:pt idx="2">
                  <c:v>TU</c:v>
                </c:pt>
                <c:pt idx="3">
                  <c:v>WE</c:v>
                </c:pt>
                <c:pt idx="4">
                  <c:v>TH</c:v>
                </c:pt>
                <c:pt idx="5">
                  <c:v>FR</c:v>
                </c:pt>
                <c:pt idx="6">
                  <c:v>SA</c:v>
                </c:pt>
              </c:strCache>
            </c:strRef>
          </c:cat>
          <c:val>
            <c:numRef>
              <c:f>Processing!$K$30:$Q$30</c:f>
              <c:numCache>
                <c:formatCode>General</c:formatCode>
                <c:ptCount val="7"/>
                <c:pt idx="0">
                  <c:v>1</c:v>
                </c:pt>
                <c:pt idx="1">
                  <c:v>1</c:v>
                </c:pt>
                <c:pt idx="2">
                  <c:v>1</c:v>
                </c:pt>
                <c:pt idx="3">
                  <c:v>1</c:v>
                </c:pt>
                <c:pt idx="4">
                  <c:v>1</c:v>
                </c:pt>
                <c:pt idx="5">
                  <c:v>1</c:v>
                </c:pt>
                <c:pt idx="6">
                  <c:v>0</c:v>
                </c:pt>
              </c:numCache>
            </c:numRef>
          </c:val>
          <c:extLst>
            <c:ext xmlns:c16="http://schemas.microsoft.com/office/drawing/2014/chart" uri="{C3380CC4-5D6E-409C-BE32-E72D297353CC}">
              <c16:uniqueId val="{00000005-A26B-4F53-B65F-8181CEABE6EA}"/>
            </c:ext>
          </c:extLst>
        </c:ser>
        <c:ser>
          <c:idx val="6"/>
          <c:order val="6"/>
          <c:spPr>
            <a:blipFill>
              <a:blip xmlns:r="http://schemas.openxmlformats.org/officeDocument/2006/relationships" r:embed="rId2"/>
              <a:stretch>
                <a:fillRect/>
              </a:stretch>
            </a:blipFill>
            <a:ln>
              <a:noFill/>
            </a:ln>
            <a:effectLst/>
          </c:spPr>
          <c:invertIfNegative val="0"/>
          <c:cat>
            <c:strRef>
              <c:f>Processing!$K$24:$Q$24</c:f>
              <c:strCache>
                <c:ptCount val="7"/>
                <c:pt idx="0">
                  <c:v>SU</c:v>
                </c:pt>
                <c:pt idx="1">
                  <c:v>MO</c:v>
                </c:pt>
                <c:pt idx="2">
                  <c:v>TU</c:v>
                </c:pt>
                <c:pt idx="3">
                  <c:v>WE</c:v>
                </c:pt>
                <c:pt idx="4">
                  <c:v>TH</c:v>
                </c:pt>
                <c:pt idx="5">
                  <c:v>FR</c:v>
                </c:pt>
                <c:pt idx="6">
                  <c:v>SA</c:v>
                </c:pt>
              </c:strCache>
            </c:strRef>
          </c:cat>
          <c:val>
            <c:numRef>
              <c:f>Processing!$K$31:$Q$31</c:f>
              <c:numCache>
                <c:formatCode>General</c:formatCode>
                <c:ptCount val="7"/>
                <c:pt idx="0">
                  <c:v>0</c:v>
                </c:pt>
                <c:pt idx="1">
                  <c:v>0</c:v>
                </c:pt>
                <c:pt idx="2">
                  <c:v>0</c:v>
                </c:pt>
                <c:pt idx="3">
                  <c:v>0</c:v>
                </c:pt>
                <c:pt idx="4">
                  <c:v>0</c:v>
                </c:pt>
                <c:pt idx="5">
                  <c:v>0</c:v>
                </c:pt>
                <c:pt idx="6">
                  <c:v>1</c:v>
                </c:pt>
              </c:numCache>
            </c:numRef>
          </c:val>
          <c:extLst>
            <c:ext xmlns:c16="http://schemas.microsoft.com/office/drawing/2014/chart" uri="{C3380CC4-5D6E-409C-BE32-E72D297353CC}">
              <c16:uniqueId val="{00000006-A26B-4F53-B65F-8181CEABE6EA}"/>
            </c:ext>
          </c:extLst>
        </c:ser>
        <c:ser>
          <c:idx val="7"/>
          <c:order val="7"/>
          <c:spPr>
            <a:blipFill>
              <a:blip xmlns:r="http://schemas.openxmlformats.org/officeDocument/2006/relationships" r:embed="rId3"/>
              <a:stretch>
                <a:fillRect/>
              </a:stretch>
            </a:blipFill>
            <a:ln>
              <a:noFill/>
            </a:ln>
            <a:effectLst/>
          </c:spPr>
          <c:invertIfNegative val="0"/>
          <c:cat>
            <c:strRef>
              <c:f>Processing!$K$24:$Q$24</c:f>
              <c:strCache>
                <c:ptCount val="7"/>
                <c:pt idx="0">
                  <c:v>SU</c:v>
                </c:pt>
                <c:pt idx="1">
                  <c:v>MO</c:v>
                </c:pt>
                <c:pt idx="2">
                  <c:v>TU</c:v>
                </c:pt>
                <c:pt idx="3">
                  <c:v>WE</c:v>
                </c:pt>
                <c:pt idx="4">
                  <c:v>TH</c:v>
                </c:pt>
                <c:pt idx="5">
                  <c:v>FR</c:v>
                </c:pt>
                <c:pt idx="6">
                  <c:v>SA</c:v>
                </c:pt>
              </c:strCache>
            </c:strRef>
          </c:cat>
          <c:val>
            <c:numRef>
              <c:f>Processing!$K$32:$Q$32</c:f>
              <c:numCache>
                <c:formatCode>General</c:formatCode>
                <c:ptCount val="7"/>
                <c:pt idx="0">
                  <c:v>0</c:v>
                </c:pt>
                <c:pt idx="1">
                  <c:v>0</c:v>
                </c:pt>
                <c:pt idx="2">
                  <c:v>0</c:v>
                </c:pt>
                <c:pt idx="3">
                  <c:v>0</c:v>
                </c:pt>
                <c:pt idx="4">
                  <c:v>0</c:v>
                </c:pt>
                <c:pt idx="5">
                  <c:v>0</c:v>
                </c:pt>
                <c:pt idx="6">
                  <c:v>0</c:v>
                </c:pt>
              </c:numCache>
            </c:numRef>
          </c:val>
          <c:extLst>
            <c:ext xmlns:c16="http://schemas.microsoft.com/office/drawing/2014/chart" uri="{C3380CC4-5D6E-409C-BE32-E72D297353CC}">
              <c16:uniqueId val="{00000007-A26B-4F53-B65F-8181CEABE6EA}"/>
            </c:ext>
          </c:extLst>
        </c:ser>
        <c:ser>
          <c:idx val="8"/>
          <c:order val="8"/>
          <c:spPr>
            <a:noFill/>
            <a:ln>
              <a:noFill/>
            </a:ln>
            <a:effectLst/>
          </c:spPr>
          <c:invertIfNegative val="0"/>
          <c:cat>
            <c:strRef>
              <c:f>Processing!$K$24:$Q$24</c:f>
              <c:strCache>
                <c:ptCount val="7"/>
                <c:pt idx="0">
                  <c:v>SU</c:v>
                </c:pt>
                <c:pt idx="1">
                  <c:v>MO</c:v>
                </c:pt>
                <c:pt idx="2">
                  <c:v>TU</c:v>
                </c:pt>
                <c:pt idx="3">
                  <c:v>WE</c:v>
                </c:pt>
                <c:pt idx="4">
                  <c:v>TH</c:v>
                </c:pt>
                <c:pt idx="5">
                  <c:v>FR</c:v>
                </c:pt>
                <c:pt idx="6">
                  <c:v>SA</c:v>
                </c:pt>
              </c:strCache>
            </c:strRef>
          </c:cat>
          <c:val>
            <c:numRef>
              <c:f>Processing!$K$33:$Q$33</c:f>
              <c:numCache>
                <c:formatCode>General</c:formatCode>
                <c:ptCount val="7"/>
                <c:pt idx="0">
                  <c:v>0</c:v>
                </c:pt>
                <c:pt idx="1">
                  <c:v>0</c:v>
                </c:pt>
                <c:pt idx="2">
                  <c:v>0</c:v>
                </c:pt>
                <c:pt idx="3">
                  <c:v>0</c:v>
                </c:pt>
                <c:pt idx="4">
                  <c:v>0</c:v>
                </c:pt>
                <c:pt idx="5">
                  <c:v>0</c:v>
                </c:pt>
                <c:pt idx="6">
                  <c:v>0</c:v>
                </c:pt>
              </c:numCache>
            </c:numRef>
          </c:val>
          <c:extLst>
            <c:ext xmlns:c16="http://schemas.microsoft.com/office/drawing/2014/chart" uri="{C3380CC4-5D6E-409C-BE32-E72D297353CC}">
              <c16:uniqueId val="{00000008-A26B-4F53-B65F-8181CEABE6EA}"/>
            </c:ext>
          </c:extLst>
        </c:ser>
        <c:ser>
          <c:idx val="9"/>
          <c:order val="9"/>
          <c:spPr>
            <a:blipFill>
              <a:blip xmlns:r="http://schemas.openxmlformats.org/officeDocument/2006/relationships" r:embed="rId1"/>
              <a:stretch>
                <a:fillRect/>
              </a:stretch>
            </a:blipFill>
            <a:ln>
              <a:noFill/>
            </a:ln>
            <a:effectLst/>
          </c:spPr>
          <c:invertIfNegative val="0"/>
          <c:cat>
            <c:strRef>
              <c:f>Processing!$K$24:$Q$24</c:f>
              <c:strCache>
                <c:ptCount val="7"/>
                <c:pt idx="0">
                  <c:v>SU</c:v>
                </c:pt>
                <c:pt idx="1">
                  <c:v>MO</c:v>
                </c:pt>
                <c:pt idx="2">
                  <c:v>TU</c:v>
                </c:pt>
                <c:pt idx="3">
                  <c:v>WE</c:v>
                </c:pt>
                <c:pt idx="4">
                  <c:v>TH</c:v>
                </c:pt>
                <c:pt idx="5">
                  <c:v>FR</c:v>
                </c:pt>
                <c:pt idx="6">
                  <c:v>SA</c:v>
                </c:pt>
              </c:strCache>
            </c:strRef>
          </c:cat>
          <c:val>
            <c:numRef>
              <c:f>Processing!$K$34:$Q$34</c:f>
              <c:numCache>
                <c:formatCode>General</c:formatCode>
                <c:ptCount val="7"/>
                <c:pt idx="0">
                  <c:v>0</c:v>
                </c:pt>
                <c:pt idx="1">
                  <c:v>1</c:v>
                </c:pt>
                <c:pt idx="2">
                  <c:v>0</c:v>
                </c:pt>
                <c:pt idx="3">
                  <c:v>0</c:v>
                </c:pt>
                <c:pt idx="4">
                  <c:v>0</c:v>
                </c:pt>
                <c:pt idx="5">
                  <c:v>1</c:v>
                </c:pt>
                <c:pt idx="6">
                  <c:v>1</c:v>
                </c:pt>
              </c:numCache>
            </c:numRef>
          </c:val>
          <c:extLst>
            <c:ext xmlns:c16="http://schemas.microsoft.com/office/drawing/2014/chart" uri="{C3380CC4-5D6E-409C-BE32-E72D297353CC}">
              <c16:uniqueId val="{00000009-A26B-4F53-B65F-8181CEABE6EA}"/>
            </c:ext>
          </c:extLst>
        </c:ser>
        <c:ser>
          <c:idx val="10"/>
          <c:order val="10"/>
          <c:spPr>
            <a:blipFill>
              <a:blip xmlns:r="http://schemas.openxmlformats.org/officeDocument/2006/relationships" r:embed="rId2"/>
              <a:stretch>
                <a:fillRect/>
              </a:stretch>
            </a:blipFill>
            <a:ln>
              <a:noFill/>
            </a:ln>
            <a:effectLst/>
          </c:spPr>
          <c:invertIfNegative val="0"/>
          <c:cat>
            <c:strRef>
              <c:f>Processing!$K$24:$Q$24</c:f>
              <c:strCache>
                <c:ptCount val="7"/>
                <c:pt idx="0">
                  <c:v>SU</c:v>
                </c:pt>
                <c:pt idx="1">
                  <c:v>MO</c:v>
                </c:pt>
                <c:pt idx="2">
                  <c:v>TU</c:v>
                </c:pt>
                <c:pt idx="3">
                  <c:v>WE</c:v>
                </c:pt>
                <c:pt idx="4">
                  <c:v>TH</c:v>
                </c:pt>
                <c:pt idx="5">
                  <c:v>FR</c:v>
                </c:pt>
                <c:pt idx="6">
                  <c:v>SA</c:v>
                </c:pt>
              </c:strCache>
            </c:strRef>
          </c:cat>
          <c:val>
            <c:numRef>
              <c:f>Processing!$K$35:$Q$35</c:f>
              <c:numCache>
                <c:formatCode>General</c:formatCode>
                <c:ptCount val="7"/>
                <c:pt idx="0">
                  <c:v>1</c:v>
                </c:pt>
                <c:pt idx="1">
                  <c:v>0</c:v>
                </c:pt>
                <c:pt idx="2">
                  <c:v>1</c:v>
                </c:pt>
                <c:pt idx="3">
                  <c:v>1</c:v>
                </c:pt>
                <c:pt idx="4">
                  <c:v>1</c:v>
                </c:pt>
                <c:pt idx="5">
                  <c:v>0</c:v>
                </c:pt>
                <c:pt idx="6">
                  <c:v>0</c:v>
                </c:pt>
              </c:numCache>
            </c:numRef>
          </c:val>
          <c:extLst>
            <c:ext xmlns:c16="http://schemas.microsoft.com/office/drawing/2014/chart" uri="{C3380CC4-5D6E-409C-BE32-E72D297353CC}">
              <c16:uniqueId val="{0000000A-A26B-4F53-B65F-8181CEABE6EA}"/>
            </c:ext>
          </c:extLst>
        </c:ser>
        <c:ser>
          <c:idx val="11"/>
          <c:order val="11"/>
          <c:spPr>
            <a:blipFill>
              <a:blip xmlns:r="http://schemas.openxmlformats.org/officeDocument/2006/relationships" r:embed="rId3"/>
              <a:stretch>
                <a:fillRect/>
              </a:stretch>
            </a:blipFill>
            <a:ln>
              <a:noFill/>
            </a:ln>
            <a:effectLst/>
          </c:spPr>
          <c:invertIfNegative val="0"/>
          <c:cat>
            <c:strRef>
              <c:f>Processing!$K$24:$Q$24</c:f>
              <c:strCache>
                <c:ptCount val="7"/>
                <c:pt idx="0">
                  <c:v>SU</c:v>
                </c:pt>
                <c:pt idx="1">
                  <c:v>MO</c:v>
                </c:pt>
                <c:pt idx="2">
                  <c:v>TU</c:v>
                </c:pt>
                <c:pt idx="3">
                  <c:v>WE</c:v>
                </c:pt>
                <c:pt idx="4">
                  <c:v>TH</c:v>
                </c:pt>
                <c:pt idx="5">
                  <c:v>FR</c:v>
                </c:pt>
                <c:pt idx="6">
                  <c:v>SA</c:v>
                </c:pt>
              </c:strCache>
            </c:strRef>
          </c:cat>
          <c:val>
            <c:numRef>
              <c:f>Processing!$K$36:$Q$36</c:f>
              <c:numCache>
                <c:formatCode>General</c:formatCode>
                <c:ptCount val="7"/>
                <c:pt idx="0">
                  <c:v>0</c:v>
                </c:pt>
                <c:pt idx="1">
                  <c:v>0</c:v>
                </c:pt>
                <c:pt idx="2">
                  <c:v>0</c:v>
                </c:pt>
                <c:pt idx="3">
                  <c:v>0</c:v>
                </c:pt>
                <c:pt idx="4">
                  <c:v>0</c:v>
                </c:pt>
                <c:pt idx="5">
                  <c:v>0</c:v>
                </c:pt>
                <c:pt idx="6">
                  <c:v>0</c:v>
                </c:pt>
              </c:numCache>
            </c:numRef>
          </c:val>
          <c:extLst>
            <c:ext xmlns:c16="http://schemas.microsoft.com/office/drawing/2014/chart" uri="{C3380CC4-5D6E-409C-BE32-E72D297353CC}">
              <c16:uniqueId val="{0000000B-A26B-4F53-B65F-8181CEABE6EA}"/>
            </c:ext>
          </c:extLst>
        </c:ser>
        <c:ser>
          <c:idx val="12"/>
          <c:order val="12"/>
          <c:spPr>
            <a:noFill/>
            <a:ln>
              <a:noFill/>
            </a:ln>
            <a:effectLst/>
          </c:spPr>
          <c:invertIfNegative val="0"/>
          <c:cat>
            <c:strRef>
              <c:f>Processing!$K$24:$Q$24</c:f>
              <c:strCache>
                <c:ptCount val="7"/>
                <c:pt idx="0">
                  <c:v>SU</c:v>
                </c:pt>
                <c:pt idx="1">
                  <c:v>MO</c:v>
                </c:pt>
                <c:pt idx="2">
                  <c:v>TU</c:v>
                </c:pt>
                <c:pt idx="3">
                  <c:v>WE</c:v>
                </c:pt>
                <c:pt idx="4">
                  <c:v>TH</c:v>
                </c:pt>
                <c:pt idx="5">
                  <c:v>FR</c:v>
                </c:pt>
                <c:pt idx="6">
                  <c:v>SA</c:v>
                </c:pt>
              </c:strCache>
            </c:strRef>
          </c:cat>
          <c:val>
            <c:numRef>
              <c:f>Processing!$K$37:$Q$37</c:f>
              <c:numCache>
                <c:formatCode>General</c:formatCode>
                <c:ptCount val="7"/>
                <c:pt idx="0">
                  <c:v>0</c:v>
                </c:pt>
                <c:pt idx="1">
                  <c:v>0</c:v>
                </c:pt>
                <c:pt idx="2">
                  <c:v>0</c:v>
                </c:pt>
                <c:pt idx="3">
                  <c:v>0</c:v>
                </c:pt>
                <c:pt idx="4">
                  <c:v>0</c:v>
                </c:pt>
                <c:pt idx="5">
                  <c:v>0</c:v>
                </c:pt>
                <c:pt idx="6">
                  <c:v>0</c:v>
                </c:pt>
              </c:numCache>
            </c:numRef>
          </c:val>
          <c:extLst>
            <c:ext xmlns:c16="http://schemas.microsoft.com/office/drawing/2014/chart" uri="{C3380CC4-5D6E-409C-BE32-E72D297353CC}">
              <c16:uniqueId val="{0000000C-A26B-4F53-B65F-8181CEABE6EA}"/>
            </c:ext>
          </c:extLst>
        </c:ser>
        <c:ser>
          <c:idx val="13"/>
          <c:order val="13"/>
          <c:spPr>
            <a:blipFill>
              <a:blip xmlns:r="http://schemas.openxmlformats.org/officeDocument/2006/relationships" r:embed="rId1"/>
              <a:stretch>
                <a:fillRect/>
              </a:stretch>
            </a:blipFill>
            <a:ln>
              <a:noFill/>
            </a:ln>
            <a:effectLst/>
          </c:spPr>
          <c:invertIfNegative val="0"/>
          <c:cat>
            <c:strRef>
              <c:f>Processing!$K$24:$Q$24</c:f>
              <c:strCache>
                <c:ptCount val="7"/>
                <c:pt idx="0">
                  <c:v>SU</c:v>
                </c:pt>
                <c:pt idx="1">
                  <c:v>MO</c:v>
                </c:pt>
                <c:pt idx="2">
                  <c:v>TU</c:v>
                </c:pt>
                <c:pt idx="3">
                  <c:v>WE</c:v>
                </c:pt>
                <c:pt idx="4">
                  <c:v>TH</c:v>
                </c:pt>
                <c:pt idx="5">
                  <c:v>FR</c:v>
                </c:pt>
                <c:pt idx="6">
                  <c:v>SA</c:v>
                </c:pt>
              </c:strCache>
            </c:strRef>
          </c:cat>
          <c:val>
            <c:numRef>
              <c:f>Processing!$K$38:$Q$38</c:f>
              <c:numCache>
                <c:formatCode>General</c:formatCode>
                <c:ptCount val="7"/>
                <c:pt idx="0">
                  <c:v>0</c:v>
                </c:pt>
                <c:pt idx="1">
                  <c:v>0</c:v>
                </c:pt>
                <c:pt idx="2">
                  <c:v>0</c:v>
                </c:pt>
                <c:pt idx="3">
                  <c:v>1</c:v>
                </c:pt>
                <c:pt idx="4">
                  <c:v>0</c:v>
                </c:pt>
                <c:pt idx="5">
                  <c:v>0</c:v>
                </c:pt>
                <c:pt idx="6">
                  <c:v>0</c:v>
                </c:pt>
              </c:numCache>
            </c:numRef>
          </c:val>
          <c:extLst>
            <c:ext xmlns:c16="http://schemas.microsoft.com/office/drawing/2014/chart" uri="{C3380CC4-5D6E-409C-BE32-E72D297353CC}">
              <c16:uniqueId val="{0000000D-A26B-4F53-B65F-8181CEABE6EA}"/>
            </c:ext>
          </c:extLst>
        </c:ser>
        <c:ser>
          <c:idx val="14"/>
          <c:order val="14"/>
          <c:spPr>
            <a:blipFill>
              <a:blip xmlns:r="http://schemas.openxmlformats.org/officeDocument/2006/relationships" r:embed="rId2"/>
              <a:stretch>
                <a:fillRect/>
              </a:stretch>
            </a:blipFill>
            <a:ln>
              <a:noFill/>
            </a:ln>
            <a:effectLst/>
          </c:spPr>
          <c:invertIfNegative val="0"/>
          <c:cat>
            <c:strRef>
              <c:f>Processing!$K$24:$Q$24</c:f>
              <c:strCache>
                <c:ptCount val="7"/>
                <c:pt idx="0">
                  <c:v>SU</c:v>
                </c:pt>
                <c:pt idx="1">
                  <c:v>MO</c:v>
                </c:pt>
                <c:pt idx="2">
                  <c:v>TU</c:v>
                </c:pt>
                <c:pt idx="3">
                  <c:v>WE</c:v>
                </c:pt>
                <c:pt idx="4">
                  <c:v>TH</c:v>
                </c:pt>
                <c:pt idx="5">
                  <c:v>FR</c:v>
                </c:pt>
                <c:pt idx="6">
                  <c:v>SA</c:v>
                </c:pt>
              </c:strCache>
            </c:strRef>
          </c:cat>
          <c:val>
            <c:numRef>
              <c:f>Processing!$K$39:$Q$39</c:f>
              <c:numCache>
                <c:formatCode>General</c:formatCode>
                <c:ptCount val="7"/>
                <c:pt idx="0">
                  <c:v>1</c:v>
                </c:pt>
                <c:pt idx="1">
                  <c:v>1</c:v>
                </c:pt>
                <c:pt idx="2">
                  <c:v>1</c:v>
                </c:pt>
                <c:pt idx="3">
                  <c:v>0</c:v>
                </c:pt>
                <c:pt idx="4">
                  <c:v>0</c:v>
                </c:pt>
                <c:pt idx="5">
                  <c:v>1</c:v>
                </c:pt>
                <c:pt idx="6">
                  <c:v>1</c:v>
                </c:pt>
              </c:numCache>
            </c:numRef>
          </c:val>
          <c:extLst>
            <c:ext xmlns:c16="http://schemas.microsoft.com/office/drawing/2014/chart" uri="{C3380CC4-5D6E-409C-BE32-E72D297353CC}">
              <c16:uniqueId val="{0000000E-A26B-4F53-B65F-8181CEABE6EA}"/>
            </c:ext>
          </c:extLst>
        </c:ser>
        <c:ser>
          <c:idx val="15"/>
          <c:order val="15"/>
          <c:spPr>
            <a:blipFill>
              <a:blip xmlns:r="http://schemas.openxmlformats.org/officeDocument/2006/relationships" r:embed="rId3"/>
              <a:stretch>
                <a:fillRect/>
              </a:stretch>
            </a:blipFill>
            <a:ln>
              <a:noFill/>
            </a:ln>
            <a:effectLst/>
          </c:spPr>
          <c:invertIfNegative val="0"/>
          <c:cat>
            <c:strRef>
              <c:f>Processing!$K$24:$Q$24</c:f>
              <c:strCache>
                <c:ptCount val="7"/>
                <c:pt idx="0">
                  <c:v>SU</c:v>
                </c:pt>
                <c:pt idx="1">
                  <c:v>MO</c:v>
                </c:pt>
                <c:pt idx="2">
                  <c:v>TU</c:v>
                </c:pt>
                <c:pt idx="3">
                  <c:v>WE</c:v>
                </c:pt>
                <c:pt idx="4">
                  <c:v>TH</c:v>
                </c:pt>
                <c:pt idx="5">
                  <c:v>FR</c:v>
                </c:pt>
                <c:pt idx="6">
                  <c:v>SA</c:v>
                </c:pt>
              </c:strCache>
            </c:strRef>
          </c:cat>
          <c:val>
            <c:numRef>
              <c:f>Processing!$K$40:$Q$40</c:f>
              <c:numCache>
                <c:formatCode>General</c:formatCode>
                <c:ptCount val="7"/>
                <c:pt idx="0">
                  <c:v>0</c:v>
                </c:pt>
                <c:pt idx="1">
                  <c:v>0</c:v>
                </c:pt>
                <c:pt idx="2">
                  <c:v>0</c:v>
                </c:pt>
                <c:pt idx="3">
                  <c:v>0</c:v>
                </c:pt>
                <c:pt idx="4">
                  <c:v>1</c:v>
                </c:pt>
                <c:pt idx="5">
                  <c:v>0</c:v>
                </c:pt>
                <c:pt idx="6">
                  <c:v>0</c:v>
                </c:pt>
              </c:numCache>
            </c:numRef>
          </c:val>
          <c:extLst>
            <c:ext xmlns:c16="http://schemas.microsoft.com/office/drawing/2014/chart" uri="{C3380CC4-5D6E-409C-BE32-E72D297353CC}">
              <c16:uniqueId val="{0000000F-A26B-4F53-B65F-8181CEABE6EA}"/>
            </c:ext>
          </c:extLst>
        </c:ser>
        <c:ser>
          <c:idx val="16"/>
          <c:order val="16"/>
          <c:spPr>
            <a:noFill/>
            <a:ln>
              <a:noFill/>
            </a:ln>
            <a:effectLst/>
          </c:spPr>
          <c:invertIfNegative val="0"/>
          <c:cat>
            <c:strRef>
              <c:f>Processing!$K$24:$Q$24</c:f>
              <c:strCache>
                <c:ptCount val="7"/>
                <c:pt idx="0">
                  <c:v>SU</c:v>
                </c:pt>
                <c:pt idx="1">
                  <c:v>MO</c:v>
                </c:pt>
                <c:pt idx="2">
                  <c:v>TU</c:v>
                </c:pt>
                <c:pt idx="3">
                  <c:v>WE</c:v>
                </c:pt>
                <c:pt idx="4">
                  <c:v>TH</c:v>
                </c:pt>
                <c:pt idx="5">
                  <c:v>FR</c:v>
                </c:pt>
                <c:pt idx="6">
                  <c:v>SA</c:v>
                </c:pt>
              </c:strCache>
            </c:strRef>
          </c:cat>
          <c:val>
            <c:numRef>
              <c:f>Processing!$K$41:$Q$41</c:f>
              <c:numCache>
                <c:formatCode>General</c:formatCode>
                <c:ptCount val="7"/>
                <c:pt idx="0">
                  <c:v>0</c:v>
                </c:pt>
                <c:pt idx="1">
                  <c:v>0</c:v>
                </c:pt>
                <c:pt idx="2">
                  <c:v>0</c:v>
                </c:pt>
                <c:pt idx="3">
                  <c:v>0</c:v>
                </c:pt>
                <c:pt idx="4">
                  <c:v>0</c:v>
                </c:pt>
                <c:pt idx="5">
                  <c:v>0</c:v>
                </c:pt>
                <c:pt idx="6">
                  <c:v>1</c:v>
                </c:pt>
              </c:numCache>
            </c:numRef>
          </c:val>
          <c:extLst>
            <c:ext xmlns:c16="http://schemas.microsoft.com/office/drawing/2014/chart" uri="{C3380CC4-5D6E-409C-BE32-E72D297353CC}">
              <c16:uniqueId val="{00000010-A26B-4F53-B65F-8181CEABE6EA}"/>
            </c:ext>
          </c:extLst>
        </c:ser>
        <c:ser>
          <c:idx val="17"/>
          <c:order val="17"/>
          <c:spPr>
            <a:blipFill>
              <a:blip xmlns:r="http://schemas.openxmlformats.org/officeDocument/2006/relationships" r:embed="rId1"/>
              <a:stretch>
                <a:fillRect/>
              </a:stretch>
            </a:blipFill>
            <a:ln>
              <a:noFill/>
            </a:ln>
            <a:effectLst/>
          </c:spPr>
          <c:invertIfNegative val="0"/>
          <c:cat>
            <c:strRef>
              <c:f>Processing!$K$24:$Q$24</c:f>
              <c:strCache>
                <c:ptCount val="7"/>
                <c:pt idx="0">
                  <c:v>SU</c:v>
                </c:pt>
                <c:pt idx="1">
                  <c:v>MO</c:v>
                </c:pt>
                <c:pt idx="2">
                  <c:v>TU</c:v>
                </c:pt>
                <c:pt idx="3">
                  <c:v>WE</c:v>
                </c:pt>
                <c:pt idx="4">
                  <c:v>TH</c:v>
                </c:pt>
                <c:pt idx="5">
                  <c:v>FR</c:v>
                </c:pt>
                <c:pt idx="6">
                  <c:v>SA</c:v>
                </c:pt>
              </c:strCache>
            </c:strRef>
          </c:cat>
          <c:val>
            <c:numRef>
              <c:f>Processing!$K$42:$Q$42</c:f>
              <c:numCache>
                <c:formatCode>General</c:formatCode>
                <c:ptCount val="7"/>
                <c:pt idx="0">
                  <c:v>1</c:v>
                </c:pt>
                <c:pt idx="1">
                  <c:v>0</c:v>
                </c:pt>
                <c:pt idx="2">
                  <c:v>1</c:v>
                </c:pt>
                <c:pt idx="3">
                  <c:v>1</c:v>
                </c:pt>
                <c:pt idx="4">
                  <c:v>1</c:v>
                </c:pt>
                <c:pt idx="5">
                  <c:v>1</c:v>
                </c:pt>
                <c:pt idx="6">
                  <c:v>0</c:v>
                </c:pt>
              </c:numCache>
            </c:numRef>
          </c:val>
          <c:extLst>
            <c:ext xmlns:c16="http://schemas.microsoft.com/office/drawing/2014/chart" uri="{C3380CC4-5D6E-409C-BE32-E72D297353CC}">
              <c16:uniqueId val="{00000011-A26B-4F53-B65F-8181CEABE6EA}"/>
            </c:ext>
          </c:extLst>
        </c:ser>
        <c:ser>
          <c:idx val="18"/>
          <c:order val="18"/>
          <c:spPr>
            <a:blipFill>
              <a:blip xmlns:r="http://schemas.openxmlformats.org/officeDocument/2006/relationships" r:embed="rId2"/>
              <a:stretch>
                <a:fillRect/>
              </a:stretch>
            </a:blipFill>
            <a:ln>
              <a:noFill/>
            </a:ln>
            <a:effectLst/>
          </c:spPr>
          <c:invertIfNegative val="0"/>
          <c:cat>
            <c:strRef>
              <c:f>Processing!$K$24:$Q$24</c:f>
              <c:strCache>
                <c:ptCount val="7"/>
                <c:pt idx="0">
                  <c:v>SU</c:v>
                </c:pt>
                <c:pt idx="1">
                  <c:v>MO</c:v>
                </c:pt>
                <c:pt idx="2">
                  <c:v>TU</c:v>
                </c:pt>
                <c:pt idx="3">
                  <c:v>WE</c:v>
                </c:pt>
                <c:pt idx="4">
                  <c:v>TH</c:v>
                </c:pt>
                <c:pt idx="5">
                  <c:v>FR</c:v>
                </c:pt>
                <c:pt idx="6">
                  <c:v>SA</c:v>
                </c:pt>
              </c:strCache>
            </c:strRef>
          </c:cat>
          <c:val>
            <c:numRef>
              <c:f>Processing!$K$43:$Q$43</c:f>
              <c:numCache>
                <c:formatCode>General</c:formatCode>
                <c:ptCount val="7"/>
                <c:pt idx="0">
                  <c:v>0</c:v>
                </c:pt>
                <c:pt idx="1">
                  <c:v>0</c:v>
                </c:pt>
                <c:pt idx="2">
                  <c:v>0</c:v>
                </c:pt>
                <c:pt idx="3">
                  <c:v>0</c:v>
                </c:pt>
                <c:pt idx="4">
                  <c:v>0</c:v>
                </c:pt>
                <c:pt idx="5">
                  <c:v>0</c:v>
                </c:pt>
                <c:pt idx="6">
                  <c:v>0</c:v>
                </c:pt>
              </c:numCache>
            </c:numRef>
          </c:val>
          <c:extLst>
            <c:ext xmlns:c16="http://schemas.microsoft.com/office/drawing/2014/chart" uri="{C3380CC4-5D6E-409C-BE32-E72D297353CC}">
              <c16:uniqueId val="{00000012-A26B-4F53-B65F-8181CEABE6EA}"/>
            </c:ext>
          </c:extLst>
        </c:ser>
        <c:ser>
          <c:idx val="19"/>
          <c:order val="19"/>
          <c:spPr>
            <a:blipFill>
              <a:blip xmlns:r="http://schemas.openxmlformats.org/officeDocument/2006/relationships" r:embed="rId3"/>
              <a:stretch>
                <a:fillRect/>
              </a:stretch>
            </a:blipFill>
            <a:ln>
              <a:noFill/>
            </a:ln>
            <a:effectLst/>
          </c:spPr>
          <c:invertIfNegative val="0"/>
          <c:cat>
            <c:strRef>
              <c:f>Processing!$K$24:$Q$24</c:f>
              <c:strCache>
                <c:ptCount val="7"/>
                <c:pt idx="0">
                  <c:v>SU</c:v>
                </c:pt>
                <c:pt idx="1">
                  <c:v>MO</c:v>
                </c:pt>
                <c:pt idx="2">
                  <c:v>TU</c:v>
                </c:pt>
                <c:pt idx="3">
                  <c:v>WE</c:v>
                </c:pt>
                <c:pt idx="4">
                  <c:v>TH</c:v>
                </c:pt>
                <c:pt idx="5">
                  <c:v>FR</c:v>
                </c:pt>
                <c:pt idx="6">
                  <c:v>SA</c:v>
                </c:pt>
              </c:strCache>
            </c:strRef>
          </c:cat>
          <c:val>
            <c:numRef>
              <c:f>Processing!$K$44:$Q$44</c:f>
              <c:numCache>
                <c:formatCode>General</c:formatCode>
                <c:ptCount val="7"/>
                <c:pt idx="0">
                  <c:v>0</c:v>
                </c:pt>
                <c:pt idx="1">
                  <c:v>1</c:v>
                </c:pt>
                <c:pt idx="2">
                  <c:v>0</c:v>
                </c:pt>
                <c:pt idx="3">
                  <c:v>0</c:v>
                </c:pt>
                <c:pt idx="4">
                  <c:v>0</c:v>
                </c:pt>
                <c:pt idx="5">
                  <c:v>0</c:v>
                </c:pt>
                <c:pt idx="6">
                  <c:v>0</c:v>
                </c:pt>
              </c:numCache>
            </c:numRef>
          </c:val>
          <c:extLst>
            <c:ext xmlns:c16="http://schemas.microsoft.com/office/drawing/2014/chart" uri="{C3380CC4-5D6E-409C-BE32-E72D297353CC}">
              <c16:uniqueId val="{00000013-A26B-4F53-B65F-8181CEABE6EA}"/>
            </c:ext>
          </c:extLst>
        </c:ser>
        <c:ser>
          <c:idx val="20"/>
          <c:order val="20"/>
          <c:spPr>
            <a:noFill/>
            <a:ln>
              <a:noFill/>
            </a:ln>
            <a:effectLst/>
          </c:spPr>
          <c:invertIfNegative val="0"/>
          <c:cat>
            <c:strRef>
              <c:f>Processing!$K$24:$Q$24</c:f>
              <c:strCache>
                <c:ptCount val="7"/>
                <c:pt idx="0">
                  <c:v>SU</c:v>
                </c:pt>
                <c:pt idx="1">
                  <c:v>MO</c:v>
                </c:pt>
                <c:pt idx="2">
                  <c:v>TU</c:v>
                </c:pt>
                <c:pt idx="3">
                  <c:v>WE</c:v>
                </c:pt>
                <c:pt idx="4">
                  <c:v>TH</c:v>
                </c:pt>
                <c:pt idx="5">
                  <c:v>FR</c:v>
                </c:pt>
                <c:pt idx="6">
                  <c:v>SA</c:v>
                </c:pt>
              </c:strCache>
            </c:strRef>
          </c:cat>
          <c:val>
            <c:numRef>
              <c:f>Processing!$K$45:$Q$45</c:f>
              <c:numCache>
                <c:formatCode>General</c:formatCode>
                <c:ptCount val="7"/>
                <c:pt idx="0">
                  <c:v>1</c:v>
                </c:pt>
                <c:pt idx="1">
                  <c:v>1</c:v>
                </c:pt>
                <c:pt idx="2">
                  <c:v>1</c:v>
                </c:pt>
                <c:pt idx="3">
                  <c:v>1</c:v>
                </c:pt>
                <c:pt idx="4">
                  <c:v>1</c:v>
                </c:pt>
                <c:pt idx="5">
                  <c:v>1</c:v>
                </c:pt>
                <c:pt idx="6">
                  <c:v>1</c:v>
                </c:pt>
              </c:numCache>
            </c:numRef>
          </c:val>
          <c:extLst>
            <c:ext xmlns:c16="http://schemas.microsoft.com/office/drawing/2014/chart" uri="{C3380CC4-5D6E-409C-BE32-E72D297353CC}">
              <c16:uniqueId val="{00000014-A26B-4F53-B65F-8181CEABE6EA}"/>
            </c:ext>
          </c:extLst>
        </c:ser>
        <c:ser>
          <c:idx val="21"/>
          <c:order val="21"/>
          <c:spPr>
            <a:blipFill>
              <a:blip xmlns:r="http://schemas.openxmlformats.org/officeDocument/2006/relationships" r:embed="rId1"/>
              <a:stretch>
                <a:fillRect/>
              </a:stretch>
            </a:blipFill>
            <a:ln>
              <a:noFill/>
            </a:ln>
            <a:effectLst/>
          </c:spPr>
          <c:invertIfNegative val="0"/>
          <c:cat>
            <c:strRef>
              <c:f>Processing!$K$24:$Q$24</c:f>
              <c:strCache>
                <c:ptCount val="7"/>
                <c:pt idx="0">
                  <c:v>SU</c:v>
                </c:pt>
                <c:pt idx="1">
                  <c:v>MO</c:v>
                </c:pt>
                <c:pt idx="2">
                  <c:v>TU</c:v>
                </c:pt>
                <c:pt idx="3">
                  <c:v>WE</c:v>
                </c:pt>
                <c:pt idx="4">
                  <c:v>TH</c:v>
                </c:pt>
                <c:pt idx="5">
                  <c:v>FR</c:v>
                </c:pt>
                <c:pt idx="6">
                  <c:v>SA</c:v>
                </c:pt>
              </c:strCache>
            </c:strRef>
          </c:cat>
          <c:val>
            <c:numRef>
              <c:f>Processing!$K$46:$Q$46</c:f>
              <c:numCache>
                <c:formatCode>General</c:formatCode>
                <c:ptCount val="7"/>
                <c:pt idx="0">
                  <c:v>0</c:v>
                </c:pt>
                <c:pt idx="1">
                  <c:v>0</c:v>
                </c:pt>
                <c:pt idx="2">
                  <c:v>0</c:v>
                </c:pt>
                <c:pt idx="3">
                  <c:v>0</c:v>
                </c:pt>
                <c:pt idx="4">
                  <c:v>0</c:v>
                </c:pt>
                <c:pt idx="5">
                  <c:v>0</c:v>
                </c:pt>
                <c:pt idx="6">
                  <c:v>0</c:v>
                </c:pt>
              </c:numCache>
            </c:numRef>
          </c:val>
          <c:extLst>
            <c:ext xmlns:c16="http://schemas.microsoft.com/office/drawing/2014/chart" uri="{C3380CC4-5D6E-409C-BE32-E72D297353CC}">
              <c16:uniqueId val="{00000015-A26B-4F53-B65F-8181CEABE6EA}"/>
            </c:ext>
          </c:extLst>
        </c:ser>
        <c:ser>
          <c:idx val="22"/>
          <c:order val="22"/>
          <c:spPr>
            <a:blipFill>
              <a:blip xmlns:r="http://schemas.openxmlformats.org/officeDocument/2006/relationships" r:embed="rId2"/>
              <a:stretch>
                <a:fillRect/>
              </a:stretch>
            </a:blipFill>
            <a:ln>
              <a:noFill/>
            </a:ln>
            <a:effectLst/>
          </c:spPr>
          <c:invertIfNegative val="0"/>
          <c:cat>
            <c:strRef>
              <c:f>Processing!$K$24:$Q$24</c:f>
              <c:strCache>
                <c:ptCount val="7"/>
                <c:pt idx="0">
                  <c:v>SU</c:v>
                </c:pt>
                <c:pt idx="1">
                  <c:v>MO</c:v>
                </c:pt>
                <c:pt idx="2">
                  <c:v>TU</c:v>
                </c:pt>
                <c:pt idx="3">
                  <c:v>WE</c:v>
                </c:pt>
                <c:pt idx="4">
                  <c:v>TH</c:v>
                </c:pt>
                <c:pt idx="5">
                  <c:v>FR</c:v>
                </c:pt>
                <c:pt idx="6">
                  <c:v>SA</c:v>
                </c:pt>
              </c:strCache>
            </c:strRef>
          </c:cat>
          <c:val>
            <c:numRef>
              <c:f>Processing!$K$47:$Q$47</c:f>
              <c:numCache>
                <c:formatCode>General</c:formatCode>
                <c:ptCount val="7"/>
                <c:pt idx="0">
                  <c:v>0</c:v>
                </c:pt>
                <c:pt idx="1">
                  <c:v>0</c:v>
                </c:pt>
                <c:pt idx="2">
                  <c:v>0</c:v>
                </c:pt>
                <c:pt idx="3">
                  <c:v>0</c:v>
                </c:pt>
                <c:pt idx="4">
                  <c:v>0</c:v>
                </c:pt>
                <c:pt idx="5">
                  <c:v>0</c:v>
                </c:pt>
                <c:pt idx="6">
                  <c:v>0</c:v>
                </c:pt>
              </c:numCache>
            </c:numRef>
          </c:val>
          <c:extLst>
            <c:ext xmlns:c16="http://schemas.microsoft.com/office/drawing/2014/chart" uri="{C3380CC4-5D6E-409C-BE32-E72D297353CC}">
              <c16:uniqueId val="{00000016-A26B-4F53-B65F-8181CEABE6EA}"/>
            </c:ext>
          </c:extLst>
        </c:ser>
        <c:ser>
          <c:idx val="23"/>
          <c:order val="23"/>
          <c:spPr>
            <a:blipFill>
              <a:blip xmlns:r="http://schemas.openxmlformats.org/officeDocument/2006/relationships" r:embed="rId3"/>
              <a:stretch>
                <a:fillRect/>
              </a:stretch>
            </a:blipFill>
            <a:ln>
              <a:noFill/>
            </a:ln>
            <a:effectLst/>
          </c:spPr>
          <c:invertIfNegative val="0"/>
          <c:cat>
            <c:strRef>
              <c:f>Processing!$K$24:$Q$24</c:f>
              <c:strCache>
                <c:ptCount val="7"/>
                <c:pt idx="0">
                  <c:v>SU</c:v>
                </c:pt>
                <c:pt idx="1">
                  <c:v>MO</c:v>
                </c:pt>
                <c:pt idx="2">
                  <c:v>TU</c:v>
                </c:pt>
                <c:pt idx="3">
                  <c:v>WE</c:v>
                </c:pt>
                <c:pt idx="4">
                  <c:v>TH</c:v>
                </c:pt>
                <c:pt idx="5">
                  <c:v>FR</c:v>
                </c:pt>
                <c:pt idx="6">
                  <c:v>SA</c:v>
                </c:pt>
              </c:strCache>
            </c:strRef>
          </c:cat>
          <c:val>
            <c:numRef>
              <c:f>Processing!$K$48:$Q$48</c:f>
              <c:numCache>
                <c:formatCode>General</c:formatCode>
                <c:ptCount val="7"/>
                <c:pt idx="0">
                  <c:v>0</c:v>
                </c:pt>
                <c:pt idx="1">
                  <c:v>0</c:v>
                </c:pt>
                <c:pt idx="2">
                  <c:v>0</c:v>
                </c:pt>
                <c:pt idx="3">
                  <c:v>0</c:v>
                </c:pt>
                <c:pt idx="4">
                  <c:v>0</c:v>
                </c:pt>
                <c:pt idx="5">
                  <c:v>0</c:v>
                </c:pt>
                <c:pt idx="6">
                  <c:v>0</c:v>
                </c:pt>
              </c:numCache>
            </c:numRef>
          </c:val>
          <c:extLst>
            <c:ext xmlns:c16="http://schemas.microsoft.com/office/drawing/2014/chart" uri="{C3380CC4-5D6E-409C-BE32-E72D297353CC}">
              <c16:uniqueId val="{00000017-A26B-4F53-B65F-8181CEABE6EA}"/>
            </c:ext>
          </c:extLst>
        </c:ser>
        <c:dLbls>
          <c:showLegendKey val="0"/>
          <c:showVal val="0"/>
          <c:showCatName val="0"/>
          <c:showSerName val="0"/>
          <c:showPercent val="0"/>
          <c:showBubbleSize val="0"/>
        </c:dLbls>
        <c:gapWidth val="0"/>
        <c:overlap val="100"/>
        <c:axId val="811298159"/>
        <c:axId val="811278479"/>
      </c:barChart>
      <c:catAx>
        <c:axId val="811298159"/>
        <c:scaling>
          <c:orientation val="minMax"/>
        </c:scaling>
        <c:delete val="1"/>
        <c:axPos val="t"/>
        <c:numFmt formatCode="General" sourceLinked="1"/>
        <c:majorTickMark val="out"/>
        <c:minorTickMark val="none"/>
        <c:tickLblPos val="nextTo"/>
        <c:crossAx val="811278479"/>
        <c:crosses val="autoZero"/>
        <c:auto val="1"/>
        <c:lblAlgn val="ctr"/>
        <c:lblOffset val="100"/>
        <c:noMultiLvlLbl val="0"/>
      </c:catAx>
      <c:valAx>
        <c:axId val="811278479"/>
        <c:scaling>
          <c:orientation val="maxMin"/>
        </c:scaling>
        <c:delete val="1"/>
        <c:axPos val="l"/>
        <c:numFmt formatCode="General" sourceLinked="1"/>
        <c:majorTickMark val="out"/>
        <c:minorTickMark val="none"/>
        <c:tickLblPos val="nextTo"/>
        <c:crossAx val="811298159"/>
        <c:crosses val="autoZero"/>
        <c:crossBetween val="between"/>
      </c:valAx>
      <c:spPr>
        <a:noFill/>
      </c:spPr>
    </c:plotArea>
    <c:plotVisOnly val="1"/>
    <c:dispBlanksAs val="gap"/>
    <c:showDLblsOverMax val="0"/>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Processing!$B$17</c:f>
              <c:strCache>
                <c:ptCount val="1"/>
                <c:pt idx="0">
                  <c:v>indent</c:v>
                </c:pt>
              </c:strCache>
            </c:strRef>
          </c:tx>
          <c:spPr>
            <a:noFill/>
            <a:ln>
              <a:noFill/>
            </a:ln>
            <a:effectLst/>
          </c:spPr>
          <c:invertIfNegative val="0"/>
          <c:cat>
            <c:strRef>
              <c:f>Processing!$A$18:$A$29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Processing!$B$18:$B$29</c:f>
              <c:numCache>
                <c:formatCode>General</c:formatCode>
                <c:ptCount val="12"/>
                <c:pt idx="0">
                  <c:v>242.05</c:v>
                </c:pt>
                <c:pt idx="1">
                  <c:v>242.05</c:v>
                </c:pt>
                <c:pt idx="2">
                  <c:v>242.05</c:v>
                </c:pt>
                <c:pt idx="3">
                  <c:v>242.05</c:v>
                </c:pt>
                <c:pt idx="4">
                  <c:v>242.05</c:v>
                </c:pt>
                <c:pt idx="5">
                  <c:v>242.05</c:v>
                </c:pt>
                <c:pt idx="6">
                  <c:v>242.05</c:v>
                </c:pt>
                <c:pt idx="7">
                  <c:v>242.05</c:v>
                </c:pt>
                <c:pt idx="8">
                  <c:v>242.05</c:v>
                </c:pt>
                <c:pt idx="9">
                  <c:v>242.05</c:v>
                </c:pt>
                <c:pt idx="10">
                  <c:v>242.05</c:v>
                </c:pt>
                <c:pt idx="11">
                  <c:v>242.05</c:v>
                </c:pt>
              </c:numCache>
            </c:numRef>
          </c:val>
          <c:extLst>
            <c:ext xmlns:c16="http://schemas.microsoft.com/office/drawing/2014/chart" uri="{C3380CC4-5D6E-409C-BE32-E72D297353CC}">
              <c16:uniqueId val="{00000000-BA7D-4FE9-86FE-DCE2BFE6D325}"/>
            </c:ext>
          </c:extLst>
        </c:ser>
        <c:ser>
          <c:idx val="1"/>
          <c:order val="1"/>
          <c:tx>
            <c:strRef>
              <c:f>Processing!$C$17</c:f>
              <c:strCache>
                <c:ptCount val="1"/>
                <c:pt idx="0">
                  <c:v>Income</c:v>
                </c:pt>
              </c:strCache>
            </c:strRef>
          </c:tx>
          <c:spPr>
            <a:solidFill>
              <a:schemeClr val="accent2"/>
            </a:solidFill>
            <a:ln w="101600">
              <a:gradFill>
                <a:gsLst>
                  <a:gs pos="0">
                    <a:srgbClr val="1992E6"/>
                  </a:gs>
                  <a:gs pos="100000">
                    <a:srgbClr val="2373DF"/>
                  </a:gs>
                </a:gsLst>
                <a:lin ang="5400000" scaled="1"/>
              </a:gradFill>
            </a:ln>
            <a:effectLst/>
          </c:spPr>
          <c:invertIfNegative val="0"/>
          <c:cat>
            <c:strRef>
              <c:f>Processing!$A$18:$A$29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Processing!$C$18:$C$29</c:f>
              <c:numCache>
                <c:formatCode>General</c:formatCode>
                <c:ptCount val="12"/>
                <c:pt idx="0">
                  <c:v>2075</c:v>
                </c:pt>
                <c:pt idx="1">
                  <c:v>3066</c:v>
                </c:pt>
                <c:pt idx="2">
                  <c:v>4626</c:v>
                </c:pt>
                <c:pt idx="3">
                  <c:v>4841</c:v>
                </c:pt>
                <c:pt idx="4">
                  <c:v>4626</c:v>
                </c:pt>
                <c:pt idx="5">
                  <c:v>3066</c:v>
                </c:pt>
                <c:pt idx="6">
                  <c:v>2075</c:v>
                </c:pt>
                <c:pt idx="7">
                  <c:v>3066</c:v>
                </c:pt>
                <c:pt idx="8">
                  <c:v>4626</c:v>
                </c:pt>
                <c:pt idx="9">
                  <c:v>4841</c:v>
                </c:pt>
                <c:pt idx="10">
                  <c:v>4626</c:v>
                </c:pt>
                <c:pt idx="11">
                  <c:v>2666</c:v>
                </c:pt>
              </c:numCache>
            </c:numRef>
          </c:val>
          <c:extLst>
            <c:ext xmlns:c16="http://schemas.microsoft.com/office/drawing/2014/chart" uri="{C3380CC4-5D6E-409C-BE32-E72D297353CC}">
              <c16:uniqueId val="{00000001-BA7D-4FE9-86FE-DCE2BFE6D325}"/>
            </c:ext>
          </c:extLst>
        </c:ser>
        <c:dLbls>
          <c:showLegendKey val="0"/>
          <c:showVal val="0"/>
          <c:showCatName val="0"/>
          <c:showSerName val="0"/>
          <c:showPercent val="0"/>
          <c:showBubbleSize val="0"/>
        </c:dLbls>
        <c:gapWidth val="300"/>
        <c:overlap val="100"/>
        <c:axId val="1217850336"/>
        <c:axId val="1217876256"/>
      </c:barChart>
      <c:barChart>
        <c:barDir val="col"/>
        <c:grouping val="stacked"/>
        <c:varyColors val="0"/>
        <c:ser>
          <c:idx val="2"/>
          <c:order val="2"/>
          <c:tx>
            <c:strRef>
              <c:f>Processing!$D$17</c:f>
              <c:strCache>
                <c:ptCount val="1"/>
                <c:pt idx="0">
                  <c:v>indent Cursor</c:v>
                </c:pt>
              </c:strCache>
            </c:strRef>
          </c:tx>
          <c:spPr>
            <a:noFill/>
            <a:ln>
              <a:noFill/>
            </a:ln>
            <a:effectLst/>
          </c:spPr>
          <c:invertIfNegative val="0"/>
          <c:cat>
            <c:strRef>
              <c:f>Processing!$A$18:$A$29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Processing!$D$18:$D$29</c:f>
              <c:numCache>
                <c:formatCode>General</c:formatCode>
                <c:ptCount val="12"/>
                <c:pt idx="0">
                  <c:v>242.05</c:v>
                </c:pt>
                <c:pt idx="1">
                  <c:v>242.05</c:v>
                </c:pt>
                <c:pt idx="2">
                  <c:v>242.05</c:v>
                </c:pt>
                <c:pt idx="3">
                  <c:v>242.05</c:v>
                </c:pt>
                <c:pt idx="4">
                  <c:v>242.05</c:v>
                </c:pt>
                <c:pt idx="5">
                  <c:v>242.05</c:v>
                </c:pt>
                <c:pt idx="6">
                  <c:v>242.05</c:v>
                </c:pt>
                <c:pt idx="7">
                  <c:v>242.05</c:v>
                </c:pt>
                <c:pt idx="8">
                  <c:v>242.05</c:v>
                </c:pt>
                <c:pt idx="9">
                  <c:v>242.05</c:v>
                </c:pt>
                <c:pt idx="10">
                  <c:v>242.05</c:v>
                </c:pt>
                <c:pt idx="11">
                  <c:v>242.05</c:v>
                </c:pt>
              </c:numCache>
            </c:numRef>
          </c:val>
          <c:extLst>
            <c:ext xmlns:c16="http://schemas.microsoft.com/office/drawing/2014/chart" uri="{C3380CC4-5D6E-409C-BE32-E72D297353CC}">
              <c16:uniqueId val="{00000002-BA7D-4FE9-86FE-DCE2BFE6D325}"/>
            </c:ext>
          </c:extLst>
        </c:ser>
        <c:ser>
          <c:idx val="3"/>
          <c:order val="3"/>
          <c:tx>
            <c:strRef>
              <c:f>Processing!$E$17</c:f>
              <c:strCache>
                <c:ptCount val="1"/>
                <c:pt idx="0">
                  <c:v>Cursor</c:v>
                </c:pt>
              </c:strCache>
            </c:strRef>
          </c:tx>
          <c:spPr>
            <a:solidFill>
              <a:schemeClr val="accent4"/>
            </a:solidFill>
            <a:ln w="101600">
              <a:gradFill>
                <a:gsLst>
                  <a:gs pos="0">
                    <a:srgbClr val="06D3D9"/>
                  </a:gs>
                  <a:gs pos="62000">
                    <a:srgbClr val="09C3F2"/>
                  </a:gs>
                </a:gsLst>
                <a:lin ang="5400000" scaled="1"/>
              </a:gradFill>
            </a:ln>
            <a:effectLst>
              <a:outerShdw blurRad="50800" dist="38100" dir="8100000" algn="tr" rotWithShape="0">
                <a:prstClr val="black">
                  <a:alpha val="40000"/>
                </a:prstClr>
              </a:outerShdw>
            </a:effectLst>
          </c:spPr>
          <c:invertIfNegative val="0"/>
          <c:dPt>
            <c:idx val="8"/>
            <c:invertIfNegative val="0"/>
            <c:bubble3D val="0"/>
            <c:extLst>
              <c:ext xmlns:c16="http://schemas.microsoft.com/office/drawing/2014/chart" uri="{C3380CC4-5D6E-409C-BE32-E72D297353CC}">
                <c16:uniqueId val="{00000004-BA7D-4FE9-86FE-DCE2BFE6D325}"/>
              </c:ext>
            </c:extLst>
          </c:dPt>
          <c:cat>
            <c:strRef>
              <c:f>Processing!$A$18:$A$29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Processing!$E$18:$E$29</c:f>
              <c:numCache>
                <c:formatCode>General</c:formatCode>
                <c:ptCount val="12"/>
                <c:pt idx="0">
                  <c:v>#N/A</c:v>
                </c:pt>
                <c:pt idx="1">
                  <c:v>#N/A</c:v>
                </c:pt>
                <c:pt idx="2">
                  <c:v>#N/A</c:v>
                </c:pt>
                <c:pt idx="3">
                  <c:v>4841</c:v>
                </c:pt>
                <c:pt idx="4">
                  <c:v>4626</c:v>
                </c:pt>
                <c:pt idx="5">
                  <c:v>3066</c:v>
                </c:pt>
                <c:pt idx="6">
                  <c:v>#N/A</c:v>
                </c:pt>
                <c:pt idx="7">
                  <c:v>#N/A</c:v>
                </c:pt>
                <c:pt idx="8">
                  <c:v>#N/A</c:v>
                </c:pt>
                <c:pt idx="9">
                  <c:v>#N/A</c:v>
                </c:pt>
                <c:pt idx="10">
                  <c:v>#N/A</c:v>
                </c:pt>
                <c:pt idx="11">
                  <c:v>#N/A</c:v>
                </c:pt>
              </c:numCache>
            </c:numRef>
          </c:val>
          <c:extLst>
            <c:ext xmlns:c16="http://schemas.microsoft.com/office/drawing/2014/chart" uri="{C3380CC4-5D6E-409C-BE32-E72D297353CC}">
              <c16:uniqueId val="{00000005-BA7D-4FE9-86FE-DCE2BFE6D325}"/>
            </c:ext>
          </c:extLst>
        </c:ser>
        <c:dLbls>
          <c:showLegendKey val="0"/>
          <c:showVal val="0"/>
          <c:showCatName val="0"/>
          <c:showSerName val="0"/>
          <c:showPercent val="0"/>
          <c:showBubbleSize val="0"/>
        </c:dLbls>
        <c:gapWidth val="300"/>
        <c:overlap val="100"/>
        <c:axId val="1217885856"/>
        <c:axId val="1217884416"/>
      </c:barChart>
      <c:lineChart>
        <c:grouping val="standard"/>
        <c:varyColors val="0"/>
        <c:ser>
          <c:idx val="4"/>
          <c:order val="4"/>
          <c:tx>
            <c:strRef>
              <c:f>Processing!$F$17</c:f>
              <c:strCache>
                <c:ptCount val="1"/>
                <c:pt idx="0">
                  <c:v>Expenses</c:v>
                </c:pt>
              </c:strCache>
            </c:strRef>
          </c:tx>
          <c:spPr>
            <a:ln w="25400" cap="rnd">
              <a:solidFill>
                <a:srgbClr val="FF00FF"/>
              </a:solidFill>
              <a:round/>
            </a:ln>
            <a:effectLst>
              <a:outerShdw blurRad="50800" dist="38100" dir="5400000" algn="t" rotWithShape="0">
                <a:prstClr val="black">
                  <a:alpha val="40000"/>
                </a:prstClr>
              </a:outerShdw>
            </a:effectLst>
          </c:spPr>
          <c:marker>
            <c:symbol val="circle"/>
            <c:size val="6"/>
            <c:spPr>
              <a:solidFill>
                <a:schemeClr val="bg1"/>
              </a:solidFill>
              <a:ln w="9525">
                <a:solidFill>
                  <a:srgbClr val="FF00FF"/>
                </a:solidFill>
              </a:ln>
              <a:effectLst>
                <a:outerShdw blurRad="50800" dist="38100" dir="5400000" algn="t" rotWithShape="0">
                  <a:prstClr val="black">
                    <a:alpha val="40000"/>
                  </a:prstClr>
                </a:outerShdw>
              </a:effectLst>
            </c:spPr>
          </c:marker>
          <c:cat>
            <c:strRef>
              <c:f>Processing!$A$18:$A$29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Processing!$F$18:$F$29</c:f>
              <c:numCache>
                <c:formatCode>General</c:formatCode>
                <c:ptCount val="12"/>
                <c:pt idx="0">
                  <c:v>2412</c:v>
                </c:pt>
                <c:pt idx="1">
                  <c:v>1696</c:v>
                </c:pt>
                <c:pt idx="2">
                  <c:v>3544</c:v>
                </c:pt>
                <c:pt idx="3">
                  <c:v>2671</c:v>
                </c:pt>
                <c:pt idx="4">
                  <c:v>3036</c:v>
                </c:pt>
                <c:pt idx="5">
                  <c:v>4595</c:v>
                </c:pt>
                <c:pt idx="6">
                  <c:v>2714</c:v>
                </c:pt>
                <c:pt idx="7">
                  <c:v>3731</c:v>
                </c:pt>
                <c:pt idx="8">
                  <c:v>4952</c:v>
                </c:pt>
                <c:pt idx="9">
                  <c:v>3544</c:v>
                </c:pt>
                <c:pt idx="10">
                  <c:v>4595</c:v>
                </c:pt>
                <c:pt idx="11">
                  <c:v>1739</c:v>
                </c:pt>
              </c:numCache>
            </c:numRef>
          </c:val>
          <c:smooth val="0"/>
          <c:extLst>
            <c:ext xmlns:c16="http://schemas.microsoft.com/office/drawing/2014/chart" uri="{C3380CC4-5D6E-409C-BE32-E72D297353CC}">
              <c16:uniqueId val="{00000006-BA7D-4FE9-86FE-DCE2BFE6D325}"/>
            </c:ext>
          </c:extLst>
        </c:ser>
        <c:ser>
          <c:idx val="5"/>
          <c:order val="5"/>
          <c:tx>
            <c:strRef>
              <c:f>Processing!$G$17</c:f>
              <c:strCache>
                <c:ptCount val="1"/>
                <c:pt idx="0">
                  <c:v>Markers</c:v>
                </c:pt>
              </c:strCache>
            </c:strRef>
          </c:tx>
          <c:spPr>
            <a:ln w="28575" cap="rnd">
              <a:noFill/>
              <a:round/>
            </a:ln>
            <a:effectLst/>
          </c:spPr>
          <c:marker>
            <c:symbol val="none"/>
          </c:marker>
          <c:dLbls>
            <c:dLbl>
              <c:idx val="0"/>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7-BA7D-4FE9-86FE-DCE2BFE6D325}"/>
                </c:ext>
              </c:extLst>
            </c:dLbl>
            <c:dLbl>
              <c:idx val="1"/>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8-BA7D-4FE9-86FE-DCE2BFE6D325}"/>
                </c:ext>
              </c:extLst>
            </c:dLbl>
            <c:dLbl>
              <c:idx val="2"/>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9-BA7D-4FE9-86FE-DCE2BFE6D325}"/>
                </c:ext>
              </c:extLst>
            </c:dLbl>
            <c:dLbl>
              <c:idx val="3"/>
              <c:tx>
                <c:rich>
                  <a:bodyPr/>
                  <a:lstStyle/>
                  <a:p>
                    <a:fld id="{8FFFB22E-360D-404F-A978-0AE37E39609B}"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BA7D-4FE9-86FE-DCE2BFE6D325}"/>
                </c:ext>
              </c:extLst>
            </c:dLbl>
            <c:dLbl>
              <c:idx val="4"/>
              <c:tx>
                <c:rich>
                  <a:bodyPr/>
                  <a:lstStyle/>
                  <a:p>
                    <a:fld id="{57AAB2CB-5635-438E-B072-A27924489DE9}"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BA7D-4FE9-86FE-DCE2BFE6D325}"/>
                </c:ext>
              </c:extLst>
            </c:dLbl>
            <c:dLbl>
              <c:idx val="5"/>
              <c:tx>
                <c:rich>
                  <a:bodyPr/>
                  <a:lstStyle/>
                  <a:p>
                    <a:fld id="{B40F0543-59CC-4E55-AAF5-85FAE8CF4E6D}"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BA7D-4FE9-86FE-DCE2BFE6D325}"/>
                </c:ext>
              </c:extLst>
            </c:dLbl>
            <c:dLbl>
              <c:idx val="6"/>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D-BA7D-4FE9-86FE-DCE2BFE6D325}"/>
                </c:ext>
              </c:extLst>
            </c:dLbl>
            <c:dLbl>
              <c:idx val="7"/>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E-BA7D-4FE9-86FE-DCE2BFE6D325}"/>
                </c:ext>
              </c:extLst>
            </c:dLbl>
            <c:dLbl>
              <c:idx val="8"/>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F-BA7D-4FE9-86FE-DCE2BFE6D325}"/>
                </c:ext>
              </c:extLst>
            </c:dLbl>
            <c:dLbl>
              <c:idx val="9"/>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0-BA7D-4FE9-86FE-DCE2BFE6D325}"/>
                </c:ext>
              </c:extLst>
            </c:dLbl>
            <c:dLbl>
              <c:idx val="10"/>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1-BA7D-4FE9-86FE-DCE2BFE6D325}"/>
                </c:ext>
              </c:extLst>
            </c:dLbl>
            <c:dLbl>
              <c:idx val="11"/>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2-BA7D-4FE9-86FE-DCE2BFE6D325}"/>
                </c:ext>
              </c:extLst>
            </c:dLbl>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ru-RU"/>
              </a:p>
            </c:txPr>
            <c:dLblPos val="t"/>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f>Processing!$A$18:$A$29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Processing!$G$18:$G$29</c:f>
              <c:numCache>
                <c:formatCode>General</c:formatCode>
                <c:ptCount val="12"/>
                <c:pt idx="0">
                  <c:v>#N/A</c:v>
                </c:pt>
                <c:pt idx="1">
                  <c:v>#N/A</c:v>
                </c:pt>
                <c:pt idx="2">
                  <c:v>#N/A</c:v>
                </c:pt>
                <c:pt idx="3">
                  <c:v>5083.05</c:v>
                </c:pt>
                <c:pt idx="4">
                  <c:v>4868.05</c:v>
                </c:pt>
                <c:pt idx="5">
                  <c:v>3308.05</c:v>
                </c:pt>
                <c:pt idx="6">
                  <c:v>#N/A</c:v>
                </c:pt>
                <c:pt idx="7">
                  <c:v>#N/A</c:v>
                </c:pt>
                <c:pt idx="8">
                  <c:v>#N/A</c:v>
                </c:pt>
                <c:pt idx="9">
                  <c:v>#N/A</c:v>
                </c:pt>
                <c:pt idx="10">
                  <c:v>#N/A</c:v>
                </c:pt>
                <c:pt idx="11">
                  <c:v>#N/A</c:v>
                </c:pt>
              </c:numCache>
            </c:numRef>
          </c:val>
          <c:smooth val="0"/>
          <c:extLst>
            <c:ext xmlns:c15="http://schemas.microsoft.com/office/drawing/2012/chart" uri="{02D57815-91ED-43cb-92C2-25804820EDAC}">
              <c15:datalabelsRange>
                <c15:f>Processing!$H$18:$H$29</c15:f>
                <c15:dlblRangeCache>
                  <c:ptCount val="12"/>
                  <c:pt idx="0">
                    <c:v>#N/A</c:v>
                  </c:pt>
                  <c:pt idx="1">
                    <c:v>#N/A</c:v>
                  </c:pt>
                  <c:pt idx="2">
                    <c:v>#N/A</c:v>
                  </c:pt>
                  <c:pt idx="3">
                    <c:v>5k</c:v>
                  </c:pt>
                  <c:pt idx="4">
                    <c:v>5k</c:v>
                  </c:pt>
                  <c:pt idx="5">
                    <c:v>3k</c:v>
                  </c:pt>
                  <c:pt idx="6">
                    <c:v>#N/A</c:v>
                  </c:pt>
                  <c:pt idx="7">
                    <c:v>#N/A</c:v>
                  </c:pt>
                  <c:pt idx="8">
                    <c:v>#N/A</c:v>
                  </c:pt>
                  <c:pt idx="9">
                    <c:v>#N/A</c:v>
                  </c:pt>
                  <c:pt idx="10">
                    <c:v>#N/A</c:v>
                  </c:pt>
                  <c:pt idx="11">
                    <c:v>#N/A</c:v>
                  </c:pt>
                </c15:dlblRangeCache>
              </c15:datalabelsRange>
            </c:ext>
            <c:ext xmlns:c16="http://schemas.microsoft.com/office/drawing/2014/chart" uri="{C3380CC4-5D6E-409C-BE32-E72D297353CC}">
              <c16:uniqueId val="{00000013-BA7D-4FE9-86FE-DCE2BFE6D325}"/>
            </c:ext>
          </c:extLst>
        </c:ser>
        <c:dLbls>
          <c:showLegendKey val="0"/>
          <c:showVal val="0"/>
          <c:showCatName val="0"/>
          <c:showSerName val="0"/>
          <c:showPercent val="0"/>
          <c:showBubbleSize val="0"/>
        </c:dLbls>
        <c:marker val="1"/>
        <c:smooth val="0"/>
        <c:axId val="1217850336"/>
        <c:axId val="1217876256"/>
      </c:lineChart>
      <c:catAx>
        <c:axId val="1217850336"/>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1217876256"/>
        <c:crosses val="autoZero"/>
        <c:auto val="1"/>
        <c:lblAlgn val="ctr"/>
        <c:lblOffset val="100"/>
        <c:noMultiLvlLbl val="0"/>
      </c:catAx>
      <c:valAx>
        <c:axId val="1217876256"/>
        <c:scaling>
          <c:orientation val="minMax"/>
        </c:scaling>
        <c:delete val="0"/>
        <c:axPos val="l"/>
        <c:majorGridlines>
          <c:spPr>
            <a:ln w="9525" cap="flat" cmpd="sng" algn="ctr">
              <a:solidFill>
                <a:srgbClr val="18387B"/>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lumMod val="25000"/>
                    <a:lumOff val="75000"/>
                  </a:schemeClr>
                </a:solidFill>
                <a:latin typeface="+mn-lt"/>
                <a:ea typeface="+mn-ea"/>
                <a:cs typeface="+mn-cs"/>
              </a:defRPr>
            </a:pPr>
            <a:endParaRPr lang="ru-RU"/>
          </a:p>
        </c:txPr>
        <c:crossAx val="1217850336"/>
        <c:crosses val="autoZero"/>
        <c:crossBetween val="between"/>
      </c:valAx>
      <c:valAx>
        <c:axId val="1217884416"/>
        <c:scaling>
          <c:orientation val="minMax"/>
        </c:scaling>
        <c:delete val="1"/>
        <c:axPos val="r"/>
        <c:numFmt formatCode="General" sourceLinked="1"/>
        <c:majorTickMark val="out"/>
        <c:minorTickMark val="none"/>
        <c:tickLblPos val="nextTo"/>
        <c:crossAx val="1217885856"/>
        <c:crosses val="max"/>
        <c:crossBetween val="between"/>
      </c:valAx>
      <c:catAx>
        <c:axId val="1217885856"/>
        <c:scaling>
          <c:orientation val="minMax"/>
        </c:scaling>
        <c:delete val="1"/>
        <c:axPos val="b"/>
        <c:numFmt formatCode="General" sourceLinked="1"/>
        <c:majorTickMark val="out"/>
        <c:minorTickMark val="none"/>
        <c:tickLblPos val="nextTo"/>
        <c:crossAx val="1217884416"/>
        <c:crosses val="autoZero"/>
        <c:auto val="1"/>
        <c:lblAlgn val="ctr"/>
        <c:lblOffset val="100"/>
        <c:noMultiLvlLbl val="0"/>
      </c:catAx>
      <c:spPr>
        <a:noFill/>
      </c:spPr>
    </c:plotArea>
    <c:plotVisOnly val="1"/>
    <c:dispBlanksAs val="gap"/>
    <c:showDLblsOverMax val="0"/>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711001086985339"/>
          <c:y val="8.9869281045751634E-2"/>
          <c:w val="0.66877483117640601"/>
          <c:h val="0.8202614379084967"/>
        </c:manualLayout>
      </c:layout>
      <c:barChart>
        <c:barDir val="bar"/>
        <c:grouping val="stacked"/>
        <c:varyColors val="0"/>
        <c:ser>
          <c:idx val="1"/>
          <c:order val="0"/>
          <c:tx>
            <c:strRef>
              <c:f>Processing!$E$33</c:f>
              <c:strCache>
                <c:ptCount val="1"/>
                <c:pt idx="0">
                  <c:v>indent</c:v>
                </c:pt>
              </c:strCache>
            </c:strRef>
          </c:tx>
          <c:spPr>
            <a:noFill/>
            <a:ln>
              <a:noFill/>
            </a:ln>
            <a:effectLst/>
          </c:spPr>
          <c:invertIfNegative val="0"/>
          <c:cat>
            <c:strRef>
              <c:f>Processing!$D$34:$D$37</c:f>
              <c:strCache>
                <c:ptCount val="4"/>
                <c:pt idx="0">
                  <c:v>Savings</c:v>
                </c:pt>
                <c:pt idx="1">
                  <c:v>Salary</c:v>
                </c:pt>
                <c:pt idx="2">
                  <c:v>Side Job</c:v>
                </c:pt>
                <c:pt idx="3">
                  <c:v>Stock</c:v>
                </c:pt>
              </c:strCache>
            </c:strRef>
          </c:cat>
          <c:val>
            <c:numRef>
              <c:f>Processing!$E$34:$E$37</c:f>
              <c:numCache>
                <c:formatCode>General</c:formatCode>
                <c:ptCount val="4"/>
                <c:pt idx="0">
                  <c:v>271.18</c:v>
                </c:pt>
                <c:pt idx="1">
                  <c:v>271.18</c:v>
                </c:pt>
                <c:pt idx="2">
                  <c:v>271.18</c:v>
                </c:pt>
                <c:pt idx="3">
                  <c:v>271.18</c:v>
                </c:pt>
              </c:numCache>
            </c:numRef>
          </c:val>
          <c:extLst>
            <c:ext xmlns:c16="http://schemas.microsoft.com/office/drawing/2014/chart" uri="{C3380CC4-5D6E-409C-BE32-E72D297353CC}">
              <c16:uniqueId val="{00000000-213E-4E0E-BDF9-DFD712C464E2}"/>
            </c:ext>
          </c:extLst>
        </c:ser>
        <c:ser>
          <c:idx val="0"/>
          <c:order val="1"/>
          <c:tx>
            <c:strRef>
              <c:f>Processing!$F$33</c:f>
              <c:strCache>
                <c:ptCount val="1"/>
                <c:pt idx="0">
                  <c:v>Rank</c:v>
                </c:pt>
              </c:strCache>
            </c:strRef>
          </c:tx>
          <c:spPr>
            <a:solidFill>
              <a:schemeClr val="accent1"/>
            </a:solidFill>
            <a:ln w="10160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invertIfNegative val="0"/>
          <c:cat>
            <c:strRef>
              <c:f>Processing!$D$34:$D$37</c:f>
              <c:strCache>
                <c:ptCount val="4"/>
                <c:pt idx="0">
                  <c:v>Savings</c:v>
                </c:pt>
                <c:pt idx="1">
                  <c:v>Salary</c:v>
                </c:pt>
                <c:pt idx="2">
                  <c:v>Side Job</c:v>
                </c:pt>
                <c:pt idx="3">
                  <c:v>Stock</c:v>
                </c:pt>
              </c:strCache>
            </c:strRef>
          </c:cat>
          <c:val>
            <c:numRef>
              <c:f>Processing!$F$34:$F$37</c:f>
              <c:numCache>
                <c:formatCode>General</c:formatCode>
                <c:ptCount val="4"/>
                <c:pt idx="0">
                  <c:v>3874</c:v>
                </c:pt>
                <c:pt idx="1">
                  <c:v>3546</c:v>
                </c:pt>
                <c:pt idx="2">
                  <c:v>2607</c:v>
                </c:pt>
                <c:pt idx="3">
                  <c:v>2506</c:v>
                </c:pt>
              </c:numCache>
            </c:numRef>
          </c:val>
          <c:extLst>
            <c:ext xmlns:c16="http://schemas.microsoft.com/office/drawing/2014/chart" uri="{C3380CC4-5D6E-409C-BE32-E72D297353CC}">
              <c16:uniqueId val="{00000001-213E-4E0E-BDF9-DFD712C464E2}"/>
            </c:ext>
          </c:extLst>
        </c:ser>
        <c:dLbls>
          <c:showLegendKey val="0"/>
          <c:showVal val="0"/>
          <c:showCatName val="0"/>
          <c:showSerName val="0"/>
          <c:showPercent val="0"/>
          <c:showBubbleSize val="0"/>
        </c:dLbls>
        <c:gapWidth val="300"/>
        <c:overlap val="100"/>
        <c:axId val="1547179375"/>
        <c:axId val="1547170255"/>
      </c:barChart>
      <c:catAx>
        <c:axId val="1547179375"/>
        <c:scaling>
          <c:orientation val="maxMin"/>
        </c:scaling>
        <c:delete val="0"/>
        <c:axPos val="l"/>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2">
                    <a:lumMod val="25000"/>
                    <a:lumOff val="75000"/>
                  </a:schemeClr>
                </a:solidFill>
                <a:latin typeface="+mn-lt"/>
                <a:ea typeface="+mn-ea"/>
                <a:cs typeface="+mn-cs"/>
              </a:defRPr>
            </a:pPr>
            <a:endParaRPr lang="ru-RU"/>
          </a:p>
        </c:txPr>
        <c:crossAx val="1547170255"/>
        <c:crosses val="autoZero"/>
        <c:auto val="1"/>
        <c:lblAlgn val="ctr"/>
        <c:lblOffset val="100"/>
        <c:noMultiLvlLbl val="0"/>
      </c:catAx>
      <c:valAx>
        <c:axId val="1547170255"/>
        <c:scaling>
          <c:orientation val="minMax"/>
          <c:min val="0"/>
        </c:scaling>
        <c:delete val="1"/>
        <c:axPos val="t"/>
        <c:numFmt formatCode="General" sourceLinked="1"/>
        <c:majorTickMark val="out"/>
        <c:minorTickMark val="none"/>
        <c:tickLblPos val="nextTo"/>
        <c:crossAx val="1547179375"/>
        <c:crosses val="autoZero"/>
        <c:crossBetween val="between"/>
      </c:valAx>
      <c:spPr>
        <a:noFill/>
      </c:spPr>
    </c:plotArea>
    <c:plotVisOnly val="1"/>
    <c:dispBlanksAs val="gap"/>
    <c:showDLblsOverMax val="0"/>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areaChart>
        <c:grouping val="standard"/>
        <c:varyColors val="0"/>
        <c:ser>
          <c:idx val="0"/>
          <c:order val="0"/>
          <c:tx>
            <c:strRef>
              <c:f>Processing!$B$40</c:f>
              <c:strCache>
                <c:ptCount val="1"/>
                <c:pt idx="0">
                  <c:v>Income</c:v>
                </c:pt>
              </c:strCache>
            </c:strRef>
          </c:tx>
          <c:spPr>
            <a:gradFill>
              <a:gsLst>
                <a:gs pos="0">
                  <a:srgbClr val="3883D4"/>
                </a:gs>
                <a:gs pos="100000">
                  <a:srgbClr val="224192">
                    <a:alpha val="2000"/>
                  </a:srgbClr>
                </a:gs>
              </a:gsLst>
              <a:lin ang="5400000" scaled="0"/>
            </a:gradFill>
            <a:ln>
              <a:noFill/>
            </a:ln>
            <a:effectLst/>
          </c:spPr>
          <c:val>
            <c:numRef>
              <c:f>Processing!$B$41:$B$44</c:f>
              <c:numCache>
                <c:formatCode>General</c:formatCode>
                <c:ptCount val="4"/>
                <c:pt idx="0">
                  <c:v>37965</c:v>
                </c:pt>
                <c:pt idx="1">
                  <c:v>44200</c:v>
                </c:pt>
                <c:pt idx="2">
                  <c:v>38780</c:v>
                </c:pt>
                <c:pt idx="3">
                  <c:v>53560</c:v>
                </c:pt>
              </c:numCache>
            </c:numRef>
          </c:val>
          <c:extLst>
            <c:ext xmlns:c16="http://schemas.microsoft.com/office/drawing/2014/chart" uri="{C3380CC4-5D6E-409C-BE32-E72D297353CC}">
              <c16:uniqueId val="{00000000-A046-494E-A545-D74A5A41A967}"/>
            </c:ext>
          </c:extLst>
        </c:ser>
        <c:dLbls>
          <c:showLegendKey val="0"/>
          <c:showVal val="0"/>
          <c:showCatName val="0"/>
          <c:showSerName val="0"/>
          <c:showPercent val="0"/>
          <c:showBubbleSize val="0"/>
        </c:dLbls>
        <c:axId val="1547119375"/>
        <c:axId val="1547116975"/>
      </c:areaChart>
      <c:lineChart>
        <c:grouping val="standard"/>
        <c:varyColors val="0"/>
        <c:ser>
          <c:idx val="1"/>
          <c:order val="1"/>
          <c:spPr>
            <a:ln w="25400" cap="rnd">
              <a:solidFill>
                <a:schemeClr val="tx2">
                  <a:lumMod val="25000"/>
                  <a:lumOff val="75000"/>
                </a:schemeClr>
              </a:solidFill>
              <a:round/>
            </a:ln>
            <a:effectLst>
              <a:outerShdw blurRad="50800" dist="38100" dir="5400000" algn="t" rotWithShape="0">
                <a:prstClr val="black">
                  <a:alpha val="40000"/>
                </a:prstClr>
              </a:outerShdw>
            </a:effectLst>
          </c:spPr>
          <c:marker>
            <c:symbol val="none"/>
          </c:marker>
          <c:val>
            <c:numRef>
              <c:f>Processing!$B$41:$B$44</c:f>
              <c:numCache>
                <c:formatCode>General</c:formatCode>
                <c:ptCount val="4"/>
                <c:pt idx="0">
                  <c:v>37965</c:v>
                </c:pt>
                <c:pt idx="1">
                  <c:v>44200</c:v>
                </c:pt>
                <c:pt idx="2">
                  <c:v>38780</c:v>
                </c:pt>
                <c:pt idx="3">
                  <c:v>53560</c:v>
                </c:pt>
              </c:numCache>
            </c:numRef>
          </c:val>
          <c:smooth val="0"/>
          <c:extLst>
            <c:ext xmlns:c16="http://schemas.microsoft.com/office/drawing/2014/chart" uri="{C3380CC4-5D6E-409C-BE32-E72D297353CC}">
              <c16:uniqueId val="{00000001-A046-494E-A545-D74A5A41A967}"/>
            </c:ext>
          </c:extLst>
        </c:ser>
        <c:dLbls>
          <c:showLegendKey val="0"/>
          <c:showVal val="0"/>
          <c:showCatName val="0"/>
          <c:showSerName val="0"/>
          <c:showPercent val="0"/>
          <c:showBubbleSize val="0"/>
        </c:dLbls>
        <c:marker val="1"/>
        <c:smooth val="0"/>
        <c:axId val="1547119375"/>
        <c:axId val="1547116975"/>
      </c:lineChart>
      <c:scatterChart>
        <c:scatterStyle val="lineMarker"/>
        <c:varyColors val="0"/>
        <c:ser>
          <c:idx val="2"/>
          <c:order val="2"/>
          <c:tx>
            <c:strRef>
              <c:f>Processing!$C$40</c:f>
              <c:strCache>
                <c:ptCount val="1"/>
                <c:pt idx="0">
                  <c:v>Cursor</c:v>
                </c:pt>
              </c:strCache>
            </c:strRef>
          </c:tx>
          <c:spPr>
            <a:ln w="25400" cap="rnd">
              <a:noFill/>
              <a:round/>
            </a:ln>
            <a:effectLst>
              <a:outerShdw blurRad="50800" dist="38100" dir="5400000" algn="t" rotWithShape="0">
                <a:prstClr val="black">
                  <a:alpha val="40000"/>
                </a:prstClr>
              </a:outerShdw>
            </a:effectLst>
          </c:spPr>
          <c:marker>
            <c:symbol val="circle"/>
            <c:size val="7"/>
            <c:spPr>
              <a:solidFill>
                <a:schemeClr val="bg1"/>
              </a:solidFill>
              <a:ln w="12700">
                <a:solidFill>
                  <a:schemeClr val="tx2">
                    <a:lumMod val="90000"/>
                    <a:lumOff val="10000"/>
                  </a:schemeClr>
                </a:solidFill>
              </a:ln>
              <a:effectLst>
                <a:outerShdw blurRad="50800" dist="38100" dir="5400000" algn="t" rotWithShape="0">
                  <a:prstClr val="black">
                    <a:alpha val="40000"/>
                  </a:prstClr>
                </a:outerShdw>
              </a:effectLst>
            </c:spPr>
          </c:marker>
          <c:dLbls>
            <c:numFmt formatCode="[&gt;=1000]0,&quot;k&quot;;[&lt;=-1000]\-0,&quot;k&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ru-RU"/>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yVal>
            <c:numRef>
              <c:f>Processing!$C$41:$C$44</c:f>
              <c:numCache>
                <c:formatCode>General</c:formatCode>
                <c:ptCount val="4"/>
                <c:pt idx="0">
                  <c:v>#N/A</c:v>
                </c:pt>
                <c:pt idx="1">
                  <c:v>44200</c:v>
                </c:pt>
                <c:pt idx="2">
                  <c:v>#N/A</c:v>
                </c:pt>
                <c:pt idx="3">
                  <c:v>#N/A</c:v>
                </c:pt>
              </c:numCache>
            </c:numRef>
          </c:yVal>
          <c:smooth val="0"/>
          <c:extLst>
            <c:ext xmlns:c16="http://schemas.microsoft.com/office/drawing/2014/chart" uri="{C3380CC4-5D6E-409C-BE32-E72D297353CC}">
              <c16:uniqueId val="{00000002-A046-494E-A545-D74A5A41A967}"/>
            </c:ext>
          </c:extLst>
        </c:ser>
        <c:dLbls>
          <c:showLegendKey val="0"/>
          <c:showVal val="0"/>
          <c:showCatName val="0"/>
          <c:showSerName val="0"/>
          <c:showPercent val="0"/>
          <c:showBubbleSize val="0"/>
        </c:dLbls>
        <c:axId val="1547119375"/>
        <c:axId val="1547116975"/>
      </c:scatterChart>
      <c:catAx>
        <c:axId val="1547119375"/>
        <c:scaling>
          <c:orientation val="minMax"/>
        </c:scaling>
        <c:delete val="1"/>
        <c:axPos val="b"/>
        <c:majorTickMark val="out"/>
        <c:minorTickMark val="none"/>
        <c:tickLblPos val="nextTo"/>
        <c:crossAx val="1547116975"/>
        <c:crosses val="autoZero"/>
        <c:auto val="1"/>
        <c:lblAlgn val="ctr"/>
        <c:lblOffset val="100"/>
        <c:noMultiLvlLbl val="0"/>
      </c:catAx>
      <c:valAx>
        <c:axId val="1547116975"/>
        <c:scaling>
          <c:orientation val="minMax"/>
        </c:scaling>
        <c:delete val="1"/>
        <c:axPos val="l"/>
        <c:numFmt formatCode="General" sourceLinked="1"/>
        <c:majorTickMark val="none"/>
        <c:minorTickMark val="none"/>
        <c:tickLblPos val="nextTo"/>
        <c:crossAx val="1547119375"/>
        <c:crosses val="autoZero"/>
        <c:crossBetween val="between"/>
      </c:valAx>
      <c:spPr>
        <a:noFill/>
      </c:spPr>
    </c:plotArea>
    <c:plotVisOnly val="1"/>
    <c:dispBlanksAs val="zero"/>
    <c:showDLblsOverMax val="0"/>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noFill/>
            <a:ln w="9525">
              <a:solidFill>
                <a:srgbClr val="4E5E9D">
                  <a:alpha val="70000"/>
                </a:srgbClr>
              </a:solidFill>
            </a:ln>
          </c:spPr>
          <c:dPt>
            <c:idx val="0"/>
            <c:bubble3D val="0"/>
            <c:spPr>
              <a:noFill/>
              <a:ln w="9525">
                <a:solidFill>
                  <a:srgbClr val="4E5E9D">
                    <a:alpha val="70000"/>
                  </a:srgbClr>
                </a:solidFill>
              </a:ln>
              <a:effectLst/>
            </c:spPr>
            <c:extLst>
              <c:ext xmlns:c16="http://schemas.microsoft.com/office/drawing/2014/chart" uri="{C3380CC4-5D6E-409C-BE32-E72D297353CC}">
                <c16:uniqueId val="{00000001-ED6F-4BE2-87C5-CB0FE482C53C}"/>
              </c:ext>
            </c:extLst>
          </c:dPt>
          <c:dPt>
            <c:idx val="1"/>
            <c:bubble3D val="0"/>
            <c:spPr>
              <a:noFill/>
              <a:ln w="9525">
                <a:solidFill>
                  <a:srgbClr val="4E5E9D">
                    <a:alpha val="70000"/>
                  </a:srgbClr>
                </a:solidFill>
              </a:ln>
              <a:effectLst/>
            </c:spPr>
            <c:extLst>
              <c:ext xmlns:c16="http://schemas.microsoft.com/office/drawing/2014/chart" uri="{C3380CC4-5D6E-409C-BE32-E72D297353CC}">
                <c16:uniqueId val="{00000003-ED6F-4BE2-87C5-CB0FE482C53C}"/>
              </c:ext>
            </c:extLst>
          </c:dPt>
          <c:dPt>
            <c:idx val="2"/>
            <c:bubble3D val="0"/>
            <c:spPr>
              <a:noFill/>
              <a:ln w="9525">
                <a:solidFill>
                  <a:srgbClr val="4E5E9D">
                    <a:alpha val="70000"/>
                  </a:srgbClr>
                </a:solidFill>
              </a:ln>
              <a:effectLst/>
            </c:spPr>
            <c:extLst>
              <c:ext xmlns:c16="http://schemas.microsoft.com/office/drawing/2014/chart" uri="{C3380CC4-5D6E-409C-BE32-E72D297353CC}">
                <c16:uniqueId val="{00000005-ED6F-4BE2-87C5-CB0FE482C53C}"/>
              </c:ext>
            </c:extLst>
          </c:dPt>
          <c:dPt>
            <c:idx val="3"/>
            <c:bubble3D val="0"/>
            <c:spPr>
              <a:noFill/>
              <a:ln w="9525">
                <a:solidFill>
                  <a:srgbClr val="4E5E9D">
                    <a:alpha val="70000"/>
                  </a:srgbClr>
                </a:solidFill>
              </a:ln>
              <a:effectLst/>
            </c:spPr>
            <c:extLst>
              <c:ext xmlns:c16="http://schemas.microsoft.com/office/drawing/2014/chart" uri="{C3380CC4-5D6E-409C-BE32-E72D297353CC}">
                <c16:uniqueId val="{00000007-ED6F-4BE2-87C5-CB0FE482C53C}"/>
              </c:ext>
            </c:extLst>
          </c:dPt>
          <c:dPt>
            <c:idx val="4"/>
            <c:bubble3D val="0"/>
            <c:spPr>
              <a:noFill/>
              <a:ln w="9525">
                <a:solidFill>
                  <a:srgbClr val="4E5E9D">
                    <a:alpha val="70000"/>
                  </a:srgbClr>
                </a:solidFill>
              </a:ln>
              <a:effectLst/>
            </c:spPr>
            <c:extLst>
              <c:ext xmlns:c16="http://schemas.microsoft.com/office/drawing/2014/chart" uri="{C3380CC4-5D6E-409C-BE32-E72D297353CC}">
                <c16:uniqueId val="{00000009-ED6F-4BE2-87C5-CB0FE482C53C}"/>
              </c:ext>
            </c:extLst>
          </c:dPt>
          <c:val>
            <c:numRef>
              <c:f>Processing!$A$64:$E$64</c:f>
              <c:numCache>
                <c:formatCode>General</c:formatCode>
                <c:ptCount val="5"/>
                <c:pt idx="0">
                  <c:v>72</c:v>
                </c:pt>
                <c:pt idx="1">
                  <c:v>72</c:v>
                </c:pt>
                <c:pt idx="2">
                  <c:v>72</c:v>
                </c:pt>
                <c:pt idx="3">
                  <c:v>72</c:v>
                </c:pt>
                <c:pt idx="4">
                  <c:v>72</c:v>
                </c:pt>
              </c:numCache>
            </c:numRef>
          </c:val>
          <c:extLst>
            <c:ext xmlns:c16="http://schemas.microsoft.com/office/drawing/2014/chart" uri="{C3380CC4-5D6E-409C-BE32-E72D297353CC}">
              <c16:uniqueId val="{0000000A-ED6F-4BE2-87C5-CB0FE482C53C}"/>
            </c:ext>
          </c:extLst>
        </c:ser>
        <c:ser>
          <c:idx val="1"/>
          <c:order val="1"/>
          <c:spPr>
            <a:noFill/>
            <a:ln w="9525">
              <a:solidFill>
                <a:srgbClr val="4E5E9D">
                  <a:alpha val="70000"/>
                </a:srgbClr>
              </a:solidFill>
            </a:ln>
          </c:spPr>
          <c:dPt>
            <c:idx val="0"/>
            <c:bubble3D val="0"/>
            <c:spPr>
              <a:noFill/>
              <a:ln w="9525">
                <a:solidFill>
                  <a:srgbClr val="4E5E9D">
                    <a:alpha val="70000"/>
                  </a:srgbClr>
                </a:solidFill>
              </a:ln>
              <a:effectLst/>
            </c:spPr>
            <c:extLst>
              <c:ext xmlns:c16="http://schemas.microsoft.com/office/drawing/2014/chart" uri="{C3380CC4-5D6E-409C-BE32-E72D297353CC}">
                <c16:uniqueId val="{0000000C-ED6F-4BE2-87C5-CB0FE482C53C}"/>
              </c:ext>
            </c:extLst>
          </c:dPt>
          <c:dPt>
            <c:idx val="1"/>
            <c:bubble3D val="0"/>
            <c:spPr>
              <a:noFill/>
              <a:ln w="9525">
                <a:solidFill>
                  <a:srgbClr val="4E5E9D">
                    <a:alpha val="70000"/>
                  </a:srgbClr>
                </a:solidFill>
              </a:ln>
              <a:effectLst/>
            </c:spPr>
            <c:extLst>
              <c:ext xmlns:c16="http://schemas.microsoft.com/office/drawing/2014/chart" uri="{C3380CC4-5D6E-409C-BE32-E72D297353CC}">
                <c16:uniqueId val="{0000000E-ED6F-4BE2-87C5-CB0FE482C53C}"/>
              </c:ext>
            </c:extLst>
          </c:dPt>
          <c:dPt>
            <c:idx val="2"/>
            <c:bubble3D val="0"/>
            <c:spPr>
              <a:noFill/>
              <a:ln w="9525">
                <a:solidFill>
                  <a:srgbClr val="4E5E9D">
                    <a:alpha val="70000"/>
                  </a:srgbClr>
                </a:solidFill>
              </a:ln>
              <a:effectLst/>
            </c:spPr>
            <c:extLst>
              <c:ext xmlns:c16="http://schemas.microsoft.com/office/drawing/2014/chart" uri="{C3380CC4-5D6E-409C-BE32-E72D297353CC}">
                <c16:uniqueId val="{00000010-ED6F-4BE2-87C5-CB0FE482C53C}"/>
              </c:ext>
            </c:extLst>
          </c:dPt>
          <c:dPt>
            <c:idx val="3"/>
            <c:bubble3D val="0"/>
            <c:spPr>
              <a:noFill/>
              <a:ln w="9525">
                <a:solidFill>
                  <a:srgbClr val="4E5E9D">
                    <a:alpha val="70000"/>
                  </a:srgbClr>
                </a:solidFill>
              </a:ln>
              <a:effectLst/>
            </c:spPr>
            <c:extLst>
              <c:ext xmlns:c16="http://schemas.microsoft.com/office/drawing/2014/chart" uri="{C3380CC4-5D6E-409C-BE32-E72D297353CC}">
                <c16:uniqueId val="{00000012-ED6F-4BE2-87C5-CB0FE482C53C}"/>
              </c:ext>
            </c:extLst>
          </c:dPt>
          <c:dPt>
            <c:idx val="4"/>
            <c:bubble3D val="0"/>
            <c:spPr>
              <a:noFill/>
              <a:ln w="9525">
                <a:solidFill>
                  <a:srgbClr val="4E5E9D">
                    <a:alpha val="70000"/>
                  </a:srgbClr>
                </a:solidFill>
              </a:ln>
              <a:effectLst/>
            </c:spPr>
            <c:extLst>
              <c:ext xmlns:c16="http://schemas.microsoft.com/office/drawing/2014/chart" uri="{C3380CC4-5D6E-409C-BE32-E72D297353CC}">
                <c16:uniqueId val="{00000014-ED6F-4BE2-87C5-CB0FE482C53C}"/>
              </c:ext>
            </c:extLst>
          </c:dPt>
          <c:val>
            <c:numRef>
              <c:f>Processing!$A$65:$E$65</c:f>
              <c:numCache>
                <c:formatCode>General</c:formatCode>
                <c:ptCount val="5"/>
                <c:pt idx="0">
                  <c:v>72</c:v>
                </c:pt>
                <c:pt idx="1">
                  <c:v>72</c:v>
                </c:pt>
                <c:pt idx="2">
                  <c:v>72</c:v>
                </c:pt>
                <c:pt idx="3">
                  <c:v>72</c:v>
                </c:pt>
                <c:pt idx="4">
                  <c:v>72</c:v>
                </c:pt>
              </c:numCache>
            </c:numRef>
          </c:val>
          <c:extLst>
            <c:ext xmlns:c16="http://schemas.microsoft.com/office/drawing/2014/chart" uri="{C3380CC4-5D6E-409C-BE32-E72D297353CC}">
              <c16:uniqueId val="{00000015-ED6F-4BE2-87C5-CB0FE482C53C}"/>
            </c:ext>
          </c:extLst>
        </c:ser>
        <c:ser>
          <c:idx val="2"/>
          <c:order val="2"/>
          <c:spPr>
            <a:noFill/>
            <a:ln w="9525">
              <a:solidFill>
                <a:srgbClr val="4E5E9D">
                  <a:alpha val="70000"/>
                </a:srgbClr>
              </a:solidFill>
            </a:ln>
          </c:spPr>
          <c:dPt>
            <c:idx val="0"/>
            <c:bubble3D val="0"/>
            <c:spPr>
              <a:noFill/>
              <a:ln w="9525">
                <a:solidFill>
                  <a:srgbClr val="4E5E9D">
                    <a:alpha val="70000"/>
                  </a:srgbClr>
                </a:solidFill>
              </a:ln>
              <a:effectLst/>
            </c:spPr>
            <c:extLst>
              <c:ext xmlns:c16="http://schemas.microsoft.com/office/drawing/2014/chart" uri="{C3380CC4-5D6E-409C-BE32-E72D297353CC}">
                <c16:uniqueId val="{00000017-ED6F-4BE2-87C5-CB0FE482C53C}"/>
              </c:ext>
            </c:extLst>
          </c:dPt>
          <c:dPt>
            <c:idx val="1"/>
            <c:bubble3D val="0"/>
            <c:spPr>
              <a:noFill/>
              <a:ln w="9525">
                <a:solidFill>
                  <a:srgbClr val="4E5E9D">
                    <a:alpha val="70000"/>
                  </a:srgbClr>
                </a:solidFill>
              </a:ln>
              <a:effectLst/>
            </c:spPr>
            <c:extLst>
              <c:ext xmlns:c16="http://schemas.microsoft.com/office/drawing/2014/chart" uri="{C3380CC4-5D6E-409C-BE32-E72D297353CC}">
                <c16:uniqueId val="{00000019-ED6F-4BE2-87C5-CB0FE482C53C}"/>
              </c:ext>
            </c:extLst>
          </c:dPt>
          <c:dPt>
            <c:idx val="2"/>
            <c:bubble3D val="0"/>
            <c:spPr>
              <a:noFill/>
              <a:ln w="9525">
                <a:solidFill>
                  <a:srgbClr val="4E5E9D">
                    <a:alpha val="70000"/>
                  </a:srgbClr>
                </a:solidFill>
              </a:ln>
              <a:effectLst/>
            </c:spPr>
            <c:extLst>
              <c:ext xmlns:c16="http://schemas.microsoft.com/office/drawing/2014/chart" uri="{C3380CC4-5D6E-409C-BE32-E72D297353CC}">
                <c16:uniqueId val="{0000001B-ED6F-4BE2-87C5-CB0FE482C53C}"/>
              </c:ext>
            </c:extLst>
          </c:dPt>
          <c:dPt>
            <c:idx val="3"/>
            <c:bubble3D val="0"/>
            <c:spPr>
              <a:noFill/>
              <a:ln w="9525">
                <a:solidFill>
                  <a:srgbClr val="4E5E9D">
                    <a:alpha val="70000"/>
                  </a:srgbClr>
                </a:solidFill>
              </a:ln>
              <a:effectLst/>
            </c:spPr>
            <c:extLst>
              <c:ext xmlns:c16="http://schemas.microsoft.com/office/drawing/2014/chart" uri="{C3380CC4-5D6E-409C-BE32-E72D297353CC}">
                <c16:uniqueId val="{0000001D-ED6F-4BE2-87C5-CB0FE482C53C}"/>
              </c:ext>
            </c:extLst>
          </c:dPt>
          <c:dPt>
            <c:idx val="4"/>
            <c:bubble3D val="0"/>
            <c:spPr>
              <a:noFill/>
              <a:ln w="9525">
                <a:solidFill>
                  <a:srgbClr val="4E5E9D">
                    <a:alpha val="70000"/>
                  </a:srgbClr>
                </a:solidFill>
              </a:ln>
              <a:effectLst/>
            </c:spPr>
            <c:extLst>
              <c:ext xmlns:c16="http://schemas.microsoft.com/office/drawing/2014/chart" uri="{C3380CC4-5D6E-409C-BE32-E72D297353CC}">
                <c16:uniqueId val="{0000001F-ED6F-4BE2-87C5-CB0FE482C53C}"/>
              </c:ext>
            </c:extLst>
          </c:dPt>
          <c:val>
            <c:numRef>
              <c:f>Processing!$A$66:$E$66</c:f>
              <c:numCache>
                <c:formatCode>General</c:formatCode>
                <c:ptCount val="5"/>
                <c:pt idx="0">
                  <c:v>72</c:v>
                </c:pt>
                <c:pt idx="1">
                  <c:v>72</c:v>
                </c:pt>
                <c:pt idx="2">
                  <c:v>72</c:v>
                </c:pt>
                <c:pt idx="3">
                  <c:v>72</c:v>
                </c:pt>
                <c:pt idx="4">
                  <c:v>72</c:v>
                </c:pt>
              </c:numCache>
            </c:numRef>
          </c:val>
          <c:extLst>
            <c:ext xmlns:c16="http://schemas.microsoft.com/office/drawing/2014/chart" uri="{C3380CC4-5D6E-409C-BE32-E72D297353CC}">
              <c16:uniqueId val="{00000020-ED6F-4BE2-87C5-CB0FE482C53C}"/>
            </c:ext>
          </c:extLst>
        </c:ser>
        <c:dLbls>
          <c:showLegendKey val="0"/>
          <c:showVal val="0"/>
          <c:showCatName val="0"/>
          <c:showSerName val="0"/>
          <c:showPercent val="0"/>
          <c:showBubbleSize val="0"/>
          <c:showLeaderLines val="1"/>
        </c:dLbls>
        <c:firstSliceAng val="0"/>
        <c:holeSize val="20"/>
      </c:doughnutChart>
    </c:plotArea>
    <c:plotVisOnly val="1"/>
    <c:dispBlanksAs val="gap"/>
    <c:showDLblsOverMax val="0"/>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radarChart>
        <c:radarStyle val="marker"/>
        <c:varyColors val="0"/>
        <c:ser>
          <c:idx val="0"/>
          <c:order val="0"/>
          <c:tx>
            <c:strRef>
              <c:f>Processing!$D$51</c:f>
              <c:strCache>
                <c:ptCount val="1"/>
                <c:pt idx="0">
                  <c:v>Entertainment</c:v>
                </c:pt>
              </c:strCache>
            </c:strRef>
          </c:tx>
          <c:spPr>
            <a:ln w="25400" cap="rnd">
              <a:solidFill>
                <a:srgbClr val="28BEBA"/>
              </a:solidFill>
              <a:round/>
            </a:ln>
            <a:effectLst>
              <a:outerShdw blurRad="50800" dist="38100" dir="8100000" algn="tr" rotWithShape="0">
                <a:prstClr val="black">
                  <a:alpha val="40000"/>
                </a:prstClr>
              </a:outerShdw>
            </a:effectLst>
          </c:spPr>
          <c:marker>
            <c:symbol val="circle"/>
            <c:size val="7"/>
            <c:spPr>
              <a:solidFill>
                <a:srgbClr val="28BEBA"/>
              </a:solidFill>
              <a:ln w="9525">
                <a:noFill/>
              </a:ln>
              <a:effectLst>
                <a:outerShdw blurRad="50800" dist="38100" dir="8100000" algn="tr" rotWithShape="0">
                  <a:prstClr val="black">
                    <a:alpha val="40000"/>
                  </a:prstClr>
                </a:outerShdw>
              </a:effectLst>
            </c:spPr>
          </c:marker>
          <c:cat>
            <c:strRef>
              <c:f>Processing!$C$52:$C$56</c:f>
              <c:strCache>
                <c:ptCount val="5"/>
                <c:pt idx="0">
                  <c:v>E</c:v>
                </c:pt>
                <c:pt idx="1">
                  <c:v>F</c:v>
                </c:pt>
                <c:pt idx="2">
                  <c:v>H</c:v>
                </c:pt>
                <c:pt idx="3">
                  <c:v>L</c:v>
                </c:pt>
                <c:pt idx="4">
                  <c:v>S</c:v>
                </c:pt>
              </c:strCache>
            </c:strRef>
          </c:cat>
          <c:val>
            <c:numRef>
              <c:f>Processing!$D$52:$D$56</c:f>
              <c:numCache>
                <c:formatCode>General</c:formatCode>
                <c:ptCount val="5"/>
                <c:pt idx="0">
                  <c:v>#N/A</c:v>
                </c:pt>
                <c:pt idx="1">
                  <c:v>#N/A</c:v>
                </c:pt>
                <c:pt idx="2">
                  <c:v>#N/A</c:v>
                </c:pt>
                <c:pt idx="3">
                  <c:v>#N/A</c:v>
                </c:pt>
                <c:pt idx="4">
                  <c:v>#N/A</c:v>
                </c:pt>
              </c:numCache>
            </c:numRef>
          </c:val>
          <c:extLst>
            <c:ext xmlns:c16="http://schemas.microsoft.com/office/drawing/2014/chart" uri="{C3380CC4-5D6E-409C-BE32-E72D297353CC}">
              <c16:uniqueId val="{00000000-A87E-42DF-B69A-5D78224066E3}"/>
            </c:ext>
          </c:extLst>
        </c:ser>
        <c:ser>
          <c:idx val="1"/>
          <c:order val="1"/>
          <c:tx>
            <c:strRef>
              <c:f>Processing!$E$51</c:f>
              <c:strCache>
                <c:ptCount val="1"/>
                <c:pt idx="0">
                  <c:v>FoodCourt</c:v>
                </c:pt>
              </c:strCache>
            </c:strRef>
          </c:tx>
          <c:spPr>
            <a:ln w="25400" cap="rnd">
              <a:solidFill>
                <a:srgbClr val="3879F2"/>
              </a:solidFill>
              <a:round/>
            </a:ln>
            <a:effectLst>
              <a:outerShdw blurRad="50800" dist="38100" dir="8100000" algn="tr" rotWithShape="0">
                <a:prstClr val="black">
                  <a:alpha val="40000"/>
                </a:prstClr>
              </a:outerShdw>
            </a:effectLst>
          </c:spPr>
          <c:marker>
            <c:symbol val="circle"/>
            <c:size val="7"/>
            <c:spPr>
              <a:solidFill>
                <a:srgbClr val="2069F0"/>
              </a:solidFill>
              <a:ln w="9525">
                <a:noFill/>
              </a:ln>
              <a:effectLst>
                <a:outerShdw blurRad="50800" dist="38100" dir="8100000" algn="tr" rotWithShape="0">
                  <a:prstClr val="black">
                    <a:alpha val="40000"/>
                  </a:prstClr>
                </a:outerShdw>
              </a:effectLst>
            </c:spPr>
          </c:marker>
          <c:cat>
            <c:strRef>
              <c:f>Processing!$C$52:$C$56</c:f>
              <c:strCache>
                <c:ptCount val="5"/>
                <c:pt idx="0">
                  <c:v>E</c:v>
                </c:pt>
                <c:pt idx="1">
                  <c:v>F</c:v>
                </c:pt>
                <c:pt idx="2">
                  <c:v>H</c:v>
                </c:pt>
                <c:pt idx="3">
                  <c:v>L</c:v>
                </c:pt>
                <c:pt idx="4">
                  <c:v>S</c:v>
                </c:pt>
              </c:strCache>
            </c:strRef>
          </c:cat>
          <c:val>
            <c:numRef>
              <c:f>Processing!$E$52:$E$56</c:f>
              <c:numCache>
                <c:formatCode>General</c:formatCode>
                <c:ptCount val="5"/>
                <c:pt idx="0">
                  <c:v>342</c:v>
                </c:pt>
                <c:pt idx="1">
                  <c:v>298</c:v>
                </c:pt>
                <c:pt idx="2">
                  <c:v>319</c:v>
                </c:pt>
                <c:pt idx="3">
                  <c:v>314</c:v>
                </c:pt>
                <c:pt idx="4">
                  <c:v>322</c:v>
                </c:pt>
              </c:numCache>
            </c:numRef>
          </c:val>
          <c:extLst>
            <c:ext xmlns:c16="http://schemas.microsoft.com/office/drawing/2014/chart" uri="{C3380CC4-5D6E-409C-BE32-E72D297353CC}">
              <c16:uniqueId val="{00000001-A87E-42DF-B69A-5D78224066E3}"/>
            </c:ext>
          </c:extLst>
        </c:ser>
        <c:ser>
          <c:idx val="2"/>
          <c:order val="2"/>
          <c:tx>
            <c:strRef>
              <c:f>Processing!$F$51</c:f>
              <c:strCache>
                <c:ptCount val="1"/>
                <c:pt idx="0">
                  <c:v>Supermarket</c:v>
                </c:pt>
              </c:strCache>
            </c:strRef>
          </c:tx>
          <c:spPr>
            <a:ln w="25400" cap="rnd">
              <a:solidFill>
                <a:srgbClr val="FF5C6D"/>
              </a:solidFill>
              <a:round/>
            </a:ln>
            <a:effectLst>
              <a:outerShdw blurRad="50800" dist="38100" dir="8100000" algn="tr" rotWithShape="0">
                <a:prstClr val="black">
                  <a:alpha val="40000"/>
                </a:prstClr>
              </a:outerShdw>
            </a:effectLst>
          </c:spPr>
          <c:marker>
            <c:symbol val="circle"/>
            <c:size val="7"/>
            <c:spPr>
              <a:solidFill>
                <a:srgbClr val="FF5C6D"/>
              </a:solidFill>
              <a:ln w="9525">
                <a:noFill/>
              </a:ln>
              <a:effectLst>
                <a:outerShdw blurRad="50800" dist="38100" dir="8100000" algn="tr" rotWithShape="0">
                  <a:prstClr val="black">
                    <a:alpha val="40000"/>
                  </a:prstClr>
                </a:outerShdw>
              </a:effectLst>
            </c:spPr>
          </c:marker>
          <c:cat>
            <c:strRef>
              <c:f>Processing!$C$52:$C$56</c:f>
              <c:strCache>
                <c:ptCount val="5"/>
                <c:pt idx="0">
                  <c:v>E</c:v>
                </c:pt>
                <c:pt idx="1">
                  <c:v>F</c:v>
                </c:pt>
                <c:pt idx="2">
                  <c:v>H</c:v>
                </c:pt>
                <c:pt idx="3">
                  <c:v>L</c:v>
                </c:pt>
                <c:pt idx="4">
                  <c:v>S</c:v>
                </c:pt>
              </c:strCache>
            </c:strRef>
          </c:cat>
          <c:val>
            <c:numRef>
              <c:f>Processing!$F$52:$F$56</c:f>
              <c:numCache>
                <c:formatCode>General</c:formatCode>
                <c:ptCount val="5"/>
                <c:pt idx="0">
                  <c:v>524</c:v>
                </c:pt>
                <c:pt idx="1">
                  <c:v>550</c:v>
                </c:pt>
                <c:pt idx="2">
                  <c:v>498</c:v>
                </c:pt>
                <c:pt idx="3">
                  <c:v>406</c:v>
                </c:pt>
                <c:pt idx="4">
                  <c:v>509</c:v>
                </c:pt>
              </c:numCache>
            </c:numRef>
          </c:val>
          <c:extLst>
            <c:ext xmlns:c16="http://schemas.microsoft.com/office/drawing/2014/chart" uri="{C3380CC4-5D6E-409C-BE32-E72D297353CC}">
              <c16:uniqueId val="{00000002-A87E-42DF-B69A-5D78224066E3}"/>
            </c:ext>
          </c:extLst>
        </c:ser>
        <c:ser>
          <c:idx val="3"/>
          <c:order val="3"/>
          <c:tx>
            <c:strRef>
              <c:f>Processing!$G$51</c:f>
              <c:strCache>
                <c:ptCount val="1"/>
                <c:pt idx="0">
                  <c:v>Travel</c:v>
                </c:pt>
              </c:strCache>
            </c:strRef>
          </c:tx>
          <c:spPr>
            <a:ln w="25400" cap="rnd">
              <a:solidFill>
                <a:srgbClr val="00ADD6"/>
              </a:solidFill>
              <a:round/>
            </a:ln>
            <a:effectLst>
              <a:outerShdw blurRad="50800" dist="38100" dir="8100000" algn="tr" rotWithShape="0">
                <a:prstClr val="black">
                  <a:alpha val="40000"/>
                </a:prstClr>
              </a:outerShdw>
            </a:effectLst>
          </c:spPr>
          <c:marker>
            <c:symbol val="circle"/>
            <c:size val="7"/>
            <c:spPr>
              <a:solidFill>
                <a:schemeClr val="accent4"/>
              </a:solidFill>
              <a:ln w="9525">
                <a:solidFill>
                  <a:schemeClr val="accent4"/>
                </a:solidFill>
              </a:ln>
              <a:effectLst>
                <a:outerShdw blurRad="50800" dist="38100" dir="8100000" algn="tr" rotWithShape="0">
                  <a:prstClr val="black">
                    <a:alpha val="40000"/>
                  </a:prstClr>
                </a:outerShdw>
              </a:effectLst>
            </c:spPr>
          </c:marker>
          <c:cat>
            <c:strRef>
              <c:f>Processing!$C$52:$C$56</c:f>
              <c:strCache>
                <c:ptCount val="5"/>
                <c:pt idx="0">
                  <c:v>E</c:v>
                </c:pt>
                <c:pt idx="1">
                  <c:v>F</c:v>
                </c:pt>
                <c:pt idx="2">
                  <c:v>H</c:v>
                </c:pt>
                <c:pt idx="3">
                  <c:v>L</c:v>
                </c:pt>
                <c:pt idx="4">
                  <c:v>S</c:v>
                </c:pt>
              </c:strCache>
            </c:strRef>
          </c:cat>
          <c:val>
            <c:numRef>
              <c:f>Processing!$G$52:$G$56</c:f>
              <c:numCache>
                <c:formatCode>General</c:formatCode>
                <c:ptCount val="5"/>
                <c:pt idx="0">
                  <c:v>238</c:v>
                </c:pt>
                <c:pt idx="1">
                  <c:v>459</c:v>
                </c:pt>
                <c:pt idx="2">
                  <c:v>370</c:v>
                </c:pt>
                <c:pt idx="3">
                  <c:v>467</c:v>
                </c:pt>
                <c:pt idx="4">
                  <c:v>313</c:v>
                </c:pt>
              </c:numCache>
            </c:numRef>
          </c:val>
          <c:extLst>
            <c:ext xmlns:c16="http://schemas.microsoft.com/office/drawing/2014/chart" uri="{C3380CC4-5D6E-409C-BE32-E72D297353CC}">
              <c16:uniqueId val="{00000003-A87E-42DF-B69A-5D78224066E3}"/>
            </c:ext>
          </c:extLst>
        </c:ser>
        <c:ser>
          <c:idx val="4"/>
          <c:order val="4"/>
          <c:tx>
            <c:strRef>
              <c:f>Processing!$H$51</c:f>
              <c:strCache>
                <c:ptCount val="1"/>
                <c:pt idx="0">
                  <c:v>Workplace</c:v>
                </c:pt>
              </c:strCache>
            </c:strRef>
          </c:tx>
          <c:spPr>
            <a:ln w="25400" cap="rnd">
              <a:solidFill>
                <a:srgbClr val="6978B4"/>
              </a:solidFill>
              <a:round/>
            </a:ln>
            <a:effectLst>
              <a:outerShdw blurRad="50800" dist="38100" dir="8100000" algn="tr" rotWithShape="0">
                <a:prstClr val="black">
                  <a:alpha val="40000"/>
                </a:prstClr>
              </a:outerShdw>
            </a:effectLst>
          </c:spPr>
          <c:marker>
            <c:symbol val="circle"/>
            <c:size val="7"/>
            <c:spPr>
              <a:solidFill>
                <a:srgbClr val="6978B4"/>
              </a:solidFill>
              <a:ln w="9525">
                <a:noFill/>
              </a:ln>
              <a:effectLst>
                <a:outerShdw blurRad="50800" dist="38100" dir="8100000" algn="tr" rotWithShape="0">
                  <a:prstClr val="black">
                    <a:alpha val="40000"/>
                  </a:prstClr>
                </a:outerShdw>
              </a:effectLst>
            </c:spPr>
          </c:marker>
          <c:cat>
            <c:strRef>
              <c:f>Processing!$C$52:$C$56</c:f>
              <c:strCache>
                <c:ptCount val="5"/>
                <c:pt idx="0">
                  <c:v>E</c:v>
                </c:pt>
                <c:pt idx="1">
                  <c:v>F</c:v>
                </c:pt>
                <c:pt idx="2">
                  <c:v>H</c:v>
                </c:pt>
                <c:pt idx="3">
                  <c:v>L</c:v>
                </c:pt>
                <c:pt idx="4">
                  <c:v>S</c:v>
                </c:pt>
              </c:strCache>
            </c:strRef>
          </c:cat>
          <c:val>
            <c:numRef>
              <c:f>Processing!$H$52:$H$56</c:f>
              <c:numCache>
                <c:formatCode>General</c:formatCode>
                <c:ptCount val="5"/>
                <c:pt idx="0">
                  <c:v>#N/A</c:v>
                </c:pt>
                <c:pt idx="1">
                  <c:v>#N/A</c:v>
                </c:pt>
                <c:pt idx="2">
                  <c:v>#N/A</c:v>
                </c:pt>
                <c:pt idx="3">
                  <c:v>#N/A</c:v>
                </c:pt>
                <c:pt idx="4">
                  <c:v>#N/A</c:v>
                </c:pt>
              </c:numCache>
            </c:numRef>
          </c:val>
          <c:extLst>
            <c:ext xmlns:c16="http://schemas.microsoft.com/office/drawing/2014/chart" uri="{C3380CC4-5D6E-409C-BE32-E72D297353CC}">
              <c16:uniqueId val="{00000004-A87E-42DF-B69A-5D78224066E3}"/>
            </c:ext>
          </c:extLst>
        </c:ser>
        <c:dLbls>
          <c:showLegendKey val="0"/>
          <c:showVal val="0"/>
          <c:showCatName val="0"/>
          <c:showSerName val="0"/>
          <c:showPercent val="0"/>
          <c:showBubbleSize val="0"/>
        </c:dLbls>
        <c:axId val="1484366719"/>
        <c:axId val="1484339839"/>
      </c:radarChart>
      <c:catAx>
        <c:axId val="148436671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lumMod val="25000"/>
                    <a:lumOff val="75000"/>
                  </a:schemeClr>
                </a:solidFill>
                <a:latin typeface="+mn-lt"/>
                <a:ea typeface="+mn-ea"/>
                <a:cs typeface="+mn-cs"/>
              </a:defRPr>
            </a:pPr>
            <a:endParaRPr lang="ru-RU"/>
          </a:p>
        </c:txPr>
        <c:crossAx val="1484339839"/>
        <c:crosses val="autoZero"/>
        <c:auto val="1"/>
        <c:lblAlgn val="ctr"/>
        <c:lblOffset val="100"/>
        <c:noMultiLvlLbl val="0"/>
      </c:catAx>
      <c:valAx>
        <c:axId val="1484339839"/>
        <c:scaling>
          <c:orientation val="minMax"/>
        </c:scaling>
        <c:delete val="1"/>
        <c:axPos val="l"/>
        <c:numFmt formatCode="General" sourceLinked="1"/>
        <c:majorTickMark val="none"/>
        <c:minorTickMark val="none"/>
        <c:tickLblPos val="nextTo"/>
        <c:crossAx val="1484366719"/>
        <c:crosses val="autoZero"/>
        <c:crossBetween val="between"/>
      </c:valAx>
      <c:spPr>
        <a:noFill/>
      </c:spPr>
    </c:plotArea>
    <c:plotVisOnly val="1"/>
    <c:dispBlanksAs val="gap"/>
    <c:showDLblsOverMax val="0"/>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3"/>
          <c:order val="0"/>
          <c:tx>
            <c:strRef>
              <c:f>Processing!$C$60</c:f>
              <c:strCache>
                <c:ptCount val="1"/>
                <c:pt idx="0">
                  <c:v>indent</c:v>
                </c:pt>
              </c:strCache>
            </c:strRef>
          </c:tx>
          <c:spPr>
            <a:noFill/>
            <a:ln>
              <a:noFill/>
            </a:ln>
            <a:effectLst/>
          </c:spPr>
          <c:invertIfNegative val="0"/>
          <c:val>
            <c:numRef>
              <c:f>Processing!$D$60:$H$60</c:f>
              <c:numCache>
                <c:formatCode>General</c:formatCode>
                <c:ptCount val="5"/>
                <c:pt idx="0">
                  <c:v>174.09</c:v>
                </c:pt>
                <c:pt idx="1">
                  <c:v>174.09</c:v>
                </c:pt>
                <c:pt idx="2">
                  <c:v>174.09</c:v>
                </c:pt>
                <c:pt idx="3">
                  <c:v>174.09</c:v>
                </c:pt>
                <c:pt idx="4">
                  <c:v>174.09</c:v>
                </c:pt>
              </c:numCache>
            </c:numRef>
          </c:val>
          <c:extLst>
            <c:ext xmlns:c16="http://schemas.microsoft.com/office/drawing/2014/chart" uri="{C3380CC4-5D6E-409C-BE32-E72D297353CC}">
              <c16:uniqueId val="{00000000-9CA2-4670-8CA8-C44FADDCF981}"/>
            </c:ext>
          </c:extLst>
        </c:ser>
        <c:ser>
          <c:idx val="2"/>
          <c:order val="1"/>
          <c:tx>
            <c:strRef>
              <c:f>Processing!$C$59</c:f>
              <c:strCache>
                <c:ptCount val="1"/>
                <c:pt idx="0">
                  <c:v>Total</c:v>
                </c:pt>
              </c:strCache>
            </c:strRef>
          </c:tx>
          <c:spPr>
            <a:solidFill>
              <a:schemeClr val="accent3"/>
            </a:solidFill>
            <a:ln w="101600">
              <a:gradFill>
                <a:gsLst>
                  <a:gs pos="0">
                    <a:srgbClr val="1F449D"/>
                  </a:gs>
                  <a:gs pos="100000">
                    <a:srgbClr val="1B3B88"/>
                  </a:gs>
                </a:gsLst>
                <a:lin ang="5400000" scaled="1"/>
              </a:gradFill>
            </a:ln>
            <a:effectLst/>
          </c:spPr>
          <c:invertIfNegative val="0"/>
          <c:val>
            <c:numRef>
              <c:f>Processing!$D$59:$H$59</c:f>
              <c:numCache>
                <c:formatCode>General</c:formatCode>
                <c:ptCount val="5"/>
                <c:pt idx="0">
                  <c:v>2311</c:v>
                </c:pt>
                <c:pt idx="1">
                  <c:v>1595</c:v>
                </c:pt>
                <c:pt idx="2">
                  <c:v>2487</c:v>
                </c:pt>
                <c:pt idx="3">
                  <c:v>1847</c:v>
                </c:pt>
                <c:pt idx="4">
                  <c:v>2062</c:v>
                </c:pt>
              </c:numCache>
            </c:numRef>
          </c:val>
          <c:extLst>
            <c:ext xmlns:c16="http://schemas.microsoft.com/office/drawing/2014/chart" uri="{C3380CC4-5D6E-409C-BE32-E72D297353CC}">
              <c16:uniqueId val="{00000001-9CA2-4670-8CA8-C44FADDCF981}"/>
            </c:ext>
          </c:extLst>
        </c:ser>
        <c:dLbls>
          <c:showLegendKey val="0"/>
          <c:showVal val="0"/>
          <c:showCatName val="0"/>
          <c:showSerName val="0"/>
          <c:showPercent val="0"/>
          <c:showBubbleSize val="0"/>
        </c:dLbls>
        <c:gapWidth val="400"/>
        <c:overlap val="100"/>
        <c:axId val="1488376607"/>
        <c:axId val="1488381407"/>
      </c:barChart>
      <c:barChart>
        <c:barDir val="col"/>
        <c:grouping val="stacked"/>
        <c:varyColors val="0"/>
        <c:ser>
          <c:idx val="1"/>
          <c:order val="2"/>
          <c:tx>
            <c:strRef>
              <c:f>Processing!$C$58</c:f>
              <c:strCache>
                <c:ptCount val="1"/>
                <c:pt idx="0">
                  <c:v>indent Cursor</c:v>
                </c:pt>
              </c:strCache>
            </c:strRef>
          </c:tx>
          <c:spPr>
            <a:noFill/>
            <a:ln>
              <a:noFill/>
            </a:ln>
            <a:effectLst/>
          </c:spPr>
          <c:invertIfNegative val="0"/>
          <c:val>
            <c:numRef>
              <c:f>Processing!$D$58:$H$58</c:f>
              <c:numCache>
                <c:formatCode>General</c:formatCode>
                <c:ptCount val="5"/>
                <c:pt idx="0">
                  <c:v>174.09</c:v>
                </c:pt>
                <c:pt idx="1">
                  <c:v>174.09</c:v>
                </c:pt>
                <c:pt idx="2">
                  <c:v>174.09</c:v>
                </c:pt>
                <c:pt idx="3">
                  <c:v>174.09</c:v>
                </c:pt>
                <c:pt idx="4">
                  <c:v>174.09</c:v>
                </c:pt>
              </c:numCache>
            </c:numRef>
          </c:val>
          <c:extLst>
            <c:ext xmlns:c16="http://schemas.microsoft.com/office/drawing/2014/chart" uri="{C3380CC4-5D6E-409C-BE32-E72D297353CC}">
              <c16:uniqueId val="{00000002-9CA2-4670-8CA8-C44FADDCF981}"/>
            </c:ext>
          </c:extLst>
        </c:ser>
        <c:ser>
          <c:idx val="0"/>
          <c:order val="3"/>
          <c:tx>
            <c:strRef>
              <c:f>Processing!$C$57</c:f>
              <c:strCache>
                <c:ptCount val="1"/>
                <c:pt idx="0">
                  <c:v>Cursor</c:v>
                </c:pt>
              </c:strCache>
            </c:strRef>
          </c:tx>
          <c:spPr>
            <a:solidFill>
              <a:schemeClr val="accent1"/>
            </a:solidFill>
            <a:ln w="101600">
              <a:gradFill>
                <a:gsLst>
                  <a:gs pos="0">
                    <a:srgbClr val="00ADD6"/>
                  </a:gs>
                  <a:gs pos="100000">
                    <a:schemeClr val="accent1">
                      <a:lumMod val="30000"/>
                      <a:lumOff val="70000"/>
                    </a:schemeClr>
                  </a:gs>
                </a:gsLst>
                <a:lin ang="5400000" scaled="1"/>
              </a:gradFill>
            </a:ln>
            <a:effectLst>
              <a:outerShdw blurRad="50800" dist="38100" dir="8100000" algn="tr" rotWithShape="0">
                <a:prstClr val="black">
                  <a:alpha val="40000"/>
                </a:prstClr>
              </a:outerShdw>
            </a:effectLst>
          </c:spPr>
          <c:invertIfNegative val="0"/>
          <c:dPt>
            <c:idx val="0"/>
            <c:invertIfNegative val="0"/>
            <c:bubble3D val="0"/>
            <c:spPr>
              <a:solidFill>
                <a:schemeClr val="accent1"/>
              </a:solidFill>
              <a:ln w="101600">
                <a:gradFill>
                  <a:gsLst>
                    <a:gs pos="0">
                      <a:srgbClr val="28BEBA"/>
                    </a:gs>
                    <a:gs pos="100000">
                      <a:srgbClr val="1D8986"/>
                    </a:gs>
                  </a:gsLst>
                  <a:lin ang="5400000" scaled="1"/>
                </a:gradFill>
              </a:ln>
              <a:effectLst>
                <a:outerShdw blurRad="50800" dist="38100" dir="8100000" algn="tr" rotWithShape="0">
                  <a:prstClr val="black">
                    <a:alpha val="40000"/>
                  </a:prstClr>
                </a:outerShdw>
              </a:effectLst>
            </c:spPr>
            <c:extLst>
              <c:ext xmlns:c16="http://schemas.microsoft.com/office/drawing/2014/chart" uri="{C3380CC4-5D6E-409C-BE32-E72D297353CC}">
                <c16:uniqueId val="{0000000E-9CA2-4670-8CA8-C44FADDCF981}"/>
              </c:ext>
            </c:extLst>
          </c:dPt>
          <c:dPt>
            <c:idx val="1"/>
            <c:invertIfNegative val="0"/>
            <c:bubble3D val="0"/>
            <c:spPr>
              <a:solidFill>
                <a:schemeClr val="accent1"/>
              </a:solidFill>
              <a:ln w="101600">
                <a:gradFill>
                  <a:gsLst>
                    <a:gs pos="0">
                      <a:srgbClr val="3879F2"/>
                    </a:gs>
                    <a:gs pos="100000">
                      <a:srgbClr val="2069F0"/>
                    </a:gs>
                  </a:gsLst>
                  <a:lin ang="5400000" scaled="1"/>
                </a:gradFill>
              </a:ln>
              <a:effectLst>
                <a:outerShdw blurRad="50800" dist="38100" dir="8100000" algn="tr" rotWithShape="0">
                  <a:prstClr val="black">
                    <a:alpha val="40000"/>
                  </a:prstClr>
                </a:outerShdw>
              </a:effectLst>
            </c:spPr>
            <c:extLst>
              <c:ext xmlns:c16="http://schemas.microsoft.com/office/drawing/2014/chart" uri="{C3380CC4-5D6E-409C-BE32-E72D297353CC}">
                <c16:uniqueId val="{00000004-9CA2-4670-8CA8-C44FADDCF981}"/>
              </c:ext>
            </c:extLst>
          </c:dPt>
          <c:dPt>
            <c:idx val="2"/>
            <c:invertIfNegative val="0"/>
            <c:bubble3D val="0"/>
            <c:spPr>
              <a:solidFill>
                <a:schemeClr val="accent1"/>
              </a:solidFill>
              <a:ln w="101600">
                <a:gradFill>
                  <a:gsLst>
                    <a:gs pos="0">
                      <a:srgbClr val="FF7684"/>
                    </a:gs>
                    <a:gs pos="100000">
                      <a:srgbClr val="FF5C6D"/>
                    </a:gs>
                  </a:gsLst>
                  <a:lin ang="5400000" scaled="1"/>
                </a:gradFill>
              </a:ln>
              <a:effectLst>
                <a:outerShdw blurRad="50800" dist="38100" dir="8100000" algn="tr" rotWithShape="0">
                  <a:prstClr val="black">
                    <a:alpha val="40000"/>
                  </a:prstClr>
                </a:outerShdw>
              </a:effectLst>
            </c:spPr>
            <c:extLst>
              <c:ext xmlns:c16="http://schemas.microsoft.com/office/drawing/2014/chart" uri="{C3380CC4-5D6E-409C-BE32-E72D297353CC}">
                <c16:uniqueId val="{0000000F-9CA2-4670-8CA8-C44FADDCF981}"/>
              </c:ext>
            </c:extLst>
          </c:dPt>
          <c:dPt>
            <c:idx val="3"/>
            <c:invertIfNegative val="0"/>
            <c:bubble3D val="0"/>
            <c:spPr>
              <a:solidFill>
                <a:schemeClr val="accent1"/>
              </a:solidFill>
              <a:ln w="101600">
                <a:gradFill>
                  <a:gsLst>
                    <a:gs pos="0">
                      <a:srgbClr val="00ADD6"/>
                    </a:gs>
                    <a:gs pos="100000">
                      <a:srgbClr val="007D9B"/>
                    </a:gs>
                  </a:gsLst>
                  <a:lin ang="5400000" scaled="1"/>
                </a:gradFill>
              </a:ln>
              <a:effectLst>
                <a:outerShdw blurRad="50800" dist="38100" dir="8100000" algn="tr" rotWithShape="0">
                  <a:prstClr val="black">
                    <a:alpha val="40000"/>
                  </a:prstClr>
                </a:outerShdw>
              </a:effectLst>
            </c:spPr>
            <c:extLst>
              <c:ext xmlns:c16="http://schemas.microsoft.com/office/drawing/2014/chart" uri="{C3380CC4-5D6E-409C-BE32-E72D297353CC}">
                <c16:uniqueId val="{00000010-9CA2-4670-8CA8-C44FADDCF981}"/>
              </c:ext>
            </c:extLst>
          </c:dPt>
          <c:dPt>
            <c:idx val="4"/>
            <c:invertIfNegative val="0"/>
            <c:bubble3D val="0"/>
            <c:spPr>
              <a:solidFill>
                <a:schemeClr val="accent1"/>
              </a:solidFill>
              <a:ln w="101600">
                <a:gradFill>
                  <a:gsLst>
                    <a:gs pos="0">
                      <a:srgbClr val="6978B4"/>
                    </a:gs>
                    <a:gs pos="100000">
                      <a:srgbClr val="4E5E9D"/>
                    </a:gs>
                  </a:gsLst>
                  <a:lin ang="5400000" scaled="1"/>
                </a:gradFill>
              </a:ln>
              <a:effectLst>
                <a:outerShdw blurRad="50800" dist="38100" dir="8100000" algn="tr" rotWithShape="0">
                  <a:prstClr val="black">
                    <a:alpha val="40000"/>
                  </a:prstClr>
                </a:outerShdw>
              </a:effectLst>
            </c:spPr>
            <c:extLst>
              <c:ext xmlns:c16="http://schemas.microsoft.com/office/drawing/2014/chart" uri="{C3380CC4-5D6E-409C-BE32-E72D297353CC}">
                <c16:uniqueId val="{00000006-9CA2-4670-8CA8-C44FADDCF981}"/>
              </c:ext>
            </c:extLst>
          </c:dPt>
          <c:val>
            <c:numRef>
              <c:f>Processing!$D$57:$H$57</c:f>
              <c:numCache>
                <c:formatCode>General</c:formatCode>
                <c:ptCount val="5"/>
                <c:pt idx="0">
                  <c:v>#N/A</c:v>
                </c:pt>
                <c:pt idx="1">
                  <c:v>1595</c:v>
                </c:pt>
                <c:pt idx="2">
                  <c:v>2487</c:v>
                </c:pt>
                <c:pt idx="3">
                  <c:v>1847</c:v>
                </c:pt>
                <c:pt idx="4">
                  <c:v>#N/A</c:v>
                </c:pt>
              </c:numCache>
            </c:numRef>
          </c:val>
          <c:extLst>
            <c:ext xmlns:c16="http://schemas.microsoft.com/office/drawing/2014/chart" uri="{C3380CC4-5D6E-409C-BE32-E72D297353CC}">
              <c16:uniqueId val="{00000007-9CA2-4670-8CA8-C44FADDCF981}"/>
            </c:ext>
          </c:extLst>
        </c:ser>
        <c:dLbls>
          <c:showLegendKey val="0"/>
          <c:showVal val="0"/>
          <c:showCatName val="0"/>
          <c:showSerName val="0"/>
          <c:showPercent val="0"/>
          <c:showBubbleSize val="0"/>
        </c:dLbls>
        <c:gapWidth val="400"/>
        <c:overlap val="100"/>
        <c:axId val="1488359807"/>
        <c:axId val="1488349727"/>
      </c:barChart>
      <c:scatterChart>
        <c:scatterStyle val="lineMarker"/>
        <c:varyColors val="0"/>
        <c:ser>
          <c:idx val="4"/>
          <c:order val="4"/>
          <c:tx>
            <c:strRef>
              <c:f>Processing!$C$61</c:f>
              <c:strCache>
                <c:ptCount val="1"/>
                <c:pt idx="0">
                  <c:v>Markers</c:v>
                </c:pt>
              </c:strCache>
            </c:strRef>
          </c:tx>
          <c:spPr>
            <a:ln w="25400" cap="rnd">
              <a:noFill/>
              <a:round/>
            </a:ln>
            <a:effectLst/>
          </c:spPr>
          <c:marker>
            <c:symbol val="none"/>
          </c:marker>
          <c:dLbls>
            <c:dLbl>
              <c:idx val="0"/>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8-9CA2-4670-8CA8-C44FADDCF981}"/>
                </c:ext>
              </c:extLst>
            </c:dLbl>
            <c:dLbl>
              <c:idx val="1"/>
              <c:tx>
                <c:rich>
                  <a:bodyPr/>
                  <a:lstStyle/>
                  <a:p>
                    <a:fld id="{1073E7CE-3D77-417A-AAC2-1CE4622ED19E}"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9CA2-4670-8CA8-C44FADDCF981}"/>
                </c:ext>
              </c:extLst>
            </c:dLbl>
            <c:dLbl>
              <c:idx val="2"/>
              <c:tx>
                <c:rich>
                  <a:bodyPr/>
                  <a:lstStyle/>
                  <a:p>
                    <a:fld id="{DF34196B-1C8F-4C62-B694-826B33957B80}"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9CA2-4670-8CA8-C44FADDCF981}"/>
                </c:ext>
              </c:extLst>
            </c:dLbl>
            <c:dLbl>
              <c:idx val="3"/>
              <c:tx>
                <c:rich>
                  <a:bodyPr/>
                  <a:lstStyle/>
                  <a:p>
                    <a:fld id="{42D4233D-842D-4FFC-9522-D9DDE751E4C9}"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9CA2-4670-8CA8-C44FADDCF981}"/>
                </c:ext>
              </c:extLst>
            </c:dLbl>
            <c:dLbl>
              <c:idx val="4"/>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C-9CA2-4670-8CA8-C44FADDCF981}"/>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ru-RU"/>
              </a:p>
            </c:txPr>
            <c:dLblPos val="t"/>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yVal>
            <c:numRef>
              <c:f>Processing!$D$61:$H$61</c:f>
              <c:numCache>
                <c:formatCode>General</c:formatCode>
                <c:ptCount val="5"/>
                <c:pt idx="0">
                  <c:v>#N/A</c:v>
                </c:pt>
                <c:pt idx="1">
                  <c:v>1769.09</c:v>
                </c:pt>
                <c:pt idx="2">
                  <c:v>2661.09</c:v>
                </c:pt>
                <c:pt idx="3">
                  <c:v>2021.09</c:v>
                </c:pt>
                <c:pt idx="4">
                  <c:v>#N/A</c:v>
                </c:pt>
              </c:numCache>
            </c:numRef>
          </c:yVal>
          <c:smooth val="0"/>
          <c:extLst>
            <c:ext xmlns:c15="http://schemas.microsoft.com/office/drawing/2012/chart" uri="{02D57815-91ED-43cb-92C2-25804820EDAC}">
              <c15:datalabelsRange>
                <c15:f>Processing!$D$62:$H$62</c15:f>
                <c15:dlblRangeCache>
                  <c:ptCount val="5"/>
                  <c:pt idx="1">
                    <c:v>2k</c:v>
                  </c:pt>
                  <c:pt idx="2">
                    <c:v>2k</c:v>
                  </c:pt>
                  <c:pt idx="3">
                    <c:v>2k</c:v>
                  </c:pt>
                </c15:dlblRangeCache>
              </c15:datalabelsRange>
            </c:ext>
            <c:ext xmlns:c16="http://schemas.microsoft.com/office/drawing/2014/chart" uri="{C3380CC4-5D6E-409C-BE32-E72D297353CC}">
              <c16:uniqueId val="{0000000D-9CA2-4670-8CA8-C44FADDCF981}"/>
            </c:ext>
          </c:extLst>
        </c:ser>
        <c:dLbls>
          <c:showLegendKey val="0"/>
          <c:showVal val="0"/>
          <c:showCatName val="0"/>
          <c:showSerName val="0"/>
          <c:showPercent val="0"/>
          <c:showBubbleSize val="0"/>
        </c:dLbls>
        <c:axId val="1488359807"/>
        <c:axId val="1488349727"/>
      </c:scatterChart>
      <c:catAx>
        <c:axId val="1488376607"/>
        <c:scaling>
          <c:orientation val="minMax"/>
        </c:scaling>
        <c:delete val="1"/>
        <c:axPos val="b"/>
        <c:majorTickMark val="none"/>
        <c:minorTickMark val="none"/>
        <c:tickLblPos val="nextTo"/>
        <c:crossAx val="1488381407"/>
        <c:crosses val="autoZero"/>
        <c:auto val="1"/>
        <c:lblAlgn val="ctr"/>
        <c:lblOffset val="100"/>
        <c:noMultiLvlLbl val="0"/>
      </c:catAx>
      <c:valAx>
        <c:axId val="1488381407"/>
        <c:scaling>
          <c:orientation val="minMax"/>
        </c:scaling>
        <c:delete val="1"/>
        <c:axPos val="l"/>
        <c:numFmt formatCode="General" sourceLinked="1"/>
        <c:majorTickMark val="none"/>
        <c:minorTickMark val="none"/>
        <c:tickLblPos val="nextTo"/>
        <c:crossAx val="1488376607"/>
        <c:crosses val="autoZero"/>
        <c:crossBetween val="between"/>
      </c:valAx>
      <c:valAx>
        <c:axId val="1488349727"/>
        <c:scaling>
          <c:orientation val="minMax"/>
        </c:scaling>
        <c:delete val="1"/>
        <c:axPos val="r"/>
        <c:numFmt formatCode="General" sourceLinked="1"/>
        <c:majorTickMark val="out"/>
        <c:minorTickMark val="none"/>
        <c:tickLblPos val="nextTo"/>
        <c:crossAx val="1488359807"/>
        <c:crosses val="max"/>
        <c:crossBetween val="between"/>
      </c:valAx>
      <c:catAx>
        <c:axId val="1488359807"/>
        <c:scaling>
          <c:orientation val="minMax"/>
        </c:scaling>
        <c:delete val="1"/>
        <c:axPos val="b"/>
        <c:majorTickMark val="out"/>
        <c:minorTickMark val="none"/>
        <c:tickLblPos val="nextTo"/>
        <c:crossAx val="1488349727"/>
        <c:crosses val="autoZero"/>
        <c:auto val="1"/>
        <c:lblAlgn val="ctr"/>
        <c:lblOffset val="100"/>
        <c:noMultiLvlLbl val="0"/>
      </c:catAx>
      <c:spPr>
        <a:noFill/>
      </c:spPr>
    </c:plotArea>
    <c:plotVisOnly val="1"/>
    <c:dispBlanksAs val="gap"/>
    <c:showDLblsOverMax val="0"/>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Processing!$H$2</c:f>
              <c:strCache>
                <c:ptCount val="1"/>
                <c:pt idx="0">
                  <c:v>Cursor</c:v>
                </c:pt>
              </c:strCache>
            </c:strRef>
          </c:tx>
          <c:spPr>
            <a:solidFill>
              <a:srgbClr val="ABB5E2">
                <a:alpha val="80000"/>
              </a:srgbClr>
            </a:solidFill>
            <a:ln>
              <a:noFill/>
            </a:ln>
            <a:effectLst/>
          </c:spPr>
          <c:invertIfNegative val="0"/>
          <c:cat>
            <c:strRef>
              <c:f>Processing!$B$3:$B$14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Processing!$H$3:$H$14</c:f>
              <c:numCache>
                <c:formatCode>0%</c:formatCode>
                <c:ptCount val="12"/>
                <c:pt idx="0">
                  <c:v>#N/A</c:v>
                </c:pt>
                <c:pt idx="1">
                  <c:v>#N/A</c:v>
                </c:pt>
                <c:pt idx="2">
                  <c:v>#N/A</c:v>
                </c:pt>
                <c:pt idx="3">
                  <c:v>1</c:v>
                </c:pt>
                <c:pt idx="4">
                  <c:v>1</c:v>
                </c:pt>
                <c:pt idx="5">
                  <c:v>1</c:v>
                </c:pt>
                <c:pt idx="6">
                  <c:v>#N/A</c:v>
                </c:pt>
                <c:pt idx="7">
                  <c:v>#N/A</c:v>
                </c:pt>
                <c:pt idx="8">
                  <c:v>#N/A</c:v>
                </c:pt>
                <c:pt idx="9">
                  <c:v>#N/A</c:v>
                </c:pt>
                <c:pt idx="10">
                  <c:v>#N/A</c:v>
                </c:pt>
                <c:pt idx="11">
                  <c:v>#N/A</c:v>
                </c:pt>
              </c:numCache>
            </c:numRef>
          </c:val>
          <c:extLst>
            <c:ext xmlns:c16="http://schemas.microsoft.com/office/drawing/2014/chart" uri="{C3380CC4-5D6E-409C-BE32-E72D297353CC}">
              <c16:uniqueId val="{00000000-4CF6-460B-8ED0-AA23C5813E7B}"/>
            </c:ext>
          </c:extLst>
        </c:ser>
        <c:dLbls>
          <c:showLegendKey val="0"/>
          <c:showVal val="0"/>
          <c:showCatName val="0"/>
          <c:showSerName val="0"/>
          <c:showPercent val="0"/>
          <c:showBubbleSize val="0"/>
        </c:dLbls>
        <c:gapWidth val="50"/>
        <c:overlap val="-27"/>
        <c:axId val="2029676367"/>
        <c:axId val="2029690287"/>
      </c:barChart>
      <c:catAx>
        <c:axId val="2029676367"/>
        <c:scaling>
          <c:orientation val="minMax"/>
        </c:scaling>
        <c:delete val="0"/>
        <c:axPos val="b"/>
        <c:numFmt formatCode="General" sourceLinked="1"/>
        <c:majorTickMark val="none"/>
        <c:minorTickMark val="none"/>
        <c:tickLblPos val="high"/>
        <c:spPr>
          <a:ln>
            <a:noFill/>
          </a:ln>
        </c:spPr>
        <c:txPr>
          <a:bodyPr/>
          <a:lstStyle/>
          <a:p>
            <a:pPr>
              <a:defRPr>
                <a:solidFill>
                  <a:srgbClr val="455177"/>
                </a:solidFill>
              </a:defRPr>
            </a:pPr>
            <a:endParaRPr lang="ru-RU"/>
          </a:p>
        </c:txPr>
        <c:crossAx val="2029690287"/>
        <c:crosses val="autoZero"/>
        <c:auto val="1"/>
        <c:lblAlgn val="ctr"/>
        <c:lblOffset val="100"/>
        <c:noMultiLvlLbl val="0"/>
      </c:catAx>
      <c:valAx>
        <c:axId val="2029690287"/>
        <c:scaling>
          <c:orientation val="minMax"/>
          <c:max val="1"/>
          <c:min val="0"/>
        </c:scaling>
        <c:delete val="1"/>
        <c:axPos val="l"/>
        <c:numFmt formatCode="0%" sourceLinked="1"/>
        <c:majorTickMark val="none"/>
        <c:minorTickMark val="none"/>
        <c:tickLblPos val="nextTo"/>
        <c:crossAx val="2029676367"/>
        <c:crosses val="autoZero"/>
        <c:crossBetween val="between"/>
      </c:valAx>
      <c:spPr>
        <a:noFill/>
      </c:spPr>
    </c:plotArea>
    <c:plotVisOnly val="1"/>
    <c:dispBlanksAs val="gap"/>
    <c:showDLblsOverMax val="0"/>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0617869641294839"/>
          <c:y val="6.7401960784313722E-2"/>
          <c:w val="0.87159908136482955"/>
          <c:h val="0.86519607843137258"/>
        </c:manualLayout>
      </c:layout>
      <c:barChart>
        <c:barDir val="bar"/>
        <c:grouping val="stacked"/>
        <c:varyColors val="0"/>
        <c:ser>
          <c:idx val="0"/>
          <c:order val="0"/>
          <c:tx>
            <c:strRef>
              <c:f>Processing!$L$2</c:f>
              <c:strCache>
                <c:ptCount val="1"/>
                <c:pt idx="0">
                  <c:v>Start</c:v>
                </c:pt>
              </c:strCache>
            </c:strRef>
          </c:tx>
          <c:spPr>
            <a:gradFill flip="none" rotWithShape="1">
              <a:gsLst>
                <a:gs pos="0">
                  <a:srgbClr val="6D7CAB"/>
                </a:gs>
                <a:gs pos="44000">
                  <a:srgbClr val="455177"/>
                </a:gs>
                <a:gs pos="100000">
                  <a:srgbClr val="37415F"/>
                </a:gs>
              </a:gsLst>
              <a:lin ang="5400000" scaled="0"/>
              <a:tileRect/>
            </a:gradFill>
            <a:ln>
              <a:noFill/>
            </a:ln>
            <a:effectLst>
              <a:outerShdw blurRad="63500" sx="102000" sy="102000" algn="ctr" rotWithShape="0">
                <a:prstClr val="black">
                  <a:alpha val="40000"/>
                </a:prstClr>
              </a:outerShdw>
            </a:effectLst>
          </c:spPr>
          <c:invertIfNegative val="0"/>
          <c:cat>
            <c:numRef>
              <c:f>Processing!$K$3:$K$7</c:f>
              <c:numCache>
                <c:formatCode>"$"#\ ###\ ###;\-"$"#\ ###\ ###;</c:formatCode>
                <c:ptCount val="5"/>
                <c:pt idx="0">
                  <c:v>0</c:v>
                </c:pt>
                <c:pt idx="1">
                  <c:v>500</c:v>
                </c:pt>
                <c:pt idx="2">
                  <c:v>1400</c:v>
                </c:pt>
                <c:pt idx="3">
                  <c:v>1000</c:v>
                </c:pt>
                <c:pt idx="4">
                  <c:v>0</c:v>
                </c:pt>
              </c:numCache>
            </c:numRef>
          </c:cat>
          <c:val>
            <c:numRef>
              <c:f>Processing!$L$3:$L$7</c:f>
              <c:numCache>
                <c:formatCode>General</c:formatCode>
                <c:ptCount val="5"/>
                <c:pt idx="0">
                  <c:v>0.2</c:v>
                </c:pt>
                <c:pt idx="1">
                  <c:v>1</c:v>
                </c:pt>
                <c:pt idx="2">
                  <c:v>3</c:v>
                </c:pt>
                <c:pt idx="3">
                  <c:v>4</c:v>
                </c:pt>
                <c:pt idx="4">
                  <c:v>7</c:v>
                </c:pt>
              </c:numCache>
            </c:numRef>
          </c:val>
          <c:extLst>
            <c:ext xmlns:c16="http://schemas.microsoft.com/office/drawing/2014/chart" uri="{C3380CC4-5D6E-409C-BE32-E72D297353CC}">
              <c16:uniqueId val="{00000000-7B82-4ECD-B4E6-5D1D44E10EBE}"/>
            </c:ext>
          </c:extLst>
        </c:ser>
        <c:ser>
          <c:idx val="1"/>
          <c:order val="1"/>
          <c:tx>
            <c:strRef>
              <c:f>Processing!$M$2</c:f>
              <c:strCache>
                <c:ptCount val="1"/>
                <c:pt idx="0">
                  <c:v>Process</c:v>
                </c:pt>
              </c:strCache>
            </c:strRef>
          </c:tx>
          <c:spPr>
            <a:solidFill>
              <a:srgbClr val="2B5BCB"/>
            </a:solidFill>
            <a:ln w="101600">
              <a:solidFill>
                <a:srgbClr val="2B5BCB"/>
              </a:solidFill>
            </a:ln>
            <a:effectLst/>
          </c:spPr>
          <c:invertIfNegative val="0"/>
          <c:dPt>
            <c:idx val="0"/>
            <c:invertIfNegative val="0"/>
            <c:bubble3D val="0"/>
            <c:spPr>
              <a:solidFill>
                <a:srgbClr val="00A8B0"/>
              </a:solidFill>
              <a:ln w="101600">
                <a:gradFill>
                  <a:gsLst>
                    <a:gs pos="0">
                      <a:srgbClr val="00C8D2"/>
                    </a:gs>
                    <a:gs pos="31000">
                      <a:srgbClr val="00A8B0"/>
                    </a:gs>
                  </a:gsLst>
                  <a:lin ang="5400000" scaled="1"/>
                </a:gradFill>
              </a:ln>
              <a:effectLst/>
            </c:spPr>
            <c:extLst>
              <c:ext xmlns:c16="http://schemas.microsoft.com/office/drawing/2014/chart" uri="{C3380CC4-5D6E-409C-BE32-E72D297353CC}">
                <c16:uniqueId val="{00000002-7B82-4ECD-B4E6-5D1D44E10EBE}"/>
              </c:ext>
            </c:extLst>
          </c:dPt>
          <c:dPt>
            <c:idx val="1"/>
            <c:invertIfNegative val="0"/>
            <c:bubble3D val="0"/>
            <c:spPr>
              <a:solidFill>
                <a:srgbClr val="2B5BCB"/>
              </a:solidFill>
              <a:ln w="101600">
                <a:gradFill>
                  <a:gsLst>
                    <a:gs pos="0">
                      <a:srgbClr val="5A82DC"/>
                    </a:gs>
                    <a:gs pos="31000">
                      <a:srgbClr val="2B5BCB"/>
                    </a:gs>
                  </a:gsLst>
                  <a:lin ang="5400000" scaled="1"/>
                </a:gradFill>
              </a:ln>
              <a:effectLst/>
            </c:spPr>
            <c:extLst>
              <c:ext xmlns:c16="http://schemas.microsoft.com/office/drawing/2014/chart" uri="{C3380CC4-5D6E-409C-BE32-E72D297353CC}">
                <c16:uniqueId val="{00000004-7B82-4ECD-B4E6-5D1D44E10EBE}"/>
              </c:ext>
            </c:extLst>
          </c:dPt>
          <c:dPt>
            <c:idx val="2"/>
            <c:invertIfNegative val="0"/>
            <c:bubble3D val="0"/>
            <c:spPr>
              <a:solidFill>
                <a:srgbClr val="FF5C6D"/>
              </a:solidFill>
              <a:ln w="101600">
                <a:gradFill>
                  <a:gsLst>
                    <a:gs pos="0">
                      <a:srgbClr val="FFA3AC"/>
                    </a:gs>
                    <a:gs pos="31000">
                      <a:srgbClr val="FF5C6D"/>
                    </a:gs>
                  </a:gsLst>
                  <a:lin ang="5400000" scaled="1"/>
                </a:gradFill>
              </a:ln>
              <a:effectLst/>
            </c:spPr>
            <c:extLst>
              <c:ext xmlns:c16="http://schemas.microsoft.com/office/drawing/2014/chart" uri="{C3380CC4-5D6E-409C-BE32-E72D297353CC}">
                <c16:uniqueId val="{00000006-7B82-4ECD-B4E6-5D1D44E10EBE}"/>
              </c:ext>
            </c:extLst>
          </c:dPt>
          <c:dPt>
            <c:idx val="3"/>
            <c:invertIfNegative val="0"/>
            <c:bubble3D val="0"/>
            <c:spPr>
              <a:solidFill>
                <a:srgbClr val="007D9B"/>
              </a:solidFill>
              <a:ln w="101600">
                <a:gradFill>
                  <a:gsLst>
                    <a:gs pos="0">
                      <a:srgbClr val="00ADD6"/>
                    </a:gs>
                    <a:gs pos="31000">
                      <a:srgbClr val="007D9B"/>
                    </a:gs>
                  </a:gsLst>
                  <a:lin ang="5400000" scaled="1"/>
                </a:gradFill>
              </a:ln>
              <a:effectLst/>
            </c:spPr>
            <c:extLst>
              <c:ext xmlns:c16="http://schemas.microsoft.com/office/drawing/2014/chart" uri="{C3380CC4-5D6E-409C-BE32-E72D297353CC}">
                <c16:uniqueId val="{00000008-7B82-4ECD-B4E6-5D1D44E10EBE}"/>
              </c:ext>
            </c:extLst>
          </c:dPt>
          <c:dPt>
            <c:idx val="4"/>
            <c:invertIfNegative val="0"/>
            <c:bubble3D val="0"/>
            <c:spPr>
              <a:solidFill>
                <a:srgbClr val="4E5E9D"/>
              </a:solidFill>
              <a:ln w="101600">
                <a:gradFill>
                  <a:gsLst>
                    <a:gs pos="0">
                      <a:srgbClr val="6978B4"/>
                    </a:gs>
                    <a:gs pos="31000">
                      <a:srgbClr val="4E5E9D"/>
                    </a:gs>
                  </a:gsLst>
                  <a:lin ang="5400000" scaled="1"/>
                </a:gradFill>
              </a:ln>
              <a:effectLst/>
            </c:spPr>
            <c:extLst>
              <c:ext xmlns:c16="http://schemas.microsoft.com/office/drawing/2014/chart" uri="{C3380CC4-5D6E-409C-BE32-E72D297353CC}">
                <c16:uniqueId val="{0000000A-7B82-4ECD-B4E6-5D1D44E10EBE}"/>
              </c:ext>
            </c:extLst>
          </c:dPt>
          <c:cat>
            <c:numRef>
              <c:f>Processing!$K$3:$K$7</c:f>
              <c:numCache>
                <c:formatCode>"$"#\ ###\ ###;\-"$"#\ ###\ ###;</c:formatCode>
                <c:ptCount val="5"/>
                <c:pt idx="0">
                  <c:v>0</c:v>
                </c:pt>
                <c:pt idx="1">
                  <c:v>500</c:v>
                </c:pt>
                <c:pt idx="2">
                  <c:v>1400</c:v>
                </c:pt>
                <c:pt idx="3">
                  <c:v>1000</c:v>
                </c:pt>
                <c:pt idx="4">
                  <c:v>0</c:v>
                </c:pt>
              </c:numCache>
            </c:numRef>
          </c:cat>
          <c:val>
            <c:numRef>
              <c:f>Processing!$M$3:$M$7</c:f>
              <c:numCache>
                <c:formatCode>General</c:formatCode>
                <c:ptCount val="5"/>
                <c:pt idx="0">
                  <c:v>1.8</c:v>
                </c:pt>
                <c:pt idx="1">
                  <c:v>3</c:v>
                </c:pt>
                <c:pt idx="2">
                  <c:v>2</c:v>
                </c:pt>
                <c:pt idx="3">
                  <c:v>4</c:v>
                </c:pt>
                <c:pt idx="4">
                  <c:v>4.8</c:v>
                </c:pt>
              </c:numCache>
            </c:numRef>
          </c:val>
          <c:extLst>
            <c:ext xmlns:c16="http://schemas.microsoft.com/office/drawing/2014/chart" uri="{C3380CC4-5D6E-409C-BE32-E72D297353CC}">
              <c16:uniqueId val="{0000000B-7B82-4ECD-B4E6-5D1D44E10EBE}"/>
            </c:ext>
          </c:extLst>
        </c:ser>
        <c:ser>
          <c:idx val="2"/>
          <c:order val="2"/>
          <c:tx>
            <c:strRef>
              <c:f>Processing!$N$2</c:f>
              <c:strCache>
                <c:ptCount val="1"/>
                <c:pt idx="0">
                  <c:v>End</c:v>
                </c:pt>
              </c:strCache>
            </c:strRef>
          </c:tx>
          <c:spPr>
            <a:gradFill>
              <a:gsLst>
                <a:gs pos="0">
                  <a:srgbClr val="6D7CAB"/>
                </a:gs>
                <a:gs pos="44000">
                  <a:srgbClr val="455177"/>
                </a:gs>
                <a:gs pos="100000">
                  <a:srgbClr val="37415F"/>
                </a:gs>
              </a:gsLst>
              <a:lin ang="5400000" scaled="0"/>
            </a:gradFill>
            <a:ln>
              <a:noFill/>
            </a:ln>
            <a:effectLst/>
          </c:spPr>
          <c:invertIfNegative val="0"/>
          <c:cat>
            <c:numRef>
              <c:f>Processing!$K$3:$K$7</c:f>
              <c:numCache>
                <c:formatCode>"$"#\ ###\ ###;\-"$"#\ ###\ ###;</c:formatCode>
                <c:ptCount val="5"/>
                <c:pt idx="0">
                  <c:v>0</c:v>
                </c:pt>
                <c:pt idx="1">
                  <c:v>500</c:v>
                </c:pt>
                <c:pt idx="2">
                  <c:v>1400</c:v>
                </c:pt>
                <c:pt idx="3">
                  <c:v>1000</c:v>
                </c:pt>
                <c:pt idx="4">
                  <c:v>0</c:v>
                </c:pt>
              </c:numCache>
            </c:numRef>
          </c:cat>
          <c:val>
            <c:numRef>
              <c:f>Processing!$N$3:$N$7</c:f>
              <c:numCache>
                <c:formatCode>General</c:formatCode>
                <c:ptCount val="5"/>
                <c:pt idx="0">
                  <c:v>10</c:v>
                </c:pt>
                <c:pt idx="1">
                  <c:v>8</c:v>
                </c:pt>
                <c:pt idx="2">
                  <c:v>7</c:v>
                </c:pt>
                <c:pt idx="3">
                  <c:v>4</c:v>
                </c:pt>
                <c:pt idx="4">
                  <c:v>0.19999999999999929</c:v>
                </c:pt>
              </c:numCache>
            </c:numRef>
          </c:val>
          <c:extLst>
            <c:ext xmlns:c16="http://schemas.microsoft.com/office/drawing/2014/chart" uri="{C3380CC4-5D6E-409C-BE32-E72D297353CC}">
              <c16:uniqueId val="{0000000C-7B82-4ECD-B4E6-5D1D44E10EBE}"/>
            </c:ext>
          </c:extLst>
        </c:ser>
        <c:dLbls>
          <c:showLegendKey val="0"/>
          <c:showVal val="0"/>
          <c:showCatName val="0"/>
          <c:showSerName val="0"/>
          <c:showPercent val="0"/>
          <c:showBubbleSize val="0"/>
        </c:dLbls>
        <c:gapWidth val="200"/>
        <c:overlap val="100"/>
        <c:axId val="307646768"/>
        <c:axId val="307649168"/>
      </c:barChart>
      <c:catAx>
        <c:axId val="307646768"/>
        <c:scaling>
          <c:orientation val="maxMin"/>
        </c:scaling>
        <c:delete val="0"/>
        <c:axPos val="l"/>
        <c:numFmt formatCode="&quot;$&quot;#\ ###\ ###;\-&quot;$&quot;#\ ###\ ###;"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rgbClr val="455177"/>
                </a:solidFill>
                <a:latin typeface="+mn-lt"/>
                <a:ea typeface="+mn-ea"/>
                <a:cs typeface="+mn-cs"/>
              </a:defRPr>
            </a:pPr>
            <a:endParaRPr lang="ru-RU"/>
          </a:p>
        </c:txPr>
        <c:crossAx val="307649168"/>
        <c:crosses val="autoZero"/>
        <c:auto val="1"/>
        <c:lblAlgn val="ctr"/>
        <c:lblOffset val="100"/>
        <c:noMultiLvlLbl val="0"/>
      </c:catAx>
      <c:valAx>
        <c:axId val="307649168"/>
        <c:scaling>
          <c:orientation val="minMax"/>
          <c:max val="12"/>
          <c:min val="0"/>
        </c:scaling>
        <c:delete val="1"/>
        <c:axPos val="t"/>
        <c:majorGridlines>
          <c:spPr>
            <a:ln w="9525" cap="flat" cmpd="sng" algn="ctr">
              <a:solidFill>
                <a:srgbClr val="193B8A">
                  <a:alpha val="12000"/>
                </a:srgbClr>
              </a:solidFill>
              <a:round/>
            </a:ln>
            <a:effectLst/>
          </c:spPr>
        </c:majorGridlines>
        <c:numFmt formatCode="General" sourceLinked="0"/>
        <c:majorTickMark val="out"/>
        <c:minorTickMark val="none"/>
        <c:tickLblPos val="nextTo"/>
        <c:crossAx val="307646768"/>
        <c:crosses val="autoZero"/>
        <c:crossBetween val="between"/>
        <c:majorUnit val="1"/>
      </c:valAx>
      <c:spPr>
        <a:noFill/>
      </c:spPr>
    </c:plotArea>
    <c:plotVisOnly val="1"/>
    <c:dispBlanksAs val="gap"/>
    <c:showDLblsOverMax val="0"/>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tx>
            <c:strRef>
              <c:f>Processing!$S$1</c:f>
              <c:strCache>
                <c:ptCount val="1"/>
                <c:pt idx="0">
                  <c:v>Budget</c:v>
                </c:pt>
              </c:strCache>
            </c:strRef>
          </c:tx>
          <c:spPr>
            <a:gradFill>
              <a:gsLst>
                <a:gs pos="50384">
                  <a:srgbClr val="BCC6FF"/>
                </a:gs>
                <a:gs pos="0">
                  <a:srgbClr val="6494DA"/>
                </a:gs>
                <a:gs pos="94000">
                  <a:srgbClr val="2F6EC7"/>
                </a:gs>
              </a:gsLst>
              <a:lin ang="5400000" scaled="1"/>
            </a:gradFill>
            <a:ln>
              <a:noFill/>
            </a:ln>
            <a:effectLst>
              <a:outerShdw blurRad="50800" dist="38100" dir="8100000" algn="tr" rotWithShape="0">
                <a:prstClr val="black">
                  <a:alpha val="40000"/>
                </a:prstClr>
              </a:outerShdw>
            </a:effectLst>
          </c:spPr>
          <c:dPt>
            <c:idx val="0"/>
            <c:bubble3D val="0"/>
            <c:spPr>
              <a:gradFill>
                <a:gsLst>
                  <a:gs pos="0">
                    <a:srgbClr val="09C3F2"/>
                  </a:gs>
                  <a:gs pos="100000">
                    <a:srgbClr val="06D3D9"/>
                  </a:gs>
                </a:gsLst>
                <a:lin ang="5400000" scaled="1"/>
              </a:gradFill>
              <a:ln w="19050">
                <a:noFill/>
              </a:ln>
              <a:effectLst>
                <a:outerShdw blurRad="50800" dist="38100" dir="8100000" algn="tr" rotWithShape="0">
                  <a:prstClr val="black">
                    <a:alpha val="40000"/>
                  </a:prstClr>
                </a:outerShdw>
              </a:effectLst>
            </c:spPr>
            <c:extLst>
              <c:ext xmlns:c16="http://schemas.microsoft.com/office/drawing/2014/chart" uri="{C3380CC4-5D6E-409C-BE32-E72D297353CC}">
                <c16:uniqueId val="{00000001-6167-4968-A34D-84F1F9B2674A}"/>
              </c:ext>
            </c:extLst>
          </c:dPt>
          <c:dPt>
            <c:idx val="1"/>
            <c:bubble3D val="0"/>
            <c:spPr>
              <a:gradFill>
                <a:gsLst>
                  <a:gs pos="0">
                    <a:srgbClr val="2C71E7"/>
                  </a:gs>
                  <a:gs pos="100000">
                    <a:srgbClr val="2373DF"/>
                  </a:gs>
                </a:gsLst>
                <a:lin ang="5400000" scaled="1"/>
              </a:gradFill>
              <a:ln w="19050">
                <a:noFill/>
              </a:ln>
              <a:effectLst>
                <a:outerShdw blurRad="50800" dist="38100" dir="8100000" algn="tr" rotWithShape="0">
                  <a:prstClr val="black">
                    <a:alpha val="40000"/>
                  </a:prstClr>
                </a:outerShdw>
              </a:effectLst>
            </c:spPr>
            <c:extLst>
              <c:ext xmlns:c16="http://schemas.microsoft.com/office/drawing/2014/chart" uri="{C3380CC4-5D6E-409C-BE32-E72D297353CC}">
                <c16:uniqueId val="{00000003-6167-4968-A34D-84F1F9B2674A}"/>
              </c:ext>
            </c:extLst>
          </c:dPt>
          <c:val>
            <c:numRef>
              <c:f>Processing!$S$3:$T$3</c:f>
              <c:numCache>
                <c:formatCode>0%</c:formatCode>
                <c:ptCount val="2"/>
                <c:pt idx="0">
                  <c:v>0.64091999999999993</c:v>
                </c:pt>
                <c:pt idx="1">
                  <c:v>0.35908000000000001</c:v>
                </c:pt>
              </c:numCache>
            </c:numRef>
          </c:val>
          <c:extLst>
            <c:ext xmlns:c16="http://schemas.microsoft.com/office/drawing/2014/chart" uri="{C3380CC4-5D6E-409C-BE32-E72D297353CC}">
              <c16:uniqueId val="{00000004-6167-4968-A34D-84F1F9B2674A}"/>
            </c:ext>
          </c:extLst>
        </c:ser>
        <c:dLbls>
          <c:showLegendKey val="0"/>
          <c:showVal val="0"/>
          <c:showCatName val="0"/>
          <c:showSerName val="0"/>
          <c:showPercent val="0"/>
          <c:showBubbleSize val="0"/>
          <c:showLeaderLines val="1"/>
        </c:dLbls>
        <c:firstSliceAng val="0"/>
        <c:holeSize val="75"/>
      </c:doughnutChart>
      <c:scatterChart>
        <c:scatterStyle val="lineMarker"/>
        <c:varyColors val="0"/>
        <c:ser>
          <c:idx val="1"/>
          <c:order val="1"/>
          <c:tx>
            <c:strRef>
              <c:f>Processing!$S$4</c:f>
              <c:strCache>
                <c:ptCount val="1"/>
                <c:pt idx="0">
                  <c:v>Cursors</c:v>
                </c:pt>
              </c:strCache>
            </c:strRef>
          </c:tx>
          <c:spPr>
            <a:ln w="25400" cap="rnd">
              <a:noFill/>
              <a:round/>
            </a:ln>
            <a:effectLst/>
          </c:spPr>
          <c:marker>
            <c:symbol val="circle"/>
            <c:size val="14"/>
            <c:spPr>
              <a:solidFill>
                <a:srgbClr val="09C3F2"/>
              </a:solidFill>
              <a:ln w="9525">
                <a:noFill/>
              </a:ln>
              <a:effectLst/>
            </c:spPr>
          </c:marker>
          <c:dPt>
            <c:idx val="1"/>
            <c:marker>
              <c:symbol val="circle"/>
              <c:size val="14"/>
              <c:spPr>
                <a:solidFill>
                  <a:srgbClr val="06D3D9"/>
                </a:solidFill>
                <a:ln w="9525">
                  <a:noFill/>
                </a:ln>
                <a:effectLst/>
              </c:spPr>
            </c:marker>
            <c:bubble3D val="0"/>
            <c:extLst>
              <c:ext xmlns:c16="http://schemas.microsoft.com/office/drawing/2014/chart" uri="{C3380CC4-5D6E-409C-BE32-E72D297353CC}">
                <c16:uniqueId val="{00000005-6167-4968-A34D-84F1F9B2674A}"/>
              </c:ext>
            </c:extLst>
          </c:dPt>
          <c:xVal>
            <c:numRef>
              <c:f>Processing!$S$6:$S$7</c:f>
              <c:numCache>
                <c:formatCode>General</c:formatCode>
                <c:ptCount val="2"/>
                <c:pt idx="0">
                  <c:v>0</c:v>
                </c:pt>
                <c:pt idx="1">
                  <c:v>-0.77418499792466078</c:v>
                </c:pt>
              </c:numCache>
            </c:numRef>
          </c:xVal>
          <c:yVal>
            <c:numRef>
              <c:f>Processing!$T$6:$T$7</c:f>
              <c:numCache>
                <c:formatCode>General</c:formatCode>
                <c:ptCount val="2"/>
                <c:pt idx="0">
                  <c:v>1</c:v>
                </c:pt>
                <c:pt idx="1">
                  <c:v>-0.63295938968340804</c:v>
                </c:pt>
              </c:numCache>
            </c:numRef>
          </c:yVal>
          <c:smooth val="0"/>
          <c:extLst>
            <c:ext xmlns:c16="http://schemas.microsoft.com/office/drawing/2014/chart" uri="{C3380CC4-5D6E-409C-BE32-E72D297353CC}">
              <c16:uniqueId val="{00000006-6167-4968-A34D-84F1F9B2674A}"/>
            </c:ext>
          </c:extLst>
        </c:ser>
        <c:dLbls>
          <c:showLegendKey val="0"/>
          <c:showVal val="0"/>
          <c:showCatName val="0"/>
          <c:showSerName val="0"/>
          <c:showPercent val="0"/>
          <c:showBubbleSize val="0"/>
        </c:dLbls>
        <c:axId val="1214836208"/>
        <c:axId val="1214847248"/>
      </c:scatterChart>
      <c:valAx>
        <c:axId val="1214847248"/>
        <c:scaling>
          <c:orientation val="minMax"/>
          <c:max val="1.1500000000000001"/>
          <c:min val="-1.1400000000000001"/>
        </c:scaling>
        <c:delete val="1"/>
        <c:axPos val="l"/>
        <c:numFmt formatCode="General" sourceLinked="1"/>
        <c:majorTickMark val="out"/>
        <c:minorTickMark val="none"/>
        <c:tickLblPos val="nextTo"/>
        <c:crossAx val="1214836208"/>
        <c:crosses val="autoZero"/>
        <c:crossBetween val="midCat"/>
      </c:valAx>
      <c:valAx>
        <c:axId val="1214836208"/>
        <c:scaling>
          <c:orientation val="minMax"/>
          <c:max val="1.1400000000000001"/>
          <c:min val="-1.1500000000000001"/>
        </c:scaling>
        <c:delete val="1"/>
        <c:axPos val="t"/>
        <c:numFmt formatCode="General" sourceLinked="1"/>
        <c:majorTickMark val="out"/>
        <c:minorTickMark val="none"/>
        <c:tickLblPos val="nextTo"/>
        <c:crossAx val="1214847248"/>
        <c:crosses val="max"/>
        <c:crossBetween val="midCat"/>
      </c:valAx>
      <c:spPr>
        <a:noFill/>
        <a:ln w="25400">
          <a:noFill/>
        </a:ln>
        <a:effectLst/>
      </c:spPr>
    </c:plotArea>
    <c:plotVisOnly val="1"/>
    <c:dispBlanksAs val="gap"/>
    <c:showDLblsOverMax val="0"/>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3.3763044812768567E-2"/>
          <c:y val="6.0185185185185182E-2"/>
          <c:w val="0.93247391037446281"/>
          <c:h val="0.88888888888888884"/>
        </c:manualLayout>
      </c:layout>
      <c:barChart>
        <c:barDir val="col"/>
        <c:grouping val="stacked"/>
        <c:varyColors val="0"/>
        <c:ser>
          <c:idx val="0"/>
          <c:order val="0"/>
          <c:spPr>
            <a:noFill/>
            <a:ln>
              <a:noFill/>
            </a:ln>
            <a:effectLst/>
          </c:spPr>
          <c:invertIfNegative val="0"/>
          <c:cat>
            <c:strRef>
              <c:f>Processing!$K$24:$Q$24</c:f>
              <c:strCache>
                <c:ptCount val="7"/>
                <c:pt idx="0">
                  <c:v>SU</c:v>
                </c:pt>
                <c:pt idx="1">
                  <c:v>MO</c:v>
                </c:pt>
                <c:pt idx="2">
                  <c:v>TU</c:v>
                </c:pt>
                <c:pt idx="3">
                  <c:v>WE</c:v>
                </c:pt>
                <c:pt idx="4">
                  <c:v>TH</c:v>
                </c:pt>
                <c:pt idx="5">
                  <c:v>FR</c:v>
                </c:pt>
                <c:pt idx="6">
                  <c:v>SA</c:v>
                </c:pt>
              </c:strCache>
            </c:strRef>
          </c:cat>
          <c:val>
            <c:numRef>
              <c:f>Processing!$K$25:$Q$25</c:f>
              <c:numCache>
                <c:formatCode>General</c:formatCode>
                <c:ptCount val="7"/>
                <c:pt idx="0">
                  <c:v>1</c:v>
                </c:pt>
                <c:pt idx="1">
                  <c:v>1</c:v>
                </c:pt>
                <c:pt idx="2">
                  <c:v>1</c:v>
                </c:pt>
                <c:pt idx="3">
                  <c:v>1</c:v>
                </c:pt>
                <c:pt idx="4">
                  <c:v>0</c:v>
                </c:pt>
                <c:pt idx="5">
                  <c:v>0</c:v>
                </c:pt>
                <c:pt idx="6">
                  <c:v>0</c:v>
                </c:pt>
              </c:numCache>
            </c:numRef>
          </c:val>
          <c:extLst>
            <c:ext xmlns:c16="http://schemas.microsoft.com/office/drawing/2014/chart" uri="{C3380CC4-5D6E-409C-BE32-E72D297353CC}">
              <c16:uniqueId val="{00000000-2224-43A9-8466-980AE21581D0}"/>
            </c:ext>
          </c:extLst>
        </c:ser>
        <c:ser>
          <c:idx val="1"/>
          <c:order val="1"/>
          <c:spPr>
            <a:blipFill>
              <a:blip xmlns:r="http://schemas.openxmlformats.org/officeDocument/2006/relationships" r:embed="rId1"/>
              <a:stretch>
                <a:fillRect/>
              </a:stretch>
            </a:blipFill>
            <a:ln>
              <a:noFill/>
            </a:ln>
            <a:effectLst/>
          </c:spPr>
          <c:invertIfNegative val="0"/>
          <c:cat>
            <c:strRef>
              <c:f>Processing!$K$24:$Q$24</c:f>
              <c:strCache>
                <c:ptCount val="7"/>
                <c:pt idx="0">
                  <c:v>SU</c:v>
                </c:pt>
                <c:pt idx="1">
                  <c:v>MO</c:v>
                </c:pt>
                <c:pt idx="2">
                  <c:v>TU</c:v>
                </c:pt>
                <c:pt idx="3">
                  <c:v>WE</c:v>
                </c:pt>
                <c:pt idx="4">
                  <c:v>TH</c:v>
                </c:pt>
                <c:pt idx="5">
                  <c:v>FR</c:v>
                </c:pt>
                <c:pt idx="6">
                  <c:v>SA</c:v>
                </c:pt>
              </c:strCache>
            </c:strRef>
          </c:cat>
          <c:val>
            <c:numRef>
              <c:f>Processing!$K$26:$Q$26</c:f>
              <c:numCache>
                <c:formatCode>General</c:formatCode>
                <c:ptCount val="7"/>
                <c:pt idx="0">
                  <c:v>0</c:v>
                </c:pt>
                <c:pt idx="1">
                  <c:v>0</c:v>
                </c:pt>
                <c:pt idx="2">
                  <c:v>0</c:v>
                </c:pt>
                <c:pt idx="3">
                  <c:v>0</c:v>
                </c:pt>
                <c:pt idx="4">
                  <c:v>0</c:v>
                </c:pt>
                <c:pt idx="5">
                  <c:v>1</c:v>
                </c:pt>
                <c:pt idx="6">
                  <c:v>0</c:v>
                </c:pt>
              </c:numCache>
            </c:numRef>
          </c:val>
          <c:extLst>
            <c:ext xmlns:c16="http://schemas.microsoft.com/office/drawing/2014/chart" uri="{C3380CC4-5D6E-409C-BE32-E72D297353CC}">
              <c16:uniqueId val="{00000001-2224-43A9-8466-980AE21581D0}"/>
            </c:ext>
          </c:extLst>
        </c:ser>
        <c:ser>
          <c:idx val="2"/>
          <c:order val="2"/>
          <c:spPr>
            <a:blipFill>
              <a:blip xmlns:r="http://schemas.openxmlformats.org/officeDocument/2006/relationships" r:embed="rId2"/>
              <a:stretch>
                <a:fillRect/>
              </a:stretch>
            </a:blipFill>
            <a:ln>
              <a:noFill/>
            </a:ln>
            <a:effectLst/>
          </c:spPr>
          <c:invertIfNegative val="0"/>
          <c:cat>
            <c:strRef>
              <c:f>Processing!$K$24:$Q$24</c:f>
              <c:strCache>
                <c:ptCount val="7"/>
                <c:pt idx="0">
                  <c:v>SU</c:v>
                </c:pt>
                <c:pt idx="1">
                  <c:v>MO</c:v>
                </c:pt>
                <c:pt idx="2">
                  <c:v>TU</c:v>
                </c:pt>
                <c:pt idx="3">
                  <c:v>WE</c:v>
                </c:pt>
                <c:pt idx="4">
                  <c:v>TH</c:v>
                </c:pt>
                <c:pt idx="5">
                  <c:v>FR</c:v>
                </c:pt>
                <c:pt idx="6">
                  <c:v>SA</c:v>
                </c:pt>
              </c:strCache>
            </c:strRef>
          </c:cat>
          <c:val>
            <c:numRef>
              <c:f>Processing!$K$27:$Q$27</c:f>
              <c:numCache>
                <c:formatCode>General</c:formatCode>
                <c:ptCount val="7"/>
                <c:pt idx="0">
                  <c:v>0</c:v>
                </c:pt>
                <c:pt idx="1">
                  <c:v>0</c:v>
                </c:pt>
                <c:pt idx="2">
                  <c:v>0</c:v>
                </c:pt>
                <c:pt idx="3">
                  <c:v>0</c:v>
                </c:pt>
                <c:pt idx="4">
                  <c:v>1</c:v>
                </c:pt>
                <c:pt idx="5">
                  <c:v>0</c:v>
                </c:pt>
                <c:pt idx="6">
                  <c:v>1</c:v>
                </c:pt>
              </c:numCache>
            </c:numRef>
          </c:val>
          <c:extLst>
            <c:ext xmlns:c16="http://schemas.microsoft.com/office/drawing/2014/chart" uri="{C3380CC4-5D6E-409C-BE32-E72D297353CC}">
              <c16:uniqueId val="{00000002-2224-43A9-8466-980AE21581D0}"/>
            </c:ext>
          </c:extLst>
        </c:ser>
        <c:ser>
          <c:idx val="3"/>
          <c:order val="3"/>
          <c:spPr>
            <a:blipFill>
              <a:blip xmlns:r="http://schemas.openxmlformats.org/officeDocument/2006/relationships" r:embed="rId3"/>
              <a:stretch>
                <a:fillRect/>
              </a:stretch>
            </a:blipFill>
            <a:ln>
              <a:noFill/>
            </a:ln>
            <a:effectLst/>
          </c:spPr>
          <c:invertIfNegative val="0"/>
          <c:cat>
            <c:strRef>
              <c:f>Processing!$K$24:$Q$24</c:f>
              <c:strCache>
                <c:ptCount val="7"/>
                <c:pt idx="0">
                  <c:v>SU</c:v>
                </c:pt>
                <c:pt idx="1">
                  <c:v>MO</c:v>
                </c:pt>
                <c:pt idx="2">
                  <c:v>TU</c:v>
                </c:pt>
                <c:pt idx="3">
                  <c:v>WE</c:v>
                </c:pt>
                <c:pt idx="4">
                  <c:v>TH</c:v>
                </c:pt>
                <c:pt idx="5">
                  <c:v>FR</c:v>
                </c:pt>
                <c:pt idx="6">
                  <c:v>SA</c:v>
                </c:pt>
              </c:strCache>
            </c:strRef>
          </c:cat>
          <c:val>
            <c:numRef>
              <c:f>Processing!$K$28:$Q$28</c:f>
              <c:numCache>
                <c:formatCode>General</c:formatCode>
                <c:ptCount val="7"/>
                <c:pt idx="0">
                  <c:v>0</c:v>
                </c:pt>
                <c:pt idx="1">
                  <c:v>0</c:v>
                </c:pt>
                <c:pt idx="2">
                  <c:v>0</c:v>
                </c:pt>
                <c:pt idx="3">
                  <c:v>0</c:v>
                </c:pt>
                <c:pt idx="4">
                  <c:v>0</c:v>
                </c:pt>
                <c:pt idx="5">
                  <c:v>0</c:v>
                </c:pt>
                <c:pt idx="6">
                  <c:v>0</c:v>
                </c:pt>
              </c:numCache>
            </c:numRef>
          </c:val>
          <c:extLst>
            <c:ext xmlns:c16="http://schemas.microsoft.com/office/drawing/2014/chart" uri="{C3380CC4-5D6E-409C-BE32-E72D297353CC}">
              <c16:uniqueId val="{00000003-2224-43A9-8466-980AE21581D0}"/>
            </c:ext>
          </c:extLst>
        </c:ser>
        <c:ser>
          <c:idx val="4"/>
          <c:order val="4"/>
          <c:spPr>
            <a:noFill/>
            <a:ln>
              <a:noFill/>
            </a:ln>
            <a:effectLst/>
          </c:spPr>
          <c:invertIfNegative val="0"/>
          <c:cat>
            <c:strRef>
              <c:f>Processing!$K$24:$Q$24</c:f>
              <c:strCache>
                <c:ptCount val="7"/>
                <c:pt idx="0">
                  <c:v>SU</c:v>
                </c:pt>
                <c:pt idx="1">
                  <c:v>MO</c:v>
                </c:pt>
                <c:pt idx="2">
                  <c:v>TU</c:v>
                </c:pt>
                <c:pt idx="3">
                  <c:v>WE</c:v>
                </c:pt>
                <c:pt idx="4">
                  <c:v>TH</c:v>
                </c:pt>
                <c:pt idx="5">
                  <c:v>FR</c:v>
                </c:pt>
                <c:pt idx="6">
                  <c:v>SA</c:v>
                </c:pt>
              </c:strCache>
            </c:strRef>
          </c:cat>
          <c:val>
            <c:numRef>
              <c:f>Processing!$K$29:$Q$29</c:f>
              <c:numCache>
                <c:formatCode>General</c:formatCode>
                <c:ptCount val="7"/>
                <c:pt idx="0">
                  <c:v>0</c:v>
                </c:pt>
                <c:pt idx="1">
                  <c:v>0</c:v>
                </c:pt>
                <c:pt idx="2">
                  <c:v>0</c:v>
                </c:pt>
                <c:pt idx="3">
                  <c:v>0</c:v>
                </c:pt>
                <c:pt idx="4">
                  <c:v>0</c:v>
                </c:pt>
                <c:pt idx="5">
                  <c:v>0</c:v>
                </c:pt>
                <c:pt idx="6">
                  <c:v>0</c:v>
                </c:pt>
              </c:numCache>
            </c:numRef>
          </c:val>
          <c:extLst>
            <c:ext xmlns:c16="http://schemas.microsoft.com/office/drawing/2014/chart" uri="{C3380CC4-5D6E-409C-BE32-E72D297353CC}">
              <c16:uniqueId val="{00000004-2224-43A9-8466-980AE21581D0}"/>
            </c:ext>
          </c:extLst>
        </c:ser>
        <c:ser>
          <c:idx val="5"/>
          <c:order val="5"/>
          <c:spPr>
            <a:blipFill>
              <a:blip xmlns:r="http://schemas.openxmlformats.org/officeDocument/2006/relationships" r:embed="rId1"/>
              <a:stretch>
                <a:fillRect/>
              </a:stretch>
            </a:blipFill>
            <a:ln>
              <a:noFill/>
            </a:ln>
            <a:effectLst/>
          </c:spPr>
          <c:invertIfNegative val="0"/>
          <c:cat>
            <c:strRef>
              <c:f>Processing!$K$24:$Q$24</c:f>
              <c:strCache>
                <c:ptCount val="7"/>
                <c:pt idx="0">
                  <c:v>SU</c:v>
                </c:pt>
                <c:pt idx="1">
                  <c:v>MO</c:v>
                </c:pt>
                <c:pt idx="2">
                  <c:v>TU</c:v>
                </c:pt>
                <c:pt idx="3">
                  <c:v>WE</c:v>
                </c:pt>
                <c:pt idx="4">
                  <c:v>TH</c:v>
                </c:pt>
                <c:pt idx="5">
                  <c:v>FR</c:v>
                </c:pt>
                <c:pt idx="6">
                  <c:v>SA</c:v>
                </c:pt>
              </c:strCache>
            </c:strRef>
          </c:cat>
          <c:val>
            <c:numRef>
              <c:f>Processing!$K$30:$Q$30</c:f>
              <c:numCache>
                <c:formatCode>General</c:formatCode>
                <c:ptCount val="7"/>
                <c:pt idx="0">
                  <c:v>1</c:v>
                </c:pt>
                <c:pt idx="1">
                  <c:v>1</c:v>
                </c:pt>
                <c:pt idx="2">
                  <c:v>1</c:v>
                </c:pt>
                <c:pt idx="3">
                  <c:v>1</c:v>
                </c:pt>
                <c:pt idx="4">
                  <c:v>1</c:v>
                </c:pt>
                <c:pt idx="5">
                  <c:v>1</c:v>
                </c:pt>
                <c:pt idx="6">
                  <c:v>0</c:v>
                </c:pt>
              </c:numCache>
            </c:numRef>
          </c:val>
          <c:extLst>
            <c:ext xmlns:c16="http://schemas.microsoft.com/office/drawing/2014/chart" uri="{C3380CC4-5D6E-409C-BE32-E72D297353CC}">
              <c16:uniqueId val="{00000005-2224-43A9-8466-980AE21581D0}"/>
            </c:ext>
          </c:extLst>
        </c:ser>
        <c:ser>
          <c:idx val="6"/>
          <c:order val="6"/>
          <c:spPr>
            <a:blipFill>
              <a:blip xmlns:r="http://schemas.openxmlformats.org/officeDocument/2006/relationships" r:embed="rId2"/>
              <a:stretch>
                <a:fillRect/>
              </a:stretch>
            </a:blipFill>
            <a:ln>
              <a:noFill/>
            </a:ln>
            <a:effectLst/>
          </c:spPr>
          <c:invertIfNegative val="0"/>
          <c:cat>
            <c:strRef>
              <c:f>Processing!$K$24:$Q$24</c:f>
              <c:strCache>
                <c:ptCount val="7"/>
                <c:pt idx="0">
                  <c:v>SU</c:v>
                </c:pt>
                <c:pt idx="1">
                  <c:v>MO</c:v>
                </c:pt>
                <c:pt idx="2">
                  <c:v>TU</c:v>
                </c:pt>
                <c:pt idx="3">
                  <c:v>WE</c:v>
                </c:pt>
                <c:pt idx="4">
                  <c:v>TH</c:v>
                </c:pt>
                <c:pt idx="5">
                  <c:v>FR</c:v>
                </c:pt>
                <c:pt idx="6">
                  <c:v>SA</c:v>
                </c:pt>
              </c:strCache>
            </c:strRef>
          </c:cat>
          <c:val>
            <c:numRef>
              <c:f>Processing!$K$31:$Q$31</c:f>
              <c:numCache>
                <c:formatCode>General</c:formatCode>
                <c:ptCount val="7"/>
                <c:pt idx="0">
                  <c:v>0</c:v>
                </c:pt>
                <c:pt idx="1">
                  <c:v>0</c:v>
                </c:pt>
                <c:pt idx="2">
                  <c:v>0</c:v>
                </c:pt>
                <c:pt idx="3">
                  <c:v>0</c:v>
                </c:pt>
                <c:pt idx="4">
                  <c:v>0</c:v>
                </c:pt>
                <c:pt idx="5">
                  <c:v>0</c:v>
                </c:pt>
                <c:pt idx="6">
                  <c:v>1</c:v>
                </c:pt>
              </c:numCache>
            </c:numRef>
          </c:val>
          <c:extLst>
            <c:ext xmlns:c16="http://schemas.microsoft.com/office/drawing/2014/chart" uri="{C3380CC4-5D6E-409C-BE32-E72D297353CC}">
              <c16:uniqueId val="{00000006-2224-43A9-8466-980AE21581D0}"/>
            </c:ext>
          </c:extLst>
        </c:ser>
        <c:ser>
          <c:idx val="7"/>
          <c:order val="7"/>
          <c:spPr>
            <a:blipFill>
              <a:blip xmlns:r="http://schemas.openxmlformats.org/officeDocument/2006/relationships" r:embed="rId3"/>
              <a:stretch>
                <a:fillRect/>
              </a:stretch>
            </a:blipFill>
            <a:ln>
              <a:noFill/>
            </a:ln>
            <a:effectLst/>
          </c:spPr>
          <c:invertIfNegative val="0"/>
          <c:cat>
            <c:strRef>
              <c:f>Processing!$K$24:$Q$24</c:f>
              <c:strCache>
                <c:ptCount val="7"/>
                <c:pt idx="0">
                  <c:v>SU</c:v>
                </c:pt>
                <c:pt idx="1">
                  <c:v>MO</c:v>
                </c:pt>
                <c:pt idx="2">
                  <c:v>TU</c:v>
                </c:pt>
                <c:pt idx="3">
                  <c:v>WE</c:v>
                </c:pt>
                <c:pt idx="4">
                  <c:v>TH</c:v>
                </c:pt>
                <c:pt idx="5">
                  <c:v>FR</c:v>
                </c:pt>
                <c:pt idx="6">
                  <c:v>SA</c:v>
                </c:pt>
              </c:strCache>
            </c:strRef>
          </c:cat>
          <c:val>
            <c:numRef>
              <c:f>Processing!$K$32:$Q$32</c:f>
              <c:numCache>
                <c:formatCode>General</c:formatCode>
                <c:ptCount val="7"/>
                <c:pt idx="0">
                  <c:v>0</c:v>
                </c:pt>
                <c:pt idx="1">
                  <c:v>0</c:v>
                </c:pt>
                <c:pt idx="2">
                  <c:v>0</c:v>
                </c:pt>
                <c:pt idx="3">
                  <c:v>0</c:v>
                </c:pt>
                <c:pt idx="4">
                  <c:v>0</c:v>
                </c:pt>
                <c:pt idx="5">
                  <c:v>0</c:v>
                </c:pt>
                <c:pt idx="6">
                  <c:v>0</c:v>
                </c:pt>
              </c:numCache>
            </c:numRef>
          </c:val>
          <c:extLst>
            <c:ext xmlns:c16="http://schemas.microsoft.com/office/drawing/2014/chart" uri="{C3380CC4-5D6E-409C-BE32-E72D297353CC}">
              <c16:uniqueId val="{00000007-2224-43A9-8466-980AE21581D0}"/>
            </c:ext>
          </c:extLst>
        </c:ser>
        <c:ser>
          <c:idx val="8"/>
          <c:order val="8"/>
          <c:spPr>
            <a:noFill/>
            <a:ln>
              <a:noFill/>
            </a:ln>
            <a:effectLst/>
          </c:spPr>
          <c:invertIfNegative val="0"/>
          <c:cat>
            <c:strRef>
              <c:f>Processing!$K$24:$Q$24</c:f>
              <c:strCache>
                <c:ptCount val="7"/>
                <c:pt idx="0">
                  <c:v>SU</c:v>
                </c:pt>
                <c:pt idx="1">
                  <c:v>MO</c:v>
                </c:pt>
                <c:pt idx="2">
                  <c:v>TU</c:v>
                </c:pt>
                <c:pt idx="3">
                  <c:v>WE</c:v>
                </c:pt>
                <c:pt idx="4">
                  <c:v>TH</c:v>
                </c:pt>
                <c:pt idx="5">
                  <c:v>FR</c:v>
                </c:pt>
                <c:pt idx="6">
                  <c:v>SA</c:v>
                </c:pt>
              </c:strCache>
            </c:strRef>
          </c:cat>
          <c:val>
            <c:numRef>
              <c:f>Processing!$K$33:$Q$33</c:f>
              <c:numCache>
                <c:formatCode>General</c:formatCode>
                <c:ptCount val="7"/>
                <c:pt idx="0">
                  <c:v>0</c:v>
                </c:pt>
                <c:pt idx="1">
                  <c:v>0</c:v>
                </c:pt>
                <c:pt idx="2">
                  <c:v>0</c:v>
                </c:pt>
                <c:pt idx="3">
                  <c:v>0</c:v>
                </c:pt>
                <c:pt idx="4">
                  <c:v>0</c:v>
                </c:pt>
                <c:pt idx="5">
                  <c:v>0</c:v>
                </c:pt>
                <c:pt idx="6">
                  <c:v>0</c:v>
                </c:pt>
              </c:numCache>
            </c:numRef>
          </c:val>
          <c:extLst>
            <c:ext xmlns:c16="http://schemas.microsoft.com/office/drawing/2014/chart" uri="{C3380CC4-5D6E-409C-BE32-E72D297353CC}">
              <c16:uniqueId val="{00000008-2224-43A9-8466-980AE21581D0}"/>
            </c:ext>
          </c:extLst>
        </c:ser>
        <c:ser>
          <c:idx val="9"/>
          <c:order val="9"/>
          <c:spPr>
            <a:blipFill>
              <a:blip xmlns:r="http://schemas.openxmlformats.org/officeDocument/2006/relationships" r:embed="rId1"/>
              <a:stretch>
                <a:fillRect/>
              </a:stretch>
            </a:blipFill>
            <a:ln>
              <a:noFill/>
            </a:ln>
            <a:effectLst/>
          </c:spPr>
          <c:invertIfNegative val="0"/>
          <c:cat>
            <c:strRef>
              <c:f>Processing!$K$24:$Q$24</c:f>
              <c:strCache>
                <c:ptCount val="7"/>
                <c:pt idx="0">
                  <c:v>SU</c:v>
                </c:pt>
                <c:pt idx="1">
                  <c:v>MO</c:v>
                </c:pt>
                <c:pt idx="2">
                  <c:v>TU</c:v>
                </c:pt>
                <c:pt idx="3">
                  <c:v>WE</c:v>
                </c:pt>
                <c:pt idx="4">
                  <c:v>TH</c:v>
                </c:pt>
                <c:pt idx="5">
                  <c:v>FR</c:v>
                </c:pt>
                <c:pt idx="6">
                  <c:v>SA</c:v>
                </c:pt>
              </c:strCache>
            </c:strRef>
          </c:cat>
          <c:val>
            <c:numRef>
              <c:f>Processing!$K$34:$Q$34</c:f>
              <c:numCache>
                <c:formatCode>General</c:formatCode>
                <c:ptCount val="7"/>
                <c:pt idx="0">
                  <c:v>0</c:v>
                </c:pt>
                <c:pt idx="1">
                  <c:v>1</c:v>
                </c:pt>
                <c:pt idx="2">
                  <c:v>0</c:v>
                </c:pt>
                <c:pt idx="3">
                  <c:v>0</c:v>
                </c:pt>
                <c:pt idx="4">
                  <c:v>0</c:v>
                </c:pt>
                <c:pt idx="5">
                  <c:v>1</c:v>
                </c:pt>
                <c:pt idx="6">
                  <c:v>1</c:v>
                </c:pt>
              </c:numCache>
            </c:numRef>
          </c:val>
          <c:extLst>
            <c:ext xmlns:c16="http://schemas.microsoft.com/office/drawing/2014/chart" uri="{C3380CC4-5D6E-409C-BE32-E72D297353CC}">
              <c16:uniqueId val="{00000009-2224-43A9-8466-980AE21581D0}"/>
            </c:ext>
          </c:extLst>
        </c:ser>
        <c:ser>
          <c:idx val="10"/>
          <c:order val="10"/>
          <c:spPr>
            <a:blipFill>
              <a:blip xmlns:r="http://schemas.openxmlformats.org/officeDocument/2006/relationships" r:embed="rId2"/>
              <a:stretch>
                <a:fillRect/>
              </a:stretch>
            </a:blipFill>
            <a:ln>
              <a:noFill/>
            </a:ln>
            <a:effectLst/>
          </c:spPr>
          <c:invertIfNegative val="0"/>
          <c:cat>
            <c:strRef>
              <c:f>Processing!$K$24:$Q$24</c:f>
              <c:strCache>
                <c:ptCount val="7"/>
                <c:pt idx="0">
                  <c:v>SU</c:v>
                </c:pt>
                <c:pt idx="1">
                  <c:v>MO</c:v>
                </c:pt>
                <c:pt idx="2">
                  <c:v>TU</c:v>
                </c:pt>
                <c:pt idx="3">
                  <c:v>WE</c:v>
                </c:pt>
                <c:pt idx="4">
                  <c:v>TH</c:v>
                </c:pt>
                <c:pt idx="5">
                  <c:v>FR</c:v>
                </c:pt>
                <c:pt idx="6">
                  <c:v>SA</c:v>
                </c:pt>
              </c:strCache>
            </c:strRef>
          </c:cat>
          <c:val>
            <c:numRef>
              <c:f>Processing!$K$35:$Q$35</c:f>
              <c:numCache>
                <c:formatCode>General</c:formatCode>
                <c:ptCount val="7"/>
                <c:pt idx="0">
                  <c:v>1</c:v>
                </c:pt>
                <c:pt idx="1">
                  <c:v>0</c:v>
                </c:pt>
                <c:pt idx="2">
                  <c:v>1</c:v>
                </c:pt>
                <c:pt idx="3">
                  <c:v>1</c:v>
                </c:pt>
                <c:pt idx="4">
                  <c:v>1</c:v>
                </c:pt>
                <c:pt idx="5">
                  <c:v>0</c:v>
                </c:pt>
                <c:pt idx="6">
                  <c:v>0</c:v>
                </c:pt>
              </c:numCache>
            </c:numRef>
          </c:val>
          <c:extLst>
            <c:ext xmlns:c16="http://schemas.microsoft.com/office/drawing/2014/chart" uri="{C3380CC4-5D6E-409C-BE32-E72D297353CC}">
              <c16:uniqueId val="{0000000A-2224-43A9-8466-980AE21581D0}"/>
            </c:ext>
          </c:extLst>
        </c:ser>
        <c:ser>
          <c:idx val="11"/>
          <c:order val="11"/>
          <c:spPr>
            <a:blipFill>
              <a:blip xmlns:r="http://schemas.openxmlformats.org/officeDocument/2006/relationships" r:embed="rId3"/>
              <a:stretch>
                <a:fillRect/>
              </a:stretch>
            </a:blipFill>
            <a:ln>
              <a:noFill/>
            </a:ln>
            <a:effectLst/>
          </c:spPr>
          <c:invertIfNegative val="0"/>
          <c:cat>
            <c:strRef>
              <c:f>Processing!$K$24:$Q$24</c:f>
              <c:strCache>
                <c:ptCount val="7"/>
                <c:pt idx="0">
                  <c:v>SU</c:v>
                </c:pt>
                <c:pt idx="1">
                  <c:v>MO</c:v>
                </c:pt>
                <c:pt idx="2">
                  <c:v>TU</c:v>
                </c:pt>
                <c:pt idx="3">
                  <c:v>WE</c:v>
                </c:pt>
                <c:pt idx="4">
                  <c:v>TH</c:v>
                </c:pt>
                <c:pt idx="5">
                  <c:v>FR</c:v>
                </c:pt>
                <c:pt idx="6">
                  <c:v>SA</c:v>
                </c:pt>
              </c:strCache>
            </c:strRef>
          </c:cat>
          <c:val>
            <c:numRef>
              <c:f>Processing!$K$36:$Q$36</c:f>
              <c:numCache>
                <c:formatCode>General</c:formatCode>
                <c:ptCount val="7"/>
                <c:pt idx="0">
                  <c:v>0</c:v>
                </c:pt>
                <c:pt idx="1">
                  <c:v>0</c:v>
                </c:pt>
                <c:pt idx="2">
                  <c:v>0</c:v>
                </c:pt>
                <c:pt idx="3">
                  <c:v>0</c:v>
                </c:pt>
                <c:pt idx="4">
                  <c:v>0</c:v>
                </c:pt>
                <c:pt idx="5">
                  <c:v>0</c:v>
                </c:pt>
                <c:pt idx="6">
                  <c:v>0</c:v>
                </c:pt>
              </c:numCache>
            </c:numRef>
          </c:val>
          <c:extLst>
            <c:ext xmlns:c16="http://schemas.microsoft.com/office/drawing/2014/chart" uri="{C3380CC4-5D6E-409C-BE32-E72D297353CC}">
              <c16:uniqueId val="{0000000B-2224-43A9-8466-980AE21581D0}"/>
            </c:ext>
          </c:extLst>
        </c:ser>
        <c:ser>
          <c:idx val="12"/>
          <c:order val="12"/>
          <c:spPr>
            <a:noFill/>
            <a:ln>
              <a:noFill/>
            </a:ln>
            <a:effectLst/>
          </c:spPr>
          <c:invertIfNegative val="0"/>
          <c:cat>
            <c:strRef>
              <c:f>Processing!$K$24:$Q$24</c:f>
              <c:strCache>
                <c:ptCount val="7"/>
                <c:pt idx="0">
                  <c:v>SU</c:v>
                </c:pt>
                <c:pt idx="1">
                  <c:v>MO</c:v>
                </c:pt>
                <c:pt idx="2">
                  <c:v>TU</c:v>
                </c:pt>
                <c:pt idx="3">
                  <c:v>WE</c:v>
                </c:pt>
                <c:pt idx="4">
                  <c:v>TH</c:v>
                </c:pt>
                <c:pt idx="5">
                  <c:v>FR</c:v>
                </c:pt>
                <c:pt idx="6">
                  <c:v>SA</c:v>
                </c:pt>
              </c:strCache>
            </c:strRef>
          </c:cat>
          <c:val>
            <c:numRef>
              <c:f>Processing!$K$37:$Q$37</c:f>
              <c:numCache>
                <c:formatCode>General</c:formatCode>
                <c:ptCount val="7"/>
                <c:pt idx="0">
                  <c:v>0</c:v>
                </c:pt>
                <c:pt idx="1">
                  <c:v>0</c:v>
                </c:pt>
                <c:pt idx="2">
                  <c:v>0</c:v>
                </c:pt>
                <c:pt idx="3">
                  <c:v>0</c:v>
                </c:pt>
                <c:pt idx="4">
                  <c:v>0</c:v>
                </c:pt>
                <c:pt idx="5">
                  <c:v>0</c:v>
                </c:pt>
                <c:pt idx="6">
                  <c:v>0</c:v>
                </c:pt>
              </c:numCache>
            </c:numRef>
          </c:val>
          <c:extLst>
            <c:ext xmlns:c16="http://schemas.microsoft.com/office/drawing/2014/chart" uri="{C3380CC4-5D6E-409C-BE32-E72D297353CC}">
              <c16:uniqueId val="{0000000C-2224-43A9-8466-980AE21581D0}"/>
            </c:ext>
          </c:extLst>
        </c:ser>
        <c:ser>
          <c:idx val="13"/>
          <c:order val="13"/>
          <c:spPr>
            <a:blipFill>
              <a:blip xmlns:r="http://schemas.openxmlformats.org/officeDocument/2006/relationships" r:embed="rId1"/>
              <a:stretch>
                <a:fillRect/>
              </a:stretch>
            </a:blipFill>
            <a:ln>
              <a:noFill/>
            </a:ln>
            <a:effectLst/>
          </c:spPr>
          <c:invertIfNegative val="0"/>
          <c:cat>
            <c:strRef>
              <c:f>Processing!$K$24:$Q$24</c:f>
              <c:strCache>
                <c:ptCount val="7"/>
                <c:pt idx="0">
                  <c:v>SU</c:v>
                </c:pt>
                <c:pt idx="1">
                  <c:v>MO</c:v>
                </c:pt>
                <c:pt idx="2">
                  <c:v>TU</c:v>
                </c:pt>
                <c:pt idx="3">
                  <c:v>WE</c:v>
                </c:pt>
                <c:pt idx="4">
                  <c:v>TH</c:v>
                </c:pt>
                <c:pt idx="5">
                  <c:v>FR</c:v>
                </c:pt>
                <c:pt idx="6">
                  <c:v>SA</c:v>
                </c:pt>
              </c:strCache>
            </c:strRef>
          </c:cat>
          <c:val>
            <c:numRef>
              <c:f>Processing!$K$38:$Q$38</c:f>
              <c:numCache>
                <c:formatCode>General</c:formatCode>
                <c:ptCount val="7"/>
                <c:pt idx="0">
                  <c:v>0</c:v>
                </c:pt>
                <c:pt idx="1">
                  <c:v>0</c:v>
                </c:pt>
                <c:pt idx="2">
                  <c:v>0</c:v>
                </c:pt>
                <c:pt idx="3">
                  <c:v>1</c:v>
                </c:pt>
                <c:pt idx="4">
                  <c:v>0</c:v>
                </c:pt>
                <c:pt idx="5">
                  <c:v>0</c:v>
                </c:pt>
                <c:pt idx="6">
                  <c:v>0</c:v>
                </c:pt>
              </c:numCache>
            </c:numRef>
          </c:val>
          <c:extLst>
            <c:ext xmlns:c16="http://schemas.microsoft.com/office/drawing/2014/chart" uri="{C3380CC4-5D6E-409C-BE32-E72D297353CC}">
              <c16:uniqueId val="{0000000D-2224-43A9-8466-980AE21581D0}"/>
            </c:ext>
          </c:extLst>
        </c:ser>
        <c:ser>
          <c:idx val="14"/>
          <c:order val="14"/>
          <c:spPr>
            <a:blipFill>
              <a:blip xmlns:r="http://schemas.openxmlformats.org/officeDocument/2006/relationships" r:embed="rId2"/>
              <a:stretch>
                <a:fillRect/>
              </a:stretch>
            </a:blipFill>
            <a:ln>
              <a:noFill/>
            </a:ln>
            <a:effectLst/>
          </c:spPr>
          <c:invertIfNegative val="0"/>
          <c:cat>
            <c:strRef>
              <c:f>Processing!$K$24:$Q$24</c:f>
              <c:strCache>
                <c:ptCount val="7"/>
                <c:pt idx="0">
                  <c:v>SU</c:v>
                </c:pt>
                <c:pt idx="1">
                  <c:v>MO</c:v>
                </c:pt>
                <c:pt idx="2">
                  <c:v>TU</c:v>
                </c:pt>
                <c:pt idx="3">
                  <c:v>WE</c:v>
                </c:pt>
                <c:pt idx="4">
                  <c:v>TH</c:v>
                </c:pt>
                <c:pt idx="5">
                  <c:v>FR</c:v>
                </c:pt>
                <c:pt idx="6">
                  <c:v>SA</c:v>
                </c:pt>
              </c:strCache>
            </c:strRef>
          </c:cat>
          <c:val>
            <c:numRef>
              <c:f>Processing!$K$39:$Q$39</c:f>
              <c:numCache>
                <c:formatCode>General</c:formatCode>
                <c:ptCount val="7"/>
                <c:pt idx="0">
                  <c:v>1</c:v>
                </c:pt>
                <c:pt idx="1">
                  <c:v>1</c:v>
                </c:pt>
                <c:pt idx="2">
                  <c:v>1</c:v>
                </c:pt>
                <c:pt idx="3">
                  <c:v>0</c:v>
                </c:pt>
                <c:pt idx="4">
                  <c:v>0</c:v>
                </c:pt>
                <c:pt idx="5">
                  <c:v>1</c:v>
                </c:pt>
                <c:pt idx="6">
                  <c:v>1</c:v>
                </c:pt>
              </c:numCache>
            </c:numRef>
          </c:val>
          <c:extLst>
            <c:ext xmlns:c16="http://schemas.microsoft.com/office/drawing/2014/chart" uri="{C3380CC4-5D6E-409C-BE32-E72D297353CC}">
              <c16:uniqueId val="{0000000E-2224-43A9-8466-980AE21581D0}"/>
            </c:ext>
          </c:extLst>
        </c:ser>
        <c:ser>
          <c:idx val="15"/>
          <c:order val="15"/>
          <c:spPr>
            <a:blipFill>
              <a:blip xmlns:r="http://schemas.openxmlformats.org/officeDocument/2006/relationships" r:embed="rId3"/>
              <a:stretch>
                <a:fillRect/>
              </a:stretch>
            </a:blipFill>
            <a:ln>
              <a:noFill/>
            </a:ln>
            <a:effectLst/>
          </c:spPr>
          <c:invertIfNegative val="0"/>
          <c:cat>
            <c:strRef>
              <c:f>Processing!$K$24:$Q$24</c:f>
              <c:strCache>
                <c:ptCount val="7"/>
                <c:pt idx="0">
                  <c:v>SU</c:v>
                </c:pt>
                <c:pt idx="1">
                  <c:v>MO</c:v>
                </c:pt>
                <c:pt idx="2">
                  <c:v>TU</c:v>
                </c:pt>
                <c:pt idx="3">
                  <c:v>WE</c:v>
                </c:pt>
                <c:pt idx="4">
                  <c:v>TH</c:v>
                </c:pt>
                <c:pt idx="5">
                  <c:v>FR</c:v>
                </c:pt>
                <c:pt idx="6">
                  <c:v>SA</c:v>
                </c:pt>
              </c:strCache>
            </c:strRef>
          </c:cat>
          <c:val>
            <c:numRef>
              <c:f>Processing!$K$40:$Q$40</c:f>
              <c:numCache>
                <c:formatCode>General</c:formatCode>
                <c:ptCount val="7"/>
                <c:pt idx="0">
                  <c:v>0</c:v>
                </c:pt>
                <c:pt idx="1">
                  <c:v>0</c:v>
                </c:pt>
                <c:pt idx="2">
                  <c:v>0</c:v>
                </c:pt>
                <c:pt idx="3">
                  <c:v>0</c:v>
                </c:pt>
                <c:pt idx="4">
                  <c:v>1</c:v>
                </c:pt>
                <c:pt idx="5">
                  <c:v>0</c:v>
                </c:pt>
                <c:pt idx="6">
                  <c:v>0</c:v>
                </c:pt>
              </c:numCache>
            </c:numRef>
          </c:val>
          <c:extLst>
            <c:ext xmlns:c16="http://schemas.microsoft.com/office/drawing/2014/chart" uri="{C3380CC4-5D6E-409C-BE32-E72D297353CC}">
              <c16:uniqueId val="{0000000F-2224-43A9-8466-980AE21581D0}"/>
            </c:ext>
          </c:extLst>
        </c:ser>
        <c:ser>
          <c:idx val="16"/>
          <c:order val="16"/>
          <c:spPr>
            <a:noFill/>
            <a:ln>
              <a:noFill/>
            </a:ln>
            <a:effectLst/>
          </c:spPr>
          <c:invertIfNegative val="0"/>
          <c:cat>
            <c:strRef>
              <c:f>Processing!$K$24:$Q$24</c:f>
              <c:strCache>
                <c:ptCount val="7"/>
                <c:pt idx="0">
                  <c:v>SU</c:v>
                </c:pt>
                <c:pt idx="1">
                  <c:v>MO</c:v>
                </c:pt>
                <c:pt idx="2">
                  <c:v>TU</c:v>
                </c:pt>
                <c:pt idx="3">
                  <c:v>WE</c:v>
                </c:pt>
                <c:pt idx="4">
                  <c:v>TH</c:v>
                </c:pt>
                <c:pt idx="5">
                  <c:v>FR</c:v>
                </c:pt>
                <c:pt idx="6">
                  <c:v>SA</c:v>
                </c:pt>
              </c:strCache>
            </c:strRef>
          </c:cat>
          <c:val>
            <c:numRef>
              <c:f>Processing!$K$41:$Q$41</c:f>
              <c:numCache>
                <c:formatCode>General</c:formatCode>
                <c:ptCount val="7"/>
                <c:pt idx="0">
                  <c:v>0</c:v>
                </c:pt>
                <c:pt idx="1">
                  <c:v>0</c:v>
                </c:pt>
                <c:pt idx="2">
                  <c:v>0</c:v>
                </c:pt>
                <c:pt idx="3">
                  <c:v>0</c:v>
                </c:pt>
                <c:pt idx="4">
                  <c:v>0</c:v>
                </c:pt>
                <c:pt idx="5">
                  <c:v>0</c:v>
                </c:pt>
                <c:pt idx="6">
                  <c:v>1</c:v>
                </c:pt>
              </c:numCache>
            </c:numRef>
          </c:val>
          <c:extLst>
            <c:ext xmlns:c16="http://schemas.microsoft.com/office/drawing/2014/chart" uri="{C3380CC4-5D6E-409C-BE32-E72D297353CC}">
              <c16:uniqueId val="{00000010-2224-43A9-8466-980AE21581D0}"/>
            </c:ext>
          </c:extLst>
        </c:ser>
        <c:ser>
          <c:idx val="17"/>
          <c:order val="17"/>
          <c:spPr>
            <a:blipFill>
              <a:blip xmlns:r="http://schemas.openxmlformats.org/officeDocument/2006/relationships" r:embed="rId1"/>
              <a:stretch>
                <a:fillRect/>
              </a:stretch>
            </a:blipFill>
            <a:ln>
              <a:noFill/>
            </a:ln>
            <a:effectLst/>
          </c:spPr>
          <c:invertIfNegative val="0"/>
          <c:cat>
            <c:strRef>
              <c:f>Processing!$K$24:$Q$24</c:f>
              <c:strCache>
                <c:ptCount val="7"/>
                <c:pt idx="0">
                  <c:v>SU</c:v>
                </c:pt>
                <c:pt idx="1">
                  <c:v>MO</c:v>
                </c:pt>
                <c:pt idx="2">
                  <c:v>TU</c:v>
                </c:pt>
                <c:pt idx="3">
                  <c:v>WE</c:v>
                </c:pt>
                <c:pt idx="4">
                  <c:v>TH</c:v>
                </c:pt>
                <c:pt idx="5">
                  <c:v>FR</c:v>
                </c:pt>
                <c:pt idx="6">
                  <c:v>SA</c:v>
                </c:pt>
              </c:strCache>
            </c:strRef>
          </c:cat>
          <c:val>
            <c:numRef>
              <c:f>Processing!$K$42:$Q$42</c:f>
              <c:numCache>
                <c:formatCode>General</c:formatCode>
                <c:ptCount val="7"/>
                <c:pt idx="0">
                  <c:v>1</c:v>
                </c:pt>
                <c:pt idx="1">
                  <c:v>0</c:v>
                </c:pt>
                <c:pt idx="2">
                  <c:v>1</c:v>
                </c:pt>
                <c:pt idx="3">
                  <c:v>1</c:v>
                </c:pt>
                <c:pt idx="4">
                  <c:v>1</c:v>
                </c:pt>
                <c:pt idx="5">
                  <c:v>1</c:v>
                </c:pt>
                <c:pt idx="6">
                  <c:v>0</c:v>
                </c:pt>
              </c:numCache>
            </c:numRef>
          </c:val>
          <c:extLst>
            <c:ext xmlns:c16="http://schemas.microsoft.com/office/drawing/2014/chart" uri="{C3380CC4-5D6E-409C-BE32-E72D297353CC}">
              <c16:uniqueId val="{00000011-2224-43A9-8466-980AE21581D0}"/>
            </c:ext>
          </c:extLst>
        </c:ser>
        <c:ser>
          <c:idx val="18"/>
          <c:order val="18"/>
          <c:spPr>
            <a:blipFill>
              <a:blip xmlns:r="http://schemas.openxmlformats.org/officeDocument/2006/relationships" r:embed="rId2"/>
              <a:stretch>
                <a:fillRect/>
              </a:stretch>
            </a:blipFill>
            <a:ln>
              <a:noFill/>
            </a:ln>
            <a:effectLst/>
          </c:spPr>
          <c:invertIfNegative val="0"/>
          <c:cat>
            <c:strRef>
              <c:f>Processing!$K$24:$Q$24</c:f>
              <c:strCache>
                <c:ptCount val="7"/>
                <c:pt idx="0">
                  <c:v>SU</c:v>
                </c:pt>
                <c:pt idx="1">
                  <c:v>MO</c:v>
                </c:pt>
                <c:pt idx="2">
                  <c:v>TU</c:v>
                </c:pt>
                <c:pt idx="3">
                  <c:v>WE</c:v>
                </c:pt>
                <c:pt idx="4">
                  <c:v>TH</c:v>
                </c:pt>
                <c:pt idx="5">
                  <c:v>FR</c:v>
                </c:pt>
                <c:pt idx="6">
                  <c:v>SA</c:v>
                </c:pt>
              </c:strCache>
            </c:strRef>
          </c:cat>
          <c:val>
            <c:numRef>
              <c:f>Processing!$K$43:$Q$43</c:f>
              <c:numCache>
                <c:formatCode>General</c:formatCode>
                <c:ptCount val="7"/>
                <c:pt idx="0">
                  <c:v>0</c:v>
                </c:pt>
                <c:pt idx="1">
                  <c:v>0</c:v>
                </c:pt>
                <c:pt idx="2">
                  <c:v>0</c:v>
                </c:pt>
                <c:pt idx="3">
                  <c:v>0</c:v>
                </c:pt>
                <c:pt idx="4">
                  <c:v>0</c:v>
                </c:pt>
                <c:pt idx="5">
                  <c:v>0</c:v>
                </c:pt>
                <c:pt idx="6">
                  <c:v>0</c:v>
                </c:pt>
              </c:numCache>
            </c:numRef>
          </c:val>
          <c:extLst>
            <c:ext xmlns:c16="http://schemas.microsoft.com/office/drawing/2014/chart" uri="{C3380CC4-5D6E-409C-BE32-E72D297353CC}">
              <c16:uniqueId val="{00000012-2224-43A9-8466-980AE21581D0}"/>
            </c:ext>
          </c:extLst>
        </c:ser>
        <c:ser>
          <c:idx val="19"/>
          <c:order val="19"/>
          <c:spPr>
            <a:blipFill>
              <a:blip xmlns:r="http://schemas.openxmlformats.org/officeDocument/2006/relationships" r:embed="rId3"/>
              <a:stretch>
                <a:fillRect/>
              </a:stretch>
            </a:blipFill>
            <a:ln>
              <a:noFill/>
            </a:ln>
            <a:effectLst/>
          </c:spPr>
          <c:invertIfNegative val="0"/>
          <c:cat>
            <c:strRef>
              <c:f>Processing!$K$24:$Q$24</c:f>
              <c:strCache>
                <c:ptCount val="7"/>
                <c:pt idx="0">
                  <c:v>SU</c:v>
                </c:pt>
                <c:pt idx="1">
                  <c:v>MO</c:v>
                </c:pt>
                <c:pt idx="2">
                  <c:v>TU</c:v>
                </c:pt>
                <c:pt idx="3">
                  <c:v>WE</c:v>
                </c:pt>
                <c:pt idx="4">
                  <c:v>TH</c:v>
                </c:pt>
                <c:pt idx="5">
                  <c:v>FR</c:v>
                </c:pt>
                <c:pt idx="6">
                  <c:v>SA</c:v>
                </c:pt>
              </c:strCache>
            </c:strRef>
          </c:cat>
          <c:val>
            <c:numRef>
              <c:f>Processing!$K$44:$Q$44</c:f>
              <c:numCache>
                <c:formatCode>General</c:formatCode>
                <c:ptCount val="7"/>
                <c:pt idx="0">
                  <c:v>0</c:v>
                </c:pt>
                <c:pt idx="1">
                  <c:v>1</c:v>
                </c:pt>
                <c:pt idx="2">
                  <c:v>0</c:v>
                </c:pt>
                <c:pt idx="3">
                  <c:v>0</c:v>
                </c:pt>
                <c:pt idx="4">
                  <c:v>0</c:v>
                </c:pt>
                <c:pt idx="5">
                  <c:v>0</c:v>
                </c:pt>
                <c:pt idx="6">
                  <c:v>0</c:v>
                </c:pt>
              </c:numCache>
            </c:numRef>
          </c:val>
          <c:extLst>
            <c:ext xmlns:c16="http://schemas.microsoft.com/office/drawing/2014/chart" uri="{C3380CC4-5D6E-409C-BE32-E72D297353CC}">
              <c16:uniqueId val="{00000013-2224-43A9-8466-980AE21581D0}"/>
            </c:ext>
          </c:extLst>
        </c:ser>
        <c:ser>
          <c:idx val="20"/>
          <c:order val="20"/>
          <c:spPr>
            <a:noFill/>
            <a:ln>
              <a:noFill/>
            </a:ln>
            <a:effectLst/>
          </c:spPr>
          <c:invertIfNegative val="0"/>
          <c:cat>
            <c:strRef>
              <c:f>Processing!$K$24:$Q$24</c:f>
              <c:strCache>
                <c:ptCount val="7"/>
                <c:pt idx="0">
                  <c:v>SU</c:v>
                </c:pt>
                <c:pt idx="1">
                  <c:v>MO</c:v>
                </c:pt>
                <c:pt idx="2">
                  <c:v>TU</c:v>
                </c:pt>
                <c:pt idx="3">
                  <c:v>WE</c:v>
                </c:pt>
                <c:pt idx="4">
                  <c:v>TH</c:v>
                </c:pt>
                <c:pt idx="5">
                  <c:v>FR</c:v>
                </c:pt>
                <c:pt idx="6">
                  <c:v>SA</c:v>
                </c:pt>
              </c:strCache>
            </c:strRef>
          </c:cat>
          <c:val>
            <c:numRef>
              <c:f>Processing!$K$45:$Q$45</c:f>
              <c:numCache>
                <c:formatCode>General</c:formatCode>
                <c:ptCount val="7"/>
                <c:pt idx="0">
                  <c:v>1</c:v>
                </c:pt>
                <c:pt idx="1">
                  <c:v>1</c:v>
                </c:pt>
                <c:pt idx="2">
                  <c:v>1</c:v>
                </c:pt>
                <c:pt idx="3">
                  <c:v>1</c:v>
                </c:pt>
                <c:pt idx="4">
                  <c:v>1</c:v>
                </c:pt>
                <c:pt idx="5">
                  <c:v>1</c:v>
                </c:pt>
                <c:pt idx="6">
                  <c:v>1</c:v>
                </c:pt>
              </c:numCache>
            </c:numRef>
          </c:val>
          <c:extLst>
            <c:ext xmlns:c16="http://schemas.microsoft.com/office/drawing/2014/chart" uri="{C3380CC4-5D6E-409C-BE32-E72D297353CC}">
              <c16:uniqueId val="{00000014-2224-43A9-8466-980AE21581D0}"/>
            </c:ext>
          </c:extLst>
        </c:ser>
        <c:ser>
          <c:idx val="21"/>
          <c:order val="21"/>
          <c:spPr>
            <a:blipFill>
              <a:blip xmlns:r="http://schemas.openxmlformats.org/officeDocument/2006/relationships" r:embed="rId1"/>
              <a:stretch>
                <a:fillRect/>
              </a:stretch>
            </a:blipFill>
            <a:ln>
              <a:noFill/>
            </a:ln>
            <a:effectLst/>
          </c:spPr>
          <c:invertIfNegative val="0"/>
          <c:cat>
            <c:strRef>
              <c:f>Processing!$K$24:$Q$24</c:f>
              <c:strCache>
                <c:ptCount val="7"/>
                <c:pt idx="0">
                  <c:v>SU</c:v>
                </c:pt>
                <c:pt idx="1">
                  <c:v>MO</c:v>
                </c:pt>
                <c:pt idx="2">
                  <c:v>TU</c:v>
                </c:pt>
                <c:pt idx="3">
                  <c:v>WE</c:v>
                </c:pt>
                <c:pt idx="4">
                  <c:v>TH</c:v>
                </c:pt>
                <c:pt idx="5">
                  <c:v>FR</c:v>
                </c:pt>
                <c:pt idx="6">
                  <c:v>SA</c:v>
                </c:pt>
              </c:strCache>
            </c:strRef>
          </c:cat>
          <c:val>
            <c:numRef>
              <c:f>Processing!$K$46:$Q$46</c:f>
              <c:numCache>
                <c:formatCode>General</c:formatCode>
                <c:ptCount val="7"/>
                <c:pt idx="0">
                  <c:v>0</c:v>
                </c:pt>
                <c:pt idx="1">
                  <c:v>0</c:v>
                </c:pt>
                <c:pt idx="2">
                  <c:v>0</c:v>
                </c:pt>
                <c:pt idx="3">
                  <c:v>0</c:v>
                </c:pt>
                <c:pt idx="4">
                  <c:v>0</c:v>
                </c:pt>
                <c:pt idx="5">
                  <c:v>0</c:v>
                </c:pt>
                <c:pt idx="6">
                  <c:v>0</c:v>
                </c:pt>
              </c:numCache>
            </c:numRef>
          </c:val>
          <c:extLst>
            <c:ext xmlns:c16="http://schemas.microsoft.com/office/drawing/2014/chart" uri="{C3380CC4-5D6E-409C-BE32-E72D297353CC}">
              <c16:uniqueId val="{00000015-2224-43A9-8466-980AE21581D0}"/>
            </c:ext>
          </c:extLst>
        </c:ser>
        <c:ser>
          <c:idx val="22"/>
          <c:order val="22"/>
          <c:spPr>
            <a:blipFill>
              <a:blip xmlns:r="http://schemas.openxmlformats.org/officeDocument/2006/relationships" r:embed="rId2"/>
              <a:stretch>
                <a:fillRect/>
              </a:stretch>
            </a:blipFill>
            <a:ln>
              <a:noFill/>
            </a:ln>
            <a:effectLst/>
          </c:spPr>
          <c:invertIfNegative val="0"/>
          <c:cat>
            <c:strRef>
              <c:f>Processing!$K$24:$Q$24</c:f>
              <c:strCache>
                <c:ptCount val="7"/>
                <c:pt idx="0">
                  <c:v>SU</c:v>
                </c:pt>
                <c:pt idx="1">
                  <c:v>MO</c:v>
                </c:pt>
                <c:pt idx="2">
                  <c:v>TU</c:v>
                </c:pt>
                <c:pt idx="3">
                  <c:v>WE</c:v>
                </c:pt>
                <c:pt idx="4">
                  <c:v>TH</c:v>
                </c:pt>
                <c:pt idx="5">
                  <c:v>FR</c:v>
                </c:pt>
                <c:pt idx="6">
                  <c:v>SA</c:v>
                </c:pt>
              </c:strCache>
            </c:strRef>
          </c:cat>
          <c:val>
            <c:numRef>
              <c:f>Processing!$K$47:$Q$47</c:f>
              <c:numCache>
                <c:formatCode>General</c:formatCode>
                <c:ptCount val="7"/>
                <c:pt idx="0">
                  <c:v>0</c:v>
                </c:pt>
                <c:pt idx="1">
                  <c:v>0</c:v>
                </c:pt>
                <c:pt idx="2">
                  <c:v>0</c:v>
                </c:pt>
                <c:pt idx="3">
                  <c:v>0</c:v>
                </c:pt>
                <c:pt idx="4">
                  <c:v>0</c:v>
                </c:pt>
                <c:pt idx="5">
                  <c:v>0</c:v>
                </c:pt>
                <c:pt idx="6">
                  <c:v>0</c:v>
                </c:pt>
              </c:numCache>
            </c:numRef>
          </c:val>
          <c:extLst>
            <c:ext xmlns:c16="http://schemas.microsoft.com/office/drawing/2014/chart" uri="{C3380CC4-5D6E-409C-BE32-E72D297353CC}">
              <c16:uniqueId val="{00000016-2224-43A9-8466-980AE21581D0}"/>
            </c:ext>
          </c:extLst>
        </c:ser>
        <c:ser>
          <c:idx val="23"/>
          <c:order val="23"/>
          <c:spPr>
            <a:blipFill>
              <a:blip xmlns:r="http://schemas.openxmlformats.org/officeDocument/2006/relationships" r:embed="rId3"/>
              <a:stretch>
                <a:fillRect/>
              </a:stretch>
            </a:blipFill>
            <a:ln>
              <a:noFill/>
            </a:ln>
            <a:effectLst/>
          </c:spPr>
          <c:invertIfNegative val="0"/>
          <c:cat>
            <c:strRef>
              <c:f>Processing!$K$24:$Q$24</c:f>
              <c:strCache>
                <c:ptCount val="7"/>
                <c:pt idx="0">
                  <c:v>SU</c:v>
                </c:pt>
                <c:pt idx="1">
                  <c:v>MO</c:v>
                </c:pt>
                <c:pt idx="2">
                  <c:v>TU</c:v>
                </c:pt>
                <c:pt idx="3">
                  <c:v>WE</c:v>
                </c:pt>
                <c:pt idx="4">
                  <c:v>TH</c:v>
                </c:pt>
                <c:pt idx="5">
                  <c:v>FR</c:v>
                </c:pt>
                <c:pt idx="6">
                  <c:v>SA</c:v>
                </c:pt>
              </c:strCache>
            </c:strRef>
          </c:cat>
          <c:val>
            <c:numRef>
              <c:f>Processing!$K$48:$Q$48</c:f>
              <c:numCache>
                <c:formatCode>General</c:formatCode>
                <c:ptCount val="7"/>
                <c:pt idx="0">
                  <c:v>0</c:v>
                </c:pt>
                <c:pt idx="1">
                  <c:v>0</c:v>
                </c:pt>
                <c:pt idx="2">
                  <c:v>0</c:v>
                </c:pt>
                <c:pt idx="3">
                  <c:v>0</c:v>
                </c:pt>
                <c:pt idx="4">
                  <c:v>0</c:v>
                </c:pt>
                <c:pt idx="5">
                  <c:v>0</c:v>
                </c:pt>
                <c:pt idx="6">
                  <c:v>0</c:v>
                </c:pt>
              </c:numCache>
            </c:numRef>
          </c:val>
          <c:extLst>
            <c:ext xmlns:c16="http://schemas.microsoft.com/office/drawing/2014/chart" uri="{C3380CC4-5D6E-409C-BE32-E72D297353CC}">
              <c16:uniqueId val="{00000017-2224-43A9-8466-980AE21581D0}"/>
            </c:ext>
          </c:extLst>
        </c:ser>
        <c:dLbls>
          <c:showLegendKey val="0"/>
          <c:showVal val="0"/>
          <c:showCatName val="0"/>
          <c:showSerName val="0"/>
          <c:showPercent val="0"/>
          <c:showBubbleSize val="0"/>
        </c:dLbls>
        <c:gapWidth val="0"/>
        <c:overlap val="100"/>
        <c:axId val="811298159"/>
        <c:axId val="811278479"/>
      </c:barChart>
      <c:catAx>
        <c:axId val="811298159"/>
        <c:scaling>
          <c:orientation val="minMax"/>
        </c:scaling>
        <c:delete val="1"/>
        <c:axPos val="t"/>
        <c:numFmt formatCode="General" sourceLinked="1"/>
        <c:majorTickMark val="out"/>
        <c:minorTickMark val="none"/>
        <c:tickLblPos val="nextTo"/>
        <c:crossAx val="811278479"/>
        <c:crosses val="autoZero"/>
        <c:auto val="1"/>
        <c:lblAlgn val="ctr"/>
        <c:lblOffset val="100"/>
        <c:noMultiLvlLbl val="0"/>
      </c:catAx>
      <c:valAx>
        <c:axId val="811278479"/>
        <c:scaling>
          <c:orientation val="maxMin"/>
        </c:scaling>
        <c:delete val="1"/>
        <c:axPos val="l"/>
        <c:numFmt formatCode="General" sourceLinked="1"/>
        <c:majorTickMark val="out"/>
        <c:minorTickMark val="none"/>
        <c:tickLblPos val="nextTo"/>
        <c:crossAx val="811298159"/>
        <c:crosses val="autoZero"/>
        <c:crossBetween val="between"/>
      </c:valAx>
      <c:spPr>
        <a:noFill/>
      </c:spPr>
    </c:plotArea>
    <c:plotVisOnly val="1"/>
    <c:dispBlanksAs val="gap"/>
    <c:showDLblsOverMax val="0"/>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Processing!$B$17</c:f>
              <c:strCache>
                <c:ptCount val="1"/>
                <c:pt idx="0">
                  <c:v>indent</c:v>
                </c:pt>
              </c:strCache>
            </c:strRef>
          </c:tx>
          <c:spPr>
            <a:noFill/>
            <a:ln>
              <a:noFill/>
            </a:ln>
            <a:effectLst/>
          </c:spPr>
          <c:invertIfNegative val="0"/>
          <c:cat>
            <c:strRef>
              <c:f>Processing!$A$18:$A$29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Processing!$B$18:$B$29</c:f>
              <c:numCache>
                <c:formatCode>General</c:formatCode>
                <c:ptCount val="12"/>
                <c:pt idx="0">
                  <c:v>242.05</c:v>
                </c:pt>
                <c:pt idx="1">
                  <c:v>242.05</c:v>
                </c:pt>
                <c:pt idx="2">
                  <c:v>242.05</c:v>
                </c:pt>
                <c:pt idx="3">
                  <c:v>242.05</c:v>
                </c:pt>
                <c:pt idx="4">
                  <c:v>242.05</c:v>
                </c:pt>
                <c:pt idx="5">
                  <c:v>242.05</c:v>
                </c:pt>
                <c:pt idx="6">
                  <c:v>242.05</c:v>
                </c:pt>
                <c:pt idx="7">
                  <c:v>242.05</c:v>
                </c:pt>
                <c:pt idx="8">
                  <c:v>242.05</c:v>
                </c:pt>
                <c:pt idx="9">
                  <c:v>242.05</c:v>
                </c:pt>
                <c:pt idx="10">
                  <c:v>242.05</c:v>
                </c:pt>
                <c:pt idx="11">
                  <c:v>242.05</c:v>
                </c:pt>
              </c:numCache>
            </c:numRef>
          </c:val>
          <c:extLst>
            <c:ext xmlns:c16="http://schemas.microsoft.com/office/drawing/2014/chart" uri="{C3380CC4-5D6E-409C-BE32-E72D297353CC}">
              <c16:uniqueId val="{00000000-8CEB-48FE-879D-85227A43A519}"/>
            </c:ext>
          </c:extLst>
        </c:ser>
        <c:ser>
          <c:idx val="1"/>
          <c:order val="1"/>
          <c:tx>
            <c:strRef>
              <c:f>Processing!$C$17</c:f>
              <c:strCache>
                <c:ptCount val="1"/>
                <c:pt idx="0">
                  <c:v>Income</c:v>
                </c:pt>
              </c:strCache>
            </c:strRef>
          </c:tx>
          <c:spPr>
            <a:solidFill>
              <a:schemeClr val="accent2"/>
            </a:solidFill>
            <a:ln w="101600">
              <a:gradFill>
                <a:gsLst>
                  <a:gs pos="0">
                    <a:srgbClr val="1992E6"/>
                  </a:gs>
                  <a:gs pos="100000">
                    <a:srgbClr val="2373DF"/>
                  </a:gs>
                </a:gsLst>
                <a:lin ang="5400000" scaled="1"/>
              </a:gradFill>
            </a:ln>
            <a:effectLst/>
          </c:spPr>
          <c:invertIfNegative val="0"/>
          <c:cat>
            <c:strRef>
              <c:f>Processing!$A$18:$A$29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Processing!$C$18:$C$29</c:f>
              <c:numCache>
                <c:formatCode>General</c:formatCode>
                <c:ptCount val="12"/>
                <c:pt idx="0">
                  <c:v>2075</c:v>
                </c:pt>
                <c:pt idx="1">
                  <c:v>3066</c:v>
                </c:pt>
                <c:pt idx="2">
                  <c:v>4626</c:v>
                </c:pt>
                <c:pt idx="3">
                  <c:v>4841</c:v>
                </c:pt>
                <c:pt idx="4">
                  <c:v>4626</c:v>
                </c:pt>
                <c:pt idx="5">
                  <c:v>3066</c:v>
                </c:pt>
                <c:pt idx="6">
                  <c:v>2075</c:v>
                </c:pt>
                <c:pt idx="7">
                  <c:v>3066</c:v>
                </c:pt>
                <c:pt idx="8">
                  <c:v>4626</c:v>
                </c:pt>
                <c:pt idx="9">
                  <c:v>4841</c:v>
                </c:pt>
                <c:pt idx="10">
                  <c:v>4626</c:v>
                </c:pt>
                <c:pt idx="11">
                  <c:v>2666</c:v>
                </c:pt>
              </c:numCache>
            </c:numRef>
          </c:val>
          <c:extLst>
            <c:ext xmlns:c16="http://schemas.microsoft.com/office/drawing/2014/chart" uri="{C3380CC4-5D6E-409C-BE32-E72D297353CC}">
              <c16:uniqueId val="{00000001-8CEB-48FE-879D-85227A43A519}"/>
            </c:ext>
          </c:extLst>
        </c:ser>
        <c:dLbls>
          <c:showLegendKey val="0"/>
          <c:showVal val="0"/>
          <c:showCatName val="0"/>
          <c:showSerName val="0"/>
          <c:showPercent val="0"/>
          <c:showBubbleSize val="0"/>
        </c:dLbls>
        <c:gapWidth val="300"/>
        <c:overlap val="100"/>
        <c:axId val="1217850336"/>
        <c:axId val="1217876256"/>
      </c:barChart>
      <c:barChart>
        <c:barDir val="col"/>
        <c:grouping val="stacked"/>
        <c:varyColors val="0"/>
        <c:ser>
          <c:idx val="2"/>
          <c:order val="2"/>
          <c:tx>
            <c:strRef>
              <c:f>Processing!$D$17</c:f>
              <c:strCache>
                <c:ptCount val="1"/>
                <c:pt idx="0">
                  <c:v>indent Cursor</c:v>
                </c:pt>
              </c:strCache>
            </c:strRef>
          </c:tx>
          <c:spPr>
            <a:noFill/>
            <a:ln>
              <a:noFill/>
            </a:ln>
            <a:effectLst/>
          </c:spPr>
          <c:invertIfNegative val="0"/>
          <c:cat>
            <c:strRef>
              <c:f>Processing!$A$18:$A$29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Processing!$D$18:$D$29</c:f>
              <c:numCache>
                <c:formatCode>General</c:formatCode>
                <c:ptCount val="12"/>
                <c:pt idx="0">
                  <c:v>242.05</c:v>
                </c:pt>
                <c:pt idx="1">
                  <c:v>242.05</c:v>
                </c:pt>
                <c:pt idx="2">
                  <c:v>242.05</c:v>
                </c:pt>
                <c:pt idx="3">
                  <c:v>242.05</c:v>
                </c:pt>
                <c:pt idx="4">
                  <c:v>242.05</c:v>
                </c:pt>
                <c:pt idx="5">
                  <c:v>242.05</c:v>
                </c:pt>
                <c:pt idx="6">
                  <c:v>242.05</c:v>
                </c:pt>
                <c:pt idx="7">
                  <c:v>242.05</c:v>
                </c:pt>
                <c:pt idx="8">
                  <c:v>242.05</c:v>
                </c:pt>
                <c:pt idx="9">
                  <c:v>242.05</c:v>
                </c:pt>
                <c:pt idx="10">
                  <c:v>242.05</c:v>
                </c:pt>
                <c:pt idx="11">
                  <c:v>242.05</c:v>
                </c:pt>
              </c:numCache>
            </c:numRef>
          </c:val>
          <c:extLst>
            <c:ext xmlns:c16="http://schemas.microsoft.com/office/drawing/2014/chart" uri="{C3380CC4-5D6E-409C-BE32-E72D297353CC}">
              <c16:uniqueId val="{00000002-8CEB-48FE-879D-85227A43A519}"/>
            </c:ext>
          </c:extLst>
        </c:ser>
        <c:ser>
          <c:idx val="3"/>
          <c:order val="3"/>
          <c:tx>
            <c:strRef>
              <c:f>Processing!$E$17</c:f>
              <c:strCache>
                <c:ptCount val="1"/>
                <c:pt idx="0">
                  <c:v>Cursor</c:v>
                </c:pt>
              </c:strCache>
            </c:strRef>
          </c:tx>
          <c:spPr>
            <a:solidFill>
              <a:schemeClr val="accent4"/>
            </a:solidFill>
            <a:ln w="101600">
              <a:gradFill>
                <a:gsLst>
                  <a:gs pos="0">
                    <a:srgbClr val="06D3D9"/>
                  </a:gs>
                  <a:gs pos="62000">
                    <a:srgbClr val="09C3F2"/>
                  </a:gs>
                </a:gsLst>
                <a:lin ang="5400000" scaled="1"/>
              </a:gradFill>
            </a:ln>
            <a:effectLst>
              <a:outerShdw blurRad="50800" dist="38100" dir="8100000" algn="tr" rotWithShape="0">
                <a:prstClr val="black">
                  <a:alpha val="40000"/>
                </a:prstClr>
              </a:outerShdw>
            </a:effectLst>
          </c:spPr>
          <c:invertIfNegative val="0"/>
          <c:dPt>
            <c:idx val="8"/>
            <c:invertIfNegative val="0"/>
            <c:bubble3D val="0"/>
            <c:extLst>
              <c:ext xmlns:c16="http://schemas.microsoft.com/office/drawing/2014/chart" uri="{C3380CC4-5D6E-409C-BE32-E72D297353CC}">
                <c16:uniqueId val="{00000003-8CEB-48FE-879D-85227A43A519}"/>
              </c:ext>
            </c:extLst>
          </c:dPt>
          <c:cat>
            <c:strRef>
              <c:f>Processing!$A$18:$A$29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Processing!$E$18:$E$29</c:f>
              <c:numCache>
                <c:formatCode>General</c:formatCode>
                <c:ptCount val="12"/>
                <c:pt idx="0">
                  <c:v>#N/A</c:v>
                </c:pt>
                <c:pt idx="1">
                  <c:v>#N/A</c:v>
                </c:pt>
                <c:pt idx="2">
                  <c:v>#N/A</c:v>
                </c:pt>
                <c:pt idx="3">
                  <c:v>4841</c:v>
                </c:pt>
                <c:pt idx="4">
                  <c:v>4626</c:v>
                </c:pt>
                <c:pt idx="5">
                  <c:v>3066</c:v>
                </c:pt>
                <c:pt idx="6">
                  <c:v>#N/A</c:v>
                </c:pt>
                <c:pt idx="7">
                  <c:v>#N/A</c:v>
                </c:pt>
                <c:pt idx="8">
                  <c:v>#N/A</c:v>
                </c:pt>
                <c:pt idx="9">
                  <c:v>#N/A</c:v>
                </c:pt>
                <c:pt idx="10">
                  <c:v>#N/A</c:v>
                </c:pt>
                <c:pt idx="11">
                  <c:v>#N/A</c:v>
                </c:pt>
              </c:numCache>
            </c:numRef>
          </c:val>
          <c:extLst>
            <c:ext xmlns:c16="http://schemas.microsoft.com/office/drawing/2014/chart" uri="{C3380CC4-5D6E-409C-BE32-E72D297353CC}">
              <c16:uniqueId val="{00000004-8CEB-48FE-879D-85227A43A519}"/>
            </c:ext>
          </c:extLst>
        </c:ser>
        <c:dLbls>
          <c:showLegendKey val="0"/>
          <c:showVal val="0"/>
          <c:showCatName val="0"/>
          <c:showSerName val="0"/>
          <c:showPercent val="0"/>
          <c:showBubbleSize val="0"/>
        </c:dLbls>
        <c:gapWidth val="300"/>
        <c:overlap val="100"/>
        <c:axId val="1217885856"/>
        <c:axId val="1217884416"/>
      </c:barChart>
      <c:lineChart>
        <c:grouping val="standard"/>
        <c:varyColors val="0"/>
        <c:ser>
          <c:idx val="4"/>
          <c:order val="4"/>
          <c:tx>
            <c:strRef>
              <c:f>Processing!$F$17</c:f>
              <c:strCache>
                <c:ptCount val="1"/>
                <c:pt idx="0">
                  <c:v>Expenses</c:v>
                </c:pt>
              </c:strCache>
            </c:strRef>
          </c:tx>
          <c:spPr>
            <a:ln w="25400" cap="rnd">
              <a:solidFill>
                <a:srgbClr val="FF00FF"/>
              </a:solidFill>
              <a:round/>
            </a:ln>
            <a:effectLst>
              <a:outerShdw blurRad="50800" dist="38100" dir="5400000" algn="t" rotWithShape="0">
                <a:prstClr val="black">
                  <a:alpha val="40000"/>
                </a:prstClr>
              </a:outerShdw>
            </a:effectLst>
          </c:spPr>
          <c:marker>
            <c:symbol val="circle"/>
            <c:size val="6"/>
            <c:spPr>
              <a:solidFill>
                <a:schemeClr val="bg1"/>
              </a:solidFill>
              <a:ln w="9525">
                <a:solidFill>
                  <a:srgbClr val="FF00FF"/>
                </a:solidFill>
              </a:ln>
              <a:effectLst>
                <a:outerShdw blurRad="50800" dist="38100" dir="5400000" algn="t" rotWithShape="0">
                  <a:prstClr val="black">
                    <a:alpha val="40000"/>
                  </a:prstClr>
                </a:outerShdw>
              </a:effectLst>
            </c:spPr>
          </c:marker>
          <c:cat>
            <c:strRef>
              <c:f>Processing!$A$18:$A$29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Processing!$F$18:$F$29</c:f>
              <c:numCache>
                <c:formatCode>General</c:formatCode>
                <c:ptCount val="12"/>
                <c:pt idx="0">
                  <c:v>2412</c:v>
                </c:pt>
                <c:pt idx="1">
                  <c:v>1696</c:v>
                </c:pt>
                <c:pt idx="2">
                  <c:v>3544</c:v>
                </c:pt>
                <c:pt idx="3">
                  <c:v>2671</c:v>
                </c:pt>
                <c:pt idx="4">
                  <c:v>3036</c:v>
                </c:pt>
                <c:pt idx="5">
                  <c:v>4595</c:v>
                </c:pt>
                <c:pt idx="6">
                  <c:v>2714</c:v>
                </c:pt>
                <c:pt idx="7">
                  <c:v>3731</c:v>
                </c:pt>
                <c:pt idx="8">
                  <c:v>4952</c:v>
                </c:pt>
                <c:pt idx="9">
                  <c:v>3544</c:v>
                </c:pt>
                <c:pt idx="10">
                  <c:v>4595</c:v>
                </c:pt>
                <c:pt idx="11">
                  <c:v>1739</c:v>
                </c:pt>
              </c:numCache>
            </c:numRef>
          </c:val>
          <c:smooth val="0"/>
          <c:extLst>
            <c:ext xmlns:c16="http://schemas.microsoft.com/office/drawing/2014/chart" uri="{C3380CC4-5D6E-409C-BE32-E72D297353CC}">
              <c16:uniqueId val="{00000005-8CEB-48FE-879D-85227A43A519}"/>
            </c:ext>
          </c:extLst>
        </c:ser>
        <c:ser>
          <c:idx val="5"/>
          <c:order val="5"/>
          <c:tx>
            <c:strRef>
              <c:f>Processing!$G$17</c:f>
              <c:strCache>
                <c:ptCount val="1"/>
                <c:pt idx="0">
                  <c:v>Markers</c:v>
                </c:pt>
              </c:strCache>
            </c:strRef>
          </c:tx>
          <c:spPr>
            <a:ln w="28575" cap="rnd">
              <a:noFill/>
              <a:round/>
            </a:ln>
            <a:effectLst/>
          </c:spPr>
          <c:marker>
            <c:symbol val="none"/>
          </c:marker>
          <c:dLbls>
            <c:dLbl>
              <c:idx val="0"/>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6-8CEB-48FE-879D-85227A43A519}"/>
                </c:ext>
              </c:extLst>
            </c:dLbl>
            <c:dLbl>
              <c:idx val="1"/>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7-8CEB-48FE-879D-85227A43A519}"/>
                </c:ext>
              </c:extLst>
            </c:dLbl>
            <c:dLbl>
              <c:idx val="2"/>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8-8CEB-48FE-879D-85227A43A519}"/>
                </c:ext>
              </c:extLst>
            </c:dLbl>
            <c:dLbl>
              <c:idx val="3"/>
              <c:tx>
                <c:rich>
                  <a:bodyPr/>
                  <a:lstStyle/>
                  <a:p>
                    <a:fld id="{C1F203D8-D972-45BB-A11E-E88A6C2E039C}"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8CEB-48FE-879D-85227A43A519}"/>
                </c:ext>
              </c:extLst>
            </c:dLbl>
            <c:dLbl>
              <c:idx val="4"/>
              <c:tx>
                <c:rich>
                  <a:bodyPr/>
                  <a:lstStyle/>
                  <a:p>
                    <a:fld id="{7A14962F-B044-4D28-BF5D-3064BE966577}"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8CEB-48FE-879D-85227A43A519}"/>
                </c:ext>
              </c:extLst>
            </c:dLbl>
            <c:dLbl>
              <c:idx val="5"/>
              <c:tx>
                <c:rich>
                  <a:bodyPr/>
                  <a:lstStyle/>
                  <a:p>
                    <a:fld id="{645BE540-86A0-4922-BCA3-37F7D8A84102}"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8CEB-48FE-879D-85227A43A519}"/>
                </c:ext>
              </c:extLst>
            </c:dLbl>
            <c:dLbl>
              <c:idx val="6"/>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C-8CEB-48FE-879D-85227A43A519}"/>
                </c:ext>
              </c:extLst>
            </c:dLbl>
            <c:dLbl>
              <c:idx val="7"/>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D-8CEB-48FE-879D-85227A43A519}"/>
                </c:ext>
              </c:extLst>
            </c:dLbl>
            <c:dLbl>
              <c:idx val="8"/>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E-8CEB-48FE-879D-85227A43A519}"/>
                </c:ext>
              </c:extLst>
            </c:dLbl>
            <c:dLbl>
              <c:idx val="9"/>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F-8CEB-48FE-879D-85227A43A519}"/>
                </c:ext>
              </c:extLst>
            </c:dLbl>
            <c:dLbl>
              <c:idx val="10"/>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0-8CEB-48FE-879D-85227A43A519}"/>
                </c:ext>
              </c:extLst>
            </c:dLbl>
            <c:dLbl>
              <c:idx val="11"/>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1-8CEB-48FE-879D-85227A43A519}"/>
                </c:ext>
              </c:extLst>
            </c:dLbl>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rgbClr val="455177"/>
                    </a:solidFill>
                    <a:latin typeface="+mn-lt"/>
                    <a:ea typeface="+mn-ea"/>
                    <a:cs typeface="+mn-cs"/>
                  </a:defRPr>
                </a:pPr>
                <a:endParaRPr lang="ru-RU"/>
              </a:p>
            </c:txPr>
            <c:dLblPos val="t"/>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f>Processing!$A$18:$A$29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Processing!$G$18:$G$29</c:f>
              <c:numCache>
                <c:formatCode>General</c:formatCode>
                <c:ptCount val="12"/>
                <c:pt idx="0">
                  <c:v>#N/A</c:v>
                </c:pt>
                <c:pt idx="1">
                  <c:v>#N/A</c:v>
                </c:pt>
                <c:pt idx="2">
                  <c:v>#N/A</c:v>
                </c:pt>
                <c:pt idx="3">
                  <c:v>5083.05</c:v>
                </c:pt>
                <c:pt idx="4">
                  <c:v>4868.05</c:v>
                </c:pt>
                <c:pt idx="5">
                  <c:v>3308.05</c:v>
                </c:pt>
                <c:pt idx="6">
                  <c:v>#N/A</c:v>
                </c:pt>
                <c:pt idx="7">
                  <c:v>#N/A</c:v>
                </c:pt>
                <c:pt idx="8">
                  <c:v>#N/A</c:v>
                </c:pt>
                <c:pt idx="9">
                  <c:v>#N/A</c:v>
                </c:pt>
                <c:pt idx="10">
                  <c:v>#N/A</c:v>
                </c:pt>
                <c:pt idx="11">
                  <c:v>#N/A</c:v>
                </c:pt>
              </c:numCache>
            </c:numRef>
          </c:val>
          <c:smooth val="0"/>
          <c:extLst>
            <c:ext xmlns:c15="http://schemas.microsoft.com/office/drawing/2012/chart" uri="{02D57815-91ED-43cb-92C2-25804820EDAC}">
              <c15:datalabelsRange>
                <c15:f>Processing!$H$18:$H$29</c15:f>
                <c15:dlblRangeCache>
                  <c:ptCount val="12"/>
                  <c:pt idx="0">
                    <c:v>#N/A</c:v>
                  </c:pt>
                  <c:pt idx="1">
                    <c:v>#N/A</c:v>
                  </c:pt>
                  <c:pt idx="2">
                    <c:v>#N/A</c:v>
                  </c:pt>
                  <c:pt idx="3">
                    <c:v>5k</c:v>
                  </c:pt>
                  <c:pt idx="4">
                    <c:v>5k</c:v>
                  </c:pt>
                  <c:pt idx="5">
                    <c:v>3k</c:v>
                  </c:pt>
                  <c:pt idx="6">
                    <c:v>#N/A</c:v>
                  </c:pt>
                  <c:pt idx="7">
                    <c:v>#N/A</c:v>
                  </c:pt>
                  <c:pt idx="8">
                    <c:v>#N/A</c:v>
                  </c:pt>
                  <c:pt idx="9">
                    <c:v>#N/A</c:v>
                  </c:pt>
                  <c:pt idx="10">
                    <c:v>#N/A</c:v>
                  </c:pt>
                  <c:pt idx="11">
                    <c:v>#N/A</c:v>
                  </c:pt>
                </c15:dlblRangeCache>
              </c15:datalabelsRange>
            </c:ext>
            <c:ext xmlns:c16="http://schemas.microsoft.com/office/drawing/2014/chart" uri="{C3380CC4-5D6E-409C-BE32-E72D297353CC}">
              <c16:uniqueId val="{00000012-8CEB-48FE-879D-85227A43A519}"/>
            </c:ext>
          </c:extLst>
        </c:ser>
        <c:dLbls>
          <c:showLegendKey val="0"/>
          <c:showVal val="0"/>
          <c:showCatName val="0"/>
          <c:showSerName val="0"/>
          <c:showPercent val="0"/>
          <c:showBubbleSize val="0"/>
        </c:dLbls>
        <c:marker val="1"/>
        <c:smooth val="0"/>
        <c:axId val="1217850336"/>
        <c:axId val="1217876256"/>
      </c:lineChart>
      <c:catAx>
        <c:axId val="1217850336"/>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1217876256"/>
        <c:crosses val="autoZero"/>
        <c:auto val="1"/>
        <c:lblAlgn val="ctr"/>
        <c:lblOffset val="100"/>
        <c:noMultiLvlLbl val="0"/>
      </c:catAx>
      <c:valAx>
        <c:axId val="1217876256"/>
        <c:scaling>
          <c:orientation val="minMax"/>
        </c:scaling>
        <c:delete val="0"/>
        <c:axPos val="l"/>
        <c:majorGridlines>
          <c:spPr>
            <a:ln w="9525" cap="flat" cmpd="sng" algn="ctr">
              <a:solidFill>
                <a:srgbClr val="ABB5E2">
                  <a:alpha val="25000"/>
                </a:srgb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455177"/>
                </a:solidFill>
                <a:latin typeface="+mn-lt"/>
                <a:ea typeface="+mn-ea"/>
                <a:cs typeface="+mn-cs"/>
              </a:defRPr>
            </a:pPr>
            <a:endParaRPr lang="ru-RU"/>
          </a:p>
        </c:txPr>
        <c:crossAx val="1217850336"/>
        <c:crosses val="autoZero"/>
        <c:crossBetween val="between"/>
      </c:valAx>
      <c:valAx>
        <c:axId val="1217884416"/>
        <c:scaling>
          <c:orientation val="minMax"/>
        </c:scaling>
        <c:delete val="1"/>
        <c:axPos val="r"/>
        <c:numFmt formatCode="General" sourceLinked="1"/>
        <c:majorTickMark val="out"/>
        <c:minorTickMark val="none"/>
        <c:tickLblPos val="nextTo"/>
        <c:crossAx val="1217885856"/>
        <c:crosses val="max"/>
        <c:crossBetween val="between"/>
      </c:valAx>
      <c:catAx>
        <c:axId val="1217885856"/>
        <c:scaling>
          <c:orientation val="minMax"/>
        </c:scaling>
        <c:delete val="1"/>
        <c:axPos val="b"/>
        <c:numFmt formatCode="General" sourceLinked="1"/>
        <c:majorTickMark val="out"/>
        <c:minorTickMark val="none"/>
        <c:tickLblPos val="nextTo"/>
        <c:crossAx val="1217884416"/>
        <c:crosses val="autoZero"/>
        <c:auto val="1"/>
        <c:lblAlgn val="ctr"/>
        <c:lblOffset val="100"/>
        <c:noMultiLvlLbl val="0"/>
      </c:catAx>
      <c:spPr>
        <a:noFill/>
      </c:spPr>
    </c:plotArea>
    <c:plotVisOnly val="1"/>
    <c:dispBlanksAs val="gap"/>
    <c:showDLblsOverMax val="0"/>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711001086985339"/>
          <c:y val="8.9869281045751634E-2"/>
          <c:w val="0.66877483117640601"/>
          <c:h val="0.8202614379084967"/>
        </c:manualLayout>
      </c:layout>
      <c:barChart>
        <c:barDir val="bar"/>
        <c:grouping val="stacked"/>
        <c:varyColors val="0"/>
        <c:ser>
          <c:idx val="1"/>
          <c:order val="0"/>
          <c:tx>
            <c:strRef>
              <c:f>Processing!$E$33</c:f>
              <c:strCache>
                <c:ptCount val="1"/>
                <c:pt idx="0">
                  <c:v>indent</c:v>
                </c:pt>
              </c:strCache>
            </c:strRef>
          </c:tx>
          <c:spPr>
            <a:noFill/>
            <a:ln>
              <a:noFill/>
            </a:ln>
            <a:effectLst/>
          </c:spPr>
          <c:invertIfNegative val="0"/>
          <c:cat>
            <c:strRef>
              <c:f>Processing!$D$34:$D$37</c:f>
              <c:strCache>
                <c:ptCount val="4"/>
                <c:pt idx="0">
                  <c:v>Savings</c:v>
                </c:pt>
                <c:pt idx="1">
                  <c:v>Salary</c:v>
                </c:pt>
                <c:pt idx="2">
                  <c:v>Side Job</c:v>
                </c:pt>
                <c:pt idx="3">
                  <c:v>Stock</c:v>
                </c:pt>
              </c:strCache>
            </c:strRef>
          </c:cat>
          <c:val>
            <c:numRef>
              <c:f>Processing!$E$34:$E$37</c:f>
              <c:numCache>
                <c:formatCode>General</c:formatCode>
                <c:ptCount val="4"/>
                <c:pt idx="0">
                  <c:v>271.18</c:v>
                </c:pt>
                <c:pt idx="1">
                  <c:v>271.18</c:v>
                </c:pt>
                <c:pt idx="2">
                  <c:v>271.18</c:v>
                </c:pt>
                <c:pt idx="3">
                  <c:v>271.18</c:v>
                </c:pt>
              </c:numCache>
            </c:numRef>
          </c:val>
          <c:extLst>
            <c:ext xmlns:c16="http://schemas.microsoft.com/office/drawing/2014/chart" uri="{C3380CC4-5D6E-409C-BE32-E72D297353CC}">
              <c16:uniqueId val="{00000000-ECCC-4C9F-A53D-07AC90B96CEA}"/>
            </c:ext>
          </c:extLst>
        </c:ser>
        <c:ser>
          <c:idx val="0"/>
          <c:order val="1"/>
          <c:tx>
            <c:strRef>
              <c:f>Processing!$F$33</c:f>
              <c:strCache>
                <c:ptCount val="1"/>
                <c:pt idx="0">
                  <c:v>Rank</c:v>
                </c:pt>
              </c:strCache>
            </c:strRef>
          </c:tx>
          <c:spPr>
            <a:solidFill>
              <a:schemeClr val="accent1"/>
            </a:solidFill>
            <a:ln w="101600">
              <a:gradFill>
                <a:gsLst>
                  <a:gs pos="0">
                    <a:srgbClr val="00C8D2"/>
                  </a:gs>
                  <a:gs pos="100000">
                    <a:srgbClr val="178BFF"/>
                  </a:gs>
                </a:gsLst>
                <a:lin ang="5400000" scaled="1"/>
              </a:gradFill>
            </a:ln>
            <a:effectLst/>
          </c:spPr>
          <c:invertIfNegative val="0"/>
          <c:cat>
            <c:strRef>
              <c:f>Processing!$D$34:$D$37</c:f>
              <c:strCache>
                <c:ptCount val="4"/>
                <c:pt idx="0">
                  <c:v>Savings</c:v>
                </c:pt>
                <c:pt idx="1">
                  <c:v>Salary</c:v>
                </c:pt>
                <c:pt idx="2">
                  <c:v>Side Job</c:v>
                </c:pt>
                <c:pt idx="3">
                  <c:v>Stock</c:v>
                </c:pt>
              </c:strCache>
            </c:strRef>
          </c:cat>
          <c:val>
            <c:numRef>
              <c:f>Processing!$F$34:$F$37</c:f>
              <c:numCache>
                <c:formatCode>General</c:formatCode>
                <c:ptCount val="4"/>
                <c:pt idx="0">
                  <c:v>3874</c:v>
                </c:pt>
                <c:pt idx="1">
                  <c:v>3546</c:v>
                </c:pt>
                <c:pt idx="2">
                  <c:v>2607</c:v>
                </c:pt>
                <c:pt idx="3">
                  <c:v>2506</c:v>
                </c:pt>
              </c:numCache>
            </c:numRef>
          </c:val>
          <c:extLst>
            <c:ext xmlns:c16="http://schemas.microsoft.com/office/drawing/2014/chart" uri="{C3380CC4-5D6E-409C-BE32-E72D297353CC}">
              <c16:uniqueId val="{00000001-ECCC-4C9F-A53D-07AC90B96CEA}"/>
            </c:ext>
          </c:extLst>
        </c:ser>
        <c:dLbls>
          <c:showLegendKey val="0"/>
          <c:showVal val="0"/>
          <c:showCatName val="0"/>
          <c:showSerName val="0"/>
          <c:showPercent val="0"/>
          <c:showBubbleSize val="0"/>
        </c:dLbls>
        <c:gapWidth val="300"/>
        <c:overlap val="100"/>
        <c:axId val="1547179375"/>
        <c:axId val="1547170255"/>
      </c:barChart>
      <c:catAx>
        <c:axId val="1547179375"/>
        <c:scaling>
          <c:orientation val="maxMin"/>
        </c:scaling>
        <c:delete val="0"/>
        <c:axPos val="l"/>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rgbClr val="455177"/>
                </a:solidFill>
                <a:latin typeface="+mn-lt"/>
                <a:ea typeface="+mn-ea"/>
                <a:cs typeface="+mn-cs"/>
              </a:defRPr>
            </a:pPr>
            <a:endParaRPr lang="ru-RU"/>
          </a:p>
        </c:txPr>
        <c:crossAx val="1547170255"/>
        <c:crosses val="autoZero"/>
        <c:auto val="1"/>
        <c:lblAlgn val="ctr"/>
        <c:lblOffset val="100"/>
        <c:noMultiLvlLbl val="0"/>
      </c:catAx>
      <c:valAx>
        <c:axId val="1547170255"/>
        <c:scaling>
          <c:orientation val="minMax"/>
          <c:min val="0"/>
        </c:scaling>
        <c:delete val="1"/>
        <c:axPos val="t"/>
        <c:numFmt formatCode="General" sourceLinked="1"/>
        <c:majorTickMark val="out"/>
        <c:minorTickMark val="none"/>
        <c:tickLblPos val="nextTo"/>
        <c:crossAx val="1547179375"/>
        <c:crosses val="autoZero"/>
        <c:crossBetween val="between"/>
      </c:valAx>
      <c:spPr>
        <a:noFill/>
      </c:spPr>
    </c:plotArea>
    <c:plotVisOnly val="1"/>
    <c:dispBlanksAs val="gap"/>
    <c:showDLblsOverMax val="0"/>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areaChart>
        <c:grouping val="standard"/>
        <c:varyColors val="0"/>
        <c:ser>
          <c:idx val="0"/>
          <c:order val="0"/>
          <c:tx>
            <c:strRef>
              <c:f>Processing!$B$40</c:f>
              <c:strCache>
                <c:ptCount val="1"/>
                <c:pt idx="0">
                  <c:v>Income</c:v>
                </c:pt>
              </c:strCache>
            </c:strRef>
          </c:tx>
          <c:spPr>
            <a:gradFill flip="none" rotWithShape="1">
              <a:gsLst>
                <a:gs pos="0">
                  <a:srgbClr val="00C8D2"/>
                </a:gs>
                <a:gs pos="100000">
                  <a:srgbClr val="178BFF"/>
                </a:gs>
              </a:gsLst>
              <a:lin ang="5400000" scaled="0"/>
              <a:tileRect/>
            </a:gradFill>
            <a:ln>
              <a:noFill/>
            </a:ln>
            <a:effectLst/>
          </c:spPr>
          <c:val>
            <c:numRef>
              <c:f>Processing!$B$41:$B$44</c:f>
              <c:numCache>
                <c:formatCode>General</c:formatCode>
                <c:ptCount val="4"/>
                <c:pt idx="0">
                  <c:v>37965</c:v>
                </c:pt>
                <c:pt idx="1">
                  <c:v>44200</c:v>
                </c:pt>
                <c:pt idx="2">
                  <c:v>38780</c:v>
                </c:pt>
                <c:pt idx="3">
                  <c:v>53560</c:v>
                </c:pt>
              </c:numCache>
            </c:numRef>
          </c:val>
          <c:extLst>
            <c:ext xmlns:c16="http://schemas.microsoft.com/office/drawing/2014/chart" uri="{C3380CC4-5D6E-409C-BE32-E72D297353CC}">
              <c16:uniqueId val="{00000000-3B88-4519-AEA3-630BF36F9B00}"/>
            </c:ext>
          </c:extLst>
        </c:ser>
        <c:dLbls>
          <c:showLegendKey val="0"/>
          <c:showVal val="0"/>
          <c:showCatName val="0"/>
          <c:showSerName val="0"/>
          <c:showPercent val="0"/>
          <c:showBubbleSize val="0"/>
        </c:dLbls>
        <c:axId val="1547119375"/>
        <c:axId val="1547116975"/>
      </c:areaChart>
      <c:lineChart>
        <c:grouping val="standard"/>
        <c:varyColors val="0"/>
        <c:ser>
          <c:idx val="1"/>
          <c:order val="1"/>
          <c:spPr>
            <a:ln w="25400" cap="rnd">
              <a:solidFill>
                <a:srgbClr val="178BFF"/>
              </a:solidFill>
              <a:round/>
            </a:ln>
            <a:effectLst/>
          </c:spPr>
          <c:marker>
            <c:symbol val="none"/>
          </c:marker>
          <c:val>
            <c:numRef>
              <c:f>Processing!$B$41:$B$44</c:f>
              <c:numCache>
                <c:formatCode>General</c:formatCode>
                <c:ptCount val="4"/>
                <c:pt idx="0">
                  <c:v>37965</c:v>
                </c:pt>
                <c:pt idx="1">
                  <c:v>44200</c:v>
                </c:pt>
                <c:pt idx="2">
                  <c:v>38780</c:v>
                </c:pt>
                <c:pt idx="3">
                  <c:v>53560</c:v>
                </c:pt>
              </c:numCache>
            </c:numRef>
          </c:val>
          <c:smooth val="0"/>
          <c:extLst>
            <c:ext xmlns:c16="http://schemas.microsoft.com/office/drawing/2014/chart" uri="{C3380CC4-5D6E-409C-BE32-E72D297353CC}">
              <c16:uniqueId val="{00000001-3B88-4519-AEA3-630BF36F9B00}"/>
            </c:ext>
          </c:extLst>
        </c:ser>
        <c:dLbls>
          <c:showLegendKey val="0"/>
          <c:showVal val="0"/>
          <c:showCatName val="0"/>
          <c:showSerName val="0"/>
          <c:showPercent val="0"/>
          <c:showBubbleSize val="0"/>
        </c:dLbls>
        <c:marker val="1"/>
        <c:smooth val="0"/>
        <c:axId val="1547119375"/>
        <c:axId val="1547116975"/>
      </c:lineChart>
      <c:scatterChart>
        <c:scatterStyle val="lineMarker"/>
        <c:varyColors val="0"/>
        <c:ser>
          <c:idx val="2"/>
          <c:order val="2"/>
          <c:tx>
            <c:strRef>
              <c:f>Processing!$C$40</c:f>
              <c:strCache>
                <c:ptCount val="1"/>
                <c:pt idx="0">
                  <c:v>Cursor</c:v>
                </c:pt>
              </c:strCache>
            </c:strRef>
          </c:tx>
          <c:spPr>
            <a:ln w="25400" cap="rnd">
              <a:noFill/>
              <a:round/>
            </a:ln>
            <a:effectLst>
              <a:outerShdw blurRad="50800" dist="38100" dir="5400000" algn="t" rotWithShape="0">
                <a:srgbClr val="1959AF">
                  <a:alpha val="40000"/>
                </a:srgbClr>
              </a:outerShdw>
            </a:effectLst>
          </c:spPr>
          <c:marker>
            <c:symbol val="circle"/>
            <c:size val="7"/>
            <c:spPr>
              <a:solidFill>
                <a:schemeClr val="bg1"/>
              </a:solidFill>
              <a:ln w="12700">
                <a:solidFill>
                  <a:srgbClr val="4B5792"/>
                </a:solidFill>
              </a:ln>
              <a:effectLst>
                <a:outerShdw blurRad="50800" dist="38100" dir="5400000" algn="t" rotWithShape="0">
                  <a:srgbClr val="1959AF">
                    <a:alpha val="40000"/>
                  </a:srgbClr>
                </a:outerShdw>
              </a:effectLst>
            </c:spPr>
          </c:marker>
          <c:dLbls>
            <c:numFmt formatCode="[&gt;=1000]0,&quot;k&quot;;[&lt;=-1000]\-0,&quot;k&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455177"/>
                    </a:solidFill>
                    <a:latin typeface="+mn-lt"/>
                    <a:ea typeface="+mn-ea"/>
                    <a:cs typeface="+mn-cs"/>
                  </a:defRPr>
                </a:pPr>
                <a:endParaRPr lang="ru-RU"/>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yVal>
            <c:numRef>
              <c:f>Processing!$C$41:$C$44</c:f>
              <c:numCache>
                <c:formatCode>General</c:formatCode>
                <c:ptCount val="4"/>
                <c:pt idx="0">
                  <c:v>#N/A</c:v>
                </c:pt>
                <c:pt idx="1">
                  <c:v>44200</c:v>
                </c:pt>
                <c:pt idx="2">
                  <c:v>#N/A</c:v>
                </c:pt>
                <c:pt idx="3">
                  <c:v>#N/A</c:v>
                </c:pt>
              </c:numCache>
            </c:numRef>
          </c:yVal>
          <c:smooth val="0"/>
          <c:extLst>
            <c:ext xmlns:c16="http://schemas.microsoft.com/office/drawing/2014/chart" uri="{C3380CC4-5D6E-409C-BE32-E72D297353CC}">
              <c16:uniqueId val="{00000002-3B88-4519-AEA3-630BF36F9B00}"/>
            </c:ext>
          </c:extLst>
        </c:ser>
        <c:dLbls>
          <c:showLegendKey val="0"/>
          <c:showVal val="0"/>
          <c:showCatName val="0"/>
          <c:showSerName val="0"/>
          <c:showPercent val="0"/>
          <c:showBubbleSize val="0"/>
        </c:dLbls>
        <c:axId val="1547119375"/>
        <c:axId val="1547116975"/>
      </c:scatterChart>
      <c:catAx>
        <c:axId val="1547119375"/>
        <c:scaling>
          <c:orientation val="minMax"/>
        </c:scaling>
        <c:delete val="1"/>
        <c:axPos val="b"/>
        <c:majorTickMark val="out"/>
        <c:minorTickMark val="none"/>
        <c:tickLblPos val="nextTo"/>
        <c:crossAx val="1547116975"/>
        <c:crosses val="autoZero"/>
        <c:auto val="1"/>
        <c:lblAlgn val="ctr"/>
        <c:lblOffset val="100"/>
        <c:noMultiLvlLbl val="0"/>
      </c:catAx>
      <c:valAx>
        <c:axId val="1547116975"/>
        <c:scaling>
          <c:orientation val="minMax"/>
        </c:scaling>
        <c:delete val="1"/>
        <c:axPos val="l"/>
        <c:numFmt formatCode="General" sourceLinked="1"/>
        <c:majorTickMark val="none"/>
        <c:minorTickMark val="none"/>
        <c:tickLblPos val="nextTo"/>
        <c:crossAx val="1547119375"/>
        <c:crosses val="autoZero"/>
        <c:crossBetween val="between"/>
      </c:valAx>
      <c:spPr>
        <a:noFill/>
      </c:spPr>
    </c:plotArea>
    <c:plotVisOnly val="1"/>
    <c:dispBlanksAs val="zero"/>
    <c:showDLblsOverMax val="0"/>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noFill/>
            <a:ln w="9525">
              <a:solidFill>
                <a:srgbClr val="ABB5E2">
                  <a:alpha val="70000"/>
                </a:srgbClr>
              </a:solidFill>
            </a:ln>
          </c:spPr>
          <c:dPt>
            <c:idx val="0"/>
            <c:bubble3D val="0"/>
            <c:spPr>
              <a:noFill/>
              <a:ln w="9525">
                <a:solidFill>
                  <a:srgbClr val="ABB5E2">
                    <a:alpha val="70000"/>
                  </a:srgbClr>
                </a:solidFill>
              </a:ln>
              <a:effectLst/>
            </c:spPr>
            <c:extLst>
              <c:ext xmlns:c16="http://schemas.microsoft.com/office/drawing/2014/chart" uri="{C3380CC4-5D6E-409C-BE32-E72D297353CC}">
                <c16:uniqueId val="{00000001-2D48-46C8-9D09-044E9606937A}"/>
              </c:ext>
            </c:extLst>
          </c:dPt>
          <c:dPt>
            <c:idx val="1"/>
            <c:bubble3D val="0"/>
            <c:spPr>
              <a:noFill/>
              <a:ln w="9525">
                <a:solidFill>
                  <a:srgbClr val="ABB5E2">
                    <a:alpha val="70000"/>
                  </a:srgbClr>
                </a:solidFill>
              </a:ln>
              <a:effectLst/>
            </c:spPr>
            <c:extLst>
              <c:ext xmlns:c16="http://schemas.microsoft.com/office/drawing/2014/chart" uri="{C3380CC4-5D6E-409C-BE32-E72D297353CC}">
                <c16:uniqueId val="{00000003-2D48-46C8-9D09-044E9606937A}"/>
              </c:ext>
            </c:extLst>
          </c:dPt>
          <c:dPt>
            <c:idx val="2"/>
            <c:bubble3D val="0"/>
            <c:spPr>
              <a:noFill/>
              <a:ln w="9525">
                <a:solidFill>
                  <a:srgbClr val="ABB5E2">
                    <a:alpha val="70000"/>
                  </a:srgbClr>
                </a:solidFill>
              </a:ln>
              <a:effectLst/>
            </c:spPr>
            <c:extLst>
              <c:ext xmlns:c16="http://schemas.microsoft.com/office/drawing/2014/chart" uri="{C3380CC4-5D6E-409C-BE32-E72D297353CC}">
                <c16:uniqueId val="{00000005-2D48-46C8-9D09-044E9606937A}"/>
              </c:ext>
            </c:extLst>
          </c:dPt>
          <c:dPt>
            <c:idx val="3"/>
            <c:bubble3D val="0"/>
            <c:spPr>
              <a:noFill/>
              <a:ln w="9525">
                <a:solidFill>
                  <a:srgbClr val="ABB5E2">
                    <a:alpha val="70000"/>
                  </a:srgbClr>
                </a:solidFill>
              </a:ln>
              <a:effectLst/>
            </c:spPr>
            <c:extLst>
              <c:ext xmlns:c16="http://schemas.microsoft.com/office/drawing/2014/chart" uri="{C3380CC4-5D6E-409C-BE32-E72D297353CC}">
                <c16:uniqueId val="{00000007-2D48-46C8-9D09-044E9606937A}"/>
              </c:ext>
            </c:extLst>
          </c:dPt>
          <c:dPt>
            <c:idx val="4"/>
            <c:bubble3D val="0"/>
            <c:spPr>
              <a:noFill/>
              <a:ln w="9525">
                <a:solidFill>
                  <a:srgbClr val="ABB5E2">
                    <a:alpha val="70000"/>
                  </a:srgbClr>
                </a:solidFill>
              </a:ln>
              <a:effectLst/>
            </c:spPr>
            <c:extLst>
              <c:ext xmlns:c16="http://schemas.microsoft.com/office/drawing/2014/chart" uri="{C3380CC4-5D6E-409C-BE32-E72D297353CC}">
                <c16:uniqueId val="{00000009-2D48-46C8-9D09-044E9606937A}"/>
              </c:ext>
            </c:extLst>
          </c:dPt>
          <c:val>
            <c:numRef>
              <c:f>Processing!$A$64:$E$64</c:f>
              <c:numCache>
                <c:formatCode>General</c:formatCode>
                <c:ptCount val="5"/>
                <c:pt idx="0">
                  <c:v>72</c:v>
                </c:pt>
                <c:pt idx="1">
                  <c:v>72</c:v>
                </c:pt>
                <c:pt idx="2">
                  <c:v>72</c:v>
                </c:pt>
                <c:pt idx="3">
                  <c:v>72</c:v>
                </c:pt>
                <c:pt idx="4">
                  <c:v>72</c:v>
                </c:pt>
              </c:numCache>
            </c:numRef>
          </c:val>
          <c:extLst>
            <c:ext xmlns:c16="http://schemas.microsoft.com/office/drawing/2014/chart" uri="{C3380CC4-5D6E-409C-BE32-E72D297353CC}">
              <c16:uniqueId val="{0000000A-2D48-46C8-9D09-044E9606937A}"/>
            </c:ext>
          </c:extLst>
        </c:ser>
        <c:ser>
          <c:idx val="1"/>
          <c:order val="1"/>
          <c:spPr>
            <a:noFill/>
            <a:ln w="9525">
              <a:solidFill>
                <a:srgbClr val="ABB5E2">
                  <a:alpha val="70000"/>
                </a:srgbClr>
              </a:solidFill>
            </a:ln>
          </c:spPr>
          <c:dPt>
            <c:idx val="0"/>
            <c:bubble3D val="0"/>
            <c:spPr>
              <a:noFill/>
              <a:ln w="9525">
                <a:solidFill>
                  <a:srgbClr val="ABB5E2">
                    <a:alpha val="70000"/>
                  </a:srgbClr>
                </a:solidFill>
              </a:ln>
              <a:effectLst/>
            </c:spPr>
            <c:extLst>
              <c:ext xmlns:c16="http://schemas.microsoft.com/office/drawing/2014/chart" uri="{C3380CC4-5D6E-409C-BE32-E72D297353CC}">
                <c16:uniqueId val="{0000000C-2D48-46C8-9D09-044E9606937A}"/>
              </c:ext>
            </c:extLst>
          </c:dPt>
          <c:dPt>
            <c:idx val="1"/>
            <c:bubble3D val="0"/>
            <c:spPr>
              <a:noFill/>
              <a:ln w="9525">
                <a:solidFill>
                  <a:srgbClr val="ABB5E2">
                    <a:alpha val="70000"/>
                  </a:srgbClr>
                </a:solidFill>
              </a:ln>
              <a:effectLst/>
            </c:spPr>
            <c:extLst>
              <c:ext xmlns:c16="http://schemas.microsoft.com/office/drawing/2014/chart" uri="{C3380CC4-5D6E-409C-BE32-E72D297353CC}">
                <c16:uniqueId val="{0000000E-2D48-46C8-9D09-044E9606937A}"/>
              </c:ext>
            </c:extLst>
          </c:dPt>
          <c:dPt>
            <c:idx val="2"/>
            <c:bubble3D val="0"/>
            <c:spPr>
              <a:noFill/>
              <a:ln w="9525">
                <a:solidFill>
                  <a:srgbClr val="ABB5E2">
                    <a:alpha val="70000"/>
                  </a:srgbClr>
                </a:solidFill>
              </a:ln>
              <a:effectLst/>
            </c:spPr>
            <c:extLst>
              <c:ext xmlns:c16="http://schemas.microsoft.com/office/drawing/2014/chart" uri="{C3380CC4-5D6E-409C-BE32-E72D297353CC}">
                <c16:uniqueId val="{00000010-2D48-46C8-9D09-044E9606937A}"/>
              </c:ext>
            </c:extLst>
          </c:dPt>
          <c:dPt>
            <c:idx val="3"/>
            <c:bubble3D val="0"/>
            <c:spPr>
              <a:noFill/>
              <a:ln w="9525">
                <a:solidFill>
                  <a:srgbClr val="ABB5E2">
                    <a:alpha val="70000"/>
                  </a:srgbClr>
                </a:solidFill>
              </a:ln>
              <a:effectLst/>
            </c:spPr>
            <c:extLst>
              <c:ext xmlns:c16="http://schemas.microsoft.com/office/drawing/2014/chart" uri="{C3380CC4-5D6E-409C-BE32-E72D297353CC}">
                <c16:uniqueId val="{00000012-2D48-46C8-9D09-044E9606937A}"/>
              </c:ext>
            </c:extLst>
          </c:dPt>
          <c:dPt>
            <c:idx val="4"/>
            <c:bubble3D val="0"/>
            <c:spPr>
              <a:noFill/>
              <a:ln w="9525">
                <a:solidFill>
                  <a:srgbClr val="ABB5E2">
                    <a:alpha val="70000"/>
                  </a:srgbClr>
                </a:solidFill>
              </a:ln>
              <a:effectLst/>
            </c:spPr>
            <c:extLst>
              <c:ext xmlns:c16="http://schemas.microsoft.com/office/drawing/2014/chart" uri="{C3380CC4-5D6E-409C-BE32-E72D297353CC}">
                <c16:uniqueId val="{00000014-2D48-46C8-9D09-044E9606937A}"/>
              </c:ext>
            </c:extLst>
          </c:dPt>
          <c:val>
            <c:numRef>
              <c:f>Processing!$A$65:$E$65</c:f>
              <c:numCache>
                <c:formatCode>General</c:formatCode>
                <c:ptCount val="5"/>
                <c:pt idx="0">
                  <c:v>72</c:v>
                </c:pt>
                <c:pt idx="1">
                  <c:v>72</c:v>
                </c:pt>
                <c:pt idx="2">
                  <c:v>72</c:v>
                </c:pt>
                <c:pt idx="3">
                  <c:v>72</c:v>
                </c:pt>
                <c:pt idx="4">
                  <c:v>72</c:v>
                </c:pt>
              </c:numCache>
            </c:numRef>
          </c:val>
          <c:extLst>
            <c:ext xmlns:c16="http://schemas.microsoft.com/office/drawing/2014/chart" uri="{C3380CC4-5D6E-409C-BE32-E72D297353CC}">
              <c16:uniqueId val="{00000015-2D48-46C8-9D09-044E9606937A}"/>
            </c:ext>
          </c:extLst>
        </c:ser>
        <c:ser>
          <c:idx val="2"/>
          <c:order val="2"/>
          <c:spPr>
            <a:noFill/>
            <a:ln w="9525">
              <a:solidFill>
                <a:srgbClr val="ABB5E2"/>
              </a:solidFill>
            </a:ln>
          </c:spPr>
          <c:dPt>
            <c:idx val="0"/>
            <c:bubble3D val="0"/>
            <c:spPr>
              <a:noFill/>
              <a:ln w="9525">
                <a:solidFill>
                  <a:srgbClr val="ABB5E2"/>
                </a:solidFill>
              </a:ln>
              <a:effectLst/>
            </c:spPr>
            <c:extLst>
              <c:ext xmlns:c16="http://schemas.microsoft.com/office/drawing/2014/chart" uri="{C3380CC4-5D6E-409C-BE32-E72D297353CC}">
                <c16:uniqueId val="{00000017-2D48-46C8-9D09-044E9606937A}"/>
              </c:ext>
            </c:extLst>
          </c:dPt>
          <c:dPt>
            <c:idx val="1"/>
            <c:bubble3D val="0"/>
            <c:spPr>
              <a:noFill/>
              <a:ln w="9525">
                <a:solidFill>
                  <a:srgbClr val="ABB5E2"/>
                </a:solidFill>
              </a:ln>
              <a:effectLst/>
            </c:spPr>
            <c:extLst>
              <c:ext xmlns:c16="http://schemas.microsoft.com/office/drawing/2014/chart" uri="{C3380CC4-5D6E-409C-BE32-E72D297353CC}">
                <c16:uniqueId val="{00000019-2D48-46C8-9D09-044E9606937A}"/>
              </c:ext>
            </c:extLst>
          </c:dPt>
          <c:dPt>
            <c:idx val="2"/>
            <c:bubble3D val="0"/>
            <c:spPr>
              <a:noFill/>
              <a:ln w="9525">
                <a:solidFill>
                  <a:srgbClr val="ABB5E2"/>
                </a:solidFill>
              </a:ln>
              <a:effectLst/>
            </c:spPr>
            <c:extLst>
              <c:ext xmlns:c16="http://schemas.microsoft.com/office/drawing/2014/chart" uri="{C3380CC4-5D6E-409C-BE32-E72D297353CC}">
                <c16:uniqueId val="{0000001B-2D48-46C8-9D09-044E9606937A}"/>
              </c:ext>
            </c:extLst>
          </c:dPt>
          <c:dPt>
            <c:idx val="3"/>
            <c:bubble3D val="0"/>
            <c:spPr>
              <a:noFill/>
              <a:ln w="9525">
                <a:solidFill>
                  <a:srgbClr val="ABB5E2"/>
                </a:solidFill>
              </a:ln>
              <a:effectLst/>
            </c:spPr>
            <c:extLst>
              <c:ext xmlns:c16="http://schemas.microsoft.com/office/drawing/2014/chart" uri="{C3380CC4-5D6E-409C-BE32-E72D297353CC}">
                <c16:uniqueId val="{0000001D-2D48-46C8-9D09-044E9606937A}"/>
              </c:ext>
            </c:extLst>
          </c:dPt>
          <c:dPt>
            <c:idx val="4"/>
            <c:bubble3D val="0"/>
            <c:spPr>
              <a:noFill/>
              <a:ln w="9525">
                <a:solidFill>
                  <a:srgbClr val="ABB5E2"/>
                </a:solidFill>
              </a:ln>
              <a:effectLst/>
            </c:spPr>
            <c:extLst>
              <c:ext xmlns:c16="http://schemas.microsoft.com/office/drawing/2014/chart" uri="{C3380CC4-5D6E-409C-BE32-E72D297353CC}">
                <c16:uniqueId val="{0000001F-2D48-46C8-9D09-044E9606937A}"/>
              </c:ext>
            </c:extLst>
          </c:dPt>
          <c:val>
            <c:numRef>
              <c:f>Processing!$A$66:$E$66</c:f>
              <c:numCache>
                <c:formatCode>General</c:formatCode>
                <c:ptCount val="5"/>
                <c:pt idx="0">
                  <c:v>72</c:v>
                </c:pt>
                <c:pt idx="1">
                  <c:v>72</c:v>
                </c:pt>
                <c:pt idx="2">
                  <c:v>72</c:v>
                </c:pt>
                <c:pt idx="3">
                  <c:v>72</c:v>
                </c:pt>
                <c:pt idx="4">
                  <c:v>72</c:v>
                </c:pt>
              </c:numCache>
            </c:numRef>
          </c:val>
          <c:extLst>
            <c:ext xmlns:c16="http://schemas.microsoft.com/office/drawing/2014/chart" uri="{C3380CC4-5D6E-409C-BE32-E72D297353CC}">
              <c16:uniqueId val="{00000020-2D48-46C8-9D09-044E9606937A}"/>
            </c:ext>
          </c:extLst>
        </c:ser>
        <c:dLbls>
          <c:showLegendKey val="0"/>
          <c:showVal val="0"/>
          <c:showCatName val="0"/>
          <c:showSerName val="0"/>
          <c:showPercent val="0"/>
          <c:showBubbleSize val="0"/>
          <c:showLeaderLines val="1"/>
        </c:dLbls>
        <c:firstSliceAng val="0"/>
        <c:holeSize val="20"/>
      </c:doughnutChart>
    </c:plotArea>
    <c:plotVisOnly val="1"/>
    <c:dispBlanksAs val="gap"/>
    <c:showDLblsOverMax val="0"/>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radarChart>
        <c:radarStyle val="marker"/>
        <c:varyColors val="0"/>
        <c:ser>
          <c:idx val="0"/>
          <c:order val="0"/>
          <c:tx>
            <c:strRef>
              <c:f>Processing!$D$51</c:f>
              <c:strCache>
                <c:ptCount val="1"/>
                <c:pt idx="0">
                  <c:v>Entertainment</c:v>
                </c:pt>
              </c:strCache>
            </c:strRef>
          </c:tx>
          <c:spPr>
            <a:ln w="25400" cap="rnd">
              <a:solidFill>
                <a:srgbClr val="00C8D2"/>
              </a:solidFill>
              <a:round/>
            </a:ln>
            <a:effectLst/>
          </c:spPr>
          <c:marker>
            <c:symbol val="circle"/>
            <c:size val="7"/>
            <c:spPr>
              <a:solidFill>
                <a:srgbClr val="00C8D2"/>
              </a:solidFill>
              <a:ln w="9525">
                <a:noFill/>
              </a:ln>
              <a:effectLst/>
            </c:spPr>
          </c:marker>
          <c:cat>
            <c:strRef>
              <c:f>Processing!$C$52:$C$56</c:f>
              <c:strCache>
                <c:ptCount val="5"/>
                <c:pt idx="0">
                  <c:v>E</c:v>
                </c:pt>
                <c:pt idx="1">
                  <c:v>F</c:v>
                </c:pt>
                <c:pt idx="2">
                  <c:v>H</c:v>
                </c:pt>
                <c:pt idx="3">
                  <c:v>L</c:v>
                </c:pt>
                <c:pt idx="4">
                  <c:v>S</c:v>
                </c:pt>
              </c:strCache>
            </c:strRef>
          </c:cat>
          <c:val>
            <c:numRef>
              <c:f>Processing!$D$52:$D$56</c:f>
              <c:numCache>
                <c:formatCode>General</c:formatCode>
                <c:ptCount val="5"/>
                <c:pt idx="0">
                  <c:v>#N/A</c:v>
                </c:pt>
                <c:pt idx="1">
                  <c:v>#N/A</c:v>
                </c:pt>
                <c:pt idx="2">
                  <c:v>#N/A</c:v>
                </c:pt>
                <c:pt idx="3">
                  <c:v>#N/A</c:v>
                </c:pt>
                <c:pt idx="4">
                  <c:v>#N/A</c:v>
                </c:pt>
              </c:numCache>
            </c:numRef>
          </c:val>
          <c:extLst>
            <c:ext xmlns:c16="http://schemas.microsoft.com/office/drawing/2014/chart" uri="{C3380CC4-5D6E-409C-BE32-E72D297353CC}">
              <c16:uniqueId val="{00000000-DBA9-46D6-8A8E-A54C3B182DB1}"/>
            </c:ext>
          </c:extLst>
        </c:ser>
        <c:ser>
          <c:idx val="1"/>
          <c:order val="1"/>
          <c:tx>
            <c:strRef>
              <c:f>Processing!$E$51</c:f>
              <c:strCache>
                <c:ptCount val="1"/>
                <c:pt idx="0">
                  <c:v>FoodCourt</c:v>
                </c:pt>
              </c:strCache>
            </c:strRef>
          </c:tx>
          <c:spPr>
            <a:ln w="25400" cap="rnd">
              <a:solidFill>
                <a:srgbClr val="3879F2"/>
              </a:solidFill>
              <a:round/>
            </a:ln>
            <a:effectLst/>
          </c:spPr>
          <c:marker>
            <c:symbol val="circle"/>
            <c:size val="7"/>
            <c:spPr>
              <a:solidFill>
                <a:srgbClr val="2069F0"/>
              </a:solidFill>
              <a:ln w="9525">
                <a:noFill/>
              </a:ln>
              <a:effectLst/>
            </c:spPr>
          </c:marker>
          <c:cat>
            <c:strRef>
              <c:f>Processing!$C$52:$C$56</c:f>
              <c:strCache>
                <c:ptCount val="5"/>
                <c:pt idx="0">
                  <c:v>E</c:v>
                </c:pt>
                <c:pt idx="1">
                  <c:v>F</c:v>
                </c:pt>
                <c:pt idx="2">
                  <c:v>H</c:v>
                </c:pt>
                <c:pt idx="3">
                  <c:v>L</c:v>
                </c:pt>
                <c:pt idx="4">
                  <c:v>S</c:v>
                </c:pt>
              </c:strCache>
            </c:strRef>
          </c:cat>
          <c:val>
            <c:numRef>
              <c:f>Processing!$E$52:$E$56</c:f>
              <c:numCache>
                <c:formatCode>General</c:formatCode>
                <c:ptCount val="5"/>
                <c:pt idx="0">
                  <c:v>342</c:v>
                </c:pt>
                <c:pt idx="1">
                  <c:v>298</c:v>
                </c:pt>
                <c:pt idx="2">
                  <c:v>319</c:v>
                </c:pt>
                <c:pt idx="3">
                  <c:v>314</c:v>
                </c:pt>
                <c:pt idx="4">
                  <c:v>322</c:v>
                </c:pt>
              </c:numCache>
            </c:numRef>
          </c:val>
          <c:extLst>
            <c:ext xmlns:c16="http://schemas.microsoft.com/office/drawing/2014/chart" uri="{C3380CC4-5D6E-409C-BE32-E72D297353CC}">
              <c16:uniqueId val="{00000001-DBA9-46D6-8A8E-A54C3B182DB1}"/>
            </c:ext>
          </c:extLst>
        </c:ser>
        <c:ser>
          <c:idx val="2"/>
          <c:order val="2"/>
          <c:tx>
            <c:strRef>
              <c:f>Processing!$F$51</c:f>
              <c:strCache>
                <c:ptCount val="1"/>
                <c:pt idx="0">
                  <c:v>Supermarket</c:v>
                </c:pt>
              </c:strCache>
            </c:strRef>
          </c:tx>
          <c:spPr>
            <a:ln w="25400" cap="rnd">
              <a:solidFill>
                <a:srgbClr val="FF5C6D"/>
              </a:solidFill>
              <a:round/>
            </a:ln>
            <a:effectLst/>
          </c:spPr>
          <c:marker>
            <c:symbol val="circle"/>
            <c:size val="7"/>
            <c:spPr>
              <a:solidFill>
                <a:srgbClr val="FF5C6D"/>
              </a:solidFill>
              <a:ln w="9525">
                <a:noFill/>
              </a:ln>
              <a:effectLst/>
            </c:spPr>
          </c:marker>
          <c:cat>
            <c:strRef>
              <c:f>Processing!$C$52:$C$56</c:f>
              <c:strCache>
                <c:ptCount val="5"/>
                <c:pt idx="0">
                  <c:v>E</c:v>
                </c:pt>
                <c:pt idx="1">
                  <c:v>F</c:v>
                </c:pt>
                <c:pt idx="2">
                  <c:v>H</c:v>
                </c:pt>
                <c:pt idx="3">
                  <c:v>L</c:v>
                </c:pt>
                <c:pt idx="4">
                  <c:v>S</c:v>
                </c:pt>
              </c:strCache>
            </c:strRef>
          </c:cat>
          <c:val>
            <c:numRef>
              <c:f>Processing!$F$52:$F$56</c:f>
              <c:numCache>
                <c:formatCode>General</c:formatCode>
                <c:ptCount val="5"/>
                <c:pt idx="0">
                  <c:v>524</c:v>
                </c:pt>
                <c:pt idx="1">
                  <c:v>550</c:v>
                </c:pt>
                <c:pt idx="2">
                  <c:v>498</c:v>
                </c:pt>
                <c:pt idx="3">
                  <c:v>406</c:v>
                </c:pt>
                <c:pt idx="4">
                  <c:v>509</c:v>
                </c:pt>
              </c:numCache>
            </c:numRef>
          </c:val>
          <c:extLst>
            <c:ext xmlns:c16="http://schemas.microsoft.com/office/drawing/2014/chart" uri="{C3380CC4-5D6E-409C-BE32-E72D297353CC}">
              <c16:uniqueId val="{00000002-DBA9-46D6-8A8E-A54C3B182DB1}"/>
            </c:ext>
          </c:extLst>
        </c:ser>
        <c:ser>
          <c:idx val="3"/>
          <c:order val="3"/>
          <c:tx>
            <c:strRef>
              <c:f>Processing!$G$51</c:f>
              <c:strCache>
                <c:ptCount val="1"/>
                <c:pt idx="0">
                  <c:v>Travel</c:v>
                </c:pt>
              </c:strCache>
            </c:strRef>
          </c:tx>
          <c:spPr>
            <a:ln w="25400" cap="rnd">
              <a:solidFill>
                <a:srgbClr val="00ADD6"/>
              </a:solidFill>
              <a:round/>
            </a:ln>
            <a:effectLst/>
          </c:spPr>
          <c:marker>
            <c:symbol val="circle"/>
            <c:size val="7"/>
            <c:spPr>
              <a:solidFill>
                <a:schemeClr val="accent4"/>
              </a:solidFill>
              <a:ln w="9525">
                <a:solidFill>
                  <a:schemeClr val="accent4"/>
                </a:solidFill>
              </a:ln>
              <a:effectLst/>
            </c:spPr>
          </c:marker>
          <c:cat>
            <c:strRef>
              <c:f>Processing!$C$52:$C$56</c:f>
              <c:strCache>
                <c:ptCount val="5"/>
                <c:pt idx="0">
                  <c:v>E</c:v>
                </c:pt>
                <c:pt idx="1">
                  <c:v>F</c:v>
                </c:pt>
                <c:pt idx="2">
                  <c:v>H</c:v>
                </c:pt>
                <c:pt idx="3">
                  <c:v>L</c:v>
                </c:pt>
                <c:pt idx="4">
                  <c:v>S</c:v>
                </c:pt>
              </c:strCache>
            </c:strRef>
          </c:cat>
          <c:val>
            <c:numRef>
              <c:f>Processing!$G$52:$G$56</c:f>
              <c:numCache>
                <c:formatCode>General</c:formatCode>
                <c:ptCount val="5"/>
                <c:pt idx="0">
                  <c:v>238</c:v>
                </c:pt>
                <c:pt idx="1">
                  <c:v>459</c:v>
                </c:pt>
                <c:pt idx="2">
                  <c:v>370</c:v>
                </c:pt>
                <c:pt idx="3">
                  <c:v>467</c:v>
                </c:pt>
                <c:pt idx="4">
                  <c:v>313</c:v>
                </c:pt>
              </c:numCache>
            </c:numRef>
          </c:val>
          <c:extLst>
            <c:ext xmlns:c16="http://schemas.microsoft.com/office/drawing/2014/chart" uri="{C3380CC4-5D6E-409C-BE32-E72D297353CC}">
              <c16:uniqueId val="{00000003-DBA9-46D6-8A8E-A54C3B182DB1}"/>
            </c:ext>
          </c:extLst>
        </c:ser>
        <c:ser>
          <c:idx val="4"/>
          <c:order val="4"/>
          <c:tx>
            <c:strRef>
              <c:f>Processing!$H$51</c:f>
              <c:strCache>
                <c:ptCount val="1"/>
                <c:pt idx="0">
                  <c:v>Workplace</c:v>
                </c:pt>
              </c:strCache>
            </c:strRef>
          </c:tx>
          <c:spPr>
            <a:ln w="25400" cap="rnd">
              <a:solidFill>
                <a:srgbClr val="6978B4"/>
              </a:solidFill>
              <a:round/>
            </a:ln>
            <a:effectLst/>
          </c:spPr>
          <c:marker>
            <c:symbol val="circle"/>
            <c:size val="7"/>
            <c:spPr>
              <a:solidFill>
                <a:srgbClr val="6978B4"/>
              </a:solidFill>
              <a:ln w="9525">
                <a:noFill/>
              </a:ln>
              <a:effectLst/>
            </c:spPr>
          </c:marker>
          <c:cat>
            <c:strRef>
              <c:f>Processing!$C$52:$C$56</c:f>
              <c:strCache>
                <c:ptCount val="5"/>
                <c:pt idx="0">
                  <c:v>E</c:v>
                </c:pt>
                <c:pt idx="1">
                  <c:v>F</c:v>
                </c:pt>
                <c:pt idx="2">
                  <c:v>H</c:v>
                </c:pt>
                <c:pt idx="3">
                  <c:v>L</c:v>
                </c:pt>
                <c:pt idx="4">
                  <c:v>S</c:v>
                </c:pt>
              </c:strCache>
            </c:strRef>
          </c:cat>
          <c:val>
            <c:numRef>
              <c:f>Processing!$H$52:$H$56</c:f>
              <c:numCache>
                <c:formatCode>General</c:formatCode>
                <c:ptCount val="5"/>
                <c:pt idx="0">
                  <c:v>#N/A</c:v>
                </c:pt>
                <c:pt idx="1">
                  <c:v>#N/A</c:v>
                </c:pt>
                <c:pt idx="2">
                  <c:v>#N/A</c:v>
                </c:pt>
                <c:pt idx="3">
                  <c:v>#N/A</c:v>
                </c:pt>
                <c:pt idx="4">
                  <c:v>#N/A</c:v>
                </c:pt>
              </c:numCache>
            </c:numRef>
          </c:val>
          <c:extLst>
            <c:ext xmlns:c16="http://schemas.microsoft.com/office/drawing/2014/chart" uri="{C3380CC4-5D6E-409C-BE32-E72D297353CC}">
              <c16:uniqueId val="{00000004-DBA9-46D6-8A8E-A54C3B182DB1}"/>
            </c:ext>
          </c:extLst>
        </c:ser>
        <c:dLbls>
          <c:showLegendKey val="0"/>
          <c:showVal val="0"/>
          <c:showCatName val="0"/>
          <c:showSerName val="0"/>
          <c:showPercent val="0"/>
          <c:showBubbleSize val="0"/>
        </c:dLbls>
        <c:axId val="1484366719"/>
        <c:axId val="1484339839"/>
      </c:radarChart>
      <c:catAx>
        <c:axId val="148436671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455177"/>
                </a:solidFill>
                <a:latin typeface="+mn-lt"/>
                <a:ea typeface="+mn-ea"/>
                <a:cs typeface="+mn-cs"/>
              </a:defRPr>
            </a:pPr>
            <a:endParaRPr lang="ru-RU"/>
          </a:p>
        </c:txPr>
        <c:crossAx val="1484339839"/>
        <c:crosses val="autoZero"/>
        <c:auto val="1"/>
        <c:lblAlgn val="ctr"/>
        <c:lblOffset val="100"/>
        <c:noMultiLvlLbl val="0"/>
      </c:catAx>
      <c:valAx>
        <c:axId val="1484339839"/>
        <c:scaling>
          <c:orientation val="minMax"/>
        </c:scaling>
        <c:delete val="1"/>
        <c:axPos val="l"/>
        <c:numFmt formatCode="General" sourceLinked="1"/>
        <c:majorTickMark val="none"/>
        <c:minorTickMark val="none"/>
        <c:tickLblPos val="nextTo"/>
        <c:crossAx val="1484366719"/>
        <c:crosses val="autoZero"/>
        <c:crossBetween val="between"/>
      </c:valAx>
      <c:spPr>
        <a:noFill/>
      </c:spPr>
    </c:plotArea>
    <c:plotVisOnly val="1"/>
    <c:dispBlanksAs val="gap"/>
    <c:showDLblsOverMax val="0"/>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3"/>
          <c:order val="0"/>
          <c:tx>
            <c:strRef>
              <c:f>Processing!$C$60</c:f>
              <c:strCache>
                <c:ptCount val="1"/>
                <c:pt idx="0">
                  <c:v>indent</c:v>
                </c:pt>
              </c:strCache>
            </c:strRef>
          </c:tx>
          <c:spPr>
            <a:noFill/>
            <a:ln>
              <a:noFill/>
            </a:ln>
            <a:effectLst/>
          </c:spPr>
          <c:invertIfNegative val="0"/>
          <c:val>
            <c:numRef>
              <c:f>Processing!$D$60:$H$60</c:f>
              <c:numCache>
                <c:formatCode>General</c:formatCode>
                <c:ptCount val="5"/>
                <c:pt idx="0">
                  <c:v>174.09</c:v>
                </c:pt>
                <c:pt idx="1">
                  <c:v>174.09</c:v>
                </c:pt>
                <c:pt idx="2">
                  <c:v>174.09</c:v>
                </c:pt>
                <c:pt idx="3">
                  <c:v>174.09</c:v>
                </c:pt>
                <c:pt idx="4">
                  <c:v>174.09</c:v>
                </c:pt>
              </c:numCache>
            </c:numRef>
          </c:val>
          <c:extLst>
            <c:ext xmlns:c16="http://schemas.microsoft.com/office/drawing/2014/chart" uri="{C3380CC4-5D6E-409C-BE32-E72D297353CC}">
              <c16:uniqueId val="{00000000-AD36-4D9A-8795-CCFD295995B2}"/>
            </c:ext>
          </c:extLst>
        </c:ser>
        <c:ser>
          <c:idx val="2"/>
          <c:order val="1"/>
          <c:tx>
            <c:strRef>
              <c:f>Processing!$C$59</c:f>
              <c:strCache>
                <c:ptCount val="1"/>
                <c:pt idx="0">
                  <c:v>Total</c:v>
                </c:pt>
              </c:strCache>
            </c:strRef>
          </c:tx>
          <c:spPr>
            <a:solidFill>
              <a:schemeClr val="accent3"/>
            </a:solidFill>
            <a:ln w="101600">
              <a:solidFill>
                <a:srgbClr val="ABB5E2"/>
              </a:solidFill>
            </a:ln>
            <a:effectLst/>
          </c:spPr>
          <c:invertIfNegative val="0"/>
          <c:val>
            <c:numRef>
              <c:f>Processing!$D$59:$H$59</c:f>
              <c:numCache>
                <c:formatCode>General</c:formatCode>
                <c:ptCount val="5"/>
                <c:pt idx="0">
                  <c:v>2311</c:v>
                </c:pt>
                <c:pt idx="1">
                  <c:v>1595</c:v>
                </c:pt>
                <c:pt idx="2">
                  <c:v>2487</c:v>
                </c:pt>
                <c:pt idx="3">
                  <c:v>1847</c:v>
                </c:pt>
                <c:pt idx="4">
                  <c:v>2062</c:v>
                </c:pt>
              </c:numCache>
            </c:numRef>
          </c:val>
          <c:extLst>
            <c:ext xmlns:c16="http://schemas.microsoft.com/office/drawing/2014/chart" uri="{C3380CC4-5D6E-409C-BE32-E72D297353CC}">
              <c16:uniqueId val="{00000001-AD36-4D9A-8795-CCFD295995B2}"/>
            </c:ext>
          </c:extLst>
        </c:ser>
        <c:dLbls>
          <c:showLegendKey val="0"/>
          <c:showVal val="0"/>
          <c:showCatName val="0"/>
          <c:showSerName val="0"/>
          <c:showPercent val="0"/>
          <c:showBubbleSize val="0"/>
        </c:dLbls>
        <c:gapWidth val="400"/>
        <c:overlap val="100"/>
        <c:axId val="1488376607"/>
        <c:axId val="1488381407"/>
      </c:barChart>
      <c:barChart>
        <c:barDir val="col"/>
        <c:grouping val="stacked"/>
        <c:varyColors val="0"/>
        <c:ser>
          <c:idx val="1"/>
          <c:order val="2"/>
          <c:tx>
            <c:strRef>
              <c:f>Processing!$C$58</c:f>
              <c:strCache>
                <c:ptCount val="1"/>
                <c:pt idx="0">
                  <c:v>indent Cursor</c:v>
                </c:pt>
              </c:strCache>
            </c:strRef>
          </c:tx>
          <c:spPr>
            <a:noFill/>
            <a:ln>
              <a:noFill/>
            </a:ln>
            <a:effectLst/>
          </c:spPr>
          <c:invertIfNegative val="0"/>
          <c:val>
            <c:numRef>
              <c:f>Processing!$D$58:$H$58</c:f>
              <c:numCache>
                <c:formatCode>General</c:formatCode>
                <c:ptCount val="5"/>
                <c:pt idx="0">
                  <c:v>174.09</c:v>
                </c:pt>
                <c:pt idx="1">
                  <c:v>174.09</c:v>
                </c:pt>
                <c:pt idx="2">
                  <c:v>174.09</c:v>
                </c:pt>
                <c:pt idx="3">
                  <c:v>174.09</c:v>
                </c:pt>
                <c:pt idx="4">
                  <c:v>174.09</c:v>
                </c:pt>
              </c:numCache>
            </c:numRef>
          </c:val>
          <c:extLst>
            <c:ext xmlns:c16="http://schemas.microsoft.com/office/drawing/2014/chart" uri="{C3380CC4-5D6E-409C-BE32-E72D297353CC}">
              <c16:uniqueId val="{00000002-AD36-4D9A-8795-CCFD295995B2}"/>
            </c:ext>
          </c:extLst>
        </c:ser>
        <c:ser>
          <c:idx val="0"/>
          <c:order val="3"/>
          <c:tx>
            <c:strRef>
              <c:f>Processing!$C$57</c:f>
              <c:strCache>
                <c:ptCount val="1"/>
                <c:pt idx="0">
                  <c:v>Cursor</c:v>
                </c:pt>
              </c:strCache>
            </c:strRef>
          </c:tx>
          <c:spPr>
            <a:solidFill>
              <a:schemeClr val="accent1"/>
            </a:solidFill>
            <a:ln w="101600">
              <a:gradFill>
                <a:gsLst>
                  <a:gs pos="0">
                    <a:srgbClr val="00ADD6"/>
                  </a:gs>
                  <a:gs pos="100000">
                    <a:schemeClr val="accent1">
                      <a:lumMod val="30000"/>
                      <a:lumOff val="70000"/>
                    </a:schemeClr>
                  </a:gs>
                </a:gsLst>
                <a:lin ang="5400000" scaled="1"/>
              </a:gradFill>
            </a:ln>
            <a:effectLst/>
          </c:spPr>
          <c:invertIfNegative val="0"/>
          <c:dPt>
            <c:idx val="0"/>
            <c:invertIfNegative val="0"/>
            <c:bubble3D val="0"/>
            <c:spPr>
              <a:solidFill>
                <a:srgbClr val="00C8D2"/>
              </a:solidFill>
              <a:ln w="101600">
                <a:gradFill>
                  <a:gsLst>
                    <a:gs pos="22000">
                      <a:srgbClr val="00C8D2"/>
                    </a:gs>
                    <a:gs pos="100000">
                      <a:srgbClr val="00A8B0"/>
                    </a:gs>
                  </a:gsLst>
                  <a:lin ang="5400000" scaled="1"/>
                </a:gradFill>
              </a:ln>
              <a:effectLst/>
            </c:spPr>
            <c:extLst>
              <c:ext xmlns:c16="http://schemas.microsoft.com/office/drawing/2014/chart" uri="{C3380CC4-5D6E-409C-BE32-E72D297353CC}">
                <c16:uniqueId val="{00000004-AD36-4D9A-8795-CCFD295995B2}"/>
              </c:ext>
            </c:extLst>
          </c:dPt>
          <c:dPt>
            <c:idx val="1"/>
            <c:invertIfNegative val="0"/>
            <c:bubble3D val="0"/>
            <c:spPr>
              <a:solidFill>
                <a:schemeClr val="accent1"/>
              </a:solidFill>
              <a:ln w="101600">
                <a:gradFill>
                  <a:gsLst>
                    <a:gs pos="0">
                      <a:srgbClr val="3879F2"/>
                    </a:gs>
                    <a:gs pos="100000">
                      <a:srgbClr val="2069F0"/>
                    </a:gs>
                  </a:gsLst>
                  <a:lin ang="5400000" scaled="1"/>
                </a:gradFill>
              </a:ln>
              <a:effectLst/>
            </c:spPr>
            <c:extLst>
              <c:ext xmlns:c16="http://schemas.microsoft.com/office/drawing/2014/chart" uri="{C3380CC4-5D6E-409C-BE32-E72D297353CC}">
                <c16:uniqueId val="{00000006-AD36-4D9A-8795-CCFD295995B2}"/>
              </c:ext>
            </c:extLst>
          </c:dPt>
          <c:dPt>
            <c:idx val="2"/>
            <c:invertIfNegative val="0"/>
            <c:bubble3D val="0"/>
            <c:spPr>
              <a:solidFill>
                <a:schemeClr val="accent1"/>
              </a:solidFill>
              <a:ln w="101600">
                <a:gradFill>
                  <a:gsLst>
                    <a:gs pos="0">
                      <a:srgbClr val="FF7684"/>
                    </a:gs>
                    <a:gs pos="100000">
                      <a:srgbClr val="FF5C6D"/>
                    </a:gs>
                  </a:gsLst>
                  <a:lin ang="5400000" scaled="1"/>
                </a:gradFill>
              </a:ln>
              <a:effectLst/>
            </c:spPr>
            <c:extLst>
              <c:ext xmlns:c16="http://schemas.microsoft.com/office/drawing/2014/chart" uri="{C3380CC4-5D6E-409C-BE32-E72D297353CC}">
                <c16:uniqueId val="{00000008-AD36-4D9A-8795-CCFD295995B2}"/>
              </c:ext>
            </c:extLst>
          </c:dPt>
          <c:dPt>
            <c:idx val="3"/>
            <c:invertIfNegative val="0"/>
            <c:bubble3D val="0"/>
            <c:spPr>
              <a:solidFill>
                <a:schemeClr val="accent1"/>
              </a:solidFill>
              <a:ln w="101600">
                <a:gradFill>
                  <a:gsLst>
                    <a:gs pos="0">
                      <a:srgbClr val="00ADD6"/>
                    </a:gs>
                    <a:gs pos="100000">
                      <a:srgbClr val="007D9B"/>
                    </a:gs>
                  </a:gsLst>
                  <a:lin ang="5400000" scaled="1"/>
                </a:gradFill>
              </a:ln>
              <a:effectLst/>
            </c:spPr>
            <c:extLst>
              <c:ext xmlns:c16="http://schemas.microsoft.com/office/drawing/2014/chart" uri="{C3380CC4-5D6E-409C-BE32-E72D297353CC}">
                <c16:uniqueId val="{0000000A-AD36-4D9A-8795-CCFD295995B2}"/>
              </c:ext>
            </c:extLst>
          </c:dPt>
          <c:dPt>
            <c:idx val="4"/>
            <c:invertIfNegative val="0"/>
            <c:bubble3D val="0"/>
            <c:spPr>
              <a:solidFill>
                <a:schemeClr val="accent1"/>
              </a:solidFill>
              <a:ln w="101600">
                <a:gradFill>
                  <a:gsLst>
                    <a:gs pos="0">
                      <a:srgbClr val="6978B4"/>
                    </a:gs>
                    <a:gs pos="100000">
                      <a:srgbClr val="4E5E9D"/>
                    </a:gs>
                  </a:gsLst>
                  <a:lin ang="5400000" scaled="1"/>
                </a:gradFill>
              </a:ln>
              <a:effectLst/>
            </c:spPr>
            <c:extLst>
              <c:ext xmlns:c16="http://schemas.microsoft.com/office/drawing/2014/chart" uri="{C3380CC4-5D6E-409C-BE32-E72D297353CC}">
                <c16:uniqueId val="{0000000C-AD36-4D9A-8795-CCFD295995B2}"/>
              </c:ext>
            </c:extLst>
          </c:dPt>
          <c:val>
            <c:numRef>
              <c:f>Processing!$D$57:$H$57</c:f>
              <c:numCache>
                <c:formatCode>General</c:formatCode>
                <c:ptCount val="5"/>
                <c:pt idx="0">
                  <c:v>#N/A</c:v>
                </c:pt>
                <c:pt idx="1">
                  <c:v>1595</c:v>
                </c:pt>
                <c:pt idx="2">
                  <c:v>2487</c:v>
                </c:pt>
                <c:pt idx="3">
                  <c:v>1847</c:v>
                </c:pt>
                <c:pt idx="4">
                  <c:v>#N/A</c:v>
                </c:pt>
              </c:numCache>
            </c:numRef>
          </c:val>
          <c:extLst>
            <c:ext xmlns:c16="http://schemas.microsoft.com/office/drawing/2014/chart" uri="{C3380CC4-5D6E-409C-BE32-E72D297353CC}">
              <c16:uniqueId val="{0000000D-AD36-4D9A-8795-CCFD295995B2}"/>
            </c:ext>
          </c:extLst>
        </c:ser>
        <c:dLbls>
          <c:showLegendKey val="0"/>
          <c:showVal val="0"/>
          <c:showCatName val="0"/>
          <c:showSerName val="0"/>
          <c:showPercent val="0"/>
          <c:showBubbleSize val="0"/>
        </c:dLbls>
        <c:gapWidth val="400"/>
        <c:overlap val="100"/>
        <c:axId val="1488359807"/>
        <c:axId val="1488349727"/>
      </c:barChart>
      <c:scatterChart>
        <c:scatterStyle val="lineMarker"/>
        <c:varyColors val="0"/>
        <c:ser>
          <c:idx val="4"/>
          <c:order val="4"/>
          <c:tx>
            <c:strRef>
              <c:f>Processing!$C$61</c:f>
              <c:strCache>
                <c:ptCount val="1"/>
                <c:pt idx="0">
                  <c:v>Markers</c:v>
                </c:pt>
              </c:strCache>
            </c:strRef>
          </c:tx>
          <c:spPr>
            <a:ln w="25400" cap="rnd">
              <a:noFill/>
              <a:round/>
            </a:ln>
            <a:effectLst/>
          </c:spPr>
          <c:marker>
            <c:symbol val="none"/>
          </c:marker>
          <c:dLbls>
            <c:dLbl>
              <c:idx val="0"/>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E-AD36-4D9A-8795-CCFD295995B2}"/>
                </c:ext>
              </c:extLst>
            </c:dLbl>
            <c:dLbl>
              <c:idx val="1"/>
              <c:tx>
                <c:rich>
                  <a:bodyPr/>
                  <a:lstStyle/>
                  <a:p>
                    <a:fld id="{99C6BC39-ED62-4129-A794-D8BFFE42B8E9}"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F-AD36-4D9A-8795-CCFD295995B2}"/>
                </c:ext>
              </c:extLst>
            </c:dLbl>
            <c:dLbl>
              <c:idx val="2"/>
              <c:tx>
                <c:rich>
                  <a:bodyPr/>
                  <a:lstStyle/>
                  <a:p>
                    <a:fld id="{DEA0BF1B-205E-4285-9C19-14C28E29EA04}"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0-AD36-4D9A-8795-CCFD295995B2}"/>
                </c:ext>
              </c:extLst>
            </c:dLbl>
            <c:dLbl>
              <c:idx val="3"/>
              <c:tx>
                <c:rich>
                  <a:bodyPr/>
                  <a:lstStyle/>
                  <a:p>
                    <a:fld id="{A77CEFB7-A161-437D-A2FA-6EE162F3E539}"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1-AD36-4D9A-8795-CCFD295995B2}"/>
                </c:ext>
              </c:extLst>
            </c:dLbl>
            <c:dLbl>
              <c:idx val="4"/>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2-AD36-4D9A-8795-CCFD295995B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455177"/>
                    </a:solidFill>
                    <a:latin typeface="+mn-lt"/>
                    <a:ea typeface="+mn-ea"/>
                    <a:cs typeface="+mn-cs"/>
                  </a:defRPr>
                </a:pPr>
                <a:endParaRPr lang="ru-RU"/>
              </a:p>
            </c:txPr>
            <c:dLblPos val="t"/>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yVal>
            <c:numRef>
              <c:f>Processing!$D$61:$H$61</c:f>
              <c:numCache>
                <c:formatCode>General</c:formatCode>
                <c:ptCount val="5"/>
                <c:pt idx="0">
                  <c:v>#N/A</c:v>
                </c:pt>
                <c:pt idx="1">
                  <c:v>1769.09</c:v>
                </c:pt>
                <c:pt idx="2">
                  <c:v>2661.09</c:v>
                </c:pt>
                <c:pt idx="3">
                  <c:v>2021.09</c:v>
                </c:pt>
                <c:pt idx="4">
                  <c:v>#N/A</c:v>
                </c:pt>
              </c:numCache>
            </c:numRef>
          </c:yVal>
          <c:smooth val="0"/>
          <c:extLst>
            <c:ext xmlns:c15="http://schemas.microsoft.com/office/drawing/2012/chart" uri="{02D57815-91ED-43cb-92C2-25804820EDAC}">
              <c15:datalabelsRange>
                <c15:f>Processing!$D$62:$H$62</c15:f>
                <c15:dlblRangeCache>
                  <c:ptCount val="5"/>
                  <c:pt idx="1">
                    <c:v>2k</c:v>
                  </c:pt>
                  <c:pt idx="2">
                    <c:v>2k</c:v>
                  </c:pt>
                  <c:pt idx="3">
                    <c:v>2k</c:v>
                  </c:pt>
                </c15:dlblRangeCache>
              </c15:datalabelsRange>
            </c:ext>
            <c:ext xmlns:c16="http://schemas.microsoft.com/office/drawing/2014/chart" uri="{C3380CC4-5D6E-409C-BE32-E72D297353CC}">
              <c16:uniqueId val="{00000013-AD36-4D9A-8795-CCFD295995B2}"/>
            </c:ext>
          </c:extLst>
        </c:ser>
        <c:dLbls>
          <c:showLegendKey val="0"/>
          <c:showVal val="0"/>
          <c:showCatName val="0"/>
          <c:showSerName val="0"/>
          <c:showPercent val="0"/>
          <c:showBubbleSize val="0"/>
        </c:dLbls>
        <c:axId val="1488359807"/>
        <c:axId val="1488349727"/>
      </c:scatterChart>
      <c:catAx>
        <c:axId val="1488376607"/>
        <c:scaling>
          <c:orientation val="minMax"/>
        </c:scaling>
        <c:delete val="1"/>
        <c:axPos val="b"/>
        <c:majorTickMark val="none"/>
        <c:minorTickMark val="none"/>
        <c:tickLblPos val="nextTo"/>
        <c:crossAx val="1488381407"/>
        <c:crosses val="autoZero"/>
        <c:auto val="1"/>
        <c:lblAlgn val="ctr"/>
        <c:lblOffset val="100"/>
        <c:noMultiLvlLbl val="0"/>
      </c:catAx>
      <c:valAx>
        <c:axId val="1488381407"/>
        <c:scaling>
          <c:orientation val="minMax"/>
        </c:scaling>
        <c:delete val="1"/>
        <c:axPos val="l"/>
        <c:numFmt formatCode="General" sourceLinked="1"/>
        <c:majorTickMark val="none"/>
        <c:minorTickMark val="none"/>
        <c:tickLblPos val="nextTo"/>
        <c:crossAx val="1488376607"/>
        <c:crosses val="autoZero"/>
        <c:crossBetween val="between"/>
      </c:valAx>
      <c:valAx>
        <c:axId val="1488349727"/>
        <c:scaling>
          <c:orientation val="minMax"/>
        </c:scaling>
        <c:delete val="1"/>
        <c:axPos val="r"/>
        <c:numFmt formatCode="General" sourceLinked="1"/>
        <c:majorTickMark val="out"/>
        <c:minorTickMark val="none"/>
        <c:tickLblPos val="nextTo"/>
        <c:crossAx val="1488359807"/>
        <c:crosses val="max"/>
        <c:crossBetween val="between"/>
      </c:valAx>
      <c:catAx>
        <c:axId val="1488359807"/>
        <c:scaling>
          <c:orientation val="minMax"/>
        </c:scaling>
        <c:delete val="1"/>
        <c:axPos val="b"/>
        <c:majorTickMark val="out"/>
        <c:minorTickMark val="none"/>
        <c:tickLblPos val="nextTo"/>
        <c:crossAx val="1488349727"/>
        <c:crosses val="autoZero"/>
        <c:auto val="1"/>
        <c:lblAlgn val="ctr"/>
        <c:lblOffset val="100"/>
        <c:noMultiLvlLbl val="0"/>
      </c:catAx>
      <c:spPr>
        <a:noFill/>
      </c:spPr>
    </c:plotArea>
    <c:plotVisOnly val="1"/>
    <c:dispBlanksAs val="gap"/>
    <c:showDLblsOverMax val="0"/>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Processing!$H$2</c:f>
              <c:strCache>
                <c:ptCount val="1"/>
                <c:pt idx="0">
                  <c:v>Cursor</c:v>
                </c:pt>
              </c:strCache>
            </c:strRef>
          </c:tx>
          <c:spPr>
            <a:solidFill>
              <a:srgbClr val="A2ADBE">
                <a:alpha val="21000"/>
              </a:srgbClr>
            </a:solidFill>
            <a:ln>
              <a:noFill/>
            </a:ln>
            <a:effectLst/>
          </c:spPr>
          <c:invertIfNegative val="0"/>
          <c:cat>
            <c:strRef>
              <c:f>Processing!$B$3:$B$14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Processing!$H$3:$H$14</c:f>
              <c:numCache>
                <c:formatCode>0%</c:formatCode>
                <c:ptCount val="12"/>
                <c:pt idx="0">
                  <c:v>#N/A</c:v>
                </c:pt>
                <c:pt idx="1">
                  <c:v>#N/A</c:v>
                </c:pt>
                <c:pt idx="2">
                  <c:v>#N/A</c:v>
                </c:pt>
                <c:pt idx="3">
                  <c:v>1</c:v>
                </c:pt>
                <c:pt idx="4">
                  <c:v>1</c:v>
                </c:pt>
                <c:pt idx="5">
                  <c:v>1</c:v>
                </c:pt>
                <c:pt idx="6">
                  <c:v>#N/A</c:v>
                </c:pt>
                <c:pt idx="7">
                  <c:v>#N/A</c:v>
                </c:pt>
                <c:pt idx="8">
                  <c:v>#N/A</c:v>
                </c:pt>
                <c:pt idx="9">
                  <c:v>#N/A</c:v>
                </c:pt>
                <c:pt idx="10">
                  <c:v>#N/A</c:v>
                </c:pt>
                <c:pt idx="11">
                  <c:v>#N/A</c:v>
                </c:pt>
              </c:numCache>
            </c:numRef>
          </c:val>
          <c:extLst>
            <c:ext xmlns:c16="http://schemas.microsoft.com/office/drawing/2014/chart" uri="{C3380CC4-5D6E-409C-BE32-E72D297353CC}">
              <c16:uniqueId val="{00000000-5523-4DCB-8AB6-4CAAB442684D}"/>
            </c:ext>
          </c:extLst>
        </c:ser>
        <c:dLbls>
          <c:showLegendKey val="0"/>
          <c:showVal val="0"/>
          <c:showCatName val="0"/>
          <c:showSerName val="0"/>
          <c:showPercent val="0"/>
          <c:showBubbleSize val="0"/>
        </c:dLbls>
        <c:gapWidth val="30"/>
        <c:overlap val="-27"/>
        <c:axId val="2029676367"/>
        <c:axId val="2029690287"/>
      </c:barChart>
      <c:catAx>
        <c:axId val="2029676367"/>
        <c:scaling>
          <c:orientation val="minMax"/>
        </c:scaling>
        <c:delete val="1"/>
        <c:axPos val="b"/>
        <c:numFmt formatCode="General" sourceLinked="1"/>
        <c:majorTickMark val="none"/>
        <c:minorTickMark val="none"/>
        <c:tickLblPos val="high"/>
        <c:crossAx val="2029690287"/>
        <c:crosses val="autoZero"/>
        <c:auto val="1"/>
        <c:lblAlgn val="ctr"/>
        <c:lblOffset val="100"/>
        <c:noMultiLvlLbl val="0"/>
      </c:catAx>
      <c:valAx>
        <c:axId val="2029690287"/>
        <c:scaling>
          <c:orientation val="minMax"/>
          <c:max val="1"/>
          <c:min val="0"/>
        </c:scaling>
        <c:delete val="1"/>
        <c:axPos val="l"/>
        <c:numFmt formatCode="0%" sourceLinked="1"/>
        <c:majorTickMark val="none"/>
        <c:minorTickMark val="none"/>
        <c:tickLblPos val="nextTo"/>
        <c:crossAx val="2029676367"/>
        <c:crosses val="autoZero"/>
        <c:crossBetween val="between"/>
      </c:valAx>
      <c:spPr>
        <a:noFill/>
      </c:spPr>
    </c:plotArea>
    <c:plotVisOnly val="1"/>
    <c:dispBlanksAs val="gap"/>
    <c:showDLblsOverMax val="0"/>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0617869641294839"/>
          <c:y val="6.7401960784313722E-2"/>
          <c:w val="0.87159908136482955"/>
          <c:h val="0.86519607843137258"/>
        </c:manualLayout>
      </c:layout>
      <c:barChart>
        <c:barDir val="bar"/>
        <c:grouping val="stacked"/>
        <c:varyColors val="0"/>
        <c:ser>
          <c:idx val="0"/>
          <c:order val="0"/>
          <c:tx>
            <c:strRef>
              <c:f>Processing!$L$2</c:f>
              <c:strCache>
                <c:ptCount val="1"/>
                <c:pt idx="0">
                  <c:v>Start</c:v>
                </c:pt>
              </c:strCache>
            </c:strRef>
          </c:tx>
          <c:spPr>
            <a:gradFill flip="none" rotWithShape="1">
              <a:gsLst>
                <a:gs pos="0">
                  <a:srgbClr val="0A0E14"/>
                </a:gs>
                <a:gs pos="23000">
                  <a:srgbClr val="0D2048"/>
                </a:gs>
                <a:gs pos="100000">
                  <a:srgbClr val="0A0E14"/>
                </a:gs>
              </a:gsLst>
              <a:lin ang="5400000" scaled="0"/>
              <a:tileRect/>
            </a:gradFill>
            <a:ln>
              <a:noFill/>
            </a:ln>
            <a:effectLst>
              <a:outerShdw blurRad="63500" sx="102000" sy="102000" algn="ctr" rotWithShape="0">
                <a:prstClr val="black">
                  <a:alpha val="40000"/>
                </a:prstClr>
              </a:outerShdw>
            </a:effectLst>
          </c:spPr>
          <c:invertIfNegative val="0"/>
          <c:cat>
            <c:numRef>
              <c:f>Processing!$K$3:$K$7</c:f>
              <c:numCache>
                <c:formatCode>"$"#\ ###\ ###;\-"$"#\ ###\ ###;</c:formatCode>
                <c:ptCount val="5"/>
                <c:pt idx="0">
                  <c:v>0</c:v>
                </c:pt>
                <c:pt idx="1">
                  <c:v>500</c:v>
                </c:pt>
                <c:pt idx="2">
                  <c:v>1400</c:v>
                </c:pt>
                <c:pt idx="3">
                  <c:v>1000</c:v>
                </c:pt>
                <c:pt idx="4">
                  <c:v>0</c:v>
                </c:pt>
              </c:numCache>
            </c:numRef>
          </c:cat>
          <c:val>
            <c:numRef>
              <c:f>Processing!$L$3:$L$7</c:f>
              <c:numCache>
                <c:formatCode>General</c:formatCode>
                <c:ptCount val="5"/>
                <c:pt idx="0">
                  <c:v>0.2</c:v>
                </c:pt>
                <c:pt idx="1">
                  <c:v>1</c:v>
                </c:pt>
                <c:pt idx="2">
                  <c:v>3</c:v>
                </c:pt>
                <c:pt idx="3">
                  <c:v>4</c:v>
                </c:pt>
                <c:pt idx="4">
                  <c:v>7</c:v>
                </c:pt>
              </c:numCache>
            </c:numRef>
          </c:val>
          <c:extLst>
            <c:ext xmlns:c16="http://schemas.microsoft.com/office/drawing/2014/chart" uri="{C3380CC4-5D6E-409C-BE32-E72D297353CC}">
              <c16:uniqueId val="{00000000-B037-4190-8BE3-33700E980370}"/>
            </c:ext>
          </c:extLst>
        </c:ser>
        <c:ser>
          <c:idx val="1"/>
          <c:order val="1"/>
          <c:tx>
            <c:strRef>
              <c:f>Processing!$M$2</c:f>
              <c:strCache>
                <c:ptCount val="1"/>
                <c:pt idx="0">
                  <c:v>Process</c:v>
                </c:pt>
              </c:strCache>
            </c:strRef>
          </c:tx>
          <c:spPr>
            <a:solidFill>
              <a:srgbClr val="2B5BCB"/>
            </a:solidFill>
            <a:ln w="101600">
              <a:solidFill>
                <a:srgbClr val="2B5BCB"/>
              </a:solidFill>
            </a:ln>
            <a:effectLst/>
          </c:spPr>
          <c:invertIfNegative val="0"/>
          <c:dPt>
            <c:idx val="0"/>
            <c:invertIfNegative val="0"/>
            <c:bubble3D val="0"/>
            <c:spPr>
              <a:solidFill>
                <a:srgbClr val="1D8986"/>
              </a:solidFill>
              <a:ln w="101600">
                <a:gradFill>
                  <a:gsLst>
                    <a:gs pos="0">
                      <a:srgbClr val="28BEBA"/>
                    </a:gs>
                    <a:gs pos="31000">
                      <a:srgbClr val="1D8986"/>
                    </a:gs>
                  </a:gsLst>
                  <a:lin ang="5400000" scaled="1"/>
                </a:gradFill>
              </a:ln>
              <a:effectLst/>
            </c:spPr>
            <c:extLst>
              <c:ext xmlns:c16="http://schemas.microsoft.com/office/drawing/2014/chart" uri="{C3380CC4-5D6E-409C-BE32-E72D297353CC}">
                <c16:uniqueId val="{00000002-B037-4190-8BE3-33700E980370}"/>
              </c:ext>
            </c:extLst>
          </c:dPt>
          <c:dPt>
            <c:idx val="1"/>
            <c:invertIfNegative val="0"/>
            <c:bubble3D val="0"/>
            <c:spPr>
              <a:solidFill>
                <a:srgbClr val="2B5BCB"/>
              </a:solidFill>
              <a:ln w="101600">
                <a:gradFill>
                  <a:gsLst>
                    <a:gs pos="0">
                      <a:srgbClr val="5A82DC"/>
                    </a:gs>
                    <a:gs pos="31000">
                      <a:srgbClr val="2B5BCB"/>
                    </a:gs>
                  </a:gsLst>
                  <a:lin ang="5400000" scaled="1"/>
                </a:gradFill>
              </a:ln>
              <a:effectLst/>
            </c:spPr>
            <c:extLst>
              <c:ext xmlns:c16="http://schemas.microsoft.com/office/drawing/2014/chart" uri="{C3380CC4-5D6E-409C-BE32-E72D297353CC}">
                <c16:uniqueId val="{00000004-B037-4190-8BE3-33700E980370}"/>
              </c:ext>
            </c:extLst>
          </c:dPt>
          <c:dPt>
            <c:idx val="2"/>
            <c:invertIfNegative val="0"/>
            <c:bubble3D val="0"/>
            <c:spPr>
              <a:solidFill>
                <a:srgbClr val="FF5C6D"/>
              </a:solidFill>
              <a:ln w="101600">
                <a:gradFill>
                  <a:gsLst>
                    <a:gs pos="0">
                      <a:srgbClr val="FFA3AC"/>
                    </a:gs>
                    <a:gs pos="31000">
                      <a:srgbClr val="FF5C6D"/>
                    </a:gs>
                  </a:gsLst>
                  <a:lin ang="5400000" scaled="1"/>
                </a:gradFill>
              </a:ln>
              <a:effectLst/>
            </c:spPr>
            <c:extLst>
              <c:ext xmlns:c16="http://schemas.microsoft.com/office/drawing/2014/chart" uri="{C3380CC4-5D6E-409C-BE32-E72D297353CC}">
                <c16:uniqueId val="{00000006-B037-4190-8BE3-33700E980370}"/>
              </c:ext>
            </c:extLst>
          </c:dPt>
          <c:dPt>
            <c:idx val="3"/>
            <c:invertIfNegative val="0"/>
            <c:bubble3D val="0"/>
            <c:spPr>
              <a:solidFill>
                <a:srgbClr val="007D9B"/>
              </a:solidFill>
              <a:ln w="101600">
                <a:gradFill>
                  <a:gsLst>
                    <a:gs pos="0">
                      <a:srgbClr val="00ADD6"/>
                    </a:gs>
                    <a:gs pos="31000">
                      <a:srgbClr val="007D9B"/>
                    </a:gs>
                  </a:gsLst>
                  <a:lin ang="5400000" scaled="1"/>
                </a:gradFill>
              </a:ln>
              <a:effectLst/>
            </c:spPr>
            <c:extLst>
              <c:ext xmlns:c16="http://schemas.microsoft.com/office/drawing/2014/chart" uri="{C3380CC4-5D6E-409C-BE32-E72D297353CC}">
                <c16:uniqueId val="{00000008-B037-4190-8BE3-33700E980370}"/>
              </c:ext>
            </c:extLst>
          </c:dPt>
          <c:dPt>
            <c:idx val="4"/>
            <c:invertIfNegative val="0"/>
            <c:bubble3D val="0"/>
            <c:spPr>
              <a:solidFill>
                <a:srgbClr val="4E5E9D"/>
              </a:solidFill>
              <a:ln w="101600">
                <a:gradFill>
                  <a:gsLst>
                    <a:gs pos="0">
                      <a:srgbClr val="6978B4"/>
                    </a:gs>
                    <a:gs pos="31000">
                      <a:srgbClr val="4E5E9D"/>
                    </a:gs>
                  </a:gsLst>
                  <a:lin ang="5400000" scaled="1"/>
                </a:gradFill>
              </a:ln>
              <a:effectLst/>
            </c:spPr>
            <c:extLst>
              <c:ext xmlns:c16="http://schemas.microsoft.com/office/drawing/2014/chart" uri="{C3380CC4-5D6E-409C-BE32-E72D297353CC}">
                <c16:uniqueId val="{0000000A-B037-4190-8BE3-33700E980370}"/>
              </c:ext>
            </c:extLst>
          </c:dPt>
          <c:cat>
            <c:numRef>
              <c:f>Processing!$K$3:$K$7</c:f>
              <c:numCache>
                <c:formatCode>"$"#\ ###\ ###;\-"$"#\ ###\ ###;</c:formatCode>
                <c:ptCount val="5"/>
                <c:pt idx="0">
                  <c:v>0</c:v>
                </c:pt>
                <c:pt idx="1">
                  <c:v>500</c:v>
                </c:pt>
                <c:pt idx="2">
                  <c:v>1400</c:v>
                </c:pt>
                <c:pt idx="3">
                  <c:v>1000</c:v>
                </c:pt>
                <c:pt idx="4">
                  <c:v>0</c:v>
                </c:pt>
              </c:numCache>
            </c:numRef>
          </c:cat>
          <c:val>
            <c:numRef>
              <c:f>Processing!$M$3:$M$7</c:f>
              <c:numCache>
                <c:formatCode>General</c:formatCode>
                <c:ptCount val="5"/>
                <c:pt idx="0">
                  <c:v>1.8</c:v>
                </c:pt>
                <c:pt idx="1">
                  <c:v>3</c:v>
                </c:pt>
                <c:pt idx="2">
                  <c:v>2</c:v>
                </c:pt>
                <c:pt idx="3">
                  <c:v>4</c:v>
                </c:pt>
                <c:pt idx="4">
                  <c:v>4.8</c:v>
                </c:pt>
              </c:numCache>
            </c:numRef>
          </c:val>
          <c:extLst>
            <c:ext xmlns:c16="http://schemas.microsoft.com/office/drawing/2014/chart" uri="{C3380CC4-5D6E-409C-BE32-E72D297353CC}">
              <c16:uniqueId val="{0000000B-B037-4190-8BE3-33700E980370}"/>
            </c:ext>
          </c:extLst>
        </c:ser>
        <c:ser>
          <c:idx val="2"/>
          <c:order val="2"/>
          <c:tx>
            <c:strRef>
              <c:f>Processing!$N$2</c:f>
              <c:strCache>
                <c:ptCount val="1"/>
                <c:pt idx="0">
                  <c:v>End</c:v>
                </c:pt>
              </c:strCache>
            </c:strRef>
          </c:tx>
          <c:spPr>
            <a:gradFill>
              <a:gsLst>
                <a:gs pos="0">
                  <a:srgbClr val="0A0E14"/>
                </a:gs>
                <a:gs pos="23000">
                  <a:srgbClr val="0D2048"/>
                </a:gs>
                <a:gs pos="100000">
                  <a:srgbClr val="0A0E14"/>
                </a:gs>
              </a:gsLst>
              <a:lin ang="5400000" scaled="0"/>
            </a:gradFill>
            <a:ln>
              <a:noFill/>
            </a:ln>
            <a:effectLst/>
          </c:spPr>
          <c:invertIfNegative val="0"/>
          <c:cat>
            <c:numRef>
              <c:f>Processing!$K$3:$K$7</c:f>
              <c:numCache>
                <c:formatCode>"$"#\ ###\ ###;\-"$"#\ ###\ ###;</c:formatCode>
                <c:ptCount val="5"/>
                <c:pt idx="0">
                  <c:v>0</c:v>
                </c:pt>
                <c:pt idx="1">
                  <c:v>500</c:v>
                </c:pt>
                <c:pt idx="2">
                  <c:v>1400</c:v>
                </c:pt>
                <c:pt idx="3">
                  <c:v>1000</c:v>
                </c:pt>
                <c:pt idx="4">
                  <c:v>0</c:v>
                </c:pt>
              </c:numCache>
            </c:numRef>
          </c:cat>
          <c:val>
            <c:numRef>
              <c:f>Processing!$N$3:$N$7</c:f>
              <c:numCache>
                <c:formatCode>General</c:formatCode>
                <c:ptCount val="5"/>
                <c:pt idx="0">
                  <c:v>10</c:v>
                </c:pt>
                <c:pt idx="1">
                  <c:v>8</c:v>
                </c:pt>
                <c:pt idx="2">
                  <c:v>7</c:v>
                </c:pt>
                <c:pt idx="3">
                  <c:v>4</c:v>
                </c:pt>
                <c:pt idx="4">
                  <c:v>0.19999999999999929</c:v>
                </c:pt>
              </c:numCache>
            </c:numRef>
          </c:val>
          <c:extLst>
            <c:ext xmlns:c16="http://schemas.microsoft.com/office/drawing/2014/chart" uri="{C3380CC4-5D6E-409C-BE32-E72D297353CC}">
              <c16:uniqueId val="{0000000C-B037-4190-8BE3-33700E980370}"/>
            </c:ext>
          </c:extLst>
        </c:ser>
        <c:dLbls>
          <c:showLegendKey val="0"/>
          <c:showVal val="0"/>
          <c:showCatName val="0"/>
          <c:showSerName val="0"/>
          <c:showPercent val="0"/>
          <c:showBubbleSize val="0"/>
        </c:dLbls>
        <c:gapWidth val="200"/>
        <c:overlap val="100"/>
        <c:axId val="307646768"/>
        <c:axId val="307649168"/>
      </c:barChart>
      <c:catAx>
        <c:axId val="307646768"/>
        <c:scaling>
          <c:orientation val="maxMin"/>
        </c:scaling>
        <c:delete val="0"/>
        <c:axPos val="l"/>
        <c:numFmt formatCode="&quot;$&quot;#\ ###\ ###;\-&quot;$&quot;#\ ###\ ###;"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ru-RU"/>
          </a:p>
        </c:txPr>
        <c:crossAx val="307649168"/>
        <c:crosses val="autoZero"/>
        <c:auto val="1"/>
        <c:lblAlgn val="ctr"/>
        <c:lblOffset val="100"/>
        <c:noMultiLvlLbl val="0"/>
      </c:catAx>
      <c:valAx>
        <c:axId val="307649168"/>
        <c:scaling>
          <c:orientation val="minMax"/>
          <c:max val="12"/>
          <c:min val="0"/>
        </c:scaling>
        <c:delete val="1"/>
        <c:axPos val="t"/>
        <c:majorGridlines>
          <c:spPr>
            <a:ln w="9525" cap="flat" cmpd="sng" algn="ctr">
              <a:solidFill>
                <a:srgbClr val="193B8A">
                  <a:alpha val="50588"/>
                </a:srgbClr>
              </a:solidFill>
              <a:round/>
            </a:ln>
            <a:effectLst/>
          </c:spPr>
        </c:majorGridlines>
        <c:numFmt formatCode="General" sourceLinked="0"/>
        <c:majorTickMark val="out"/>
        <c:minorTickMark val="none"/>
        <c:tickLblPos val="nextTo"/>
        <c:crossAx val="307646768"/>
        <c:crosses val="autoZero"/>
        <c:crossBetween val="between"/>
        <c:majorUnit val="1"/>
      </c:valAx>
      <c:spPr>
        <a:noFill/>
      </c:spPr>
    </c:plotArea>
    <c:plotVisOnly val="1"/>
    <c:dispBlanksAs val="gap"/>
    <c:showDLblsOverMax val="0"/>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tx>
            <c:strRef>
              <c:f>Processing!$S$1</c:f>
              <c:strCache>
                <c:ptCount val="1"/>
                <c:pt idx="0">
                  <c:v>Budget</c:v>
                </c:pt>
              </c:strCache>
            </c:strRef>
          </c:tx>
          <c:spPr>
            <a:gradFill>
              <a:gsLst>
                <a:gs pos="50384">
                  <a:srgbClr val="BCC6FF"/>
                </a:gs>
                <a:gs pos="0">
                  <a:srgbClr val="6494DA"/>
                </a:gs>
                <a:gs pos="94000">
                  <a:srgbClr val="2F6EC7"/>
                </a:gs>
              </a:gsLst>
              <a:lin ang="5400000" scaled="1"/>
            </a:gradFill>
            <a:ln>
              <a:noFill/>
            </a:ln>
            <a:effectLst>
              <a:outerShdw blurRad="50800" dist="38100" dir="8100000" algn="tr" rotWithShape="0">
                <a:prstClr val="black">
                  <a:alpha val="40000"/>
                </a:prstClr>
              </a:outerShdw>
            </a:effectLst>
          </c:spPr>
          <c:dPt>
            <c:idx val="0"/>
            <c:bubble3D val="0"/>
            <c:spPr>
              <a:gradFill>
                <a:gsLst>
                  <a:gs pos="0">
                    <a:srgbClr val="09C3F2"/>
                  </a:gs>
                  <a:gs pos="100000">
                    <a:srgbClr val="06D3D9"/>
                  </a:gs>
                </a:gsLst>
                <a:lin ang="5400000" scaled="1"/>
              </a:gradFill>
              <a:ln w="19050">
                <a:noFill/>
              </a:ln>
              <a:effectLst>
                <a:outerShdw blurRad="50800" dist="38100" dir="8100000" algn="tr" rotWithShape="0">
                  <a:prstClr val="black">
                    <a:alpha val="40000"/>
                  </a:prstClr>
                </a:outerShdw>
              </a:effectLst>
            </c:spPr>
            <c:extLst>
              <c:ext xmlns:c16="http://schemas.microsoft.com/office/drawing/2014/chart" uri="{C3380CC4-5D6E-409C-BE32-E72D297353CC}">
                <c16:uniqueId val="{00000001-3EC6-4D95-B4C2-DE08CB58A878}"/>
              </c:ext>
            </c:extLst>
          </c:dPt>
          <c:dPt>
            <c:idx val="1"/>
            <c:bubble3D val="0"/>
            <c:spPr>
              <a:gradFill>
                <a:gsLst>
                  <a:gs pos="0">
                    <a:srgbClr val="2C71E7"/>
                  </a:gs>
                  <a:gs pos="100000">
                    <a:srgbClr val="2373DF"/>
                  </a:gs>
                </a:gsLst>
                <a:lin ang="5400000" scaled="1"/>
              </a:gradFill>
              <a:ln w="19050">
                <a:noFill/>
              </a:ln>
              <a:effectLst>
                <a:outerShdw blurRad="50800" dist="38100" dir="8100000" algn="tr" rotWithShape="0">
                  <a:prstClr val="black">
                    <a:alpha val="40000"/>
                  </a:prstClr>
                </a:outerShdw>
              </a:effectLst>
            </c:spPr>
            <c:extLst>
              <c:ext xmlns:c16="http://schemas.microsoft.com/office/drawing/2014/chart" uri="{C3380CC4-5D6E-409C-BE32-E72D297353CC}">
                <c16:uniqueId val="{00000003-3EC6-4D95-B4C2-DE08CB58A878}"/>
              </c:ext>
            </c:extLst>
          </c:dPt>
          <c:val>
            <c:numRef>
              <c:f>Processing!$S$3:$T$3</c:f>
              <c:numCache>
                <c:formatCode>0%</c:formatCode>
                <c:ptCount val="2"/>
                <c:pt idx="0">
                  <c:v>0.64091999999999993</c:v>
                </c:pt>
                <c:pt idx="1">
                  <c:v>0.35908000000000001</c:v>
                </c:pt>
              </c:numCache>
            </c:numRef>
          </c:val>
          <c:extLst>
            <c:ext xmlns:c16="http://schemas.microsoft.com/office/drawing/2014/chart" uri="{C3380CC4-5D6E-409C-BE32-E72D297353CC}">
              <c16:uniqueId val="{00000004-3EC6-4D95-B4C2-DE08CB58A878}"/>
            </c:ext>
          </c:extLst>
        </c:ser>
        <c:dLbls>
          <c:showLegendKey val="0"/>
          <c:showVal val="0"/>
          <c:showCatName val="0"/>
          <c:showSerName val="0"/>
          <c:showPercent val="0"/>
          <c:showBubbleSize val="0"/>
          <c:showLeaderLines val="1"/>
        </c:dLbls>
        <c:firstSliceAng val="0"/>
        <c:holeSize val="75"/>
      </c:doughnutChart>
      <c:scatterChart>
        <c:scatterStyle val="lineMarker"/>
        <c:varyColors val="0"/>
        <c:ser>
          <c:idx val="1"/>
          <c:order val="1"/>
          <c:tx>
            <c:strRef>
              <c:f>Processing!$S$4</c:f>
              <c:strCache>
                <c:ptCount val="1"/>
                <c:pt idx="0">
                  <c:v>Cursors</c:v>
                </c:pt>
              </c:strCache>
            </c:strRef>
          </c:tx>
          <c:spPr>
            <a:ln w="25400" cap="rnd">
              <a:noFill/>
              <a:round/>
            </a:ln>
            <a:effectLst/>
          </c:spPr>
          <c:marker>
            <c:symbol val="circle"/>
            <c:size val="14"/>
            <c:spPr>
              <a:solidFill>
                <a:srgbClr val="09C3F2"/>
              </a:solidFill>
              <a:ln w="9525">
                <a:noFill/>
              </a:ln>
              <a:effectLst/>
            </c:spPr>
          </c:marker>
          <c:dPt>
            <c:idx val="1"/>
            <c:marker>
              <c:symbol val="circle"/>
              <c:size val="14"/>
              <c:spPr>
                <a:solidFill>
                  <a:srgbClr val="06D3D9"/>
                </a:solidFill>
                <a:ln w="9525">
                  <a:noFill/>
                </a:ln>
                <a:effectLst/>
              </c:spPr>
            </c:marker>
            <c:bubble3D val="0"/>
            <c:extLst>
              <c:ext xmlns:c16="http://schemas.microsoft.com/office/drawing/2014/chart" uri="{C3380CC4-5D6E-409C-BE32-E72D297353CC}">
                <c16:uniqueId val="{00000005-3EC6-4D95-B4C2-DE08CB58A878}"/>
              </c:ext>
            </c:extLst>
          </c:dPt>
          <c:xVal>
            <c:numRef>
              <c:f>Processing!$S$6:$S$7</c:f>
              <c:numCache>
                <c:formatCode>General</c:formatCode>
                <c:ptCount val="2"/>
                <c:pt idx="0">
                  <c:v>0</c:v>
                </c:pt>
                <c:pt idx="1">
                  <c:v>-0.77418499792466078</c:v>
                </c:pt>
              </c:numCache>
            </c:numRef>
          </c:xVal>
          <c:yVal>
            <c:numRef>
              <c:f>Processing!$T$6:$T$7</c:f>
              <c:numCache>
                <c:formatCode>General</c:formatCode>
                <c:ptCount val="2"/>
                <c:pt idx="0">
                  <c:v>1</c:v>
                </c:pt>
                <c:pt idx="1">
                  <c:v>-0.63295938968340804</c:v>
                </c:pt>
              </c:numCache>
            </c:numRef>
          </c:yVal>
          <c:smooth val="0"/>
          <c:extLst>
            <c:ext xmlns:c16="http://schemas.microsoft.com/office/drawing/2014/chart" uri="{C3380CC4-5D6E-409C-BE32-E72D297353CC}">
              <c16:uniqueId val="{00000006-3EC6-4D95-B4C2-DE08CB58A878}"/>
            </c:ext>
          </c:extLst>
        </c:ser>
        <c:dLbls>
          <c:showLegendKey val="0"/>
          <c:showVal val="0"/>
          <c:showCatName val="0"/>
          <c:showSerName val="0"/>
          <c:showPercent val="0"/>
          <c:showBubbleSize val="0"/>
        </c:dLbls>
        <c:axId val="1214836208"/>
        <c:axId val="1214847248"/>
      </c:scatterChart>
      <c:valAx>
        <c:axId val="1214847248"/>
        <c:scaling>
          <c:orientation val="minMax"/>
          <c:max val="1.1500000000000001"/>
          <c:min val="-1.1400000000000001"/>
        </c:scaling>
        <c:delete val="1"/>
        <c:axPos val="l"/>
        <c:numFmt formatCode="General" sourceLinked="1"/>
        <c:majorTickMark val="out"/>
        <c:minorTickMark val="none"/>
        <c:tickLblPos val="nextTo"/>
        <c:crossAx val="1214836208"/>
        <c:crosses val="autoZero"/>
        <c:crossBetween val="midCat"/>
      </c:valAx>
      <c:valAx>
        <c:axId val="1214836208"/>
        <c:scaling>
          <c:orientation val="minMax"/>
          <c:max val="1.1400000000000001"/>
          <c:min val="-1.1500000000000001"/>
        </c:scaling>
        <c:delete val="1"/>
        <c:axPos val="t"/>
        <c:numFmt formatCode="General" sourceLinked="1"/>
        <c:majorTickMark val="out"/>
        <c:minorTickMark val="none"/>
        <c:tickLblPos val="nextTo"/>
        <c:crossAx val="1214847248"/>
        <c:crosses val="max"/>
        <c:crossBetween val="midCat"/>
      </c:valAx>
      <c:spPr>
        <a:noFill/>
        <a:ln w="25400">
          <a:noFill/>
        </a:ln>
        <a:effectLst/>
      </c:spPr>
    </c:plotArea>
    <c:plotVisOnly val="1"/>
    <c:dispBlanksAs val="gap"/>
    <c:showDLblsOverMax val="0"/>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3.3763044812768567E-2"/>
          <c:y val="6.0185185185185182E-2"/>
          <c:w val="0.93247391037446281"/>
          <c:h val="0.88888888888888884"/>
        </c:manualLayout>
      </c:layout>
      <c:barChart>
        <c:barDir val="col"/>
        <c:grouping val="stacked"/>
        <c:varyColors val="0"/>
        <c:ser>
          <c:idx val="0"/>
          <c:order val="0"/>
          <c:spPr>
            <a:noFill/>
            <a:ln>
              <a:noFill/>
            </a:ln>
            <a:effectLst/>
          </c:spPr>
          <c:invertIfNegative val="0"/>
          <c:cat>
            <c:strRef>
              <c:f>Processing!$K$24:$Q$24</c:f>
              <c:strCache>
                <c:ptCount val="7"/>
                <c:pt idx="0">
                  <c:v>SU</c:v>
                </c:pt>
                <c:pt idx="1">
                  <c:v>MO</c:v>
                </c:pt>
                <c:pt idx="2">
                  <c:v>TU</c:v>
                </c:pt>
                <c:pt idx="3">
                  <c:v>WE</c:v>
                </c:pt>
                <c:pt idx="4">
                  <c:v>TH</c:v>
                </c:pt>
                <c:pt idx="5">
                  <c:v>FR</c:v>
                </c:pt>
                <c:pt idx="6">
                  <c:v>SA</c:v>
                </c:pt>
              </c:strCache>
            </c:strRef>
          </c:cat>
          <c:val>
            <c:numRef>
              <c:f>Processing!$K$25:$Q$25</c:f>
              <c:numCache>
                <c:formatCode>General</c:formatCode>
                <c:ptCount val="7"/>
                <c:pt idx="0">
                  <c:v>1</c:v>
                </c:pt>
                <c:pt idx="1">
                  <c:v>1</c:v>
                </c:pt>
                <c:pt idx="2">
                  <c:v>1</c:v>
                </c:pt>
                <c:pt idx="3">
                  <c:v>1</c:v>
                </c:pt>
                <c:pt idx="4">
                  <c:v>0</c:v>
                </c:pt>
                <c:pt idx="5">
                  <c:v>0</c:v>
                </c:pt>
                <c:pt idx="6">
                  <c:v>0</c:v>
                </c:pt>
              </c:numCache>
            </c:numRef>
          </c:val>
          <c:extLst>
            <c:ext xmlns:c16="http://schemas.microsoft.com/office/drawing/2014/chart" uri="{C3380CC4-5D6E-409C-BE32-E72D297353CC}">
              <c16:uniqueId val="{00000000-D0E3-4244-91AF-73EF8AD7D821}"/>
            </c:ext>
          </c:extLst>
        </c:ser>
        <c:ser>
          <c:idx val="1"/>
          <c:order val="1"/>
          <c:spPr>
            <a:blipFill>
              <a:blip xmlns:r="http://schemas.openxmlformats.org/officeDocument/2006/relationships" r:embed="rId1"/>
              <a:stretch>
                <a:fillRect/>
              </a:stretch>
            </a:blipFill>
            <a:ln>
              <a:noFill/>
            </a:ln>
            <a:effectLst/>
          </c:spPr>
          <c:invertIfNegative val="0"/>
          <c:cat>
            <c:strRef>
              <c:f>Processing!$K$24:$Q$24</c:f>
              <c:strCache>
                <c:ptCount val="7"/>
                <c:pt idx="0">
                  <c:v>SU</c:v>
                </c:pt>
                <c:pt idx="1">
                  <c:v>MO</c:v>
                </c:pt>
                <c:pt idx="2">
                  <c:v>TU</c:v>
                </c:pt>
                <c:pt idx="3">
                  <c:v>WE</c:v>
                </c:pt>
                <c:pt idx="4">
                  <c:v>TH</c:v>
                </c:pt>
                <c:pt idx="5">
                  <c:v>FR</c:v>
                </c:pt>
                <c:pt idx="6">
                  <c:v>SA</c:v>
                </c:pt>
              </c:strCache>
            </c:strRef>
          </c:cat>
          <c:val>
            <c:numRef>
              <c:f>Processing!$K$26:$Q$26</c:f>
              <c:numCache>
                <c:formatCode>General</c:formatCode>
                <c:ptCount val="7"/>
                <c:pt idx="0">
                  <c:v>0</c:v>
                </c:pt>
                <c:pt idx="1">
                  <c:v>0</c:v>
                </c:pt>
                <c:pt idx="2">
                  <c:v>0</c:v>
                </c:pt>
                <c:pt idx="3">
                  <c:v>0</c:v>
                </c:pt>
                <c:pt idx="4">
                  <c:v>0</c:v>
                </c:pt>
                <c:pt idx="5">
                  <c:v>1</c:v>
                </c:pt>
                <c:pt idx="6">
                  <c:v>0</c:v>
                </c:pt>
              </c:numCache>
            </c:numRef>
          </c:val>
          <c:extLst>
            <c:ext xmlns:c16="http://schemas.microsoft.com/office/drawing/2014/chart" uri="{C3380CC4-5D6E-409C-BE32-E72D297353CC}">
              <c16:uniqueId val="{00000001-D0E3-4244-91AF-73EF8AD7D821}"/>
            </c:ext>
          </c:extLst>
        </c:ser>
        <c:ser>
          <c:idx val="2"/>
          <c:order val="2"/>
          <c:spPr>
            <a:blipFill>
              <a:blip xmlns:r="http://schemas.openxmlformats.org/officeDocument/2006/relationships" r:embed="rId2"/>
              <a:stretch>
                <a:fillRect/>
              </a:stretch>
            </a:blipFill>
            <a:ln>
              <a:noFill/>
            </a:ln>
            <a:effectLst/>
          </c:spPr>
          <c:invertIfNegative val="0"/>
          <c:cat>
            <c:strRef>
              <c:f>Processing!$K$24:$Q$24</c:f>
              <c:strCache>
                <c:ptCount val="7"/>
                <c:pt idx="0">
                  <c:v>SU</c:v>
                </c:pt>
                <c:pt idx="1">
                  <c:v>MO</c:v>
                </c:pt>
                <c:pt idx="2">
                  <c:v>TU</c:v>
                </c:pt>
                <c:pt idx="3">
                  <c:v>WE</c:v>
                </c:pt>
                <c:pt idx="4">
                  <c:v>TH</c:v>
                </c:pt>
                <c:pt idx="5">
                  <c:v>FR</c:v>
                </c:pt>
                <c:pt idx="6">
                  <c:v>SA</c:v>
                </c:pt>
              </c:strCache>
            </c:strRef>
          </c:cat>
          <c:val>
            <c:numRef>
              <c:f>Processing!$K$27:$Q$27</c:f>
              <c:numCache>
                <c:formatCode>General</c:formatCode>
                <c:ptCount val="7"/>
                <c:pt idx="0">
                  <c:v>0</c:v>
                </c:pt>
                <c:pt idx="1">
                  <c:v>0</c:v>
                </c:pt>
                <c:pt idx="2">
                  <c:v>0</c:v>
                </c:pt>
                <c:pt idx="3">
                  <c:v>0</c:v>
                </c:pt>
                <c:pt idx="4">
                  <c:v>1</c:v>
                </c:pt>
                <c:pt idx="5">
                  <c:v>0</c:v>
                </c:pt>
                <c:pt idx="6">
                  <c:v>1</c:v>
                </c:pt>
              </c:numCache>
            </c:numRef>
          </c:val>
          <c:extLst>
            <c:ext xmlns:c16="http://schemas.microsoft.com/office/drawing/2014/chart" uri="{C3380CC4-5D6E-409C-BE32-E72D297353CC}">
              <c16:uniqueId val="{00000002-D0E3-4244-91AF-73EF8AD7D821}"/>
            </c:ext>
          </c:extLst>
        </c:ser>
        <c:ser>
          <c:idx val="3"/>
          <c:order val="3"/>
          <c:spPr>
            <a:blipFill>
              <a:blip xmlns:r="http://schemas.openxmlformats.org/officeDocument/2006/relationships" r:embed="rId3"/>
              <a:stretch>
                <a:fillRect/>
              </a:stretch>
            </a:blipFill>
            <a:ln>
              <a:noFill/>
            </a:ln>
            <a:effectLst/>
          </c:spPr>
          <c:invertIfNegative val="0"/>
          <c:cat>
            <c:strRef>
              <c:f>Processing!$K$24:$Q$24</c:f>
              <c:strCache>
                <c:ptCount val="7"/>
                <c:pt idx="0">
                  <c:v>SU</c:v>
                </c:pt>
                <c:pt idx="1">
                  <c:v>MO</c:v>
                </c:pt>
                <c:pt idx="2">
                  <c:v>TU</c:v>
                </c:pt>
                <c:pt idx="3">
                  <c:v>WE</c:v>
                </c:pt>
                <c:pt idx="4">
                  <c:v>TH</c:v>
                </c:pt>
                <c:pt idx="5">
                  <c:v>FR</c:v>
                </c:pt>
                <c:pt idx="6">
                  <c:v>SA</c:v>
                </c:pt>
              </c:strCache>
            </c:strRef>
          </c:cat>
          <c:val>
            <c:numRef>
              <c:f>Processing!$K$28:$Q$28</c:f>
              <c:numCache>
                <c:formatCode>General</c:formatCode>
                <c:ptCount val="7"/>
                <c:pt idx="0">
                  <c:v>0</c:v>
                </c:pt>
                <c:pt idx="1">
                  <c:v>0</c:v>
                </c:pt>
                <c:pt idx="2">
                  <c:v>0</c:v>
                </c:pt>
                <c:pt idx="3">
                  <c:v>0</c:v>
                </c:pt>
                <c:pt idx="4">
                  <c:v>0</c:v>
                </c:pt>
                <c:pt idx="5">
                  <c:v>0</c:v>
                </c:pt>
                <c:pt idx="6">
                  <c:v>0</c:v>
                </c:pt>
              </c:numCache>
            </c:numRef>
          </c:val>
          <c:extLst>
            <c:ext xmlns:c16="http://schemas.microsoft.com/office/drawing/2014/chart" uri="{C3380CC4-5D6E-409C-BE32-E72D297353CC}">
              <c16:uniqueId val="{00000003-D0E3-4244-91AF-73EF8AD7D821}"/>
            </c:ext>
          </c:extLst>
        </c:ser>
        <c:ser>
          <c:idx val="4"/>
          <c:order val="4"/>
          <c:spPr>
            <a:noFill/>
            <a:ln>
              <a:noFill/>
            </a:ln>
            <a:effectLst/>
          </c:spPr>
          <c:invertIfNegative val="0"/>
          <c:cat>
            <c:strRef>
              <c:f>Processing!$K$24:$Q$24</c:f>
              <c:strCache>
                <c:ptCount val="7"/>
                <c:pt idx="0">
                  <c:v>SU</c:v>
                </c:pt>
                <c:pt idx="1">
                  <c:v>MO</c:v>
                </c:pt>
                <c:pt idx="2">
                  <c:v>TU</c:v>
                </c:pt>
                <c:pt idx="3">
                  <c:v>WE</c:v>
                </c:pt>
                <c:pt idx="4">
                  <c:v>TH</c:v>
                </c:pt>
                <c:pt idx="5">
                  <c:v>FR</c:v>
                </c:pt>
                <c:pt idx="6">
                  <c:v>SA</c:v>
                </c:pt>
              </c:strCache>
            </c:strRef>
          </c:cat>
          <c:val>
            <c:numRef>
              <c:f>Processing!$K$29:$Q$29</c:f>
              <c:numCache>
                <c:formatCode>General</c:formatCode>
                <c:ptCount val="7"/>
                <c:pt idx="0">
                  <c:v>0</c:v>
                </c:pt>
                <c:pt idx="1">
                  <c:v>0</c:v>
                </c:pt>
                <c:pt idx="2">
                  <c:v>0</c:v>
                </c:pt>
                <c:pt idx="3">
                  <c:v>0</c:v>
                </c:pt>
                <c:pt idx="4">
                  <c:v>0</c:v>
                </c:pt>
                <c:pt idx="5">
                  <c:v>0</c:v>
                </c:pt>
                <c:pt idx="6">
                  <c:v>0</c:v>
                </c:pt>
              </c:numCache>
            </c:numRef>
          </c:val>
          <c:extLst>
            <c:ext xmlns:c16="http://schemas.microsoft.com/office/drawing/2014/chart" uri="{C3380CC4-5D6E-409C-BE32-E72D297353CC}">
              <c16:uniqueId val="{00000004-D0E3-4244-91AF-73EF8AD7D821}"/>
            </c:ext>
          </c:extLst>
        </c:ser>
        <c:ser>
          <c:idx val="5"/>
          <c:order val="5"/>
          <c:spPr>
            <a:blipFill>
              <a:blip xmlns:r="http://schemas.openxmlformats.org/officeDocument/2006/relationships" r:embed="rId1"/>
              <a:stretch>
                <a:fillRect/>
              </a:stretch>
            </a:blipFill>
            <a:ln>
              <a:noFill/>
            </a:ln>
            <a:effectLst/>
          </c:spPr>
          <c:invertIfNegative val="0"/>
          <c:cat>
            <c:strRef>
              <c:f>Processing!$K$24:$Q$24</c:f>
              <c:strCache>
                <c:ptCount val="7"/>
                <c:pt idx="0">
                  <c:v>SU</c:v>
                </c:pt>
                <c:pt idx="1">
                  <c:v>MO</c:v>
                </c:pt>
                <c:pt idx="2">
                  <c:v>TU</c:v>
                </c:pt>
                <c:pt idx="3">
                  <c:v>WE</c:v>
                </c:pt>
                <c:pt idx="4">
                  <c:v>TH</c:v>
                </c:pt>
                <c:pt idx="5">
                  <c:v>FR</c:v>
                </c:pt>
                <c:pt idx="6">
                  <c:v>SA</c:v>
                </c:pt>
              </c:strCache>
            </c:strRef>
          </c:cat>
          <c:val>
            <c:numRef>
              <c:f>Processing!$K$30:$Q$30</c:f>
              <c:numCache>
                <c:formatCode>General</c:formatCode>
                <c:ptCount val="7"/>
                <c:pt idx="0">
                  <c:v>1</c:v>
                </c:pt>
                <c:pt idx="1">
                  <c:v>1</c:v>
                </c:pt>
                <c:pt idx="2">
                  <c:v>1</c:v>
                </c:pt>
                <c:pt idx="3">
                  <c:v>1</c:v>
                </c:pt>
                <c:pt idx="4">
                  <c:v>1</c:v>
                </c:pt>
                <c:pt idx="5">
                  <c:v>1</c:v>
                </c:pt>
                <c:pt idx="6">
                  <c:v>0</c:v>
                </c:pt>
              </c:numCache>
            </c:numRef>
          </c:val>
          <c:extLst>
            <c:ext xmlns:c16="http://schemas.microsoft.com/office/drawing/2014/chart" uri="{C3380CC4-5D6E-409C-BE32-E72D297353CC}">
              <c16:uniqueId val="{00000005-D0E3-4244-91AF-73EF8AD7D821}"/>
            </c:ext>
          </c:extLst>
        </c:ser>
        <c:ser>
          <c:idx val="6"/>
          <c:order val="6"/>
          <c:spPr>
            <a:blipFill>
              <a:blip xmlns:r="http://schemas.openxmlformats.org/officeDocument/2006/relationships" r:embed="rId2"/>
              <a:stretch>
                <a:fillRect/>
              </a:stretch>
            </a:blipFill>
            <a:ln>
              <a:noFill/>
            </a:ln>
            <a:effectLst/>
          </c:spPr>
          <c:invertIfNegative val="0"/>
          <c:cat>
            <c:strRef>
              <c:f>Processing!$K$24:$Q$24</c:f>
              <c:strCache>
                <c:ptCount val="7"/>
                <c:pt idx="0">
                  <c:v>SU</c:v>
                </c:pt>
                <c:pt idx="1">
                  <c:v>MO</c:v>
                </c:pt>
                <c:pt idx="2">
                  <c:v>TU</c:v>
                </c:pt>
                <c:pt idx="3">
                  <c:v>WE</c:v>
                </c:pt>
                <c:pt idx="4">
                  <c:v>TH</c:v>
                </c:pt>
                <c:pt idx="5">
                  <c:v>FR</c:v>
                </c:pt>
                <c:pt idx="6">
                  <c:v>SA</c:v>
                </c:pt>
              </c:strCache>
            </c:strRef>
          </c:cat>
          <c:val>
            <c:numRef>
              <c:f>Processing!$K$31:$Q$31</c:f>
              <c:numCache>
                <c:formatCode>General</c:formatCode>
                <c:ptCount val="7"/>
                <c:pt idx="0">
                  <c:v>0</c:v>
                </c:pt>
                <c:pt idx="1">
                  <c:v>0</c:v>
                </c:pt>
                <c:pt idx="2">
                  <c:v>0</c:v>
                </c:pt>
                <c:pt idx="3">
                  <c:v>0</c:v>
                </c:pt>
                <c:pt idx="4">
                  <c:v>0</c:v>
                </c:pt>
                <c:pt idx="5">
                  <c:v>0</c:v>
                </c:pt>
                <c:pt idx="6">
                  <c:v>1</c:v>
                </c:pt>
              </c:numCache>
            </c:numRef>
          </c:val>
          <c:extLst>
            <c:ext xmlns:c16="http://schemas.microsoft.com/office/drawing/2014/chart" uri="{C3380CC4-5D6E-409C-BE32-E72D297353CC}">
              <c16:uniqueId val="{00000006-D0E3-4244-91AF-73EF8AD7D821}"/>
            </c:ext>
          </c:extLst>
        </c:ser>
        <c:ser>
          <c:idx val="7"/>
          <c:order val="7"/>
          <c:spPr>
            <a:blipFill>
              <a:blip xmlns:r="http://schemas.openxmlformats.org/officeDocument/2006/relationships" r:embed="rId3"/>
              <a:stretch>
                <a:fillRect/>
              </a:stretch>
            </a:blipFill>
            <a:ln>
              <a:noFill/>
            </a:ln>
            <a:effectLst/>
          </c:spPr>
          <c:invertIfNegative val="0"/>
          <c:cat>
            <c:strRef>
              <c:f>Processing!$K$24:$Q$24</c:f>
              <c:strCache>
                <c:ptCount val="7"/>
                <c:pt idx="0">
                  <c:v>SU</c:v>
                </c:pt>
                <c:pt idx="1">
                  <c:v>MO</c:v>
                </c:pt>
                <c:pt idx="2">
                  <c:v>TU</c:v>
                </c:pt>
                <c:pt idx="3">
                  <c:v>WE</c:v>
                </c:pt>
                <c:pt idx="4">
                  <c:v>TH</c:v>
                </c:pt>
                <c:pt idx="5">
                  <c:v>FR</c:v>
                </c:pt>
                <c:pt idx="6">
                  <c:v>SA</c:v>
                </c:pt>
              </c:strCache>
            </c:strRef>
          </c:cat>
          <c:val>
            <c:numRef>
              <c:f>Processing!$K$32:$Q$32</c:f>
              <c:numCache>
                <c:formatCode>General</c:formatCode>
                <c:ptCount val="7"/>
                <c:pt idx="0">
                  <c:v>0</c:v>
                </c:pt>
                <c:pt idx="1">
                  <c:v>0</c:v>
                </c:pt>
                <c:pt idx="2">
                  <c:v>0</c:v>
                </c:pt>
                <c:pt idx="3">
                  <c:v>0</c:v>
                </c:pt>
                <c:pt idx="4">
                  <c:v>0</c:v>
                </c:pt>
                <c:pt idx="5">
                  <c:v>0</c:v>
                </c:pt>
                <c:pt idx="6">
                  <c:v>0</c:v>
                </c:pt>
              </c:numCache>
            </c:numRef>
          </c:val>
          <c:extLst>
            <c:ext xmlns:c16="http://schemas.microsoft.com/office/drawing/2014/chart" uri="{C3380CC4-5D6E-409C-BE32-E72D297353CC}">
              <c16:uniqueId val="{00000007-D0E3-4244-91AF-73EF8AD7D821}"/>
            </c:ext>
          </c:extLst>
        </c:ser>
        <c:ser>
          <c:idx val="8"/>
          <c:order val="8"/>
          <c:spPr>
            <a:noFill/>
            <a:ln>
              <a:noFill/>
            </a:ln>
            <a:effectLst/>
          </c:spPr>
          <c:invertIfNegative val="0"/>
          <c:cat>
            <c:strRef>
              <c:f>Processing!$K$24:$Q$24</c:f>
              <c:strCache>
                <c:ptCount val="7"/>
                <c:pt idx="0">
                  <c:v>SU</c:v>
                </c:pt>
                <c:pt idx="1">
                  <c:v>MO</c:v>
                </c:pt>
                <c:pt idx="2">
                  <c:v>TU</c:v>
                </c:pt>
                <c:pt idx="3">
                  <c:v>WE</c:v>
                </c:pt>
                <c:pt idx="4">
                  <c:v>TH</c:v>
                </c:pt>
                <c:pt idx="5">
                  <c:v>FR</c:v>
                </c:pt>
                <c:pt idx="6">
                  <c:v>SA</c:v>
                </c:pt>
              </c:strCache>
            </c:strRef>
          </c:cat>
          <c:val>
            <c:numRef>
              <c:f>Processing!$K$33:$Q$33</c:f>
              <c:numCache>
                <c:formatCode>General</c:formatCode>
                <c:ptCount val="7"/>
                <c:pt idx="0">
                  <c:v>0</c:v>
                </c:pt>
                <c:pt idx="1">
                  <c:v>0</c:v>
                </c:pt>
                <c:pt idx="2">
                  <c:v>0</c:v>
                </c:pt>
                <c:pt idx="3">
                  <c:v>0</c:v>
                </c:pt>
                <c:pt idx="4">
                  <c:v>0</c:v>
                </c:pt>
                <c:pt idx="5">
                  <c:v>0</c:v>
                </c:pt>
                <c:pt idx="6">
                  <c:v>0</c:v>
                </c:pt>
              </c:numCache>
            </c:numRef>
          </c:val>
          <c:extLst>
            <c:ext xmlns:c16="http://schemas.microsoft.com/office/drawing/2014/chart" uri="{C3380CC4-5D6E-409C-BE32-E72D297353CC}">
              <c16:uniqueId val="{00000008-D0E3-4244-91AF-73EF8AD7D821}"/>
            </c:ext>
          </c:extLst>
        </c:ser>
        <c:ser>
          <c:idx val="9"/>
          <c:order val="9"/>
          <c:spPr>
            <a:blipFill>
              <a:blip xmlns:r="http://schemas.openxmlformats.org/officeDocument/2006/relationships" r:embed="rId1"/>
              <a:stretch>
                <a:fillRect/>
              </a:stretch>
            </a:blipFill>
            <a:ln>
              <a:noFill/>
            </a:ln>
            <a:effectLst/>
          </c:spPr>
          <c:invertIfNegative val="0"/>
          <c:cat>
            <c:strRef>
              <c:f>Processing!$K$24:$Q$24</c:f>
              <c:strCache>
                <c:ptCount val="7"/>
                <c:pt idx="0">
                  <c:v>SU</c:v>
                </c:pt>
                <c:pt idx="1">
                  <c:v>MO</c:v>
                </c:pt>
                <c:pt idx="2">
                  <c:v>TU</c:v>
                </c:pt>
                <c:pt idx="3">
                  <c:v>WE</c:v>
                </c:pt>
                <c:pt idx="4">
                  <c:v>TH</c:v>
                </c:pt>
                <c:pt idx="5">
                  <c:v>FR</c:v>
                </c:pt>
                <c:pt idx="6">
                  <c:v>SA</c:v>
                </c:pt>
              </c:strCache>
            </c:strRef>
          </c:cat>
          <c:val>
            <c:numRef>
              <c:f>Processing!$K$34:$Q$34</c:f>
              <c:numCache>
                <c:formatCode>General</c:formatCode>
                <c:ptCount val="7"/>
                <c:pt idx="0">
                  <c:v>0</c:v>
                </c:pt>
                <c:pt idx="1">
                  <c:v>1</c:v>
                </c:pt>
                <c:pt idx="2">
                  <c:v>0</c:v>
                </c:pt>
                <c:pt idx="3">
                  <c:v>0</c:v>
                </c:pt>
                <c:pt idx="4">
                  <c:v>0</c:v>
                </c:pt>
                <c:pt idx="5">
                  <c:v>1</c:v>
                </c:pt>
                <c:pt idx="6">
                  <c:v>1</c:v>
                </c:pt>
              </c:numCache>
            </c:numRef>
          </c:val>
          <c:extLst>
            <c:ext xmlns:c16="http://schemas.microsoft.com/office/drawing/2014/chart" uri="{C3380CC4-5D6E-409C-BE32-E72D297353CC}">
              <c16:uniqueId val="{00000009-D0E3-4244-91AF-73EF8AD7D821}"/>
            </c:ext>
          </c:extLst>
        </c:ser>
        <c:ser>
          <c:idx val="10"/>
          <c:order val="10"/>
          <c:spPr>
            <a:blipFill>
              <a:blip xmlns:r="http://schemas.openxmlformats.org/officeDocument/2006/relationships" r:embed="rId2"/>
              <a:stretch>
                <a:fillRect/>
              </a:stretch>
            </a:blipFill>
            <a:ln>
              <a:noFill/>
            </a:ln>
            <a:effectLst/>
          </c:spPr>
          <c:invertIfNegative val="0"/>
          <c:cat>
            <c:strRef>
              <c:f>Processing!$K$24:$Q$24</c:f>
              <c:strCache>
                <c:ptCount val="7"/>
                <c:pt idx="0">
                  <c:v>SU</c:v>
                </c:pt>
                <c:pt idx="1">
                  <c:v>MO</c:v>
                </c:pt>
                <c:pt idx="2">
                  <c:v>TU</c:v>
                </c:pt>
                <c:pt idx="3">
                  <c:v>WE</c:v>
                </c:pt>
                <c:pt idx="4">
                  <c:v>TH</c:v>
                </c:pt>
                <c:pt idx="5">
                  <c:v>FR</c:v>
                </c:pt>
                <c:pt idx="6">
                  <c:v>SA</c:v>
                </c:pt>
              </c:strCache>
            </c:strRef>
          </c:cat>
          <c:val>
            <c:numRef>
              <c:f>Processing!$K$35:$Q$35</c:f>
              <c:numCache>
                <c:formatCode>General</c:formatCode>
                <c:ptCount val="7"/>
                <c:pt idx="0">
                  <c:v>1</c:v>
                </c:pt>
                <c:pt idx="1">
                  <c:v>0</c:v>
                </c:pt>
                <c:pt idx="2">
                  <c:v>1</c:v>
                </c:pt>
                <c:pt idx="3">
                  <c:v>1</c:v>
                </c:pt>
                <c:pt idx="4">
                  <c:v>1</c:v>
                </c:pt>
                <c:pt idx="5">
                  <c:v>0</c:v>
                </c:pt>
                <c:pt idx="6">
                  <c:v>0</c:v>
                </c:pt>
              </c:numCache>
            </c:numRef>
          </c:val>
          <c:extLst>
            <c:ext xmlns:c16="http://schemas.microsoft.com/office/drawing/2014/chart" uri="{C3380CC4-5D6E-409C-BE32-E72D297353CC}">
              <c16:uniqueId val="{0000000A-D0E3-4244-91AF-73EF8AD7D821}"/>
            </c:ext>
          </c:extLst>
        </c:ser>
        <c:ser>
          <c:idx val="11"/>
          <c:order val="11"/>
          <c:spPr>
            <a:blipFill>
              <a:blip xmlns:r="http://schemas.openxmlformats.org/officeDocument/2006/relationships" r:embed="rId3"/>
              <a:stretch>
                <a:fillRect/>
              </a:stretch>
            </a:blipFill>
            <a:ln>
              <a:noFill/>
            </a:ln>
            <a:effectLst/>
          </c:spPr>
          <c:invertIfNegative val="0"/>
          <c:cat>
            <c:strRef>
              <c:f>Processing!$K$24:$Q$24</c:f>
              <c:strCache>
                <c:ptCount val="7"/>
                <c:pt idx="0">
                  <c:v>SU</c:v>
                </c:pt>
                <c:pt idx="1">
                  <c:v>MO</c:v>
                </c:pt>
                <c:pt idx="2">
                  <c:v>TU</c:v>
                </c:pt>
                <c:pt idx="3">
                  <c:v>WE</c:v>
                </c:pt>
                <c:pt idx="4">
                  <c:v>TH</c:v>
                </c:pt>
                <c:pt idx="5">
                  <c:v>FR</c:v>
                </c:pt>
                <c:pt idx="6">
                  <c:v>SA</c:v>
                </c:pt>
              </c:strCache>
            </c:strRef>
          </c:cat>
          <c:val>
            <c:numRef>
              <c:f>Processing!$K$36:$Q$36</c:f>
              <c:numCache>
                <c:formatCode>General</c:formatCode>
                <c:ptCount val="7"/>
                <c:pt idx="0">
                  <c:v>0</c:v>
                </c:pt>
                <c:pt idx="1">
                  <c:v>0</c:v>
                </c:pt>
                <c:pt idx="2">
                  <c:v>0</c:v>
                </c:pt>
                <c:pt idx="3">
                  <c:v>0</c:v>
                </c:pt>
                <c:pt idx="4">
                  <c:v>0</c:v>
                </c:pt>
                <c:pt idx="5">
                  <c:v>0</c:v>
                </c:pt>
                <c:pt idx="6">
                  <c:v>0</c:v>
                </c:pt>
              </c:numCache>
            </c:numRef>
          </c:val>
          <c:extLst>
            <c:ext xmlns:c16="http://schemas.microsoft.com/office/drawing/2014/chart" uri="{C3380CC4-5D6E-409C-BE32-E72D297353CC}">
              <c16:uniqueId val="{0000000B-D0E3-4244-91AF-73EF8AD7D821}"/>
            </c:ext>
          </c:extLst>
        </c:ser>
        <c:ser>
          <c:idx val="12"/>
          <c:order val="12"/>
          <c:spPr>
            <a:noFill/>
            <a:ln>
              <a:noFill/>
            </a:ln>
            <a:effectLst/>
          </c:spPr>
          <c:invertIfNegative val="0"/>
          <c:cat>
            <c:strRef>
              <c:f>Processing!$K$24:$Q$24</c:f>
              <c:strCache>
                <c:ptCount val="7"/>
                <c:pt idx="0">
                  <c:v>SU</c:v>
                </c:pt>
                <c:pt idx="1">
                  <c:v>MO</c:v>
                </c:pt>
                <c:pt idx="2">
                  <c:v>TU</c:v>
                </c:pt>
                <c:pt idx="3">
                  <c:v>WE</c:v>
                </c:pt>
                <c:pt idx="4">
                  <c:v>TH</c:v>
                </c:pt>
                <c:pt idx="5">
                  <c:v>FR</c:v>
                </c:pt>
                <c:pt idx="6">
                  <c:v>SA</c:v>
                </c:pt>
              </c:strCache>
            </c:strRef>
          </c:cat>
          <c:val>
            <c:numRef>
              <c:f>Processing!$K$37:$Q$37</c:f>
              <c:numCache>
                <c:formatCode>General</c:formatCode>
                <c:ptCount val="7"/>
                <c:pt idx="0">
                  <c:v>0</c:v>
                </c:pt>
                <c:pt idx="1">
                  <c:v>0</c:v>
                </c:pt>
                <c:pt idx="2">
                  <c:v>0</c:v>
                </c:pt>
                <c:pt idx="3">
                  <c:v>0</c:v>
                </c:pt>
                <c:pt idx="4">
                  <c:v>0</c:v>
                </c:pt>
                <c:pt idx="5">
                  <c:v>0</c:v>
                </c:pt>
                <c:pt idx="6">
                  <c:v>0</c:v>
                </c:pt>
              </c:numCache>
            </c:numRef>
          </c:val>
          <c:extLst>
            <c:ext xmlns:c16="http://schemas.microsoft.com/office/drawing/2014/chart" uri="{C3380CC4-5D6E-409C-BE32-E72D297353CC}">
              <c16:uniqueId val="{0000000C-D0E3-4244-91AF-73EF8AD7D821}"/>
            </c:ext>
          </c:extLst>
        </c:ser>
        <c:ser>
          <c:idx val="13"/>
          <c:order val="13"/>
          <c:spPr>
            <a:blipFill>
              <a:blip xmlns:r="http://schemas.openxmlformats.org/officeDocument/2006/relationships" r:embed="rId1"/>
              <a:stretch>
                <a:fillRect/>
              </a:stretch>
            </a:blipFill>
            <a:ln>
              <a:noFill/>
            </a:ln>
            <a:effectLst/>
          </c:spPr>
          <c:invertIfNegative val="0"/>
          <c:cat>
            <c:strRef>
              <c:f>Processing!$K$24:$Q$24</c:f>
              <c:strCache>
                <c:ptCount val="7"/>
                <c:pt idx="0">
                  <c:v>SU</c:v>
                </c:pt>
                <c:pt idx="1">
                  <c:v>MO</c:v>
                </c:pt>
                <c:pt idx="2">
                  <c:v>TU</c:v>
                </c:pt>
                <c:pt idx="3">
                  <c:v>WE</c:v>
                </c:pt>
                <c:pt idx="4">
                  <c:v>TH</c:v>
                </c:pt>
                <c:pt idx="5">
                  <c:v>FR</c:v>
                </c:pt>
                <c:pt idx="6">
                  <c:v>SA</c:v>
                </c:pt>
              </c:strCache>
            </c:strRef>
          </c:cat>
          <c:val>
            <c:numRef>
              <c:f>Processing!$K$38:$Q$38</c:f>
              <c:numCache>
                <c:formatCode>General</c:formatCode>
                <c:ptCount val="7"/>
                <c:pt idx="0">
                  <c:v>0</c:v>
                </c:pt>
                <c:pt idx="1">
                  <c:v>0</c:v>
                </c:pt>
                <c:pt idx="2">
                  <c:v>0</c:v>
                </c:pt>
                <c:pt idx="3">
                  <c:v>1</c:v>
                </c:pt>
                <c:pt idx="4">
                  <c:v>0</c:v>
                </c:pt>
                <c:pt idx="5">
                  <c:v>0</c:v>
                </c:pt>
                <c:pt idx="6">
                  <c:v>0</c:v>
                </c:pt>
              </c:numCache>
            </c:numRef>
          </c:val>
          <c:extLst>
            <c:ext xmlns:c16="http://schemas.microsoft.com/office/drawing/2014/chart" uri="{C3380CC4-5D6E-409C-BE32-E72D297353CC}">
              <c16:uniqueId val="{0000000D-D0E3-4244-91AF-73EF8AD7D821}"/>
            </c:ext>
          </c:extLst>
        </c:ser>
        <c:ser>
          <c:idx val="14"/>
          <c:order val="14"/>
          <c:spPr>
            <a:blipFill>
              <a:blip xmlns:r="http://schemas.openxmlformats.org/officeDocument/2006/relationships" r:embed="rId2"/>
              <a:stretch>
                <a:fillRect/>
              </a:stretch>
            </a:blipFill>
            <a:ln>
              <a:noFill/>
            </a:ln>
            <a:effectLst/>
          </c:spPr>
          <c:invertIfNegative val="0"/>
          <c:cat>
            <c:strRef>
              <c:f>Processing!$K$24:$Q$24</c:f>
              <c:strCache>
                <c:ptCount val="7"/>
                <c:pt idx="0">
                  <c:v>SU</c:v>
                </c:pt>
                <c:pt idx="1">
                  <c:v>MO</c:v>
                </c:pt>
                <c:pt idx="2">
                  <c:v>TU</c:v>
                </c:pt>
                <c:pt idx="3">
                  <c:v>WE</c:v>
                </c:pt>
                <c:pt idx="4">
                  <c:v>TH</c:v>
                </c:pt>
                <c:pt idx="5">
                  <c:v>FR</c:v>
                </c:pt>
                <c:pt idx="6">
                  <c:v>SA</c:v>
                </c:pt>
              </c:strCache>
            </c:strRef>
          </c:cat>
          <c:val>
            <c:numRef>
              <c:f>Processing!$K$39:$Q$39</c:f>
              <c:numCache>
                <c:formatCode>General</c:formatCode>
                <c:ptCount val="7"/>
                <c:pt idx="0">
                  <c:v>1</c:v>
                </c:pt>
                <c:pt idx="1">
                  <c:v>1</c:v>
                </c:pt>
                <c:pt idx="2">
                  <c:v>1</c:v>
                </c:pt>
                <c:pt idx="3">
                  <c:v>0</c:v>
                </c:pt>
                <c:pt idx="4">
                  <c:v>0</c:v>
                </c:pt>
                <c:pt idx="5">
                  <c:v>1</c:v>
                </c:pt>
                <c:pt idx="6">
                  <c:v>1</c:v>
                </c:pt>
              </c:numCache>
            </c:numRef>
          </c:val>
          <c:extLst>
            <c:ext xmlns:c16="http://schemas.microsoft.com/office/drawing/2014/chart" uri="{C3380CC4-5D6E-409C-BE32-E72D297353CC}">
              <c16:uniqueId val="{0000000E-D0E3-4244-91AF-73EF8AD7D821}"/>
            </c:ext>
          </c:extLst>
        </c:ser>
        <c:ser>
          <c:idx val="15"/>
          <c:order val="15"/>
          <c:spPr>
            <a:blipFill>
              <a:blip xmlns:r="http://schemas.openxmlformats.org/officeDocument/2006/relationships" r:embed="rId3"/>
              <a:stretch>
                <a:fillRect/>
              </a:stretch>
            </a:blipFill>
            <a:ln>
              <a:noFill/>
            </a:ln>
            <a:effectLst/>
          </c:spPr>
          <c:invertIfNegative val="0"/>
          <c:cat>
            <c:strRef>
              <c:f>Processing!$K$24:$Q$24</c:f>
              <c:strCache>
                <c:ptCount val="7"/>
                <c:pt idx="0">
                  <c:v>SU</c:v>
                </c:pt>
                <c:pt idx="1">
                  <c:v>MO</c:v>
                </c:pt>
                <c:pt idx="2">
                  <c:v>TU</c:v>
                </c:pt>
                <c:pt idx="3">
                  <c:v>WE</c:v>
                </c:pt>
                <c:pt idx="4">
                  <c:v>TH</c:v>
                </c:pt>
                <c:pt idx="5">
                  <c:v>FR</c:v>
                </c:pt>
                <c:pt idx="6">
                  <c:v>SA</c:v>
                </c:pt>
              </c:strCache>
            </c:strRef>
          </c:cat>
          <c:val>
            <c:numRef>
              <c:f>Processing!$K$40:$Q$40</c:f>
              <c:numCache>
                <c:formatCode>General</c:formatCode>
                <c:ptCount val="7"/>
                <c:pt idx="0">
                  <c:v>0</c:v>
                </c:pt>
                <c:pt idx="1">
                  <c:v>0</c:v>
                </c:pt>
                <c:pt idx="2">
                  <c:v>0</c:v>
                </c:pt>
                <c:pt idx="3">
                  <c:v>0</c:v>
                </c:pt>
                <c:pt idx="4">
                  <c:v>1</c:v>
                </c:pt>
                <c:pt idx="5">
                  <c:v>0</c:v>
                </c:pt>
                <c:pt idx="6">
                  <c:v>0</c:v>
                </c:pt>
              </c:numCache>
            </c:numRef>
          </c:val>
          <c:extLst>
            <c:ext xmlns:c16="http://schemas.microsoft.com/office/drawing/2014/chart" uri="{C3380CC4-5D6E-409C-BE32-E72D297353CC}">
              <c16:uniqueId val="{0000000F-D0E3-4244-91AF-73EF8AD7D821}"/>
            </c:ext>
          </c:extLst>
        </c:ser>
        <c:ser>
          <c:idx val="16"/>
          <c:order val="16"/>
          <c:spPr>
            <a:noFill/>
            <a:ln>
              <a:noFill/>
            </a:ln>
            <a:effectLst/>
          </c:spPr>
          <c:invertIfNegative val="0"/>
          <c:cat>
            <c:strRef>
              <c:f>Processing!$K$24:$Q$24</c:f>
              <c:strCache>
                <c:ptCount val="7"/>
                <c:pt idx="0">
                  <c:v>SU</c:v>
                </c:pt>
                <c:pt idx="1">
                  <c:v>MO</c:v>
                </c:pt>
                <c:pt idx="2">
                  <c:v>TU</c:v>
                </c:pt>
                <c:pt idx="3">
                  <c:v>WE</c:v>
                </c:pt>
                <c:pt idx="4">
                  <c:v>TH</c:v>
                </c:pt>
                <c:pt idx="5">
                  <c:v>FR</c:v>
                </c:pt>
                <c:pt idx="6">
                  <c:v>SA</c:v>
                </c:pt>
              </c:strCache>
            </c:strRef>
          </c:cat>
          <c:val>
            <c:numRef>
              <c:f>Processing!$K$41:$Q$41</c:f>
              <c:numCache>
                <c:formatCode>General</c:formatCode>
                <c:ptCount val="7"/>
                <c:pt idx="0">
                  <c:v>0</c:v>
                </c:pt>
                <c:pt idx="1">
                  <c:v>0</c:v>
                </c:pt>
                <c:pt idx="2">
                  <c:v>0</c:v>
                </c:pt>
                <c:pt idx="3">
                  <c:v>0</c:v>
                </c:pt>
                <c:pt idx="4">
                  <c:v>0</c:v>
                </c:pt>
                <c:pt idx="5">
                  <c:v>0</c:v>
                </c:pt>
                <c:pt idx="6">
                  <c:v>1</c:v>
                </c:pt>
              </c:numCache>
            </c:numRef>
          </c:val>
          <c:extLst>
            <c:ext xmlns:c16="http://schemas.microsoft.com/office/drawing/2014/chart" uri="{C3380CC4-5D6E-409C-BE32-E72D297353CC}">
              <c16:uniqueId val="{00000010-D0E3-4244-91AF-73EF8AD7D821}"/>
            </c:ext>
          </c:extLst>
        </c:ser>
        <c:ser>
          <c:idx val="17"/>
          <c:order val="17"/>
          <c:spPr>
            <a:blipFill>
              <a:blip xmlns:r="http://schemas.openxmlformats.org/officeDocument/2006/relationships" r:embed="rId1"/>
              <a:stretch>
                <a:fillRect/>
              </a:stretch>
            </a:blipFill>
            <a:ln>
              <a:noFill/>
            </a:ln>
            <a:effectLst/>
          </c:spPr>
          <c:invertIfNegative val="0"/>
          <c:cat>
            <c:strRef>
              <c:f>Processing!$K$24:$Q$24</c:f>
              <c:strCache>
                <c:ptCount val="7"/>
                <c:pt idx="0">
                  <c:v>SU</c:v>
                </c:pt>
                <c:pt idx="1">
                  <c:v>MO</c:v>
                </c:pt>
                <c:pt idx="2">
                  <c:v>TU</c:v>
                </c:pt>
                <c:pt idx="3">
                  <c:v>WE</c:v>
                </c:pt>
                <c:pt idx="4">
                  <c:v>TH</c:v>
                </c:pt>
                <c:pt idx="5">
                  <c:v>FR</c:v>
                </c:pt>
                <c:pt idx="6">
                  <c:v>SA</c:v>
                </c:pt>
              </c:strCache>
            </c:strRef>
          </c:cat>
          <c:val>
            <c:numRef>
              <c:f>Processing!$K$42:$Q$42</c:f>
              <c:numCache>
                <c:formatCode>General</c:formatCode>
                <c:ptCount val="7"/>
                <c:pt idx="0">
                  <c:v>1</c:v>
                </c:pt>
                <c:pt idx="1">
                  <c:v>0</c:v>
                </c:pt>
                <c:pt idx="2">
                  <c:v>1</c:v>
                </c:pt>
                <c:pt idx="3">
                  <c:v>1</c:v>
                </c:pt>
                <c:pt idx="4">
                  <c:v>1</c:v>
                </c:pt>
                <c:pt idx="5">
                  <c:v>1</c:v>
                </c:pt>
                <c:pt idx="6">
                  <c:v>0</c:v>
                </c:pt>
              </c:numCache>
            </c:numRef>
          </c:val>
          <c:extLst>
            <c:ext xmlns:c16="http://schemas.microsoft.com/office/drawing/2014/chart" uri="{C3380CC4-5D6E-409C-BE32-E72D297353CC}">
              <c16:uniqueId val="{00000011-D0E3-4244-91AF-73EF8AD7D821}"/>
            </c:ext>
          </c:extLst>
        </c:ser>
        <c:ser>
          <c:idx val="18"/>
          <c:order val="18"/>
          <c:spPr>
            <a:blipFill>
              <a:blip xmlns:r="http://schemas.openxmlformats.org/officeDocument/2006/relationships" r:embed="rId2"/>
              <a:stretch>
                <a:fillRect/>
              </a:stretch>
            </a:blipFill>
            <a:ln>
              <a:noFill/>
            </a:ln>
            <a:effectLst/>
          </c:spPr>
          <c:invertIfNegative val="0"/>
          <c:cat>
            <c:strRef>
              <c:f>Processing!$K$24:$Q$24</c:f>
              <c:strCache>
                <c:ptCount val="7"/>
                <c:pt idx="0">
                  <c:v>SU</c:v>
                </c:pt>
                <c:pt idx="1">
                  <c:v>MO</c:v>
                </c:pt>
                <c:pt idx="2">
                  <c:v>TU</c:v>
                </c:pt>
                <c:pt idx="3">
                  <c:v>WE</c:v>
                </c:pt>
                <c:pt idx="4">
                  <c:v>TH</c:v>
                </c:pt>
                <c:pt idx="5">
                  <c:v>FR</c:v>
                </c:pt>
                <c:pt idx="6">
                  <c:v>SA</c:v>
                </c:pt>
              </c:strCache>
            </c:strRef>
          </c:cat>
          <c:val>
            <c:numRef>
              <c:f>Processing!$K$43:$Q$43</c:f>
              <c:numCache>
                <c:formatCode>General</c:formatCode>
                <c:ptCount val="7"/>
                <c:pt idx="0">
                  <c:v>0</c:v>
                </c:pt>
                <c:pt idx="1">
                  <c:v>0</c:v>
                </c:pt>
                <c:pt idx="2">
                  <c:v>0</c:v>
                </c:pt>
                <c:pt idx="3">
                  <c:v>0</c:v>
                </c:pt>
                <c:pt idx="4">
                  <c:v>0</c:v>
                </c:pt>
                <c:pt idx="5">
                  <c:v>0</c:v>
                </c:pt>
                <c:pt idx="6">
                  <c:v>0</c:v>
                </c:pt>
              </c:numCache>
            </c:numRef>
          </c:val>
          <c:extLst>
            <c:ext xmlns:c16="http://schemas.microsoft.com/office/drawing/2014/chart" uri="{C3380CC4-5D6E-409C-BE32-E72D297353CC}">
              <c16:uniqueId val="{00000012-D0E3-4244-91AF-73EF8AD7D821}"/>
            </c:ext>
          </c:extLst>
        </c:ser>
        <c:ser>
          <c:idx val="19"/>
          <c:order val="19"/>
          <c:spPr>
            <a:blipFill>
              <a:blip xmlns:r="http://schemas.openxmlformats.org/officeDocument/2006/relationships" r:embed="rId3"/>
              <a:stretch>
                <a:fillRect/>
              </a:stretch>
            </a:blipFill>
            <a:ln>
              <a:noFill/>
            </a:ln>
            <a:effectLst/>
          </c:spPr>
          <c:invertIfNegative val="0"/>
          <c:cat>
            <c:strRef>
              <c:f>Processing!$K$24:$Q$24</c:f>
              <c:strCache>
                <c:ptCount val="7"/>
                <c:pt idx="0">
                  <c:v>SU</c:v>
                </c:pt>
                <c:pt idx="1">
                  <c:v>MO</c:v>
                </c:pt>
                <c:pt idx="2">
                  <c:v>TU</c:v>
                </c:pt>
                <c:pt idx="3">
                  <c:v>WE</c:v>
                </c:pt>
                <c:pt idx="4">
                  <c:v>TH</c:v>
                </c:pt>
                <c:pt idx="5">
                  <c:v>FR</c:v>
                </c:pt>
                <c:pt idx="6">
                  <c:v>SA</c:v>
                </c:pt>
              </c:strCache>
            </c:strRef>
          </c:cat>
          <c:val>
            <c:numRef>
              <c:f>Processing!$K$44:$Q$44</c:f>
              <c:numCache>
                <c:formatCode>General</c:formatCode>
                <c:ptCount val="7"/>
                <c:pt idx="0">
                  <c:v>0</c:v>
                </c:pt>
                <c:pt idx="1">
                  <c:v>1</c:v>
                </c:pt>
                <c:pt idx="2">
                  <c:v>0</c:v>
                </c:pt>
                <c:pt idx="3">
                  <c:v>0</c:v>
                </c:pt>
                <c:pt idx="4">
                  <c:v>0</c:v>
                </c:pt>
                <c:pt idx="5">
                  <c:v>0</c:v>
                </c:pt>
                <c:pt idx="6">
                  <c:v>0</c:v>
                </c:pt>
              </c:numCache>
            </c:numRef>
          </c:val>
          <c:extLst>
            <c:ext xmlns:c16="http://schemas.microsoft.com/office/drawing/2014/chart" uri="{C3380CC4-5D6E-409C-BE32-E72D297353CC}">
              <c16:uniqueId val="{00000013-D0E3-4244-91AF-73EF8AD7D821}"/>
            </c:ext>
          </c:extLst>
        </c:ser>
        <c:ser>
          <c:idx val="20"/>
          <c:order val="20"/>
          <c:spPr>
            <a:noFill/>
            <a:ln>
              <a:noFill/>
            </a:ln>
            <a:effectLst/>
          </c:spPr>
          <c:invertIfNegative val="0"/>
          <c:cat>
            <c:strRef>
              <c:f>Processing!$K$24:$Q$24</c:f>
              <c:strCache>
                <c:ptCount val="7"/>
                <c:pt idx="0">
                  <c:v>SU</c:v>
                </c:pt>
                <c:pt idx="1">
                  <c:v>MO</c:v>
                </c:pt>
                <c:pt idx="2">
                  <c:v>TU</c:v>
                </c:pt>
                <c:pt idx="3">
                  <c:v>WE</c:v>
                </c:pt>
                <c:pt idx="4">
                  <c:v>TH</c:v>
                </c:pt>
                <c:pt idx="5">
                  <c:v>FR</c:v>
                </c:pt>
                <c:pt idx="6">
                  <c:v>SA</c:v>
                </c:pt>
              </c:strCache>
            </c:strRef>
          </c:cat>
          <c:val>
            <c:numRef>
              <c:f>Processing!$K$45:$Q$45</c:f>
              <c:numCache>
                <c:formatCode>General</c:formatCode>
                <c:ptCount val="7"/>
                <c:pt idx="0">
                  <c:v>1</c:v>
                </c:pt>
                <c:pt idx="1">
                  <c:v>1</c:v>
                </c:pt>
                <c:pt idx="2">
                  <c:v>1</c:v>
                </c:pt>
                <c:pt idx="3">
                  <c:v>1</c:v>
                </c:pt>
                <c:pt idx="4">
                  <c:v>1</c:v>
                </c:pt>
                <c:pt idx="5">
                  <c:v>1</c:v>
                </c:pt>
                <c:pt idx="6">
                  <c:v>1</c:v>
                </c:pt>
              </c:numCache>
            </c:numRef>
          </c:val>
          <c:extLst>
            <c:ext xmlns:c16="http://schemas.microsoft.com/office/drawing/2014/chart" uri="{C3380CC4-5D6E-409C-BE32-E72D297353CC}">
              <c16:uniqueId val="{00000014-D0E3-4244-91AF-73EF8AD7D821}"/>
            </c:ext>
          </c:extLst>
        </c:ser>
        <c:ser>
          <c:idx val="21"/>
          <c:order val="21"/>
          <c:spPr>
            <a:blipFill>
              <a:blip xmlns:r="http://schemas.openxmlformats.org/officeDocument/2006/relationships" r:embed="rId1"/>
              <a:stretch>
                <a:fillRect/>
              </a:stretch>
            </a:blipFill>
            <a:ln>
              <a:noFill/>
            </a:ln>
            <a:effectLst/>
          </c:spPr>
          <c:invertIfNegative val="0"/>
          <c:cat>
            <c:strRef>
              <c:f>Processing!$K$24:$Q$24</c:f>
              <c:strCache>
                <c:ptCount val="7"/>
                <c:pt idx="0">
                  <c:v>SU</c:v>
                </c:pt>
                <c:pt idx="1">
                  <c:v>MO</c:v>
                </c:pt>
                <c:pt idx="2">
                  <c:v>TU</c:v>
                </c:pt>
                <c:pt idx="3">
                  <c:v>WE</c:v>
                </c:pt>
                <c:pt idx="4">
                  <c:v>TH</c:v>
                </c:pt>
                <c:pt idx="5">
                  <c:v>FR</c:v>
                </c:pt>
                <c:pt idx="6">
                  <c:v>SA</c:v>
                </c:pt>
              </c:strCache>
            </c:strRef>
          </c:cat>
          <c:val>
            <c:numRef>
              <c:f>Processing!$K$46:$Q$46</c:f>
              <c:numCache>
                <c:formatCode>General</c:formatCode>
                <c:ptCount val="7"/>
                <c:pt idx="0">
                  <c:v>0</c:v>
                </c:pt>
                <c:pt idx="1">
                  <c:v>0</c:v>
                </c:pt>
                <c:pt idx="2">
                  <c:v>0</c:v>
                </c:pt>
                <c:pt idx="3">
                  <c:v>0</c:v>
                </c:pt>
                <c:pt idx="4">
                  <c:v>0</c:v>
                </c:pt>
                <c:pt idx="5">
                  <c:v>0</c:v>
                </c:pt>
                <c:pt idx="6">
                  <c:v>0</c:v>
                </c:pt>
              </c:numCache>
            </c:numRef>
          </c:val>
          <c:extLst>
            <c:ext xmlns:c16="http://schemas.microsoft.com/office/drawing/2014/chart" uri="{C3380CC4-5D6E-409C-BE32-E72D297353CC}">
              <c16:uniqueId val="{00000015-D0E3-4244-91AF-73EF8AD7D821}"/>
            </c:ext>
          </c:extLst>
        </c:ser>
        <c:ser>
          <c:idx val="22"/>
          <c:order val="22"/>
          <c:spPr>
            <a:blipFill>
              <a:blip xmlns:r="http://schemas.openxmlformats.org/officeDocument/2006/relationships" r:embed="rId2"/>
              <a:stretch>
                <a:fillRect/>
              </a:stretch>
            </a:blipFill>
            <a:ln>
              <a:noFill/>
            </a:ln>
            <a:effectLst/>
          </c:spPr>
          <c:invertIfNegative val="0"/>
          <c:cat>
            <c:strRef>
              <c:f>Processing!$K$24:$Q$24</c:f>
              <c:strCache>
                <c:ptCount val="7"/>
                <c:pt idx="0">
                  <c:v>SU</c:v>
                </c:pt>
                <c:pt idx="1">
                  <c:v>MO</c:v>
                </c:pt>
                <c:pt idx="2">
                  <c:v>TU</c:v>
                </c:pt>
                <c:pt idx="3">
                  <c:v>WE</c:v>
                </c:pt>
                <c:pt idx="4">
                  <c:v>TH</c:v>
                </c:pt>
                <c:pt idx="5">
                  <c:v>FR</c:v>
                </c:pt>
                <c:pt idx="6">
                  <c:v>SA</c:v>
                </c:pt>
              </c:strCache>
            </c:strRef>
          </c:cat>
          <c:val>
            <c:numRef>
              <c:f>Processing!$K$47:$Q$47</c:f>
              <c:numCache>
                <c:formatCode>General</c:formatCode>
                <c:ptCount val="7"/>
                <c:pt idx="0">
                  <c:v>0</c:v>
                </c:pt>
                <c:pt idx="1">
                  <c:v>0</c:v>
                </c:pt>
                <c:pt idx="2">
                  <c:v>0</c:v>
                </c:pt>
                <c:pt idx="3">
                  <c:v>0</c:v>
                </c:pt>
                <c:pt idx="4">
                  <c:v>0</c:v>
                </c:pt>
                <c:pt idx="5">
                  <c:v>0</c:v>
                </c:pt>
                <c:pt idx="6">
                  <c:v>0</c:v>
                </c:pt>
              </c:numCache>
            </c:numRef>
          </c:val>
          <c:extLst>
            <c:ext xmlns:c16="http://schemas.microsoft.com/office/drawing/2014/chart" uri="{C3380CC4-5D6E-409C-BE32-E72D297353CC}">
              <c16:uniqueId val="{00000016-D0E3-4244-91AF-73EF8AD7D821}"/>
            </c:ext>
          </c:extLst>
        </c:ser>
        <c:ser>
          <c:idx val="23"/>
          <c:order val="23"/>
          <c:spPr>
            <a:blipFill>
              <a:blip xmlns:r="http://schemas.openxmlformats.org/officeDocument/2006/relationships" r:embed="rId3"/>
              <a:stretch>
                <a:fillRect/>
              </a:stretch>
            </a:blipFill>
            <a:ln>
              <a:noFill/>
            </a:ln>
            <a:effectLst/>
          </c:spPr>
          <c:invertIfNegative val="0"/>
          <c:cat>
            <c:strRef>
              <c:f>Processing!$K$24:$Q$24</c:f>
              <c:strCache>
                <c:ptCount val="7"/>
                <c:pt idx="0">
                  <c:v>SU</c:v>
                </c:pt>
                <c:pt idx="1">
                  <c:v>MO</c:v>
                </c:pt>
                <c:pt idx="2">
                  <c:v>TU</c:v>
                </c:pt>
                <c:pt idx="3">
                  <c:v>WE</c:v>
                </c:pt>
                <c:pt idx="4">
                  <c:v>TH</c:v>
                </c:pt>
                <c:pt idx="5">
                  <c:v>FR</c:v>
                </c:pt>
                <c:pt idx="6">
                  <c:v>SA</c:v>
                </c:pt>
              </c:strCache>
            </c:strRef>
          </c:cat>
          <c:val>
            <c:numRef>
              <c:f>Processing!$K$48:$Q$48</c:f>
              <c:numCache>
                <c:formatCode>General</c:formatCode>
                <c:ptCount val="7"/>
                <c:pt idx="0">
                  <c:v>0</c:v>
                </c:pt>
                <c:pt idx="1">
                  <c:v>0</c:v>
                </c:pt>
                <c:pt idx="2">
                  <c:v>0</c:v>
                </c:pt>
                <c:pt idx="3">
                  <c:v>0</c:v>
                </c:pt>
                <c:pt idx="4">
                  <c:v>0</c:v>
                </c:pt>
                <c:pt idx="5">
                  <c:v>0</c:v>
                </c:pt>
                <c:pt idx="6">
                  <c:v>0</c:v>
                </c:pt>
              </c:numCache>
            </c:numRef>
          </c:val>
          <c:extLst>
            <c:ext xmlns:c16="http://schemas.microsoft.com/office/drawing/2014/chart" uri="{C3380CC4-5D6E-409C-BE32-E72D297353CC}">
              <c16:uniqueId val="{00000017-D0E3-4244-91AF-73EF8AD7D821}"/>
            </c:ext>
          </c:extLst>
        </c:ser>
        <c:dLbls>
          <c:showLegendKey val="0"/>
          <c:showVal val="0"/>
          <c:showCatName val="0"/>
          <c:showSerName val="0"/>
          <c:showPercent val="0"/>
          <c:showBubbleSize val="0"/>
        </c:dLbls>
        <c:gapWidth val="0"/>
        <c:overlap val="100"/>
        <c:axId val="811298159"/>
        <c:axId val="811278479"/>
      </c:barChart>
      <c:catAx>
        <c:axId val="811298159"/>
        <c:scaling>
          <c:orientation val="minMax"/>
        </c:scaling>
        <c:delete val="1"/>
        <c:axPos val="t"/>
        <c:numFmt formatCode="General" sourceLinked="1"/>
        <c:majorTickMark val="out"/>
        <c:minorTickMark val="none"/>
        <c:tickLblPos val="nextTo"/>
        <c:crossAx val="811278479"/>
        <c:crosses val="autoZero"/>
        <c:auto val="1"/>
        <c:lblAlgn val="ctr"/>
        <c:lblOffset val="100"/>
        <c:noMultiLvlLbl val="0"/>
      </c:catAx>
      <c:valAx>
        <c:axId val="811278479"/>
        <c:scaling>
          <c:orientation val="maxMin"/>
        </c:scaling>
        <c:delete val="1"/>
        <c:axPos val="l"/>
        <c:numFmt formatCode="General" sourceLinked="1"/>
        <c:majorTickMark val="out"/>
        <c:minorTickMark val="none"/>
        <c:tickLblPos val="nextTo"/>
        <c:crossAx val="811298159"/>
        <c:crosses val="autoZero"/>
        <c:crossBetween val="between"/>
      </c:valAx>
      <c:spPr>
        <a:noFill/>
      </c:spPr>
    </c:plotArea>
    <c:plotVisOnly val="1"/>
    <c:dispBlanksAs val="gap"/>
    <c:showDLblsOverMax val="0"/>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Processing!$B$17</c:f>
              <c:strCache>
                <c:ptCount val="1"/>
                <c:pt idx="0">
                  <c:v>indent</c:v>
                </c:pt>
              </c:strCache>
            </c:strRef>
          </c:tx>
          <c:spPr>
            <a:noFill/>
            <a:ln>
              <a:noFill/>
            </a:ln>
            <a:effectLst/>
          </c:spPr>
          <c:invertIfNegative val="0"/>
          <c:cat>
            <c:strRef>
              <c:f>Processing!$A$18:$A$29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Processing!$B$18:$B$29</c:f>
              <c:numCache>
                <c:formatCode>General</c:formatCode>
                <c:ptCount val="12"/>
                <c:pt idx="0">
                  <c:v>242.05</c:v>
                </c:pt>
                <c:pt idx="1">
                  <c:v>242.05</c:v>
                </c:pt>
                <c:pt idx="2">
                  <c:v>242.05</c:v>
                </c:pt>
                <c:pt idx="3">
                  <c:v>242.05</c:v>
                </c:pt>
                <c:pt idx="4">
                  <c:v>242.05</c:v>
                </c:pt>
                <c:pt idx="5">
                  <c:v>242.05</c:v>
                </c:pt>
                <c:pt idx="6">
                  <c:v>242.05</c:v>
                </c:pt>
                <c:pt idx="7">
                  <c:v>242.05</c:v>
                </c:pt>
                <c:pt idx="8">
                  <c:v>242.05</c:v>
                </c:pt>
                <c:pt idx="9">
                  <c:v>242.05</c:v>
                </c:pt>
                <c:pt idx="10">
                  <c:v>242.05</c:v>
                </c:pt>
                <c:pt idx="11">
                  <c:v>242.05</c:v>
                </c:pt>
              </c:numCache>
            </c:numRef>
          </c:val>
          <c:extLst>
            <c:ext xmlns:c16="http://schemas.microsoft.com/office/drawing/2014/chart" uri="{C3380CC4-5D6E-409C-BE32-E72D297353CC}">
              <c16:uniqueId val="{00000000-BBAF-4B49-A6DD-8029BF34F75E}"/>
            </c:ext>
          </c:extLst>
        </c:ser>
        <c:ser>
          <c:idx val="1"/>
          <c:order val="1"/>
          <c:tx>
            <c:strRef>
              <c:f>Processing!$C$17</c:f>
              <c:strCache>
                <c:ptCount val="1"/>
                <c:pt idx="0">
                  <c:v>Income</c:v>
                </c:pt>
              </c:strCache>
            </c:strRef>
          </c:tx>
          <c:spPr>
            <a:solidFill>
              <a:schemeClr val="accent2"/>
            </a:solidFill>
            <a:ln w="101600">
              <a:gradFill>
                <a:gsLst>
                  <a:gs pos="0">
                    <a:srgbClr val="1992E6"/>
                  </a:gs>
                  <a:gs pos="100000">
                    <a:srgbClr val="2373DF"/>
                  </a:gs>
                </a:gsLst>
                <a:lin ang="5400000" scaled="1"/>
              </a:gradFill>
            </a:ln>
            <a:effectLst/>
          </c:spPr>
          <c:invertIfNegative val="0"/>
          <c:cat>
            <c:strRef>
              <c:f>Processing!$A$18:$A$29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Processing!$C$18:$C$29</c:f>
              <c:numCache>
                <c:formatCode>General</c:formatCode>
                <c:ptCount val="12"/>
                <c:pt idx="0">
                  <c:v>2075</c:v>
                </c:pt>
                <c:pt idx="1">
                  <c:v>3066</c:v>
                </c:pt>
                <c:pt idx="2">
                  <c:v>4626</c:v>
                </c:pt>
                <c:pt idx="3">
                  <c:v>4841</c:v>
                </c:pt>
                <c:pt idx="4">
                  <c:v>4626</c:v>
                </c:pt>
                <c:pt idx="5">
                  <c:v>3066</c:v>
                </c:pt>
                <c:pt idx="6">
                  <c:v>2075</c:v>
                </c:pt>
                <c:pt idx="7">
                  <c:v>3066</c:v>
                </c:pt>
                <c:pt idx="8">
                  <c:v>4626</c:v>
                </c:pt>
                <c:pt idx="9">
                  <c:v>4841</c:v>
                </c:pt>
                <c:pt idx="10">
                  <c:v>4626</c:v>
                </c:pt>
                <c:pt idx="11">
                  <c:v>2666</c:v>
                </c:pt>
              </c:numCache>
            </c:numRef>
          </c:val>
          <c:extLst>
            <c:ext xmlns:c16="http://schemas.microsoft.com/office/drawing/2014/chart" uri="{C3380CC4-5D6E-409C-BE32-E72D297353CC}">
              <c16:uniqueId val="{00000001-BBAF-4B49-A6DD-8029BF34F75E}"/>
            </c:ext>
          </c:extLst>
        </c:ser>
        <c:dLbls>
          <c:showLegendKey val="0"/>
          <c:showVal val="0"/>
          <c:showCatName val="0"/>
          <c:showSerName val="0"/>
          <c:showPercent val="0"/>
          <c:showBubbleSize val="0"/>
        </c:dLbls>
        <c:gapWidth val="300"/>
        <c:overlap val="100"/>
        <c:axId val="1217850336"/>
        <c:axId val="1217876256"/>
      </c:barChart>
      <c:barChart>
        <c:barDir val="col"/>
        <c:grouping val="stacked"/>
        <c:varyColors val="0"/>
        <c:ser>
          <c:idx val="2"/>
          <c:order val="2"/>
          <c:tx>
            <c:strRef>
              <c:f>Processing!$D$17</c:f>
              <c:strCache>
                <c:ptCount val="1"/>
                <c:pt idx="0">
                  <c:v>indent Cursor</c:v>
                </c:pt>
              </c:strCache>
            </c:strRef>
          </c:tx>
          <c:spPr>
            <a:noFill/>
            <a:ln>
              <a:noFill/>
            </a:ln>
            <a:effectLst/>
          </c:spPr>
          <c:invertIfNegative val="0"/>
          <c:cat>
            <c:strRef>
              <c:f>Processing!$A$18:$A$29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Processing!$D$18:$D$29</c:f>
              <c:numCache>
                <c:formatCode>General</c:formatCode>
                <c:ptCount val="12"/>
                <c:pt idx="0">
                  <c:v>242.05</c:v>
                </c:pt>
                <c:pt idx="1">
                  <c:v>242.05</c:v>
                </c:pt>
                <c:pt idx="2">
                  <c:v>242.05</c:v>
                </c:pt>
                <c:pt idx="3">
                  <c:v>242.05</c:v>
                </c:pt>
                <c:pt idx="4">
                  <c:v>242.05</c:v>
                </c:pt>
                <c:pt idx="5">
                  <c:v>242.05</c:v>
                </c:pt>
                <c:pt idx="6">
                  <c:v>242.05</c:v>
                </c:pt>
                <c:pt idx="7">
                  <c:v>242.05</c:v>
                </c:pt>
                <c:pt idx="8">
                  <c:v>242.05</c:v>
                </c:pt>
                <c:pt idx="9">
                  <c:v>242.05</c:v>
                </c:pt>
                <c:pt idx="10">
                  <c:v>242.05</c:v>
                </c:pt>
                <c:pt idx="11">
                  <c:v>242.05</c:v>
                </c:pt>
              </c:numCache>
            </c:numRef>
          </c:val>
          <c:extLst>
            <c:ext xmlns:c16="http://schemas.microsoft.com/office/drawing/2014/chart" uri="{C3380CC4-5D6E-409C-BE32-E72D297353CC}">
              <c16:uniqueId val="{00000002-BBAF-4B49-A6DD-8029BF34F75E}"/>
            </c:ext>
          </c:extLst>
        </c:ser>
        <c:ser>
          <c:idx val="3"/>
          <c:order val="3"/>
          <c:tx>
            <c:strRef>
              <c:f>Processing!$E$17</c:f>
              <c:strCache>
                <c:ptCount val="1"/>
                <c:pt idx="0">
                  <c:v>Cursor</c:v>
                </c:pt>
              </c:strCache>
            </c:strRef>
          </c:tx>
          <c:spPr>
            <a:solidFill>
              <a:schemeClr val="accent4"/>
            </a:solidFill>
            <a:ln w="101600">
              <a:gradFill>
                <a:gsLst>
                  <a:gs pos="0">
                    <a:srgbClr val="06D3D9"/>
                  </a:gs>
                  <a:gs pos="62000">
                    <a:srgbClr val="09C3F2"/>
                  </a:gs>
                </a:gsLst>
                <a:lin ang="5400000" scaled="1"/>
              </a:gradFill>
            </a:ln>
            <a:effectLst>
              <a:outerShdw blurRad="50800" dist="38100" dir="8100000" algn="tr" rotWithShape="0">
                <a:prstClr val="black">
                  <a:alpha val="40000"/>
                </a:prstClr>
              </a:outerShdw>
            </a:effectLst>
          </c:spPr>
          <c:invertIfNegative val="0"/>
          <c:dPt>
            <c:idx val="8"/>
            <c:invertIfNegative val="0"/>
            <c:bubble3D val="0"/>
            <c:extLst>
              <c:ext xmlns:c16="http://schemas.microsoft.com/office/drawing/2014/chart" uri="{C3380CC4-5D6E-409C-BE32-E72D297353CC}">
                <c16:uniqueId val="{00000003-BBAF-4B49-A6DD-8029BF34F75E}"/>
              </c:ext>
            </c:extLst>
          </c:dPt>
          <c:cat>
            <c:strRef>
              <c:f>Processing!$A$18:$A$29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Processing!$E$18:$E$29</c:f>
              <c:numCache>
                <c:formatCode>General</c:formatCode>
                <c:ptCount val="12"/>
                <c:pt idx="0">
                  <c:v>#N/A</c:v>
                </c:pt>
                <c:pt idx="1">
                  <c:v>#N/A</c:v>
                </c:pt>
                <c:pt idx="2">
                  <c:v>#N/A</c:v>
                </c:pt>
                <c:pt idx="3">
                  <c:v>4841</c:v>
                </c:pt>
                <c:pt idx="4">
                  <c:v>4626</c:v>
                </c:pt>
                <c:pt idx="5">
                  <c:v>3066</c:v>
                </c:pt>
                <c:pt idx="6">
                  <c:v>#N/A</c:v>
                </c:pt>
                <c:pt idx="7">
                  <c:v>#N/A</c:v>
                </c:pt>
                <c:pt idx="8">
                  <c:v>#N/A</c:v>
                </c:pt>
                <c:pt idx="9">
                  <c:v>#N/A</c:v>
                </c:pt>
                <c:pt idx="10">
                  <c:v>#N/A</c:v>
                </c:pt>
                <c:pt idx="11">
                  <c:v>#N/A</c:v>
                </c:pt>
              </c:numCache>
            </c:numRef>
          </c:val>
          <c:extLst>
            <c:ext xmlns:c16="http://schemas.microsoft.com/office/drawing/2014/chart" uri="{C3380CC4-5D6E-409C-BE32-E72D297353CC}">
              <c16:uniqueId val="{00000004-BBAF-4B49-A6DD-8029BF34F75E}"/>
            </c:ext>
          </c:extLst>
        </c:ser>
        <c:dLbls>
          <c:showLegendKey val="0"/>
          <c:showVal val="0"/>
          <c:showCatName val="0"/>
          <c:showSerName val="0"/>
          <c:showPercent val="0"/>
          <c:showBubbleSize val="0"/>
        </c:dLbls>
        <c:gapWidth val="300"/>
        <c:overlap val="100"/>
        <c:axId val="1217885856"/>
        <c:axId val="1217884416"/>
      </c:barChart>
      <c:lineChart>
        <c:grouping val="standard"/>
        <c:varyColors val="0"/>
        <c:ser>
          <c:idx val="4"/>
          <c:order val="4"/>
          <c:tx>
            <c:strRef>
              <c:f>Processing!$F$17</c:f>
              <c:strCache>
                <c:ptCount val="1"/>
                <c:pt idx="0">
                  <c:v>Expenses</c:v>
                </c:pt>
              </c:strCache>
            </c:strRef>
          </c:tx>
          <c:spPr>
            <a:ln w="25400" cap="rnd">
              <a:solidFill>
                <a:srgbClr val="FF00FF"/>
              </a:solidFill>
              <a:round/>
            </a:ln>
            <a:effectLst>
              <a:outerShdw blurRad="50800" dist="38100" dir="5400000" algn="t" rotWithShape="0">
                <a:prstClr val="black">
                  <a:alpha val="40000"/>
                </a:prstClr>
              </a:outerShdw>
            </a:effectLst>
          </c:spPr>
          <c:marker>
            <c:symbol val="circle"/>
            <c:size val="6"/>
            <c:spPr>
              <a:solidFill>
                <a:schemeClr val="bg1"/>
              </a:solidFill>
              <a:ln w="9525">
                <a:solidFill>
                  <a:srgbClr val="FF00FF"/>
                </a:solidFill>
              </a:ln>
              <a:effectLst>
                <a:outerShdw blurRad="50800" dist="38100" dir="5400000" algn="t" rotWithShape="0">
                  <a:prstClr val="black">
                    <a:alpha val="40000"/>
                  </a:prstClr>
                </a:outerShdw>
              </a:effectLst>
            </c:spPr>
          </c:marker>
          <c:cat>
            <c:strRef>
              <c:f>Processing!$A$18:$A$29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Processing!$F$18:$F$29</c:f>
              <c:numCache>
                <c:formatCode>General</c:formatCode>
                <c:ptCount val="12"/>
                <c:pt idx="0">
                  <c:v>2412</c:v>
                </c:pt>
                <c:pt idx="1">
                  <c:v>1696</c:v>
                </c:pt>
                <c:pt idx="2">
                  <c:v>3544</c:v>
                </c:pt>
                <c:pt idx="3">
                  <c:v>2671</c:v>
                </c:pt>
                <c:pt idx="4">
                  <c:v>3036</c:v>
                </c:pt>
                <c:pt idx="5">
                  <c:v>4595</c:v>
                </c:pt>
                <c:pt idx="6">
                  <c:v>2714</c:v>
                </c:pt>
                <c:pt idx="7">
                  <c:v>3731</c:v>
                </c:pt>
                <c:pt idx="8">
                  <c:v>4952</c:v>
                </c:pt>
                <c:pt idx="9">
                  <c:v>3544</c:v>
                </c:pt>
                <c:pt idx="10">
                  <c:v>4595</c:v>
                </c:pt>
                <c:pt idx="11">
                  <c:v>1739</c:v>
                </c:pt>
              </c:numCache>
            </c:numRef>
          </c:val>
          <c:smooth val="0"/>
          <c:extLst>
            <c:ext xmlns:c16="http://schemas.microsoft.com/office/drawing/2014/chart" uri="{C3380CC4-5D6E-409C-BE32-E72D297353CC}">
              <c16:uniqueId val="{00000005-BBAF-4B49-A6DD-8029BF34F75E}"/>
            </c:ext>
          </c:extLst>
        </c:ser>
        <c:ser>
          <c:idx val="5"/>
          <c:order val="5"/>
          <c:tx>
            <c:strRef>
              <c:f>Processing!$G$17</c:f>
              <c:strCache>
                <c:ptCount val="1"/>
                <c:pt idx="0">
                  <c:v>Markers</c:v>
                </c:pt>
              </c:strCache>
            </c:strRef>
          </c:tx>
          <c:spPr>
            <a:ln w="28575" cap="rnd">
              <a:noFill/>
              <a:round/>
            </a:ln>
            <a:effectLst/>
          </c:spPr>
          <c:marker>
            <c:symbol val="none"/>
          </c:marker>
          <c:dLbls>
            <c:dLbl>
              <c:idx val="0"/>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6-BBAF-4B49-A6DD-8029BF34F75E}"/>
                </c:ext>
              </c:extLst>
            </c:dLbl>
            <c:dLbl>
              <c:idx val="1"/>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7-BBAF-4B49-A6DD-8029BF34F75E}"/>
                </c:ext>
              </c:extLst>
            </c:dLbl>
            <c:dLbl>
              <c:idx val="2"/>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8-BBAF-4B49-A6DD-8029BF34F75E}"/>
                </c:ext>
              </c:extLst>
            </c:dLbl>
            <c:dLbl>
              <c:idx val="3"/>
              <c:tx>
                <c:rich>
                  <a:bodyPr/>
                  <a:lstStyle/>
                  <a:p>
                    <a:fld id="{26C44887-B0F4-4B18-A8DC-CAB5963B6B08}"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BBAF-4B49-A6DD-8029BF34F75E}"/>
                </c:ext>
              </c:extLst>
            </c:dLbl>
            <c:dLbl>
              <c:idx val="4"/>
              <c:tx>
                <c:rich>
                  <a:bodyPr/>
                  <a:lstStyle/>
                  <a:p>
                    <a:fld id="{8257844C-2F34-4A54-91D7-D97625D36C38}"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BBAF-4B49-A6DD-8029BF34F75E}"/>
                </c:ext>
              </c:extLst>
            </c:dLbl>
            <c:dLbl>
              <c:idx val="5"/>
              <c:tx>
                <c:rich>
                  <a:bodyPr/>
                  <a:lstStyle/>
                  <a:p>
                    <a:fld id="{C9465284-F85F-4610-80DB-E22CC9B4E9BE}"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BBAF-4B49-A6DD-8029BF34F75E}"/>
                </c:ext>
              </c:extLst>
            </c:dLbl>
            <c:dLbl>
              <c:idx val="6"/>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C-BBAF-4B49-A6DD-8029BF34F75E}"/>
                </c:ext>
              </c:extLst>
            </c:dLbl>
            <c:dLbl>
              <c:idx val="7"/>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D-BBAF-4B49-A6DD-8029BF34F75E}"/>
                </c:ext>
              </c:extLst>
            </c:dLbl>
            <c:dLbl>
              <c:idx val="8"/>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E-BBAF-4B49-A6DD-8029BF34F75E}"/>
                </c:ext>
              </c:extLst>
            </c:dLbl>
            <c:dLbl>
              <c:idx val="9"/>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F-BBAF-4B49-A6DD-8029BF34F75E}"/>
                </c:ext>
              </c:extLst>
            </c:dLbl>
            <c:dLbl>
              <c:idx val="10"/>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0-BBAF-4B49-A6DD-8029BF34F75E}"/>
                </c:ext>
              </c:extLst>
            </c:dLbl>
            <c:dLbl>
              <c:idx val="11"/>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1-BBAF-4B49-A6DD-8029BF34F75E}"/>
                </c:ext>
              </c:extLst>
            </c:dLbl>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ru-RU"/>
              </a:p>
            </c:txPr>
            <c:dLblPos val="t"/>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f>Processing!$A$18:$A$29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Processing!$G$18:$G$29</c:f>
              <c:numCache>
                <c:formatCode>General</c:formatCode>
                <c:ptCount val="12"/>
                <c:pt idx="0">
                  <c:v>#N/A</c:v>
                </c:pt>
                <c:pt idx="1">
                  <c:v>#N/A</c:v>
                </c:pt>
                <c:pt idx="2">
                  <c:v>#N/A</c:v>
                </c:pt>
                <c:pt idx="3">
                  <c:v>5083.05</c:v>
                </c:pt>
                <c:pt idx="4">
                  <c:v>4868.05</c:v>
                </c:pt>
                <c:pt idx="5">
                  <c:v>3308.05</c:v>
                </c:pt>
                <c:pt idx="6">
                  <c:v>#N/A</c:v>
                </c:pt>
                <c:pt idx="7">
                  <c:v>#N/A</c:v>
                </c:pt>
                <c:pt idx="8">
                  <c:v>#N/A</c:v>
                </c:pt>
                <c:pt idx="9">
                  <c:v>#N/A</c:v>
                </c:pt>
                <c:pt idx="10">
                  <c:v>#N/A</c:v>
                </c:pt>
                <c:pt idx="11">
                  <c:v>#N/A</c:v>
                </c:pt>
              </c:numCache>
            </c:numRef>
          </c:val>
          <c:smooth val="0"/>
          <c:extLst>
            <c:ext xmlns:c15="http://schemas.microsoft.com/office/drawing/2012/chart" uri="{02D57815-91ED-43cb-92C2-25804820EDAC}">
              <c15:datalabelsRange>
                <c15:f>Processing!$H$18:$H$29</c15:f>
                <c15:dlblRangeCache>
                  <c:ptCount val="12"/>
                  <c:pt idx="0">
                    <c:v>#N/A</c:v>
                  </c:pt>
                  <c:pt idx="1">
                    <c:v>#N/A</c:v>
                  </c:pt>
                  <c:pt idx="2">
                    <c:v>#N/A</c:v>
                  </c:pt>
                  <c:pt idx="3">
                    <c:v>5k</c:v>
                  </c:pt>
                  <c:pt idx="4">
                    <c:v>5k</c:v>
                  </c:pt>
                  <c:pt idx="5">
                    <c:v>3k</c:v>
                  </c:pt>
                  <c:pt idx="6">
                    <c:v>#N/A</c:v>
                  </c:pt>
                  <c:pt idx="7">
                    <c:v>#N/A</c:v>
                  </c:pt>
                  <c:pt idx="8">
                    <c:v>#N/A</c:v>
                  </c:pt>
                  <c:pt idx="9">
                    <c:v>#N/A</c:v>
                  </c:pt>
                  <c:pt idx="10">
                    <c:v>#N/A</c:v>
                  </c:pt>
                  <c:pt idx="11">
                    <c:v>#N/A</c:v>
                  </c:pt>
                </c15:dlblRangeCache>
              </c15:datalabelsRange>
            </c:ext>
            <c:ext xmlns:c16="http://schemas.microsoft.com/office/drawing/2014/chart" uri="{C3380CC4-5D6E-409C-BE32-E72D297353CC}">
              <c16:uniqueId val="{00000012-BBAF-4B49-A6DD-8029BF34F75E}"/>
            </c:ext>
          </c:extLst>
        </c:ser>
        <c:dLbls>
          <c:showLegendKey val="0"/>
          <c:showVal val="0"/>
          <c:showCatName val="0"/>
          <c:showSerName val="0"/>
          <c:showPercent val="0"/>
          <c:showBubbleSize val="0"/>
        </c:dLbls>
        <c:marker val="1"/>
        <c:smooth val="0"/>
        <c:axId val="1217850336"/>
        <c:axId val="1217876256"/>
      </c:lineChart>
      <c:catAx>
        <c:axId val="1217850336"/>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1217876256"/>
        <c:crosses val="autoZero"/>
        <c:auto val="1"/>
        <c:lblAlgn val="ctr"/>
        <c:lblOffset val="100"/>
        <c:noMultiLvlLbl val="0"/>
      </c:catAx>
      <c:valAx>
        <c:axId val="1217876256"/>
        <c:scaling>
          <c:orientation val="minMax"/>
        </c:scaling>
        <c:delete val="0"/>
        <c:axPos val="l"/>
        <c:majorGridlines>
          <c:spPr>
            <a:ln w="9525" cap="flat" cmpd="sng" algn="ctr">
              <a:solidFill>
                <a:srgbClr val="18387B"/>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lumMod val="25000"/>
                    <a:lumOff val="75000"/>
                  </a:schemeClr>
                </a:solidFill>
                <a:latin typeface="+mn-lt"/>
                <a:ea typeface="+mn-ea"/>
                <a:cs typeface="+mn-cs"/>
              </a:defRPr>
            </a:pPr>
            <a:endParaRPr lang="ru-RU"/>
          </a:p>
        </c:txPr>
        <c:crossAx val="1217850336"/>
        <c:crosses val="autoZero"/>
        <c:crossBetween val="between"/>
      </c:valAx>
      <c:valAx>
        <c:axId val="1217884416"/>
        <c:scaling>
          <c:orientation val="minMax"/>
        </c:scaling>
        <c:delete val="1"/>
        <c:axPos val="r"/>
        <c:numFmt formatCode="General" sourceLinked="1"/>
        <c:majorTickMark val="out"/>
        <c:minorTickMark val="none"/>
        <c:tickLblPos val="nextTo"/>
        <c:crossAx val="1217885856"/>
        <c:crosses val="max"/>
        <c:crossBetween val="between"/>
      </c:valAx>
      <c:catAx>
        <c:axId val="1217885856"/>
        <c:scaling>
          <c:orientation val="minMax"/>
        </c:scaling>
        <c:delete val="1"/>
        <c:axPos val="b"/>
        <c:numFmt formatCode="General" sourceLinked="1"/>
        <c:majorTickMark val="out"/>
        <c:minorTickMark val="none"/>
        <c:tickLblPos val="nextTo"/>
        <c:crossAx val="1217884416"/>
        <c:crosses val="autoZero"/>
        <c:auto val="1"/>
        <c:lblAlgn val="ctr"/>
        <c:lblOffset val="100"/>
        <c:noMultiLvlLbl val="0"/>
      </c:catAx>
      <c:spPr>
        <a:noFill/>
      </c:spPr>
    </c:plotArea>
    <c:plotVisOnly val="1"/>
    <c:dispBlanksAs val="gap"/>
    <c:showDLblsOverMax val="0"/>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711001086985339"/>
          <c:y val="8.9869281045751634E-2"/>
          <c:w val="0.66877483117640601"/>
          <c:h val="0.8202614379084967"/>
        </c:manualLayout>
      </c:layout>
      <c:barChart>
        <c:barDir val="bar"/>
        <c:grouping val="stacked"/>
        <c:varyColors val="0"/>
        <c:ser>
          <c:idx val="1"/>
          <c:order val="0"/>
          <c:tx>
            <c:strRef>
              <c:f>Processing!$E$33</c:f>
              <c:strCache>
                <c:ptCount val="1"/>
                <c:pt idx="0">
                  <c:v>indent</c:v>
                </c:pt>
              </c:strCache>
            </c:strRef>
          </c:tx>
          <c:spPr>
            <a:noFill/>
            <a:ln>
              <a:noFill/>
            </a:ln>
            <a:effectLst/>
          </c:spPr>
          <c:invertIfNegative val="0"/>
          <c:cat>
            <c:strRef>
              <c:f>Processing!$D$34:$D$37</c:f>
              <c:strCache>
                <c:ptCount val="4"/>
                <c:pt idx="0">
                  <c:v>Savings</c:v>
                </c:pt>
                <c:pt idx="1">
                  <c:v>Salary</c:v>
                </c:pt>
                <c:pt idx="2">
                  <c:v>Side Job</c:v>
                </c:pt>
                <c:pt idx="3">
                  <c:v>Stock</c:v>
                </c:pt>
              </c:strCache>
            </c:strRef>
          </c:cat>
          <c:val>
            <c:numRef>
              <c:f>Processing!$E$34:$E$37</c:f>
              <c:numCache>
                <c:formatCode>General</c:formatCode>
                <c:ptCount val="4"/>
                <c:pt idx="0">
                  <c:v>271.18</c:v>
                </c:pt>
                <c:pt idx="1">
                  <c:v>271.18</c:v>
                </c:pt>
                <c:pt idx="2">
                  <c:v>271.18</c:v>
                </c:pt>
                <c:pt idx="3">
                  <c:v>271.18</c:v>
                </c:pt>
              </c:numCache>
            </c:numRef>
          </c:val>
          <c:extLst>
            <c:ext xmlns:c16="http://schemas.microsoft.com/office/drawing/2014/chart" uri="{C3380CC4-5D6E-409C-BE32-E72D297353CC}">
              <c16:uniqueId val="{00000000-E86A-470C-8654-B649EA89B2DC}"/>
            </c:ext>
          </c:extLst>
        </c:ser>
        <c:ser>
          <c:idx val="0"/>
          <c:order val="1"/>
          <c:tx>
            <c:strRef>
              <c:f>Processing!$F$33</c:f>
              <c:strCache>
                <c:ptCount val="1"/>
                <c:pt idx="0">
                  <c:v>Rank</c:v>
                </c:pt>
              </c:strCache>
            </c:strRef>
          </c:tx>
          <c:spPr>
            <a:solidFill>
              <a:schemeClr val="accent1"/>
            </a:solidFill>
            <a:ln w="10160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invertIfNegative val="0"/>
          <c:cat>
            <c:strRef>
              <c:f>Processing!$D$34:$D$37</c:f>
              <c:strCache>
                <c:ptCount val="4"/>
                <c:pt idx="0">
                  <c:v>Savings</c:v>
                </c:pt>
                <c:pt idx="1">
                  <c:v>Salary</c:v>
                </c:pt>
                <c:pt idx="2">
                  <c:v>Side Job</c:v>
                </c:pt>
                <c:pt idx="3">
                  <c:v>Stock</c:v>
                </c:pt>
              </c:strCache>
            </c:strRef>
          </c:cat>
          <c:val>
            <c:numRef>
              <c:f>Processing!$F$34:$F$37</c:f>
              <c:numCache>
                <c:formatCode>General</c:formatCode>
                <c:ptCount val="4"/>
                <c:pt idx="0">
                  <c:v>3874</c:v>
                </c:pt>
                <c:pt idx="1">
                  <c:v>3546</c:v>
                </c:pt>
                <c:pt idx="2">
                  <c:v>2607</c:v>
                </c:pt>
                <c:pt idx="3">
                  <c:v>2506</c:v>
                </c:pt>
              </c:numCache>
            </c:numRef>
          </c:val>
          <c:extLst>
            <c:ext xmlns:c16="http://schemas.microsoft.com/office/drawing/2014/chart" uri="{C3380CC4-5D6E-409C-BE32-E72D297353CC}">
              <c16:uniqueId val="{00000001-E86A-470C-8654-B649EA89B2DC}"/>
            </c:ext>
          </c:extLst>
        </c:ser>
        <c:dLbls>
          <c:showLegendKey val="0"/>
          <c:showVal val="0"/>
          <c:showCatName val="0"/>
          <c:showSerName val="0"/>
          <c:showPercent val="0"/>
          <c:showBubbleSize val="0"/>
        </c:dLbls>
        <c:gapWidth val="300"/>
        <c:overlap val="100"/>
        <c:axId val="1547179375"/>
        <c:axId val="1547170255"/>
      </c:barChart>
      <c:catAx>
        <c:axId val="1547179375"/>
        <c:scaling>
          <c:orientation val="maxMin"/>
        </c:scaling>
        <c:delete val="0"/>
        <c:axPos val="l"/>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2">
                    <a:lumMod val="25000"/>
                    <a:lumOff val="75000"/>
                  </a:schemeClr>
                </a:solidFill>
                <a:latin typeface="+mn-lt"/>
                <a:ea typeface="+mn-ea"/>
                <a:cs typeface="+mn-cs"/>
              </a:defRPr>
            </a:pPr>
            <a:endParaRPr lang="ru-RU"/>
          </a:p>
        </c:txPr>
        <c:crossAx val="1547170255"/>
        <c:crosses val="autoZero"/>
        <c:auto val="1"/>
        <c:lblAlgn val="ctr"/>
        <c:lblOffset val="100"/>
        <c:noMultiLvlLbl val="0"/>
      </c:catAx>
      <c:valAx>
        <c:axId val="1547170255"/>
        <c:scaling>
          <c:orientation val="minMax"/>
          <c:min val="0"/>
        </c:scaling>
        <c:delete val="1"/>
        <c:axPos val="t"/>
        <c:numFmt formatCode="General" sourceLinked="1"/>
        <c:majorTickMark val="out"/>
        <c:minorTickMark val="none"/>
        <c:tickLblPos val="nextTo"/>
        <c:crossAx val="1547179375"/>
        <c:crosses val="autoZero"/>
        <c:crossBetween val="between"/>
      </c:valAx>
      <c:spPr>
        <a:noFill/>
      </c:spPr>
    </c:plotArea>
    <c:plotVisOnly val="1"/>
    <c:dispBlanksAs val="gap"/>
    <c:showDLblsOverMax val="0"/>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areaChart>
        <c:grouping val="standard"/>
        <c:varyColors val="0"/>
        <c:ser>
          <c:idx val="0"/>
          <c:order val="0"/>
          <c:tx>
            <c:strRef>
              <c:f>Processing!$B$40</c:f>
              <c:strCache>
                <c:ptCount val="1"/>
                <c:pt idx="0">
                  <c:v>Income</c:v>
                </c:pt>
              </c:strCache>
            </c:strRef>
          </c:tx>
          <c:spPr>
            <a:gradFill>
              <a:gsLst>
                <a:gs pos="0">
                  <a:srgbClr val="3883D4"/>
                </a:gs>
                <a:gs pos="100000">
                  <a:srgbClr val="224192">
                    <a:alpha val="2000"/>
                  </a:srgbClr>
                </a:gs>
              </a:gsLst>
              <a:lin ang="5400000" scaled="0"/>
            </a:gradFill>
            <a:ln>
              <a:noFill/>
            </a:ln>
            <a:effectLst/>
          </c:spPr>
          <c:val>
            <c:numRef>
              <c:f>Processing!$B$41:$B$44</c:f>
              <c:numCache>
                <c:formatCode>General</c:formatCode>
                <c:ptCount val="4"/>
                <c:pt idx="0">
                  <c:v>37965</c:v>
                </c:pt>
                <c:pt idx="1">
                  <c:v>44200</c:v>
                </c:pt>
                <c:pt idx="2">
                  <c:v>38780</c:v>
                </c:pt>
                <c:pt idx="3">
                  <c:v>53560</c:v>
                </c:pt>
              </c:numCache>
            </c:numRef>
          </c:val>
          <c:extLst>
            <c:ext xmlns:c16="http://schemas.microsoft.com/office/drawing/2014/chart" uri="{C3380CC4-5D6E-409C-BE32-E72D297353CC}">
              <c16:uniqueId val="{00000000-3413-485C-A121-0552C71F5DE5}"/>
            </c:ext>
          </c:extLst>
        </c:ser>
        <c:dLbls>
          <c:showLegendKey val="0"/>
          <c:showVal val="0"/>
          <c:showCatName val="0"/>
          <c:showSerName val="0"/>
          <c:showPercent val="0"/>
          <c:showBubbleSize val="0"/>
        </c:dLbls>
        <c:axId val="1547119375"/>
        <c:axId val="1547116975"/>
      </c:areaChart>
      <c:lineChart>
        <c:grouping val="standard"/>
        <c:varyColors val="0"/>
        <c:ser>
          <c:idx val="1"/>
          <c:order val="1"/>
          <c:spPr>
            <a:ln w="25400" cap="rnd">
              <a:solidFill>
                <a:srgbClr val="B9C1FF"/>
              </a:solidFill>
              <a:round/>
            </a:ln>
            <a:effectLst>
              <a:outerShdw blurRad="50800" dist="38100" dir="5400000" algn="t" rotWithShape="0">
                <a:prstClr val="black">
                  <a:alpha val="40000"/>
                </a:prstClr>
              </a:outerShdw>
            </a:effectLst>
          </c:spPr>
          <c:marker>
            <c:symbol val="none"/>
          </c:marker>
          <c:val>
            <c:numRef>
              <c:f>Processing!$B$41:$B$44</c:f>
              <c:numCache>
                <c:formatCode>General</c:formatCode>
                <c:ptCount val="4"/>
                <c:pt idx="0">
                  <c:v>37965</c:v>
                </c:pt>
                <c:pt idx="1">
                  <c:v>44200</c:v>
                </c:pt>
                <c:pt idx="2">
                  <c:v>38780</c:v>
                </c:pt>
                <c:pt idx="3">
                  <c:v>53560</c:v>
                </c:pt>
              </c:numCache>
            </c:numRef>
          </c:val>
          <c:smooth val="0"/>
          <c:extLst>
            <c:ext xmlns:c16="http://schemas.microsoft.com/office/drawing/2014/chart" uri="{C3380CC4-5D6E-409C-BE32-E72D297353CC}">
              <c16:uniqueId val="{00000001-3413-485C-A121-0552C71F5DE5}"/>
            </c:ext>
          </c:extLst>
        </c:ser>
        <c:dLbls>
          <c:showLegendKey val="0"/>
          <c:showVal val="0"/>
          <c:showCatName val="0"/>
          <c:showSerName val="0"/>
          <c:showPercent val="0"/>
          <c:showBubbleSize val="0"/>
        </c:dLbls>
        <c:marker val="1"/>
        <c:smooth val="0"/>
        <c:axId val="1547119375"/>
        <c:axId val="1547116975"/>
      </c:lineChart>
      <c:scatterChart>
        <c:scatterStyle val="lineMarker"/>
        <c:varyColors val="0"/>
        <c:ser>
          <c:idx val="2"/>
          <c:order val="2"/>
          <c:tx>
            <c:strRef>
              <c:f>Processing!$C$40</c:f>
              <c:strCache>
                <c:ptCount val="1"/>
                <c:pt idx="0">
                  <c:v>Cursor</c:v>
                </c:pt>
              </c:strCache>
            </c:strRef>
          </c:tx>
          <c:spPr>
            <a:ln w="25400" cap="rnd">
              <a:noFill/>
              <a:round/>
            </a:ln>
            <a:effectLst>
              <a:outerShdw blurRad="50800" dist="38100" dir="5400000" algn="t" rotWithShape="0">
                <a:prstClr val="black">
                  <a:alpha val="40000"/>
                </a:prstClr>
              </a:outerShdw>
            </a:effectLst>
          </c:spPr>
          <c:marker>
            <c:symbol val="circle"/>
            <c:size val="7"/>
            <c:spPr>
              <a:solidFill>
                <a:schemeClr val="bg1"/>
              </a:solidFill>
              <a:ln w="12700">
                <a:solidFill>
                  <a:srgbClr val="4B5792"/>
                </a:solidFill>
              </a:ln>
              <a:effectLst>
                <a:outerShdw blurRad="50800" dist="38100" dir="5400000" algn="t" rotWithShape="0">
                  <a:prstClr val="black">
                    <a:alpha val="40000"/>
                  </a:prstClr>
                </a:outerShdw>
              </a:effectLst>
            </c:spPr>
          </c:marker>
          <c:dLbls>
            <c:numFmt formatCode="[&gt;=1000]0,&quot;k&quot;;[&lt;=-1000]\-0,&quot;k&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ru-RU"/>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yVal>
            <c:numRef>
              <c:f>Processing!$C$41:$C$44</c:f>
              <c:numCache>
                <c:formatCode>General</c:formatCode>
                <c:ptCount val="4"/>
                <c:pt idx="0">
                  <c:v>#N/A</c:v>
                </c:pt>
                <c:pt idx="1">
                  <c:v>44200</c:v>
                </c:pt>
                <c:pt idx="2">
                  <c:v>#N/A</c:v>
                </c:pt>
                <c:pt idx="3">
                  <c:v>#N/A</c:v>
                </c:pt>
              </c:numCache>
            </c:numRef>
          </c:yVal>
          <c:smooth val="0"/>
          <c:extLst>
            <c:ext xmlns:c16="http://schemas.microsoft.com/office/drawing/2014/chart" uri="{C3380CC4-5D6E-409C-BE32-E72D297353CC}">
              <c16:uniqueId val="{00000002-3413-485C-A121-0552C71F5DE5}"/>
            </c:ext>
          </c:extLst>
        </c:ser>
        <c:dLbls>
          <c:showLegendKey val="0"/>
          <c:showVal val="0"/>
          <c:showCatName val="0"/>
          <c:showSerName val="0"/>
          <c:showPercent val="0"/>
          <c:showBubbleSize val="0"/>
        </c:dLbls>
        <c:axId val="1547119375"/>
        <c:axId val="1547116975"/>
      </c:scatterChart>
      <c:catAx>
        <c:axId val="1547119375"/>
        <c:scaling>
          <c:orientation val="minMax"/>
        </c:scaling>
        <c:delete val="1"/>
        <c:axPos val="b"/>
        <c:majorTickMark val="out"/>
        <c:minorTickMark val="none"/>
        <c:tickLblPos val="nextTo"/>
        <c:crossAx val="1547116975"/>
        <c:crosses val="autoZero"/>
        <c:auto val="1"/>
        <c:lblAlgn val="ctr"/>
        <c:lblOffset val="100"/>
        <c:noMultiLvlLbl val="0"/>
      </c:catAx>
      <c:valAx>
        <c:axId val="1547116975"/>
        <c:scaling>
          <c:orientation val="minMax"/>
        </c:scaling>
        <c:delete val="1"/>
        <c:axPos val="l"/>
        <c:numFmt formatCode="General" sourceLinked="1"/>
        <c:majorTickMark val="none"/>
        <c:minorTickMark val="none"/>
        <c:tickLblPos val="nextTo"/>
        <c:crossAx val="1547119375"/>
        <c:crosses val="autoZero"/>
        <c:crossBetween val="between"/>
      </c:valAx>
      <c:spPr>
        <a:noFill/>
      </c:spPr>
    </c:plotArea>
    <c:plotVisOnly val="1"/>
    <c:dispBlanksAs val="zero"/>
    <c:showDLblsOverMax val="0"/>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noFill/>
            <a:ln w="9525">
              <a:solidFill>
                <a:srgbClr val="4E5E9D">
                  <a:alpha val="70000"/>
                </a:srgbClr>
              </a:solidFill>
            </a:ln>
          </c:spPr>
          <c:dPt>
            <c:idx val="0"/>
            <c:bubble3D val="0"/>
            <c:spPr>
              <a:noFill/>
              <a:ln w="9525">
                <a:solidFill>
                  <a:srgbClr val="4E5E9D">
                    <a:alpha val="70000"/>
                  </a:srgbClr>
                </a:solidFill>
              </a:ln>
              <a:effectLst/>
            </c:spPr>
            <c:extLst>
              <c:ext xmlns:c16="http://schemas.microsoft.com/office/drawing/2014/chart" uri="{C3380CC4-5D6E-409C-BE32-E72D297353CC}">
                <c16:uniqueId val="{00000001-1BE8-40EA-8AC4-2DDF3A7394B7}"/>
              </c:ext>
            </c:extLst>
          </c:dPt>
          <c:dPt>
            <c:idx val="1"/>
            <c:bubble3D val="0"/>
            <c:spPr>
              <a:noFill/>
              <a:ln w="9525">
                <a:solidFill>
                  <a:srgbClr val="4E5E9D">
                    <a:alpha val="70000"/>
                  </a:srgbClr>
                </a:solidFill>
              </a:ln>
              <a:effectLst/>
            </c:spPr>
            <c:extLst>
              <c:ext xmlns:c16="http://schemas.microsoft.com/office/drawing/2014/chart" uri="{C3380CC4-5D6E-409C-BE32-E72D297353CC}">
                <c16:uniqueId val="{00000003-1BE8-40EA-8AC4-2DDF3A7394B7}"/>
              </c:ext>
            </c:extLst>
          </c:dPt>
          <c:dPt>
            <c:idx val="2"/>
            <c:bubble3D val="0"/>
            <c:spPr>
              <a:noFill/>
              <a:ln w="9525">
                <a:solidFill>
                  <a:srgbClr val="4E5E9D">
                    <a:alpha val="70000"/>
                  </a:srgbClr>
                </a:solidFill>
              </a:ln>
              <a:effectLst/>
            </c:spPr>
            <c:extLst>
              <c:ext xmlns:c16="http://schemas.microsoft.com/office/drawing/2014/chart" uri="{C3380CC4-5D6E-409C-BE32-E72D297353CC}">
                <c16:uniqueId val="{00000005-1BE8-40EA-8AC4-2DDF3A7394B7}"/>
              </c:ext>
            </c:extLst>
          </c:dPt>
          <c:dPt>
            <c:idx val="3"/>
            <c:bubble3D val="0"/>
            <c:spPr>
              <a:noFill/>
              <a:ln w="9525">
                <a:solidFill>
                  <a:srgbClr val="4E5E9D">
                    <a:alpha val="70000"/>
                  </a:srgbClr>
                </a:solidFill>
              </a:ln>
              <a:effectLst/>
            </c:spPr>
            <c:extLst>
              <c:ext xmlns:c16="http://schemas.microsoft.com/office/drawing/2014/chart" uri="{C3380CC4-5D6E-409C-BE32-E72D297353CC}">
                <c16:uniqueId val="{00000007-1BE8-40EA-8AC4-2DDF3A7394B7}"/>
              </c:ext>
            </c:extLst>
          </c:dPt>
          <c:dPt>
            <c:idx val="4"/>
            <c:bubble3D val="0"/>
            <c:spPr>
              <a:noFill/>
              <a:ln w="9525">
                <a:solidFill>
                  <a:srgbClr val="4E5E9D">
                    <a:alpha val="70000"/>
                  </a:srgbClr>
                </a:solidFill>
              </a:ln>
              <a:effectLst/>
            </c:spPr>
            <c:extLst>
              <c:ext xmlns:c16="http://schemas.microsoft.com/office/drawing/2014/chart" uri="{C3380CC4-5D6E-409C-BE32-E72D297353CC}">
                <c16:uniqueId val="{00000009-1BE8-40EA-8AC4-2DDF3A7394B7}"/>
              </c:ext>
            </c:extLst>
          </c:dPt>
          <c:val>
            <c:numRef>
              <c:f>Processing!$A$64:$E$64</c:f>
              <c:numCache>
                <c:formatCode>General</c:formatCode>
                <c:ptCount val="5"/>
                <c:pt idx="0">
                  <c:v>72</c:v>
                </c:pt>
                <c:pt idx="1">
                  <c:v>72</c:v>
                </c:pt>
                <c:pt idx="2">
                  <c:v>72</c:v>
                </c:pt>
                <c:pt idx="3">
                  <c:v>72</c:v>
                </c:pt>
                <c:pt idx="4">
                  <c:v>72</c:v>
                </c:pt>
              </c:numCache>
            </c:numRef>
          </c:val>
          <c:extLst>
            <c:ext xmlns:c16="http://schemas.microsoft.com/office/drawing/2014/chart" uri="{C3380CC4-5D6E-409C-BE32-E72D297353CC}">
              <c16:uniqueId val="{0000000A-1BE8-40EA-8AC4-2DDF3A7394B7}"/>
            </c:ext>
          </c:extLst>
        </c:ser>
        <c:ser>
          <c:idx val="1"/>
          <c:order val="1"/>
          <c:spPr>
            <a:noFill/>
            <a:ln w="9525">
              <a:solidFill>
                <a:srgbClr val="4E5E9D">
                  <a:alpha val="70000"/>
                </a:srgbClr>
              </a:solidFill>
            </a:ln>
          </c:spPr>
          <c:dPt>
            <c:idx val="0"/>
            <c:bubble3D val="0"/>
            <c:spPr>
              <a:noFill/>
              <a:ln w="9525">
                <a:solidFill>
                  <a:srgbClr val="4E5E9D">
                    <a:alpha val="70000"/>
                  </a:srgbClr>
                </a:solidFill>
              </a:ln>
              <a:effectLst/>
            </c:spPr>
            <c:extLst>
              <c:ext xmlns:c16="http://schemas.microsoft.com/office/drawing/2014/chart" uri="{C3380CC4-5D6E-409C-BE32-E72D297353CC}">
                <c16:uniqueId val="{0000000C-1BE8-40EA-8AC4-2DDF3A7394B7}"/>
              </c:ext>
            </c:extLst>
          </c:dPt>
          <c:dPt>
            <c:idx val="1"/>
            <c:bubble3D val="0"/>
            <c:spPr>
              <a:noFill/>
              <a:ln w="9525">
                <a:solidFill>
                  <a:srgbClr val="4E5E9D">
                    <a:alpha val="70000"/>
                  </a:srgbClr>
                </a:solidFill>
              </a:ln>
              <a:effectLst/>
            </c:spPr>
            <c:extLst>
              <c:ext xmlns:c16="http://schemas.microsoft.com/office/drawing/2014/chart" uri="{C3380CC4-5D6E-409C-BE32-E72D297353CC}">
                <c16:uniqueId val="{0000000E-1BE8-40EA-8AC4-2DDF3A7394B7}"/>
              </c:ext>
            </c:extLst>
          </c:dPt>
          <c:dPt>
            <c:idx val="2"/>
            <c:bubble3D val="0"/>
            <c:spPr>
              <a:noFill/>
              <a:ln w="9525">
                <a:solidFill>
                  <a:srgbClr val="4E5E9D">
                    <a:alpha val="70000"/>
                  </a:srgbClr>
                </a:solidFill>
              </a:ln>
              <a:effectLst/>
            </c:spPr>
            <c:extLst>
              <c:ext xmlns:c16="http://schemas.microsoft.com/office/drawing/2014/chart" uri="{C3380CC4-5D6E-409C-BE32-E72D297353CC}">
                <c16:uniqueId val="{00000010-1BE8-40EA-8AC4-2DDF3A7394B7}"/>
              </c:ext>
            </c:extLst>
          </c:dPt>
          <c:dPt>
            <c:idx val="3"/>
            <c:bubble3D val="0"/>
            <c:spPr>
              <a:noFill/>
              <a:ln w="9525">
                <a:solidFill>
                  <a:srgbClr val="4E5E9D">
                    <a:alpha val="70000"/>
                  </a:srgbClr>
                </a:solidFill>
              </a:ln>
              <a:effectLst/>
            </c:spPr>
            <c:extLst>
              <c:ext xmlns:c16="http://schemas.microsoft.com/office/drawing/2014/chart" uri="{C3380CC4-5D6E-409C-BE32-E72D297353CC}">
                <c16:uniqueId val="{00000012-1BE8-40EA-8AC4-2DDF3A7394B7}"/>
              </c:ext>
            </c:extLst>
          </c:dPt>
          <c:dPt>
            <c:idx val="4"/>
            <c:bubble3D val="0"/>
            <c:spPr>
              <a:noFill/>
              <a:ln w="9525">
                <a:solidFill>
                  <a:srgbClr val="4E5E9D">
                    <a:alpha val="70000"/>
                  </a:srgbClr>
                </a:solidFill>
              </a:ln>
              <a:effectLst/>
            </c:spPr>
            <c:extLst>
              <c:ext xmlns:c16="http://schemas.microsoft.com/office/drawing/2014/chart" uri="{C3380CC4-5D6E-409C-BE32-E72D297353CC}">
                <c16:uniqueId val="{00000014-1BE8-40EA-8AC4-2DDF3A7394B7}"/>
              </c:ext>
            </c:extLst>
          </c:dPt>
          <c:val>
            <c:numRef>
              <c:f>Processing!$A$65:$E$65</c:f>
              <c:numCache>
                <c:formatCode>General</c:formatCode>
                <c:ptCount val="5"/>
                <c:pt idx="0">
                  <c:v>72</c:v>
                </c:pt>
                <c:pt idx="1">
                  <c:v>72</c:v>
                </c:pt>
                <c:pt idx="2">
                  <c:v>72</c:v>
                </c:pt>
                <c:pt idx="3">
                  <c:v>72</c:v>
                </c:pt>
                <c:pt idx="4">
                  <c:v>72</c:v>
                </c:pt>
              </c:numCache>
            </c:numRef>
          </c:val>
          <c:extLst>
            <c:ext xmlns:c16="http://schemas.microsoft.com/office/drawing/2014/chart" uri="{C3380CC4-5D6E-409C-BE32-E72D297353CC}">
              <c16:uniqueId val="{00000015-1BE8-40EA-8AC4-2DDF3A7394B7}"/>
            </c:ext>
          </c:extLst>
        </c:ser>
        <c:ser>
          <c:idx val="2"/>
          <c:order val="2"/>
          <c:spPr>
            <a:noFill/>
            <a:ln w="9525">
              <a:solidFill>
                <a:srgbClr val="4E5E9D">
                  <a:alpha val="70000"/>
                </a:srgbClr>
              </a:solidFill>
            </a:ln>
          </c:spPr>
          <c:dPt>
            <c:idx val="0"/>
            <c:bubble3D val="0"/>
            <c:spPr>
              <a:noFill/>
              <a:ln w="9525">
                <a:solidFill>
                  <a:srgbClr val="4E5E9D">
                    <a:alpha val="70000"/>
                  </a:srgbClr>
                </a:solidFill>
              </a:ln>
              <a:effectLst/>
            </c:spPr>
            <c:extLst>
              <c:ext xmlns:c16="http://schemas.microsoft.com/office/drawing/2014/chart" uri="{C3380CC4-5D6E-409C-BE32-E72D297353CC}">
                <c16:uniqueId val="{00000017-1BE8-40EA-8AC4-2DDF3A7394B7}"/>
              </c:ext>
            </c:extLst>
          </c:dPt>
          <c:dPt>
            <c:idx val="1"/>
            <c:bubble3D val="0"/>
            <c:spPr>
              <a:noFill/>
              <a:ln w="9525">
                <a:solidFill>
                  <a:srgbClr val="4E5E9D">
                    <a:alpha val="70000"/>
                  </a:srgbClr>
                </a:solidFill>
              </a:ln>
              <a:effectLst/>
            </c:spPr>
            <c:extLst>
              <c:ext xmlns:c16="http://schemas.microsoft.com/office/drawing/2014/chart" uri="{C3380CC4-5D6E-409C-BE32-E72D297353CC}">
                <c16:uniqueId val="{00000019-1BE8-40EA-8AC4-2DDF3A7394B7}"/>
              </c:ext>
            </c:extLst>
          </c:dPt>
          <c:dPt>
            <c:idx val="2"/>
            <c:bubble3D val="0"/>
            <c:spPr>
              <a:noFill/>
              <a:ln w="9525">
                <a:solidFill>
                  <a:srgbClr val="4E5E9D">
                    <a:alpha val="70000"/>
                  </a:srgbClr>
                </a:solidFill>
              </a:ln>
              <a:effectLst/>
            </c:spPr>
            <c:extLst>
              <c:ext xmlns:c16="http://schemas.microsoft.com/office/drawing/2014/chart" uri="{C3380CC4-5D6E-409C-BE32-E72D297353CC}">
                <c16:uniqueId val="{0000001B-1BE8-40EA-8AC4-2DDF3A7394B7}"/>
              </c:ext>
            </c:extLst>
          </c:dPt>
          <c:dPt>
            <c:idx val="3"/>
            <c:bubble3D val="0"/>
            <c:spPr>
              <a:noFill/>
              <a:ln w="9525">
                <a:solidFill>
                  <a:srgbClr val="4E5E9D">
                    <a:alpha val="70000"/>
                  </a:srgbClr>
                </a:solidFill>
              </a:ln>
              <a:effectLst/>
            </c:spPr>
            <c:extLst>
              <c:ext xmlns:c16="http://schemas.microsoft.com/office/drawing/2014/chart" uri="{C3380CC4-5D6E-409C-BE32-E72D297353CC}">
                <c16:uniqueId val="{0000001D-1BE8-40EA-8AC4-2DDF3A7394B7}"/>
              </c:ext>
            </c:extLst>
          </c:dPt>
          <c:dPt>
            <c:idx val="4"/>
            <c:bubble3D val="0"/>
            <c:spPr>
              <a:noFill/>
              <a:ln w="9525">
                <a:solidFill>
                  <a:srgbClr val="4E5E9D">
                    <a:alpha val="70000"/>
                  </a:srgbClr>
                </a:solidFill>
              </a:ln>
              <a:effectLst/>
            </c:spPr>
            <c:extLst>
              <c:ext xmlns:c16="http://schemas.microsoft.com/office/drawing/2014/chart" uri="{C3380CC4-5D6E-409C-BE32-E72D297353CC}">
                <c16:uniqueId val="{0000001F-1BE8-40EA-8AC4-2DDF3A7394B7}"/>
              </c:ext>
            </c:extLst>
          </c:dPt>
          <c:val>
            <c:numRef>
              <c:f>Processing!$A$66:$E$66</c:f>
              <c:numCache>
                <c:formatCode>General</c:formatCode>
                <c:ptCount val="5"/>
                <c:pt idx="0">
                  <c:v>72</c:v>
                </c:pt>
                <c:pt idx="1">
                  <c:v>72</c:v>
                </c:pt>
                <c:pt idx="2">
                  <c:v>72</c:v>
                </c:pt>
                <c:pt idx="3">
                  <c:v>72</c:v>
                </c:pt>
                <c:pt idx="4">
                  <c:v>72</c:v>
                </c:pt>
              </c:numCache>
            </c:numRef>
          </c:val>
          <c:extLst>
            <c:ext xmlns:c16="http://schemas.microsoft.com/office/drawing/2014/chart" uri="{C3380CC4-5D6E-409C-BE32-E72D297353CC}">
              <c16:uniqueId val="{00000020-1BE8-40EA-8AC4-2DDF3A7394B7}"/>
            </c:ext>
          </c:extLst>
        </c:ser>
        <c:dLbls>
          <c:showLegendKey val="0"/>
          <c:showVal val="0"/>
          <c:showCatName val="0"/>
          <c:showSerName val="0"/>
          <c:showPercent val="0"/>
          <c:showBubbleSize val="0"/>
          <c:showLeaderLines val="1"/>
        </c:dLbls>
        <c:firstSliceAng val="0"/>
        <c:holeSize val="20"/>
      </c:doughnutChart>
    </c:plotArea>
    <c:plotVisOnly val="1"/>
    <c:dispBlanksAs val="gap"/>
    <c:showDLblsOverMax val="0"/>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radarChart>
        <c:radarStyle val="marker"/>
        <c:varyColors val="0"/>
        <c:ser>
          <c:idx val="0"/>
          <c:order val="0"/>
          <c:tx>
            <c:strRef>
              <c:f>Processing!$D$51</c:f>
              <c:strCache>
                <c:ptCount val="1"/>
                <c:pt idx="0">
                  <c:v>Entertainment</c:v>
                </c:pt>
              </c:strCache>
            </c:strRef>
          </c:tx>
          <c:spPr>
            <a:ln w="25400" cap="rnd">
              <a:solidFill>
                <a:srgbClr val="28BEBA"/>
              </a:solidFill>
              <a:round/>
            </a:ln>
            <a:effectLst>
              <a:outerShdw blurRad="50800" dist="38100" dir="8100000" algn="tr" rotWithShape="0">
                <a:prstClr val="black">
                  <a:alpha val="40000"/>
                </a:prstClr>
              </a:outerShdw>
            </a:effectLst>
          </c:spPr>
          <c:marker>
            <c:symbol val="circle"/>
            <c:size val="7"/>
            <c:spPr>
              <a:solidFill>
                <a:srgbClr val="28BEBA"/>
              </a:solidFill>
              <a:ln w="9525">
                <a:noFill/>
              </a:ln>
              <a:effectLst>
                <a:outerShdw blurRad="50800" dist="38100" dir="8100000" algn="tr" rotWithShape="0">
                  <a:prstClr val="black">
                    <a:alpha val="40000"/>
                  </a:prstClr>
                </a:outerShdw>
              </a:effectLst>
            </c:spPr>
          </c:marker>
          <c:cat>
            <c:strRef>
              <c:f>Processing!$C$52:$C$56</c:f>
              <c:strCache>
                <c:ptCount val="5"/>
                <c:pt idx="0">
                  <c:v>E</c:v>
                </c:pt>
                <c:pt idx="1">
                  <c:v>F</c:v>
                </c:pt>
                <c:pt idx="2">
                  <c:v>H</c:v>
                </c:pt>
                <c:pt idx="3">
                  <c:v>L</c:v>
                </c:pt>
                <c:pt idx="4">
                  <c:v>S</c:v>
                </c:pt>
              </c:strCache>
            </c:strRef>
          </c:cat>
          <c:val>
            <c:numRef>
              <c:f>Processing!$D$52:$D$56</c:f>
              <c:numCache>
                <c:formatCode>General</c:formatCode>
                <c:ptCount val="5"/>
                <c:pt idx="0">
                  <c:v>#N/A</c:v>
                </c:pt>
                <c:pt idx="1">
                  <c:v>#N/A</c:v>
                </c:pt>
                <c:pt idx="2">
                  <c:v>#N/A</c:v>
                </c:pt>
                <c:pt idx="3">
                  <c:v>#N/A</c:v>
                </c:pt>
                <c:pt idx="4">
                  <c:v>#N/A</c:v>
                </c:pt>
              </c:numCache>
            </c:numRef>
          </c:val>
          <c:extLst>
            <c:ext xmlns:c16="http://schemas.microsoft.com/office/drawing/2014/chart" uri="{C3380CC4-5D6E-409C-BE32-E72D297353CC}">
              <c16:uniqueId val="{00000000-6850-4A36-82DF-5FD2441D7D2A}"/>
            </c:ext>
          </c:extLst>
        </c:ser>
        <c:ser>
          <c:idx val="1"/>
          <c:order val="1"/>
          <c:tx>
            <c:strRef>
              <c:f>Processing!$E$51</c:f>
              <c:strCache>
                <c:ptCount val="1"/>
                <c:pt idx="0">
                  <c:v>FoodCourt</c:v>
                </c:pt>
              </c:strCache>
            </c:strRef>
          </c:tx>
          <c:spPr>
            <a:ln w="25400" cap="rnd">
              <a:solidFill>
                <a:srgbClr val="3879F2"/>
              </a:solidFill>
              <a:round/>
            </a:ln>
            <a:effectLst>
              <a:outerShdw blurRad="50800" dist="38100" dir="8100000" algn="tr" rotWithShape="0">
                <a:prstClr val="black">
                  <a:alpha val="40000"/>
                </a:prstClr>
              </a:outerShdw>
            </a:effectLst>
          </c:spPr>
          <c:marker>
            <c:symbol val="circle"/>
            <c:size val="7"/>
            <c:spPr>
              <a:solidFill>
                <a:srgbClr val="2069F0"/>
              </a:solidFill>
              <a:ln w="9525">
                <a:noFill/>
              </a:ln>
              <a:effectLst>
                <a:outerShdw blurRad="50800" dist="38100" dir="8100000" algn="tr" rotWithShape="0">
                  <a:prstClr val="black">
                    <a:alpha val="40000"/>
                  </a:prstClr>
                </a:outerShdw>
              </a:effectLst>
            </c:spPr>
          </c:marker>
          <c:cat>
            <c:strRef>
              <c:f>Processing!$C$52:$C$56</c:f>
              <c:strCache>
                <c:ptCount val="5"/>
                <c:pt idx="0">
                  <c:v>E</c:v>
                </c:pt>
                <c:pt idx="1">
                  <c:v>F</c:v>
                </c:pt>
                <c:pt idx="2">
                  <c:v>H</c:v>
                </c:pt>
                <c:pt idx="3">
                  <c:v>L</c:v>
                </c:pt>
                <c:pt idx="4">
                  <c:v>S</c:v>
                </c:pt>
              </c:strCache>
            </c:strRef>
          </c:cat>
          <c:val>
            <c:numRef>
              <c:f>Processing!$E$52:$E$56</c:f>
              <c:numCache>
                <c:formatCode>General</c:formatCode>
                <c:ptCount val="5"/>
                <c:pt idx="0">
                  <c:v>342</c:v>
                </c:pt>
                <c:pt idx="1">
                  <c:v>298</c:v>
                </c:pt>
                <c:pt idx="2">
                  <c:v>319</c:v>
                </c:pt>
                <c:pt idx="3">
                  <c:v>314</c:v>
                </c:pt>
                <c:pt idx="4">
                  <c:v>322</c:v>
                </c:pt>
              </c:numCache>
            </c:numRef>
          </c:val>
          <c:extLst>
            <c:ext xmlns:c16="http://schemas.microsoft.com/office/drawing/2014/chart" uri="{C3380CC4-5D6E-409C-BE32-E72D297353CC}">
              <c16:uniqueId val="{00000001-6850-4A36-82DF-5FD2441D7D2A}"/>
            </c:ext>
          </c:extLst>
        </c:ser>
        <c:ser>
          <c:idx val="2"/>
          <c:order val="2"/>
          <c:tx>
            <c:strRef>
              <c:f>Processing!$F$51</c:f>
              <c:strCache>
                <c:ptCount val="1"/>
                <c:pt idx="0">
                  <c:v>Supermarket</c:v>
                </c:pt>
              </c:strCache>
            </c:strRef>
          </c:tx>
          <c:spPr>
            <a:ln w="25400" cap="rnd">
              <a:solidFill>
                <a:srgbClr val="FF5C6D"/>
              </a:solidFill>
              <a:round/>
            </a:ln>
            <a:effectLst>
              <a:outerShdw blurRad="50800" dist="38100" dir="8100000" algn="tr" rotWithShape="0">
                <a:prstClr val="black">
                  <a:alpha val="40000"/>
                </a:prstClr>
              </a:outerShdw>
            </a:effectLst>
          </c:spPr>
          <c:marker>
            <c:symbol val="circle"/>
            <c:size val="7"/>
            <c:spPr>
              <a:solidFill>
                <a:srgbClr val="FF5C6D"/>
              </a:solidFill>
              <a:ln w="9525">
                <a:noFill/>
              </a:ln>
              <a:effectLst>
                <a:outerShdw blurRad="50800" dist="38100" dir="8100000" algn="tr" rotWithShape="0">
                  <a:prstClr val="black">
                    <a:alpha val="40000"/>
                  </a:prstClr>
                </a:outerShdw>
              </a:effectLst>
            </c:spPr>
          </c:marker>
          <c:cat>
            <c:strRef>
              <c:f>Processing!$C$52:$C$56</c:f>
              <c:strCache>
                <c:ptCount val="5"/>
                <c:pt idx="0">
                  <c:v>E</c:v>
                </c:pt>
                <c:pt idx="1">
                  <c:v>F</c:v>
                </c:pt>
                <c:pt idx="2">
                  <c:v>H</c:v>
                </c:pt>
                <c:pt idx="3">
                  <c:v>L</c:v>
                </c:pt>
                <c:pt idx="4">
                  <c:v>S</c:v>
                </c:pt>
              </c:strCache>
            </c:strRef>
          </c:cat>
          <c:val>
            <c:numRef>
              <c:f>Processing!$F$52:$F$56</c:f>
              <c:numCache>
                <c:formatCode>General</c:formatCode>
                <c:ptCount val="5"/>
                <c:pt idx="0">
                  <c:v>524</c:v>
                </c:pt>
                <c:pt idx="1">
                  <c:v>550</c:v>
                </c:pt>
                <c:pt idx="2">
                  <c:v>498</c:v>
                </c:pt>
                <c:pt idx="3">
                  <c:v>406</c:v>
                </c:pt>
                <c:pt idx="4">
                  <c:v>509</c:v>
                </c:pt>
              </c:numCache>
            </c:numRef>
          </c:val>
          <c:extLst>
            <c:ext xmlns:c16="http://schemas.microsoft.com/office/drawing/2014/chart" uri="{C3380CC4-5D6E-409C-BE32-E72D297353CC}">
              <c16:uniqueId val="{00000002-6850-4A36-82DF-5FD2441D7D2A}"/>
            </c:ext>
          </c:extLst>
        </c:ser>
        <c:ser>
          <c:idx val="3"/>
          <c:order val="3"/>
          <c:tx>
            <c:strRef>
              <c:f>Processing!$G$51</c:f>
              <c:strCache>
                <c:ptCount val="1"/>
                <c:pt idx="0">
                  <c:v>Travel</c:v>
                </c:pt>
              </c:strCache>
            </c:strRef>
          </c:tx>
          <c:spPr>
            <a:ln w="25400" cap="rnd">
              <a:solidFill>
                <a:srgbClr val="00ADD6"/>
              </a:solidFill>
              <a:round/>
            </a:ln>
            <a:effectLst>
              <a:outerShdw blurRad="50800" dist="38100" dir="8100000" algn="tr" rotWithShape="0">
                <a:prstClr val="black">
                  <a:alpha val="40000"/>
                </a:prstClr>
              </a:outerShdw>
            </a:effectLst>
          </c:spPr>
          <c:marker>
            <c:symbol val="circle"/>
            <c:size val="7"/>
            <c:spPr>
              <a:solidFill>
                <a:schemeClr val="accent4"/>
              </a:solidFill>
              <a:ln w="9525">
                <a:solidFill>
                  <a:schemeClr val="accent4"/>
                </a:solidFill>
              </a:ln>
              <a:effectLst>
                <a:outerShdw blurRad="50800" dist="38100" dir="8100000" algn="tr" rotWithShape="0">
                  <a:prstClr val="black">
                    <a:alpha val="40000"/>
                  </a:prstClr>
                </a:outerShdw>
              </a:effectLst>
            </c:spPr>
          </c:marker>
          <c:cat>
            <c:strRef>
              <c:f>Processing!$C$52:$C$56</c:f>
              <c:strCache>
                <c:ptCount val="5"/>
                <c:pt idx="0">
                  <c:v>E</c:v>
                </c:pt>
                <c:pt idx="1">
                  <c:v>F</c:v>
                </c:pt>
                <c:pt idx="2">
                  <c:v>H</c:v>
                </c:pt>
                <c:pt idx="3">
                  <c:v>L</c:v>
                </c:pt>
                <c:pt idx="4">
                  <c:v>S</c:v>
                </c:pt>
              </c:strCache>
            </c:strRef>
          </c:cat>
          <c:val>
            <c:numRef>
              <c:f>Processing!$G$52:$G$56</c:f>
              <c:numCache>
                <c:formatCode>General</c:formatCode>
                <c:ptCount val="5"/>
                <c:pt idx="0">
                  <c:v>238</c:v>
                </c:pt>
                <c:pt idx="1">
                  <c:v>459</c:v>
                </c:pt>
                <c:pt idx="2">
                  <c:v>370</c:v>
                </c:pt>
                <c:pt idx="3">
                  <c:v>467</c:v>
                </c:pt>
                <c:pt idx="4">
                  <c:v>313</c:v>
                </c:pt>
              </c:numCache>
            </c:numRef>
          </c:val>
          <c:extLst>
            <c:ext xmlns:c16="http://schemas.microsoft.com/office/drawing/2014/chart" uri="{C3380CC4-5D6E-409C-BE32-E72D297353CC}">
              <c16:uniqueId val="{00000003-6850-4A36-82DF-5FD2441D7D2A}"/>
            </c:ext>
          </c:extLst>
        </c:ser>
        <c:ser>
          <c:idx val="4"/>
          <c:order val="4"/>
          <c:tx>
            <c:strRef>
              <c:f>Processing!$H$51</c:f>
              <c:strCache>
                <c:ptCount val="1"/>
                <c:pt idx="0">
                  <c:v>Workplace</c:v>
                </c:pt>
              </c:strCache>
            </c:strRef>
          </c:tx>
          <c:spPr>
            <a:ln w="25400" cap="rnd">
              <a:solidFill>
                <a:srgbClr val="6978B4"/>
              </a:solidFill>
              <a:round/>
            </a:ln>
            <a:effectLst>
              <a:outerShdw blurRad="50800" dist="38100" dir="8100000" algn="tr" rotWithShape="0">
                <a:prstClr val="black">
                  <a:alpha val="40000"/>
                </a:prstClr>
              </a:outerShdw>
            </a:effectLst>
          </c:spPr>
          <c:marker>
            <c:symbol val="circle"/>
            <c:size val="7"/>
            <c:spPr>
              <a:solidFill>
                <a:srgbClr val="6978B4"/>
              </a:solidFill>
              <a:ln w="9525">
                <a:noFill/>
              </a:ln>
              <a:effectLst>
                <a:outerShdw blurRad="50800" dist="38100" dir="8100000" algn="tr" rotWithShape="0">
                  <a:prstClr val="black">
                    <a:alpha val="40000"/>
                  </a:prstClr>
                </a:outerShdw>
              </a:effectLst>
            </c:spPr>
          </c:marker>
          <c:cat>
            <c:strRef>
              <c:f>Processing!$C$52:$C$56</c:f>
              <c:strCache>
                <c:ptCount val="5"/>
                <c:pt idx="0">
                  <c:v>E</c:v>
                </c:pt>
                <c:pt idx="1">
                  <c:v>F</c:v>
                </c:pt>
                <c:pt idx="2">
                  <c:v>H</c:v>
                </c:pt>
                <c:pt idx="3">
                  <c:v>L</c:v>
                </c:pt>
                <c:pt idx="4">
                  <c:v>S</c:v>
                </c:pt>
              </c:strCache>
            </c:strRef>
          </c:cat>
          <c:val>
            <c:numRef>
              <c:f>Processing!$H$52:$H$56</c:f>
              <c:numCache>
                <c:formatCode>General</c:formatCode>
                <c:ptCount val="5"/>
                <c:pt idx="0">
                  <c:v>#N/A</c:v>
                </c:pt>
                <c:pt idx="1">
                  <c:v>#N/A</c:v>
                </c:pt>
                <c:pt idx="2">
                  <c:v>#N/A</c:v>
                </c:pt>
                <c:pt idx="3">
                  <c:v>#N/A</c:v>
                </c:pt>
                <c:pt idx="4">
                  <c:v>#N/A</c:v>
                </c:pt>
              </c:numCache>
            </c:numRef>
          </c:val>
          <c:extLst>
            <c:ext xmlns:c16="http://schemas.microsoft.com/office/drawing/2014/chart" uri="{C3380CC4-5D6E-409C-BE32-E72D297353CC}">
              <c16:uniqueId val="{00000004-6850-4A36-82DF-5FD2441D7D2A}"/>
            </c:ext>
          </c:extLst>
        </c:ser>
        <c:dLbls>
          <c:showLegendKey val="0"/>
          <c:showVal val="0"/>
          <c:showCatName val="0"/>
          <c:showSerName val="0"/>
          <c:showPercent val="0"/>
          <c:showBubbleSize val="0"/>
        </c:dLbls>
        <c:axId val="1484366719"/>
        <c:axId val="1484339839"/>
      </c:radarChart>
      <c:catAx>
        <c:axId val="148436671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lumMod val="25000"/>
                    <a:lumOff val="75000"/>
                  </a:schemeClr>
                </a:solidFill>
                <a:latin typeface="+mn-lt"/>
                <a:ea typeface="+mn-ea"/>
                <a:cs typeface="+mn-cs"/>
              </a:defRPr>
            </a:pPr>
            <a:endParaRPr lang="ru-RU"/>
          </a:p>
        </c:txPr>
        <c:crossAx val="1484339839"/>
        <c:crosses val="autoZero"/>
        <c:auto val="1"/>
        <c:lblAlgn val="ctr"/>
        <c:lblOffset val="100"/>
        <c:noMultiLvlLbl val="0"/>
      </c:catAx>
      <c:valAx>
        <c:axId val="1484339839"/>
        <c:scaling>
          <c:orientation val="minMax"/>
        </c:scaling>
        <c:delete val="1"/>
        <c:axPos val="l"/>
        <c:numFmt formatCode="General" sourceLinked="1"/>
        <c:majorTickMark val="none"/>
        <c:minorTickMark val="none"/>
        <c:tickLblPos val="nextTo"/>
        <c:crossAx val="1484366719"/>
        <c:crosses val="autoZero"/>
        <c:crossBetween val="between"/>
      </c:valAx>
      <c:spPr>
        <a:noFill/>
      </c:spPr>
    </c:plotArea>
    <c:plotVisOnly val="1"/>
    <c:dispBlanksAs val="gap"/>
    <c:showDLblsOverMax val="0"/>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3"/>
          <c:order val="0"/>
          <c:tx>
            <c:strRef>
              <c:f>Processing!$C$60</c:f>
              <c:strCache>
                <c:ptCount val="1"/>
                <c:pt idx="0">
                  <c:v>indent</c:v>
                </c:pt>
              </c:strCache>
            </c:strRef>
          </c:tx>
          <c:spPr>
            <a:noFill/>
            <a:ln>
              <a:noFill/>
            </a:ln>
            <a:effectLst/>
          </c:spPr>
          <c:invertIfNegative val="0"/>
          <c:val>
            <c:numRef>
              <c:f>Processing!$D$60:$H$60</c:f>
              <c:numCache>
                <c:formatCode>General</c:formatCode>
                <c:ptCount val="5"/>
                <c:pt idx="0">
                  <c:v>174.09</c:v>
                </c:pt>
                <c:pt idx="1">
                  <c:v>174.09</c:v>
                </c:pt>
                <c:pt idx="2">
                  <c:v>174.09</c:v>
                </c:pt>
                <c:pt idx="3">
                  <c:v>174.09</c:v>
                </c:pt>
                <c:pt idx="4">
                  <c:v>174.09</c:v>
                </c:pt>
              </c:numCache>
            </c:numRef>
          </c:val>
          <c:extLst>
            <c:ext xmlns:c16="http://schemas.microsoft.com/office/drawing/2014/chart" uri="{C3380CC4-5D6E-409C-BE32-E72D297353CC}">
              <c16:uniqueId val="{00000000-9407-44E1-A348-F8B976200EB4}"/>
            </c:ext>
          </c:extLst>
        </c:ser>
        <c:ser>
          <c:idx val="2"/>
          <c:order val="1"/>
          <c:tx>
            <c:strRef>
              <c:f>Processing!$C$59</c:f>
              <c:strCache>
                <c:ptCount val="1"/>
                <c:pt idx="0">
                  <c:v>Total</c:v>
                </c:pt>
              </c:strCache>
            </c:strRef>
          </c:tx>
          <c:spPr>
            <a:solidFill>
              <a:schemeClr val="accent3"/>
            </a:solidFill>
            <a:ln w="101600">
              <a:gradFill>
                <a:gsLst>
                  <a:gs pos="0">
                    <a:srgbClr val="1F449D"/>
                  </a:gs>
                  <a:gs pos="100000">
                    <a:srgbClr val="1B3B88"/>
                  </a:gs>
                </a:gsLst>
                <a:lin ang="5400000" scaled="1"/>
              </a:gradFill>
            </a:ln>
            <a:effectLst/>
          </c:spPr>
          <c:invertIfNegative val="0"/>
          <c:val>
            <c:numRef>
              <c:f>Processing!$D$59:$H$59</c:f>
              <c:numCache>
                <c:formatCode>General</c:formatCode>
                <c:ptCount val="5"/>
                <c:pt idx="0">
                  <c:v>2311</c:v>
                </c:pt>
                <c:pt idx="1">
                  <c:v>1595</c:v>
                </c:pt>
                <c:pt idx="2">
                  <c:v>2487</c:v>
                </c:pt>
                <c:pt idx="3">
                  <c:v>1847</c:v>
                </c:pt>
                <c:pt idx="4">
                  <c:v>2062</c:v>
                </c:pt>
              </c:numCache>
            </c:numRef>
          </c:val>
          <c:extLst>
            <c:ext xmlns:c16="http://schemas.microsoft.com/office/drawing/2014/chart" uri="{C3380CC4-5D6E-409C-BE32-E72D297353CC}">
              <c16:uniqueId val="{00000001-9407-44E1-A348-F8B976200EB4}"/>
            </c:ext>
          </c:extLst>
        </c:ser>
        <c:dLbls>
          <c:showLegendKey val="0"/>
          <c:showVal val="0"/>
          <c:showCatName val="0"/>
          <c:showSerName val="0"/>
          <c:showPercent val="0"/>
          <c:showBubbleSize val="0"/>
        </c:dLbls>
        <c:gapWidth val="400"/>
        <c:overlap val="100"/>
        <c:axId val="1488376607"/>
        <c:axId val="1488381407"/>
      </c:barChart>
      <c:barChart>
        <c:barDir val="col"/>
        <c:grouping val="stacked"/>
        <c:varyColors val="0"/>
        <c:ser>
          <c:idx val="1"/>
          <c:order val="2"/>
          <c:tx>
            <c:strRef>
              <c:f>Processing!$C$58</c:f>
              <c:strCache>
                <c:ptCount val="1"/>
                <c:pt idx="0">
                  <c:v>indent Cursor</c:v>
                </c:pt>
              </c:strCache>
            </c:strRef>
          </c:tx>
          <c:spPr>
            <a:noFill/>
            <a:ln>
              <a:noFill/>
            </a:ln>
            <a:effectLst/>
          </c:spPr>
          <c:invertIfNegative val="0"/>
          <c:val>
            <c:numRef>
              <c:f>Processing!$D$58:$H$58</c:f>
              <c:numCache>
                <c:formatCode>General</c:formatCode>
                <c:ptCount val="5"/>
                <c:pt idx="0">
                  <c:v>174.09</c:v>
                </c:pt>
                <c:pt idx="1">
                  <c:v>174.09</c:v>
                </c:pt>
                <c:pt idx="2">
                  <c:v>174.09</c:v>
                </c:pt>
                <c:pt idx="3">
                  <c:v>174.09</c:v>
                </c:pt>
                <c:pt idx="4">
                  <c:v>174.09</c:v>
                </c:pt>
              </c:numCache>
            </c:numRef>
          </c:val>
          <c:extLst>
            <c:ext xmlns:c16="http://schemas.microsoft.com/office/drawing/2014/chart" uri="{C3380CC4-5D6E-409C-BE32-E72D297353CC}">
              <c16:uniqueId val="{00000002-9407-44E1-A348-F8B976200EB4}"/>
            </c:ext>
          </c:extLst>
        </c:ser>
        <c:ser>
          <c:idx val="0"/>
          <c:order val="3"/>
          <c:tx>
            <c:strRef>
              <c:f>Processing!$C$57</c:f>
              <c:strCache>
                <c:ptCount val="1"/>
                <c:pt idx="0">
                  <c:v>Cursor</c:v>
                </c:pt>
              </c:strCache>
            </c:strRef>
          </c:tx>
          <c:spPr>
            <a:solidFill>
              <a:schemeClr val="accent1"/>
            </a:solidFill>
            <a:ln w="101600">
              <a:gradFill>
                <a:gsLst>
                  <a:gs pos="0">
                    <a:srgbClr val="00ADD6"/>
                  </a:gs>
                  <a:gs pos="100000">
                    <a:schemeClr val="accent1">
                      <a:lumMod val="30000"/>
                      <a:lumOff val="70000"/>
                    </a:schemeClr>
                  </a:gs>
                </a:gsLst>
                <a:lin ang="5400000" scaled="1"/>
              </a:gradFill>
            </a:ln>
            <a:effectLst>
              <a:outerShdw blurRad="50800" dist="38100" dir="8100000" algn="tr" rotWithShape="0">
                <a:prstClr val="black">
                  <a:alpha val="40000"/>
                </a:prstClr>
              </a:outerShdw>
            </a:effectLst>
          </c:spPr>
          <c:invertIfNegative val="0"/>
          <c:dPt>
            <c:idx val="0"/>
            <c:invertIfNegative val="0"/>
            <c:bubble3D val="0"/>
            <c:spPr>
              <a:solidFill>
                <a:schemeClr val="accent1"/>
              </a:solidFill>
              <a:ln w="101600">
                <a:gradFill>
                  <a:gsLst>
                    <a:gs pos="0">
                      <a:srgbClr val="28BEBA"/>
                    </a:gs>
                    <a:gs pos="100000">
                      <a:srgbClr val="1D8986"/>
                    </a:gs>
                  </a:gsLst>
                  <a:lin ang="5400000" scaled="1"/>
                </a:gradFill>
              </a:ln>
              <a:effectLst>
                <a:outerShdw blurRad="50800" dist="38100" dir="8100000" algn="tr" rotWithShape="0">
                  <a:prstClr val="black">
                    <a:alpha val="40000"/>
                  </a:prstClr>
                </a:outerShdw>
              </a:effectLst>
            </c:spPr>
            <c:extLst>
              <c:ext xmlns:c16="http://schemas.microsoft.com/office/drawing/2014/chart" uri="{C3380CC4-5D6E-409C-BE32-E72D297353CC}">
                <c16:uniqueId val="{00000004-9407-44E1-A348-F8B976200EB4}"/>
              </c:ext>
            </c:extLst>
          </c:dPt>
          <c:dPt>
            <c:idx val="1"/>
            <c:invertIfNegative val="0"/>
            <c:bubble3D val="0"/>
            <c:spPr>
              <a:solidFill>
                <a:schemeClr val="accent1"/>
              </a:solidFill>
              <a:ln w="101600">
                <a:gradFill>
                  <a:gsLst>
                    <a:gs pos="0">
                      <a:srgbClr val="3879F2"/>
                    </a:gs>
                    <a:gs pos="100000">
                      <a:srgbClr val="2069F0"/>
                    </a:gs>
                  </a:gsLst>
                  <a:lin ang="5400000" scaled="1"/>
                </a:gradFill>
              </a:ln>
              <a:effectLst>
                <a:outerShdw blurRad="50800" dist="38100" dir="8100000" algn="tr" rotWithShape="0">
                  <a:prstClr val="black">
                    <a:alpha val="40000"/>
                  </a:prstClr>
                </a:outerShdw>
              </a:effectLst>
            </c:spPr>
            <c:extLst>
              <c:ext xmlns:c16="http://schemas.microsoft.com/office/drawing/2014/chart" uri="{C3380CC4-5D6E-409C-BE32-E72D297353CC}">
                <c16:uniqueId val="{00000006-9407-44E1-A348-F8B976200EB4}"/>
              </c:ext>
            </c:extLst>
          </c:dPt>
          <c:dPt>
            <c:idx val="2"/>
            <c:invertIfNegative val="0"/>
            <c:bubble3D val="0"/>
            <c:spPr>
              <a:solidFill>
                <a:schemeClr val="accent1"/>
              </a:solidFill>
              <a:ln w="101600">
                <a:gradFill>
                  <a:gsLst>
                    <a:gs pos="0">
                      <a:srgbClr val="FF7684"/>
                    </a:gs>
                    <a:gs pos="100000">
                      <a:srgbClr val="FF5C6D"/>
                    </a:gs>
                  </a:gsLst>
                  <a:lin ang="5400000" scaled="1"/>
                </a:gradFill>
              </a:ln>
              <a:effectLst>
                <a:outerShdw blurRad="50800" dist="38100" dir="8100000" algn="tr" rotWithShape="0">
                  <a:prstClr val="black">
                    <a:alpha val="40000"/>
                  </a:prstClr>
                </a:outerShdw>
              </a:effectLst>
            </c:spPr>
            <c:extLst>
              <c:ext xmlns:c16="http://schemas.microsoft.com/office/drawing/2014/chart" uri="{C3380CC4-5D6E-409C-BE32-E72D297353CC}">
                <c16:uniqueId val="{00000008-9407-44E1-A348-F8B976200EB4}"/>
              </c:ext>
            </c:extLst>
          </c:dPt>
          <c:dPt>
            <c:idx val="3"/>
            <c:invertIfNegative val="0"/>
            <c:bubble3D val="0"/>
            <c:spPr>
              <a:solidFill>
                <a:schemeClr val="accent1"/>
              </a:solidFill>
              <a:ln w="101600">
                <a:gradFill>
                  <a:gsLst>
                    <a:gs pos="0">
                      <a:srgbClr val="00ADD6"/>
                    </a:gs>
                    <a:gs pos="100000">
                      <a:srgbClr val="007D9B"/>
                    </a:gs>
                  </a:gsLst>
                  <a:lin ang="5400000" scaled="1"/>
                </a:gradFill>
              </a:ln>
              <a:effectLst>
                <a:outerShdw blurRad="50800" dist="38100" dir="8100000" algn="tr" rotWithShape="0">
                  <a:prstClr val="black">
                    <a:alpha val="40000"/>
                  </a:prstClr>
                </a:outerShdw>
              </a:effectLst>
            </c:spPr>
            <c:extLst>
              <c:ext xmlns:c16="http://schemas.microsoft.com/office/drawing/2014/chart" uri="{C3380CC4-5D6E-409C-BE32-E72D297353CC}">
                <c16:uniqueId val="{0000000A-9407-44E1-A348-F8B976200EB4}"/>
              </c:ext>
            </c:extLst>
          </c:dPt>
          <c:dPt>
            <c:idx val="4"/>
            <c:invertIfNegative val="0"/>
            <c:bubble3D val="0"/>
            <c:spPr>
              <a:solidFill>
                <a:schemeClr val="accent1"/>
              </a:solidFill>
              <a:ln w="101600">
                <a:gradFill>
                  <a:gsLst>
                    <a:gs pos="0">
                      <a:srgbClr val="6978B4"/>
                    </a:gs>
                    <a:gs pos="100000">
                      <a:srgbClr val="4E5E9D"/>
                    </a:gs>
                  </a:gsLst>
                  <a:lin ang="5400000" scaled="1"/>
                </a:gradFill>
              </a:ln>
              <a:effectLst>
                <a:outerShdw blurRad="50800" dist="38100" dir="8100000" algn="tr" rotWithShape="0">
                  <a:prstClr val="black">
                    <a:alpha val="40000"/>
                  </a:prstClr>
                </a:outerShdw>
              </a:effectLst>
            </c:spPr>
            <c:extLst>
              <c:ext xmlns:c16="http://schemas.microsoft.com/office/drawing/2014/chart" uri="{C3380CC4-5D6E-409C-BE32-E72D297353CC}">
                <c16:uniqueId val="{0000000C-9407-44E1-A348-F8B976200EB4}"/>
              </c:ext>
            </c:extLst>
          </c:dPt>
          <c:val>
            <c:numRef>
              <c:f>Processing!$D$57:$H$57</c:f>
              <c:numCache>
                <c:formatCode>General</c:formatCode>
                <c:ptCount val="5"/>
                <c:pt idx="0">
                  <c:v>#N/A</c:v>
                </c:pt>
                <c:pt idx="1">
                  <c:v>1595</c:v>
                </c:pt>
                <c:pt idx="2">
                  <c:v>2487</c:v>
                </c:pt>
                <c:pt idx="3">
                  <c:v>1847</c:v>
                </c:pt>
                <c:pt idx="4">
                  <c:v>#N/A</c:v>
                </c:pt>
              </c:numCache>
            </c:numRef>
          </c:val>
          <c:extLst>
            <c:ext xmlns:c16="http://schemas.microsoft.com/office/drawing/2014/chart" uri="{C3380CC4-5D6E-409C-BE32-E72D297353CC}">
              <c16:uniqueId val="{0000000D-9407-44E1-A348-F8B976200EB4}"/>
            </c:ext>
          </c:extLst>
        </c:ser>
        <c:dLbls>
          <c:showLegendKey val="0"/>
          <c:showVal val="0"/>
          <c:showCatName val="0"/>
          <c:showSerName val="0"/>
          <c:showPercent val="0"/>
          <c:showBubbleSize val="0"/>
        </c:dLbls>
        <c:gapWidth val="400"/>
        <c:overlap val="100"/>
        <c:axId val="1488359807"/>
        <c:axId val="1488349727"/>
      </c:barChart>
      <c:scatterChart>
        <c:scatterStyle val="lineMarker"/>
        <c:varyColors val="0"/>
        <c:ser>
          <c:idx val="4"/>
          <c:order val="4"/>
          <c:tx>
            <c:strRef>
              <c:f>Processing!$C$61</c:f>
              <c:strCache>
                <c:ptCount val="1"/>
                <c:pt idx="0">
                  <c:v>Markers</c:v>
                </c:pt>
              </c:strCache>
            </c:strRef>
          </c:tx>
          <c:spPr>
            <a:ln w="25400" cap="rnd">
              <a:noFill/>
              <a:round/>
            </a:ln>
            <a:effectLst/>
          </c:spPr>
          <c:marker>
            <c:symbol val="none"/>
          </c:marker>
          <c:dLbls>
            <c:dLbl>
              <c:idx val="0"/>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E-9407-44E1-A348-F8B976200EB4}"/>
                </c:ext>
              </c:extLst>
            </c:dLbl>
            <c:dLbl>
              <c:idx val="1"/>
              <c:tx>
                <c:rich>
                  <a:bodyPr/>
                  <a:lstStyle/>
                  <a:p>
                    <a:fld id="{08CD6559-91E2-41C9-9944-F88134EF3F0D}"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F-9407-44E1-A348-F8B976200EB4}"/>
                </c:ext>
              </c:extLst>
            </c:dLbl>
            <c:dLbl>
              <c:idx val="2"/>
              <c:tx>
                <c:rich>
                  <a:bodyPr/>
                  <a:lstStyle/>
                  <a:p>
                    <a:fld id="{B7D4D2EE-BE1E-43E2-85E1-6084E121CF57}"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0-9407-44E1-A348-F8B976200EB4}"/>
                </c:ext>
              </c:extLst>
            </c:dLbl>
            <c:dLbl>
              <c:idx val="3"/>
              <c:tx>
                <c:rich>
                  <a:bodyPr/>
                  <a:lstStyle/>
                  <a:p>
                    <a:fld id="{21FD3BFF-7403-44BE-A9B3-E0F1BA1CD421}"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1-9407-44E1-A348-F8B976200EB4}"/>
                </c:ext>
              </c:extLst>
            </c:dLbl>
            <c:dLbl>
              <c:idx val="4"/>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2-9407-44E1-A348-F8B976200EB4}"/>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ru-RU"/>
              </a:p>
            </c:txPr>
            <c:dLblPos val="t"/>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yVal>
            <c:numRef>
              <c:f>Processing!$D$61:$H$61</c:f>
              <c:numCache>
                <c:formatCode>General</c:formatCode>
                <c:ptCount val="5"/>
                <c:pt idx="0">
                  <c:v>#N/A</c:v>
                </c:pt>
                <c:pt idx="1">
                  <c:v>1769.09</c:v>
                </c:pt>
                <c:pt idx="2">
                  <c:v>2661.09</c:v>
                </c:pt>
                <c:pt idx="3">
                  <c:v>2021.09</c:v>
                </c:pt>
                <c:pt idx="4">
                  <c:v>#N/A</c:v>
                </c:pt>
              </c:numCache>
            </c:numRef>
          </c:yVal>
          <c:smooth val="0"/>
          <c:extLst>
            <c:ext xmlns:c15="http://schemas.microsoft.com/office/drawing/2012/chart" uri="{02D57815-91ED-43cb-92C2-25804820EDAC}">
              <c15:datalabelsRange>
                <c15:f>Processing!$D$62:$H$62</c15:f>
                <c15:dlblRangeCache>
                  <c:ptCount val="5"/>
                  <c:pt idx="1">
                    <c:v>2k</c:v>
                  </c:pt>
                  <c:pt idx="2">
                    <c:v>2k</c:v>
                  </c:pt>
                  <c:pt idx="3">
                    <c:v>2k</c:v>
                  </c:pt>
                </c15:dlblRangeCache>
              </c15:datalabelsRange>
            </c:ext>
            <c:ext xmlns:c16="http://schemas.microsoft.com/office/drawing/2014/chart" uri="{C3380CC4-5D6E-409C-BE32-E72D297353CC}">
              <c16:uniqueId val="{00000013-9407-44E1-A348-F8B976200EB4}"/>
            </c:ext>
          </c:extLst>
        </c:ser>
        <c:dLbls>
          <c:showLegendKey val="0"/>
          <c:showVal val="0"/>
          <c:showCatName val="0"/>
          <c:showSerName val="0"/>
          <c:showPercent val="0"/>
          <c:showBubbleSize val="0"/>
        </c:dLbls>
        <c:axId val="1488359807"/>
        <c:axId val="1488349727"/>
      </c:scatterChart>
      <c:catAx>
        <c:axId val="1488376607"/>
        <c:scaling>
          <c:orientation val="minMax"/>
        </c:scaling>
        <c:delete val="1"/>
        <c:axPos val="b"/>
        <c:majorTickMark val="none"/>
        <c:minorTickMark val="none"/>
        <c:tickLblPos val="nextTo"/>
        <c:crossAx val="1488381407"/>
        <c:crosses val="autoZero"/>
        <c:auto val="1"/>
        <c:lblAlgn val="ctr"/>
        <c:lblOffset val="100"/>
        <c:noMultiLvlLbl val="0"/>
      </c:catAx>
      <c:valAx>
        <c:axId val="1488381407"/>
        <c:scaling>
          <c:orientation val="minMax"/>
        </c:scaling>
        <c:delete val="1"/>
        <c:axPos val="l"/>
        <c:numFmt formatCode="General" sourceLinked="1"/>
        <c:majorTickMark val="none"/>
        <c:minorTickMark val="none"/>
        <c:tickLblPos val="nextTo"/>
        <c:crossAx val="1488376607"/>
        <c:crosses val="autoZero"/>
        <c:crossBetween val="between"/>
      </c:valAx>
      <c:valAx>
        <c:axId val="1488349727"/>
        <c:scaling>
          <c:orientation val="minMax"/>
        </c:scaling>
        <c:delete val="1"/>
        <c:axPos val="r"/>
        <c:numFmt formatCode="General" sourceLinked="1"/>
        <c:majorTickMark val="out"/>
        <c:minorTickMark val="none"/>
        <c:tickLblPos val="nextTo"/>
        <c:crossAx val="1488359807"/>
        <c:crosses val="max"/>
        <c:crossBetween val="between"/>
      </c:valAx>
      <c:catAx>
        <c:axId val="1488359807"/>
        <c:scaling>
          <c:orientation val="minMax"/>
        </c:scaling>
        <c:delete val="1"/>
        <c:axPos val="b"/>
        <c:majorTickMark val="out"/>
        <c:minorTickMark val="none"/>
        <c:tickLblPos val="nextTo"/>
        <c:crossAx val="1488349727"/>
        <c:crosses val="autoZero"/>
        <c:auto val="1"/>
        <c:lblAlgn val="ctr"/>
        <c:lblOffset val="100"/>
        <c:noMultiLvlLbl val="0"/>
      </c:catAx>
      <c:spPr>
        <a:noFill/>
      </c:spPr>
    </c:plotArea>
    <c:plotVisOnly val="1"/>
    <c:dispBlanksAs val="gap"/>
    <c:showDLblsOverMax val="0"/>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solidFill>
              <a:schemeClr val="bg1"/>
            </a:solidFill>
            <a:ln>
              <a:noFill/>
            </a:ln>
          </c:spPr>
          <c:dPt>
            <c:idx val="0"/>
            <c:bubble3D val="0"/>
            <c:spPr>
              <a:solidFill>
                <a:schemeClr val="bg1"/>
              </a:solidFill>
              <a:ln w="19050">
                <a:noFill/>
              </a:ln>
              <a:effectLst/>
            </c:spPr>
            <c:extLst>
              <c:ext xmlns:c16="http://schemas.microsoft.com/office/drawing/2014/chart" uri="{C3380CC4-5D6E-409C-BE32-E72D297353CC}">
                <c16:uniqueId val="{00000001-2DD8-4109-A84D-60CF23A689EE}"/>
              </c:ext>
            </c:extLst>
          </c:dPt>
          <c:dPt>
            <c:idx val="1"/>
            <c:bubble3D val="0"/>
            <c:spPr>
              <a:solidFill>
                <a:schemeClr val="bg1">
                  <a:alpha val="30000"/>
                </a:schemeClr>
              </a:solidFill>
              <a:ln w="19050">
                <a:noFill/>
              </a:ln>
              <a:effectLst/>
            </c:spPr>
            <c:extLst>
              <c:ext xmlns:c16="http://schemas.microsoft.com/office/drawing/2014/chart" uri="{C3380CC4-5D6E-409C-BE32-E72D297353CC}">
                <c16:uniqueId val="{00000003-2DD8-4109-A84D-60CF23A689EE}"/>
              </c:ext>
            </c:extLst>
          </c:dPt>
          <c:val>
            <c:numRef>
              <c:f>Processing!$E$15:$F$15</c:f>
              <c:numCache>
                <c:formatCode>0%</c:formatCode>
                <c:ptCount val="2"/>
                <c:pt idx="0">
                  <c:v>0.65277777777777779</c:v>
                </c:pt>
                <c:pt idx="1">
                  <c:v>0.34722222222222221</c:v>
                </c:pt>
              </c:numCache>
            </c:numRef>
          </c:val>
          <c:extLst>
            <c:ext xmlns:c16="http://schemas.microsoft.com/office/drawing/2014/chart" uri="{C3380CC4-5D6E-409C-BE32-E72D297353CC}">
              <c16:uniqueId val="{00000004-2DD8-4109-A84D-60CF23A689EE}"/>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Processing!$H$2</c:f>
              <c:strCache>
                <c:ptCount val="1"/>
                <c:pt idx="0">
                  <c:v>Cursor</c:v>
                </c:pt>
              </c:strCache>
            </c:strRef>
          </c:tx>
          <c:spPr>
            <a:solidFill>
              <a:srgbClr val="ABB5E2">
                <a:alpha val="70000"/>
              </a:srgbClr>
            </a:solidFill>
            <a:ln>
              <a:noFill/>
            </a:ln>
            <a:effectLst/>
          </c:spPr>
          <c:invertIfNegative val="0"/>
          <c:cat>
            <c:strRef>
              <c:f>Processing!$B$3:$B$14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Processing!$H$3:$H$14</c:f>
              <c:numCache>
                <c:formatCode>0%</c:formatCode>
                <c:ptCount val="12"/>
                <c:pt idx="0">
                  <c:v>#N/A</c:v>
                </c:pt>
                <c:pt idx="1">
                  <c:v>#N/A</c:v>
                </c:pt>
                <c:pt idx="2">
                  <c:v>#N/A</c:v>
                </c:pt>
                <c:pt idx="3">
                  <c:v>1</c:v>
                </c:pt>
                <c:pt idx="4">
                  <c:v>1</c:v>
                </c:pt>
                <c:pt idx="5">
                  <c:v>1</c:v>
                </c:pt>
                <c:pt idx="6">
                  <c:v>#N/A</c:v>
                </c:pt>
                <c:pt idx="7">
                  <c:v>#N/A</c:v>
                </c:pt>
                <c:pt idx="8">
                  <c:v>#N/A</c:v>
                </c:pt>
                <c:pt idx="9">
                  <c:v>#N/A</c:v>
                </c:pt>
                <c:pt idx="10">
                  <c:v>#N/A</c:v>
                </c:pt>
                <c:pt idx="11">
                  <c:v>#N/A</c:v>
                </c:pt>
              </c:numCache>
            </c:numRef>
          </c:val>
          <c:extLst>
            <c:ext xmlns:c16="http://schemas.microsoft.com/office/drawing/2014/chart" uri="{C3380CC4-5D6E-409C-BE32-E72D297353CC}">
              <c16:uniqueId val="{00000000-E80F-41AA-A468-48F1693C1FB5}"/>
            </c:ext>
          </c:extLst>
        </c:ser>
        <c:dLbls>
          <c:showLegendKey val="0"/>
          <c:showVal val="0"/>
          <c:showCatName val="0"/>
          <c:showSerName val="0"/>
          <c:showPercent val="0"/>
          <c:showBubbleSize val="0"/>
        </c:dLbls>
        <c:gapWidth val="30"/>
        <c:overlap val="-27"/>
        <c:axId val="2029676367"/>
        <c:axId val="2029690287"/>
      </c:barChart>
      <c:catAx>
        <c:axId val="2029676367"/>
        <c:scaling>
          <c:orientation val="minMax"/>
        </c:scaling>
        <c:delete val="1"/>
        <c:axPos val="b"/>
        <c:numFmt formatCode="General" sourceLinked="1"/>
        <c:majorTickMark val="none"/>
        <c:minorTickMark val="none"/>
        <c:tickLblPos val="high"/>
        <c:crossAx val="2029690287"/>
        <c:crosses val="autoZero"/>
        <c:auto val="1"/>
        <c:lblAlgn val="ctr"/>
        <c:lblOffset val="100"/>
        <c:noMultiLvlLbl val="0"/>
      </c:catAx>
      <c:valAx>
        <c:axId val="2029690287"/>
        <c:scaling>
          <c:orientation val="minMax"/>
          <c:max val="1"/>
          <c:min val="0"/>
        </c:scaling>
        <c:delete val="1"/>
        <c:axPos val="l"/>
        <c:numFmt formatCode="0%" sourceLinked="1"/>
        <c:majorTickMark val="none"/>
        <c:minorTickMark val="none"/>
        <c:tickLblPos val="nextTo"/>
        <c:crossAx val="2029676367"/>
        <c:crosses val="autoZero"/>
        <c:crossBetween val="between"/>
      </c:valAx>
      <c:spPr>
        <a:noFill/>
      </c:spPr>
    </c:plotArea>
    <c:plotVisOnly val="1"/>
    <c:dispBlanksAs val="gap"/>
    <c:showDLblsOverMax val="0"/>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3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0617869641294839"/>
          <c:y val="6.7401960784313722E-2"/>
          <c:w val="0.87159908136482955"/>
          <c:h val="0.86519607843137258"/>
        </c:manualLayout>
      </c:layout>
      <c:barChart>
        <c:barDir val="bar"/>
        <c:grouping val="stacked"/>
        <c:varyColors val="0"/>
        <c:ser>
          <c:idx val="0"/>
          <c:order val="0"/>
          <c:tx>
            <c:strRef>
              <c:f>Processing!$L$2</c:f>
              <c:strCache>
                <c:ptCount val="1"/>
                <c:pt idx="0">
                  <c:v>Start</c:v>
                </c:pt>
              </c:strCache>
            </c:strRef>
          </c:tx>
          <c:spPr>
            <a:gradFill flip="none" rotWithShape="1">
              <a:gsLst>
                <a:gs pos="0">
                  <a:srgbClr val="5D6DA1"/>
                </a:gs>
                <a:gs pos="23000">
                  <a:srgbClr val="455177"/>
                </a:gs>
                <a:gs pos="100000">
                  <a:srgbClr val="0A0E14"/>
                </a:gs>
              </a:gsLst>
              <a:lin ang="5400000" scaled="0"/>
              <a:tileRect/>
            </a:gradFill>
            <a:ln>
              <a:noFill/>
            </a:ln>
            <a:effectLst>
              <a:outerShdw blurRad="63500" sx="102000" sy="102000" algn="ctr" rotWithShape="0">
                <a:prstClr val="black">
                  <a:alpha val="40000"/>
                </a:prstClr>
              </a:outerShdw>
            </a:effectLst>
          </c:spPr>
          <c:invertIfNegative val="0"/>
          <c:cat>
            <c:numRef>
              <c:f>Processing!$K$3:$K$7</c:f>
              <c:numCache>
                <c:formatCode>"$"#\ ###\ ###;\-"$"#\ ###\ ###;</c:formatCode>
                <c:ptCount val="5"/>
                <c:pt idx="0">
                  <c:v>0</c:v>
                </c:pt>
                <c:pt idx="1">
                  <c:v>500</c:v>
                </c:pt>
                <c:pt idx="2">
                  <c:v>1400</c:v>
                </c:pt>
                <c:pt idx="3">
                  <c:v>1000</c:v>
                </c:pt>
                <c:pt idx="4">
                  <c:v>0</c:v>
                </c:pt>
              </c:numCache>
            </c:numRef>
          </c:cat>
          <c:val>
            <c:numRef>
              <c:f>Processing!$L$3:$L$7</c:f>
              <c:numCache>
                <c:formatCode>General</c:formatCode>
                <c:ptCount val="5"/>
                <c:pt idx="0">
                  <c:v>0.2</c:v>
                </c:pt>
                <c:pt idx="1">
                  <c:v>1</c:v>
                </c:pt>
                <c:pt idx="2">
                  <c:v>3</c:v>
                </c:pt>
                <c:pt idx="3">
                  <c:v>4</c:v>
                </c:pt>
                <c:pt idx="4">
                  <c:v>7</c:v>
                </c:pt>
              </c:numCache>
            </c:numRef>
          </c:val>
          <c:extLst>
            <c:ext xmlns:c16="http://schemas.microsoft.com/office/drawing/2014/chart" uri="{C3380CC4-5D6E-409C-BE32-E72D297353CC}">
              <c16:uniqueId val="{00000000-E2E6-4D53-A19A-3FDB602953D7}"/>
            </c:ext>
          </c:extLst>
        </c:ser>
        <c:ser>
          <c:idx val="1"/>
          <c:order val="1"/>
          <c:tx>
            <c:strRef>
              <c:f>Processing!$M$2</c:f>
              <c:strCache>
                <c:ptCount val="1"/>
                <c:pt idx="0">
                  <c:v>Process</c:v>
                </c:pt>
              </c:strCache>
            </c:strRef>
          </c:tx>
          <c:spPr>
            <a:solidFill>
              <a:srgbClr val="2B5BCB"/>
            </a:solidFill>
            <a:ln w="101600">
              <a:solidFill>
                <a:srgbClr val="2B5BCB"/>
              </a:solidFill>
            </a:ln>
            <a:effectLst/>
          </c:spPr>
          <c:invertIfNegative val="0"/>
          <c:dPt>
            <c:idx val="0"/>
            <c:invertIfNegative val="0"/>
            <c:bubble3D val="0"/>
            <c:spPr>
              <a:solidFill>
                <a:srgbClr val="00A8B0"/>
              </a:solidFill>
              <a:ln w="101600">
                <a:gradFill>
                  <a:gsLst>
                    <a:gs pos="0">
                      <a:srgbClr val="00C8D2"/>
                    </a:gs>
                    <a:gs pos="31000">
                      <a:srgbClr val="00A8B0"/>
                    </a:gs>
                  </a:gsLst>
                  <a:lin ang="5400000" scaled="1"/>
                </a:gradFill>
              </a:ln>
              <a:effectLst/>
            </c:spPr>
            <c:extLst>
              <c:ext xmlns:c16="http://schemas.microsoft.com/office/drawing/2014/chart" uri="{C3380CC4-5D6E-409C-BE32-E72D297353CC}">
                <c16:uniqueId val="{00000002-E2E6-4D53-A19A-3FDB602953D7}"/>
              </c:ext>
            </c:extLst>
          </c:dPt>
          <c:dPt>
            <c:idx val="1"/>
            <c:invertIfNegative val="0"/>
            <c:bubble3D val="0"/>
            <c:spPr>
              <a:solidFill>
                <a:srgbClr val="2B5BCB"/>
              </a:solidFill>
              <a:ln w="101600">
                <a:gradFill>
                  <a:gsLst>
                    <a:gs pos="0">
                      <a:srgbClr val="5A82DC"/>
                    </a:gs>
                    <a:gs pos="31000">
                      <a:srgbClr val="2B5BCB"/>
                    </a:gs>
                  </a:gsLst>
                  <a:lin ang="5400000" scaled="1"/>
                </a:gradFill>
              </a:ln>
              <a:effectLst/>
            </c:spPr>
            <c:extLst>
              <c:ext xmlns:c16="http://schemas.microsoft.com/office/drawing/2014/chart" uri="{C3380CC4-5D6E-409C-BE32-E72D297353CC}">
                <c16:uniqueId val="{00000004-E2E6-4D53-A19A-3FDB602953D7}"/>
              </c:ext>
            </c:extLst>
          </c:dPt>
          <c:dPt>
            <c:idx val="2"/>
            <c:invertIfNegative val="0"/>
            <c:bubble3D val="0"/>
            <c:spPr>
              <a:solidFill>
                <a:srgbClr val="FF5C6D"/>
              </a:solidFill>
              <a:ln w="101600">
                <a:gradFill>
                  <a:gsLst>
                    <a:gs pos="0">
                      <a:srgbClr val="FFA3AC"/>
                    </a:gs>
                    <a:gs pos="31000">
                      <a:srgbClr val="FF5C6D"/>
                    </a:gs>
                  </a:gsLst>
                  <a:lin ang="5400000" scaled="1"/>
                </a:gradFill>
              </a:ln>
              <a:effectLst/>
            </c:spPr>
            <c:extLst>
              <c:ext xmlns:c16="http://schemas.microsoft.com/office/drawing/2014/chart" uri="{C3380CC4-5D6E-409C-BE32-E72D297353CC}">
                <c16:uniqueId val="{00000006-E2E6-4D53-A19A-3FDB602953D7}"/>
              </c:ext>
            </c:extLst>
          </c:dPt>
          <c:dPt>
            <c:idx val="3"/>
            <c:invertIfNegative val="0"/>
            <c:bubble3D val="0"/>
            <c:spPr>
              <a:solidFill>
                <a:srgbClr val="007D9B"/>
              </a:solidFill>
              <a:ln w="101600">
                <a:gradFill>
                  <a:gsLst>
                    <a:gs pos="0">
                      <a:srgbClr val="00ADD6"/>
                    </a:gs>
                    <a:gs pos="31000">
                      <a:srgbClr val="007D9B"/>
                    </a:gs>
                  </a:gsLst>
                  <a:lin ang="5400000" scaled="1"/>
                </a:gradFill>
              </a:ln>
              <a:effectLst/>
            </c:spPr>
            <c:extLst>
              <c:ext xmlns:c16="http://schemas.microsoft.com/office/drawing/2014/chart" uri="{C3380CC4-5D6E-409C-BE32-E72D297353CC}">
                <c16:uniqueId val="{00000008-E2E6-4D53-A19A-3FDB602953D7}"/>
              </c:ext>
            </c:extLst>
          </c:dPt>
          <c:dPt>
            <c:idx val="4"/>
            <c:invertIfNegative val="0"/>
            <c:bubble3D val="0"/>
            <c:spPr>
              <a:solidFill>
                <a:srgbClr val="4E5E9D"/>
              </a:solidFill>
              <a:ln w="101600">
                <a:gradFill>
                  <a:gsLst>
                    <a:gs pos="0">
                      <a:srgbClr val="6978B4"/>
                    </a:gs>
                    <a:gs pos="31000">
                      <a:srgbClr val="4E5E9D"/>
                    </a:gs>
                  </a:gsLst>
                  <a:lin ang="5400000" scaled="1"/>
                </a:gradFill>
              </a:ln>
              <a:effectLst/>
            </c:spPr>
            <c:extLst>
              <c:ext xmlns:c16="http://schemas.microsoft.com/office/drawing/2014/chart" uri="{C3380CC4-5D6E-409C-BE32-E72D297353CC}">
                <c16:uniqueId val="{0000000A-E2E6-4D53-A19A-3FDB602953D7}"/>
              </c:ext>
            </c:extLst>
          </c:dPt>
          <c:cat>
            <c:numRef>
              <c:f>Processing!$K$3:$K$7</c:f>
              <c:numCache>
                <c:formatCode>"$"#\ ###\ ###;\-"$"#\ ###\ ###;</c:formatCode>
                <c:ptCount val="5"/>
                <c:pt idx="0">
                  <c:v>0</c:v>
                </c:pt>
                <c:pt idx="1">
                  <c:v>500</c:v>
                </c:pt>
                <c:pt idx="2">
                  <c:v>1400</c:v>
                </c:pt>
                <c:pt idx="3">
                  <c:v>1000</c:v>
                </c:pt>
                <c:pt idx="4">
                  <c:v>0</c:v>
                </c:pt>
              </c:numCache>
            </c:numRef>
          </c:cat>
          <c:val>
            <c:numRef>
              <c:f>Processing!$M$3:$M$7</c:f>
              <c:numCache>
                <c:formatCode>General</c:formatCode>
                <c:ptCount val="5"/>
                <c:pt idx="0">
                  <c:v>1.8</c:v>
                </c:pt>
                <c:pt idx="1">
                  <c:v>3</c:v>
                </c:pt>
                <c:pt idx="2">
                  <c:v>2</c:v>
                </c:pt>
                <c:pt idx="3">
                  <c:v>4</c:v>
                </c:pt>
                <c:pt idx="4">
                  <c:v>4.8</c:v>
                </c:pt>
              </c:numCache>
            </c:numRef>
          </c:val>
          <c:extLst>
            <c:ext xmlns:c16="http://schemas.microsoft.com/office/drawing/2014/chart" uri="{C3380CC4-5D6E-409C-BE32-E72D297353CC}">
              <c16:uniqueId val="{0000000B-E2E6-4D53-A19A-3FDB602953D7}"/>
            </c:ext>
          </c:extLst>
        </c:ser>
        <c:ser>
          <c:idx val="2"/>
          <c:order val="2"/>
          <c:tx>
            <c:strRef>
              <c:f>Processing!$N$2</c:f>
              <c:strCache>
                <c:ptCount val="1"/>
                <c:pt idx="0">
                  <c:v>End</c:v>
                </c:pt>
              </c:strCache>
            </c:strRef>
          </c:tx>
          <c:spPr>
            <a:gradFill>
              <a:gsLst>
                <a:gs pos="0">
                  <a:srgbClr val="5D6DA1"/>
                </a:gs>
                <a:gs pos="23000">
                  <a:srgbClr val="455177"/>
                </a:gs>
                <a:gs pos="100000">
                  <a:srgbClr val="0A0E14"/>
                </a:gs>
              </a:gsLst>
              <a:lin ang="5400000" scaled="0"/>
            </a:gradFill>
            <a:ln>
              <a:noFill/>
            </a:ln>
            <a:effectLst/>
          </c:spPr>
          <c:invertIfNegative val="0"/>
          <c:cat>
            <c:numRef>
              <c:f>Processing!$K$3:$K$7</c:f>
              <c:numCache>
                <c:formatCode>"$"#\ ###\ ###;\-"$"#\ ###\ ###;</c:formatCode>
                <c:ptCount val="5"/>
                <c:pt idx="0">
                  <c:v>0</c:v>
                </c:pt>
                <c:pt idx="1">
                  <c:v>500</c:v>
                </c:pt>
                <c:pt idx="2">
                  <c:v>1400</c:v>
                </c:pt>
                <c:pt idx="3">
                  <c:v>1000</c:v>
                </c:pt>
                <c:pt idx="4">
                  <c:v>0</c:v>
                </c:pt>
              </c:numCache>
            </c:numRef>
          </c:cat>
          <c:val>
            <c:numRef>
              <c:f>Processing!$N$3:$N$7</c:f>
              <c:numCache>
                <c:formatCode>General</c:formatCode>
                <c:ptCount val="5"/>
                <c:pt idx="0">
                  <c:v>10</c:v>
                </c:pt>
                <c:pt idx="1">
                  <c:v>8</c:v>
                </c:pt>
                <c:pt idx="2">
                  <c:v>7</c:v>
                </c:pt>
                <c:pt idx="3">
                  <c:v>4</c:v>
                </c:pt>
                <c:pt idx="4">
                  <c:v>0.19999999999999929</c:v>
                </c:pt>
              </c:numCache>
            </c:numRef>
          </c:val>
          <c:extLst>
            <c:ext xmlns:c16="http://schemas.microsoft.com/office/drawing/2014/chart" uri="{C3380CC4-5D6E-409C-BE32-E72D297353CC}">
              <c16:uniqueId val="{0000000C-E2E6-4D53-A19A-3FDB602953D7}"/>
            </c:ext>
          </c:extLst>
        </c:ser>
        <c:dLbls>
          <c:showLegendKey val="0"/>
          <c:showVal val="0"/>
          <c:showCatName val="0"/>
          <c:showSerName val="0"/>
          <c:showPercent val="0"/>
          <c:showBubbleSize val="0"/>
        </c:dLbls>
        <c:gapWidth val="200"/>
        <c:overlap val="100"/>
        <c:axId val="307646768"/>
        <c:axId val="307649168"/>
      </c:barChart>
      <c:catAx>
        <c:axId val="307646768"/>
        <c:scaling>
          <c:orientation val="maxMin"/>
        </c:scaling>
        <c:delete val="0"/>
        <c:axPos val="l"/>
        <c:numFmt formatCode="&quot;$&quot;#\ ###\ ###;\-&quot;$&quot;#\ ###\ ###;"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rgbClr val="455177"/>
                </a:solidFill>
                <a:latin typeface="+mn-lt"/>
                <a:ea typeface="+mn-ea"/>
                <a:cs typeface="+mn-cs"/>
              </a:defRPr>
            </a:pPr>
            <a:endParaRPr lang="ru-RU"/>
          </a:p>
        </c:txPr>
        <c:crossAx val="307649168"/>
        <c:crosses val="autoZero"/>
        <c:auto val="1"/>
        <c:lblAlgn val="ctr"/>
        <c:lblOffset val="100"/>
        <c:noMultiLvlLbl val="0"/>
      </c:catAx>
      <c:valAx>
        <c:axId val="307649168"/>
        <c:scaling>
          <c:orientation val="minMax"/>
          <c:max val="12"/>
          <c:min val="0"/>
        </c:scaling>
        <c:delete val="1"/>
        <c:axPos val="t"/>
        <c:majorGridlines>
          <c:spPr>
            <a:ln w="9525" cap="flat" cmpd="sng" algn="ctr">
              <a:solidFill>
                <a:srgbClr val="193B8A">
                  <a:alpha val="50588"/>
                </a:srgbClr>
              </a:solidFill>
              <a:round/>
            </a:ln>
            <a:effectLst/>
          </c:spPr>
        </c:majorGridlines>
        <c:numFmt formatCode="General" sourceLinked="0"/>
        <c:majorTickMark val="out"/>
        <c:minorTickMark val="none"/>
        <c:tickLblPos val="nextTo"/>
        <c:crossAx val="307646768"/>
        <c:crosses val="autoZero"/>
        <c:crossBetween val="between"/>
        <c:majorUnit val="1"/>
      </c:valAx>
      <c:spPr>
        <a:noFill/>
      </c:spPr>
    </c:plotArea>
    <c:plotVisOnly val="1"/>
    <c:dispBlanksAs val="gap"/>
    <c:showDLblsOverMax val="0"/>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3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tx>
            <c:strRef>
              <c:f>Processing!$S$1</c:f>
              <c:strCache>
                <c:ptCount val="1"/>
                <c:pt idx="0">
                  <c:v>Budget</c:v>
                </c:pt>
              </c:strCache>
            </c:strRef>
          </c:tx>
          <c:spPr>
            <a:gradFill>
              <a:gsLst>
                <a:gs pos="50384">
                  <a:srgbClr val="BCC6FF"/>
                </a:gs>
                <a:gs pos="0">
                  <a:srgbClr val="6494DA"/>
                </a:gs>
                <a:gs pos="94000">
                  <a:srgbClr val="2F6EC7"/>
                </a:gs>
              </a:gsLst>
              <a:lin ang="5400000" scaled="1"/>
            </a:gradFill>
            <a:ln>
              <a:noFill/>
            </a:ln>
            <a:effectLst>
              <a:outerShdw blurRad="50800" dist="38100" dir="8100000" algn="tr" rotWithShape="0">
                <a:prstClr val="black">
                  <a:alpha val="40000"/>
                </a:prstClr>
              </a:outerShdw>
            </a:effectLst>
          </c:spPr>
          <c:dPt>
            <c:idx val="0"/>
            <c:bubble3D val="0"/>
            <c:spPr>
              <a:gradFill>
                <a:gsLst>
                  <a:gs pos="0">
                    <a:srgbClr val="09C3F2"/>
                  </a:gs>
                  <a:gs pos="100000">
                    <a:srgbClr val="06D3D9"/>
                  </a:gs>
                </a:gsLst>
                <a:lin ang="5400000" scaled="1"/>
              </a:gradFill>
              <a:ln w="19050">
                <a:noFill/>
              </a:ln>
              <a:effectLst>
                <a:outerShdw blurRad="50800" dist="38100" dir="8100000" algn="tr" rotWithShape="0">
                  <a:prstClr val="black">
                    <a:alpha val="40000"/>
                  </a:prstClr>
                </a:outerShdw>
              </a:effectLst>
            </c:spPr>
            <c:extLst>
              <c:ext xmlns:c16="http://schemas.microsoft.com/office/drawing/2014/chart" uri="{C3380CC4-5D6E-409C-BE32-E72D297353CC}">
                <c16:uniqueId val="{00000001-08A9-4141-88DD-3593B1411445}"/>
              </c:ext>
            </c:extLst>
          </c:dPt>
          <c:dPt>
            <c:idx val="1"/>
            <c:bubble3D val="0"/>
            <c:spPr>
              <a:gradFill>
                <a:gsLst>
                  <a:gs pos="0">
                    <a:srgbClr val="2C71E7"/>
                  </a:gs>
                  <a:gs pos="100000">
                    <a:srgbClr val="2373DF"/>
                  </a:gs>
                </a:gsLst>
                <a:lin ang="5400000" scaled="1"/>
              </a:gradFill>
              <a:ln w="19050">
                <a:noFill/>
              </a:ln>
              <a:effectLst>
                <a:outerShdw blurRad="50800" dist="38100" dir="8100000" algn="tr" rotWithShape="0">
                  <a:prstClr val="black">
                    <a:alpha val="40000"/>
                  </a:prstClr>
                </a:outerShdw>
              </a:effectLst>
            </c:spPr>
            <c:extLst>
              <c:ext xmlns:c16="http://schemas.microsoft.com/office/drawing/2014/chart" uri="{C3380CC4-5D6E-409C-BE32-E72D297353CC}">
                <c16:uniqueId val="{00000003-08A9-4141-88DD-3593B1411445}"/>
              </c:ext>
            </c:extLst>
          </c:dPt>
          <c:val>
            <c:numRef>
              <c:f>Processing!$S$3:$T$3</c:f>
              <c:numCache>
                <c:formatCode>0%</c:formatCode>
                <c:ptCount val="2"/>
                <c:pt idx="0">
                  <c:v>0.64091999999999993</c:v>
                </c:pt>
                <c:pt idx="1">
                  <c:v>0.35908000000000001</c:v>
                </c:pt>
              </c:numCache>
            </c:numRef>
          </c:val>
          <c:extLst>
            <c:ext xmlns:c16="http://schemas.microsoft.com/office/drawing/2014/chart" uri="{C3380CC4-5D6E-409C-BE32-E72D297353CC}">
              <c16:uniqueId val="{00000004-08A9-4141-88DD-3593B1411445}"/>
            </c:ext>
          </c:extLst>
        </c:ser>
        <c:dLbls>
          <c:showLegendKey val="0"/>
          <c:showVal val="0"/>
          <c:showCatName val="0"/>
          <c:showSerName val="0"/>
          <c:showPercent val="0"/>
          <c:showBubbleSize val="0"/>
          <c:showLeaderLines val="1"/>
        </c:dLbls>
        <c:firstSliceAng val="0"/>
        <c:holeSize val="75"/>
      </c:doughnutChart>
      <c:scatterChart>
        <c:scatterStyle val="lineMarker"/>
        <c:varyColors val="0"/>
        <c:ser>
          <c:idx val="1"/>
          <c:order val="1"/>
          <c:tx>
            <c:strRef>
              <c:f>Processing!$S$4</c:f>
              <c:strCache>
                <c:ptCount val="1"/>
                <c:pt idx="0">
                  <c:v>Cursors</c:v>
                </c:pt>
              </c:strCache>
            </c:strRef>
          </c:tx>
          <c:spPr>
            <a:ln w="25400" cap="rnd">
              <a:noFill/>
              <a:round/>
            </a:ln>
            <a:effectLst/>
          </c:spPr>
          <c:marker>
            <c:symbol val="circle"/>
            <c:size val="14"/>
            <c:spPr>
              <a:solidFill>
                <a:srgbClr val="09C3F2"/>
              </a:solidFill>
              <a:ln w="9525">
                <a:noFill/>
              </a:ln>
              <a:effectLst/>
            </c:spPr>
          </c:marker>
          <c:dPt>
            <c:idx val="1"/>
            <c:marker>
              <c:symbol val="circle"/>
              <c:size val="14"/>
              <c:spPr>
                <a:solidFill>
                  <a:srgbClr val="06D3D9"/>
                </a:solidFill>
                <a:ln w="9525">
                  <a:noFill/>
                </a:ln>
                <a:effectLst/>
              </c:spPr>
            </c:marker>
            <c:bubble3D val="0"/>
            <c:extLst>
              <c:ext xmlns:c16="http://schemas.microsoft.com/office/drawing/2014/chart" uri="{C3380CC4-5D6E-409C-BE32-E72D297353CC}">
                <c16:uniqueId val="{00000005-08A9-4141-88DD-3593B1411445}"/>
              </c:ext>
            </c:extLst>
          </c:dPt>
          <c:xVal>
            <c:numRef>
              <c:f>Processing!$S$6:$S$7</c:f>
              <c:numCache>
                <c:formatCode>General</c:formatCode>
                <c:ptCount val="2"/>
                <c:pt idx="0">
                  <c:v>0</c:v>
                </c:pt>
                <c:pt idx="1">
                  <c:v>-0.77418499792466078</c:v>
                </c:pt>
              </c:numCache>
            </c:numRef>
          </c:xVal>
          <c:yVal>
            <c:numRef>
              <c:f>Processing!$T$6:$T$7</c:f>
              <c:numCache>
                <c:formatCode>General</c:formatCode>
                <c:ptCount val="2"/>
                <c:pt idx="0">
                  <c:v>1</c:v>
                </c:pt>
                <c:pt idx="1">
                  <c:v>-0.63295938968340804</c:v>
                </c:pt>
              </c:numCache>
            </c:numRef>
          </c:yVal>
          <c:smooth val="0"/>
          <c:extLst>
            <c:ext xmlns:c16="http://schemas.microsoft.com/office/drawing/2014/chart" uri="{C3380CC4-5D6E-409C-BE32-E72D297353CC}">
              <c16:uniqueId val="{00000006-08A9-4141-88DD-3593B1411445}"/>
            </c:ext>
          </c:extLst>
        </c:ser>
        <c:dLbls>
          <c:showLegendKey val="0"/>
          <c:showVal val="0"/>
          <c:showCatName val="0"/>
          <c:showSerName val="0"/>
          <c:showPercent val="0"/>
          <c:showBubbleSize val="0"/>
        </c:dLbls>
        <c:axId val="1214836208"/>
        <c:axId val="1214847248"/>
      </c:scatterChart>
      <c:valAx>
        <c:axId val="1214847248"/>
        <c:scaling>
          <c:orientation val="minMax"/>
          <c:max val="1.1500000000000001"/>
          <c:min val="-1.1400000000000001"/>
        </c:scaling>
        <c:delete val="1"/>
        <c:axPos val="l"/>
        <c:numFmt formatCode="General" sourceLinked="1"/>
        <c:majorTickMark val="out"/>
        <c:minorTickMark val="none"/>
        <c:tickLblPos val="nextTo"/>
        <c:crossAx val="1214836208"/>
        <c:crosses val="autoZero"/>
        <c:crossBetween val="midCat"/>
      </c:valAx>
      <c:valAx>
        <c:axId val="1214836208"/>
        <c:scaling>
          <c:orientation val="minMax"/>
          <c:max val="1.1400000000000001"/>
          <c:min val="-1.1500000000000001"/>
        </c:scaling>
        <c:delete val="1"/>
        <c:axPos val="t"/>
        <c:numFmt formatCode="General" sourceLinked="1"/>
        <c:majorTickMark val="out"/>
        <c:minorTickMark val="none"/>
        <c:tickLblPos val="nextTo"/>
        <c:crossAx val="1214847248"/>
        <c:crosses val="max"/>
        <c:crossBetween val="midCat"/>
      </c:valAx>
      <c:spPr>
        <a:noFill/>
        <a:ln w="25400">
          <a:noFill/>
        </a:ln>
        <a:effectLst/>
      </c:spPr>
    </c:plotArea>
    <c:plotVisOnly val="1"/>
    <c:dispBlanksAs val="gap"/>
    <c:showDLblsOverMax val="0"/>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3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3.3763044812768567E-2"/>
          <c:y val="6.0185185185185182E-2"/>
          <c:w val="0.93247391037446281"/>
          <c:h val="0.88888888888888884"/>
        </c:manualLayout>
      </c:layout>
      <c:barChart>
        <c:barDir val="col"/>
        <c:grouping val="stacked"/>
        <c:varyColors val="0"/>
        <c:ser>
          <c:idx val="0"/>
          <c:order val="0"/>
          <c:spPr>
            <a:noFill/>
            <a:ln>
              <a:noFill/>
            </a:ln>
            <a:effectLst/>
          </c:spPr>
          <c:invertIfNegative val="0"/>
          <c:cat>
            <c:strRef>
              <c:f>Processing!$K$24:$Q$24</c:f>
              <c:strCache>
                <c:ptCount val="7"/>
                <c:pt idx="0">
                  <c:v>SU</c:v>
                </c:pt>
                <c:pt idx="1">
                  <c:v>MO</c:v>
                </c:pt>
                <c:pt idx="2">
                  <c:v>TU</c:v>
                </c:pt>
                <c:pt idx="3">
                  <c:v>WE</c:v>
                </c:pt>
                <c:pt idx="4">
                  <c:v>TH</c:v>
                </c:pt>
                <c:pt idx="5">
                  <c:v>FR</c:v>
                </c:pt>
                <c:pt idx="6">
                  <c:v>SA</c:v>
                </c:pt>
              </c:strCache>
            </c:strRef>
          </c:cat>
          <c:val>
            <c:numRef>
              <c:f>Processing!$K$25:$Q$25</c:f>
              <c:numCache>
                <c:formatCode>General</c:formatCode>
                <c:ptCount val="7"/>
                <c:pt idx="0">
                  <c:v>1</c:v>
                </c:pt>
                <c:pt idx="1">
                  <c:v>1</c:v>
                </c:pt>
                <c:pt idx="2">
                  <c:v>1</c:v>
                </c:pt>
                <c:pt idx="3">
                  <c:v>1</c:v>
                </c:pt>
                <c:pt idx="4">
                  <c:v>0</c:v>
                </c:pt>
                <c:pt idx="5">
                  <c:v>0</c:v>
                </c:pt>
                <c:pt idx="6">
                  <c:v>0</c:v>
                </c:pt>
              </c:numCache>
            </c:numRef>
          </c:val>
          <c:extLst>
            <c:ext xmlns:c16="http://schemas.microsoft.com/office/drawing/2014/chart" uri="{C3380CC4-5D6E-409C-BE32-E72D297353CC}">
              <c16:uniqueId val="{00000000-B2BA-43C3-8B71-2D0ECD6175DB}"/>
            </c:ext>
          </c:extLst>
        </c:ser>
        <c:ser>
          <c:idx val="1"/>
          <c:order val="1"/>
          <c:spPr>
            <a:blipFill>
              <a:blip xmlns:r="http://schemas.openxmlformats.org/officeDocument/2006/relationships" r:embed="rId1"/>
              <a:stretch>
                <a:fillRect/>
              </a:stretch>
            </a:blipFill>
            <a:ln>
              <a:noFill/>
            </a:ln>
            <a:effectLst/>
          </c:spPr>
          <c:invertIfNegative val="0"/>
          <c:cat>
            <c:strRef>
              <c:f>Processing!$K$24:$Q$24</c:f>
              <c:strCache>
                <c:ptCount val="7"/>
                <c:pt idx="0">
                  <c:v>SU</c:v>
                </c:pt>
                <c:pt idx="1">
                  <c:v>MO</c:v>
                </c:pt>
                <c:pt idx="2">
                  <c:v>TU</c:v>
                </c:pt>
                <c:pt idx="3">
                  <c:v>WE</c:v>
                </c:pt>
                <c:pt idx="4">
                  <c:v>TH</c:v>
                </c:pt>
                <c:pt idx="5">
                  <c:v>FR</c:v>
                </c:pt>
                <c:pt idx="6">
                  <c:v>SA</c:v>
                </c:pt>
              </c:strCache>
            </c:strRef>
          </c:cat>
          <c:val>
            <c:numRef>
              <c:f>Processing!$K$26:$Q$26</c:f>
              <c:numCache>
                <c:formatCode>General</c:formatCode>
                <c:ptCount val="7"/>
                <c:pt idx="0">
                  <c:v>0</c:v>
                </c:pt>
                <c:pt idx="1">
                  <c:v>0</c:v>
                </c:pt>
                <c:pt idx="2">
                  <c:v>0</c:v>
                </c:pt>
                <c:pt idx="3">
                  <c:v>0</c:v>
                </c:pt>
                <c:pt idx="4">
                  <c:v>0</c:v>
                </c:pt>
                <c:pt idx="5">
                  <c:v>1</c:v>
                </c:pt>
                <c:pt idx="6">
                  <c:v>0</c:v>
                </c:pt>
              </c:numCache>
            </c:numRef>
          </c:val>
          <c:extLst>
            <c:ext xmlns:c16="http://schemas.microsoft.com/office/drawing/2014/chart" uri="{C3380CC4-5D6E-409C-BE32-E72D297353CC}">
              <c16:uniqueId val="{00000001-B2BA-43C3-8B71-2D0ECD6175DB}"/>
            </c:ext>
          </c:extLst>
        </c:ser>
        <c:ser>
          <c:idx val="2"/>
          <c:order val="2"/>
          <c:spPr>
            <a:blipFill>
              <a:blip xmlns:r="http://schemas.openxmlformats.org/officeDocument/2006/relationships" r:embed="rId2"/>
              <a:stretch>
                <a:fillRect/>
              </a:stretch>
            </a:blipFill>
            <a:ln>
              <a:noFill/>
            </a:ln>
            <a:effectLst/>
          </c:spPr>
          <c:invertIfNegative val="0"/>
          <c:cat>
            <c:strRef>
              <c:f>Processing!$K$24:$Q$24</c:f>
              <c:strCache>
                <c:ptCount val="7"/>
                <c:pt idx="0">
                  <c:v>SU</c:v>
                </c:pt>
                <c:pt idx="1">
                  <c:v>MO</c:v>
                </c:pt>
                <c:pt idx="2">
                  <c:v>TU</c:v>
                </c:pt>
                <c:pt idx="3">
                  <c:v>WE</c:v>
                </c:pt>
                <c:pt idx="4">
                  <c:v>TH</c:v>
                </c:pt>
                <c:pt idx="5">
                  <c:v>FR</c:v>
                </c:pt>
                <c:pt idx="6">
                  <c:v>SA</c:v>
                </c:pt>
              </c:strCache>
            </c:strRef>
          </c:cat>
          <c:val>
            <c:numRef>
              <c:f>Processing!$K$27:$Q$27</c:f>
              <c:numCache>
                <c:formatCode>General</c:formatCode>
                <c:ptCount val="7"/>
                <c:pt idx="0">
                  <c:v>0</c:v>
                </c:pt>
                <c:pt idx="1">
                  <c:v>0</c:v>
                </c:pt>
                <c:pt idx="2">
                  <c:v>0</c:v>
                </c:pt>
                <c:pt idx="3">
                  <c:v>0</c:v>
                </c:pt>
                <c:pt idx="4">
                  <c:v>1</c:v>
                </c:pt>
                <c:pt idx="5">
                  <c:v>0</c:v>
                </c:pt>
                <c:pt idx="6">
                  <c:v>1</c:v>
                </c:pt>
              </c:numCache>
            </c:numRef>
          </c:val>
          <c:extLst>
            <c:ext xmlns:c16="http://schemas.microsoft.com/office/drawing/2014/chart" uri="{C3380CC4-5D6E-409C-BE32-E72D297353CC}">
              <c16:uniqueId val="{00000002-B2BA-43C3-8B71-2D0ECD6175DB}"/>
            </c:ext>
          </c:extLst>
        </c:ser>
        <c:ser>
          <c:idx val="3"/>
          <c:order val="3"/>
          <c:spPr>
            <a:blipFill>
              <a:blip xmlns:r="http://schemas.openxmlformats.org/officeDocument/2006/relationships" r:embed="rId3"/>
              <a:stretch>
                <a:fillRect/>
              </a:stretch>
            </a:blipFill>
            <a:ln>
              <a:noFill/>
            </a:ln>
            <a:effectLst/>
          </c:spPr>
          <c:invertIfNegative val="0"/>
          <c:cat>
            <c:strRef>
              <c:f>Processing!$K$24:$Q$24</c:f>
              <c:strCache>
                <c:ptCount val="7"/>
                <c:pt idx="0">
                  <c:v>SU</c:v>
                </c:pt>
                <c:pt idx="1">
                  <c:v>MO</c:v>
                </c:pt>
                <c:pt idx="2">
                  <c:v>TU</c:v>
                </c:pt>
                <c:pt idx="3">
                  <c:v>WE</c:v>
                </c:pt>
                <c:pt idx="4">
                  <c:v>TH</c:v>
                </c:pt>
                <c:pt idx="5">
                  <c:v>FR</c:v>
                </c:pt>
                <c:pt idx="6">
                  <c:v>SA</c:v>
                </c:pt>
              </c:strCache>
            </c:strRef>
          </c:cat>
          <c:val>
            <c:numRef>
              <c:f>Processing!$K$28:$Q$28</c:f>
              <c:numCache>
                <c:formatCode>General</c:formatCode>
                <c:ptCount val="7"/>
                <c:pt idx="0">
                  <c:v>0</c:v>
                </c:pt>
                <c:pt idx="1">
                  <c:v>0</c:v>
                </c:pt>
                <c:pt idx="2">
                  <c:v>0</c:v>
                </c:pt>
                <c:pt idx="3">
                  <c:v>0</c:v>
                </c:pt>
                <c:pt idx="4">
                  <c:v>0</c:v>
                </c:pt>
                <c:pt idx="5">
                  <c:v>0</c:v>
                </c:pt>
                <c:pt idx="6">
                  <c:v>0</c:v>
                </c:pt>
              </c:numCache>
            </c:numRef>
          </c:val>
          <c:extLst>
            <c:ext xmlns:c16="http://schemas.microsoft.com/office/drawing/2014/chart" uri="{C3380CC4-5D6E-409C-BE32-E72D297353CC}">
              <c16:uniqueId val="{00000003-B2BA-43C3-8B71-2D0ECD6175DB}"/>
            </c:ext>
          </c:extLst>
        </c:ser>
        <c:ser>
          <c:idx val="4"/>
          <c:order val="4"/>
          <c:spPr>
            <a:noFill/>
            <a:ln>
              <a:noFill/>
            </a:ln>
            <a:effectLst/>
          </c:spPr>
          <c:invertIfNegative val="0"/>
          <c:cat>
            <c:strRef>
              <c:f>Processing!$K$24:$Q$24</c:f>
              <c:strCache>
                <c:ptCount val="7"/>
                <c:pt idx="0">
                  <c:v>SU</c:v>
                </c:pt>
                <c:pt idx="1">
                  <c:v>MO</c:v>
                </c:pt>
                <c:pt idx="2">
                  <c:v>TU</c:v>
                </c:pt>
                <c:pt idx="3">
                  <c:v>WE</c:v>
                </c:pt>
                <c:pt idx="4">
                  <c:v>TH</c:v>
                </c:pt>
                <c:pt idx="5">
                  <c:v>FR</c:v>
                </c:pt>
                <c:pt idx="6">
                  <c:v>SA</c:v>
                </c:pt>
              </c:strCache>
            </c:strRef>
          </c:cat>
          <c:val>
            <c:numRef>
              <c:f>Processing!$K$29:$Q$29</c:f>
              <c:numCache>
                <c:formatCode>General</c:formatCode>
                <c:ptCount val="7"/>
                <c:pt idx="0">
                  <c:v>0</c:v>
                </c:pt>
                <c:pt idx="1">
                  <c:v>0</c:v>
                </c:pt>
                <c:pt idx="2">
                  <c:v>0</c:v>
                </c:pt>
                <c:pt idx="3">
                  <c:v>0</c:v>
                </c:pt>
                <c:pt idx="4">
                  <c:v>0</c:v>
                </c:pt>
                <c:pt idx="5">
                  <c:v>0</c:v>
                </c:pt>
                <c:pt idx="6">
                  <c:v>0</c:v>
                </c:pt>
              </c:numCache>
            </c:numRef>
          </c:val>
          <c:extLst>
            <c:ext xmlns:c16="http://schemas.microsoft.com/office/drawing/2014/chart" uri="{C3380CC4-5D6E-409C-BE32-E72D297353CC}">
              <c16:uniqueId val="{00000004-B2BA-43C3-8B71-2D0ECD6175DB}"/>
            </c:ext>
          </c:extLst>
        </c:ser>
        <c:ser>
          <c:idx val="5"/>
          <c:order val="5"/>
          <c:spPr>
            <a:blipFill>
              <a:blip xmlns:r="http://schemas.openxmlformats.org/officeDocument/2006/relationships" r:embed="rId1"/>
              <a:stretch>
                <a:fillRect/>
              </a:stretch>
            </a:blipFill>
            <a:ln>
              <a:noFill/>
            </a:ln>
            <a:effectLst/>
          </c:spPr>
          <c:invertIfNegative val="0"/>
          <c:cat>
            <c:strRef>
              <c:f>Processing!$K$24:$Q$24</c:f>
              <c:strCache>
                <c:ptCount val="7"/>
                <c:pt idx="0">
                  <c:v>SU</c:v>
                </c:pt>
                <c:pt idx="1">
                  <c:v>MO</c:v>
                </c:pt>
                <c:pt idx="2">
                  <c:v>TU</c:v>
                </c:pt>
                <c:pt idx="3">
                  <c:v>WE</c:v>
                </c:pt>
                <c:pt idx="4">
                  <c:v>TH</c:v>
                </c:pt>
                <c:pt idx="5">
                  <c:v>FR</c:v>
                </c:pt>
                <c:pt idx="6">
                  <c:v>SA</c:v>
                </c:pt>
              </c:strCache>
            </c:strRef>
          </c:cat>
          <c:val>
            <c:numRef>
              <c:f>Processing!$K$30:$Q$30</c:f>
              <c:numCache>
                <c:formatCode>General</c:formatCode>
                <c:ptCount val="7"/>
                <c:pt idx="0">
                  <c:v>1</c:v>
                </c:pt>
                <c:pt idx="1">
                  <c:v>1</c:v>
                </c:pt>
                <c:pt idx="2">
                  <c:v>1</c:v>
                </c:pt>
                <c:pt idx="3">
                  <c:v>1</c:v>
                </c:pt>
                <c:pt idx="4">
                  <c:v>1</c:v>
                </c:pt>
                <c:pt idx="5">
                  <c:v>1</c:v>
                </c:pt>
                <c:pt idx="6">
                  <c:v>0</c:v>
                </c:pt>
              </c:numCache>
            </c:numRef>
          </c:val>
          <c:extLst>
            <c:ext xmlns:c16="http://schemas.microsoft.com/office/drawing/2014/chart" uri="{C3380CC4-5D6E-409C-BE32-E72D297353CC}">
              <c16:uniqueId val="{00000005-B2BA-43C3-8B71-2D0ECD6175DB}"/>
            </c:ext>
          </c:extLst>
        </c:ser>
        <c:ser>
          <c:idx val="6"/>
          <c:order val="6"/>
          <c:spPr>
            <a:blipFill>
              <a:blip xmlns:r="http://schemas.openxmlformats.org/officeDocument/2006/relationships" r:embed="rId2"/>
              <a:stretch>
                <a:fillRect/>
              </a:stretch>
            </a:blipFill>
            <a:ln>
              <a:noFill/>
            </a:ln>
            <a:effectLst/>
          </c:spPr>
          <c:invertIfNegative val="0"/>
          <c:cat>
            <c:strRef>
              <c:f>Processing!$K$24:$Q$24</c:f>
              <c:strCache>
                <c:ptCount val="7"/>
                <c:pt idx="0">
                  <c:v>SU</c:v>
                </c:pt>
                <c:pt idx="1">
                  <c:v>MO</c:v>
                </c:pt>
                <c:pt idx="2">
                  <c:v>TU</c:v>
                </c:pt>
                <c:pt idx="3">
                  <c:v>WE</c:v>
                </c:pt>
                <c:pt idx="4">
                  <c:v>TH</c:v>
                </c:pt>
                <c:pt idx="5">
                  <c:v>FR</c:v>
                </c:pt>
                <c:pt idx="6">
                  <c:v>SA</c:v>
                </c:pt>
              </c:strCache>
            </c:strRef>
          </c:cat>
          <c:val>
            <c:numRef>
              <c:f>Processing!$K$31:$Q$31</c:f>
              <c:numCache>
                <c:formatCode>General</c:formatCode>
                <c:ptCount val="7"/>
                <c:pt idx="0">
                  <c:v>0</c:v>
                </c:pt>
                <c:pt idx="1">
                  <c:v>0</c:v>
                </c:pt>
                <c:pt idx="2">
                  <c:v>0</c:v>
                </c:pt>
                <c:pt idx="3">
                  <c:v>0</c:v>
                </c:pt>
                <c:pt idx="4">
                  <c:v>0</c:v>
                </c:pt>
                <c:pt idx="5">
                  <c:v>0</c:v>
                </c:pt>
                <c:pt idx="6">
                  <c:v>1</c:v>
                </c:pt>
              </c:numCache>
            </c:numRef>
          </c:val>
          <c:extLst>
            <c:ext xmlns:c16="http://schemas.microsoft.com/office/drawing/2014/chart" uri="{C3380CC4-5D6E-409C-BE32-E72D297353CC}">
              <c16:uniqueId val="{00000006-B2BA-43C3-8B71-2D0ECD6175DB}"/>
            </c:ext>
          </c:extLst>
        </c:ser>
        <c:ser>
          <c:idx val="7"/>
          <c:order val="7"/>
          <c:spPr>
            <a:blipFill>
              <a:blip xmlns:r="http://schemas.openxmlformats.org/officeDocument/2006/relationships" r:embed="rId3"/>
              <a:stretch>
                <a:fillRect/>
              </a:stretch>
            </a:blipFill>
            <a:ln>
              <a:noFill/>
            </a:ln>
            <a:effectLst/>
          </c:spPr>
          <c:invertIfNegative val="0"/>
          <c:cat>
            <c:strRef>
              <c:f>Processing!$K$24:$Q$24</c:f>
              <c:strCache>
                <c:ptCount val="7"/>
                <c:pt idx="0">
                  <c:v>SU</c:v>
                </c:pt>
                <c:pt idx="1">
                  <c:v>MO</c:v>
                </c:pt>
                <c:pt idx="2">
                  <c:v>TU</c:v>
                </c:pt>
                <c:pt idx="3">
                  <c:v>WE</c:v>
                </c:pt>
                <c:pt idx="4">
                  <c:v>TH</c:v>
                </c:pt>
                <c:pt idx="5">
                  <c:v>FR</c:v>
                </c:pt>
                <c:pt idx="6">
                  <c:v>SA</c:v>
                </c:pt>
              </c:strCache>
            </c:strRef>
          </c:cat>
          <c:val>
            <c:numRef>
              <c:f>Processing!$K$32:$Q$32</c:f>
              <c:numCache>
                <c:formatCode>General</c:formatCode>
                <c:ptCount val="7"/>
                <c:pt idx="0">
                  <c:v>0</c:v>
                </c:pt>
                <c:pt idx="1">
                  <c:v>0</c:v>
                </c:pt>
                <c:pt idx="2">
                  <c:v>0</c:v>
                </c:pt>
                <c:pt idx="3">
                  <c:v>0</c:v>
                </c:pt>
                <c:pt idx="4">
                  <c:v>0</c:v>
                </c:pt>
                <c:pt idx="5">
                  <c:v>0</c:v>
                </c:pt>
                <c:pt idx="6">
                  <c:v>0</c:v>
                </c:pt>
              </c:numCache>
            </c:numRef>
          </c:val>
          <c:extLst>
            <c:ext xmlns:c16="http://schemas.microsoft.com/office/drawing/2014/chart" uri="{C3380CC4-5D6E-409C-BE32-E72D297353CC}">
              <c16:uniqueId val="{00000007-B2BA-43C3-8B71-2D0ECD6175DB}"/>
            </c:ext>
          </c:extLst>
        </c:ser>
        <c:ser>
          <c:idx val="8"/>
          <c:order val="8"/>
          <c:spPr>
            <a:noFill/>
            <a:ln>
              <a:noFill/>
            </a:ln>
            <a:effectLst/>
          </c:spPr>
          <c:invertIfNegative val="0"/>
          <c:cat>
            <c:strRef>
              <c:f>Processing!$K$24:$Q$24</c:f>
              <c:strCache>
                <c:ptCount val="7"/>
                <c:pt idx="0">
                  <c:v>SU</c:v>
                </c:pt>
                <c:pt idx="1">
                  <c:v>MO</c:v>
                </c:pt>
                <c:pt idx="2">
                  <c:v>TU</c:v>
                </c:pt>
                <c:pt idx="3">
                  <c:v>WE</c:v>
                </c:pt>
                <c:pt idx="4">
                  <c:v>TH</c:v>
                </c:pt>
                <c:pt idx="5">
                  <c:v>FR</c:v>
                </c:pt>
                <c:pt idx="6">
                  <c:v>SA</c:v>
                </c:pt>
              </c:strCache>
            </c:strRef>
          </c:cat>
          <c:val>
            <c:numRef>
              <c:f>Processing!$K$33:$Q$33</c:f>
              <c:numCache>
                <c:formatCode>General</c:formatCode>
                <c:ptCount val="7"/>
                <c:pt idx="0">
                  <c:v>0</c:v>
                </c:pt>
                <c:pt idx="1">
                  <c:v>0</c:v>
                </c:pt>
                <c:pt idx="2">
                  <c:v>0</c:v>
                </c:pt>
                <c:pt idx="3">
                  <c:v>0</c:v>
                </c:pt>
                <c:pt idx="4">
                  <c:v>0</c:v>
                </c:pt>
                <c:pt idx="5">
                  <c:v>0</c:v>
                </c:pt>
                <c:pt idx="6">
                  <c:v>0</c:v>
                </c:pt>
              </c:numCache>
            </c:numRef>
          </c:val>
          <c:extLst>
            <c:ext xmlns:c16="http://schemas.microsoft.com/office/drawing/2014/chart" uri="{C3380CC4-5D6E-409C-BE32-E72D297353CC}">
              <c16:uniqueId val="{00000008-B2BA-43C3-8B71-2D0ECD6175DB}"/>
            </c:ext>
          </c:extLst>
        </c:ser>
        <c:ser>
          <c:idx val="9"/>
          <c:order val="9"/>
          <c:spPr>
            <a:blipFill>
              <a:blip xmlns:r="http://schemas.openxmlformats.org/officeDocument/2006/relationships" r:embed="rId1"/>
              <a:stretch>
                <a:fillRect/>
              </a:stretch>
            </a:blipFill>
            <a:ln>
              <a:noFill/>
            </a:ln>
            <a:effectLst/>
          </c:spPr>
          <c:invertIfNegative val="0"/>
          <c:cat>
            <c:strRef>
              <c:f>Processing!$K$24:$Q$24</c:f>
              <c:strCache>
                <c:ptCount val="7"/>
                <c:pt idx="0">
                  <c:v>SU</c:v>
                </c:pt>
                <c:pt idx="1">
                  <c:v>MO</c:v>
                </c:pt>
                <c:pt idx="2">
                  <c:v>TU</c:v>
                </c:pt>
                <c:pt idx="3">
                  <c:v>WE</c:v>
                </c:pt>
                <c:pt idx="4">
                  <c:v>TH</c:v>
                </c:pt>
                <c:pt idx="5">
                  <c:v>FR</c:v>
                </c:pt>
                <c:pt idx="6">
                  <c:v>SA</c:v>
                </c:pt>
              </c:strCache>
            </c:strRef>
          </c:cat>
          <c:val>
            <c:numRef>
              <c:f>Processing!$K$34:$Q$34</c:f>
              <c:numCache>
                <c:formatCode>General</c:formatCode>
                <c:ptCount val="7"/>
                <c:pt idx="0">
                  <c:v>0</c:v>
                </c:pt>
                <c:pt idx="1">
                  <c:v>1</c:v>
                </c:pt>
                <c:pt idx="2">
                  <c:v>0</c:v>
                </c:pt>
                <c:pt idx="3">
                  <c:v>0</c:v>
                </c:pt>
                <c:pt idx="4">
                  <c:v>0</c:v>
                </c:pt>
                <c:pt idx="5">
                  <c:v>1</c:v>
                </c:pt>
                <c:pt idx="6">
                  <c:v>1</c:v>
                </c:pt>
              </c:numCache>
            </c:numRef>
          </c:val>
          <c:extLst>
            <c:ext xmlns:c16="http://schemas.microsoft.com/office/drawing/2014/chart" uri="{C3380CC4-5D6E-409C-BE32-E72D297353CC}">
              <c16:uniqueId val="{00000009-B2BA-43C3-8B71-2D0ECD6175DB}"/>
            </c:ext>
          </c:extLst>
        </c:ser>
        <c:ser>
          <c:idx val="10"/>
          <c:order val="10"/>
          <c:spPr>
            <a:blipFill>
              <a:blip xmlns:r="http://schemas.openxmlformats.org/officeDocument/2006/relationships" r:embed="rId2"/>
              <a:stretch>
                <a:fillRect/>
              </a:stretch>
            </a:blipFill>
            <a:ln>
              <a:noFill/>
            </a:ln>
            <a:effectLst/>
          </c:spPr>
          <c:invertIfNegative val="0"/>
          <c:cat>
            <c:strRef>
              <c:f>Processing!$K$24:$Q$24</c:f>
              <c:strCache>
                <c:ptCount val="7"/>
                <c:pt idx="0">
                  <c:v>SU</c:v>
                </c:pt>
                <c:pt idx="1">
                  <c:v>MO</c:v>
                </c:pt>
                <c:pt idx="2">
                  <c:v>TU</c:v>
                </c:pt>
                <c:pt idx="3">
                  <c:v>WE</c:v>
                </c:pt>
                <c:pt idx="4">
                  <c:v>TH</c:v>
                </c:pt>
                <c:pt idx="5">
                  <c:v>FR</c:v>
                </c:pt>
                <c:pt idx="6">
                  <c:v>SA</c:v>
                </c:pt>
              </c:strCache>
            </c:strRef>
          </c:cat>
          <c:val>
            <c:numRef>
              <c:f>Processing!$K$35:$Q$35</c:f>
              <c:numCache>
                <c:formatCode>General</c:formatCode>
                <c:ptCount val="7"/>
                <c:pt idx="0">
                  <c:v>1</c:v>
                </c:pt>
                <c:pt idx="1">
                  <c:v>0</c:v>
                </c:pt>
                <c:pt idx="2">
                  <c:v>1</c:v>
                </c:pt>
                <c:pt idx="3">
                  <c:v>1</c:v>
                </c:pt>
                <c:pt idx="4">
                  <c:v>1</c:v>
                </c:pt>
                <c:pt idx="5">
                  <c:v>0</c:v>
                </c:pt>
                <c:pt idx="6">
                  <c:v>0</c:v>
                </c:pt>
              </c:numCache>
            </c:numRef>
          </c:val>
          <c:extLst>
            <c:ext xmlns:c16="http://schemas.microsoft.com/office/drawing/2014/chart" uri="{C3380CC4-5D6E-409C-BE32-E72D297353CC}">
              <c16:uniqueId val="{0000000A-B2BA-43C3-8B71-2D0ECD6175DB}"/>
            </c:ext>
          </c:extLst>
        </c:ser>
        <c:ser>
          <c:idx val="11"/>
          <c:order val="11"/>
          <c:spPr>
            <a:blipFill>
              <a:blip xmlns:r="http://schemas.openxmlformats.org/officeDocument/2006/relationships" r:embed="rId3"/>
              <a:stretch>
                <a:fillRect/>
              </a:stretch>
            </a:blipFill>
            <a:ln>
              <a:noFill/>
            </a:ln>
            <a:effectLst/>
          </c:spPr>
          <c:invertIfNegative val="0"/>
          <c:cat>
            <c:strRef>
              <c:f>Processing!$K$24:$Q$24</c:f>
              <c:strCache>
                <c:ptCount val="7"/>
                <c:pt idx="0">
                  <c:v>SU</c:v>
                </c:pt>
                <c:pt idx="1">
                  <c:v>MO</c:v>
                </c:pt>
                <c:pt idx="2">
                  <c:v>TU</c:v>
                </c:pt>
                <c:pt idx="3">
                  <c:v>WE</c:v>
                </c:pt>
                <c:pt idx="4">
                  <c:v>TH</c:v>
                </c:pt>
                <c:pt idx="5">
                  <c:v>FR</c:v>
                </c:pt>
                <c:pt idx="6">
                  <c:v>SA</c:v>
                </c:pt>
              </c:strCache>
            </c:strRef>
          </c:cat>
          <c:val>
            <c:numRef>
              <c:f>Processing!$K$36:$Q$36</c:f>
              <c:numCache>
                <c:formatCode>General</c:formatCode>
                <c:ptCount val="7"/>
                <c:pt idx="0">
                  <c:v>0</c:v>
                </c:pt>
                <c:pt idx="1">
                  <c:v>0</c:v>
                </c:pt>
                <c:pt idx="2">
                  <c:v>0</c:v>
                </c:pt>
                <c:pt idx="3">
                  <c:v>0</c:v>
                </c:pt>
                <c:pt idx="4">
                  <c:v>0</c:v>
                </c:pt>
                <c:pt idx="5">
                  <c:v>0</c:v>
                </c:pt>
                <c:pt idx="6">
                  <c:v>0</c:v>
                </c:pt>
              </c:numCache>
            </c:numRef>
          </c:val>
          <c:extLst>
            <c:ext xmlns:c16="http://schemas.microsoft.com/office/drawing/2014/chart" uri="{C3380CC4-5D6E-409C-BE32-E72D297353CC}">
              <c16:uniqueId val="{0000000B-B2BA-43C3-8B71-2D0ECD6175DB}"/>
            </c:ext>
          </c:extLst>
        </c:ser>
        <c:ser>
          <c:idx val="12"/>
          <c:order val="12"/>
          <c:spPr>
            <a:noFill/>
            <a:ln>
              <a:noFill/>
            </a:ln>
            <a:effectLst/>
          </c:spPr>
          <c:invertIfNegative val="0"/>
          <c:cat>
            <c:strRef>
              <c:f>Processing!$K$24:$Q$24</c:f>
              <c:strCache>
                <c:ptCount val="7"/>
                <c:pt idx="0">
                  <c:v>SU</c:v>
                </c:pt>
                <c:pt idx="1">
                  <c:v>MO</c:v>
                </c:pt>
                <c:pt idx="2">
                  <c:v>TU</c:v>
                </c:pt>
                <c:pt idx="3">
                  <c:v>WE</c:v>
                </c:pt>
                <c:pt idx="4">
                  <c:v>TH</c:v>
                </c:pt>
                <c:pt idx="5">
                  <c:v>FR</c:v>
                </c:pt>
                <c:pt idx="6">
                  <c:v>SA</c:v>
                </c:pt>
              </c:strCache>
            </c:strRef>
          </c:cat>
          <c:val>
            <c:numRef>
              <c:f>Processing!$K$37:$Q$37</c:f>
              <c:numCache>
                <c:formatCode>General</c:formatCode>
                <c:ptCount val="7"/>
                <c:pt idx="0">
                  <c:v>0</c:v>
                </c:pt>
                <c:pt idx="1">
                  <c:v>0</c:v>
                </c:pt>
                <c:pt idx="2">
                  <c:v>0</c:v>
                </c:pt>
                <c:pt idx="3">
                  <c:v>0</c:v>
                </c:pt>
                <c:pt idx="4">
                  <c:v>0</c:v>
                </c:pt>
                <c:pt idx="5">
                  <c:v>0</c:v>
                </c:pt>
                <c:pt idx="6">
                  <c:v>0</c:v>
                </c:pt>
              </c:numCache>
            </c:numRef>
          </c:val>
          <c:extLst>
            <c:ext xmlns:c16="http://schemas.microsoft.com/office/drawing/2014/chart" uri="{C3380CC4-5D6E-409C-BE32-E72D297353CC}">
              <c16:uniqueId val="{0000000C-B2BA-43C3-8B71-2D0ECD6175DB}"/>
            </c:ext>
          </c:extLst>
        </c:ser>
        <c:ser>
          <c:idx val="13"/>
          <c:order val="13"/>
          <c:spPr>
            <a:blipFill>
              <a:blip xmlns:r="http://schemas.openxmlformats.org/officeDocument/2006/relationships" r:embed="rId1"/>
              <a:stretch>
                <a:fillRect/>
              </a:stretch>
            </a:blipFill>
            <a:ln>
              <a:noFill/>
            </a:ln>
            <a:effectLst/>
          </c:spPr>
          <c:invertIfNegative val="0"/>
          <c:cat>
            <c:strRef>
              <c:f>Processing!$K$24:$Q$24</c:f>
              <c:strCache>
                <c:ptCount val="7"/>
                <c:pt idx="0">
                  <c:v>SU</c:v>
                </c:pt>
                <c:pt idx="1">
                  <c:v>MO</c:v>
                </c:pt>
                <c:pt idx="2">
                  <c:v>TU</c:v>
                </c:pt>
                <c:pt idx="3">
                  <c:v>WE</c:v>
                </c:pt>
                <c:pt idx="4">
                  <c:v>TH</c:v>
                </c:pt>
                <c:pt idx="5">
                  <c:v>FR</c:v>
                </c:pt>
                <c:pt idx="6">
                  <c:v>SA</c:v>
                </c:pt>
              </c:strCache>
            </c:strRef>
          </c:cat>
          <c:val>
            <c:numRef>
              <c:f>Processing!$K$38:$Q$38</c:f>
              <c:numCache>
                <c:formatCode>General</c:formatCode>
                <c:ptCount val="7"/>
                <c:pt idx="0">
                  <c:v>0</c:v>
                </c:pt>
                <c:pt idx="1">
                  <c:v>0</c:v>
                </c:pt>
                <c:pt idx="2">
                  <c:v>0</c:v>
                </c:pt>
                <c:pt idx="3">
                  <c:v>1</c:v>
                </c:pt>
                <c:pt idx="4">
                  <c:v>0</c:v>
                </c:pt>
                <c:pt idx="5">
                  <c:v>0</c:v>
                </c:pt>
                <c:pt idx="6">
                  <c:v>0</c:v>
                </c:pt>
              </c:numCache>
            </c:numRef>
          </c:val>
          <c:extLst>
            <c:ext xmlns:c16="http://schemas.microsoft.com/office/drawing/2014/chart" uri="{C3380CC4-5D6E-409C-BE32-E72D297353CC}">
              <c16:uniqueId val="{0000000D-B2BA-43C3-8B71-2D0ECD6175DB}"/>
            </c:ext>
          </c:extLst>
        </c:ser>
        <c:ser>
          <c:idx val="14"/>
          <c:order val="14"/>
          <c:spPr>
            <a:blipFill>
              <a:blip xmlns:r="http://schemas.openxmlformats.org/officeDocument/2006/relationships" r:embed="rId2"/>
              <a:stretch>
                <a:fillRect/>
              </a:stretch>
            </a:blipFill>
            <a:ln>
              <a:noFill/>
            </a:ln>
            <a:effectLst/>
          </c:spPr>
          <c:invertIfNegative val="0"/>
          <c:cat>
            <c:strRef>
              <c:f>Processing!$K$24:$Q$24</c:f>
              <c:strCache>
                <c:ptCount val="7"/>
                <c:pt idx="0">
                  <c:v>SU</c:v>
                </c:pt>
                <c:pt idx="1">
                  <c:v>MO</c:v>
                </c:pt>
                <c:pt idx="2">
                  <c:v>TU</c:v>
                </c:pt>
                <c:pt idx="3">
                  <c:v>WE</c:v>
                </c:pt>
                <c:pt idx="4">
                  <c:v>TH</c:v>
                </c:pt>
                <c:pt idx="5">
                  <c:v>FR</c:v>
                </c:pt>
                <c:pt idx="6">
                  <c:v>SA</c:v>
                </c:pt>
              </c:strCache>
            </c:strRef>
          </c:cat>
          <c:val>
            <c:numRef>
              <c:f>Processing!$K$39:$Q$39</c:f>
              <c:numCache>
                <c:formatCode>General</c:formatCode>
                <c:ptCount val="7"/>
                <c:pt idx="0">
                  <c:v>1</c:v>
                </c:pt>
                <c:pt idx="1">
                  <c:v>1</c:v>
                </c:pt>
                <c:pt idx="2">
                  <c:v>1</c:v>
                </c:pt>
                <c:pt idx="3">
                  <c:v>0</c:v>
                </c:pt>
                <c:pt idx="4">
                  <c:v>0</c:v>
                </c:pt>
                <c:pt idx="5">
                  <c:v>1</c:v>
                </c:pt>
                <c:pt idx="6">
                  <c:v>1</c:v>
                </c:pt>
              </c:numCache>
            </c:numRef>
          </c:val>
          <c:extLst>
            <c:ext xmlns:c16="http://schemas.microsoft.com/office/drawing/2014/chart" uri="{C3380CC4-5D6E-409C-BE32-E72D297353CC}">
              <c16:uniqueId val="{0000000E-B2BA-43C3-8B71-2D0ECD6175DB}"/>
            </c:ext>
          </c:extLst>
        </c:ser>
        <c:ser>
          <c:idx val="15"/>
          <c:order val="15"/>
          <c:spPr>
            <a:blipFill>
              <a:blip xmlns:r="http://schemas.openxmlformats.org/officeDocument/2006/relationships" r:embed="rId3"/>
              <a:stretch>
                <a:fillRect/>
              </a:stretch>
            </a:blipFill>
            <a:ln>
              <a:noFill/>
            </a:ln>
            <a:effectLst/>
          </c:spPr>
          <c:invertIfNegative val="0"/>
          <c:cat>
            <c:strRef>
              <c:f>Processing!$K$24:$Q$24</c:f>
              <c:strCache>
                <c:ptCount val="7"/>
                <c:pt idx="0">
                  <c:v>SU</c:v>
                </c:pt>
                <c:pt idx="1">
                  <c:v>MO</c:v>
                </c:pt>
                <c:pt idx="2">
                  <c:v>TU</c:v>
                </c:pt>
                <c:pt idx="3">
                  <c:v>WE</c:v>
                </c:pt>
                <c:pt idx="4">
                  <c:v>TH</c:v>
                </c:pt>
                <c:pt idx="5">
                  <c:v>FR</c:v>
                </c:pt>
                <c:pt idx="6">
                  <c:v>SA</c:v>
                </c:pt>
              </c:strCache>
            </c:strRef>
          </c:cat>
          <c:val>
            <c:numRef>
              <c:f>Processing!$K$40:$Q$40</c:f>
              <c:numCache>
                <c:formatCode>General</c:formatCode>
                <c:ptCount val="7"/>
                <c:pt idx="0">
                  <c:v>0</c:v>
                </c:pt>
                <c:pt idx="1">
                  <c:v>0</c:v>
                </c:pt>
                <c:pt idx="2">
                  <c:v>0</c:v>
                </c:pt>
                <c:pt idx="3">
                  <c:v>0</c:v>
                </c:pt>
                <c:pt idx="4">
                  <c:v>1</c:v>
                </c:pt>
                <c:pt idx="5">
                  <c:v>0</c:v>
                </c:pt>
                <c:pt idx="6">
                  <c:v>0</c:v>
                </c:pt>
              </c:numCache>
            </c:numRef>
          </c:val>
          <c:extLst>
            <c:ext xmlns:c16="http://schemas.microsoft.com/office/drawing/2014/chart" uri="{C3380CC4-5D6E-409C-BE32-E72D297353CC}">
              <c16:uniqueId val="{0000000F-B2BA-43C3-8B71-2D0ECD6175DB}"/>
            </c:ext>
          </c:extLst>
        </c:ser>
        <c:ser>
          <c:idx val="16"/>
          <c:order val="16"/>
          <c:spPr>
            <a:noFill/>
            <a:ln>
              <a:noFill/>
            </a:ln>
            <a:effectLst/>
          </c:spPr>
          <c:invertIfNegative val="0"/>
          <c:cat>
            <c:strRef>
              <c:f>Processing!$K$24:$Q$24</c:f>
              <c:strCache>
                <c:ptCount val="7"/>
                <c:pt idx="0">
                  <c:v>SU</c:v>
                </c:pt>
                <c:pt idx="1">
                  <c:v>MO</c:v>
                </c:pt>
                <c:pt idx="2">
                  <c:v>TU</c:v>
                </c:pt>
                <c:pt idx="3">
                  <c:v>WE</c:v>
                </c:pt>
                <c:pt idx="4">
                  <c:v>TH</c:v>
                </c:pt>
                <c:pt idx="5">
                  <c:v>FR</c:v>
                </c:pt>
                <c:pt idx="6">
                  <c:v>SA</c:v>
                </c:pt>
              </c:strCache>
            </c:strRef>
          </c:cat>
          <c:val>
            <c:numRef>
              <c:f>Processing!$K$41:$Q$41</c:f>
              <c:numCache>
                <c:formatCode>General</c:formatCode>
                <c:ptCount val="7"/>
                <c:pt idx="0">
                  <c:v>0</c:v>
                </c:pt>
                <c:pt idx="1">
                  <c:v>0</c:v>
                </c:pt>
                <c:pt idx="2">
                  <c:v>0</c:v>
                </c:pt>
                <c:pt idx="3">
                  <c:v>0</c:v>
                </c:pt>
                <c:pt idx="4">
                  <c:v>0</c:v>
                </c:pt>
                <c:pt idx="5">
                  <c:v>0</c:v>
                </c:pt>
                <c:pt idx="6">
                  <c:v>1</c:v>
                </c:pt>
              </c:numCache>
            </c:numRef>
          </c:val>
          <c:extLst>
            <c:ext xmlns:c16="http://schemas.microsoft.com/office/drawing/2014/chart" uri="{C3380CC4-5D6E-409C-BE32-E72D297353CC}">
              <c16:uniqueId val="{00000010-B2BA-43C3-8B71-2D0ECD6175DB}"/>
            </c:ext>
          </c:extLst>
        </c:ser>
        <c:ser>
          <c:idx val="17"/>
          <c:order val="17"/>
          <c:spPr>
            <a:blipFill>
              <a:blip xmlns:r="http://schemas.openxmlformats.org/officeDocument/2006/relationships" r:embed="rId1"/>
              <a:stretch>
                <a:fillRect/>
              </a:stretch>
            </a:blipFill>
            <a:ln>
              <a:noFill/>
            </a:ln>
            <a:effectLst/>
          </c:spPr>
          <c:invertIfNegative val="0"/>
          <c:cat>
            <c:strRef>
              <c:f>Processing!$K$24:$Q$24</c:f>
              <c:strCache>
                <c:ptCount val="7"/>
                <c:pt idx="0">
                  <c:v>SU</c:v>
                </c:pt>
                <c:pt idx="1">
                  <c:v>MO</c:v>
                </c:pt>
                <c:pt idx="2">
                  <c:v>TU</c:v>
                </c:pt>
                <c:pt idx="3">
                  <c:v>WE</c:v>
                </c:pt>
                <c:pt idx="4">
                  <c:v>TH</c:v>
                </c:pt>
                <c:pt idx="5">
                  <c:v>FR</c:v>
                </c:pt>
                <c:pt idx="6">
                  <c:v>SA</c:v>
                </c:pt>
              </c:strCache>
            </c:strRef>
          </c:cat>
          <c:val>
            <c:numRef>
              <c:f>Processing!$K$42:$Q$42</c:f>
              <c:numCache>
                <c:formatCode>General</c:formatCode>
                <c:ptCount val="7"/>
                <c:pt idx="0">
                  <c:v>1</c:v>
                </c:pt>
                <c:pt idx="1">
                  <c:v>0</c:v>
                </c:pt>
                <c:pt idx="2">
                  <c:v>1</c:v>
                </c:pt>
                <c:pt idx="3">
                  <c:v>1</c:v>
                </c:pt>
                <c:pt idx="4">
                  <c:v>1</c:v>
                </c:pt>
                <c:pt idx="5">
                  <c:v>1</c:v>
                </c:pt>
                <c:pt idx="6">
                  <c:v>0</c:v>
                </c:pt>
              </c:numCache>
            </c:numRef>
          </c:val>
          <c:extLst>
            <c:ext xmlns:c16="http://schemas.microsoft.com/office/drawing/2014/chart" uri="{C3380CC4-5D6E-409C-BE32-E72D297353CC}">
              <c16:uniqueId val="{00000011-B2BA-43C3-8B71-2D0ECD6175DB}"/>
            </c:ext>
          </c:extLst>
        </c:ser>
        <c:ser>
          <c:idx val="18"/>
          <c:order val="18"/>
          <c:spPr>
            <a:blipFill>
              <a:blip xmlns:r="http://schemas.openxmlformats.org/officeDocument/2006/relationships" r:embed="rId2"/>
              <a:stretch>
                <a:fillRect/>
              </a:stretch>
            </a:blipFill>
            <a:ln>
              <a:noFill/>
            </a:ln>
            <a:effectLst/>
          </c:spPr>
          <c:invertIfNegative val="0"/>
          <c:cat>
            <c:strRef>
              <c:f>Processing!$K$24:$Q$24</c:f>
              <c:strCache>
                <c:ptCount val="7"/>
                <c:pt idx="0">
                  <c:v>SU</c:v>
                </c:pt>
                <c:pt idx="1">
                  <c:v>MO</c:v>
                </c:pt>
                <c:pt idx="2">
                  <c:v>TU</c:v>
                </c:pt>
                <c:pt idx="3">
                  <c:v>WE</c:v>
                </c:pt>
                <c:pt idx="4">
                  <c:v>TH</c:v>
                </c:pt>
                <c:pt idx="5">
                  <c:v>FR</c:v>
                </c:pt>
                <c:pt idx="6">
                  <c:v>SA</c:v>
                </c:pt>
              </c:strCache>
            </c:strRef>
          </c:cat>
          <c:val>
            <c:numRef>
              <c:f>Processing!$K$43:$Q$43</c:f>
              <c:numCache>
                <c:formatCode>General</c:formatCode>
                <c:ptCount val="7"/>
                <c:pt idx="0">
                  <c:v>0</c:v>
                </c:pt>
                <c:pt idx="1">
                  <c:v>0</c:v>
                </c:pt>
                <c:pt idx="2">
                  <c:v>0</c:v>
                </c:pt>
                <c:pt idx="3">
                  <c:v>0</c:v>
                </c:pt>
                <c:pt idx="4">
                  <c:v>0</c:v>
                </c:pt>
                <c:pt idx="5">
                  <c:v>0</c:v>
                </c:pt>
                <c:pt idx="6">
                  <c:v>0</c:v>
                </c:pt>
              </c:numCache>
            </c:numRef>
          </c:val>
          <c:extLst>
            <c:ext xmlns:c16="http://schemas.microsoft.com/office/drawing/2014/chart" uri="{C3380CC4-5D6E-409C-BE32-E72D297353CC}">
              <c16:uniqueId val="{00000012-B2BA-43C3-8B71-2D0ECD6175DB}"/>
            </c:ext>
          </c:extLst>
        </c:ser>
        <c:ser>
          <c:idx val="19"/>
          <c:order val="19"/>
          <c:spPr>
            <a:blipFill>
              <a:blip xmlns:r="http://schemas.openxmlformats.org/officeDocument/2006/relationships" r:embed="rId3"/>
              <a:stretch>
                <a:fillRect/>
              </a:stretch>
            </a:blipFill>
            <a:ln>
              <a:noFill/>
            </a:ln>
            <a:effectLst/>
          </c:spPr>
          <c:invertIfNegative val="0"/>
          <c:cat>
            <c:strRef>
              <c:f>Processing!$K$24:$Q$24</c:f>
              <c:strCache>
                <c:ptCount val="7"/>
                <c:pt idx="0">
                  <c:v>SU</c:v>
                </c:pt>
                <c:pt idx="1">
                  <c:v>MO</c:v>
                </c:pt>
                <c:pt idx="2">
                  <c:v>TU</c:v>
                </c:pt>
                <c:pt idx="3">
                  <c:v>WE</c:v>
                </c:pt>
                <c:pt idx="4">
                  <c:v>TH</c:v>
                </c:pt>
                <c:pt idx="5">
                  <c:v>FR</c:v>
                </c:pt>
                <c:pt idx="6">
                  <c:v>SA</c:v>
                </c:pt>
              </c:strCache>
            </c:strRef>
          </c:cat>
          <c:val>
            <c:numRef>
              <c:f>Processing!$K$44:$Q$44</c:f>
              <c:numCache>
                <c:formatCode>General</c:formatCode>
                <c:ptCount val="7"/>
                <c:pt idx="0">
                  <c:v>0</c:v>
                </c:pt>
                <c:pt idx="1">
                  <c:v>1</c:v>
                </c:pt>
                <c:pt idx="2">
                  <c:v>0</c:v>
                </c:pt>
                <c:pt idx="3">
                  <c:v>0</c:v>
                </c:pt>
                <c:pt idx="4">
                  <c:v>0</c:v>
                </c:pt>
                <c:pt idx="5">
                  <c:v>0</c:v>
                </c:pt>
                <c:pt idx="6">
                  <c:v>0</c:v>
                </c:pt>
              </c:numCache>
            </c:numRef>
          </c:val>
          <c:extLst>
            <c:ext xmlns:c16="http://schemas.microsoft.com/office/drawing/2014/chart" uri="{C3380CC4-5D6E-409C-BE32-E72D297353CC}">
              <c16:uniqueId val="{00000013-B2BA-43C3-8B71-2D0ECD6175DB}"/>
            </c:ext>
          </c:extLst>
        </c:ser>
        <c:ser>
          <c:idx val="20"/>
          <c:order val="20"/>
          <c:spPr>
            <a:noFill/>
            <a:ln>
              <a:noFill/>
            </a:ln>
            <a:effectLst/>
          </c:spPr>
          <c:invertIfNegative val="0"/>
          <c:cat>
            <c:strRef>
              <c:f>Processing!$K$24:$Q$24</c:f>
              <c:strCache>
                <c:ptCount val="7"/>
                <c:pt idx="0">
                  <c:v>SU</c:v>
                </c:pt>
                <c:pt idx="1">
                  <c:v>MO</c:v>
                </c:pt>
                <c:pt idx="2">
                  <c:v>TU</c:v>
                </c:pt>
                <c:pt idx="3">
                  <c:v>WE</c:v>
                </c:pt>
                <c:pt idx="4">
                  <c:v>TH</c:v>
                </c:pt>
                <c:pt idx="5">
                  <c:v>FR</c:v>
                </c:pt>
                <c:pt idx="6">
                  <c:v>SA</c:v>
                </c:pt>
              </c:strCache>
            </c:strRef>
          </c:cat>
          <c:val>
            <c:numRef>
              <c:f>Processing!$K$45:$Q$45</c:f>
              <c:numCache>
                <c:formatCode>General</c:formatCode>
                <c:ptCount val="7"/>
                <c:pt idx="0">
                  <c:v>1</c:v>
                </c:pt>
                <c:pt idx="1">
                  <c:v>1</c:v>
                </c:pt>
                <c:pt idx="2">
                  <c:v>1</c:v>
                </c:pt>
                <c:pt idx="3">
                  <c:v>1</c:v>
                </c:pt>
                <c:pt idx="4">
                  <c:v>1</c:v>
                </c:pt>
                <c:pt idx="5">
                  <c:v>1</c:v>
                </c:pt>
                <c:pt idx="6">
                  <c:v>1</c:v>
                </c:pt>
              </c:numCache>
            </c:numRef>
          </c:val>
          <c:extLst>
            <c:ext xmlns:c16="http://schemas.microsoft.com/office/drawing/2014/chart" uri="{C3380CC4-5D6E-409C-BE32-E72D297353CC}">
              <c16:uniqueId val="{00000014-B2BA-43C3-8B71-2D0ECD6175DB}"/>
            </c:ext>
          </c:extLst>
        </c:ser>
        <c:ser>
          <c:idx val="21"/>
          <c:order val="21"/>
          <c:spPr>
            <a:blipFill>
              <a:blip xmlns:r="http://schemas.openxmlformats.org/officeDocument/2006/relationships" r:embed="rId1"/>
              <a:stretch>
                <a:fillRect/>
              </a:stretch>
            </a:blipFill>
            <a:ln>
              <a:noFill/>
            </a:ln>
            <a:effectLst/>
          </c:spPr>
          <c:invertIfNegative val="0"/>
          <c:cat>
            <c:strRef>
              <c:f>Processing!$K$24:$Q$24</c:f>
              <c:strCache>
                <c:ptCount val="7"/>
                <c:pt idx="0">
                  <c:v>SU</c:v>
                </c:pt>
                <c:pt idx="1">
                  <c:v>MO</c:v>
                </c:pt>
                <c:pt idx="2">
                  <c:v>TU</c:v>
                </c:pt>
                <c:pt idx="3">
                  <c:v>WE</c:v>
                </c:pt>
                <c:pt idx="4">
                  <c:v>TH</c:v>
                </c:pt>
                <c:pt idx="5">
                  <c:v>FR</c:v>
                </c:pt>
                <c:pt idx="6">
                  <c:v>SA</c:v>
                </c:pt>
              </c:strCache>
            </c:strRef>
          </c:cat>
          <c:val>
            <c:numRef>
              <c:f>Processing!$K$46:$Q$46</c:f>
              <c:numCache>
                <c:formatCode>General</c:formatCode>
                <c:ptCount val="7"/>
                <c:pt idx="0">
                  <c:v>0</c:v>
                </c:pt>
                <c:pt idx="1">
                  <c:v>0</c:v>
                </c:pt>
                <c:pt idx="2">
                  <c:v>0</c:v>
                </c:pt>
                <c:pt idx="3">
                  <c:v>0</c:v>
                </c:pt>
                <c:pt idx="4">
                  <c:v>0</c:v>
                </c:pt>
                <c:pt idx="5">
                  <c:v>0</c:v>
                </c:pt>
                <c:pt idx="6">
                  <c:v>0</c:v>
                </c:pt>
              </c:numCache>
            </c:numRef>
          </c:val>
          <c:extLst>
            <c:ext xmlns:c16="http://schemas.microsoft.com/office/drawing/2014/chart" uri="{C3380CC4-5D6E-409C-BE32-E72D297353CC}">
              <c16:uniqueId val="{00000015-B2BA-43C3-8B71-2D0ECD6175DB}"/>
            </c:ext>
          </c:extLst>
        </c:ser>
        <c:ser>
          <c:idx val="22"/>
          <c:order val="22"/>
          <c:spPr>
            <a:blipFill>
              <a:blip xmlns:r="http://schemas.openxmlformats.org/officeDocument/2006/relationships" r:embed="rId2"/>
              <a:stretch>
                <a:fillRect/>
              </a:stretch>
            </a:blipFill>
            <a:ln>
              <a:noFill/>
            </a:ln>
            <a:effectLst/>
          </c:spPr>
          <c:invertIfNegative val="0"/>
          <c:cat>
            <c:strRef>
              <c:f>Processing!$K$24:$Q$24</c:f>
              <c:strCache>
                <c:ptCount val="7"/>
                <c:pt idx="0">
                  <c:v>SU</c:v>
                </c:pt>
                <c:pt idx="1">
                  <c:v>MO</c:v>
                </c:pt>
                <c:pt idx="2">
                  <c:v>TU</c:v>
                </c:pt>
                <c:pt idx="3">
                  <c:v>WE</c:v>
                </c:pt>
                <c:pt idx="4">
                  <c:v>TH</c:v>
                </c:pt>
                <c:pt idx="5">
                  <c:v>FR</c:v>
                </c:pt>
                <c:pt idx="6">
                  <c:v>SA</c:v>
                </c:pt>
              </c:strCache>
            </c:strRef>
          </c:cat>
          <c:val>
            <c:numRef>
              <c:f>Processing!$K$47:$Q$47</c:f>
              <c:numCache>
                <c:formatCode>General</c:formatCode>
                <c:ptCount val="7"/>
                <c:pt idx="0">
                  <c:v>0</c:v>
                </c:pt>
                <c:pt idx="1">
                  <c:v>0</c:v>
                </c:pt>
                <c:pt idx="2">
                  <c:v>0</c:v>
                </c:pt>
                <c:pt idx="3">
                  <c:v>0</c:v>
                </c:pt>
                <c:pt idx="4">
                  <c:v>0</c:v>
                </c:pt>
                <c:pt idx="5">
                  <c:v>0</c:v>
                </c:pt>
                <c:pt idx="6">
                  <c:v>0</c:v>
                </c:pt>
              </c:numCache>
            </c:numRef>
          </c:val>
          <c:extLst>
            <c:ext xmlns:c16="http://schemas.microsoft.com/office/drawing/2014/chart" uri="{C3380CC4-5D6E-409C-BE32-E72D297353CC}">
              <c16:uniqueId val="{00000016-B2BA-43C3-8B71-2D0ECD6175DB}"/>
            </c:ext>
          </c:extLst>
        </c:ser>
        <c:ser>
          <c:idx val="23"/>
          <c:order val="23"/>
          <c:spPr>
            <a:blipFill>
              <a:blip xmlns:r="http://schemas.openxmlformats.org/officeDocument/2006/relationships" r:embed="rId3"/>
              <a:stretch>
                <a:fillRect/>
              </a:stretch>
            </a:blipFill>
            <a:ln>
              <a:noFill/>
            </a:ln>
            <a:effectLst/>
          </c:spPr>
          <c:invertIfNegative val="0"/>
          <c:cat>
            <c:strRef>
              <c:f>Processing!$K$24:$Q$24</c:f>
              <c:strCache>
                <c:ptCount val="7"/>
                <c:pt idx="0">
                  <c:v>SU</c:v>
                </c:pt>
                <c:pt idx="1">
                  <c:v>MO</c:v>
                </c:pt>
                <c:pt idx="2">
                  <c:v>TU</c:v>
                </c:pt>
                <c:pt idx="3">
                  <c:v>WE</c:v>
                </c:pt>
                <c:pt idx="4">
                  <c:v>TH</c:v>
                </c:pt>
                <c:pt idx="5">
                  <c:v>FR</c:v>
                </c:pt>
                <c:pt idx="6">
                  <c:v>SA</c:v>
                </c:pt>
              </c:strCache>
            </c:strRef>
          </c:cat>
          <c:val>
            <c:numRef>
              <c:f>Processing!$K$48:$Q$48</c:f>
              <c:numCache>
                <c:formatCode>General</c:formatCode>
                <c:ptCount val="7"/>
                <c:pt idx="0">
                  <c:v>0</c:v>
                </c:pt>
                <c:pt idx="1">
                  <c:v>0</c:v>
                </c:pt>
                <c:pt idx="2">
                  <c:v>0</c:v>
                </c:pt>
                <c:pt idx="3">
                  <c:v>0</c:v>
                </c:pt>
                <c:pt idx="4">
                  <c:v>0</c:v>
                </c:pt>
                <c:pt idx="5">
                  <c:v>0</c:v>
                </c:pt>
                <c:pt idx="6">
                  <c:v>0</c:v>
                </c:pt>
              </c:numCache>
            </c:numRef>
          </c:val>
          <c:extLst>
            <c:ext xmlns:c16="http://schemas.microsoft.com/office/drawing/2014/chart" uri="{C3380CC4-5D6E-409C-BE32-E72D297353CC}">
              <c16:uniqueId val="{00000017-B2BA-43C3-8B71-2D0ECD6175DB}"/>
            </c:ext>
          </c:extLst>
        </c:ser>
        <c:dLbls>
          <c:showLegendKey val="0"/>
          <c:showVal val="0"/>
          <c:showCatName val="0"/>
          <c:showSerName val="0"/>
          <c:showPercent val="0"/>
          <c:showBubbleSize val="0"/>
        </c:dLbls>
        <c:gapWidth val="0"/>
        <c:overlap val="100"/>
        <c:axId val="811298159"/>
        <c:axId val="811278479"/>
      </c:barChart>
      <c:catAx>
        <c:axId val="811298159"/>
        <c:scaling>
          <c:orientation val="minMax"/>
        </c:scaling>
        <c:delete val="1"/>
        <c:axPos val="t"/>
        <c:numFmt formatCode="General" sourceLinked="1"/>
        <c:majorTickMark val="out"/>
        <c:minorTickMark val="none"/>
        <c:tickLblPos val="nextTo"/>
        <c:crossAx val="811278479"/>
        <c:crosses val="autoZero"/>
        <c:auto val="1"/>
        <c:lblAlgn val="ctr"/>
        <c:lblOffset val="100"/>
        <c:noMultiLvlLbl val="0"/>
      </c:catAx>
      <c:valAx>
        <c:axId val="811278479"/>
        <c:scaling>
          <c:orientation val="maxMin"/>
        </c:scaling>
        <c:delete val="1"/>
        <c:axPos val="l"/>
        <c:numFmt formatCode="General" sourceLinked="1"/>
        <c:majorTickMark val="out"/>
        <c:minorTickMark val="none"/>
        <c:tickLblPos val="nextTo"/>
        <c:crossAx val="811298159"/>
        <c:crosses val="autoZero"/>
        <c:crossBetween val="between"/>
      </c:valAx>
      <c:spPr>
        <a:noFill/>
      </c:spPr>
    </c:plotArea>
    <c:plotVisOnly val="1"/>
    <c:dispBlanksAs val="gap"/>
    <c:showDLblsOverMax val="0"/>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3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Processing!$B$17</c:f>
              <c:strCache>
                <c:ptCount val="1"/>
                <c:pt idx="0">
                  <c:v>indent</c:v>
                </c:pt>
              </c:strCache>
            </c:strRef>
          </c:tx>
          <c:spPr>
            <a:noFill/>
            <a:ln>
              <a:noFill/>
            </a:ln>
            <a:effectLst/>
          </c:spPr>
          <c:invertIfNegative val="0"/>
          <c:cat>
            <c:strRef>
              <c:f>Processing!$A$18:$A$29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Processing!$B$18:$B$29</c:f>
              <c:numCache>
                <c:formatCode>General</c:formatCode>
                <c:ptCount val="12"/>
                <c:pt idx="0">
                  <c:v>242.05</c:v>
                </c:pt>
                <c:pt idx="1">
                  <c:v>242.05</c:v>
                </c:pt>
                <c:pt idx="2">
                  <c:v>242.05</c:v>
                </c:pt>
                <c:pt idx="3">
                  <c:v>242.05</c:v>
                </c:pt>
                <c:pt idx="4">
                  <c:v>242.05</c:v>
                </c:pt>
                <c:pt idx="5">
                  <c:v>242.05</c:v>
                </c:pt>
                <c:pt idx="6">
                  <c:v>242.05</c:v>
                </c:pt>
                <c:pt idx="7">
                  <c:v>242.05</c:v>
                </c:pt>
                <c:pt idx="8">
                  <c:v>242.05</c:v>
                </c:pt>
                <c:pt idx="9">
                  <c:v>242.05</c:v>
                </c:pt>
                <c:pt idx="10">
                  <c:v>242.05</c:v>
                </c:pt>
                <c:pt idx="11">
                  <c:v>242.05</c:v>
                </c:pt>
              </c:numCache>
            </c:numRef>
          </c:val>
          <c:extLst>
            <c:ext xmlns:c16="http://schemas.microsoft.com/office/drawing/2014/chart" uri="{C3380CC4-5D6E-409C-BE32-E72D297353CC}">
              <c16:uniqueId val="{00000000-0B9D-402E-8F11-750FDC88BEEF}"/>
            </c:ext>
          </c:extLst>
        </c:ser>
        <c:ser>
          <c:idx val="1"/>
          <c:order val="1"/>
          <c:tx>
            <c:strRef>
              <c:f>Processing!$C$17</c:f>
              <c:strCache>
                <c:ptCount val="1"/>
                <c:pt idx="0">
                  <c:v>Income</c:v>
                </c:pt>
              </c:strCache>
            </c:strRef>
          </c:tx>
          <c:spPr>
            <a:solidFill>
              <a:schemeClr val="accent2"/>
            </a:solidFill>
            <a:ln w="101600">
              <a:gradFill>
                <a:gsLst>
                  <a:gs pos="0">
                    <a:srgbClr val="1992E6"/>
                  </a:gs>
                  <a:gs pos="100000">
                    <a:srgbClr val="2373DF"/>
                  </a:gs>
                </a:gsLst>
                <a:lin ang="5400000" scaled="1"/>
              </a:gradFill>
            </a:ln>
            <a:effectLst/>
          </c:spPr>
          <c:invertIfNegative val="0"/>
          <c:cat>
            <c:strRef>
              <c:f>Processing!$A$18:$A$29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Processing!$C$18:$C$29</c:f>
              <c:numCache>
                <c:formatCode>General</c:formatCode>
                <c:ptCount val="12"/>
                <c:pt idx="0">
                  <c:v>2075</c:v>
                </c:pt>
                <c:pt idx="1">
                  <c:v>3066</c:v>
                </c:pt>
                <c:pt idx="2">
                  <c:v>4626</c:v>
                </c:pt>
                <c:pt idx="3">
                  <c:v>4841</c:v>
                </c:pt>
                <c:pt idx="4">
                  <c:v>4626</c:v>
                </c:pt>
                <c:pt idx="5">
                  <c:v>3066</c:v>
                </c:pt>
                <c:pt idx="6">
                  <c:v>2075</c:v>
                </c:pt>
                <c:pt idx="7">
                  <c:v>3066</c:v>
                </c:pt>
                <c:pt idx="8">
                  <c:v>4626</c:v>
                </c:pt>
                <c:pt idx="9">
                  <c:v>4841</c:v>
                </c:pt>
                <c:pt idx="10">
                  <c:v>4626</c:v>
                </c:pt>
                <c:pt idx="11">
                  <c:v>2666</c:v>
                </c:pt>
              </c:numCache>
            </c:numRef>
          </c:val>
          <c:extLst>
            <c:ext xmlns:c16="http://schemas.microsoft.com/office/drawing/2014/chart" uri="{C3380CC4-5D6E-409C-BE32-E72D297353CC}">
              <c16:uniqueId val="{00000001-0B9D-402E-8F11-750FDC88BEEF}"/>
            </c:ext>
          </c:extLst>
        </c:ser>
        <c:dLbls>
          <c:showLegendKey val="0"/>
          <c:showVal val="0"/>
          <c:showCatName val="0"/>
          <c:showSerName val="0"/>
          <c:showPercent val="0"/>
          <c:showBubbleSize val="0"/>
        </c:dLbls>
        <c:gapWidth val="300"/>
        <c:overlap val="100"/>
        <c:axId val="1217850336"/>
        <c:axId val="1217876256"/>
      </c:barChart>
      <c:barChart>
        <c:barDir val="col"/>
        <c:grouping val="stacked"/>
        <c:varyColors val="0"/>
        <c:ser>
          <c:idx val="2"/>
          <c:order val="2"/>
          <c:tx>
            <c:strRef>
              <c:f>Processing!$D$17</c:f>
              <c:strCache>
                <c:ptCount val="1"/>
                <c:pt idx="0">
                  <c:v>indent Cursor</c:v>
                </c:pt>
              </c:strCache>
            </c:strRef>
          </c:tx>
          <c:spPr>
            <a:noFill/>
            <a:ln>
              <a:noFill/>
            </a:ln>
            <a:effectLst/>
          </c:spPr>
          <c:invertIfNegative val="0"/>
          <c:cat>
            <c:strRef>
              <c:f>Processing!$A$18:$A$29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Processing!$D$18:$D$29</c:f>
              <c:numCache>
                <c:formatCode>General</c:formatCode>
                <c:ptCount val="12"/>
                <c:pt idx="0">
                  <c:v>242.05</c:v>
                </c:pt>
                <c:pt idx="1">
                  <c:v>242.05</c:v>
                </c:pt>
                <c:pt idx="2">
                  <c:v>242.05</c:v>
                </c:pt>
                <c:pt idx="3">
                  <c:v>242.05</c:v>
                </c:pt>
                <c:pt idx="4">
                  <c:v>242.05</c:v>
                </c:pt>
                <c:pt idx="5">
                  <c:v>242.05</c:v>
                </c:pt>
                <c:pt idx="6">
                  <c:v>242.05</c:v>
                </c:pt>
                <c:pt idx="7">
                  <c:v>242.05</c:v>
                </c:pt>
                <c:pt idx="8">
                  <c:v>242.05</c:v>
                </c:pt>
                <c:pt idx="9">
                  <c:v>242.05</c:v>
                </c:pt>
                <c:pt idx="10">
                  <c:v>242.05</c:v>
                </c:pt>
                <c:pt idx="11">
                  <c:v>242.05</c:v>
                </c:pt>
              </c:numCache>
            </c:numRef>
          </c:val>
          <c:extLst>
            <c:ext xmlns:c16="http://schemas.microsoft.com/office/drawing/2014/chart" uri="{C3380CC4-5D6E-409C-BE32-E72D297353CC}">
              <c16:uniqueId val="{00000002-0B9D-402E-8F11-750FDC88BEEF}"/>
            </c:ext>
          </c:extLst>
        </c:ser>
        <c:ser>
          <c:idx val="3"/>
          <c:order val="3"/>
          <c:tx>
            <c:strRef>
              <c:f>Processing!$E$17</c:f>
              <c:strCache>
                <c:ptCount val="1"/>
                <c:pt idx="0">
                  <c:v>Cursor</c:v>
                </c:pt>
              </c:strCache>
            </c:strRef>
          </c:tx>
          <c:spPr>
            <a:solidFill>
              <a:schemeClr val="accent4"/>
            </a:solidFill>
            <a:ln w="101600">
              <a:gradFill>
                <a:gsLst>
                  <a:gs pos="0">
                    <a:srgbClr val="06D3D9"/>
                  </a:gs>
                  <a:gs pos="62000">
                    <a:srgbClr val="09C3F2"/>
                  </a:gs>
                </a:gsLst>
                <a:lin ang="5400000" scaled="1"/>
              </a:gradFill>
            </a:ln>
            <a:effectLst>
              <a:outerShdw blurRad="50800" dist="38100" dir="8100000" algn="tr" rotWithShape="0">
                <a:prstClr val="black">
                  <a:alpha val="40000"/>
                </a:prstClr>
              </a:outerShdw>
            </a:effectLst>
          </c:spPr>
          <c:invertIfNegative val="0"/>
          <c:dPt>
            <c:idx val="8"/>
            <c:invertIfNegative val="0"/>
            <c:bubble3D val="0"/>
            <c:extLst>
              <c:ext xmlns:c16="http://schemas.microsoft.com/office/drawing/2014/chart" uri="{C3380CC4-5D6E-409C-BE32-E72D297353CC}">
                <c16:uniqueId val="{00000003-0B9D-402E-8F11-750FDC88BEEF}"/>
              </c:ext>
            </c:extLst>
          </c:dPt>
          <c:cat>
            <c:strRef>
              <c:f>Processing!$A$18:$A$29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Processing!$E$18:$E$29</c:f>
              <c:numCache>
                <c:formatCode>General</c:formatCode>
                <c:ptCount val="12"/>
                <c:pt idx="0">
                  <c:v>#N/A</c:v>
                </c:pt>
                <c:pt idx="1">
                  <c:v>#N/A</c:v>
                </c:pt>
                <c:pt idx="2">
                  <c:v>#N/A</c:v>
                </c:pt>
                <c:pt idx="3">
                  <c:v>4841</c:v>
                </c:pt>
                <c:pt idx="4">
                  <c:v>4626</c:v>
                </c:pt>
                <c:pt idx="5">
                  <c:v>3066</c:v>
                </c:pt>
                <c:pt idx="6">
                  <c:v>#N/A</c:v>
                </c:pt>
                <c:pt idx="7">
                  <c:v>#N/A</c:v>
                </c:pt>
                <c:pt idx="8">
                  <c:v>#N/A</c:v>
                </c:pt>
                <c:pt idx="9">
                  <c:v>#N/A</c:v>
                </c:pt>
                <c:pt idx="10">
                  <c:v>#N/A</c:v>
                </c:pt>
                <c:pt idx="11">
                  <c:v>#N/A</c:v>
                </c:pt>
              </c:numCache>
            </c:numRef>
          </c:val>
          <c:extLst>
            <c:ext xmlns:c16="http://schemas.microsoft.com/office/drawing/2014/chart" uri="{C3380CC4-5D6E-409C-BE32-E72D297353CC}">
              <c16:uniqueId val="{00000004-0B9D-402E-8F11-750FDC88BEEF}"/>
            </c:ext>
          </c:extLst>
        </c:ser>
        <c:dLbls>
          <c:showLegendKey val="0"/>
          <c:showVal val="0"/>
          <c:showCatName val="0"/>
          <c:showSerName val="0"/>
          <c:showPercent val="0"/>
          <c:showBubbleSize val="0"/>
        </c:dLbls>
        <c:gapWidth val="300"/>
        <c:overlap val="100"/>
        <c:axId val="1217885856"/>
        <c:axId val="1217884416"/>
      </c:barChart>
      <c:lineChart>
        <c:grouping val="standard"/>
        <c:varyColors val="0"/>
        <c:ser>
          <c:idx val="4"/>
          <c:order val="4"/>
          <c:tx>
            <c:strRef>
              <c:f>Processing!$F$17</c:f>
              <c:strCache>
                <c:ptCount val="1"/>
                <c:pt idx="0">
                  <c:v>Expenses</c:v>
                </c:pt>
              </c:strCache>
            </c:strRef>
          </c:tx>
          <c:spPr>
            <a:ln w="25400" cap="rnd">
              <a:solidFill>
                <a:srgbClr val="FF00FF"/>
              </a:solidFill>
              <a:round/>
            </a:ln>
            <a:effectLst>
              <a:outerShdw blurRad="50800" dist="38100" dir="5400000" algn="t" rotWithShape="0">
                <a:prstClr val="black">
                  <a:alpha val="40000"/>
                </a:prstClr>
              </a:outerShdw>
            </a:effectLst>
          </c:spPr>
          <c:marker>
            <c:symbol val="circle"/>
            <c:size val="6"/>
            <c:spPr>
              <a:solidFill>
                <a:schemeClr val="bg1"/>
              </a:solidFill>
              <a:ln w="9525">
                <a:solidFill>
                  <a:srgbClr val="FF00FF"/>
                </a:solidFill>
              </a:ln>
              <a:effectLst>
                <a:outerShdw blurRad="50800" dist="38100" dir="5400000" algn="t" rotWithShape="0">
                  <a:prstClr val="black">
                    <a:alpha val="40000"/>
                  </a:prstClr>
                </a:outerShdw>
              </a:effectLst>
            </c:spPr>
          </c:marker>
          <c:cat>
            <c:strRef>
              <c:f>Processing!$A$18:$A$29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Processing!$F$18:$F$29</c:f>
              <c:numCache>
                <c:formatCode>General</c:formatCode>
                <c:ptCount val="12"/>
                <c:pt idx="0">
                  <c:v>2412</c:v>
                </c:pt>
                <c:pt idx="1">
                  <c:v>1696</c:v>
                </c:pt>
                <c:pt idx="2">
                  <c:v>3544</c:v>
                </c:pt>
                <c:pt idx="3">
                  <c:v>2671</c:v>
                </c:pt>
                <c:pt idx="4">
                  <c:v>3036</c:v>
                </c:pt>
                <c:pt idx="5">
                  <c:v>4595</c:v>
                </c:pt>
                <c:pt idx="6">
                  <c:v>2714</c:v>
                </c:pt>
                <c:pt idx="7">
                  <c:v>3731</c:v>
                </c:pt>
                <c:pt idx="8">
                  <c:v>4952</c:v>
                </c:pt>
                <c:pt idx="9">
                  <c:v>3544</c:v>
                </c:pt>
                <c:pt idx="10">
                  <c:v>4595</c:v>
                </c:pt>
                <c:pt idx="11">
                  <c:v>1739</c:v>
                </c:pt>
              </c:numCache>
            </c:numRef>
          </c:val>
          <c:smooth val="0"/>
          <c:extLst>
            <c:ext xmlns:c16="http://schemas.microsoft.com/office/drawing/2014/chart" uri="{C3380CC4-5D6E-409C-BE32-E72D297353CC}">
              <c16:uniqueId val="{00000005-0B9D-402E-8F11-750FDC88BEEF}"/>
            </c:ext>
          </c:extLst>
        </c:ser>
        <c:ser>
          <c:idx val="5"/>
          <c:order val="5"/>
          <c:tx>
            <c:strRef>
              <c:f>Processing!$G$17</c:f>
              <c:strCache>
                <c:ptCount val="1"/>
                <c:pt idx="0">
                  <c:v>Markers</c:v>
                </c:pt>
              </c:strCache>
            </c:strRef>
          </c:tx>
          <c:spPr>
            <a:ln w="28575" cap="rnd">
              <a:noFill/>
              <a:round/>
            </a:ln>
            <a:effectLst/>
          </c:spPr>
          <c:marker>
            <c:symbol val="none"/>
          </c:marker>
          <c:dLbls>
            <c:dLbl>
              <c:idx val="0"/>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6-0B9D-402E-8F11-750FDC88BEEF}"/>
                </c:ext>
              </c:extLst>
            </c:dLbl>
            <c:dLbl>
              <c:idx val="1"/>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7-0B9D-402E-8F11-750FDC88BEEF}"/>
                </c:ext>
              </c:extLst>
            </c:dLbl>
            <c:dLbl>
              <c:idx val="2"/>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8-0B9D-402E-8F11-750FDC88BEEF}"/>
                </c:ext>
              </c:extLst>
            </c:dLbl>
            <c:dLbl>
              <c:idx val="3"/>
              <c:tx>
                <c:rich>
                  <a:bodyPr/>
                  <a:lstStyle/>
                  <a:p>
                    <a:fld id="{FFCA3714-9D00-4AD7-9E8F-02BE20CF5CDC}"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0B9D-402E-8F11-750FDC88BEEF}"/>
                </c:ext>
              </c:extLst>
            </c:dLbl>
            <c:dLbl>
              <c:idx val="4"/>
              <c:tx>
                <c:rich>
                  <a:bodyPr/>
                  <a:lstStyle/>
                  <a:p>
                    <a:fld id="{B3374370-6FBB-4DDF-A73A-F81CDF873E3D}"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0B9D-402E-8F11-750FDC88BEEF}"/>
                </c:ext>
              </c:extLst>
            </c:dLbl>
            <c:dLbl>
              <c:idx val="5"/>
              <c:tx>
                <c:rich>
                  <a:bodyPr/>
                  <a:lstStyle/>
                  <a:p>
                    <a:fld id="{009B9EF1-373F-4A45-83FC-695A1286AA9E}"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0B9D-402E-8F11-750FDC88BEEF}"/>
                </c:ext>
              </c:extLst>
            </c:dLbl>
            <c:dLbl>
              <c:idx val="6"/>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C-0B9D-402E-8F11-750FDC88BEEF}"/>
                </c:ext>
              </c:extLst>
            </c:dLbl>
            <c:dLbl>
              <c:idx val="7"/>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D-0B9D-402E-8F11-750FDC88BEEF}"/>
                </c:ext>
              </c:extLst>
            </c:dLbl>
            <c:dLbl>
              <c:idx val="8"/>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E-0B9D-402E-8F11-750FDC88BEEF}"/>
                </c:ext>
              </c:extLst>
            </c:dLbl>
            <c:dLbl>
              <c:idx val="9"/>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F-0B9D-402E-8F11-750FDC88BEEF}"/>
                </c:ext>
              </c:extLst>
            </c:dLbl>
            <c:dLbl>
              <c:idx val="10"/>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0-0B9D-402E-8F11-750FDC88BEEF}"/>
                </c:ext>
              </c:extLst>
            </c:dLbl>
            <c:dLbl>
              <c:idx val="11"/>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1-0B9D-402E-8F11-750FDC88BEEF}"/>
                </c:ext>
              </c:extLst>
            </c:dLbl>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rgbClr val="455177"/>
                    </a:solidFill>
                    <a:latin typeface="+mn-lt"/>
                    <a:ea typeface="+mn-ea"/>
                    <a:cs typeface="+mn-cs"/>
                  </a:defRPr>
                </a:pPr>
                <a:endParaRPr lang="ru-RU"/>
              </a:p>
            </c:txPr>
            <c:dLblPos val="t"/>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f>Processing!$A$18:$A$29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Processing!$G$18:$G$29</c:f>
              <c:numCache>
                <c:formatCode>General</c:formatCode>
                <c:ptCount val="12"/>
                <c:pt idx="0">
                  <c:v>#N/A</c:v>
                </c:pt>
                <c:pt idx="1">
                  <c:v>#N/A</c:v>
                </c:pt>
                <c:pt idx="2">
                  <c:v>#N/A</c:v>
                </c:pt>
                <c:pt idx="3">
                  <c:v>5083.05</c:v>
                </c:pt>
                <c:pt idx="4">
                  <c:v>4868.05</c:v>
                </c:pt>
                <c:pt idx="5">
                  <c:v>3308.05</c:v>
                </c:pt>
                <c:pt idx="6">
                  <c:v>#N/A</c:v>
                </c:pt>
                <c:pt idx="7">
                  <c:v>#N/A</c:v>
                </c:pt>
                <c:pt idx="8">
                  <c:v>#N/A</c:v>
                </c:pt>
                <c:pt idx="9">
                  <c:v>#N/A</c:v>
                </c:pt>
                <c:pt idx="10">
                  <c:v>#N/A</c:v>
                </c:pt>
                <c:pt idx="11">
                  <c:v>#N/A</c:v>
                </c:pt>
              </c:numCache>
            </c:numRef>
          </c:val>
          <c:smooth val="0"/>
          <c:extLst>
            <c:ext xmlns:c15="http://schemas.microsoft.com/office/drawing/2012/chart" uri="{02D57815-91ED-43cb-92C2-25804820EDAC}">
              <c15:datalabelsRange>
                <c15:f>Processing!$H$18:$H$29</c15:f>
                <c15:dlblRangeCache>
                  <c:ptCount val="12"/>
                  <c:pt idx="0">
                    <c:v>#N/A</c:v>
                  </c:pt>
                  <c:pt idx="1">
                    <c:v>#N/A</c:v>
                  </c:pt>
                  <c:pt idx="2">
                    <c:v>#N/A</c:v>
                  </c:pt>
                  <c:pt idx="3">
                    <c:v>5k</c:v>
                  </c:pt>
                  <c:pt idx="4">
                    <c:v>5k</c:v>
                  </c:pt>
                  <c:pt idx="5">
                    <c:v>3k</c:v>
                  </c:pt>
                  <c:pt idx="6">
                    <c:v>#N/A</c:v>
                  </c:pt>
                  <c:pt idx="7">
                    <c:v>#N/A</c:v>
                  </c:pt>
                  <c:pt idx="8">
                    <c:v>#N/A</c:v>
                  </c:pt>
                  <c:pt idx="9">
                    <c:v>#N/A</c:v>
                  </c:pt>
                  <c:pt idx="10">
                    <c:v>#N/A</c:v>
                  </c:pt>
                  <c:pt idx="11">
                    <c:v>#N/A</c:v>
                  </c:pt>
                </c15:dlblRangeCache>
              </c15:datalabelsRange>
            </c:ext>
            <c:ext xmlns:c16="http://schemas.microsoft.com/office/drawing/2014/chart" uri="{C3380CC4-5D6E-409C-BE32-E72D297353CC}">
              <c16:uniqueId val="{00000012-0B9D-402E-8F11-750FDC88BEEF}"/>
            </c:ext>
          </c:extLst>
        </c:ser>
        <c:dLbls>
          <c:showLegendKey val="0"/>
          <c:showVal val="0"/>
          <c:showCatName val="0"/>
          <c:showSerName val="0"/>
          <c:showPercent val="0"/>
          <c:showBubbleSize val="0"/>
        </c:dLbls>
        <c:marker val="1"/>
        <c:smooth val="0"/>
        <c:axId val="1217850336"/>
        <c:axId val="1217876256"/>
      </c:lineChart>
      <c:catAx>
        <c:axId val="1217850336"/>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1217876256"/>
        <c:crosses val="autoZero"/>
        <c:auto val="1"/>
        <c:lblAlgn val="ctr"/>
        <c:lblOffset val="100"/>
        <c:noMultiLvlLbl val="0"/>
      </c:catAx>
      <c:valAx>
        <c:axId val="1217876256"/>
        <c:scaling>
          <c:orientation val="minMax"/>
        </c:scaling>
        <c:delete val="0"/>
        <c:axPos val="l"/>
        <c:majorGridlines>
          <c:spPr>
            <a:ln w="9525" cap="flat" cmpd="sng" algn="ctr">
              <a:solidFill>
                <a:srgbClr val="ABB5E2">
                  <a:alpha val="25000"/>
                </a:srgb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455177"/>
                </a:solidFill>
                <a:latin typeface="+mn-lt"/>
                <a:ea typeface="+mn-ea"/>
                <a:cs typeface="+mn-cs"/>
              </a:defRPr>
            </a:pPr>
            <a:endParaRPr lang="ru-RU"/>
          </a:p>
        </c:txPr>
        <c:crossAx val="1217850336"/>
        <c:crosses val="autoZero"/>
        <c:crossBetween val="between"/>
      </c:valAx>
      <c:valAx>
        <c:axId val="1217884416"/>
        <c:scaling>
          <c:orientation val="minMax"/>
        </c:scaling>
        <c:delete val="1"/>
        <c:axPos val="r"/>
        <c:numFmt formatCode="General" sourceLinked="1"/>
        <c:majorTickMark val="out"/>
        <c:minorTickMark val="none"/>
        <c:tickLblPos val="nextTo"/>
        <c:crossAx val="1217885856"/>
        <c:crosses val="max"/>
        <c:crossBetween val="between"/>
      </c:valAx>
      <c:catAx>
        <c:axId val="1217885856"/>
        <c:scaling>
          <c:orientation val="minMax"/>
        </c:scaling>
        <c:delete val="1"/>
        <c:axPos val="b"/>
        <c:numFmt formatCode="General" sourceLinked="1"/>
        <c:majorTickMark val="out"/>
        <c:minorTickMark val="none"/>
        <c:tickLblPos val="nextTo"/>
        <c:crossAx val="1217884416"/>
        <c:crosses val="autoZero"/>
        <c:auto val="1"/>
        <c:lblAlgn val="ctr"/>
        <c:lblOffset val="100"/>
        <c:noMultiLvlLbl val="0"/>
      </c:catAx>
      <c:spPr>
        <a:noFill/>
      </c:spPr>
    </c:plotArea>
    <c:plotVisOnly val="1"/>
    <c:dispBlanksAs val="gap"/>
    <c:showDLblsOverMax val="0"/>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3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711001086985339"/>
          <c:y val="8.9869281045751634E-2"/>
          <c:w val="0.66877483117640601"/>
          <c:h val="0.8202614379084967"/>
        </c:manualLayout>
      </c:layout>
      <c:barChart>
        <c:barDir val="bar"/>
        <c:grouping val="stacked"/>
        <c:varyColors val="0"/>
        <c:ser>
          <c:idx val="1"/>
          <c:order val="0"/>
          <c:tx>
            <c:strRef>
              <c:f>Processing!$E$33</c:f>
              <c:strCache>
                <c:ptCount val="1"/>
                <c:pt idx="0">
                  <c:v>indent</c:v>
                </c:pt>
              </c:strCache>
            </c:strRef>
          </c:tx>
          <c:spPr>
            <a:noFill/>
            <a:ln>
              <a:noFill/>
            </a:ln>
            <a:effectLst/>
          </c:spPr>
          <c:invertIfNegative val="0"/>
          <c:cat>
            <c:strRef>
              <c:f>Processing!$D$34:$D$37</c:f>
              <c:strCache>
                <c:ptCount val="4"/>
                <c:pt idx="0">
                  <c:v>Savings</c:v>
                </c:pt>
                <c:pt idx="1">
                  <c:v>Salary</c:v>
                </c:pt>
                <c:pt idx="2">
                  <c:v>Side Job</c:v>
                </c:pt>
                <c:pt idx="3">
                  <c:v>Stock</c:v>
                </c:pt>
              </c:strCache>
            </c:strRef>
          </c:cat>
          <c:val>
            <c:numRef>
              <c:f>Processing!$E$34:$E$37</c:f>
              <c:numCache>
                <c:formatCode>General</c:formatCode>
                <c:ptCount val="4"/>
                <c:pt idx="0">
                  <c:v>271.18</c:v>
                </c:pt>
                <c:pt idx="1">
                  <c:v>271.18</c:v>
                </c:pt>
                <c:pt idx="2">
                  <c:v>271.18</c:v>
                </c:pt>
                <c:pt idx="3">
                  <c:v>271.18</c:v>
                </c:pt>
              </c:numCache>
            </c:numRef>
          </c:val>
          <c:extLst>
            <c:ext xmlns:c16="http://schemas.microsoft.com/office/drawing/2014/chart" uri="{C3380CC4-5D6E-409C-BE32-E72D297353CC}">
              <c16:uniqueId val="{00000000-4525-4668-B38D-DC2CC938A410}"/>
            </c:ext>
          </c:extLst>
        </c:ser>
        <c:ser>
          <c:idx val="0"/>
          <c:order val="1"/>
          <c:tx>
            <c:strRef>
              <c:f>Processing!$F$33</c:f>
              <c:strCache>
                <c:ptCount val="1"/>
                <c:pt idx="0">
                  <c:v>Rank</c:v>
                </c:pt>
              </c:strCache>
            </c:strRef>
          </c:tx>
          <c:spPr>
            <a:solidFill>
              <a:schemeClr val="accent1"/>
            </a:solidFill>
            <a:ln w="101600">
              <a:gradFill>
                <a:gsLst>
                  <a:gs pos="0">
                    <a:srgbClr val="00C8D2"/>
                  </a:gs>
                  <a:gs pos="100000">
                    <a:srgbClr val="178BFF"/>
                  </a:gs>
                </a:gsLst>
                <a:lin ang="5400000" scaled="1"/>
              </a:gradFill>
            </a:ln>
            <a:effectLst/>
          </c:spPr>
          <c:invertIfNegative val="0"/>
          <c:cat>
            <c:strRef>
              <c:f>Processing!$D$34:$D$37</c:f>
              <c:strCache>
                <c:ptCount val="4"/>
                <c:pt idx="0">
                  <c:v>Savings</c:v>
                </c:pt>
                <c:pt idx="1">
                  <c:v>Salary</c:v>
                </c:pt>
                <c:pt idx="2">
                  <c:v>Side Job</c:v>
                </c:pt>
                <c:pt idx="3">
                  <c:v>Stock</c:v>
                </c:pt>
              </c:strCache>
            </c:strRef>
          </c:cat>
          <c:val>
            <c:numRef>
              <c:f>Processing!$F$34:$F$37</c:f>
              <c:numCache>
                <c:formatCode>General</c:formatCode>
                <c:ptCount val="4"/>
                <c:pt idx="0">
                  <c:v>3874</c:v>
                </c:pt>
                <c:pt idx="1">
                  <c:v>3546</c:v>
                </c:pt>
                <c:pt idx="2">
                  <c:v>2607</c:v>
                </c:pt>
                <c:pt idx="3">
                  <c:v>2506</c:v>
                </c:pt>
              </c:numCache>
            </c:numRef>
          </c:val>
          <c:extLst>
            <c:ext xmlns:c16="http://schemas.microsoft.com/office/drawing/2014/chart" uri="{C3380CC4-5D6E-409C-BE32-E72D297353CC}">
              <c16:uniqueId val="{00000001-4525-4668-B38D-DC2CC938A410}"/>
            </c:ext>
          </c:extLst>
        </c:ser>
        <c:dLbls>
          <c:showLegendKey val="0"/>
          <c:showVal val="0"/>
          <c:showCatName val="0"/>
          <c:showSerName val="0"/>
          <c:showPercent val="0"/>
          <c:showBubbleSize val="0"/>
        </c:dLbls>
        <c:gapWidth val="300"/>
        <c:overlap val="100"/>
        <c:axId val="1547179375"/>
        <c:axId val="1547170255"/>
      </c:barChart>
      <c:catAx>
        <c:axId val="1547179375"/>
        <c:scaling>
          <c:orientation val="maxMin"/>
        </c:scaling>
        <c:delete val="0"/>
        <c:axPos val="l"/>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rgbClr val="455177"/>
                </a:solidFill>
                <a:latin typeface="+mn-lt"/>
                <a:ea typeface="+mn-ea"/>
                <a:cs typeface="+mn-cs"/>
              </a:defRPr>
            </a:pPr>
            <a:endParaRPr lang="ru-RU"/>
          </a:p>
        </c:txPr>
        <c:crossAx val="1547170255"/>
        <c:crosses val="autoZero"/>
        <c:auto val="1"/>
        <c:lblAlgn val="ctr"/>
        <c:lblOffset val="100"/>
        <c:noMultiLvlLbl val="0"/>
      </c:catAx>
      <c:valAx>
        <c:axId val="1547170255"/>
        <c:scaling>
          <c:orientation val="minMax"/>
          <c:min val="0"/>
        </c:scaling>
        <c:delete val="1"/>
        <c:axPos val="t"/>
        <c:numFmt formatCode="General" sourceLinked="1"/>
        <c:majorTickMark val="out"/>
        <c:minorTickMark val="none"/>
        <c:tickLblPos val="nextTo"/>
        <c:crossAx val="1547179375"/>
        <c:crosses val="autoZero"/>
        <c:crossBetween val="between"/>
      </c:valAx>
      <c:spPr>
        <a:noFill/>
      </c:spPr>
    </c:plotArea>
    <c:plotVisOnly val="1"/>
    <c:dispBlanksAs val="gap"/>
    <c:showDLblsOverMax val="0"/>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3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areaChart>
        <c:grouping val="standard"/>
        <c:varyColors val="0"/>
        <c:ser>
          <c:idx val="0"/>
          <c:order val="0"/>
          <c:tx>
            <c:strRef>
              <c:f>Processing!$B$40</c:f>
              <c:strCache>
                <c:ptCount val="1"/>
                <c:pt idx="0">
                  <c:v>Income</c:v>
                </c:pt>
              </c:strCache>
            </c:strRef>
          </c:tx>
          <c:spPr>
            <a:gradFill flip="none" rotWithShape="1">
              <a:gsLst>
                <a:gs pos="0">
                  <a:srgbClr val="00C8D2"/>
                </a:gs>
                <a:gs pos="100000">
                  <a:srgbClr val="178BFF"/>
                </a:gs>
              </a:gsLst>
              <a:lin ang="5400000" scaled="0"/>
              <a:tileRect/>
            </a:gradFill>
            <a:ln>
              <a:noFill/>
            </a:ln>
            <a:effectLst/>
          </c:spPr>
          <c:val>
            <c:numRef>
              <c:f>Processing!$B$41:$B$44</c:f>
              <c:numCache>
                <c:formatCode>General</c:formatCode>
                <c:ptCount val="4"/>
                <c:pt idx="0">
                  <c:v>37965</c:v>
                </c:pt>
                <c:pt idx="1">
                  <c:v>44200</c:v>
                </c:pt>
                <c:pt idx="2">
                  <c:v>38780</c:v>
                </c:pt>
                <c:pt idx="3">
                  <c:v>53560</c:v>
                </c:pt>
              </c:numCache>
            </c:numRef>
          </c:val>
          <c:extLst>
            <c:ext xmlns:c16="http://schemas.microsoft.com/office/drawing/2014/chart" uri="{C3380CC4-5D6E-409C-BE32-E72D297353CC}">
              <c16:uniqueId val="{00000004-E85A-4DC3-A214-34F7DEA5A0E4}"/>
            </c:ext>
          </c:extLst>
        </c:ser>
        <c:dLbls>
          <c:showLegendKey val="0"/>
          <c:showVal val="0"/>
          <c:showCatName val="0"/>
          <c:showSerName val="0"/>
          <c:showPercent val="0"/>
          <c:showBubbleSize val="0"/>
        </c:dLbls>
        <c:axId val="1547119375"/>
        <c:axId val="1547116975"/>
      </c:areaChart>
      <c:lineChart>
        <c:grouping val="standard"/>
        <c:varyColors val="0"/>
        <c:ser>
          <c:idx val="1"/>
          <c:order val="1"/>
          <c:spPr>
            <a:ln w="25400" cap="rnd">
              <a:solidFill>
                <a:srgbClr val="178BFF"/>
              </a:solidFill>
              <a:round/>
            </a:ln>
            <a:effectLst/>
          </c:spPr>
          <c:marker>
            <c:symbol val="none"/>
          </c:marker>
          <c:val>
            <c:numRef>
              <c:f>Processing!$B$41:$B$44</c:f>
              <c:numCache>
                <c:formatCode>General</c:formatCode>
                <c:ptCount val="4"/>
                <c:pt idx="0">
                  <c:v>37965</c:v>
                </c:pt>
                <c:pt idx="1">
                  <c:v>44200</c:v>
                </c:pt>
                <c:pt idx="2">
                  <c:v>38780</c:v>
                </c:pt>
                <c:pt idx="3">
                  <c:v>53560</c:v>
                </c:pt>
              </c:numCache>
            </c:numRef>
          </c:val>
          <c:smooth val="0"/>
          <c:extLst>
            <c:ext xmlns:c16="http://schemas.microsoft.com/office/drawing/2014/chart" uri="{C3380CC4-5D6E-409C-BE32-E72D297353CC}">
              <c16:uniqueId val="{00000006-E85A-4DC3-A214-34F7DEA5A0E4}"/>
            </c:ext>
          </c:extLst>
        </c:ser>
        <c:dLbls>
          <c:showLegendKey val="0"/>
          <c:showVal val="0"/>
          <c:showCatName val="0"/>
          <c:showSerName val="0"/>
          <c:showPercent val="0"/>
          <c:showBubbleSize val="0"/>
        </c:dLbls>
        <c:marker val="1"/>
        <c:smooth val="0"/>
        <c:axId val="1547119375"/>
        <c:axId val="1547116975"/>
      </c:lineChart>
      <c:scatterChart>
        <c:scatterStyle val="lineMarker"/>
        <c:varyColors val="0"/>
        <c:ser>
          <c:idx val="2"/>
          <c:order val="2"/>
          <c:tx>
            <c:strRef>
              <c:f>Processing!$C$40</c:f>
              <c:strCache>
                <c:ptCount val="1"/>
                <c:pt idx="0">
                  <c:v>Cursor</c:v>
                </c:pt>
              </c:strCache>
            </c:strRef>
          </c:tx>
          <c:spPr>
            <a:ln w="25400" cap="rnd">
              <a:noFill/>
              <a:round/>
            </a:ln>
            <a:effectLst>
              <a:outerShdw blurRad="50800" dist="38100" dir="5400000" algn="t" rotWithShape="0">
                <a:srgbClr val="1959AF">
                  <a:alpha val="40000"/>
                </a:srgbClr>
              </a:outerShdw>
            </a:effectLst>
          </c:spPr>
          <c:marker>
            <c:symbol val="circle"/>
            <c:size val="7"/>
            <c:spPr>
              <a:solidFill>
                <a:schemeClr val="bg1"/>
              </a:solidFill>
              <a:ln w="12700">
                <a:solidFill>
                  <a:srgbClr val="4B5792"/>
                </a:solidFill>
              </a:ln>
              <a:effectLst>
                <a:outerShdw blurRad="50800" dist="38100" dir="5400000" algn="t" rotWithShape="0">
                  <a:srgbClr val="1959AF">
                    <a:alpha val="40000"/>
                  </a:srgbClr>
                </a:outerShdw>
              </a:effectLst>
            </c:spPr>
          </c:marker>
          <c:dLbls>
            <c:numFmt formatCode="[&gt;=1000]0,&quot;k&quot;;[&lt;=-1000]\-0,&quot;k&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455177"/>
                    </a:solidFill>
                    <a:latin typeface="+mn-lt"/>
                    <a:ea typeface="+mn-ea"/>
                    <a:cs typeface="+mn-cs"/>
                  </a:defRPr>
                </a:pPr>
                <a:endParaRPr lang="ru-RU"/>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yVal>
            <c:numRef>
              <c:f>Processing!$C$41:$C$44</c:f>
              <c:numCache>
                <c:formatCode>General</c:formatCode>
                <c:ptCount val="4"/>
                <c:pt idx="0">
                  <c:v>#N/A</c:v>
                </c:pt>
                <c:pt idx="1">
                  <c:v>44200</c:v>
                </c:pt>
                <c:pt idx="2">
                  <c:v>#N/A</c:v>
                </c:pt>
                <c:pt idx="3">
                  <c:v>#N/A</c:v>
                </c:pt>
              </c:numCache>
            </c:numRef>
          </c:yVal>
          <c:smooth val="0"/>
          <c:extLst>
            <c:ext xmlns:c16="http://schemas.microsoft.com/office/drawing/2014/chart" uri="{C3380CC4-5D6E-409C-BE32-E72D297353CC}">
              <c16:uniqueId val="{00000008-E85A-4DC3-A214-34F7DEA5A0E4}"/>
            </c:ext>
          </c:extLst>
        </c:ser>
        <c:dLbls>
          <c:showLegendKey val="0"/>
          <c:showVal val="0"/>
          <c:showCatName val="0"/>
          <c:showSerName val="0"/>
          <c:showPercent val="0"/>
          <c:showBubbleSize val="0"/>
        </c:dLbls>
        <c:axId val="1547119375"/>
        <c:axId val="1547116975"/>
      </c:scatterChart>
      <c:catAx>
        <c:axId val="1547119375"/>
        <c:scaling>
          <c:orientation val="minMax"/>
        </c:scaling>
        <c:delete val="1"/>
        <c:axPos val="b"/>
        <c:majorTickMark val="out"/>
        <c:minorTickMark val="none"/>
        <c:tickLblPos val="nextTo"/>
        <c:crossAx val="1547116975"/>
        <c:crosses val="autoZero"/>
        <c:auto val="1"/>
        <c:lblAlgn val="ctr"/>
        <c:lblOffset val="100"/>
        <c:noMultiLvlLbl val="0"/>
      </c:catAx>
      <c:valAx>
        <c:axId val="1547116975"/>
        <c:scaling>
          <c:orientation val="minMax"/>
        </c:scaling>
        <c:delete val="1"/>
        <c:axPos val="l"/>
        <c:numFmt formatCode="General" sourceLinked="1"/>
        <c:majorTickMark val="none"/>
        <c:minorTickMark val="none"/>
        <c:tickLblPos val="nextTo"/>
        <c:crossAx val="1547119375"/>
        <c:crosses val="autoZero"/>
        <c:crossBetween val="between"/>
      </c:valAx>
      <c:spPr>
        <a:noFill/>
      </c:spPr>
    </c:plotArea>
    <c:plotVisOnly val="1"/>
    <c:dispBlanksAs val="zero"/>
    <c:showDLblsOverMax val="0"/>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3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noFill/>
            <a:ln w="9525">
              <a:solidFill>
                <a:srgbClr val="ABB5E2">
                  <a:alpha val="70000"/>
                </a:srgbClr>
              </a:solidFill>
            </a:ln>
          </c:spPr>
          <c:dPt>
            <c:idx val="0"/>
            <c:bubble3D val="0"/>
            <c:spPr>
              <a:noFill/>
              <a:ln w="9525">
                <a:solidFill>
                  <a:srgbClr val="ABB5E2">
                    <a:alpha val="70000"/>
                  </a:srgbClr>
                </a:solidFill>
              </a:ln>
              <a:effectLst/>
            </c:spPr>
            <c:extLst>
              <c:ext xmlns:c16="http://schemas.microsoft.com/office/drawing/2014/chart" uri="{C3380CC4-5D6E-409C-BE32-E72D297353CC}">
                <c16:uniqueId val="{00000023-4402-4777-A95F-318C29CD312D}"/>
              </c:ext>
            </c:extLst>
          </c:dPt>
          <c:dPt>
            <c:idx val="1"/>
            <c:bubble3D val="0"/>
            <c:spPr>
              <a:noFill/>
              <a:ln w="9525">
                <a:solidFill>
                  <a:srgbClr val="ABB5E2">
                    <a:alpha val="70000"/>
                  </a:srgbClr>
                </a:solidFill>
              </a:ln>
              <a:effectLst/>
            </c:spPr>
            <c:extLst>
              <c:ext xmlns:c16="http://schemas.microsoft.com/office/drawing/2014/chart" uri="{C3380CC4-5D6E-409C-BE32-E72D297353CC}">
                <c16:uniqueId val="{00000025-4402-4777-A95F-318C29CD312D}"/>
              </c:ext>
            </c:extLst>
          </c:dPt>
          <c:dPt>
            <c:idx val="2"/>
            <c:bubble3D val="0"/>
            <c:spPr>
              <a:noFill/>
              <a:ln w="9525">
                <a:solidFill>
                  <a:srgbClr val="ABB5E2">
                    <a:alpha val="70000"/>
                  </a:srgbClr>
                </a:solidFill>
              </a:ln>
              <a:effectLst/>
            </c:spPr>
            <c:extLst>
              <c:ext xmlns:c16="http://schemas.microsoft.com/office/drawing/2014/chart" uri="{C3380CC4-5D6E-409C-BE32-E72D297353CC}">
                <c16:uniqueId val="{00000027-4402-4777-A95F-318C29CD312D}"/>
              </c:ext>
            </c:extLst>
          </c:dPt>
          <c:dPt>
            <c:idx val="3"/>
            <c:bubble3D val="0"/>
            <c:spPr>
              <a:noFill/>
              <a:ln w="9525">
                <a:solidFill>
                  <a:srgbClr val="ABB5E2">
                    <a:alpha val="70000"/>
                  </a:srgbClr>
                </a:solidFill>
              </a:ln>
              <a:effectLst/>
            </c:spPr>
            <c:extLst>
              <c:ext xmlns:c16="http://schemas.microsoft.com/office/drawing/2014/chart" uri="{C3380CC4-5D6E-409C-BE32-E72D297353CC}">
                <c16:uniqueId val="{00000029-4402-4777-A95F-318C29CD312D}"/>
              </c:ext>
            </c:extLst>
          </c:dPt>
          <c:dPt>
            <c:idx val="4"/>
            <c:bubble3D val="0"/>
            <c:spPr>
              <a:noFill/>
              <a:ln w="9525">
                <a:solidFill>
                  <a:srgbClr val="ABB5E2">
                    <a:alpha val="70000"/>
                  </a:srgbClr>
                </a:solidFill>
              </a:ln>
              <a:effectLst/>
            </c:spPr>
            <c:extLst>
              <c:ext xmlns:c16="http://schemas.microsoft.com/office/drawing/2014/chart" uri="{C3380CC4-5D6E-409C-BE32-E72D297353CC}">
                <c16:uniqueId val="{0000002B-4402-4777-A95F-318C29CD312D}"/>
              </c:ext>
            </c:extLst>
          </c:dPt>
          <c:val>
            <c:numRef>
              <c:f>Processing!$A$64:$E$64</c:f>
              <c:numCache>
                <c:formatCode>General</c:formatCode>
                <c:ptCount val="5"/>
                <c:pt idx="0">
                  <c:v>72</c:v>
                </c:pt>
                <c:pt idx="1">
                  <c:v>72</c:v>
                </c:pt>
                <c:pt idx="2">
                  <c:v>72</c:v>
                </c:pt>
                <c:pt idx="3">
                  <c:v>72</c:v>
                </c:pt>
                <c:pt idx="4">
                  <c:v>72</c:v>
                </c:pt>
              </c:numCache>
            </c:numRef>
          </c:val>
          <c:extLst>
            <c:ext xmlns:c16="http://schemas.microsoft.com/office/drawing/2014/chart" uri="{C3380CC4-5D6E-409C-BE32-E72D297353CC}">
              <c16:uniqueId val="{0000002C-4402-4777-A95F-318C29CD312D}"/>
            </c:ext>
          </c:extLst>
        </c:ser>
        <c:ser>
          <c:idx val="1"/>
          <c:order val="1"/>
          <c:spPr>
            <a:noFill/>
            <a:ln w="9525">
              <a:solidFill>
                <a:srgbClr val="ABB5E2">
                  <a:alpha val="70000"/>
                </a:srgbClr>
              </a:solidFill>
            </a:ln>
          </c:spPr>
          <c:dPt>
            <c:idx val="0"/>
            <c:bubble3D val="0"/>
            <c:spPr>
              <a:noFill/>
              <a:ln w="9525">
                <a:solidFill>
                  <a:srgbClr val="ABB5E2">
                    <a:alpha val="70000"/>
                  </a:srgbClr>
                </a:solidFill>
              </a:ln>
              <a:effectLst/>
            </c:spPr>
            <c:extLst>
              <c:ext xmlns:c16="http://schemas.microsoft.com/office/drawing/2014/chart" uri="{C3380CC4-5D6E-409C-BE32-E72D297353CC}">
                <c16:uniqueId val="{0000002F-4402-4777-A95F-318C29CD312D}"/>
              </c:ext>
            </c:extLst>
          </c:dPt>
          <c:dPt>
            <c:idx val="1"/>
            <c:bubble3D val="0"/>
            <c:spPr>
              <a:noFill/>
              <a:ln w="9525">
                <a:solidFill>
                  <a:srgbClr val="ABB5E2">
                    <a:alpha val="70000"/>
                  </a:srgbClr>
                </a:solidFill>
              </a:ln>
              <a:effectLst/>
            </c:spPr>
            <c:extLst>
              <c:ext xmlns:c16="http://schemas.microsoft.com/office/drawing/2014/chart" uri="{C3380CC4-5D6E-409C-BE32-E72D297353CC}">
                <c16:uniqueId val="{00000031-4402-4777-A95F-318C29CD312D}"/>
              </c:ext>
            </c:extLst>
          </c:dPt>
          <c:dPt>
            <c:idx val="2"/>
            <c:bubble3D val="0"/>
            <c:spPr>
              <a:noFill/>
              <a:ln w="9525">
                <a:solidFill>
                  <a:srgbClr val="ABB5E2">
                    <a:alpha val="70000"/>
                  </a:srgbClr>
                </a:solidFill>
              </a:ln>
              <a:effectLst/>
            </c:spPr>
            <c:extLst>
              <c:ext xmlns:c16="http://schemas.microsoft.com/office/drawing/2014/chart" uri="{C3380CC4-5D6E-409C-BE32-E72D297353CC}">
                <c16:uniqueId val="{00000033-4402-4777-A95F-318C29CD312D}"/>
              </c:ext>
            </c:extLst>
          </c:dPt>
          <c:dPt>
            <c:idx val="3"/>
            <c:bubble3D val="0"/>
            <c:spPr>
              <a:noFill/>
              <a:ln w="9525">
                <a:solidFill>
                  <a:srgbClr val="ABB5E2">
                    <a:alpha val="70000"/>
                  </a:srgbClr>
                </a:solidFill>
              </a:ln>
              <a:effectLst/>
            </c:spPr>
            <c:extLst>
              <c:ext xmlns:c16="http://schemas.microsoft.com/office/drawing/2014/chart" uri="{C3380CC4-5D6E-409C-BE32-E72D297353CC}">
                <c16:uniqueId val="{00000035-4402-4777-A95F-318C29CD312D}"/>
              </c:ext>
            </c:extLst>
          </c:dPt>
          <c:dPt>
            <c:idx val="4"/>
            <c:bubble3D val="0"/>
            <c:spPr>
              <a:noFill/>
              <a:ln w="9525">
                <a:solidFill>
                  <a:srgbClr val="ABB5E2">
                    <a:alpha val="70000"/>
                  </a:srgbClr>
                </a:solidFill>
              </a:ln>
              <a:effectLst/>
            </c:spPr>
            <c:extLst>
              <c:ext xmlns:c16="http://schemas.microsoft.com/office/drawing/2014/chart" uri="{C3380CC4-5D6E-409C-BE32-E72D297353CC}">
                <c16:uniqueId val="{00000037-4402-4777-A95F-318C29CD312D}"/>
              </c:ext>
            </c:extLst>
          </c:dPt>
          <c:val>
            <c:numRef>
              <c:f>Processing!$A$65:$E$65</c:f>
              <c:numCache>
                <c:formatCode>General</c:formatCode>
                <c:ptCount val="5"/>
                <c:pt idx="0">
                  <c:v>72</c:v>
                </c:pt>
                <c:pt idx="1">
                  <c:v>72</c:v>
                </c:pt>
                <c:pt idx="2">
                  <c:v>72</c:v>
                </c:pt>
                <c:pt idx="3">
                  <c:v>72</c:v>
                </c:pt>
                <c:pt idx="4">
                  <c:v>72</c:v>
                </c:pt>
              </c:numCache>
            </c:numRef>
          </c:val>
          <c:extLst>
            <c:ext xmlns:c16="http://schemas.microsoft.com/office/drawing/2014/chart" uri="{C3380CC4-5D6E-409C-BE32-E72D297353CC}">
              <c16:uniqueId val="{00000038-4402-4777-A95F-318C29CD312D}"/>
            </c:ext>
          </c:extLst>
        </c:ser>
        <c:ser>
          <c:idx val="2"/>
          <c:order val="2"/>
          <c:spPr>
            <a:noFill/>
            <a:ln w="9525">
              <a:solidFill>
                <a:srgbClr val="ABB5E2"/>
              </a:solidFill>
            </a:ln>
          </c:spPr>
          <c:dPt>
            <c:idx val="0"/>
            <c:bubble3D val="0"/>
            <c:spPr>
              <a:noFill/>
              <a:ln w="9525">
                <a:solidFill>
                  <a:srgbClr val="ABB5E2"/>
                </a:solidFill>
              </a:ln>
              <a:effectLst/>
            </c:spPr>
            <c:extLst>
              <c:ext xmlns:c16="http://schemas.microsoft.com/office/drawing/2014/chart" uri="{C3380CC4-5D6E-409C-BE32-E72D297353CC}">
                <c16:uniqueId val="{0000003B-4402-4777-A95F-318C29CD312D}"/>
              </c:ext>
            </c:extLst>
          </c:dPt>
          <c:dPt>
            <c:idx val="1"/>
            <c:bubble3D val="0"/>
            <c:spPr>
              <a:noFill/>
              <a:ln w="9525">
                <a:solidFill>
                  <a:srgbClr val="ABB5E2"/>
                </a:solidFill>
              </a:ln>
              <a:effectLst/>
            </c:spPr>
            <c:extLst>
              <c:ext xmlns:c16="http://schemas.microsoft.com/office/drawing/2014/chart" uri="{C3380CC4-5D6E-409C-BE32-E72D297353CC}">
                <c16:uniqueId val="{0000003D-4402-4777-A95F-318C29CD312D}"/>
              </c:ext>
            </c:extLst>
          </c:dPt>
          <c:dPt>
            <c:idx val="2"/>
            <c:bubble3D val="0"/>
            <c:spPr>
              <a:noFill/>
              <a:ln w="9525">
                <a:solidFill>
                  <a:srgbClr val="ABB5E2"/>
                </a:solidFill>
              </a:ln>
              <a:effectLst/>
            </c:spPr>
            <c:extLst>
              <c:ext xmlns:c16="http://schemas.microsoft.com/office/drawing/2014/chart" uri="{C3380CC4-5D6E-409C-BE32-E72D297353CC}">
                <c16:uniqueId val="{0000003F-4402-4777-A95F-318C29CD312D}"/>
              </c:ext>
            </c:extLst>
          </c:dPt>
          <c:dPt>
            <c:idx val="3"/>
            <c:bubble3D val="0"/>
            <c:spPr>
              <a:noFill/>
              <a:ln w="9525">
                <a:solidFill>
                  <a:srgbClr val="ABB5E2"/>
                </a:solidFill>
              </a:ln>
              <a:effectLst/>
            </c:spPr>
            <c:extLst>
              <c:ext xmlns:c16="http://schemas.microsoft.com/office/drawing/2014/chart" uri="{C3380CC4-5D6E-409C-BE32-E72D297353CC}">
                <c16:uniqueId val="{00000041-4402-4777-A95F-318C29CD312D}"/>
              </c:ext>
            </c:extLst>
          </c:dPt>
          <c:dPt>
            <c:idx val="4"/>
            <c:bubble3D val="0"/>
            <c:spPr>
              <a:noFill/>
              <a:ln w="9525">
                <a:solidFill>
                  <a:srgbClr val="ABB5E2"/>
                </a:solidFill>
              </a:ln>
              <a:effectLst/>
            </c:spPr>
            <c:extLst>
              <c:ext xmlns:c16="http://schemas.microsoft.com/office/drawing/2014/chart" uri="{C3380CC4-5D6E-409C-BE32-E72D297353CC}">
                <c16:uniqueId val="{00000043-4402-4777-A95F-318C29CD312D}"/>
              </c:ext>
            </c:extLst>
          </c:dPt>
          <c:val>
            <c:numRef>
              <c:f>Processing!$A$66:$E$66</c:f>
              <c:numCache>
                <c:formatCode>General</c:formatCode>
                <c:ptCount val="5"/>
                <c:pt idx="0">
                  <c:v>72</c:v>
                </c:pt>
                <c:pt idx="1">
                  <c:v>72</c:v>
                </c:pt>
                <c:pt idx="2">
                  <c:v>72</c:v>
                </c:pt>
                <c:pt idx="3">
                  <c:v>72</c:v>
                </c:pt>
                <c:pt idx="4">
                  <c:v>72</c:v>
                </c:pt>
              </c:numCache>
            </c:numRef>
          </c:val>
          <c:extLst>
            <c:ext xmlns:c16="http://schemas.microsoft.com/office/drawing/2014/chart" uri="{C3380CC4-5D6E-409C-BE32-E72D297353CC}">
              <c16:uniqueId val="{00000044-4402-4777-A95F-318C29CD312D}"/>
            </c:ext>
          </c:extLst>
        </c:ser>
        <c:dLbls>
          <c:showLegendKey val="0"/>
          <c:showVal val="0"/>
          <c:showCatName val="0"/>
          <c:showSerName val="0"/>
          <c:showPercent val="0"/>
          <c:showBubbleSize val="0"/>
          <c:showLeaderLines val="1"/>
        </c:dLbls>
        <c:firstSliceAng val="0"/>
        <c:holeSize val="20"/>
      </c:doughnutChart>
    </c:plotArea>
    <c:plotVisOnly val="1"/>
    <c:dispBlanksAs val="gap"/>
    <c:showDLblsOverMax val="0"/>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4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radarChart>
        <c:radarStyle val="marker"/>
        <c:varyColors val="0"/>
        <c:ser>
          <c:idx val="0"/>
          <c:order val="0"/>
          <c:tx>
            <c:strRef>
              <c:f>Processing!$D$51</c:f>
              <c:strCache>
                <c:ptCount val="1"/>
                <c:pt idx="0">
                  <c:v>Entertainment</c:v>
                </c:pt>
              </c:strCache>
            </c:strRef>
          </c:tx>
          <c:spPr>
            <a:ln w="25400" cap="rnd">
              <a:solidFill>
                <a:srgbClr val="00C8D2"/>
              </a:solidFill>
              <a:round/>
            </a:ln>
            <a:effectLst/>
          </c:spPr>
          <c:marker>
            <c:symbol val="circle"/>
            <c:size val="7"/>
            <c:spPr>
              <a:solidFill>
                <a:srgbClr val="00C8D2"/>
              </a:solidFill>
              <a:ln w="9525">
                <a:noFill/>
              </a:ln>
              <a:effectLst/>
            </c:spPr>
          </c:marker>
          <c:cat>
            <c:strRef>
              <c:f>Processing!$C$52:$C$56</c:f>
              <c:strCache>
                <c:ptCount val="5"/>
                <c:pt idx="0">
                  <c:v>E</c:v>
                </c:pt>
                <c:pt idx="1">
                  <c:v>F</c:v>
                </c:pt>
                <c:pt idx="2">
                  <c:v>H</c:v>
                </c:pt>
                <c:pt idx="3">
                  <c:v>L</c:v>
                </c:pt>
                <c:pt idx="4">
                  <c:v>S</c:v>
                </c:pt>
              </c:strCache>
            </c:strRef>
          </c:cat>
          <c:val>
            <c:numRef>
              <c:f>Processing!$D$52:$D$56</c:f>
              <c:numCache>
                <c:formatCode>General</c:formatCode>
                <c:ptCount val="5"/>
                <c:pt idx="0">
                  <c:v>#N/A</c:v>
                </c:pt>
                <c:pt idx="1">
                  <c:v>#N/A</c:v>
                </c:pt>
                <c:pt idx="2">
                  <c:v>#N/A</c:v>
                </c:pt>
                <c:pt idx="3">
                  <c:v>#N/A</c:v>
                </c:pt>
                <c:pt idx="4">
                  <c:v>#N/A</c:v>
                </c:pt>
              </c:numCache>
            </c:numRef>
          </c:val>
          <c:extLst>
            <c:ext xmlns:c16="http://schemas.microsoft.com/office/drawing/2014/chart" uri="{C3380CC4-5D6E-409C-BE32-E72D297353CC}">
              <c16:uniqueId val="{00000000-FB9D-41DD-A544-C2AF7A767E44}"/>
            </c:ext>
          </c:extLst>
        </c:ser>
        <c:ser>
          <c:idx val="1"/>
          <c:order val="1"/>
          <c:tx>
            <c:strRef>
              <c:f>Processing!$E$51</c:f>
              <c:strCache>
                <c:ptCount val="1"/>
                <c:pt idx="0">
                  <c:v>FoodCourt</c:v>
                </c:pt>
              </c:strCache>
            </c:strRef>
          </c:tx>
          <c:spPr>
            <a:ln w="25400" cap="rnd">
              <a:solidFill>
                <a:srgbClr val="3879F2"/>
              </a:solidFill>
              <a:round/>
            </a:ln>
            <a:effectLst/>
          </c:spPr>
          <c:marker>
            <c:symbol val="circle"/>
            <c:size val="7"/>
            <c:spPr>
              <a:solidFill>
                <a:srgbClr val="2069F0"/>
              </a:solidFill>
              <a:ln w="9525">
                <a:noFill/>
              </a:ln>
              <a:effectLst/>
            </c:spPr>
          </c:marker>
          <c:cat>
            <c:strRef>
              <c:f>Processing!$C$52:$C$56</c:f>
              <c:strCache>
                <c:ptCount val="5"/>
                <c:pt idx="0">
                  <c:v>E</c:v>
                </c:pt>
                <c:pt idx="1">
                  <c:v>F</c:v>
                </c:pt>
                <c:pt idx="2">
                  <c:v>H</c:v>
                </c:pt>
                <c:pt idx="3">
                  <c:v>L</c:v>
                </c:pt>
                <c:pt idx="4">
                  <c:v>S</c:v>
                </c:pt>
              </c:strCache>
            </c:strRef>
          </c:cat>
          <c:val>
            <c:numRef>
              <c:f>Processing!$E$52:$E$56</c:f>
              <c:numCache>
                <c:formatCode>General</c:formatCode>
                <c:ptCount val="5"/>
                <c:pt idx="0">
                  <c:v>342</c:v>
                </c:pt>
                <c:pt idx="1">
                  <c:v>298</c:v>
                </c:pt>
                <c:pt idx="2">
                  <c:v>319</c:v>
                </c:pt>
                <c:pt idx="3">
                  <c:v>314</c:v>
                </c:pt>
                <c:pt idx="4">
                  <c:v>322</c:v>
                </c:pt>
              </c:numCache>
            </c:numRef>
          </c:val>
          <c:extLst>
            <c:ext xmlns:c16="http://schemas.microsoft.com/office/drawing/2014/chart" uri="{C3380CC4-5D6E-409C-BE32-E72D297353CC}">
              <c16:uniqueId val="{00000001-FB9D-41DD-A544-C2AF7A767E44}"/>
            </c:ext>
          </c:extLst>
        </c:ser>
        <c:ser>
          <c:idx val="2"/>
          <c:order val="2"/>
          <c:tx>
            <c:strRef>
              <c:f>Processing!$F$51</c:f>
              <c:strCache>
                <c:ptCount val="1"/>
                <c:pt idx="0">
                  <c:v>Supermarket</c:v>
                </c:pt>
              </c:strCache>
            </c:strRef>
          </c:tx>
          <c:spPr>
            <a:ln w="25400" cap="rnd">
              <a:solidFill>
                <a:srgbClr val="FF5C6D"/>
              </a:solidFill>
              <a:round/>
            </a:ln>
            <a:effectLst/>
          </c:spPr>
          <c:marker>
            <c:symbol val="circle"/>
            <c:size val="7"/>
            <c:spPr>
              <a:solidFill>
                <a:srgbClr val="FF5C6D"/>
              </a:solidFill>
              <a:ln w="9525">
                <a:noFill/>
              </a:ln>
              <a:effectLst/>
            </c:spPr>
          </c:marker>
          <c:cat>
            <c:strRef>
              <c:f>Processing!$C$52:$C$56</c:f>
              <c:strCache>
                <c:ptCount val="5"/>
                <c:pt idx="0">
                  <c:v>E</c:v>
                </c:pt>
                <c:pt idx="1">
                  <c:v>F</c:v>
                </c:pt>
                <c:pt idx="2">
                  <c:v>H</c:v>
                </c:pt>
                <c:pt idx="3">
                  <c:v>L</c:v>
                </c:pt>
                <c:pt idx="4">
                  <c:v>S</c:v>
                </c:pt>
              </c:strCache>
            </c:strRef>
          </c:cat>
          <c:val>
            <c:numRef>
              <c:f>Processing!$F$52:$F$56</c:f>
              <c:numCache>
                <c:formatCode>General</c:formatCode>
                <c:ptCount val="5"/>
                <c:pt idx="0">
                  <c:v>524</c:v>
                </c:pt>
                <c:pt idx="1">
                  <c:v>550</c:v>
                </c:pt>
                <c:pt idx="2">
                  <c:v>498</c:v>
                </c:pt>
                <c:pt idx="3">
                  <c:v>406</c:v>
                </c:pt>
                <c:pt idx="4">
                  <c:v>509</c:v>
                </c:pt>
              </c:numCache>
            </c:numRef>
          </c:val>
          <c:extLst>
            <c:ext xmlns:c16="http://schemas.microsoft.com/office/drawing/2014/chart" uri="{C3380CC4-5D6E-409C-BE32-E72D297353CC}">
              <c16:uniqueId val="{00000002-FB9D-41DD-A544-C2AF7A767E44}"/>
            </c:ext>
          </c:extLst>
        </c:ser>
        <c:ser>
          <c:idx val="3"/>
          <c:order val="3"/>
          <c:tx>
            <c:strRef>
              <c:f>Processing!$G$51</c:f>
              <c:strCache>
                <c:ptCount val="1"/>
                <c:pt idx="0">
                  <c:v>Travel</c:v>
                </c:pt>
              </c:strCache>
            </c:strRef>
          </c:tx>
          <c:spPr>
            <a:ln w="25400" cap="rnd">
              <a:solidFill>
                <a:srgbClr val="00ADD6"/>
              </a:solidFill>
              <a:round/>
            </a:ln>
            <a:effectLst/>
          </c:spPr>
          <c:marker>
            <c:symbol val="circle"/>
            <c:size val="7"/>
            <c:spPr>
              <a:solidFill>
                <a:schemeClr val="accent4"/>
              </a:solidFill>
              <a:ln w="9525">
                <a:solidFill>
                  <a:schemeClr val="accent4"/>
                </a:solidFill>
              </a:ln>
              <a:effectLst/>
            </c:spPr>
          </c:marker>
          <c:cat>
            <c:strRef>
              <c:f>Processing!$C$52:$C$56</c:f>
              <c:strCache>
                <c:ptCount val="5"/>
                <c:pt idx="0">
                  <c:v>E</c:v>
                </c:pt>
                <c:pt idx="1">
                  <c:v>F</c:v>
                </c:pt>
                <c:pt idx="2">
                  <c:v>H</c:v>
                </c:pt>
                <c:pt idx="3">
                  <c:v>L</c:v>
                </c:pt>
                <c:pt idx="4">
                  <c:v>S</c:v>
                </c:pt>
              </c:strCache>
            </c:strRef>
          </c:cat>
          <c:val>
            <c:numRef>
              <c:f>Processing!$G$52:$G$56</c:f>
              <c:numCache>
                <c:formatCode>General</c:formatCode>
                <c:ptCount val="5"/>
                <c:pt idx="0">
                  <c:v>238</c:v>
                </c:pt>
                <c:pt idx="1">
                  <c:v>459</c:v>
                </c:pt>
                <c:pt idx="2">
                  <c:v>370</c:v>
                </c:pt>
                <c:pt idx="3">
                  <c:v>467</c:v>
                </c:pt>
                <c:pt idx="4">
                  <c:v>313</c:v>
                </c:pt>
              </c:numCache>
            </c:numRef>
          </c:val>
          <c:extLst>
            <c:ext xmlns:c16="http://schemas.microsoft.com/office/drawing/2014/chart" uri="{C3380CC4-5D6E-409C-BE32-E72D297353CC}">
              <c16:uniqueId val="{00000003-FB9D-41DD-A544-C2AF7A767E44}"/>
            </c:ext>
          </c:extLst>
        </c:ser>
        <c:ser>
          <c:idx val="4"/>
          <c:order val="4"/>
          <c:tx>
            <c:strRef>
              <c:f>Processing!$H$51</c:f>
              <c:strCache>
                <c:ptCount val="1"/>
                <c:pt idx="0">
                  <c:v>Workplace</c:v>
                </c:pt>
              </c:strCache>
            </c:strRef>
          </c:tx>
          <c:spPr>
            <a:ln w="25400" cap="rnd">
              <a:solidFill>
                <a:srgbClr val="6978B4"/>
              </a:solidFill>
              <a:round/>
            </a:ln>
            <a:effectLst/>
          </c:spPr>
          <c:marker>
            <c:symbol val="circle"/>
            <c:size val="7"/>
            <c:spPr>
              <a:solidFill>
                <a:srgbClr val="6978B4"/>
              </a:solidFill>
              <a:ln w="9525">
                <a:noFill/>
              </a:ln>
              <a:effectLst/>
            </c:spPr>
          </c:marker>
          <c:cat>
            <c:strRef>
              <c:f>Processing!$C$52:$C$56</c:f>
              <c:strCache>
                <c:ptCount val="5"/>
                <c:pt idx="0">
                  <c:v>E</c:v>
                </c:pt>
                <c:pt idx="1">
                  <c:v>F</c:v>
                </c:pt>
                <c:pt idx="2">
                  <c:v>H</c:v>
                </c:pt>
                <c:pt idx="3">
                  <c:v>L</c:v>
                </c:pt>
                <c:pt idx="4">
                  <c:v>S</c:v>
                </c:pt>
              </c:strCache>
            </c:strRef>
          </c:cat>
          <c:val>
            <c:numRef>
              <c:f>Processing!$H$52:$H$56</c:f>
              <c:numCache>
                <c:formatCode>General</c:formatCode>
                <c:ptCount val="5"/>
                <c:pt idx="0">
                  <c:v>#N/A</c:v>
                </c:pt>
                <c:pt idx="1">
                  <c:v>#N/A</c:v>
                </c:pt>
                <c:pt idx="2">
                  <c:v>#N/A</c:v>
                </c:pt>
                <c:pt idx="3">
                  <c:v>#N/A</c:v>
                </c:pt>
                <c:pt idx="4">
                  <c:v>#N/A</c:v>
                </c:pt>
              </c:numCache>
            </c:numRef>
          </c:val>
          <c:extLst>
            <c:ext xmlns:c16="http://schemas.microsoft.com/office/drawing/2014/chart" uri="{C3380CC4-5D6E-409C-BE32-E72D297353CC}">
              <c16:uniqueId val="{00000004-FB9D-41DD-A544-C2AF7A767E44}"/>
            </c:ext>
          </c:extLst>
        </c:ser>
        <c:dLbls>
          <c:showLegendKey val="0"/>
          <c:showVal val="0"/>
          <c:showCatName val="0"/>
          <c:showSerName val="0"/>
          <c:showPercent val="0"/>
          <c:showBubbleSize val="0"/>
        </c:dLbls>
        <c:axId val="1484366719"/>
        <c:axId val="1484339839"/>
      </c:radarChart>
      <c:catAx>
        <c:axId val="148436671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455177"/>
                </a:solidFill>
                <a:latin typeface="+mn-lt"/>
                <a:ea typeface="+mn-ea"/>
                <a:cs typeface="+mn-cs"/>
              </a:defRPr>
            </a:pPr>
            <a:endParaRPr lang="ru-RU"/>
          </a:p>
        </c:txPr>
        <c:crossAx val="1484339839"/>
        <c:crosses val="autoZero"/>
        <c:auto val="1"/>
        <c:lblAlgn val="ctr"/>
        <c:lblOffset val="100"/>
        <c:noMultiLvlLbl val="0"/>
      </c:catAx>
      <c:valAx>
        <c:axId val="1484339839"/>
        <c:scaling>
          <c:orientation val="minMax"/>
        </c:scaling>
        <c:delete val="1"/>
        <c:axPos val="l"/>
        <c:numFmt formatCode="General" sourceLinked="1"/>
        <c:majorTickMark val="none"/>
        <c:minorTickMark val="none"/>
        <c:tickLblPos val="nextTo"/>
        <c:crossAx val="1484366719"/>
        <c:crosses val="autoZero"/>
        <c:crossBetween val="between"/>
      </c:valAx>
      <c:spPr>
        <a:noFill/>
      </c:spPr>
    </c:plotArea>
    <c:plotVisOnly val="1"/>
    <c:dispBlanksAs val="gap"/>
    <c:showDLblsOverMax val="0"/>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4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3"/>
          <c:order val="0"/>
          <c:tx>
            <c:strRef>
              <c:f>Processing!$C$60</c:f>
              <c:strCache>
                <c:ptCount val="1"/>
                <c:pt idx="0">
                  <c:v>indent</c:v>
                </c:pt>
              </c:strCache>
            </c:strRef>
          </c:tx>
          <c:spPr>
            <a:noFill/>
            <a:ln>
              <a:noFill/>
            </a:ln>
            <a:effectLst/>
          </c:spPr>
          <c:invertIfNegative val="0"/>
          <c:val>
            <c:numRef>
              <c:f>Processing!$D$60:$H$60</c:f>
              <c:numCache>
                <c:formatCode>General</c:formatCode>
                <c:ptCount val="5"/>
                <c:pt idx="0">
                  <c:v>174.09</c:v>
                </c:pt>
                <c:pt idx="1">
                  <c:v>174.09</c:v>
                </c:pt>
                <c:pt idx="2">
                  <c:v>174.09</c:v>
                </c:pt>
                <c:pt idx="3">
                  <c:v>174.09</c:v>
                </c:pt>
                <c:pt idx="4">
                  <c:v>174.09</c:v>
                </c:pt>
              </c:numCache>
            </c:numRef>
          </c:val>
          <c:extLst>
            <c:ext xmlns:c16="http://schemas.microsoft.com/office/drawing/2014/chart" uri="{C3380CC4-5D6E-409C-BE32-E72D297353CC}">
              <c16:uniqueId val="{00000000-716D-4DAB-A3F6-51824CD4707A}"/>
            </c:ext>
          </c:extLst>
        </c:ser>
        <c:ser>
          <c:idx val="2"/>
          <c:order val="1"/>
          <c:tx>
            <c:strRef>
              <c:f>Processing!$C$59</c:f>
              <c:strCache>
                <c:ptCount val="1"/>
                <c:pt idx="0">
                  <c:v>Total</c:v>
                </c:pt>
              </c:strCache>
            </c:strRef>
          </c:tx>
          <c:spPr>
            <a:solidFill>
              <a:schemeClr val="accent3"/>
            </a:solidFill>
            <a:ln w="101600">
              <a:solidFill>
                <a:srgbClr val="ABB5E2"/>
              </a:solidFill>
            </a:ln>
            <a:effectLst/>
          </c:spPr>
          <c:invertIfNegative val="0"/>
          <c:val>
            <c:numRef>
              <c:f>Processing!$D$59:$H$59</c:f>
              <c:numCache>
                <c:formatCode>General</c:formatCode>
                <c:ptCount val="5"/>
                <c:pt idx="0">
                  <c:v>2311</c:v>
                </c:pt>
                <c:pt idx="1">
                  <c:v>1595</c:v>
                </c:pt>
                <c:pt idx="2">
                  <c:v>2487</c:v>
                </c:pt>
                <c:pt idx="3">
                  <c:v>1847</c:v>
                </c:pt>
                <c:pt idx="4">
                  <c:v>2062</c:v>
                </c:pt>
              </c:numCache>
            </c:numRef>
          </c:val>
          <c:extLst>
            <c:ext xmlns:c16="http://schemas.microsoft.com/office/drawing/2014/chart" uri="{C3380CC4-5D6E-409C-BE32-E72D297353CC}">
              <c16:uniqueId val="{00000001-716D-4DAB-A3F6-51824CD4707A}"/>
            </c:ext>
          </c:extLst>
        </c:ser>
        <c:dLbls>
          <c:showLegendKey val="0"/>
          <c:showVal val="0"/>
          <c:showCatName val="0"/>
          <c:showSerName val="0"/>
          <c:showPercent val="0"/>
          <c:showBubbleSize val="0"/>
        </c:dLbls>
        <c:gapWidth val="400"/>
        <c:overlap val="100"/>
        <c:axId val="1488376607"/>
        <c:axId val="1488381407"/>
      </c:barChart>
      <c:barChart>
        <c:barDir val="col"/>
        <c:grouping val="stacked"/>
        <c:varyColors val="0"/>
        <c:ser>
          <c:idx val="1"/>
          <c:order val="2"/>
          <c:tx>
            <c:strRef>
              <c:f>Processing!$C$58</c:f>
              <c:strCache>
                <c:ptCount val="1"/>
                <c:pt idx="0">
                  <c:v>indent Cursor</c:v>
                </c:pt>
              </c:strCache>
            </c:strRef>
          </c:tx>
          <c:spPr>
            <a:noFill/>
            <a:ln>
              <a:noFill/>
            </a:ln>
            <a:effectLst/>
          </c:spPr>
          <c:invertIfNegative val="0"/>
          <c:val>
            <c:numRef>
              <c:f>Processing!$D$58:$H$58</c:f>
              <c:numCache>
                <c:formatCode>General</c:formatCode>
                <c:ptCount val="5"/>
                <c:pt idx="0">
                  <c:v>174.09</c:v>
                </c:pt>
                <c:pt idx="1">
                  <c:v>174.09</c:v>
                </c:pt>
                <c:pt idx="2">
                  <c:v>174.09</c:v>
                </c:pt>
                <c:pt idx="3">
                  <c:v>174.09</c:v>
                </c:pt>
                <c:pt idx="4">
                  <c:v>174.09</c:v>
                </c:pt>
              </c:numCache>
            </c:numRef>
          </c:val>
          <c:extLst>
            <c:ext xmlns:c16="http://schemas.microsoft.com/office/drawing/2014/chart" uri="{C3380CC4-5D6E-409C-BE32-E72D297353CC}">
              <c16:uniqueId val="{00000002-716D-4DAB-A3F6-51824CD4707A}"/>
            </c:ext>
          </c:extLst>
        </c:ser>
        <c:ser>
          <c:idx val="0"/>
          <c:order val="3"/>
          <c:tx>
            <c:strRef>
              <c:f>Processing!$C$57</c:f>
              <c:strCache>
                <c:ptCount val="1"/>
                <c:pt idx="0">
                  <c:v>Cursor</c:v>
                </c:pt>
              </c:strCache>
            </c:strRef>
          </c:tx>
          <c:spPr>
            <a:solidFill>
              <a:schemeClr val="accent1"/>
            </a:solidFill>
            <a:ln w="101600">
              <a:gradFill>
                <a:gsLst>
                  <a:gs pos="0">
                    <a:srgbClr val="00ADD6"/>
                  </a:gs>
                  <a:gs pos="100000">
                    <a:schemeClr val="accent1">
                      <a:lumMod val="30000"/>
                      <a:lumOff val="70000"/>
                    </a:schemeClr>
                  </a:gs>
                </a:gsLst>
                <a:lin ang="5400000" scaled="1"/>
              </a:gradFill>
            </a:ln>
            <a:effectLst/>
          </c:spPr>
          <c:invertIfNegative val="0"/>
          <c:dPt>
            <c:idx val="0"/>
            <c:invertIfNegative val="0"/>
            <c:bubble3D val="0"/>
            <c:spPr>
              <a:solidFill>
                <a:schemeClr val="accent1"/>
              </a:solidFill>
              <a:ln w="101600">
                <a:gradFill>
                  <a:gsLst>
                    <a:gs pos="0">
                      <a:srgbClr val="00C8D2"/>
                    </a:gs>
                    <a:gs pos="100000">
                      <a:srgbClr val="00A8B0"/>
                    </a:gs>
                  </a:gsLst>
                  <a:lin ang="5400000" scaled="1"/>
                </a:gradFill>
              </a:ln>
              <a:effectLst/>
            </c:spPr>
            <c:extLst>
              <c:ext xmlns:c16="http://schemas.microsoft.com/office/drawing/2014/chart" uri="{C3380CC4-5D6E-409C-BE32-E72D297353CC}">
                <c16:uniqueId val="{00000004-716D-4DAB-A3F6-51824CD4707A}"/>
              </c:ext>
            </c:extLst>
          </c:dPt>
          <c:dPt>
            <c:idx val="1"/>
            <c:invertIfNegative val="0"/>
            <c:bubble3D val="0"/>
            <c:spPr>
              <a:solidFill>
                <a:schemeClr val="accent1"/>
              </a:solidFill>
              <a:ln w="101600">
                <a:gradFill>
                  <a:gsLst>
                    <a:gs pos="0">
                      <a:srgbClr val="3879F2"/>
                    </a:gs>
                    <a:gs pos="100000">
                      <a:srgbClr val="2069F0"/>
                    </a:gs>
                  </a:gsLst>
                  <a:lin ang="5400000" scaled="1"/>
                </a:gradFill>
              </a:ln>
              <a:effectLst/>
            </c:spPr>
            <c:extLst>
              <c:ext xmlns:c16="http://schemas.microsoft.com/office/drawing/2014/chart" uri="{C3380CC4-5D6E-409C-BE32-E72D297353CC}">
                <c16:uniqueId val="{00000006-716D-4DAB-A3F6-51824CD4707A}"/>
              </c:ext>
            </c:extLst>
          </c:dPt>
          <c:dPt>
            <c:idx val="2"/>
            <c:invertIfNegative val="0"/>
            <c:bubble3D val="0"/>
            <c:spPr>
              <a:solidFill>
                <a:schemeClr val="accent1"/>
              </a:solidFill>
              <a:ln w="101600">
                <a:gradFill>
                  <a:gsLst>
                    <a:gs pos="0">
                      <a:srgbClr val="FF7684"/>
                    </a:gs>
                    <a:gs pos="100000">
                      <a:srgbClr val="FF5C6D"/>
                    </a:gs>
                  </a:gsLst>
                  <a:lin ang="5400000" scaled="1"/>
                </a:gradFill>
              </a:ln>
              <a:effectLst/>
            </c:spPr>
            <c:extLst>
              <c:ext xmlns:c16="http://schemas.microsoft.com/office/drawing/2014/chart" uri="{C3380CC4-5D6E-409C-BE32-E72D297353CC}">
                <c16:uniqueId val="{00000008-716D-4DAB-A3F6-51824CD4707A}"/>
              </c:ext>
            </c:extLst>
          </c:dPt>
          <c:dPt>
            <c:idx val="3"/>
            <c:invertIfNegative val="0"/>
            <c:bubble3D val="0"/>
            <c:spPr>
              <a:solidFill>
                <a:schemeClr val="accent1"/>
              </a:solidFill>
              <a:ln w="101600">
                <a:gradFill>
                  <a:gsLst>
                    <a:gs pos="0">
                      <a:srgbClr val="00ADD6"/>
                    </a:gs>
                    <a:gs pos="100000">
                      <a:srgbClr val="007D9B"/>
                    </a:gs>
                  </a:gsLst>
                  <a:lin ang="5400000" scaled="1"/>
                </a:gradFill>
              </a:ln>
              <a:effectLst/>
            </c:spPr>
            <c:extLst>
              <c:ext xmlns:c16="http://schemas.microsoft.com/office/drawing/2014/chart" uri="{C3380CC4-5D6E-409C-BE32-E72D297353CC}">
                <c16:uniqueId val="{0000000A-716D-4DAB-A3F6-51824CD4707A}"/>
              </c:ext>
            </c:extLst>
          </c:dPt>
          <c:dPt>
            <c:idx val="4"/>
            <c:invertIfNegative val="0"/>
            <c:bubble3D val="0"/>
            <c:spPr>
              <a:solidFill>
                <a:schemeClr val="accent1"/>
              </a:solidFill>
              <a:ln w="101600">
                <a:gradFill>
                  <a:gsLst>
                    <a:gs pos="0">
                      <a:srgbClr val="6978B4"/>
                    </a:gs>
                    <a:gs pos="100000">
                      <a:srgbClr val="4E5E9D"/>
                    </a:gs>
                  </a:gsLst>
                  <a:lin ang="5400000" scaled="1"/>
                </a:gradFill>
              </a:ln>
              <a:effectLst/>
            </c:spPr>
            <c:extLst>
              <c:ext xmlns:c16="http://schemas.microsoft.com/office/drawing/2014/chart" uri="{C3380CC4-5D6E-409C-BE32-E72D297353CC}">
                <c16:uniqueId val="{0000000C-716D-4DAB-A3F6-51824CD4707A}"/>
              </c:ext>
            </c:extLst>
          </c:dPt>
          <c:val>
            <c:numRef>
              <c:f>Processing!$D$57:$H$57</c:f>
              <c:numCache>
                <c:formatCode>General</c:formatCode>
                <c:ptCount val="5"/>
                <c:pt idx="0">
                  <c:v>#N/A</c:v>
                </c:pt>
                <c:pt idx="1">
                  <c:v>1595</c:v>
                </c:pt>
                <c:pt idx="2">
                  <c:v>2487</c:v>
                </c:pt>
                <c:pt idx="3">
                  <c:v>1847</c:v>
                </c:pt>
                <c:pt idx="4">
                  <c:v>#N/A</c:v>
                </c:pt>
              </c:numCache>
            </c:numRef>
          </c:val>
          <c:extLst>
            <c:ext xmlns:c16="http://schemas.microsoft.com/office/drawing/2014/chart" uri="{C3380CC4-5D6E-409C-BE32-E72D297353CC}">
              <c16:uniqueId val="{0000000D-716D-4DAB-A3F6-51824CD4707A}"/>
            </c:ext>
          </c:extLst>
        </c:ser>
        <c:dLbls>
          <c:showLegendKey val="0"/>
          <c:showVal val="0"/>
          <c:showCatName val="0"/>
          <c:showSerName val="0"/>
          <c:showPercent val="0"/>
          <c:showBubbleSize val="0"/>
        </c:dLbls>
        <c:gapWidth val="400"/>
        <c:overlap val="100"/>
        <c:axId val="1488359807"/>
        <c:axId val="1488349727"/>
      </c:barChart>
      <c:scatterChart>
        <c:scatterStyle val="lineMarker"/>
        <c:varyColors val="0"/>
        <c:ser>
          <c:idx val="4"/>
          <c:order val="4"/>
          <c:tx>
            <c:strRef>
              <c:f>Processing!$C$61</c:f>
              <c:strCache>
                <c:ptCount val="1"/>
                <c:pt idx="0">
                  <c:v>Markers</c:v>
                </c:pt>
              </c:strCache>
            </c:strRef>
          </c:tx>
          <c:spPr>
            <a:ln w="25400" cap="rnd">
              <a:noFill/>
              <a:round/>
            </a:ln>
            <a:effectLst/>
          </c:spPr>
          <c:marker>
            <c:symbol val="none"/>
          </c:marker>
          <c:dLbls>
            <c:dLbl>
              <c:idx val="0"/>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E-716D-4DAB-A3F6-51824CD4707A}"/>
                </c:ext>
              </c:extLst>
            </c:dLbl>
            <c:dLbl>
              <c:idx val="1"/>
              <c:tx>
                <c:rich>
                  <a:bodyPr/>
                  <a:lstStyle/>
                  <a:p>
                    <a:fld id="{BF33B9C4-5123-4111-80F4-6FB697339E64}"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F-716D-4DAB-A3F6-51824CD4707A}"/>
                </c:ext>
              </c:extLst>
            </c:dLbl>
            <c:dLbl>
              <c:idx val="2"/>
              <c:tx>
                <c:rich>
                  <a:bodyPr/>
                  <a:lstStyle/>
                  <a:p>
                    <a:fld id="{C7AD06B2-655C-41D0-89D9-353E6DC1C77F}"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0-716D-4DAB-A3F6-51824CD4707A}"/>
                </c:ext>
              </c:extLst>
            </c:dLbl>
            <c:dLbl>
              <c:idx val="3"/>
              <c:tx>
                <c:rich>
                  <a:bodyPr/>
                  <a:lstStyle/>
                  <a:p>
                    <a:fld id="{9EEE03E1-161C-4717-93A5-F0FE7621C8E2}"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1-716D-4DAB-A3F6-51824CD4707A}"/>
                </c:ext>
              </c:extLst>
            </c:dLbl>
            <c:dLbl>
              <c:idx val="4"/>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2-716D-4DAB-A3F6-51824CD4707A}"/>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455177"/>
                    </a:solidFill>
                    <a:latin typeface="+mn-lt"/>
                    <a:ea typeface="+mn-ea"/>
                    <a:cs typeface="+mn-cs"/>
                  </a:defRPr>
                </a:pPr>
                <a:endParaRPr lang="ru-RU"/>
              </a:p>
            </c:txPr>
            <c:dLblPos val="t"/>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yVal>
            <c:numRef>
              <c:f>Processing!$D$61:$H$61</c:f>
              <c:numCache>
                <c:formatCode>General</c:formatCode>
                <c:ptCount val="5"/>
                <c:pt idx="0">
                  <c:v>#N/A</c:v>
                </c:pt>
                <c:pt idx="1">
                  <c:v>1769.09</c:v>
                </c:pt>
                <c:pt idx="2">
                  <c:v>2661.09</c:v>
                </c:pt>
                <c:pt idx="3">
                  <c:v>2021.09</c:v>
                </c:pt>
                <c:pt idx="4">
                  <c:v>#N/A</c:v>
                </c:pt>
              </c:numCache>
            </c:numRef>
          </c:yVal>
          <c:smooth val="0"/>
          <c:extLst>
            <c:ext xmlns:c15="http://schemas.microsoft.com/office/drawing/2012/chart" uri="{02D57815-91ED-43cb-92C2-25804820EDAC}">
              <c15:datalabelsRange>
                <c15:f>Processing!$D$62:$H$62</c15:f>
                <c15:dlblRangeCache>
                  <c:ptCount val="5"/>
                  <c:pt idx="1">
                    <c:v>2k</c:v>
                  </c:pt>
                  <c:pt idx="2">
                    <c:v>2k</c:v>
                  </c:pt>
                  <c:pt idx="3">
                    <c:v>2k</c:v>
                  </c:pt>
                </c15:dlblRangeCache>
              </c15:datalabelsRange>
            </c:ext>
            <c:ext xmlns:c16="http://schemas.microsoft.com/office/drawing/2014/chart" uri="{C3380CC4-5D6E-409C-BE32-E72D297353CC}">
              <c16:uniqueId val="{00000013-716D-4DAB-A3F6-51824CD4707A}"/>
            </c:ext>
          </c:extLst>
        </c:ser>
        <c:dLbls>
          <c:showLegendKey val="0"/>
          <c:showVal val="0"/>
          <c:showCatName val="0"/>
          <c:showSerName val="0"/>
          <c:showPercent val="0"/>
          <c:showBubbleSize val="0"/>
        </c:dLbls>
        <c:axId val="1488359807"/>
        <c:axId val="1488349727"/>
      </c:scatterChart>
      <c:catAx>
        <c:axId val="1488376607"/>
        <c:scaling>
          <c:orientation val="minMax"/>
        </c:scaling>
        <c:delete val="1"/>
        <c:axPos val="b"/>
        <c:majorTickMark val="none"/>
        <c:minorTickMark val="none"/>
        <c:tickLblPos val="nextTo"/>
        <c:crossAx val="1488381407"/>
        <c:crosses val="autoZero"/>
        <c:auto val="1"/>
        <c:lblAlgn val="ctr"/>
        <c:lblOffset val="100"/>
        <c:noMultiLvlLbl val="0"/>
      </c:catAx>
      <c:valAx>
        <c:axId val="1488381407"/>
        <c:scaling>
          <c:orientation val="minMax"/>
        </c:scaling>
        <c:delete val="1"/>
        <c:axPos val="l"/>
        <c:numFmt formatCode="General" sourceLinked="1"/>
        <c:majorTickMark val="none"/>
        <c:minorTickMark val="none"/>
        <c:tickLblPos val="nextTo"/>
        <c:crossAx val="1488376607"/>
        <c:crosses val="autoZero"/>
        <c:crossBetween val="between"/>
      </c:valAx>
      <c:valAx>
        <c:axId val="1488349727"/>
        <c:scaling>
          <c:orientation val="minMax"/>
        </c:scaling>
        <c:delete val="1"/>
        <c:axPos val="r"/>
        <c:numFmt formatCode="General" sourceLinked="1"/>
        <c:majorTickMark val="out"/>
        <c:minorTickMark val="none"/>
        <c:tickLblPos val="nextTo"/>
        <c:crossAx val="1488359807"/>
        <c:crosses val="max"/>
        <c:crossBetween val="between"/>
      </c:valAx>
      <c:catAx>
        <c:axId val="1488359807"/>
        <c:scaling>
          <c:orientation val="minMax"/>
        </c:scaling>
        <c:delete val="1"/>
        <c:axPos val="b"/>
        <c:majorTickMark val="out"/>
        <c:minorTickMark val="none"/>
        <c:tickLblPos val="nextTo"/>
        <c:crossAx val="1488349727"/>
        <c:crosses val="autoZero"/>
        <c:auto val="1"/>
        <c:lblAlgn val="ctr"/>
        <c:lblOffset val="100"/>
        <c:noMultiLvlLbl val="0"/>
      </c:catAx>
      <c:spPr>
        <a:noFill/>
      </c:spPr>
    </c:plotArea>
    <c:plotVisOnly val="1"/>
    <c:dispBlanksAs val="gap"/>
    <c:showDLblsOverMax val="0"/>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4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solidFill>
              <a:schemeClr val="bg1"/>
            </a:solidFill>
            <a:ln>
              <a:noFill/>
            </a:ln>
          </c:spPr>
          <c:dPt>
            <c:idx val="0"/>
            <c:bubble3D val="0"/>
            <c:spPr>
              <a:solidFill>
                <a:srgbClr val="ABB5E2"/>
              </a:solidFill>
              <a:ln w="19050">
                <a:noFill/>
              </a:ln>
              <a:effectLst/>
            </c:spPr>
            <c:extLst>
              <c:ext xmlns:c16="http://schemas.microsoft.com/office/drawing/2014/chart" uri="{C3380CC4-5D6E-409C-BE32-E72D297353CC}">
                <c16:uniqueId val="{00000001-BA78-4538-8AB9-5C0C568EB5B1}"/>
              </c:ext>
            </c:extLst>
          </c:dPt>
          <c:dPt>
            <c:idx val="1"/>
            <c:bubble3D val="0"/>
            <c:spPr>
              <a:solidFill>
                <a:srgbClr val="C5D2F3">
                  <a:alpha val="30000"/>
                </a:srgbClr>
              </a:solidFill>
              <a:ln w="19050">
                <a:noFill/>
              </a:ln>
              <a:effectLst/>
            </c:spPr>
            <c:extLst>
              <c:ext xmlns:c16="http://schemas.microsoft.com/office/drawing/2014/chart" uri="{C3380CC4-5D6E-409C-BE32-E72D297353CC}">
                <c16:uniqueId val="{00000003-BA78-4538-8AB9-5C0C568EB5B1}"/>
              </c:ext>
            </c:extLst>
          </c:dPt>
          <c:val>
            <c:numRef>
              <c:f>Processing!$E$15:$F$15</c:f>
              <c:numCache>
                <c:formatCode>0%</c:formatCode>
                <c:ptCount val="2"/>
                <c:pt idx="0">
                  <c:v>0.65277777777777779</c:v>
                </c:pt>
                <c:pt idx="1">
                  <c:v>0.34722222222222221</c:v>
                </c:pt>
              </c:numCache>
            </c:numRef>
          </c:val>
          <c:extLst>
            <c:ext xmlns:c16="http://schemas.microsoft.com/office/drawing/2014/chart" uri="{C3380CC4-5D6E-409C-BE32-E72D297353CC}">
              <c16:uniqueId val="{00000004-BA78-4538-8AB9-5C0C568EB5B1}"/>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4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tx>
            <c:strRef>
              <c:f>Processing!$S$1</c:f>
              <c:strCache>
                <c:ptCount val="1"/>
                <c:pt idx="0">
                  <c:v>Budget</c:v>
                </c:pt>
              </c:strCache>
            </c:strRef>
          </c:tx>
          <c:spPr>
            <a:gradFill>
              <a:gsLst>
                <a:gs pos="50384">
                  <a:srgbClr val="BCC6FF"/>
                </a:gs>
                <a:gs pos="0">
                  <a:srgbClr val="6494DA"/>
                </a:gs>
                <a:gs pos="94000">
                  <a:srgbClr val="2F6EC7"/>
                </a:gs>
              </a:gsLst>
              <a:lin ang="5400000" scaled="1"/>
            </a:gradFill>
            <a:ln>
              <a:noFill/>
            </a:ln>
            <a:effectLst>
              <a:outerShdw blurRad="50800" dist="38100" dir="8100000" algn="tr" rotWithShape="0">
                <a:prstClr val="black">
                  <a:alpha val="40000"/>
                </a:prstClr>
              </a:outerShdw>
            </a:effectLst>
          </c:spPr>
          <c:dPt>
            <c:idx val="0"/>
            <c:bubble3D val="0"/>
            <c:spPr>
              <a:gradFill>
                <a:gsLst>
                  <a:gs pos="0">
                    <a:srgbClr val="09C3F2"/>
                  </a:gs>
                  <a:gs pos="100000">
                    <a:srgbClr val="06D3D9"/>
                  </a:gs>
                </a:gsLst>
                <a:lin ang="5400000" scaled="1"/>
              </a:gradFill>
              <a:ln w="19050">
                <a:noFill/>
              </a:ln>
              <a:effectLst>
                <a:outerShdw blurRad="50800" dist="38100" dir="8100000" algn="tr" rotWithShape="0">
                  <a:prstClr val="black">
                    <a:alpha val="40000"/>
                  </a:prstClr>
                </a:outerShdw>
              </a:effectLst>
            </c:spPr>
            <c:extLst>
              <c:ext xmlns:c16="http://schemas.microsoft.com/office/drawing/2014/chart" uri="{C3380CC4-5D6E-409C-BE32-E72D297353CC}">
                <c16:uniqueId val="{00000001-706D-4F77-BF37-532A3102945E}"/>
              </c:ext>
            </c:extLst>
          </c:dPt>
          <c:dPt>
            <c:idx val="1"/>
            <c:bubble3D val="0"/>
            <c:spPr>
              <a:gradFill>
                <a:gsLst>
                  <a:gs pos="0">
                    <a:srgbClr val="2C71E7"/>
                  </a:gs>
                  <a:gs pos="100000">
                    <a:srgbClr val="2373DF"/>
                  </a:gs>
                </a:gsLst>
                <a:lin ang="5400000" scaled="1"/>
              </a:gradFill>
              <a:ln w="19050">
                <a:noFill/>
              </a:ln>
              <a:effectLst>
                <a:outerShdw blurRad="50800" dist="38100" dir="8100000" algn="tr" rotWithShape="0">
                  <a:prstClr val="black">
                    <a:alpha val="40000"/>
                  </a:prstClr>
                </a:outerShdw>
              </a:effectLst>
            </c:spPr>
            <c:extLst>
              <c:ext xmlns:c16="http://schemas.microsoft.com/office/drawing/2014/chart" uri="{C3380CC4-5D6E-409C-BE32-E72D297353CC}">
                <c16:uniqueId val="{00000003-706D-4F77-BF37-532A3102945E}"/>
              </c:ext>
            </c:extLst>
          </c:dPt>
          <c:val>
            <c:numRef>
              <c:f>Processing!$S$3:$T$3</c:f>
              <c:numCache>
                <c:formatCode>0%</c:formatCode>
                <c:ptCount val="2"/>
                <c:pt idx="0">
                  <c:v>0.64091999999999993</c:v>
                </c:pt>
                <c:pt idx="1">
                  <c:v>0.35908000000000001</c:v>
                </c:pt>
              </c:numCache>
            </c:numRef>
          </c:val>
          <c:extLst>
            <c:ext xmlns:c16="http://schemas.microsoft.com/office/drawing/2014/chart" uri="{C3380CC4-5D6E-409C-BE32-E72D297353CC}">
              <c16:uniqueId val="{00000004-706D-4F77-BF37-532A3102945E}"/>
            </c:ext>
          </c:extLst>
        </c:ser>
        <c:dLbls>
          <c:showLegendKey val="0"/>
          <c:showVal val="0"/>
          <c:showCatName val="0"/>
          <c:showSerName val="0"/>
          <c:showPercent val="0"/>
          <c:showBubbleSize val="0"/>
          <c:showLeaderLines val="1"/>
        </c:dLbls>
        <c:firstSliceAng val="0"/>
        <c:holeSize val="75"/>
      </c:doughnutChart>
      <c:scatterChart>
        <c:scatterStyle val="lineMarker"/>
        <c:varyColors val="0"/>
        <c:ser>
          <c:idx val="1"/>
          <c:order val="1"/>
          <c:tx>
            <c:strRef>
              <c:f>Processing!$S$4</c:f>
              <c:strCache>
                <c:ptCount val="1"/>
                <c:pt idx="0">
                  <c:v>Cursors</c:v>
                </c:pt>
              </c:strCache>
            </c:strRef>
          </c:tx>
          <c:spPr>
            <a:ln w="25400" cap="rnd">
              <a:noFill/>
              <a:round/>
            </a:ln>
            <a:effectLst/>
          </c:spPr>
          <c:marker>
            <c:symbol val="circle"/>
            <c:size val="14"/>
            <c:spPr>
              <a:solidFill>
                <a:srgbClr val="09C3F2"/>
              </a:solidFill>
              <a:ln w="9525">
                <a:noFill/>
              </a:ln>
              <a:effectLst/>
            </c:spPr>
          </c:marker>
          <c:dPt>
            <c:idx val="1"/>
            <c:marker>
              <c:symbol val="circle"/>
              <c:size val="14"/>
              <c:spPr>
                <a:solidFill>
                  <a:srgbClr val="06D3D9"/>
                </a:solidFill>
                <a:ln w="9525">
                  <a:noFill/>
                </a:ln>
                <a:effectLst/>
              </c:spPr>
            </c:marker>
            <c:bubble3D val="0"/>
            <c:extLst>
              <c:ext xmlns:c16="http://schemas.microsoft.com/office/drawing/2014/chart" uri="{C3380CC4-5D6E-409C-BE32-E72D297353CC}">
                <c16:uniqueId val="{00000005-706D-4F77-BF37-532A3102945E}"/>
              </c:ext>
            </c:extLst>
          </c:dPt>
          <c:xVal>
            <c:numRef>
              <c:f>Processing!$S$6:$S$7</c:f>
              <c:numCache>
                <c:formatCode>General</c:formatCode>
                <c:ptCount val="2"/>
                <c:pt idx="0">
                  <c:v>0</c:v>
                </c:pt>
                <c:pt idx="1">
                  <c:v>-0.77418499792466078</c:v>
                </c:pt>
              </c:numCache>
            </c:numRef>
          </c:xVal>
          <c:yVal>
            <c:numRef>
              <c:f>Processing!$T$6:$T$7</c:f>
              <c:numCache>
                <c:formatCode>General</c:formatCode>
                <c:ptCount val="2"/>
                <c:pt idx="0">
                  <c:v>1</c:v>
                </c:pt>
                <c:pt idx="1">
                  <c:v>-0.63295938968340804</c:v>
                </c:pt>
              </c:numCache>
            </c:numRef>
          </c:yVal>
          <c:smooth val="0"/>
          <c:extLst>
            <c:ext xmlns:c16="http://schemas.microsoft.com/office/drawing/2014/chart" uri="{C3380CC4-5D6E-409C-BE32-E72D297353CC}">
              <c16:uniqueId val="{00000006-706D-4F77-BF37-532A3102945E}"/>
            </c:ext>
          </c:extLst>
        </c:ser>
        <c:dLbls>
          <c:showLegendKey val="0"/>
          <c:showVal val="0"/>
          <c:showCatName val="0"/>
          <c:showSerName val="0"/>
          <c:showPercent val="0"/>
          <c:showBubbleSize val="0"/>
        </c:dLbls>
        <c:axId val="1214836208"/>
        <c:axId val="1214847248"/>
      </c:scatterChart>
      <c:valAx>
        <c:axId val="1214847248"/>
        <c:scaling>
          <c:orientation val="minMax"/>
          <c:max val="1.1500000000000001"/>
          <c:min val="-1.1400000000000001"/>
        </c:scaling>
        <c:delete val="1"/>
        <c:axPos val="l"/>
        <c:numFmt formatCode="General" sourceLinked="1"/>
        <c:majorTickMark val="out"/>
        <c:minorTickMark val="none"/>
        <c:tickLblPos val="nextTo"/>
        <c:crossAx val="1214836208"/>
        <c:crosses val="autoZero"/>
        <c:crossBetween val="midCat"/>
      </c:valAx>
      <c:valAx>
        <c:axId val="1214836208"/>
        <c:scaling>
          <c:orientation val="minMax"/>
          <c:max val="1.1400000000000001"/>
          <c:min val="-1.1500000000000001"/>
        </c:scaling>
        <c:delete val="1"/>
        <c:axPos val="t"/>
        <c:numFmt formatCode="General" sourceLinked="1"/>
        <c:majorTickMark val="out"/>
        <c:minorTickMark val="none"/>
        <c:tickLblPos val="nextTo"/>
        <c:crossAx val="1214847248"/>
        <c:crosses val="max"/>
        <c:crossBetween val="midCat"/>
      </c:valAx>
      <c:spPr>
        <a:noFill/>
        <a:ln w="25400">
          <a:noFill/>
        </a:ln>
        <a:effectLst/>
      </c:spPr>
    </c:plotArea>
    <c:plotVisOnly val="1"/>
    <c:dispBlanksAs val="gap"/>
    <c:showDLblsOverMax val="0"/>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4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3.3763044812768567E-2"/>
          <c:y val="6.0185185185185182E-2"/>
          <c:w val="0.93247391037446281"/>
          <c:h val="0.88888888888888884"/>
        </c:manualLayout>
      </c:layout>
      <c:barChart>
        <c:barDir val="col"/>
        <c:grouping val="stacked"/>
        <c:varyColors val="0"/>
        <c:ser>
          <c:idx val="0"/>
          <c:order val="0"/>
          <c:spPr>
            <a:noFill/>
            <a:ln>
              <a:noFill/>
            </a:ln>
            <a:effectLst/>
          </c:spPr>
          <c:invertIfNegative val="0"/>
          <c:cat>
            <c:strRef>
              <c:f>Processing!$K$24:$Q$24</c:f>
              <c:strCache>
                <c:ptCount val="7"/>
                <c:pt idx="0">
                  <c:v>SU</c:v>
                </c:pt>
                <c:pt idx="1">
                  <c:v>MO</c:v>
                </c:pt>
                <c:pt idx="2">
                  <c:v>TU</c:v>
                </c:pt>
                <c:pt idx="3">
                  <c:v>WE</c:v>
                </c:pt>
                <c:pt idx="4">
                  <c:v>TH</c:v>
                </c:pt>
                <c:pt idx="5">
                  <c:v>FR</c:v>
                </c:pt>
                <c:pt idx="6">
                  <c:v>SA</c:v>
                </c:pt>
              </c:strCache>
            </c:strRef>
          </c:cat>
          <c:val>
            <c:numRef>
              <c:f>Processing!$K$25:$Q$25</c:f>
              <c:numCache>
                <c:formatCode>General</c:formatCode>
                <c:ptCount val="7"/>
                <c:pt idx="0">
                  <c:v>1</c:v>
                </c:pt>
                <c:pt idx="1">
                  <c:v>1</c:v>
                </c:pt>
                <c:pt idx="2">
                  <c:v>1</c:v>
                </c:pt>
                <c:pt idx="3">
                  <c:v>1</c:v>
                </c:pt>
                <c:pt idx="4">
                  <c:v>0</c:v>
                </c:pt>
                <c:pt idx="5">
                  <c:v>0</c:v>
                </c:pt>
                <c:pt idx="6">
                  <c:v>0</c:v>
                </c:pt>
              </c:numCache>
            </c:numRef>
          </c:val>
          <c:extLst>
            <c:ext xmlns:c16="http://schemas.microsoft.com/office/drawing/2014/chart" uri="{C3380CC4-5D6E-409C-BE32-E72D297353CC}">
              <c16:uniqueId val="{00000000-416A-4386-BB55-ED852A9F3CB0}"/>
            </c:ext>
          </c:extLst>
        </c:ser>
        <c:ser>
          <c:idx val="1"/>
          <c:order val="1"/>
          <c:spPr>
            <a:blipFill>
              <a:blip xmlns:r="http://schemas.openxmlformats.org/officeDocument/2006/relationships" r:embed="rId1"/>
              <a:stretch>
                <a:fillRect/>
              </a:stretch>
            </a:blipFill>
            <a:ln>
              <a:noFill/>
            </a:ln>
            <a:effectLst/>
          </c:spPr>
          <c:invertIfNegative val="0"/>
          <c:cat>
            <c:strRef>
              <c:f>Processing!$K$24:$Q$24</c:f>
              <c:strCache>
                <c:ptCount val="7"/>
                <c:pt idx="0">
                  <c:v>SU</c:v>
                </c:pt>
                <c:pt idx="1">
                  <c:v>MO</c:v>
                </c:pt>
                <c:pt idx="2">
                  <c:v>TU</c:v>
                </c:pt>
                <c:pt idx="3">
                  <c:v>WE</c:v>
                </c:pt>
                <c:pt idx="4">
                  <c:v>TH</c:v>
                </c:pt>
                <c:pt idx="5">
                  <c:v>FR</c:v>
                </c:pt>
                <c:pt idx="6">
                  <c:v>SA</c:v>
                </c:pt>
              </c:strCache>
            </c:strRef>
          </c:cat>
          <c:val>
            <c:numRef>
              <c:f>Processing!$K$26:$Q$26</c:f>
              <c:numCache>
                <c:formatCode>General</c:formatCode>
                <c:ptCount val="7"/>
                <c:pt idx="0">
                  <c:v>0</c:v>
                </c:pt>
                <c:pt idx="1">
                  <c:v>0</c:v>
                </c:pt>
                <c:pt idx="2">
                  <c:v>0</c:v>
                </c:pt>
                <c:pt idx="3">
                  <c:v>0</c:v>
                </c:pt>
                <c:pt idx="4">
                  <c:v>0</c:v>
                </c:pt>
                <c:pt idx="5">
                  <c:v>1</c:v>
                </c:pt>
                <c:pt idx="6">
                  <c:v>0</c:v>
                </c:pt>
              </c:numCache>
            </c:numRef>
          </c:val>
          <c:extLst>
            <c:ext xmlns:c16="http://schemas.microsoft.com/office/drawing/2014/chart" uri="{C3380CC4-5D6E-409C-BE32-E72D297353CC}">
              <c16:uniqueId val="{00000001-416A-4386-BB55-ED852A9F3CB0}"/>
            </c:ext>
          </c:extLst>
        </c:ser>
        <c:ser>
          <c:idx val="2"/>
          <c:order val="2"/>
          <c:spPr>
            <a:blipFill>
              <a:blip xmlns:r="http://schemas.openxmlformats.org/officeDocument/2006/relationships" r:embed="rId2"/>
              <a:stretch>
                <a:fillRect/>
              </a:stretch>
            </a:blipFill>
            <a:ln>
              <a:noFill/>
            </a:ln>
            <a:effectLst/>
          </c:spPr>
          <c:invertIfNegative val="0"/>
          <c:cat>
            <c:strRef>
              <c:f>Processing!$K$24:$Q$24</c:f>
              <c:strCache>
                <c:ptCount val="7"/>
                <c:pt idx="0">
                  <c:v>SU</c:v>
                </c:pt>
                <c:pt idx="1">
                  <c:v>MO</c:v>
                </c:pt>
                <c:pt idx="2">
                  <c:v>TU</c:v>
                </c:pt>
                <c:pt idx="3">
                  <c:v>WE</c:v>
                </c:pt>
                <c:pt idx="4">
                  <c:v>TH</c:v>
                </c:pt>
                <c:pt idx="5">
                  <c:v>FR</c:v>
                </c:pt>
                <c:pt idx="6">
                  <c:v>SA</c:v>
                </c:pt>
              </c:strCache>
            </c:strRef>
          </c:cat>
          <c:val>
            <c:numRef>
              <c:f>Processing!$K$27:$Q$27</c:f>
              <c:numCache>
                <c:formatCode>General</c:formatCode>
                <c:ptCount val="7"/>
                <c:pt idx="0">
                  <c:v>0</c:v>
                </c:pt>
                <c:pt idx="1">
                  <c:v>0</c:v>
                </c:pt>
                <c:pt idx="2">
                  <c:v>0</c:v>
                </c:pt>
                <c:pt idx="3">
                  <c:v>0</c:v>
                </c:pt>
                <c:pt idx="4">
                  <c:v>1</c:v>
                </c:pt>
                <c:pt idx="5">
                  <c:v>0</c:v>
                </c:pt>
                <c:pt idx="6">
                  <c:v>1</c:v>
                </c:pt>
              </c:numCache>
            </c:numRef>
          </c:val>
          <c:extLst>
            <c:ext xmlns:c16="http://schemas.microsoft.com/office/drawing/2014/chart" uri="{C3380CC4-5D6E-409C-BE32-E72D297353CC}">
              <c16:uniqueId val="{00000002-416A-4386-BB55-ED852A9F3CB0}"/>
            </c:ext>
          </c:extLst>
        </c:ser>
        <c:ser>
          <c:idx val="3"/>
          <c:order val="3"/>
          <c:spPr>
            <a:blipFill>
              <a:blip xmlns:r="http://schemas.openxmlformats.org/officeDocument/2006/relationships" r:embed="rId3"/>
              <a:stretch>
                <a:fillRect/>
              </a:stretch>
            </a:blipFill>
            <a:ln>
              <a:noFill/>
            </a:ln>
            <a:effectLst/>
          </c:spPr>
          <c:invertIfNegative val="0"/>
          <c:cat>
            <c:strRef>
              <c:f>Processing!$K$24:$Q$24</c:f>
              <c:strCache>
                <c:ptCount val="7"/>
                <c:pt idx="0">
                  <c:v>SU</c:v>
                </c:pt>
                <c:pt idx="1">
                  <c:v>MO</c:v>
                </c:pt>
                <c:pt idx="2">
                  <c:v>TU</c:v>
                </c:pt>
                <c:pt idx="3">
                  <c:v>WE</c:v>
                </c:pt>
                <c:pt idx="4">
                  <c:v>TH</c:v>
                </c:pt>
                <c:pt idx="5">
                  <c:v>FR</c:v>
                </c:pt>
                <c:pt idx="6">
                  <c:v>SA</c:v>
                </c:pt>
              </c:strCache>
            </c:strRef>
          </c:cat>
          <c:val>
            <c:numRef>
              <c:f>Processing!$K$28:$Q$28</c:f>
              <c:numCache>
                <c:formatCode>General</c:formatCode>
                <c:ptCount val="7"/>
                <c:pt idx="0">
                  <c:v>0</c:v>
                </c:pt>
                <c:pt idx="1">
                  <c:v>0</c:v>
                </c:pt>
                <c:pt idx="2">
                  <c:v>0</c:v>
                </c:pt>
                <c:pt idx="3">
                  <c:v>0</c:v>
                </c:pt>
                <c:pt idx="4">
                  <c:v>0</c:v>
                </c:pt>
                <c:pt idx="5">
                  <c:v>0</c:v>
                </c:pt>
                <c:pt idx="6">
                  <c:v>0</c:v>
                </c:pt>
              </c:numCache>
            </c:numRef>
          </c:val>
          <c:extLst>
            <c:ext xmlns:c16="http://schemas.microsoft.com/office/drawing/2014/chart" uri="{C3380CC4-5D6E-409C-BE32-E72D297353CC}">
              <c16:uniqueId val="{00000003-416A-4386-BB55-ED852A9F3CB0}"/>
            </c:ext>
          </c:extLst>
        </c:ser>
        <c:ser>
          <c:idx val="4"/>
          <c:order val="4"/>
          <c:spPr>
            <a:noFill/>
            <a:ln>
              <a:noFill/>
            </a:ln>
            <a:effectLst/>
          </c:spPr>
          <c:invertIfNegative val="0"/>
          <c:cat>
            <c:strRef>
              <c:f>Processing!$K$24:$Q$24</c:f>
              <c:strCache>
                <c:ptCount val="7"/>
                <c:pt idx="0">
                  <c:v>SU</c:v>
                </c:pt>
                <c:pt idx="1">
                  <c:v>MO</c:v>
                </c:pt>
                <c:pt idx="2">
                  <c:v>TU</c:v>
                </c:pt>
                <c:pt idx="3">
                  <c:v>WE</c:v>
                </c:pt>
                <c:pt idx="4">
                  <c:v>TH</c:v>
                </c:pt>
                <c:pt idx="5">
                  <c:v>FR</c:v>
                </c:pt>
                <c:pt idx="6">
                  <c:v>SA</c:v>
                </c:pt>
              </c:strCache>
            </c:strRef>
          </c:cat>
          <c:val>
            <c:numRef>
              <c:f>Processing!$K$29:$Q$29</c:f>
              <c:numCache>
                <c:formatCode>General</c:formatCode>
                <c:ptCount val="7"/>
                <c:pt idx="0">
                  <c:v>0</c:v>
                </c:pt>
                <c:pt idx="1">
                  <c:v>0</c:v>
                </c:pt>
                <c:pt idx="2">
                  <c:v>0</c:v>
                </c:pt>
                <c:pt idx="3">
                  <c:v>0</c:v>
                </c:pt>
                <c:pt idx="4">
                  <c:v>0</c:v>
                </c:pt>
                <c:pt idx="5">
                  <c:v>0</c:v>
                </c:pt>
                <c:pt idx="6">
                  <c:v>0</c:v>
                </c:pt>
              </c:numCache>
            </c:numRef>
          </c:val>
          <c:extLst>
            <c:ext xmlns:c16="http://schemas.microsoft.com/office/drawing/2014/chart" uri="{C3380CC4-5D6E-409C-BE32-E72D297353CC}">
              <c16:uniqueId val="{00000004-416A-4386-BB55-ED852A9F3CB0}"/>
            </c:ext>
          </c:extLst>
        </c:ser>
        <c:ser>
          <c:idx val="5"/>
          <c:order val="5"/>
          <c:spPr>
            <a:blipFill>
              <a:blip xmlns:r="http://schemas.openxmlformats.org/officeDocument/2006/relationships" r:embed="rId1"/>
              <a:stretch>
                <a:fillRect/>
              </a:stretch>
            </a:blipFill>
            <a:ln>
              <a:noFill/>
            </a:ln>
            <a:effectLst/>
          </c:spPr>
          <c:invertIfNegative val="0"/>
          <c:cat>
            <c:strRef>
              <c:f>Processing!$K$24:$Q$24</c:f>
              <c:strCache>
                <c:ptCount val="7"/>
                <c:pt idx="0">
                  <c:v>SU</c:v>
                </c:pt>
                <c:pt idx="1">
                  <c:v>MO</c:v>
                </c:pt>
                <c:pt idx="2">
                  <c:v>TU</c:v>
                </c:pt>
                <c:pt idx="3">
                  <c:v>WE</c:v>
                </c:pt>
                <c:pt idx="4">
                  <c:v>TH</c:v>
                </c:pt>
                <c:pt idx="5">
                  <c:v>FR</c:v>
                </c:pt>
                <c:pt idx="6">
                  <c:v>SA</c:v>
                </c:pt>
              </c:strCache>
            </c:strRef>
          </c:cat>
          <c:val>
            <c:numRef>
              <c:f>Processing!$K$30:$Q$30</c:f>
              <c:numCache>
                <c:formatCode>General</c:formatCode>
                <c:ptCount val="7"/>
                <c:pt idx="0">
                  <c:v>1</c:v>
                </c:pt>
                <c:pt idx="1">
                  <c:v>1</c:v>
                </c:pt>
                <c:pt idx="2">
                  <c:v>1</c:v>
                </c:pt>
                <c:pt idx="3">
                  <c:v>1</c:v>
                </c:pt>
                <c:pt idx="4">
                  <c:v>1</c:v>
                </c:pt>
                <c:pt idx="5">
                  <c:v>1</c:v>
                </c:pt>
                <c:pt idx="6">
                  <c:v>0</c:v>
                </c:pt>
              </c:numCache>
            </c:numRef>
          </c:val>
          <c:extLst>
            <c:ext xmlns:c16="http://schemas.microsoft.com/office/drawing/2014/chart" uri="{C3380CC4-5D6E-409C-BE32-E72D297353CC}">
              <c16:uniqueId val="{00000005-416A-4386-BB55-ED852A9F3CB0}"/>
            </c:ext>
          </c:extLst>
        </c:ser>
        <c:ser>
          <c:idx val="6"/>
          <c:order val="6"/>
          <c:spPr>
            <a:blipFill>
              <a:blip xmlns:r="http://schemas.openxmlformats.org/officeDocument/2006/relationships" r:embed="rId2"/>
              <a:stretch>
                <a:fillRect/>
              </a:stretch>
            </a:blipFill>
            <a:ln>
              <a:noFill/>
            </a:ln>
            <a:effectLst/>
          </c:spPr>
          <c:invertIfNegative val="0"/>
          <c:cat>
            <c:strRef>
              <c:f>Processing!$K$24:$Q$24</c:f>
              <c:strCache>
                <c:ptCount val="7"/>
                <c:pt idx="0">
                  <c:v>SU</c:v>
                </c:pt>
                <c:pt idx="1">
                  <c:v>MO</c:v>
                </c:pt>
                <c:pt idx="2">
                  <c:v>TU</c:v>
                </c:pt>
                <c:pt idx="3">
                  <c:v>WE</c:v>
                </c:pt>
                <c:pt idx="4">
                  <c:v>TH</c:v>
                </c:pt>
                <c:pt idx="5">
                  <c:v>FR</c:v>
                </c:pt>
                <c:pt idx="6">
                  <c:v>SA</c:v>
                </c:pt>
              </c:strCache>
            </c:strRef>
          </c:cat>
          <c:val>
            <c:numRef>
              <c:f>Processing!$K$31:$Q$31</c:f>
              <c:numCache>
                <c:formatCode>General</c:formatCode>
                <c:ptCount val="7"/>
                <c:pt idx="0">
                  <c:v>0</c:v>
                </c:pt>
                <c:pt idx="1">
                  <c:v>0</c:v>
                </c:pt>
                <c:pt idx="2">
                  <c:v>0</c:v>
                </c:pt>
                <c:pt idx="3">
                  <c:v>0</c:v>
                </c:pt>
                <c:pt idx="4">
                  <c:v>0</c:v>
                </c:pt>
                <c:pt idx="5">
                  <c:v>0</c:v>
                </c:pt>
                <c:pt idx="6">
                  <c:v>1</c:v>
                </c:pt>
              </c:numCache>
            </c:numRef>
          </c:val>
          <c:extLst>
            <c:ext xmlns:c16="http://schemas.microsoft.com/office/drawing/2014/chart" uri="{C3380CC4-5D6E-409C-BE32-E72D297353CC}">
              <c16:uniqueId val="{00000006-416A-4386-BB55-ED852A9F3CB0}"/>
            </c:ext>
          </c:extLst>
        </c:ser>
        <c:ser>
          <c:idx val="7"/>
          <c:order val="7"/>
          <c:spPr>
            <a:blipFill>
              <a:blip xmlns:r="http://schemas.openxmlformats.org/officeDocument/2006/relationships" r:embed="rId3"/>
              <a:stretch>
                <a:fillRect/>
              </a:stretch>
            </a:blipFill>
            <a:ln>
              <a:noFill/>
            </a:ln>
            <a:effectLst/>
          </c:spPr>
          <c:invertIfNegative val="0"/>
          <c:cat>
            <c:strRef>
              <c:f>Processing!$K$24:$Q$24</c:f>
              <c:strCache>
                <c:ptCount val="7"/>
                <c:pt idx="0">
                  <c:v>SU</c:v>
                </c:pt>
                <c:pt idx="1">
                  <c:v>MO</c:v>
                </c:pt>
                <c:pt idx="2">
                  <c:v>TU</c:v>
                </c:pt>
                <c:pt idx="3">
                  <c:v>WE</c:v>
                </c:pt>
                <c:pt idx="4">
                  <c:v>TH</c:v>
                </c:pt>
                <c:pt idx="5">
                  <c:v>FR</c:v>
                </c:pt>
                <c:pt idx="6">
                  <c:v>SA</c:v>
                </c:pt>
              </c:strCache>
            </c:strRef>
          </c:cat>
          <c:val>
            <c:numRef>
              <c:f>Processing!$K$32:$Q$32</c:f>
              <c:numCache>
                <c:formatCode>General</c:formatCode>
                <c:ptCount val="7"/>
                <c:pt idx="0">
                  <c:v>0</c:v>
                </c:pt>
                <c:pt idx="1">
                  <c:v>0</c:v>
                </c:pt>
                <c:pt idx="2">
                  <c:v>0</c:v>
                </c:pt>
                <c:pt idx="3">
                  <c:v>0</c:v>
                </c:pt>
                <c:pt idx="4">
                  <c:v>0</c:v>
                </c:pt>
                <c:pt idx="5">
                  <c:v>0</c:v>
                </c:pt>
                <c:pt idx="6">
                  <c:v>0</c:v>
                </c:pt>
              </c:numCache>
            </c:numRef>
          </c:val>
          <c:extLst>
            <c:ext xmlns:c16="http://schemas.microsoft.com/office/drawing/2014/chart" uri="{C3380CC4-5D6E-409C-BE32-E72D297353CC}">
              <c16:uniqueId val="{00000007-416A-4386-BB55-ED852A9F3CB0}"/>
            </c:ext>
          </c:extLst>
        </c:ser>
        <c:ser>
          <c:idx val="8"/>
          <c:order val="8"/>
          <c:spPr>
            <a:noFill/>
            <a:ln>
              <a:noFill/>
            </a:ln>
            <a:effectLst/>
          </c:spPr>
          <c:invertIfNegative val="0"/>
          <c:cat>
            <c:strRef>
              <c:f>Processing!$K$24:$Q$24</c:f>
              <c:strCache>
                <c:ptCount val="7"/>
                <c:pt idx="0">
                  <c:v>SU</c:v>
                </c:pt>
                <c:pt idx="1">
                  <c:v>MO</c:v>
                </c:pt>
                <c:pt idx="2">
                  <c:v>TU</c:v>
                </c:pt>
                <c:pt idx="3">
                  <c:v>WE</c:v>
                </c:pt>
                <c:pt idx="4">
                  <c:v>TH</c:v>
                </c:pt>
                <c:pt idx="5">
                  <c:v>FR</c:v>
                </c:pt>
                <c:pt idx="6">
                  <c:v>SA</c:v>
                </c:pt>
              </c:strCache>
            </c:strRef>
          </c:cat>
          <c:val>
            <c:numRef>
              <c:f>Processing!$K$33:$Q$33</c:f>
              <c:numCache>
                <c:formatCode>General</c:formatCode>
                <c:ptCount val="7"/>
                <c:pt idx="0">
                  <c:v>0</c:v>
                </c:pt>
                <c:pt idx="1">
                  <c:v>0</c:v>
                </c:pt>
                <c:pt idx="2">
                  <c:v>0</c:v>
                </c:pt>
                <c:pt idx="3">
                  <c:v>0</c:v>
                </c:pt>
                <c:pt idx="4">
                  <c:v>0</c:v>
                </c:pt>
                <c:pt idx="5">
                  <c:v>0</c:v>
                </c:pt>
                <c:pt idx="6">
                  <c:v>0</c:v>
                </c:pt>
              </c:numCache>
            </c:numRef>
          </c:val>
          <c:extLst>
            <c:ext xmlns:c16="http://schemas.microsoft.com/office/drawing/2014/chart" uri="{C3380CC4-5D6E-409C-BE32-E72D297353CC}">
              <c16:uniqueId val="{00000008-416A-4386-BB55-ED852A9F3CB0}"/>
            </c:ext>
          </c:extLst>
        </c:ser>
        <c:ser>
          <c:idx val="9"/>
          <c:order val="9"/>
          <c:spPr>
            <a:blipFill>
              <a:blip xmlns:r="http://schemas.openxmlformats.org/officeDocument/2006/relationships" r:embed="rId1"/>
              <a:stretch>
                <a:fillRect/>
              </a:stretch>
            </a:blipFill>
            <a:ln>
              <a:noFill/>
            </a:ln>
            <a:effectLst/>
          </c:spPr>
          <c:invertIfNegative val="0"/>
          <c:cat>
            <c:strRef>
              <c:f>Processing!$K$24:$Q$24</c:f>
              <c:strCache>
                <c:ptCount val="7"/>
                <c:pt idx="0">
                  <c:v>SU</c:v>
                </c:pt>
                <c:pt idx="1">
                  <c:v>MO</c:v>
                </c:pt>
                <c:pt idx="2">
                  <c:v>TU</c:v>
                </c:pt>
                <c:pt idx="3">
                  <c:v>WE</c:v>
                </c:pt>
                <c:pt idx="4">
                  <c:v>TH</c:v>
                </c:pt>
                <c:pt idx="5">
                  <c:v>FR</c:v>
                </c:pt>
                <c:pt idx="6">
                  <c:v>SA</c:v>
                </c:pt>
              </c:strCache>
            </c:strRef>
          </c:cat>
          <c:val>
            <c:numRef>
              <c:f>Processing!$K$34:$Q$34</c:f>
              <c:numCache>
                <c:formatCode>General</c:formatCode>
                <c:ptCount val="7"/>
                <c:pt idx="0">
                  <c:v>0</c:v>
                </c:pt>
                <c:pt idx="1">
                  <c:v>1</c:v>
                </c:pt>
                <c:pt idx="2">
                  <c:v>0</c:v>
                </c:pt>
                <c:pt idx="3">
                  <c:v>0</c:v>
                </c:pt>
                <c:pt idx="4">
                  <c:v>0</c:v>
                </c:pt>
                <c:pt idx="5">
                  <c:v>1</c:v>
                </c:pt>
                <c:pt idx="6">
                  <c:v>1</c:v>
                </c:pt>
              </c:numCache>
            </c:numRef>
          </c:val>
          <c:extLst>
            <c:ext xmlns:c16="http://schemas.microsoft.com/office/drawing/2014/chart" uri="{C3380CC4-5D6E-409C-BE32-E72D297353CC}">
              <c16:uniqueId val="{00000009-416A-4386-BB55-ED852A9F3CB0}"/>
            </c:ext>
          </c:extLst>
        </c:ser>
        <c:ser>
          <c:idx val="10"/>
          <c:order val="10"/>
          <c:spPr>
            <a:blipFill>
              <a:blip xmlns:r="http://schemas.openxmlformats.org/officeDocument/2006/relationships" r:embed="rId2"/>
              <a:stretch>
                <a:fillRect/>
              </a:stretch>
            </a:blipFill>
            <a:ln>
              <a:noFill/>
            </a:ln>
            <a:effectLst/>
          </c:spPr>
          <c:invertIfNegative val="0"/>
          <c:cat>
            <c:strRef>
              <c:f>Processing!$K$24:$Q$24</c:f>
              <c:strCache>
                <c:ptCount val="7"/>
                <c:pt idx="0">
                  <c:v>SU</c:v>
                </c:pt>
                <c:pt idx="1">
                  <c:v>MO</c:v>
                </c:pt>
                <c:pt idx="2">
                  <c:v>TU</c:v>
                </c:pt>
                <c:pt idx="3">
                  <c:v>WE</c:v>
                </c:pt>
                <c:pt idx="4">
                  <c:v>TH</c:v>
                </c:pt>
                <c:pt idx="5">
                  <c:v>FR</c:v>
                </c:pt>
                <c:pt idx="6">
                  <c:v>SA</c:v>
                </c:pt>
              </c:strCache>
            </c:strRef>
          </c:cat>
          <c:val>
            <c:numRef>
              <c:f>Processing!$K$35:$Q$35</c:f>
              <c:numCache>
                <c:formatCode>General</c:formatCode>
                <c:ptCount val="7"/>
                <c:pt idx="0">
                  <c:v>1</c:v>
                </c:pt>
                <c:pt idx="1">
                  <c:v>0</c:v>
                </c:pt>
                <c:pt idx="2">
                  <c:v>1</c:v>
                </c:pt>
                <c:pt idx="3">
                  <c:v>1</c:v>
                </c:pt>
                <c:pt idx="4">
                  <c:v>1</c:v>
                </c:pt>
                <c:pt idx="5">
                  <c:v>0</c:v>
                </c:pt>
                <c:pt idx="6">
                  <c:v>0</c:v>
                </c:pt>
              </c:numCache>
            </c:numRef>
          </c:val>
          <c:extLst>
            <c:ext xmlns:c16="http://schemas.microsoft.com/office/drawing/2014/chart" uri="{C3380CC4-5D6E-409C-BE32-E72D297353CC}">
              <c16:uniqueId val="{0000000A-416A-4386-BB55-ED852A9F3CB0}"/>
            </c:ext>
          </c:extLst>
        </c:ser>
        <c:ser>
          <c:idx val="11"/>
          <c:order val="11"/>
          <c:spPr>
            <a:blipFill>
              <a:blip xmlns:r="http://schemas.openxmlformats.org/officeDocument/2006/relationships" r:embed="rId3"/>
              <a:stretch>
                <a:fillRect/>
              </a:stretch>
            </a:blipFill>
            <a:ln>
              <a:noFill/>
            </a:ln>
            <a:effectLst/>
          </c:spPr>
          <c:invertIfNegative val="0"/>
          <c:cat>
            <c:strRef>
              <c:f>Processing!$K$24:$Q$24</c:f>
              <c:strCache>
                <c:ptCount val="7"/>
                <c:pt idx="0">
                  <c:v>SU</c:v>
                </c:pt>
                <c:pt idx="1">
                  <c:v>MO</c:v>
                </c:pt>
                <c:pt idx="2">
                  <c:v>TU</c:v>
                </c:pt>
                <c:pt idx="3">
                  <c:v>WE</c:v>
                </c:pt>
                <c:pt idx="4">
                  <c:v>TH</c:v>
                </c:pt>
                <c:pt idx="5">
                  <c:v>FR</c:v>
                </c:pt>
                <c:pt idx="6">
                  <c:v>SA</c:v>
                </c:pt>
              </c:strCache>
            </c:strRef>
          </c:cat>
          <c:val>
            <c:numRef>
              <c:f>Processing!$K$36:$Q$36</c:f>
              <c:numCache>
                <c:formatCode>General</c:formatCode>
                <c:ptCount val="7"/>
                <c:pt idx="0">
                  <c:v>0</c:v>
                </c:pt>
                <c:pt idx="1">
                  <c:v>0</c:v>
                </c:pt>
                <c:pt idx="2">
                  <c:v>0</c:v>
                </c:pt>
                <c:pt idx="3">
                  <c:v>0</c:v>
                </c:pt>
                <c:pt idx="4">
                  <c:v>0</c:v>
                </c:pt>
                <c:pt idx="5">
                  <c:v>0</c:v>
                </c:pt>
                <c:pt idx="6">
                  <c:v>0</c:v>
                </c:pt>
              </c:numCache>
            </c:numRef>
          </c:val>
          <c:extLst>
            <c:ext xmlns:c16="http://schemas.microsoft.com/office/drawing/2014/chart" uri="{C3380CC4-5D6E-409C-BE32-E72D297353CC}">
              <c16:uniqueId val="{0000000B-416A-4386-BB55-ED852A9F3CB0}"/>
            </c:ext>
          </c:extLst>
        </c:ser>
        <c:ser>
          <c:idx val="12"/>
          <c:order val="12"/>
          <c:spPr>
            <a:noFill/>
            <a:ln>
              <a:noFill/>
            </a:ln>
            <a:effectLst/>
          </c:spPr>
          <c:invertIfNegative val="0"/>
          <c:cat>
            <c:strRef>
              <c:f>Processing!$K$24:$Q$24</c:f>
              <c:strCache>
                <c:ptCount val="7"/>
                <c:pt idx="0">
                  <c:v>SU</c:v>
                </c:pt>
                <c:pt idx="1">
                  <c:v>MO</c:v>
                </c:pt>
                <c:pt idx="2">
                  <c:v>TU</c:v>
                </c:pt>
                <c:pt idx="3">
                  <c:v>WE</c:v>
                </c:pt>
                <c:pt idx="4">
                  <c:v>TH</c:v>
                </c:pt>
                <c:pt idx="5">
                  <c:v>FR</c:v>
                </c:pt>
                <c:pt idx="6">
                  <c:v>SA</c:v>
                </c:pt>
              </c:strCache>
            </c:strRef>
          </c:cat>
          <c:val>
            <c:numRef>
              <c:f>Processing!$K$37:$Q$37</c:f>
              <c:numCache>
                <c:formatCode>General</c:formatCode>
                <c:ptCount val="7"/>
                <c:pt idx="0">
                  <c:v>0</c:v>
                </c:pt>
                <c:pt idx="1">
                  <c:v>0</c:v>
                </c:pt>
                <c:pt idx="2">
                  <c:v>0</c:v>
                </c:pt>
                <c:pt idx="3">
                  <c:v>0</c:v>
                </c:pt>
                <c:pt idx="4">
                  <c:v>0</c:v>
                </c:pt>
                <c:pt idx="5">
                  <c:v>0</c:v>
                </c:pt>
                <c:pt idx="6">
                  <c:v>0</c:v>
                </c:pt>
              </c:numCache>
            </c:numRef>
          </c:val>
          <c:extLst>
            <c:ext xmlns:c16="http://schemas.microsoft.com/office/drawing/2014/chart" uri="{C3380CC4-5D6E-409C-BE32-E72D297353CC}">
              <c16:uniqueId val="{0000000C-416A-4386-BB55-ED852A9F3CB0}"/>
            </c:ext>
          </c:extLst>
        </c:ser>
        <c:ser>
          <c:idx val="13"/>
          <c:order val="13"/>
          <c:spPr>
            <a:blipFill>
              <a:blip xmlns:r="http://schemas.openxmlformats.org/officeDocument/2006/relationships" r:embed="rId1"/>
              <a:stretch>
                <a:fillRect/>
              </a:stretch>
            </a:blipFill>
            <a:ln>
              <a:noFill/>
            </a:ln>
            <a:effectLst/>
          </c:spPr>
          <c:invertIfNegative val="0"/>
          <c:cat>
            <c:strRef>
              <c:f>Processing!$K$24:$Q$24</c:f>
              <c:strCache>
                <c:ptCount val="7"/>
                <c:pt idx="0">
                  <c:v>SU</c:v>
                </c:pt>
                <c:pt idx="1">
                  <c:v>MO</c:v>
                </c:pt>
                <c:pt idx="2">
                  <c:v>TU</c:v>
                </c:pt>
                <c:pt idx="3">
                  <c:v>WE</c:v>
                </c:pt>
                <c:pt idx="4">
                  <c:v>TH</c:v>
                </c:pt>
                <c:pt idx="5">
                  <c:v>FR</c:v>
                </c:pt>
                <c:pt idx="6">
                  <c:v>SA</c:v>
                </c:pt>
              </c:strCache>
            </c:strRef>
          </c:cat>
          <c:val>
            <c:numRef>
              <c:f>Processing!$K$38:$Q$38</c:f>
              <c:numCache>
                <c:formatCode>General</c:formatCode>
                <c:ptCount val="7"/>
                <c:pt idx="0">
                  <c:v>0</c:v>
                </c:pt>
                <c:pt idx="1">
                  <c:v>0</c:v>
                </c:pt>
                <c:pt idx="2">
                  <c:v>0</c:v>
                </c:pt>
                <c:pt idx="3">
                  <c:v>1</c:v>
                </c:pt>
                <c:pt idx="4">
                  <c:v>0</c:v>
                </c:pt>
                <c:pt idx="5">
                  <c:v>0</c:v>
                </c:pt>
                <c:pt idx="6">
                  <c:v>0</c:v>
                </c:pt>
              </c:numCache>
            </c:numRef>
          </c:val>
          <c:extLst>
            <c:ext xmlns:c16="http://schemas.microsoft.com/office/drawing/2014/chart" uri="{C3380CC4-5D6E-409C-BE32-E72D297353CC}">
              <c16:uniqueId val="{0000000D-416A-4386-BB55-ED852A9F3CB0}"/>
            </c:ext>
          </c:extLst>
        </c:ser>
        <c:ser>
          <c:idx val="14"/>
          <c:order val="14"/>
          <c:spPr>
            <a:blipFill>
              <a:blip xmlns:r="http://schemas.openxmlformats.org/officeDocument/2006/relationships" r:embed="rId2"/>
              <a:stretch>
                <a:fillRect/>
              </a:stretch>
            </a:blipFill>
            <a:ln>
              <a:noFill/>
            </a:ln>
            <a:effectLst/>
          </c:spPr>
          <c:invertIfNegative val="0"/>
          <c:cat>
            <c:strRef>
              <c:f>Processing!$K$24:$Q$24</c:f>
              <c:strCache>
                <c:ptCount val="7"/>
                <c:pt idx="0">
                  <c:v>SU</c:v>
                </c:pt>
                <c:pt idx="1">
                  <c:v>MO</c:v>
                </c:pt>
                <c:pt idx="2">
                  <c:v>TU</c:v>
                </c:pt>
                <c:pt idx="3">
                  <c:v>WE</c:v>
                </c:pt>
                <c:pt idx="4">
                  <c:v>TH</c:v>
                </c:pt>
                <c:pt idx="5">
                  <c:v>FR</c:v>
                </c:pt>
                <c:pt idx="6">
                  <c:v>SA</c:v>
                </c:pt>
              </c:strCache>
            </c:strRef>
          </c:cat>
          <c:val>
            <c:numRef>
              <c:f>Processing!$K$39:$Q$39</c:f>
              <c:numCache>
                <c:formatCode>General</c:formatCode>
                <c:ptCount val="7"/>
                <c:pt idx="0">
                  <c:v>1</c:v>
                </c:pt>
                <c:pt idx="1">
                  <c:v>1</c:v>
                </c:pt>
                <c:pt idx="2">
                  <c:v>1</c:v>
                </c:pt>
                <c:pt idx="3">
                  <c:v>0</c:v>
                </c:pt>
                <c:pt idx="4">
                  <c:v>0</c:v>
                </c:pt>
                <c:pt idx="5">
                  <c:v>1</c:v>
                </c:pt>
                <c:pt idx="6">
                  <c:v>1</c:v>
                </c:pt>
              </c:numCache>
            </c:numRef>
          </c:val>
          <c:extLst>
            <c:ext xmlns:c16="http://schemas.microsoft.com/office/drawing/2014/chart" uri="{C3380CC4-5D6E-409C-BE32-E72D297353CC}">
              <c16:uniqueId val="{0000000E-416A-4386-BB55-ED852A9F3CB0}"/>
            </c:ext>
          </c:extLst>
        </c:ser>
        <c:ser>
          <c:idx val="15"/>
          <c:order val="15"/>
          <c:spPr>
            <a:blipFill>
              <a:blip xmlns:r="http://schemas.openxmlformats.org/officeDocument/2006/relationships" r:embed="rId3"/>
              <a:stretch>
                <a:fillRect/>
              </a:stretch>
            </a:blipFill>
            <a:ln>
              <a:noFill/>
            </a:ln>
            <a:effectLst/>
          </c:spPr>
          <c:invertIfNegative val="0"/>
          <c:cat>
            <c:strRef>
              <c:f>Processing!$K$24:$Q$24</c:f>
              <c:strCache>
                <c:ptCount val="7"/>
                <c:pt idx="0">
                  <c:v>SU</c:v>
                </c:pt>
                <c:pt idx="1">
                  <c:v>MO</c:v>
                </c:pt>
                <c:pt idx="2">
                  <c:v>TU</c:v>
                </c:pt>
                <c:pt idx="3">
                  <c:v>WE</c:v>
                </c:pt>
                <c:pt idx="4">
                  <c:v>TH</c:v>
                </c:pt>
                <c:pt idx="5">
                  <c:v>FR</c:v>
                </c:pt>
                <c:pt idx="6">
                  <c:v>SA</c:v>
                </c:pt>
              </c:strCache>
            </c:strRef>
          </c:cat>
          <c:val>
            <c:numRef>
              <c:f>Processing!$K$40:$Q$40</c:f>
              <c:numCache>
                <c:formatCode>General</c:formatCode>
                <c:ptCount val="7"/>
                <c:pt idx="0">
                  <c:v>0</c:v>
                </c:pt>
                <c:pt idx="1">
                  <c:v>0</c:v>
                </c:pt>
                <c:pt idx="2">
                  <c:v>0</c:v>
                </c:pt>
                <c:pt idx="3">
                  <c:v>0</c:v>
                </c:pt>
                <c:pt idx="4">
                  <c:v>1</c:v>
                </c:pt>
                <c:pt idx="5">
                  <c:v>0</c:v>
                </c:pt>
                <c:pt idx="6">
                  <c:v>0</c:v>
                </c:pt>
              </c:numCache>
            </c:numRef>
          </c:val>
          <c:extLst>
            <c:ext xmlns:c16="http://schemas.microsoft.com/office/drawing/2014/chart" uri="{C3380CC4-5D6E-409C-BE32-E72D297353CC}">
              <c16:uniqueId val="{0000000F-416A-4386-BB55-ED852A9F3CB0}"/>
            </c:ext>
          </c:extLst>
        </c:ser>
        <c:ser>
          <c:idx val="16"/>
          <c:order val="16"/>
          <c:spPr>
            <a:noFill/>
            <a:ln>
              <a:noFill/>
            </a:ln>
            <a:effectLst/>
          </c:spPr>
          <c:invertIfNegative val="0"/>
          <c:cat>
            <c:strRef>
              <c:f>Processing!$K$24:$Q$24</c:f>
              <c:strCache>
                <c:ptCount val="7"/>
                <c:pt idx="0">
                  <c:v>SU</c:v>
                </c:pt>
                <c:pt idx="1">
                  <c:v>MO</c:v>
                </c:pt>
                <c:pt idx="2">
                  <c:v>TU</c:v>
                </c:pt>
                <c:pt idx="3">
                  <c:v>WE</c:v>
                </c:pt>
                <c:pt idx="4">
                  <c:v>TH</c:v>
                </c:pt>
                <c:pt idx="5">
                  <c:v>FR</c:v>
                </c:pt>
                <c:pt idx="6">
                  <c:v>SA</c:v>
                </c:pt>
              </c:strCache>
            </c:strRef>
          </c:cat>
          <c:val>
            <c:numRef>
              <c:f>Processing!$K$41:$Q$41</c:f>
              <c:numCache>
                <c:formatCode>General</c:formatCode>
                <c:ptCount val="7"/>
                <c:pt idx="0">
                  <c:v>0</c:v>
                </c:pt>
                <c:pt idx="1">
                  <c:v>0</c:v>
                </c:pt>
                <c:pt idx="2">
                  <c:v>0</c:v>
                </c:pt>
                <c:pt idx="3">
                  <c:v>0</c:v>
                </c:pt>
                <c:pt idx="4">
                  <c:v>0</c:v>
                </c:pt>
                <c:pt idx="5">
                  <c:v>0</c:v>
                </c:pt>
                <c:pt idx="6">
                  <c:v>1</c:v>
                </c:pt>
              </c:numCache>
            </c:numRef>
          </c:val>
          <c:extLst>
            <c:ext xmlns:c16="http://schemas.microsoft.com/office/drawing/2014/chart" uri="{C3380CC4-5D6E-409C-BE32-E72D297353CC}">
              <c16:uniqueId val="{00000010-416A-4386-BB55-ED852A9F3CB0}"/>
            </c:ext>
          </c:extLst>
        </c:ser>
        <c:ser>
          <c:idx val="17"/>
          <c:order val="17"/>
          <c:spPr>
            <a:blipFill>
              <a:blip xmlns:r="http://schemas.openxmlformats.org/officeDocument/2006/relationships" r:embed="rId1"/>
              <a:stretch>
                <a:fillRect/>
              </a:stretch>
            </a:blipFill>
            <a:ln>
              <a:noFill/>
            </a:ln>
            <a:effectLst/>
          </c:spPr>
          <c:invertIfNegative val="0"/>
          <c:cat>
            <c:strRef>
              <c:f>Processing!$K$24:$Q$24</c:f>
              <c:strCache>
                <c:ptCount val="7"/>
                <c:pt idx="0">
                  <c:v>SU</c:v>
                </c:pt>
                <c:pt idx="1">
                  <c:v>MO</c:v>
                </c:pt>
                <c:pt idx="2">
                  <c:v>TU</c:v>
                </c:pt>
                <c:pt idx="3">
                  <c:v>WE</c:v>
                </c:pt>
                <c:pt idx="4">
                  <c:v>TH</c:v>
                </c:pt>
                <c:pt idx="5">
                  <c:v>FR</c:v>
                </c:pt>
                <c:pt idx="6">
                  <c:v>SA</c:v>
                </c:pt>
              </c:strCache>
            </c:strRef>
          </c:cat>
          <c:val>
            <c:numRef>
              <c:f>Processing!$K$42:$Q$42</c:f>
              <c:numCache>
                <c:formatCode>General</c:formatCode>
                <c:ptCount val="7"/>
                <c:pt idx="0">
                  <c:v>1</c:v>
                </c:pt>
                <c:pt idx="1">
                  <c:v>0</c:v>
                </c:pt>
                <c:pt idx="2">
                  <c:v>1</c:v>
                </c:pt>
                <c:pt idx="3">
                  <c:v>1</c:v>
                </c:pt>
                <c:pt idx="4">
                  <c:v>1</c:v>
                </c:pt>
                <c:pt idx="5">
                  <c:v>1</c:v>
                </c:pt>
                <c:pt idx="6">
                  <c:v>0</c:v>
                </c:pt>
              </c:numCache>
            </c:numRef>
          </c:val>
          <c:extLst>
            <c:ext xmlns:c16="http://schemas.microsoft.com/office/drawing/2014/chart" uri="{C3380CC4-5D6E-409C-BE32-E72D297353CC}">
              <c16:uniqueId val="{00000011-416A-4386-BB55-ED852A9F3CB0}"/>
            </c:ext>
          </c:extLst>
        </c:ser>
        <c:ser>
          <c:idx val="18"/>
          <c:order val="18"/>
          <c:spPr>
            <a:blipFill>
              <a:blip xmlns:r="http://schemas.openxmlformats.org/officeDocument/2006/relationships" r:embed="rId2"/>
              <a:stretch>
                <a:fillRect/>
              </a:stretch>
            </a:blipFill>
            <a:ln>
              <a:noFill/>
            </a:ln>
            <a:effectLst/>
          </c:spPr>
          <c:invertIfNegative val="0"/>
          <c:cat>
            <c:strRef>
              <c:f>Processing!$K$24:$Q$24</c:f>
              <c:strCache>
                <c:ptCount val="7"/>
                <c:pt idx="0">
                  <c:v>SU</c:v>
                </c:pt>
                <c:pt idx="1">
                  <c:v>MO</c:v>
                </c:pt>
                <c:pt idx="2">
                  <c:v>TU</c:v>
                </c:pt>
                <c:pt idx="3">
                  <c:v>WE</c:v>
                </c:pt>
                <c:pt idx="4">
                  <c:v>TH</c:v>
                </c:pt>
                <c:pt idx="5">
                  <c:v>FR</c:v>
                </c:pt>
                <c:pt idx="6">
                  <c:v>SA</c:v>
                </c:pt>
              </c:strCache>
            </c:strRef>
          </c:cat>
          <c:val>
            <c:numRef>
              <c:f>Processing!$K$43:$Q$43</c:f>
              <c:numCache>
                <c:formatCode>General</c:formatCode>
                <c:ptCount val="7"/>
                <c:pt idx="0">
                  <c:v>0</c:v>
                </c:pt>
                <c:pt idx="1">
                  <c:v>0</c:v>
                </c:pt>
                <c:pt idx="2">
                  <c:v>0</c:v>
                </c:pt>
                <c:pt idx="3">
                  <c:v>0</c:v>
                </c:pt>
                <c:pt idx="4">
                  <c:v>0</c:v>
                </c:pt>
                <c:pt idx="5">
                  <c:v>0</c:v>
                </c:pt>
                <c:pt idx="6">
                  <c:v>0</c:v>
                </c:pt>
              </c:numCache>
            </c:numRef>
          </c:val>
          <c:extLst>
            <c:ext xmlns:c16="http://schemas.microsoft.com/office/drawing/2014/chart" uri="{C3380CC4-5D6E-409C-BE32-E72D297353CC}">
              <c16:uniqueId val="{00000012-416A-4386-BB55-ED852A9F3CB0}"/>
            </c:ext>
          </c:extLst>
        </c:ser>
        <c:ser>
          <c:idx val="19"/>
          <c:order val="19"/>
          <c:spPr>
            <a:blipFill>
              <a:blip xmlns:r="http://schemas.openxmlformats.org/officeDocument/2006/relationships" r:embed="rId3"/>
              <a:stretch>
                <a:fillRect/>
              </a:stretch>
            </a:blipFill>
            <a:ln>
              <a:noFill/>
            </a:ln>
            <a:effectLst/>
          </c:spPr>
          <c:invertIfNegative val="0"/>
          <c:cat>
            <c:strRef>
              <c:f>Processing!$K$24:$Q$24</c:f>
              <c:strCache>
                <c:ptCount val="7"/>
                <c:pt idx="0">
                  <c:v>SU</c:v>
                </c:pt>
                <c:pt idx="1">
                  <c:v>MO</c:v>
                </c:pt>
                <c:pt idx="2">
                  <c:v>TU</c:v>
                </c:pt>
                <c:pt idx="3">
                  <c:v>WE</c:v>
                </c:pt>
                <c:pt idx="4">
                  <c:v>TH</c:v>
                </c:pt>
                <c:pt idx="5">
                  <c:v>FR</c:v>
                </c:pt>
                <c:pt idx="6">
                  <c:v>SA</c:v>
                </c:pt>
              </c:strCache>
            </c:strRef>
          </c:cat>
          <c:val>
            <c:numRef>
              <c:f>Processing!$K$44:$Q$44</c:f>
              <c:numCache>
                <c:formatCode>General</c:formatCode>
                <c:ptCount val="7"/>
                <c:pt idx="0">
                  <c:v>0</c:v>
                </c:pt>
                <c:pt idx="1">
                  <c:v>1</c:v>
                </c:pt>
                <c:pt idx="2">
                  <c:v>0</c:v>
                </c:pt>
                <c:pt idx="3">
                  <c:v>0</c:v>
                </c:pt>
                <c:pt idx="4">
                  <c:v>0</c:v>
                </c:pt>
                <c:pt idx="5">
                  <c:v>0</c:v>
                </c:pt>
                <c:pt idx="6">
                  <c:v>0</c:v>
                </c:pt>
              </c:numCache>
            </c:numRef>
          </c:val>
          <c:extLst>
            <c:ext xmlns:c16="http://schemas.microsoft.com/office/drawing/2014/chart" uri="{C3380CC4-5D6E-409C-BE32-E72D297353CC}">
              <c16:uniqueId val="{00000013-416A-4386-BB55-ED852A9F3CB0}"/>
            </c:ext>
          </c:extLst>
        </c:ser>
        <c:ser>
          <c:idx val="20"/>
          <c:order val="20"/>
          <c:spPr>
            <a:noFill/>
            <a:ln>
              <a:noFill/>
            </a:ln>
            <a:effectLst/>
          </c:spPr>
          <c:invertIfNegative val="0"/>
          <c:cat>
            <c:strRef>
              <c:f>Processing!$K$24:$Q$24</c:f>
              <c:strCache>
                <c:ptCount val="7"/>
                <c:pt idx="0">
                  <c:v>SU</c:v>
                </c:pt>
                <c:pt idx="1">
                  <c:v>MO</c:v>
                </c:pt>
                <c:pt idx="2">
                  <c:v>TU</c:v>
                </c:pt>
                <c:pt idx="3">
                  <c:v>WE</c:v>
                </c:pt>
                <c:pt idx="4">
                  <c:v>TH</c:v>
                </c:pt>
                <c:pt idx="5">
                  <c:v>FR</c:v>
                </c:pt>
                <c:pt idx="6">
                  <c:v>SA</c:v>
                </c:pt>
              </c:strCache>
            </c:strRef>
          </c:cat>
          <c:val>
            <c:numRef>
              <c:f>Processing!$K$45:$Q$45</c:f>
              <c:numCache>
                <c:formatCode>General</c:formatCode>
                <c:ptCount val="7"/>
                <c:pt idx="0">
                  <c:v>1</c:v>
                </c:pt>
                <c:pt idx="1">
                  <c:v>1</c:v>
                </c:pt>
                <c:pt idx="2">
                  <c:v>1</c:v>
                </c:pt>
                <c:pt idx="3">
                  <c:v>1</c:v>
                </c:pt>
                <c:pt idx="4">
                  <c:v>1</c:v>
                </c:pt>
                <c:pt idx="5">
                  <c:v>1</c:v>
                </c:pt>
                <c:pt idx="6">
                  <c:v>1</c:v>
                </c:pt>
              </c:numCache>
            </c:numRef>
          </c:val>
          <c:extLst>
            <c:ext xmlns:c16="http://schemas.microsoft.com/office/drawing/2014/chart" uri="{C3380CC4-5D6E-409C-BE32-E72D297353CC}">
              <c16:uniqueId val="{00000014-416A-4386-BB55-ED852A9F3CB0}"/>
            </c:ext>
          </c:extLst>
        </c:ser>
        <c:ser>
          <c:idx val="21"/>
          <c:order val="21"/>
          <c:spPr>
            <a:blipFill>
              <a:blip xmlns:r="http://schemas.openxmlformats.org/officeDocument/2006/relationships" r:embed="rId1"/>
              <a:stretch>
                <a:fillRect/>
              </a:stretch>
            </a:blipFill>
            <a:ln>
              <a:noFill/>
            </a:ln>
            <a:effectLst/>
          </c:spPr>
          <c:invertIfNegative val="0"/>
          <c:cat>
            <c:strRef>
              <c:f>Processing!$K$24:$Q$24</c:f>
              <c:strCache>
                <c:ptCount val="7"/>
                <c:pt idx="0">
                  <c:v>SU</c:v>
                </c:pt>
                <c:pt idx="1">
                  <c:v>MO</c:v>
                </c:pt>
                <c:pt idx="2">
                  <c:v>TU</c:v>
                </c:pt>
                <c:pt idx="3">
                  <c:v>WE</c:v>
                </c:pt>
                <c:pt idx="4">
                  <c:v>TH</c:v>
                </c:pt>
                <c:pt idx="5">
                  <c:v>FR</c:v>
                </c:pt>
                <c:pt idx="6">
                  <c:v>SA</c:v>
                </c:pt>
              </c:strCache>
            </c:strRef>
          </c:cat>
          <c:val>
            <c:numRef>
              <c:f>Processing!$K$46:$Q$46</c:f>
              <c:numCache>
                <c:formatCode>General</c:formatCode>
                <c:ptCount val="7"/>
                <c:pt idx="0">
                  <c:v>0</c:v>
                </c:pt>
                <c:pt idx="1">
                  <c:v>0</c:v>
                </c:pt>
                <c:pt idx="2">
                  <c:v>0</c:v>
                </c:pt>
                <c:pt idx="3">
                  <c:v>0</c:v>
                </c:pt>
                <c:pt idx="4">
                  <c:v>0</c:v>
                </c:pt>
                <c:pt idx="5">
                  <c:v>0</c:v>
                </c:pt>
                <c:pt idx="6">
                  <c:v>0</c:v>
                </c:pt>
              </c:numCache>
            </c:numRef>
          </c:val>
          <c:extLst>
            <c:ext xmlns:c16="http://schemas.microsoft.com/office/drawing/2014/chart" uri="{C3380CC4-5D6E-409C-BE32-E72D297353CC}">
              <c16:uniqueId val="{00000015-416A-4386-BB55-ED852A9F3CB0}"/>
            </c:ext>
          </c:extLst>
        </c:ser>
        <c:ser>
          <c:idx val="22"/>
          <c:order val="22"/>
          <c:spPr>
            <a:blipFill>
              <a:blip xmlns:r="http://schemas.openxmlformats.org/officeDocument/2006/relationships" r:embed="rId2"/>
              <a:stretch>
                <a:fillRect/>
              </a:stretch>
            </a:blipFill>
            <a:ln>
              <a:noFill/>
            </a:ln>
            <a:effectLst/>
          </c:spPr>
          <c:invertIfNegative val="0"/>
          <c:cat>
            <c:strRef>
              <c:f>Processing!$K$24:$Q$24</c:f>
              <c:strCache>
                <c:ptCount val="7"/>
                <c:pt idx="0">
                  <c:v>SU</c:v>
                </c:pt>
                <c:pt idx="1">
                  <c:v>MO</c:v>
                </c:pt>
                <c:pt idx="2">
                  <c:v>TU</c:v>
                </c:pt>
                <c:pt idx="3">
                  <c:v>WE</c:v>
                </c:pt>
                <c:pt idx="4">
                  <c:v>TH</c:v>
                </c:pt>
                <c:pt idx="5">
                  <c:v>FR</c:v>
                </c:pt>
                <c:pt idx="6">
                  <c:v>SA</c:v>
                </c:pt>
              </c:strCache>
            </c:strRef>
          </c:cat>
          <c:val>
            <c:numRef>
              <c:f>Processing!$K$47:$Q$47</c:f>
              <c:numCache>
                <c:formatCode>General</c:formatCode>
                <c:ptCount val="7"/>
                <c:pt idx="0">
                  <c:v>0</c:v>
                </c:pt>
                <c:pt idx="1">
                  <c:v>0</c:v>
                </c:pt>
                <c:pt idx="2">
                  <c:v>0</c:v>
                </c:pt>
                <c:pt idx="3">
                  <c:v>0</c:v>
                </c:pt>
                <c:pt idx="4">
                  <c:v>0</c:v>
                </c:pt>
                <c:pt idx="5">
                  <c:v>0</c:v>
                </c:pt>
                <c:pt idx="6">
                  <c:v>0</c:v>
                </c:pt>
              </c:numCache>
            </c:numRef>
          </c:val>
          <c:extLst>
            <c:ext xmlns:c16="http://schemas.microsoft.com/office/drawing/2014/chart" uri="{C3380CC4-5D6E-409C-BE32-E72D297353CC}">
              <c16:uniqueId val="{00000016-416A-4386-BB55-ED852A9F3CB0}"/>
            </c:ext>
          </c:extLst>
        </c:ser>
        <c:ser>
          <c:idx val="23"/>
          <c:order val="23"/>
          <c:spPr>
            <a:blipFill>
              <a:blip xmlns:r="http://schemas.openxmlformats.org/officeDocument/2006/relationships" r:embed="rId3"/>
              <a:stretch>
                <a:fillRect/>
              </a:stretch>
            </a:blipFill>
            <a:ln>
              <a:noFill/>
            </a:ln>
            <a:effectLst/>
          </c:spPr>
          <c:invertIfNegative val="0"/>
          <c:cat>
            <c:strRef>
              <c:f>Processing!$K$24:$Q$24</c:f>
              <c:strCache>
                <c:ptCount val="7"/>
                <c:pt idx="0">
                  <c:v>SU</c:v>
                </c:pt>
                <c:pt idx="1">
                  <c:v>MO</c:v>
                </c:pt>
                <c:pt idx="2">
                  <c:v>TU</c:v>
                </c:pt>
                <c:pt idx="3">
                  <c:v>WE</c:v>
                </c:pt>
                <c:pt idx="4">
                  <c:v>TH</c:v>
                </c:pt>
                <c:pt idx="5">
                  <c:v>FR</c:v>
                </c:pt>
                <c:pt idx="6">
                  <c:v>SA</c:v>
                </c:pt>
              </c:strCache>
            </c:strRef>
          </c:cat>
          <c:val>
            <c:numRef>
              <c:f>Processing!$K$48:$Q$48</c:f>
              <c:numCache>
                <c:formatCode>General</c:formatCode>
                <c:ptCount val="7"/>
                <c:pt idx="0">
                  <c:v>0</c:v>
                </c:pt>
                <c:pt idx="1">
                  <c:v>0</c:v>
                </c:pt>
                <c:pt idx="2">
                  <c:v>0</c:v>
                </c:pt>
                <c:pt idx="3">
                  <c:v>0</c:v>
                </c:pt>
                <c:pt idx="4">
                  <c:v>0</c:v>
                </c:pt>
                <c:pt idx="5">
                  <c:v>0</c:v>
                </c:pt>
                <c:pt idx="6">
                  <c:v>0</c:v>
                </c:pt>
              </c:numCache>
            </c:numRef>
          </c:val>
          <c:extLst>
            <c:ext xmlns:c16="http://schemas.microsoft.com/office/drawing/2014/chart" uri="{C3380CC4-5D6E-409C-BE32-E72D297353CC}">
              <c16:uniqueId val="{00000017-416A-4386-BB55-ED852A9F3CB0}"/>
            </c:ext>
          </c:extLst>
        </c:ser>
        <c:dLbls>
          <c:showLegendKey val="0"/>
          <c:showVal val="0"/>
          <c:showCatName val="0"/>
          <c:showSerName val="0"/>
          <c:showPercent val="0"/>
          <c:showBubbleSize val="0"/>
        </c:dLbls>
        <c:gapWidth val="0"/>
        <c:overlap val="100"/>
        <c:axId val="811298159"/>
        <c:axId val="811278479"/>
      </c:barChart>
      <c:catAx>
        <c:axId val="811298159"/>
        <c:scaling>
          <c:orientation val="minMax"/>
        </c:scaling>
        <c:delete val="1"/>
        <c:axPos val="t"/>
        <c:numFmt formatCode="General" sourceLinked="1"/>
        <c:majorTickMark val="out"/>
        <c:minorTickMark val="none"/>
        <c:tickLblPos val="nextTo"/>
        <c:crossAx val="811278479"/>
        <c:crosses val="autoZero"/>
        <c:auto val="1"/>
        <c:lblAlgn val="ctr"/>
        <c:lblOffset val="100"/>
        <c:noMultiLvlLbl val="0"/>
      </c:catAx>
      <c:valAx>
        <c:axId val="811278479"/>
        <c:scaling>
          <c:orientation val="maxMin"/>
        </c:scaling>
        <c:delete val="1"/>
        <c:axPos val="l"/>
        <c:numFmt formatCode="General" sourceLinked="1"/>
        <c:majorTickMark val="out"/>
        <c:minorTickMark val="none"/>
        <c:tickLblPos val="nextTo"/>
        <c:crossAx val="811298159"/>
        <c:crosses val="autoZero"/>
        <c:crossBetween val="between"/>
      </c:valAx>
      <c:spPr>
        <a:noFill/>
      </c:spPr>
    </c:plotArea>
    <c:plotVisOnly val="1"/>
    <c:dispBlanksAs val="gap"/>
    <c:showDLblsOverMax val="0"/>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4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Processing!$B$17</c:f>
              <c:strCache>
                <c:ptCount val="1"/>
                <c:pt idx="0">
                  <c:v>indent</c:v>
                </c:pt>
              </c:strCache>
            </c:strRef>
          </c:tx>
          <c:spPr>
            <a:noFill/>
            <a:ln>
              <a:noFill/>
            </a:ln>
            <a:effectLst/>
          </c:spPr>
          <c:invertIfNegative val="0"/>
          <c:cat>
            <c:strRef>
              <c:f>Processing!$A$18:$A$29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Processing!$B$18:$B$29</c:f>
              <c:numCache>
                <c:formatCode>General</c:formatCode>
                <c:ptCount val="12"/>
                <c:pt idx="0">
                  <c:v>242.05</c:v>
                </c:pt>
                <c:pt idx="1">
                  <c:v>242.05</c:v>
                </c:pt>
                <c:pt idx="2">
                  <c:v>242.05</c:v>
                </c:pt>
                <c:pt idx="3">
                  <c:v>242.05</c:v>
                </c:pt>
                <c:pt idx="4">
                  <c:v>242.05</c:v>
                </c:pt>
                <c:pt idx="5">
                  <c:v>242.05</c:v>
                </c:pt>
                <c:pt idx="6">
                  <c:v>242.05</c:v>
                </c:pt>
                <c:pt idx="7">
                  <c:v>242.05</c:v>
                </c:pt>
                <c:pt idx="8">
                  <c:v>242.05</c:v>
                </c:pt>
                <c:pt idx="9">
                  <c:v>242.05</c:v>
                </c:pt>
                <c:pt idx="10">
                  <c:v>242.05</c:v>
                </c:pt>
                <c:pt idx="11">
                  <c:v>242.05</c:v>
                </c:pt>
              </c:numCache>
            </c:numRef>
          </c:val>
          <c:extLst>
            <c:ext xmlns:c16="http://schemas.microsoft.com/office/drawing/2014/chart" uri="{C3380CC4-5D6E-409C-BE32-E72D297353CC}">
              <c16:uniqueId val="{00000000-AF90-4592-B582-24CFC1CAC32B}"/>
            </c:ext>
          </c:extLst>
        </c:ser>
        <c:ser>
          <c:idx val="1"/>
          <c:order val="1"/>
          <c:tx>
            <c:strRef>
              <c:f>Processing!$C$17</c:f>
              <c:strCache>
                <c:ptCount val="1"/>
                <c:pt idx="0">
                  <c:v>Income</c:v>
                </c:pt>
              </c:strCache>
            </c:strRef>
          </c:tx>
          <c:spPr>
            <a:solidFill>
              <a:schemeClr val="accent2"/>
            </a:solidFill>
            <a:ln w="101600">
              <a:gradFill>
                <a:gsLst>
                  <a:gs pos="0">
                    <a:srgbClr val="1992E6"/>
                  </a:gs>
                  <a:gs pos="100000">
                    <a:srgbClr val="2373DF"/>
                  </a:gs>
                </a:gsLst>
                <a:lin ang="5400000" scaled="1"/>
              </a:gradFill>
            </a:ln>
            <a:effectLst/>
          </c:spPr>
          <c:invertIfNegative val="0"/>
          <c:cat>
            <c:strRef>
              <c:f>Processing!$A$18:$A$29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Processing!$C$18:$C$29</c:f>
              <c:numCache>
                <c:formatCode>General</c:formatCode>
                <c:ptCount val="12"/>
                <c:pt idx="0">
                  <c:v>2075</c:v>
                </c:pt>
                <c:pt idx="1">
                  <c:v>3066</c:v>
                </c:pt>
                <c:pt idx="2">
                  <c:v>4626</c:v>
                </c:pt>
                <c:pt idx="3">
                  <c:v>4841</c:v>
                </c:pt>
                <c:pt idx="4">
                  <c:v>4626</c:v>
                </c:pt>
                <c:pt idx="5">
                  <c:v>3066</c:v>
                </c:pt>
                <c:pt idx="6">
                  <c:v>2075</c:v>
                </c:pt>
                <c:pt idx="7">
                  <c:v>3066</c:v>
                </c:pt>
                <c:pt idx="8">
                  <c:v>4626</c:v>
                </c:pt>
                <c:pt idx="9">
                  <c:v>4841</c:v>
                </c:pt>
                <c:pt idx="10">
                  <c:v>4626</c:v>
                </c:pt>
                <c:pt idx="11">
                  <c:v>2666</c:v>
                </c:pt>
              </c:numCache>
            </c:numRef>
          </c:val>
          <c:extLst>
            <c:ext xmlns:c16="http://schemas.microsoft.com/office/drawing/2014/chart" uri="{C3380CC4-5D6E-409C-BE32-E72D297353CC}">
              <c16:uniqueId val="{00000001-AF90-4592-B582-24CFC1CAC32B}"/>
            </c:ext>
          </c:extLst>
        </c:ser>
        <c:dLbls>
          <c:showLegendKey val="0"/>
          <c:showVal val="0"/>
          <c:showCatName val="0"/>
          <c:showSerName val="0"/>
          <c:showPercent val="0"/>
          <c:showBubbleSize val="0"/>
        </c:dLbls>
        <c:gapWidth val="300"/>
        <c:overlap val="100"/>
        <c:axId val="1217850336"/>
        <c:axId val="1217876256"/>
      </c:barChart>
      <c:barChart>
        <c:barDir val="col"/>
        <c:grouping val="stacked"/>
        <c:varyColors val="0"/>
        <c:ser>
          <c:idx val="2"/>
          <c:order val="2"/>
          <c:tx>
            <c:strRef>
              <c:f>Processing!$D$17</c:f>
              <c:strCache>
                <c:ptCount val="1"/>
                <c:pt idx="0">
                  <c:v>indent Cursor</c:v>
                </c:pt>
              </c:strCache>
            </c:strRef>
          </c:tx>
          <c:spPr>
            <a:noFill/>
            <a:ln>
              <a:noFill/>
            </a:ln>
            <a:effectLst/>
          </c:spPr>
          <c:invertIfNegative val="0"/>
          <c:cat>
            <c:strRef>
              <c:f>Processing!$A$18:$A$29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Processing!$D$18:$D$29</c:f>
              <c:numCache>
                <c:formatCode>General</c:formatCode>
                <c:ptCount val="12"/>
                <c:pt idx="0">
                  <c:v>242.05</c:v>
                </c:pt>
                <c:pt idx="1">
                  <c:v>242.05</c:v>
                </c:pt>
                <c:pt idx="2">
                  <c:v>242.05</c:v>
                </c:pt>
                <c:pt idx="3">
                  <c:v>242.05</c:v>
                </c:pt>
                <c:pt idx="4">
                  <c:v>242.05</c:v>
                </c:pt>
                <c:pt idx="5">
                  <c:v>242.05</c:v>
                </c:pt>
                <c:pt idx="6">
                  <c:v>242.05</c:v>
                </c:pt>
                <c:pt idx="7">
                  <c:v>242.05</c:v>
                </c:pt>
                <c:pt idx="8">
                  <c:v>242.05</c:v>
                </c:pt>
                <c:pt idx="9">
                  <c:v>242.05</c:v>
                </c:pt>
                <c:pt idx="10">
                  <c:v>242.05</c:v>
                </c:pt>
                <c:pt idx="11">
                  <c:v>242.05</c:v>
                </c:pt>
              </c:numCache>
            </c:numRef>
          </c:val>
          <c:extLst>
            <c:ext xmlns:c16="http://schemas.microsoft.com/office/drawing/2014/chart" uri="{C3380CC4-5D6E-409C-BE32-E72D297353CC}">
              <c16:uniqueId val="{00000002-AF90-4592-B582-24CFC1CAC32B}"/>
            </c:ext>
          </c:extLst>
        </c:ser>
        <c:ser>
          <c:idx val="3"/>
          <c:order val="3"/>
          <c:tx>
            <c:strRef>
              <c:f>Processing!$E$17</c:f>
              <c:strCache>
                <c:ptCount val="1"/>
                <c:pt idx="0">
                  <c:v>Cursor</c:v>
                </c:pt>
              </c:strCache>
            </c:strRef>
          </c:tx>
          <c:spPr>
            <a:solidFill>
              <a:schemeClr val="accent4"/>
            </a:solidFill>
            <a:ln w="101600">
              <a:gradFill>
                <a:gsLst>
                  <a:gs pos="0">
                    <a:srgbClr val="06D3D9"/>
                  </a:gs>
                  <a:gs pos="62000">
                    <a:srgbClr val="09C3F2"/>
                  </a:gs>
                </a:gsLst>
                <a:lin ang="5400000" scaled="1"/>
              </a:gradFill>
            </a:ln>
            <a:effectLst>
              <a:outerShdw blurRad="50800" dist="38100" dir="8100000" algn="tr" rotWithShape="0">
                <a:prstClr val="black">
                  <a:alpha val="40000"/>
                </a:prstClr>
              </a:outerShdw>
            </a:effectLst>
          </c:spPr>
          <c:invertIfNegative val="0"/>
          <c:dPt>
            <c:idx val="8"/>
            <c:invertIfNegative val="0"/>
            <c:bubble3D val="0"/>
            <c:extLst>
              <c:ext xmlns:c16="http://schemas.microsoft.com/office/drawing/2014/chart" uri="{C3380CC4-5D6E-409C-BE32-E72D297353CC}">
                <c16:uniqueId val="{00000003-AF90-4592-B582-24CFC1CAC32B}"/>
              </c:ext>
            </c:extLst>
          </c:dPt>
          <c:cat>
            <c:strRef>
              <c:f>Processing!$A$18:$A$29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Processing!$E$18:$E$29</c:f>
              <c:numCache>
                <c:formatCode>General</c:formatCode>
                <c:ptCount val="12"/>
                <c:pt idx="0">
                  <c:v>#N/A</c:v>
                </c:pt>
                <c:pt idx="1">
                  <c:v>#N/A</c:v>
                </c:pt>
                <c:pt idx="2">
                  <c:v>#N/A</c:v>
                </c:pt>
                <c:pt idx="3">
                  <c:v>4841</c:v>
                </c:pt>
                <c:pt idx="4">
                  <c:v>4626</c:v>
                </c:pt>
                <c:pt idx="5">
                  <c:v>3066</c:v>
                </c:pt>
                <c:pt idx="6">
                  <c:v>#N/A</c:v>
                </c:pt>
                <c:pt idx="7">
                  <c:v>#N/A</c:v>
                </c:pt>
                <c:pt idx="8">
                  <c:v>#N/A</c:v>
                </c:pt>
                <c:pt idx="9">
                  <c:v>#N/A</c:v>
                </c:pt>
                <c:pt idx="10">
                  <c:v>#N/A</c:v>
                </c:pt>
                <c:pt idx="11">
                  <c:v>#N/A</c:v>
                </c:pt>
              </c:numCache>
            </c:numRef>
          </c:val>
          <c:extLst>
            <c:ext xmlns:c16="http://schemas.microsoft.com/office/drawing/2014/chart" uri="{C3380CC4-5D6E-409C-BE32-E72D297353CC}">
              <c16:uniqueId val="{00000004-AF90-4592-B582-24CFC1CAC32B}"/>
            </c:ext>
          </c:extLst>
        </c:ser>
        <c:dLbls>
          <c:showLegendKey val="0"/>
          <c:showVal val="0"/>
          <c:showCatName val="0"/>
          <c:showSerName val="0"/>
          <c:showPercent val="0"/>
          <c:showBubbleSize val="0"/>
        </c:dLbls>
        <c:gapWidth val="300"/>
        <c:overlap val="100"/>
        <c:axId val="1217885856"/>
        <c:axId val="1217884416"/>
      </c:barChart>
      <c:lineChart>
        <c:grouping val="standard"/>
        <c:varyColors val="0"/>
        <c:ser>
          <c:idx val="4"/>
          <c:order val="4"/>
          <c:tx>
            <c:strRef>
              <c:f>Processing!$F$17</c:f>
              <c:strCache>
                <c:ptCount val="1"/>
                <c:pt idx="0">
                  <c:v>Expenses</c:v>
                </c:pt>
              </c:strCache>
            </c:strRef>
          </c:tx>
          <c:spPr>
            <a:ln w="25400" cap="rnd">
              <a:solidFill>
                <a:srgbClr val="FF00FF"/>
              </a:solidFill>
              <a:round/>
            </a:ln>
            <a:effectLst>
              <a:outerShdw blurRad="50800" dist="38100" dir="5400000" algn="t" rotWithShape="0">
                <a:prstClr val="black">
                  <a:alpha val="40000"/>
                </a:prstClr>
              </a:outerShdw>
            </a:effectLst>
          </c:spPr>
          <c:marker>
            <c:symbol val="circle"/>
            <c:size val="6"/>
            <c:spPr>
              <a:solidFill>
                <a:schemeClr val="bg1"/>
              </a:solidFill>
              <a:ln w="9525">
                <a:solidFill>
                  <a:srgbClr val="FF00FF"/>
                </a:solidFill>
              </a:ln>
              <a:effectLst>
                <a:outerShdw blurRad="50800" dist="38100" dir="5400000" algn="t" rotWithShape="0">
                  <a:prstClr val="black">
                    <a:alpha val="40000"/>
                  </a:prstClr>
                </a:outerShdw>
              </a:effectLst>
            </c:spPr>
          </c:marker>
          <c:cat>
            <c:strRef>
              <c:f>Processing!$A$18:$A$29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Processing!$F$18:$F$29</c:f>
              <c:numCache>
                <c:formatCode>General</c:formatCode>
                <c:ptCount val="12"/>
                <c:pt idx="0">
                  <c:v>2412</c:v>
                </c:pt>
                <c:pt idx="1">
                  <c:v>1696</c:v>
                </c:pt>
                <c:pt idx="2">
                  <c:v>3544</c:v>
                </c:pt>
                <c:pt idx="3">
                  <c:v>2671</c:v>
                </c:pt>
                <c:pt idx="4">
                  <c:v>3036</c:v>
                </c:pt>
                <c:pt idx="5">
                  <c:v>4595</c:v>
                </c:pt>
                <c:pt idx="6">
                  <c:v>2714</c:v>
                </c:pt>
                <c:pt idx="7">
                  <c:v>3731</c:v>
                </c:pt>
                <c:pt idx="8">
                  <c:v>4952</c:v>
                </c:pt>
                <c:pt idx="9">
                  <c:v>3544</c:v>
                </c:pt>
                <c:pt idx="10">
                  <c:v>4595</c:v>
                </c:pt>
                <c:pt idx="11">
                  <c:v>1739</c:v>
                </c:pt>
              </c:numCache>
            </c:numRef>
          </c:val>
          <c:smooth val="0"/>
          <c:extLst>
            <c:ext xmlns:c16="http://schemas.microsoft.com/office/drawing/2014/chart" uri="{C3380CC4-5D6E-409C-BE32-E72D297353CC}">
              <c16:uniqueId val="{00000005-AF90-4592-B582-24CFC1CAC32B}"/>
            </c:ext>
          </c:extLst>
        </c:ser>
        <c:ser>
          <c:idx val="5"/>
          <c:order val="5"/>
          <c:tx>
            <c:strRef>
              <c:f>Processing!$G$17</c:f>
              <c:strCache>
                <c:ptCount val="1"/>
                <c:pt idx="0">
                  <c:v>Markers</c:v>
                </c:pt>
              </c:strCache>
            </c:strRef>
          </c:tx>
          <c:spPr>
            <a:ln w="28575" cap="rnd">
              <a:noFill/>
              <a:round/>
            </a:ln>
            <a:effectLst/>
          </c:spPr>
          <c:marker>
            <c:symbol val="none"/>
          </c:marker>
          <c:dLbls>
            <c:dLbl>
              <c:idx val="0"/>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6-AF90-4592-B582-24CFC1CAC32B}"/>
                </c:ext>
              </c:extLst>
            </c:dLbl>
            <c:dLbl>
              <c:idx val="1"/>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7-AF90-4592-B582-24CFC1CAC32B}"/>
                </c:ext>
              </c:extLst>
            </c:dLbl>
            <c:dLbl>
              <c:idx val="2"/>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8-AF90-4592-B582-24CFC1CAC32B}"/>
                </c:ext>
              </c:extLst>
            </c:dLbl>
            <c:dLbl>
              <c:idx val="3"/>
              <c:tx>
                <c:rich>
                  <a:bodyPr/>
                  <a:lstStyle/>
                  <a:p>
                    <a:fld id="{008DA319-687C-4912-9BDE-15C4AC0344B7}"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AF90-4592-B582-24CFC1CAC32B}"/>
                </c:ext>
              </c:extLst>
            </c:dLbl>
            <c:dLbl>
              <c:idx val="4"/>
              <c:tx>
                <c:rich>
                  <a:bodyPr/>
                  <a:lstStyle/>
                  <a:p>
                    <a:fld id="{FD98E9E3-DF72-4DB5-A984-76501A1753DA}"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AF90-4592-B582-24CFC1CAC32B}"/>
                </c:ext>
              </c:extLst>
            </c:dLbl>
            <c:dLbl>
              <c:idx val="5"/>
              <c:tx>
                <c:rich>
                  <a:bodyPr/>
                  <a:lstStyle/>
                  <a:p>
                    <a:fld id="{CC0BAB83-5F90-44CD-8866-4065E230C474}"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AF90-4592-B582-24CFC1CAC32B}"/>
                </c:ext>
              </c:extLst>
            </c:dLbl>
            <c:dLbl>
              <c:idx val="6"/>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C-AF90-4592-B582-24CFC1CAC32B}"/>
                </c:ext>
              </c:extLst>
            </c:dLbl>
            <c:dLbl>
              <c:idx val="7"/>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D-AF90-4592-B582-24CFC1CAC32B}"/>
                </c:ext>
              </c:extLst>
            </c:dLbl>
            <c:dLbl>
              <c:idx val="8"/>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E-AF90-4592-B582-24CFC1CAC32B}"/>
                </c:ext>
              </c:extLst>
            </c:dLbl>
            <c:dLbl>
              <c:idx val="9"/>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F-AF90-4592-B582-24CFC1CAC32B}"/>
                </c:ext>
              </c:extLst>
            </c:dLbl>
            <c:dLbl>
              <c:idx val="10"/>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0-AF90-4592-B582-24CFC1CAC32B}"/>
                </c:ext>
              </c:extLst>
            </c:dLbl>
            <c:dLbl>
              <c:idx val="11"/>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1-AF90-4592-B582-24CFC1CAC32B}"/>
                </c:ext>
              </c:extLst>
            </c:dLbl>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ru-RU"/>
              </a:p>
            </c:txPr>
            <c:dLblPos val="t"/>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f>Processing!$A$18:$A$29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Processing!$G$18:$G$29</c:f>
              <c:numCache>
                <c:formatCode>General</c:formatCode>
                <c:ptCount val="12"/>
                <c:pt idx="0">
                  <c:v>#N/A</c:v>
                </c:pt>
                <c:pt idx="1">
                  <c:v>#N/A</c:v>
                </c:pt>
                <c:pt idx="2">
                  <c:v>#N/A</c:v>
                </c:pt>
                <c:pt idx="3">
                  <c:v>5083.05</c:v>
                </c:pt>
                <c:pt idx="4">
                  <c:v>4868.05</c:v>
                </c:pt>
                <c:pt idx="5">
                  <c:v>3308.05</c:v>
                </c:pt>
                <c:pt idx="6">
                  <c:v>#N/A</c:v>
                </c:pt>
                <c:pt idx="7">
                  <c:v>#N/A</c:v>
                </c:pt>
                <c:pt idx="8">
                  <c:v>#N/A</c:v>
                </c:pt>
                <c:pt idx="9">
                  <c:v>#N/A</c:v>
                </c:pt>
                <c:pt idx="10">
                  <c:v>#N/A</c:v>
                </c:pt>
                <c:pt idx="11">
                  <c:v>#N/A</c:v>
                </c:pt>
              </c:numCache>
            </c:numRef>
          </c:val>
          <c:smooth val="0"/>
          <c:extLst>
            <c:ext xmlns:c15="http://schemas.microsoft.com/office/drawing/2012/chart" uri="{02D57815-91ED-43cb-92C2-25804820EDAC}">
              <c15:datalabelsRange>
                <c15:f>Processing!$H$18:$H$29</c15:f>
                <c15:dlblRangeCache>
                  <c:ptCount val="12"/>
                  <c:pt idx="0">
                    <c:v>#N/A</c:v>
                  </c:pt>
                  <c:pt idx="1">
                    <c:v>#N/A</c:v>
                  </c:pt>
                  <c:pt idx="2">
                    <c:v>#N/A</c:v>
                  </c:pt>
                  <c:pt idx="3">
                    <c:v>5k</c:v>
                  </c:pt>
                  <c:pt idx="4">
                    <c:v>5k</c:v>
                  </c:pt>
                  <c:pt idx="5">
                    <c:v>3k</c:v>
                  </c:pt>
                  <c:pt idx="6">
                    <c:v>#N/A</c:v>
                  </c:pt>
                  <c:pt idx="7">
                    <c:v>#N/A</c:v>
                  </c:pt>
                  <c:pt idx="8">
                    <c:v>#N/A</c:v>
                  </c:pt>
                  <c:pt idx="9">
                    <c:v>#N/A</c:v>
                  </c:pt>
                  <c:pt idx="10">
                    <c:v>#N/A</c:v>
                  </c:pt>
                  <c:pt idx="11">
                    <c:v>#N/A</c:v>
                  </c:pt>
                </c15:dlblRangeCache>
              </c15:datalabelsRange>
            </c:ext>
            <c:ext xmlns:c16="http://schemas.microsoft.com/office/drawing/2014/chart" uri="{C3380CC4-5D6E-409C-BE32-E72D297353CC}">
              <c16:uniqueId val="{00000012-AF90-4592-B582-24CFC1CAC32B}"/>
            </c:ext>
          </c:extLst>
        </c:ser>
        <c:dLbls>
          <c:showLegendKey val="0"/>
          <c:showVal val="0"/>
          <c:showCatName val="0"/>
          <c:showSerName val="0"/>
          <c:showPercent val="0"/>
          <c:showBubbleSize val="0"/>
        </c:dLbls>
        <c:marker val="1"/>
        <c:smooth val="0"/>
        <c:axId val="1217850336"/>
        <c:axId val="1217876256"/>
      </c:lineChart>
      <c:catAx>
        <c:axId val="1217850336"/>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2">
                    <a:lumMod val="25000"/>
                    <a:lumOff val="75000"/>
                  </a:schemeClr>
                </a:solidFill>
                <a:latin typeface="+mn-lt"/>
                <a:ea typeface="+mn-ea"/>
                <a:cs typeface="+mn-cs"/>
              </a:defRPr>
            </a:pPr>
            <a:endParaRPr lang="ru-RU"/>
          </a:p>
        </c:txPr>
        <c:crossAx val="1217876256"/>
        <c:crosses val="autoZero"/>
        <c:auto val="1"/>
        <c:lblAlgn val="ctr"/>
        <c:lblOffset val="100"/>
        <c:noMultiLvlLbl val="0"/>
      </c:catAx>
      <c:valAx>
        <c:axId val="1217876256"/>
        <c:scaling>
          <c:orientation val="minMax"/>
        </c:scaling>
        <c:delete val="0"/>
        <c:axPos val="l"/>
        <c:majorGridlines>
          <c:spPr>
            <a:ln w="9525" cap="flat" cmpd="sng" algn="ctr">
              <a:solidFill>
                <a:srgbClr val="18387B"/>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lumMod val="25000"/>
                    <a:lumOff val="75000"/>
                  </a:schemeClr>
                </a:solidFill>
                <a:latin typeface="+mn-lt"/>
                <a:ea typeface="+mn-ea"/>
                <a:cs typeface="+mn-cs"/>
              </a:defRPr>
            </a:pPr>
            <a:endParaRPr lang="ru-RU"/>
          </a:p>
        </c:txPr>
        <c:crossAx val="1217850336"/>
        <c:crosses val="autoZero"/>
        <c:crossBetween val="between"/>
      </c:valAx>
      <c:valAx>
        <c:axId val="1217884416"/>
        <c:scaling>
          <c:orientation val="minMax"/>
        </c:scaling>
        <c:delete val="1"/>
        <c:axPos val="r"/>
        <c:numFmt formatCode="General" sourceLinked="1"/>
        <c:majorTickMark val="out"/>
        <c:minorTickMark val="none"/>
        <c:tickLblPos val="nextTo"/>
        <c:crossAx val="1217885856"/>
        <c:crosses val="max"/>
        <c:crossBetween val="between"/>
      </c:valAx>
      <c:catAx>
        <c:axId val="1217885856"/>
        <c:scaling>
          <c:orientation val="minMax"/>
        </c:scaling>
        <c:delete val="1"/>
        <c:axPos val="b"/>
        <c:numFmt formatCode="General" sourceLinked="1"/>
        <c:majorTickMark val="out"/>
        <c:minorTickMark val="none"/>
        <c:tickLblPos val="nextTo"/>
        <c:crossAx val="1217884416"/>
        <c:crosses val="autoZero"/>
        <c:auto val="1"/>
        <c:lblAlgn val="ctr"/>
        <c:lblOffset val="100"/>
        <c:noMultiLvlLbl val="0"/>
      </c:catAx>
      <c:spPr>
        <a:noFill/>
      </c:spPr>
    </c:plotArea>
    <c:plotVisOnly val="1"/>
    <c:dispBlanksAs val="gap"/>
    <c:showDLblsOverMax val="0"/>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4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711001086985339"/>
          <c:y val="8.9869281045751634E-2"/>
          <c:w val="0.66877483117640601"/>
          <c:h val="0.8202614379084967"/>
        </c:manualLayout>
      </c:layout>
      <c:barChart>
        <c:barDir val="bar"/>
        <c:grouping val="stacked"/>
        <c:varyColors val="0"/>
        <c:ser>
          <c:idx val="1"/>
          <c:order val="0"/>
          <c:tx>
            <c:strRef>
              <c:f>Processing!$E$33</c:f>
              <c:strCache>
                <c:ptCount val="1"/>
                <c:pt idx="0">
                  <c:v>indent</c:v>
                </c:pt>
              </c:strCache>
            </c:strRef>
          </c:tx>
          <c:spPr>
            <a:noFill/>
            <a:ln>
              <a:noFill/>
            </a:ln>
            <a:effectLst/>
          </c:spPr>
          <c:invertIfNegative val="0"/>
          <c:cat>
            <c:strRef>
              <c:f>Processing!$D$34:$D$37</c:f>
              <c:strCache>
                <c:ptCount val="4"/>
                <c:pt idx="0">
                  <c:v>Savings</c:v>
                </c:pt>
                <c:pt idx="1">
                  <c:v>Salary</c:v>
                </c:pt>
                <c:pt idx="2">
                  <c:v>Side Job</c:v>
                </c:pt>
                <c:pt idx="3">
                  <c:v>Stock</c:v>
                </c:pt>
              </c:strCache>
            </c:strRef>
          </c:cat>
          <c:val>
            <c:numRef>
              <c:f>Processing!$E$34:$E$37</c:f>
              <c:numCache>
                <c:formatCode>General</c:formatCode>
                <c:ptCount val="4"/>
                <c:pt idx="0">
                  <c:v>271.18</c:v>
                </c:pt>
                <c:pt idx="1">
                  <c:v>271.18</c:v>
                </c:pt>
                <c:pt idx="2">
                  <c:v>271.18</c:v>
                </c:pt>
                <c:pt idx="3">
                  <c:v>271.18</c:v>
                </c:pt>
              </c:numCache>
            </c:numRef>
          </c:val>
          <c:extLst>
            <c:ext xmlns:c16="http://schemas.microsoft.com/office/drawing/2014/chart" uri="{C3380CC4-5D6E-409C-BE32-E72D297353CC}">
              <c16:uniqueId val="{00000000-A40D-4C40-B2C3-6E21DA4C44DA}"/>
            </c:ext>
          </c:extLst>
        </c:ser>
        <c:ser>
          <c:idx val="0"/>
          <c:order val="1"/>
          <c:tx>
            <c:strRef>
              <c:f>Processing!$F$33</c:f>
              <c:strCache>
                <c:ptCount val="1"/>
                <c:pt idx="0">
                  <c:v>Rank</c:v>
                </c:pt>
              </c:strCache>
            </c:strRef>
          </c:tx>
          <c:spPr>
            <a:solidFill>
              <a:schemeClr val="accent1"/>
            </a:solidFill>
            <a:ln w="10160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invertIfNegative val="0"/>
          <c:cat>
            <c:strRef>
              <c:f>Processing!$D$34:$D$37</c:f>
              <c:strCache>
                <c:ptCount val="4"/>
                <c:pt idx="0">
                  <c:v>Savings</c:v>
                </c:pt>
                <c:pt idx="1">
                  <c:v>Salary</c:v>
                </c:pt>
                <c:pt idx="2">
                  <c:v>Side Job</c:v>
                </c:pt>
                <c:pt idx="3">
                  <c:v>Stock</c:v>
                </c:pt>
              </c:strCache>
            </c:strRef>
          </c:cat>
          <c:val>
            <c:numRef>
              <c:f>Processing!$F$34:$F$37</c:f>
              <c:numCache>
                <c:formatCode>General</c:formatCode>
                <c:ptCount val="4"/>
                <c:pt idx="0">
                  <c:v>3874</c:v>
                </c:pt>
                <c:pt idx="1">
                  <c:v>3546</c:v>
                </c:pt>
                <c:pt idx="2">
                  <c:v>2607</c:v>
                </c:pt>
                <c:pt idx="3">
                  <c:v>2506</c:v>
                </c:pt>
              </c:numCache>
            </c:numRef>
          </c:val>
          <c:extLst>
            <c:ext xmlns:c16="http://schemas.microsoft.com/office/drawing/2014/chart" uri="{C3380CC4-5D6E-409C-BE32-E72D297353CC}">
              <c16:uniqueId val="{00000001-A40D-4C40-B2C3-6E21DA4C44DA}"/>
            </c:ext>
          </c:extLst>
        </c:ser>
        <c:dLbls>
          <c:showLegendKey val="0"/>
          <c:showVal val="0"/>
          <c:showCatName val="0"/>
          <c:showSerName val="0"/>
          <c:showPercent val="0"/>
          <c:showBubbleSize val="0"/>
        </c:dLbls>
        <c:gapWidth val="300"/>
        <c:overlap val="100"/>
        <c:axId val="1547179375"/>
        <c:axId val="1547170255"/>
      </c:barChart>
      <c:catAx>
        <c:axId val="1547179375"/>
        <c:scaling>
          <c:orientation val="maxMin"/>
        </c:scaling>
        <c:delete val="0"/>
        <c:axPos val="l"/>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2">
                    <a:lumMod val="25000"/>
                    <a:lumOff val="75000"/>
                  </a:schemeClr>
                </a:solidFill>
                <a:latin typeface="+mn-lt"/>
                <a:ea typeface="+mn-ea"/>
                <a:cs typeface="+mn-cs"/>
              </a:defRPr>
            </a:pPr>
            <a:endParaRPr lang="ru-RU"/>
          </a:p>
        </c:txPr>
        <c:crossAx val="1547170255"/>
        <c:crosses val="autoZero"/>
        <c:auto val="1"/>
        <c:lblAlgn val="ctr"/>
        <c:lblOffset val="100"/>
        <c:noMultiLvlLbl val="0"/>
      </c:catAx>
      <c:valAx>
        <c:axId val="1547170255"/>
        <c:scaling>
          <c:orientation val="minMax"/>
          <c:min val="0"/>
        </c:scaling>
        <c:delete val="1"/>
        <c:axPos val="t"/>
        <c:numFmt formatCode="General" sourceLinked="1"/>
        <c:majorTickMark val="out"/>
        <c:minorTickMark val="none"/>
        <c:tickLblPos val="nextTo"/>
        <c:crossAx val="1547179375"/>
        <c:crosses val="autoZero"/>
        <c:crossBetween val="between"/>
      </c:valAx>
      <c:spPr>
        <a:noFill/>
      </c:spPr>
    </c:plotArea>
    <c:plotVisOnly val="1"/>
    <c:dispBlanksAs val="gap"/>
    <c:showDLblsOverMax val="0"/>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4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areaChart>
        <c:grouping val="standard"/>
        <c:varyColors val="0"/>
        <c:ser>
          <c:idx val="0"/>
          <c:order val="0"/>
          <c:tx>
            <c:strRef>
              <c:f>Processing!$B$40</c:f>
              <c:strCache>
                <c:ptCount val="1"/>
                <c:pt idx="0">
                  <c:v>Income</c:v>
                </c:pt>
              </c:strCache>
            </c:strRef>
          </c:tx>
          <c:spPr>
            <a:gradFill>
              <a:gsLst>
                <a:gs pos="0">
                  <a:srgbClr val="3883D4"/>
                </a:gs>
                <a:gs pos="100000">
                  <a:srgbClr val="224192">
                    <a:alpha val="2000"/>
                  </a:srgbClr>
                </a:gs>
              </a:gsLst>
              <a:lin ang="5400000" scaled="0"/>
            </a:gradFill>
            <a:ln>
              <a:noFill/>
            </a:ln>
            <a:effectLst/>
          </c:spPr>
          <c:val>
            <c:numRef>
              <c:f>Processing!$B$41:$B$44</c:f>
              <c:numCache>
                <c:formatCode>General</c:formatCode>
                <c:ptCount val="4"/>
                <c:pt idx="0">
                  <c:v>37965</c:v>
                </c:pt>
                <c:pt idx="1">
                  <c:v>44200</c:v>
                </c:pt>
                <c:pt idx="2">
                  <c:v>38780</c:v>
                </c:pt>
                <c:pt idx="3">
                  <c:v>53560</c:v>
                </c:pt>
              </c:numCache>
            </c:numRef>
          </c:val>
          <c:extLst>
            <c:ext xmlns:c16="http://schemas.microsoft.com/office/drawing/2014/chart" uri="{C3380CC4-5D6E-409C-BE32-E72D297353CC}">
              <c16:uniqueId val="{00000000-1BF6-491F-B406-E4B4123AE570}"/>
            </c:ext>
          </c:extLst>
        </c:ser>
        <c:dLbls>
          <c:showLegendKey val="0"/>
          <c:showVal val="0"/>
          <c:showCatName val="0"/>
          <c:showSerName val="0"/>
          <c:showPercent val="0"/>
          <c:showBubbleSize val="0"/>
        </c:dLbls>
        <c:axId val="1547119375"/>
        <c:axId val="1547116975"/>
      </c:areaChart>
      <c:lineChart>
        <c:grouping val="standard"/>
        <c:varyColors val="0"/>
        <c:ser>
          <c:idx val="1"/>
          <c:order val="1"/>
          <c:spPr>
            <a:ln w="25400" cap="rnd">
              <a:solidFill>
                <a:srgbClr val="B9C1FF"/>
              </a:solidFill>
              <a:round/>
            </a:ln>
            <a:effectLst>
              <a:outerShdw blurRad="50800" dist="38100" dir="5400000" algn="t" rotWithShape="0">
                <a:prstClr val="black">
                  <a:alpha val="40000"/>
                </a:prstClr>
              </a:outerShdw>
            </a:effectLst>
          </c:spPr>
          <c:marker>
            <c:symbol val="none"/>
          </c:marker>
          <c:val>
            <c:numRef>
              <c:f>Processing!$B$41:$B$44</c:f>
              <c:numCache>
                <c:formatCode>General</c:formatCode>
                <c:ptCount val="4"/>
                <c:pt idx="0">
                  <c:v>37965</c:v>
                </c:pt>
                <c:pt idx="1">
                  <c:v>44200</c:v>
                </c:pt>
                <c:pt idx="2">
                  <c:v>38780</c:v>
                </c:pt>
                <c:pt idx="3">
                  <c:v>53560</c:v>
                </c:pt>
              </c:numCache>
            </c:numRef>
          </c:val>
          <c:smooth val="0"/>
          <c:extLst>
            <c:ext xmlns:c16="http://schemas.microsoft.com/office/drawing/2014/chart" uri="{C3380CC4-5D6E-409C-BE32-E72D297353CC}">
              <c16:uniqueId val="{00000001-1BF6-491F-B406-E4B4123AE570}"/>
            </c:ext>
          </c:extLst>
        </c:ser>
        <c:dLbls>
          <c:showLegendKey val="0"/>
          <c:showVal val="0"/>
          <c:showCatName val="0"/>
          <c:showSerName val="0"/>
          <c:showPercent val="0"/>
          <c:showBubbleSize val="0"/>
        </c:dLbls>
        <c:marker val="1"/>
        <c:smooth val="0"/>
        <c:axId val="1547119375"/>
        <c:axId val="1547116975"/>
      </c:lineChart>
      <c:scatterChart>
        <c:scatterStyle val="lineMarker"/>
        <c:varyColors val="0"/>
        <c:ser>
          <c:idx val="2"/>
          <c:order val="2"/>
          <c:tx>
            <c:strRef>
              <c:f>Processing!$C$40</c:f>
              <c:strCache>
                <c:ptCount val="1"/>
                <c:pt idx="0">
                  <c:v>Cursor</c:v>
                </c:pt>
              </c:strCache>
            </c:strRef>
          </c:tx>
          <c:spPr>
            <a:ln w="25400" cap="rnd">
              <a:noFill/>
              <a:round/>
            </a:ln>
            <a:effectLst>
              <a:outerShdw blurRad="50800" dist="38100" dir="5400000" algn="t" rotWithShape="0">
                <a:prstClr val="black">
                  <a:alpha val="40000"/>
                </a:prstClr>
              </a:outerShdw>
            </a:effectLst>
          </c:spPr>
          <c:marker>
            <c:symbol val="circle"/>
            <c:size val="7"/>
            <c:spPr>
              <a:solidFill>
                <a:schemeClr val="bg1"/>
              </a:solidFill>
              <a:ln w="12700">
                <a:solidFill>
                  <a:srgbClr val="4B5792"/>
                </a:solidFill>
              </a:ln>
              <a:effectLst>
                <a:outerShdw blurRad="50800" dist="38100" dir="5400000" algn="t" rotWithShape="0">
                  <a:prstClr val="black">
                    <a:alpha val="40000"/>
                  </a:prstClr>
                </a:outerShdw>
              </a:effectLst>
            </c:spPr>
          </c:marker>
          <c:dLbls>
            <c:numFmt formatCode="[&gt;=1000]0,&quot;k&quot;;[&lt;=-1000]\-0,&quot;k&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ru-RU"/>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yVal>
            <c:numRef>
              <c:f>Processing!$C$41:$C$44</c:f>
              <c:numCache>
                <c:formatCode>General</c:formatCode>
                <c:ptCount val="4"/>
                <c:pt idx="0">
                  <c:v>#N/A</c:v>
                </c:pt>
                <c:pt idx="1">
                  <c:v>44200</c:v>
                </c:pt>
                <c:pt idx="2">
                  <c:v>#N/A</c:v>
                </c:pt>
                <c:pt idx="3">
                  <c:v>#N/A</c:v>
                </c:pt>
              </c:numCache>
            </c:numRef>
          </c:yVal>
          <c:smooth val="0"/>
          <c:extLst>
            <c:ext xmlns:c16="http://schemas.microsoft.com/office/drawing/2014/chart" uri="{C3380CC4-5D6E-409C-BE32-E72D297353CC}">
              <c16:uniqueId val="{00000002-1BF6-491F-B406-E4B4123AE570}"/>
            </c:ext>
          </c:extLst>
        </c:ser>
        <c:dLbls>
          <c:showLegendKey val="0"/>
          <c:showVal val="0"/>
          <c:showCatName val="0"/>
          <c:showSerName val="0"/>
          <c:showPercent val="0"/>
          <c:showBubbleSize val="0"/>
        </c:dLbls>
        <c:axId val="1547119375"/>
        <c:axId val="1547116975"/>
      </c:scatterChart>
      <c:catAx>
        <c:axId val="1547119375"/>
        <c:scaling>
          <c:orientation val="minMax"/>
        </c:scaling>
        <c:delete val="1"/>
        <c:axPos val="b"/>
        <c:majorTickMark val="out"/>
        <c:minorTickMark val="none"/>
        <c:tickLblPos val="nextTo"/>
        <c:crossAx val="1547116975"/>
        <c:crosses val="autoZero"/>
        <c:auto val="1"/>
        <c:lblAlgn val="ctr"/>
        <c:lblOffset val="100"/>
        <c:noMultiLvlLbl val="0"/>
      </c:catAx>
      <c:valAx>
        <c:axId val="1547116975"/>
        <c:scaling>
          <c:orientation val="minMax"/>
        </c:scaling>
        <c:delete val="1"/>
        <c:axPos val="l"/>
        <c:numFmt formatCode="General" sourceLinked="1"/>
        <c:majorTickMark val="none"/>
        <c:minorTickMark val="none"/>
        <c:tickLblPos val="nextTo"/>
        <c:crossAx val="1547119375"/>
        <c:crosses val="autoZero"/>
        <c:crossBetween val="between"/>
      </c:valAx>
      <c:spPr>
        <a:noFill/>
      </c:spPr>
    </c:plotArea>
    <c:plotVisOnly val="1"/>
    <c:dispBlanksAs val="zero"/>
    <c:showDLblsOverMax val="0"/>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4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noFill/>
            <a:ln w="9525">
              <a:solidFill>
                <a:srgbClr val="4E5E9D">
                  <a:alpha val="70000"/>
                </a:srgbClr>
              </a:solidFill>
            </a:ln>
          </c:spPr>
          <c:dPt>
            <c:idx val="0"/>
            <c:bubble3D val="0"/>
            <c:spPr>
              <a:noFill/>
              <a:ln w="9525">
                <a:solidFill>
                  <a:srgbClr val="4E5E9D">
                    <a:alpha val="70000"/>
                  </a:srgbClr>
                </a:solidFill>
              </a:ln>
              <a:effectLst/>
            </c:spPr>
            <c:extLst>
              <c:ext xmlns:c16="http://schemas.microsoft.com/office/drawing/2014/chart" uri="{C3380CC4-5D6E-409C-BE32-E72D297353CC}">
                <c16:uniqueId val="{00000001-7BD7-4228-A106-D86C301FC913}"/>
              </c:ext>
            </c:extLst>
          </c:dPt>
          <c:dPt>
            <c:idx val="1"/>
            <c:bubble3D val="0"/>
            <c:spPr>
              <a:noFill/>
              <a:ln w="9525">
                <a:solidFill>
                  <a:srgbClr val="4E5E9D">
                    <a:alpha val="70000"/>
                  </a:srgbClr>
                </a:solidFill>
              </a:ln>
              <a:effectLst/>
            </c:spPr>
            <c:extLst>
              <c:ext xmlns:c16="http://schemas.microsoft.com/office/drawing/2014/chart" uri="{C3380CC4-5D6E-409C-BE32-E72D297353CC}">
                <c16:uniqueId val="{00000003-7BD7-4228-A106-D86C301FC913}"/>
              </c:ext>
            </c:extLst>
          </c:dPt>
          <c:dPt>
            <c:idx val="2"/>
            <c:bubble3D val="0"/>
            <c:spPr>
              <a:noFill/>
              <a:ln w="9525">
                <a:solidFill>
                  <a:srgbClr val="4E5E9D">
                    <a:alpha val="70000"/>
                  </a:srgbClr>
                </a:solidFill>
              </a:ln>
              <a:effectLst/>
            </c:spPr>
            <c:extLst>
              <c:ext xmlns:c16="http://schemas.microsoft.com/office/drawing/2014/chart" uri="{C3380CC4-5D6E-409C-BE32-E72D297353CC}">
                <c16:uniqueId val="{00000005-7BD7-4228-A106-D86C301FC913}"/>
              </c:ext>
            </c:extLst>
          </c:dPt>
          <c:dPt>
            <c:idx val="3"/>
            <c:bubble3D val="0"/>
            <c:spPr>
              <a:noFill/>
              <a:ln w="9525">
                <a:solidFill>
                  <a:srgbClr val="4E5E9D">
                    <a:alpha val="70000"/>
                  </a:srgbClr>
                </a:solidFill>
              </a:ln>
              <a:effectLst/>
            </c:spPr>
            <c:extLst>
              <c:ext xmlns:c16="http://schemas.microsoft.com/office/drawing/2014/chart" uri="{C3380CC4-5D6E-409C-BE32-E72D297353CC}">
                <c16:uniqueId val="{00000007-7BD7-4228-A106-D86C301FC913}"/>
              </c:ext>
            </c:extLst>
          </c:dPt>
          <c:dPt>
            <c:idx val="4"/>
            <c:bubble3D val="0"/>
            <c:spPr>
              <a:noFill/>
              <a:ln w="9525">
                <a:solidFill>
                  <a:srgbClr val="4E5E9D">
                    <a:alpha val="70000"/>
                  </a:srgbClr>
                </a:solidFill>
              </a:ln>
              <a:effectLst/>
            </c:spPr>
            <c:extLst>
              <c:ext xmlns:c16="http://schemas.microsoft.com/office/drawing/2014/chart" uri="{C3380CC4-5D6E-409C-BE32-E72D297353CC}">
                <c16:uniqueId val="{00000009-7BD7-4228-A106-D86C301FC913}"/>
              </c:ext>
            </c:extLst>
          </c:dPt>
          <c:val>
            <c:numRef>
              <c:f>Processing!$A$64:$E$64</c:f>
              <c:numCache>
                <c:formatCode>General</c:formatCode>
                <c:ptCount val="5"/>
                <c:pt idx="0">
                  <c:v>72</c:v>
                </c:pt>
                <c:pt idx="1">
                  <c:v>72</c:v>
                </c:pt>
                <c:pt idx="2">
                  <c:v>72</c:v>
                </c:pt>
                <c:pt idx="3">
                  <c:v>72</c:v>
                </c:pt>
                <c:pt idx="4">
                  <c:v>72</c:v>
                </c:pt>
              </c:numCache>
            </c:numRef>
          </c:val>
          <c:extLst>
            <c:ext xmlns:c16="http://schemas.microsoft.com/office/drawing/2014/chart" uri="{C3380CC4-5D6E-409C-BE32-E72D297353CC}">
              <c16:uniqueId val="{0000000A-7BD7-4228-A106-D86C301FC913}"/>
            </c:ext>
          </c:extLst>
        </c:ser>
        <c:ser>
          <c:idx val="1"/>
          <c:order val="1"/>
          <c:spPr>
            <a:noFill/>
            <a:ln w="9525">
              <a:solidFill>
                <a:srgbClr val="4E5E9D">
                  <a:alpha val="70000"/>
                </a:srgbClr>
              </a:solidFill>
            </a:ln>
          </c:spPr>
          <c:dPt>
            <c:idx val="0"/>
            <c:bubble3D val="0"/>
            <c:spPr>
              <a:noFill/>
              <a:ln w="9525">
                <a:solidFill>
                  <a:srgbClr val="4E5E9D">
                    <a:alpha val="70000"/>
                  </a:srgbClr>
                </a:solidFill>
              </a:ln>
              <a:effectLst/>
            </c:spPr>
            <c:extLst>
              <c:ext xmlns:c16="http://schemas.microsoft.com/office/drawing/2014/chart" uri="{C3380CC4-5D6E-409C-BE32-E72D297353CC}">
                <c16:uniqueId val="{0000000C-7BD7-4228-A106-D86C301FC913}"/>
              </c:ext>
            </c:extLst>
          </c:dPt>
          <c:dPt>
            <c:idx val="1"/>
            <c:bubble3D val="0"/>
            <c:spPr>
              <a:noFill/>
              <a:ln w="9525">
                <a:solidFill>
                  <a:srgbClr val="4E5E9D">
                    <a:alpha val="70000"/>
                  </a:srgbClr>
                </a:solidFill>
              </a:ln>
              <a:effectLst/>
            </c:spPr>
            <c:extLst>
              <c:ext xmlns:c16="http://schemas.microsoft.com/office/drawing/2014/chart" uri="{C3380CC4-5D6E-409C-BE32-E72D297353CC}">
                <c16:uniqueId val="{0000000E-7BD7-4228-A106-D86C301FC913}"/>
              </c:ext>
            </c:extLst>
          </c:dPt>
          <c:dPt>
            <c:idx val="2"/>
            <c:bubble3D val="0"/>
            <c:spPr>
              <a:noFill/>
              <a:ln w="9525">
                <a:solidFill>
                  <a:srgbClr val="4E5E9D">
                    <a:alpha val="70000"/>
                  </a:srgbClr>
                </a:solidFill>
              </a:ln>
              <a:effectLst/>
            </c:spPr>
            <c:extLst>
              <c:ext xmlns:c16="http://schemas.microsoft.com/office/drawing/2014/chart" uri="{C3380CC4-5D6E-409C-BE32-E72D297353CC}">
                <c16:uniqueId val="{00000010-7BD7-4228-A106-D86C301FC913}"/>
              </c:ext>
            </c:extLst>
          </c:dPt>
          <c:dPt>
            <c:idx val="3"/>
            <c:bubble3D val="0"/>
            <c:spPr>
              <a:noFill/>
              <a:ln w="9525">
                <a:solidFill>
                  <a:srgbClr val="4E5E9D">
                    <a:alpha val="70000"/>
                  </a:srgbClr>
                </a:solidFill>
              </a:ln>
              <a:effectLst/>
            </c:spPr>
            <c:extLst>
              <c:ext xmlns:c16="http://schemas.microsoft.com/office/drawing/2014/chart" uri="{C3380CC4-5D6E-409C-BE32-E72D297353CC}">
                <c16:uniqueId val="{00000012-7BD7-4228-A106-D86C301FC913}"/>
              </c:ext>
            </c:extLst>
          </c:dPt>
          <c:dPt>
            <c:idx val="4"/>
            <c:bubble3D val="0"/>
            <c:spPr>
              <a:noFill/>
              <a:ln w="9525">
                <a:solidFill>
                  <a:srgbClr val="4E5E9D">
                    <a:alpha val="70000"/>
                  </a:srgbClr>
                </a:solidFill>
              </a:ln>
              <a:effectLst/>
            </c:spPr>
            <c:extLst>
              <c:ext xmlns:c16="http://schemas.microsoft.com/office/drawing/2014/chart" uri="{C3380CC4-5D6E-409C-BE32-E72D297353CC}">
                <c16:uniqueId val="{00000014-7BD7-4228-A106-D86C301FC913}"/>
              </c:ext>
            </c:extLst>
          </c:dPt>
          <c:val>
            <c:numRef>
              <c:f>Processing!$A$65:$E$65</c:f>
              <c:numCache>
                <c:formatCode>General</c:formatCode>
                <c:ptCount val="5"/>
                <c:pt idx="0">
                  <c:v>72</c:v>
                </c:pt>
                <c:pt idx="1">
                  <c:v>72</c:v>
                </c:pt>
                <c:pt idx="2">
                  <c:v>72</c:v>
                </c:pt>
                <c:pt idx="3">
                  <c:v>72</c:v>
                </c:pt>
                <c:pt idx="4">
                  <c:v>72</c:v>
                </c:pt>
              </c:numCache>
            </c:numRef>
          </c:val>
          <c:extLst>
            <c:ext xmlns:c16="http://schemas.microsoft.com/office/drawing/2014/chart" uri="{C3380CC4-5D6E-409C-BE32-E72D297353CC}">
              <c16:uniqueId val="{00000015-7BD7-4228-A106-D86C301FC913}"/>
            </c:ext>
          </c:extLst>
        </c:ser>
        <c:ser>
          <c:idx val="2"/>
          <c:order val="2"/>
          <c:spPr>
            <a:noFill/>
            <a:ln w="9525">
              <a:solidFill>
                <a:srgbClr val="4E5E9D">
                  <a:alpha val="70000"/>
                </a:srgbClr>
              </a:solidFill>
            </a:ln>
          </c:spPr>
          <c:dPt>
            <c:idx val="0"/>
            <c:bubble3D val="0"/>
            <c:spPr>
              <a:noFill/>
              <a:ln w="9525">
                <a:solidFill>
                  <a:srgbClr val="4E5E9D">
                    <a:alpha val="70000"/>
                  </a:srgbClr>
                </a:solidFill>
              </a:ln>
              <a:effectLst/>
            </c:spPr>
            <c:extLst>
              <c:ext xmlns:c16="http://schemas.microsoft.com/office/drawing/2014/chart" uri="{C3380CC4-5D6E-409C-BE32-E72D297353CC}">
                <c16:uniqueId val="{00000017-7BD7-4228-A106-D86C301FC913}"/>
              </c:ext>
            </c:extLst>
          </c:dPt>
          <c:dPt>
            <c:idx val="1"/>
            <c:bubble3D val="0"/>
            <c:spPr>
              <a:noFill/>
              <a:ln w="9525">
                <a:solidFill>
                  <a:srgbClr val="4E5E9D">
                    <a:alpha val="70000"/>
                  </a:srgbClr>
                </a:solidFill>
              </a:ln>
              <a:effectLst/>
            </c:spPr>
            <c:extLst>
              <c:ext xmlns:c16="http://schemas.microsoft.com/office/drawing/2014/chart" uri="{C3380CC4-5D6E-409C-BE32-E72D297353CC}">
                <c16:uniqueId val="{00000019-7BD7-4228-A106-D86C301FC913}"/>
              </c:ext>
            </c:extLst>
          </c:dPt>
          <c:dPt>
            <c:idx val="2"/>
            <c:bubble3D val="0"/>
            <c:spPr>
              <a:noFill/>
              <a:ln w="9525">
                <a:solidFill>
                  <a:srgbClr val="4E5E9D">
                    <a:alpha val="70000"/>
                  </a:srgbClr>
                </a:solidFill>
              </a:ln>
              <a:effectLst/>
            </c:spPr>
            <c:extLst>
              <c:ext xmlns:c16="http://schemas.microsoft.com/office/drawing/2014/chart" uri="{C3380CC4-5D6E-409C-BE32-E72D297353CC}">
                <c16:uniqueId val="{0000001B-7BD7-4228-A106-D86C301FC913}"/>
              </c:ext>
            </c:extLst>
          </c:dPt>
          <c:dPt>
            <c:idx val="3"/>
            <c:bubble3D val="0"/>
            <c:spPr>
              <a:noFill/>
              <a:ln w="9525">
                <a:solidFill>
                  <a:srgbClr val="4E5E9D">
                    <a:alpha val="70000"/>
                  </a:srgbClr>
                </a:solidFill>
              </a:ln>
              <a:effectLst/>
            </c:spPr>
            <c:extLst>
              <c:ext xmlns:c16="http://schemas.microsoft.com/office/drawing/2014/chart" uri="{C3380CC4-5D6E-409C-BE32-E72D297353CC}">
                <c16:uniqueId val="{0000001D-7BD7-4228-A106-D86C301FC913}"/>
              </c:ext>
            </c:extLst>
          </c:dPt>
          <c:dPt>
            <c:idx val="4"/>
            <c:bubble3D val="0"/>
            <c:spPr>
              <a:noFill/>
              <a:ln w="9525">
                <a:solidFill>
                  <a:srgbClr val="4E5E9D">
                    <a:alpha val="70000"/>
                  </a:srgbClr>
                </a:solidFill>
              </a:ln>
              <a:effectLst/>
            </c:spPr>
            <c:extLst>
              <c:ext xmlns:c16="http://schemas.microsoft.com/office/drawing/2014/chart" uri="{C3380CC4-5D6E-409C-BE32-E72D297353CC}">
                <c16:uniqueId val="{0000001F-7BD7-4228-A106-D86C301FC913}"/>
              </c:ext>
            </c:extLst>
          </c:dPt>
          <c:val>
            <c:numRef>
              <c:f>Processing!$A$66:$E$66</c:f>
              <c:numCache>
                <c:formatCode>General</c:formatCode>
                <c:ptCount val="5"/>
                <c:pt idx="0">
                  <c:v>72</c:v>
                </c:pt>
                <c:pt idx="1">
                  <c:v>72</c:v>
                </c:pt>
                <c:pt idx="2">
                  <c:v>72</c:v>
                </c:pt>
                <c:pt idx="3">
                  <c:v>72</c:v>
                </c:pt>
                <c:pt idx="4">
                  <c:v>72</c:v>
                </c:pt>
              </c:numCache>
            </c:numRef>
          </c:val>
          <c:extLst>
            <c:ext xmlns:c16="http://schemas.microsoft.com/office/drawing/2014/chart" uri="{C3380CC4-5D6E-409C-BE32-E72D297353CC}">
              <c16:uniqueId val="{00000020-7BD7-4228-A106-D86C301FC913}"/>
            </c:ext>
          </c:extLst>
        </c:ser>
        <c:dLbls>
          <c:showLegendKey val="0"/>
          <c:showVal val="0"/>
          <c:showCatName val="0"/>
          <c:showSerName val="0"/>
          <c:showPercent val="0"/>
          <c:showBubbleSize val="0"/>
          <c:showLeaderLines val="1"/>
        </c:dLbls>
        <c:firstSliceAng val="0"/>
        <c:holeSize val="20"/>
      </c:doughnutChart>
    </c:plotArea>
    <c:plotVisOnly val="1"/>
    <c:dispBlanksAs val="gap"/>
    <c:showDLblsOverMax val="0"/>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4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radarChart>
        <c:radarStyle val="marker"/>
        <c:varyColors val="0"/>
        <c:ser>
          <c:idx val="0"/>
          <c:order val="0"/>
          <c:tx>
            <c:strRef>
              <c:f>Processing!$D$51</c:f>
              <c:strCache>
                <c:ptCount val="1"/>
                <c:pt idx="0">
                  <c:v>Entertainment</c:v>
                </c:pt>
              </c:strCache>
            </c:strRef>
          </c:tx>
          <c:spPr>
            <a:ln w="25400" cap="rnd">
              <a:solidFill>
                <a:srgbClr val="28BEBA"/>
              </a:solidFill>
              <a:round/>
            </a:ln>
            <a:effectLst>
              <a:outerShdw blurRad="50800" dist="38100" dir="8100000" algn="tr" rotWithShape="0">
                <a:prstClr val="black">
                  <a:alpha val="40000"/>
                </a:prstClr>
              </a:outerShdw>
            </a:effectLst>
          </c:spPr>
          <c:marker>
            <c:symbol val="circle"/>
            <c:size val="7"/>
            <c:spPr>
              <a:solidFill>
                <a:srgbClr val="28BEBA"/>
              </a:solidFill>
              <a:ln w="9525">
                <a:noFill/>
              </a:ln>
              <a:effectLst>
                <a:outerShdw blurRad="50800" dist="38100" dir="8100000" algn="tr" rotWithShape="0">
                  <a:prstClr val="black">
                    <a:alpha val="40000"/>
                  </a:prstClr>
                </a:outerShdw>
              </a:effectLst>
            </c:spPr>
          </c:marker>
          <c:cat>
            <c:strRef>
              <c:f>Processing!$C$52:$C$56</c:f>
              <c:strCache>
                <c:ptCount val="5"/>
                <c:pt idx="0">
                  <c:v>E</c:v>
                </c:pt>
                <c:pt idx="1">
                  <c:v>F</c:v>
                </c:pt>
                <c:pt idx="2">
                  <c:v>H</c:v>
                </c:pt>
                <c:pt idx="3">
                  <c:v>L</c:v>
                </c:pt>
                <c:pt idx="4">
                  <c:v>S</c:v>
                </c:pt>
              </c:strCache>
            </c:strRef>
          </c:cat>
          <c:val>
            <c:numRef>
              <c:f>Processing!$D$52:$D$56</c:f>
              <c:numCache>
                <c:formatCode>General</c:formatCode>
                <c:ptCount val="5"/>
                <c:pt idx="0">
                  <c:v>#N/A</c:v>
                </c:pt>
                <c:pt idx="1">
                  <c:v>#N/A</c:v>
                </c:pt>
                <c:pt idx="2">
                  <c:v>#N/A</c:v>
                </c:pt>
                <c:pt idx="3">
                  <c:v>#N/A</c:v>
                </c:pt>
                <c:pt idx="4">
                  <c:v>#N/A</c:v>
                </c:pt>
              </c:numCache>
            </c:numRef>
          </c:val>
          <c:extLst>
            <c:ext xmlns:c16="http://schemas.microsoft.com/office/drawing/2014/chart" uri="{C3380CC4-5D6E-409C-BE32-E72D297353CC}">
              <c16:uniqueId val="{00000000-108F-473E-8A30-0101F585A585}"/>
            </c:ext>
          </c:extLst>
        </c:ser>
        <c:ser>
          <c:idx val="1"/>
          <c:order val="1"/>
          <c:tx>
            <c:strRef>
              <c:f>Processing!$E$51</c:f>
              <c:strCache>
                <c:ptCount val="1"/>
                <c:pt idx="0">
                  <c:v>FoodCourt</c:v>
                </c:pt>
              </c:strCache>
            </c:strRef>
          </c:tx>
          <c:spPr>
            <a:ln w="25400" cap="rnd">
              <a:solidFill>
                <a:srgbClr val="3879F2"/>
              </a:solidFill>
              <a:round/>
            </a:ln>
            <a:effectLst>
              <a:outerShdw blurRad="50800" dist="38100" dir="8100000" algn="tr" rotWithShape="0">
                <a:prstClr val="black">
                  <a:alpha val="40000"/>
                </a:prstClr>
              </a:outerShdw>
            </a:effectLst>
          </c:spPr>
          <c:marker>
            <c:symbol val="circle"/>
            <c:size val="7"/>
            <c:spPr>
              <a:solidFill>
                <a:srgbClr val="2069F0"/>
              </a:solidFill>
              <a:ln w="9525">
                <a:noFill/>
              </a:ln>
              <a:effectLst>
                <a:outerShdw blurRad="50800" dist="38100" dir="8100000" algn="tr" rotWithShape="0">
                  <a:prstClr val="black">
                    <a:alpha val="40000"/>
                  </a:prstClr>
                </a:outerShdw>
              </a:effectLst>
            </c:spPr>
          </c:marker>
          <c:cat>
            <c:strRef>
              <c:f>Processing!$C$52:$C$56</c:f>
              <c:strCache>
                <c:ptCount val="5"/>
                <c:pt idx="0">
                  <c:v>E</c:v>
                </c:pt>
                <c:pt idx="1">
                  <c:v>F</c:v>
                </c:pt>
                <c:pt idx="2">
                  <c:v>H</c:v>
                </c:pt>
                <c:pt idx="3">
                  <c:v>L</c:v>
                </c:pt>
                <c:pt idx="4">
                  <c:v>S</c:v>
                </c:pt>
              </c:strCache>
            </c:strRef>
          </c:cat>
          <c:val>
            <c:numRef>
              <c:f>Processing!$E$52:$E$56</c:f>
              <c:numCache>
                <c:formatCode>General</c:formatCode>
                <c:ptCount val="5"/>
                <c:pt idx="0">
                  <c:v>342</c:v>
                </c:pt>
                <c:pt idx="1">
                  <c:v>298</c:v>
                </c:pt>
                <c:pt idx="2">
                  <c:v>319</c:v>
                </c:pt>
                <c:pt idx="3">
                  <c:v>314</c:v>
                </c:pt>
                <c:pt idx="4">
                  <c:v>322</c:v>
                </c:pt>
              </c:numCache>
            </c:numRef>
          </c:val>
          <c:extLst>
            <c:ext xmlns:c16="http://schemas.microsoft.com/office/drawing/2014/chart" uri="{C3380CC4-5D6E-409C-BE32-E72D297353CC}">
              <c16:uniqueId val="{00000001-108F-473E-8A30-0101F585A585}"/>
            </c:ext>
          </c:extLst>
        </c:ser>
        <c:ser>
          <c:idx val="2"/>
          <c:order val="2"/>
          <c:tx>
            <c:strRef>
              <c:f>Processing!$F$51</c:f>
              <c:strCache>
                <c:ptCount val="1"/>
                <c:pt idx="0">
                  <c:v>Supermarket</c:v>
                </c:pt>
              </c:strCache>
            </c:strRef>
          </c:tx>
          <c:spPr>
            <a:ln w="25400" cap="rnd">
              <a:solidFill>
                <a:srgbClr val="FF5C6D"/>
              </a:solidFill>
              <a:round/>
            </a:ln>
            <a:effectLst>
              <a:outerShdw blurRad="50800" dist="38100" dir="8100000" algn="tr" rotWithShape="0">
                <a:prstClr val="black">
                  <a:alpha val="40000"/>
                </a:prstClr>
              </a:outerShdw>
            </a:effectLst>
          </c:spPr>
          <c:marker>
            <c:symbol val="circle"/>
            <c:size val="7"/>
            <c:spPr>
              <a:solidFill>
                <a:srgbClr val="FF5C6D"/>
              </a:solidFill>
              <a:ln w="9525">
                <a:noFill/>
              </a:ln>
              <a:effectLst>
                <a:outerShdw blurRad="50800" dist="38100" dir="8100000" algn="tr" rotWithShape="0">
                  <a:prstClr val="black">
                    <a:alpha val="40000"/>
                  </a:prstClr>
                </a:outerShdw>
              </a:effectLst>
            </c:spPr>
          </c:marker>
          <c:cat>
            <c:strRef>
              <c:f>Processing!$C$52:$C$56</c:f>
              <c:strCache>
                <c:ptCount val="5"/>
                <c:pt idx="0">
                  <c:v>E</c:v>
                </c:pt>
                <c:pt idx="1">
                  <c:v>F</c:v>
                </c:pt>
                <c:pt idx="2">
                  <c:v>H</c:v>
                </c:pt>
                <c:pt idx="3">
                  <c:v>L</c:v>
                </c:pt>
                <c:pt idx="4">
                  <c:v>S</c:v>
                </c:pt>
              </c:strCache>
            </c:strRef>
          </c:cat>
          <c:val>
            <c:numRef>
              <c:f>Processing!$F$52:$F$56</c:f>
              <c:numCache>
                <c:formatCode>General</c:formatCode>
                <c:ptCount val="5"/>
                <c:pt idx="0">
                  <c:v>524</c:v>
                </c:pt>
                <c:pt idx="1">
                  <c:v>550</c:v>
                </c:pt>
                <c:pt idx="2">
                  <c:v>498</c:v>
                </c:pt>
                <c:pt idx="3">
                  <c:v>406</c:v>
                </c:pt>
                <c:pt idx="4">
                  <c:v>509</c:v>
                </c:pt>
              </c:numCache>
            </c:numRef>
          </c:val>
          <c:extLst>
            <c:ext xmlns:c16="http://schemas.microsoft.com/office/drawing/2014/chart" uri="{C3380CC4-5D6E-409C-BE32-E72D297353CC}">
              <c16:uniqueId val="{00000002-108F-473E-8A30-0101F585A585}"/>
            </c:ext>
          </c:extLst>
        </c:ser>
        <c:ser>
          <c:idx val="3"/>
          <c:order val="3"/>
          <c:tx>
            <c:strRef>
              <c:f>Processing!$G$51</c:f>
              <c:strCache>
                <c:ptCount val="1"/>
                <c:pt idx="0">
                  <c:v>Travel</c:v>
                </c:pt>
              </c:strCache>
            </c:strRef>
          </c:tx>
          <c:spPr>
            <a:ln w="25400" cap="rnd">
              <a:solidFill>
                <a:srgbClr val="00ADD6"/>
              </a:solidFill>
              <a:round/>
            </a:ln>
            <a:effectLst>
              <a:outerShdw blurRad="50800" dist="38100" dir="8100000" algn="tr" rotWithShape="0">
                <a:prstClr val="black">
                  <a:alpha val="40000"/>
                </a:prstClr>
              </a:outerShdw>
            </a:effectLst>
          </c:spPr>
          <c:marker>
            <c:symbol val="circle"/>
            <c:size val="7"/>
            <c:spPr>
              <a:solidFill>
                <a:schemeClr val="accent4"/>
              </a:solidFill>
              <a:ln w="9525">
                <a:solidFill>
                  <a:schemeClr val="accent4"/>
                </a:solidFill>
              </a:ln>
              <a:effectLst>
                <a:outerShdw blurRad="50800" dist="38100" dir="8100000" algn="tr" rotWithShape="0">
                  <a:prstClr val="black">
                    <a:alpha val="40000"/>
                  </a:prstClr>
                </a:outerShdw>
              </a:effectLst>
            </c:spPr>
          </c:marker>
          <c:cat>
            <c:strRef>
              <c:f>Processing!$C$52:$C$56</c:f>
              <c:strCache>
                <c:ptCount val="5"/>
                <c:pt idx="0">
                  <c:v>E</c:v>
                </c:pt>
                <c:pt idx="1">
                  <c:v>F</c:v>
                </c:pt>
                <c:pt idx="2">
                  <c:v>H</c:v>
                </c:pt>
                <c:pt idx="3">
                  <c:v>L</c:v>
                </c:pt>
                <c:pt idx="4">
                  <c:v>S</c:v>
                </c:pt>
              </c:strCache>
            </c:strRef>
          </c:cat>
          <c:val>
            <c:numRef>
              <c:f>Processing!$G$52:$G$56</c:f>
              <c:numCache>
                <c:formatCode>General</c:formatCode>
                <c:ptCount val="5"/>
                <c:pt idx="0">
                  <c:v>238</c:v>
                </c:pt>
                <c:pt idx="1">
                  <c:v>459</c:v>
                </c:pt>
                <c:pt idx="2">
                  <c:v>370</c:v>
                </c:pt>
                <c:pt idx="3">
                  <c:v>467</c:v>
                </c:pt>
                <c:pt idx="4">
                  <c:v>313</c:v>
                </c:pt>
              </c:numCache>
            </c:numRef>
          </c:val>
          <c:extLst>
            <c:ext xmlns:c16="http://schemas.microsoft.com/office/drawing/2014/chart" uri="{C3380CC4-5D6E-409C-BE32-E72D297353CC}">
              <c16:uniqueId val="{00000003-108F-473E-8A30-0101F585A585}"/>
            </c:ext>
          </c:extLst>
        </c:ser>
        <c:ser>
          <c:idx val="4"/>
          <c:order val="4"/>
          <c:tx>
            <c:strRef>
              <c:f>Processing!$H$51</c:f>
              <c:strCache>
                <c:ptCount val="1"/>
                <c:pt idx="0">
                  <c:v>Workplace</c:v>
                </c:pt>
              </c:strCache>
            </c:strRef>
          </c:tx>
          <c:spPr>
            <a:ln w="25400" cap="rnd">
              <a:solidFill>
                <a:srgbClr val="6978B4"/>
              </a:solidFill>
              <a:round/>
            </a:ln>
            <a:effectLst>
              <a:outerShdw blurRad="50800" dist="38100" dir="8100000" algn="tr" rotWithShape="0">
                <a:prstClr val="black">
                  <a:alpha val="40000"/>
                </a:prstClr>
              </a:outerShdw>
            </a:effectLst>
          </c:spPr>
          <c:marker>
            <c:symbol val="circle"/>
            <c:size val="7"/>
            <c:spPr>
              <a:solidFill>
                <a:srgbClr val="6978B4"/>
              </a:solidFill>
              <a:ln w="9525">
                <a:noFill/>
              </a:ln>
              <a:effectLst>
                <a:outerShdw blurRad="50800" dist="38100" dir="8100000" algn="tr" rotWithShape="0">
                  <a:prstClr val="black">
                    <a:alpha val="40000"/>
                  </a:prstClr>
                </a:outerShdw>
              </a:effectLst>
            </c:spPr>
          </c:marker>
          <c:cat>
            <c:strRef>
              <c:f>Processing!$C$52:$C$56</c:f>
              <c:strCache>
                <c:ptCount val="5"/>
                <c:pt idx="0">
                  <c:v>E</c:v>
                </c:pt>
                <c:pt idx="1">
                  <c:v>F</c:v>
                </c:pt>
                <c:pt idx="2">
                  <c:v>H</c:v>
                </c:pt>
                <c:pt idx="3">
                  <c:v>L</c:v>
                </c:pt>
                <c:pt idx="4">
                  <c:v>S</c:v>
                </c:pt>
              </c:strCache>
            </c:strRef>
          </c:cat>
          <c:val>
            <c:numRef>
              <c:f>Processing!$H$52:$H$56</c:f>
              <c:numCache>
                <c:formatCode>General</c:formatCode>
                <c:ptCount val="5"/>
                <c:pt idx="0">
                  <c:v>#N/A</c:v>
                </c:pt>
                <c:pt idx="1">
                  <c:v>#N/A</c:v>
                </c:pt>
                <c:pt idx="2">
                  <c:v>#N/A</c:v>
                </c:pt>
                <c:pt idx="3">
                  <c:v>#N/A</c:v>
                </c:pt>
                <c:pt idx="4">
                  <c:v>#N/A</c:v>
                </c:pt>
              </c:numCache>
            </c:numRef>
          </c:val>
          <c:extLst>
            <c:ext xmlns:c16="http://schemas.microsoft.com/office/drawing/2014/chart" uri="{C3380CC4-5D6E-409C-BE32-E72D297353CC}">
              <c16:uniqueId val="{00000004-108F-473E-8A30-0101F585A585}"/>
            </c:ext>
          </c:extLst>
        </c:ser>
        <c:dLbls>
          <c:showLegendKey val="0"/>
          <c:showVal val="0"/>
          <c:showCatName val="0"/>
          <c:showSerName val="0"/>
          <c:showPercent val="0"/>
          <c:showBubbleSize val="0"/>
        </c:dLbls>
        <c:axId val="1484366719"/>
        <c:axId val="1484339839"/>
      </c:radarChart>
      <c:catAx>
        <c:axId val="148436671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lumMod val="25000"/>
                    <a:lumOff val="75000"/>
                  </a:schemeClr>
                </a:solidFill>
                <a:latin typeface="+mn-lt"/>
                <a:ea typeface="+mn-ea"/>
                <a:cs typeface="+mn-cs"/>
              </a:defRPr>
            </a:pPr>
            <a:endParaRPr lang="ru-RU"/>
          </a:p>
        </c:txPr>
        <c:crossAx val="1484339839"/>
        <c:crosses val="autoZero"/>
        <c:auto val="1"/>
        <c:lblAlgn val="ctr"/>
        <c:lblOffset val="100"/>
        <c:noMultiLvlLbl val="0"/>
      </c:catAx>
      <c:valAx>
        <c:axId val="1484339839"/>
        <c:scaling>
          <c:orientation val="minMax"/>
        </c:scaling>
        <c:delete val="1"/>
        <c:axPos val="l"/>
        <c:numFmt formatCode="General" sourceLinked="1"/>
        <c:majorTickMark val="none"/>
        <c:minorTickMark val="none"/>
        <c:tickLblPos val="nextTo"/>
        <c:crossAx val="1484366719"/>
        <c:crosses val="autoZero"/>
        <c:crossBetween val="between"/>
      </c:valAx>
      <c:spPr>
        <a:noFill/>
      </c:spPr>
    </c:plotArea>
    <c:plotVisOnly val="1"/>
    <c:dispBlanksAs val="gap"/>
    <c:showDLblsOverMax val="0"/>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5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3"/>
          <c:order val="0"/>
          <c:tx>
            <c:strRef>
              <c:f>Processing!$C$60</c:f>
              <c:strCache>
                <c:ptCount val="1"/>
                <c:pt idx="0">
                  <c:v>indent</c:v>
                </c:pt>
              </c:strCache>
            </c:strRef>
          </c:tx>
          <c:spPr>
            <a:noFill/>
            <a:ln>
              <a:noFill/>
            </a:ln>
            <a:effectLst/>
          </c:spPr>
          <c:invertIfNegative val="0"/>
          <c:val>
            <c:numRef>
              <c:f>Processing!$D$60:$H$60</c:f>
              <c:numCache>
                <c:formatCode>General</c:formatCode>
                <c:ptCount val="5"/>
                <c:pt idx="0">
                  <c:v>174.09</c:v>
                </c:pt>
                <c:pt idx="1">
                  <c:v>174.09</c:v>
                </c:pt>
                <c:pt idx="2">
                  <c:v>174.09</c:v>
                </c:pt>
                <c:pt idx="3">
                  <c:v>174.09</c:v>
                </c:pt>
                <c:pt idx="4">
                  <c:v>174.09</c:v>
                </c:pt>
              </c:numCache>
            </c:numRef>
          </c:val>
          <c:extLst>
            <c:ext xmlns:c16="http://schemas.microsoft.com/office/drawing/2014/chart" uri="{C3380CC4-5D6E-409C-BE32-E72D297353CC}">
              <c16:uniqueId val="{00000000-07D4-49CB-9EBB-E86C62E3DD13}"/>
            </c:ext>
          </c:extLst>
        </c:ser>
        <c:ser>
          <c:idx val="2"/>
          <c:order val="1"/>
          <c:tx>
            <c:strRef>
              <c:f>Processing!$C$59</c:f>
              <c:strCache>
                <c:ptCount val="1"/>
                <c:pt idx="0">
                  <c:v>Total</c:v>
                </c:pt>
              </c:strCache>
            </c:strRef>
          </c:tx>
          <c:spPr>
            <a:solidFill>
              <a:schemeClr val="accent3"/>
            </a:solidFill>
            <a:ln w="101600">
              <a:gradFill>
                <a:gsLst>
                  <a:gs pos="0">
                    <a:srgbClr val="1F449D"/>
                  </a:gs>
                  <a:gs pos="100000">
                    <a:srgbClr val="1B3B88"/>
                  </a:gs>
                </a:gsLst>
                <a:lin ang="5400000" scaled="1"/>
              </a:gradFill>
            </a:ln>
            <a:effectLst/>
          </c:spPr>
          <c:invertIfNegative val="0"/>
          <c:val>
            <c:numRef>
              <c:f>Processing!$D$59:$H$59</c:f>
              <c:numCache>
                <c:formatCode>General</c:formatCode>
                <c:ptCount val="5"/>
                <c:pt idx="0">
                  <c:v>2311</c:v>
                </c:pt>
                <c:pt idx="1">
                  <c:v>1595</c:v>
                </c:pt>
                <c:pt idx="2">
                  <c:v>2487</c:v>
                </c:pt>
                <c:pt idx="3">
                  <c:v>1847</c:v>
                </c:pt>
                <c:pt idx="4">
                  <c:v>2062</c:v>
                </c:pt>
              </c:numCache>
            </c:numRef>
          </c:val>
          <c:extLst>
            <c:ext xmlns:c16="http://schemas.microsoft.com/office/drawing/2014/chart" uri="{C3380CC4-5D6E-409C-BE32-E72D297353CC}">
              <c16:uniqueId val="{00000001-07D4-49CB-9EBB-E86C62E3DD13}"/>
            </c:ext>
          </c:extLst>
        </c:ser>
        <c:dLbls>
          <c:showLegendKey val="0"/>
          <c:showVal val="0"/>
          <c:showCatName val="0"/>
          <c:showSerName val="0"/>
          <c:showPercent val="0"/>
          <c:showBubbleSize val="0"/>
        </c:dLbls>
        <c:gapWidth val="400"/>
        <c:overlap val="100"/>
        <c:axId val="1488376607"/>
        <c:axId val="1488381407"/>
      </c:barChart>
      <c:barChart>
        <c:barDir val="col"/>
        <c:grouping val="stacked"/>
        <c:varyColors val="0"/>
        <c:ser>
          <c:idx val="1"/>
          <c:order val="2"/>
          <c:tx>
            <c:strRef>
              <c:f>Processing!$C$58</c:f>
              <c:strCache>
                <c:ptCount val="1"/>
                <c:pt idx="0">
                  <c:v>indent Cursor</c:v>
                </c:pt>
              </c:strCache>
            </c:strRef>
          </c:tx>
          <c:spPr>
            <a:noFill/>
            <a:ln>
              <a:noFill/>
            </a:ln>
            <a:effectLst/>
          </c:spPr>
          <c:invertIfNegative val="0"/>
          <c:val>
            <c:numRef>
              <c:f>Processing!$D$58:$H$58</c:f>
              <c:numCache>
                <c:formatCode>General</c:formatCode>
                <c:ptCount val="5"/>
                <c:pt idx="0">
                  <c:v>174.09</c:v>
                </c:pt>
                <c:pt idx="1">
                  <c:v>174.09</c:v>
                </c:pt>
                <c:pt idx="2">
                  <c:v>174.09</c:v>
                </c:pt>
                <c:pt idx="3">
                  <c:v>174.09</c:v>
                </c:pt>
                <c:pt idx="4">
                  <c:v>174.09</c:v>
                </c:pt>
              </c:numCache>
            </c:numRef>
          </c:val>
          <c:extLst>
            <c:ext xmlns:c16="http://schemas.microsoft.com/office/drawing/2014/chart" uri="{C3380CC4-5D6E-409C-BE32-E72D297353CC}">
              <c16:uniqueId val="{00000002-07D4-49CB-9EBB-E86C62E3DD13}"/>
            </c:ext>
          </c:extLst>
        </c:ser>
        <c:ser>
          <c:idx val="0"/>
          <c:order val="3"/>
          <c:tx>
            <c:strRef>
              <c:f>Processing!$C$57</c:f>
              <c:strCache>
                <c:ptCount val="1"/>
                <c:pt idx="0">
                  <c:v>Cursor</c:v>
                </c:pt>
              </c:strCache>
            </c:strRef>
          </c:tx>
          <c:spPr>
            <a:solidFill>
              <a:schemeClr val="accent1"/>
            </a:solidFill>
            <a:ln w="101600">
              <a:gradFill>
                <a:gsLst>
                  <a:gs pos="0">
                    <a:srgbClr val="00ADD6"/>
                  </a:gs>
                  <a:gs pos="100000">
                    <a:schemeClr val="accent1">
                      <a:lumMod val="30000"/>
                      <a:lumOff val="70000"/>
                    </a:schemeClr>
                  </a:gs>
                </a:gsLst>
                <a:lin ang="5400000" scaled="1"/>
              </a:gradFill>
            </a:ln>
            <a:effectLst>
              <a:outerShdw blurRad="50800" dist="38100" dir="8100000" algn="tr" rotWithShape="0">
                <a:prstClr val="black">
                  <a:alpha val="40000"/>
                </a:prstClr>
              </a:outerShdw>
            </a:effectLst>
          </c:spPr>
          <c:invertIfNegative val="0"/>
          <c:dPt>
            <c:idx val="0"/>
            <c:invertIfNegative val="0"/>
            <c:bubble3D val="0"/>
            <c:spPr>
              <a:solidFill>
                <a:schemeClr val="accent1"/>
              </a:solidFill>
              <a:ln w="101600">
                <a:gradFill>
                  <a:gsLst>
                    <a:gs pos="0">
                      <a:srgbClr val="28BEBA"/>
                    </a:gs>
                    <a:gs pos="100000">
                      <a:srgbClr val="1D8986"/>
                    </a:gs>
                  </a:gsLst>
                  <a:lin ang="5400000" scaled="1"/>
                </a:gradFill>
              </a:ln>
              <a:effectLst>
                <a:outerShdw blurRad="50800" dist="38100" dir="8100000" algn="tr" rotWithShape="0">
                  <a:prstClr val="black">
                    <a:alpha val="40000"/>
                  </a:prstClr>
                </a:outerShdw>
              </a:effectLst>
            </c:spPr>
            <c:extLst>
              <c:ext xmlns:c16="http://schemas.microsoft.com/office/drawing/2014/chart" uri="{C3380CC4-5D6E-409C-BE32-E72D297353CC}">
                <c16:uniqueId val="{00000004-07D4-49CB-9EBB-E86C62E3DD13}"/>
              </c:ext>
            </c:extLst>
          </c:dPt>
          <c:dPt>
            <c:idx val="1"/>
            <c:invertIfNegative val="0"/>
            <c:bubble3D val="0"/>
            <c:spPr>
              <a:solidFill>
                <a:schemeClr val="accent1"/>
              </a:solidFill>
              <a:ln w="101600">
                <a:gradFill>
                  <a:gsLst>
                    <a:gs pos="0">
                      <a:srgbClr val="3879F2"/>
                    </a:gs>
                    <a:gs pos="100000">
                      <a:srgbClr val="2069F0"/>
                    </a:gs>
                  </a:gsLst>
                  <a:lin ang="5400000" scaled="1"/>
                </a:gradFill>
              </a:ln>
              <a:effectLst>
                <a:outerShdw blurRad="50800" dist="38100" dir="8100000" algn="tr" rotWithShape="0">
                  <a:prstClr val="black">
                    <a:alpha val="40000"/>
                  </a:prstClr>
                </a:outerShdw>
              </a:effectLst>
            </c:spPr>
            <c:extLst>
              <c:ext xmlns:c16="http://schemas.microsoft.com/office/drawing/2014/chart" uri="{C3380CC4-5D6E-409C-BE32-E72D297353CC}">
                <c16:uniqueId val="{00000006-07D4-49CB-9EBB-E86C62E3DD13}"/>
              </c:ext>
            </c:extLst>
          </c:dPt>
          <c:dPt>
            <c:idx val="2"/>
            <c:invertIfNegative val="0"/>
            <c:bubble3D val="0"/>
            <c:spPr>
              <a:solidFill>
                <a:schemeClr val="accent1"/>
              </a:solidFill>
              <a:ln w="101600">
                <a:gradFill>
                  <a:gsLst>
                    <a:gs pos="0">
                      <a:srgbClr val="FF7684"/>
                    </a:gs>
                    <a:gs pos="100000">
                      <a:srgbClr val="FF5C6D"/>
                    </a:gs>
                  </a:gsLst>
                  <a:lin ang="5400000" scaled="1"/>
                </a:gradFill>
              </a:ln>
              <a:effectLst>
                <a:outerShdw blurRad="50800" dist="38100" dir="8100000" algn="tr" rotWithShape="0">
                  <a:prstClr val="black">
                    <a:alpha val="40000"/>
                  </a:prstClr>
                </a:outerShdw>
              </a:effectLst>
            </c:spPr>
            <c:extLst>
              <c:ext xmlns:c16="http://schemas.microsoft.com/office/drawing/2014/chart" uri="{C3380CC4-5D6E-409C-BE32-E72D297353CC}">
                <c16:uniqueId val="{00000008-07D4-49CB-9EBB-E86C62E3DD13}"/>
              </c:ext>
            </c:extLst>
          </c:dPt>
          <c:dPt>
            <c:idx val="3"/>
            <c:invertIfNegative val="0"/>
            <c:bubble3D val="0"/>
            <c:spPr>
              <a:solidFill>
                <a:schemeClr val="accent1"/>
              </a:solidFill>
              <a:ln w="101600">
                <a:gradFill>
                  <a:gsLst>
                    <a:gs pos="0">
                      <a:srgbClr val="00ADD6"/>
                    </a:gs>
                    <a:gs pos="100000">
                      <a:srgbClr val="007D9B"/>
                    </a:gs>
                  </a:gsLst>
                  <a:lin ang="5400000" scaled="1"/>
                </a:gradFill>
              </a:ln>
              <a:effectLst>
                <a:outerShdw blurRad="50800" dist="38100" dir="8100000" algn="tr" rotWithShape="0">
                  <a:prstClr val="black">
                    <a:alpha val="40000"/>
                  </a:prstClr>
                </a:outerShdw>
              </a:effectLst>
            </c:spPr>
            <c:extLst>
              <c:ext xmlns:c16="http://schemas.microsoft.com/office/drawing/2014/chart" uri="{C3380CC4-5D6E-409C-BE32-E72D297353CC}">
                <c16:uniqueId val="{0000000A-07D4-49CB-9EBB-E86C62E3DD13}"/>
              </c:ext>
            </c:extLst>
          </c:dPt>
          <c:dPt>
            <c:idx val="4"/>
            <c:invertIfNegative val="0"/>
            <c:bubble3D val="0"/>
            <c:spPr>
              <a:solidFill>
                <a:schemeClr val="accent1"/>
              </a:solidFill>
              <a:ln w="101600">
                <a:gradFill>
                  <a:gsLst>
                    <a:gs pos="0">
                      <a:srgbClr val="6978B4"/>
                    </a:gs>
                    <a:gs pos="100000">
                      <a:srgbClr val="4E5E9D"/>
                    </a:gs>
                  </a:gsLst>
                  <a:lin ang="5400000" scaled="1"/>
                </a:gradFill>
              </a:ln>
              <a:effectLst>
                <a:outerShdw blurRad="50800" dist="38100" dir="8100000" algn="tr" rotWithShape="0">
                  <a:prstClr val="black">
                    <a:alpha val="40000"/>
                  </a:prstClr>
                </a:outerShdw>
              </a:effectLst>
            </c:spPr>
            <c:extLst>
              <c:ext xmlns:c16="http://schemas.microsoft.com/office/drawing/2014/chart" uri="{C3380CC4-5D6E-409C-BE32-E72D297353CC}">
                <c16:uniqueId val="{0000000C-07D4-49CB-9EBB-E86C62E3DD13}"/>
              </c:ext>
            </c:extLst>
          </c:dPt>
          <c:val>
            <c:numRef>
              <c:f>Processing!$D$57:$H$57</c:f>
              <c:numCache>
                <c:formatCode>General</c:formatCode>
                <c:ptCount val="5"/>
                <c:pt idx="0">
                  <c:v>#N/A</c:v>
                </c:pt>
                <c:pt idx="1">
                  <c:v>1595</c:v>
                </c:pt>
                <c:pt idx="2">
                  <c:v>2487</c:v>
                </c:pt>
                <c:pt idx="3">
                  <c:v>1847</c:v>
                </c:pt>
                <c:pt idx="4">
                  <c:v>#N/A</c:v>
                </c:pt>
              </c:numCache>
            </c:numRef>
          </c:val>
          <c:extLst>
            <c:ext xmlns:c16="http://schemas.microsoft.com/office/drawing/2014/chart" uri="{C3380CC4-5D6E-409C-BE32-E72D297353CC}">
              <c16:uniqueId val="{0000000D-07D4-49CB-9EBB-E86C62E3DD13}"/>
            </c:ext>
          </c:extLst>
        </c:ser>
        <c:dLbls>
          <c:showLegendKey val="0"/>
          <c:showVal val="0"/>
          <c:showCatName val="0"/>
          <c:showSerName val="0"/>
          <c:showPercent val="0"/>
          <c:showBubbleSize val="0"/>
        </c:dLbls>
        <c:gapWidth val="400"/>
        <c:overlap val="100"/>
        <c:axId val="1488359807"/>
        <c:axId val="1488349727"/>
      </c:barChart>
      <c:scatterChart>
        <c:scatterStyle val="lineMarker"/>
        <c:varyColors val="0"/>
        <c:ser>
          <c:idx val="4"/>
          <c:order val="4"/>
          <c:tx>
            <c:strRef>
              <c:f>Processing!$C$61</c:f>
              <c:strCache>
                <c:ptCount val="1"/>
                <c:pt idx="0">
                  <c:v>Markers</c:v>
                </c:pt>
              </c:strCache>
            </c:strRef>
          </c:tx>
          <c:spPr>
            <a:ln w="25400" cap="rnd">
              <a:noFill/>
              <a:round/>
            </a:ln>
            <a:effectLst/>
          </c:spPr>
          <c:marker>
            <c:symbol val="none"/>
          </c:marker>
          <c:dLbls>
            <c:dLbl>
              <c:idx val="0"/>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E-07D4-49CB-9EBB-E86C62E3DD13}"/>
                </c:ext>
              </c:extLst>
            </c:dLbl>
            <c:dLbl>
              <c:idx val="1"/>
              <c:tx>
                <c:rich>
                  <a:bodyPr/>
                  <a:lstStyle/>
                  <a:p>
                    <a:fld id="{54F1AC54-A562-4464-90FD-2899130DF3E9}"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F-07D4-49CB-9EBB-E86C62E3DD13}"/>
                </c:ext>
              </c:extLst>
            </c:dLbl>
            <c:dLbl>
              <c:idx val="2"/>
              <c:tx>
                <c:rich>
                  <a:bodyPr/>
                  <a:lstStyle/>
                  <a:p>
                    <a:fld id="{433A8005-00A6-47BB-AB58-3E4A2E9FF08F}"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0-07D4-49CB-9EBB-E86C62E3DD13}"/>
                </c:ext>
              </c:extLst>
            </c:dLbl>
            <c:dLbl>
              <c:idx val="3"/>
              <c:tx>
                <c:rich>
                  <a:bodyPr/>
                  <a:lstStyle/>
                  <a:p>
                    <a:fld id="{88341E1E-B530-4CA4-B09A-1316D99C51C3}"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1-07D4-49CB-9EBB-E86C62E3DD13}"/>
                </c:ext>
              </c:extLst>
            </c:dLbl>
            <c:dLbl>
              <c:idx val="4"/>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2-07D4-49CB-9EBB-E86C62E3DD13}"/>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ru-RU"/>
              </a:p>
            </c:txPr>
            <c:dLblPos val="t"/>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yVal>
            <c:numRef>
              <c:f>Processing!$D$61:$H$61</c:f>
              <c:numCache>
                <c:formatCode>General</c:formatCode>
                <c:ptCount val="5"/>
                <c:pt idx="0">
                  <c:v>#N/A</c:v>
                </c:pt>
                <c:pt idx="1">
                  <c:v>1769.09</c:v>
                </c:pt>
                <c:pt idx="2">
                  <c:v>2661.09</c:v>
                </c:pt>
                <c:pt idx="3">
                  <c:v>2021.09</c:v>
                </c:pt>
                <c:pt idx="4">
                  <c:v>#N/A</c:v>
                </c:pt>
              </c:numCache>
            </c:numRef>
          </c:yVal>
          <c:smooth val="0"/>
          <c:extLst>
            <c:ext xmlns:c15="http://schemas.microsoft.com/office/drawing/2012/chart" uri="{02D57815-91ED-43cb-92C2-25804820EDAC}">
              <c15:datalabelsRange>
                <c15:f>Processing!$D$62:$H$62</c15:f>
                <c15:dlblRangeCache>
                  <c:ptCount val="5"/>
                  <c:pt idx="1">
                    <c:v>2k</c:v>
                  </c:pt>
                  <c:pt idx="2">
                    <c:v>2k</c:v>
                  </c:pt>
                  <c:pt idx="3">
                    <c:v>2k</c:v>
                  </c:pt>
                </c15:dlblRangeCache>
              </c15:datalabelsRange>
            </c:ext>
            <c:ext xmlns:c16="http://schemas.microsoft.com/office/drawing/2014/chart" uri="{C3380CC4-5D6E-409C-BE32-E72D297353CC}">
              <c16:uniqueId val="{00000013-07D4-49CB-9EBB-E86C62E3DD13}"/>
            </c:ext>
          </c:extLst>
        </c:ser>
        <c:dLbls>
          <c:showLegendKey val="0"/>
          <c:showVal val="0"/>
          <c:showCatName val="0"/>
          <c:showSerName val="0"/>
          <c:showPercent val="0"/>
          <c:showBubbleSize val="0"/>
        </c:dLbls>
        <c:axId val="1488359807"/>
        <c:axId val="1488349727"/>
      </c:scatterChart>
      <c:catAx>
        <c:axId val="1488376607"/>
        <c:scaling>
          <c:orientation val="minMax"/>
        </c:scaling>
        <c:delete val="1"/>
        <c:axPos val="b"/>
        <c:majorTickMark val="none"/>
        <c:minorTickMark val="none"/>
        <c:tickLblPos val="nextTo"/>
        <c:crossAx val="1488381407"/>
        <c:crosses val="autoZero"/>
        <c:auto val="1"/>
        <c:lblAlgn val="ctr"/>
        <c:lblOffset val="100"/>
        <c:noMultiLvlLbl val="0"/>
      </c:catAx>
      <c:valAx>
        <c:axId val="1488381407"/>
        <c:scaling>
          <c:orientation val="minMax"/>
        </c:scaling>
        <c:delete val="1"/>
        <c:axPos val="l"/>
        <c:numFmt formatCode="General" sourceLinked="1"/>
        <c:majorTickMark val="none"/>
        <c:minorTickMark val="none"/>
        <c:tickLblPos val="nextTo"/>
        <c:crossAx val="1488376607"/>
        <c:crosses val="autoZero"/>
        <c:crossBetween val="between"/>
      </c:valAx>
      <c:valAx>
        <c:axId val="1488349727"/>
        <c:scaling>
          <c:orientation val="minMax"/>
        </c:scaling>
        <c:delete val="1"/>
        <c:axPos val="r"/>
        <c:numFmt formatCode="General" sourceLinked="1"/>
        <c:majorTickMark val="out"/>
        <c:minorTickMark val="none"/>
        <c:tickLblPos val="nextTo"/>
        <c:crossAx val="1488359807"/>
        <c:crosses val="max"/>
        <c:crossBetween val="between"/>
      </c:valAx>
      <c:catAx>
        <c:axId val="1488359807"/>
        <c:scaling>
          <c:orientation val="minMax"/>
        </c:scaling>
        <c:delete val="1"/>
        <c:axPos val="b"/>
        <c:majorTickMark val="out"/>
        <c:minorTickMark val="none"/>
        <c:tickLblPos val="nextTo"/>
        <c:crossAx val="1488349727"/>
        <c:crosses val="autoZero"/>
        <c:auto val="1"/>
        <c:lblAlgn val="ctr"/>
        <c:lblOffset val="100"/>
        <c:noMultiLvlLbl val="0"/>
      </c:catAx>
      <c:spPr>
        <a:noFill/>
      </c:spPr>
    </c:plotArea>
    <c:plotVisOnly val="1"/>
    <c:dispBlanksAs val="gap"/>
    <c:showDLblsOverMax val="0"/>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5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solidFill>
              <a:schemeClr val="bg1"/>
            </a:solidFill>
            <a:ln>
              <a:noFill/>
            </a:ln>
          </c:spPr>
          <c:dPt>
            <c:idx val="0"/>
            <c:bubble3D val="0"/>
            <c:spPr>
              <a:solidFill>
                <a:srgbClr val="1992E6"/>
              </a:solidFill>
              <a:ln w="19050">
                <a:noFill/>
              </a:ln>
              <a:effectLst/>
            </c:spPr>
            <c:extLst>
              <c:ext xmlns:c16="http://schemas.microsoft.com/office/drawing/2014/chart" uri="{C3380CC4-5D6E-409C-BE32-E72D297353CC}">
                <c16:uniqueId val="{00000001-0479-406A-9417-5D3B10B831DE}"/>
              </c:ext>
            </c:extLst>
          </c:dPt>
          <c:dPt>
            <c:idx val="1"/>
            <c:bubble3D val="0"/>
            <c:spPr>
              <a:solidFill>
                <a:srgbClr val="FF00FF"/>
              </a:solidFill>
              <a:ln w="19050">
                <a:noFill/>
              </a:ln>
              <a:effectLst/>
            </c:spPr>
            <c:extLst>
              <c:ext xmlns:c16="http://schemas.microsoft.com/office/drawing/2014/chart" uri="{C3380CC4-5D6E-409C-BE32-E72D297353CC}">
                <c16:uniqueId val="{00000003-0479-406A-9417-5D3B10B831DE}"/>
              </c:ext>
            </c:extLst>
          </c:dPt>
          <c:val>
            <c:numRef>
              <c:f>Processing!$E$15:$F$15</c:f>
              <c:numCache>
                <c:formatCode>0%</c:formatCode>
                <c:ptCount val="2"/>
                <c:pt idx="0">
                  <c:v>0.65277777777777779</c:v>
                </c:pt>
                <c:pt idx="1">
                  <c:v>0.34722222222222221</c:v>
                </c:pt>
              </c:numCache>
            </c:numRef>
          </c:val>
          <c:extLst>
            <c:ext xmlns:c16="http://schemas.microsoft.com/office/drawing/2014/chart" uri="{C3380CC4-5D6E-409C-BE32-E72D297353CC}">
              <c16:uniqueId val="{00000004-0479-406A-9417-5D3B10B831DE}"/>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5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Processing!$H$2</c:f>
              <c:strCache>
                <c:ptCount val="1"/>
                <c:pt idx="0">
                  <c:v>Cursor</c:v>
                </c:pt>
              </c:strCache>
            </c:strRef>
          </c:tx>
          <c:spPr>
            <a:solidFill>
              <a:srgbClr val="A2ADBE">
                <a:alpha val="21000"/>
              </a:srgbClr>
            </a:solidFill>
            <a:ln>
              <a:noFill/>
            </a:ln>
            <a:effectLst/>
          </c:spPr>
          <c:invertIfNegative val="0"/>
          <c:cat>
            <c:strRef>
              <c:f>Processing!$B$3:$B$14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Processing!$H$3:$H$14</c:f>
              <c:numCache>
                <c:formatCode>0%</c:formatCode>
                <c:ptCount val="12"/>
                <c:pt idx="0">
                  <c:v>#N/A</c:v>
                </c:pt>
                <c:pt idx="1">
                  <c:v>#N/A</c:v>
                </c:pt>
                <c:pt idx="2">
                  <c:v>#N/A</c:v>
                </c:pt>
                <c:pt idx="3">
                  <c:v>1</c:v>
                </c:pt>
                <c:pt idx="4">
                  <c:v>1</c:v>
                </c:pt>
                <c:pt idx="5">
                  <c:v>1</c:v>
                </c:pt>
                <c:pt idx="6">
                  <c:v>#N/A</c:v>
                </c:pt>
                <c:pt idx="7">
                  <c:v>#N/A</c:v>
                </c:pt>
                <c:pt idx="8">
                  <c:v>#N/A</c:v>
                </c:pt>
                <c:pt idx="9">
                  <c:v>#N/A</c:v>
                </c:pt>
                <c:pt idx="10">
                  <c:v>#N/A</c:v>
                </c:pt>
                <c:pt idx="11">
                  <c:v>#N/A</c:v>
                </c:pt>
              </c:numCache>
            </c:numRef>
          </c:val>
          <c:extLst>
            <c:ext xmlns:c16="http://schemas.microsoft.com/office/drawing/2014/chart" uri="{C3380CC4-5D6E-409C-BE32-E72D297353CC}">
              <c16:uniqueId val="{00000000-0A32-4C1F-8D1A-EC805177CBEB}"/>
            </c:ext>
          </c:extLst>
        </c:ser>
        <c:dLbls>
          <c:showLegendKey val="0"/>
          <c:showVal val="0"/>
          <c:showCatName val="0"/>
          <c:showSerName val="0"/>
          <c:showPercent val="0"/>
          <c:showBubbleSize val="0"/>
        </c:dLbls>
        <c:gapWidth val="50"/>
        <c:overlap val="-27"/>
        <c:axId val="2029676367"/>
        <c:axId val="2029690287"/>
      </c:barChart>
      <c:catAx>
        <c:axId val="2029676367"/>
        <c:scaling>
          <c:orientation val="minMax"/>
        </c:scaling>
        <c:delete val="0"/>
        <c:axPos val="b"/>
        <c:numFmt formatCode="General" sourceLinked="1"/>
        <c:majorTickMark val="none"/>
        <c:minorTickMark val="none"/>
        <c:tickLblPos val="high"/>
        <c:spPr>
          <a:ln>
            <a:noFill/>
          </a:ln>
        </c:spPr>
        <c:txPr>
          <a:bodyPr/>
          <a:lstStyle/>
          <a:p>
            <a:pPr>
              <a:defRPr>
                <a:solidFill>
                  <a:schemeClr val="tx2">
                    <a:lumMod val="25000"/>
                    <a:lumOff val="75000"/>
                  </a:schemeClr>
                </a:solidFill>
              </a:defRPr>
            </a:pPr>
            <a:endParaRPr lang="ru-RU"/>
          </a:p>
        </c:txPr>
        <c:crossAx val="2029690287"/>
        <c:crosses val="autoZero"/>
        <c:auto val="1"/>
        <c:lblAlgn val="ctr"/>
        <c:lblOffset val="100"/>
        <c:noMultiLvlLbl val="0"/>
      </c:catAx>
      <c:valAx>
        <c:axId val="2029690287"/>
        <c:scaling>
          <c:orientation val="minMax"/>
          <c:max val="1"/>
          <c:min val="0"/>
        </c:scaling>
        <c:delete val="1"/>
        <c:axPos val="l"/>
        <c:numFmt formatCode="0%" sourceLinked="1"/>
        <c:majorTickMark val="none"/>
        <c:minorTickMark val="none"/>
        <c:tickLblPos val="nextTo"/>
        <c:crossAx val="2029676367"/>
        <c:crosses val="autoZero"/>
        <c:crossBetween val="between"/>
      </c:valAx>
      <c:spPr>
        <a:noFill/>
      </c:spPr>
    </c:plotArea>
    <c:plotVisOnly val="1"/>
    <c:dispBlanksAs val="gap"/>
    <c:showDLblsOverMax val="0"/>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5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0617869641294839"/>
          <c:y val="6.7401960784313722E-2"/>
          <c:w val="0.87159908136482955"/>
          <c:h val="0.86519607843137258"/>
        </c:manualLayout>
      </c:layout>
      <c:barChart>
        <c:barDir val="bar"/>
        <c:grouping val="stacked"/>
        <c:varyColors val="0"/>
        <c:ser>
          <c:idx val="0"/>
          <c:order val="0"/>
          <c:tx>
            <c:strRef>
              <c:f>Processing!$L$2</c:f>
              <c:strCache>
                <c:ptCount val="1"/>
                <c:pt idx="0">
                  <c:v>Start</c:v>
                </c:pt>
              </c:strCache>
            </c:strRef>
          </c:tx>
          <c:spPr>
            <a:gradFill flip="none" rotWithShape="1">
              <a:gsLst>
                <a:gs pos="0">
                  <a:srgbClr val="0A0E14"/>
                </a:gs>
                <a:gs pos="23000">
                  <a:srgbClr val="0D2048"/>
                </a:gs>
                <a:gs pos="100000">
                  <a:srgbClr val="0A0E14"/>
                </a:gs>
              </a:gsLst>
              <a:lin ang="5400000" scaled="0"/>
              <a:tileRect/>
            </a:gradFill>
            <a:ln>
              <a:noFill/>
            </a:ln>
            <a:effectLst>
              <a:outerShdw blurRad="63500" sx="102000" sy="102000" algn="ctr" rotWithShape="0">
                <a:prstClr val="black">
                  <a:alpha val="40000"/>
                </a:prstClr>
              </a:outerShdw>
            </a:effectLst>
          </c:spPr>
          <c:invertIfNegative val="0"/>
          <c:cat>
            <c:numRef>
              <c:f>Processing!$K$3:$K$7</c:f>
              <c:numCache>
                <c:formatCode>"$"#\ ###\ ###;\-"$"#\ ###\ ###;</c:formatCode>
                <c:ptCount val="5"/>
                <c:pt idx="0">
                  <c:v>0</c:v>
                </c:pt>
                <c:pt idx="1">
                  <c:v>500</c:v>
                </c:pt>
                <c:pt idx="2">
                  <c:v>1400</c:v>
                </c:pt>
                <c:pt idx="3">
                  <c:v>1000</c:v>
                </c:pt>
                <c:pt idx="4">
                  <c:v>0</c:v>
                </c:pt>
              </c:numCache>
            </c:numRef>
          </c:cat>
          <c:val>
            <c:numRef>
              <c:f>Processing!$L$3:$L$7</c:f>
              <c:numCache>
                <c:formatCode>General</c:formatCode>
                <c:ptCount val="5"/>
                <c:pt idx="0">
                  <c:v>0.2</c:v>
                </c:pt>
                <c:pt idx="1">
                  <c:v>1</c:v>
                </c:pt>
                <c:pt idx="2">
                  <c:v>3</c:v>
                </c:pt>
                <c:pt idx="3">
                  <c:v>4</c:v>
                </c:pt>
                <c:pt idx="4">
                  <c:v>7</c:v>
                </c:pt>
              </c:numCache>
            </c:numRef>
          </c:val>
          <c:extLst>
            <c:ext xmlns:c16="http://schemas.microsoft.com/office/drawing/2014/chart" uri="{C3380CC4-5D6E-409C-BE32-E72D297353CC}">
              <c16:uniqueId val="{00000000-2202-4903-AEDB-2C22C0E6F090}"/>
            </c:ext>
          </c:extLst>
        </c:ser>
        <c:ser>
          <c:idx val="1"/>
          <c:order val="1"/>
          <c:tx>
            <c:strRef>
              <c:f>Processing!$M$2</c:f>
              <c:strCache>
                <c:ptCount val="1"/>
                <c:pt idx="0">
                  <c:v>Process</c:v>
                </c:pt>
              </c:strCache>
            </c:strRef>
          </c:tx>
          <c:spPr>
            <a:solidFill>
              <a:srgbClr val="2B5BCB"/>
            </a:solidFill>
            <a:ln w="101600">
              <a:solidFill>
                <a:srgbClr val="2B5BCB"/>
              </a:solidFill>
            </a:ln>
            <a:effectLst/>
          </c:spPr>
          <c:invertIfNegative val="0"/>
          <c:dPt>
            <c:idx val="0"/>
            <c:invertIfNegative val="0"/>
            <c:bubble3D val="0"/>
            <c:spPr>
              <a:solidFill>
                <a:srgbClr val="1D8986"/>
              </a:solidFill>
              <a:ln w="101600">
                <a:gradFill>
                  <a:gsLst>
                    <a:gs pos="0">
                      <a:srgbClr val="28BEBA"/>
                    </a:gs>
                    <a:gs pos="31000">
                      <a:srgbClr val="1D8986"/>
                    </a:gs>
                  </a:gsLst>
                  <a:lin ang="5400000" scaled="1"/>
                </a:gradFill>
              </a:ln>
              <a:effectLst/>
            </c:spPr>
            <c:extLst>
              <c:ext xmlns:c16="http://schemas.microsoft.com/office/drawing/2014/chart" uri="{C3380CC4-5D6E-409C-BE32-E72D297353CC}">
                <c16:uniqueId val="{00000002-2202-4903-AEDB-2C22C0E6F090}"/>
              </c:ext>
            </c:extLst>
          </c:dPt>
          <c:dPt>
            <c:idx val="1"/>
            <c:invertIfNegative val="0"/>
            <c:bubble3D val="0"/>
            <c:spPr>
              <a:solidFill>
                <a:srgbClr val="2B5BCB"/>
              </a:solidFill>
              <a:ln w="101600">
                <a:gradFill>
                  <a:gsLst>
                    <a:gs pos="0">
                      <a:srgbClr val="5A82DC"/>
                    </a:gs>
                    <a:gs pos="31000">
                      <a:srgbClr val="2B5BCB"/>
                    </a:gs>
                  </a:gsLst>
                  <a:lin ang="5400000" scaled="1"/>
                </a:gradFill>
              </a:ln>
              <a:effectLst/>
            </c:spPr>
            <c:extLst>
              <c:ext xmlns:c16="http://schemas.microsoft.com/office/drawing/2014/chart" uri="{C3380CC4-5D6E-409C-BE32-E72D297353CC}">
                <c16:uniqueId val="{00000004-2202-4903-AEDB-2C22C0E6F090}"/>
              </c:ext>
            </c:extLst>
          </c:dPt>
          <c:dPt>
            <c:idx val="2"/>
            <c:invertIfNegative val="0"/>
            <c:bubble3D val="0"/>
            <c:spPr>
              <a:solidFill>
                <a:srgbClr val="FF5C6D"/>
              </a:solidFill>
              <a:ln w="101600">
                <a:gradFill>
                  <a:gsLst>
                    <a:gs pos="0">
                      <a:srgbClr val="FFA3AC"/>
                    </a:gs>
                    <a:gs pos="31000">
                      <a:srgbClr val="FF5C6D"/>
                    </a:gs>
                  </a:gsLst>
                  <a:lin ang="5400000" scaled="1"/>
                </a:gradFill>
              </a:ln>
              <a:effectLst/>
            </c:spPr>
            <c:extLst>
              <c:ext xmlns:c16="http://schemas.microsoft.com/office/drawing/2014/chart" uri="{C3380CC4-5D6E-409C-BE32-E72D297353CC}">
                <c16:uniqueId val="{00000006-2202-4903-AEDB-2C22C0E6F090}"/>
              </c:ext>
            </c:extLst>
          </c:dPt>
          <c:dPt>
            <c:idx val="3"/>
            <c:invertIfNegative val="0"/>
            <c:bubble3D val="0"/>
            <c:spPr>
              <a:solidFill>
                <a:srgbClr val="007D9B"/>
              </a:solidFill>
              <a:ln w="101600">
                <a:gradFill>
                  <a:gsLst>
                    <a:gs pos="0">
                      <a:srgbClr val="00ADD6"/>
                    </a:gs>
                    <a:gs pos="31000">
                      <a:srgbClr val="007D9B"/>
                    </a:gs>
                  </a:gsLst>
                  <a:lin ang="5400000" scaled="1"/>
                </a:gradFill>
              </a:ln>
              <a:effectLst/>
            </c:spPr>
            <c:extLst>
              <c:ext xmlns:c16="http://schemas.microsoft.com/office/drawing/2014/chart" uri="{C3380CC4-5D6E-409C-BE32-E72D297353CC}">
                <c16:uniqueId val="{00000008-2202-4903-AEDB-2C22C0E6F090}"/>
              </c:ext>
            </c:extLst>
          </c:dPt>
          <c:dPt>
            <c:idx val="4"/>
            <c:invertIfNegative val="0"/>
            <c:bubble3D val="0"/>
            <c:spPr>
              <a:solidFill>
                <a:srgbClr val="4E5E9D"/>
              </a:solidFill>
              <a:ln w="101600">
                <a:gradFill>
                  <a:gsLst>
                    <a:gs pos="0">
                      <a:srgbClr val="6978B4"/>
                    </a:gs>
                    <a:gs pos="31000">
                      <a:srgbClr val="4E5E9D"/>
                    </a:gs>
                  </a:gsLst>
                  <a:lin ang="5400000" scaled="1"/>
                </a:gradFill>
              </a:ln>
              <a:effectLst/>
            </c:spPr>
            <c:extLst>
              <c:ext xmlns:c16="http://schemas.microsoft.com/office/drawing/2014/chart" uri="{C3380CC4-5D6E-409C-BE32-E72D297353CC}">
                <c16:uniqueId val="{0000000A-2202-4903-AEDB-2C22C0E6F090}"/>
              </c:ext>
            </c:extLst>
          </c:dPt>
          <c:cat>
            <c:numRef>
              <c:f>Processing!$K$3:$K$7</c:f>
              <c:numCache>
                <c:formatCode>"$"#\ ###\ ###;\-"$"#\ ###\ ###;</c:formatCode>
                <c:ptCount val="5"/>
                <c:pt idx="0">
                  <c:v>0</c:v>
                </c:pt>
                <c:pt idx="1">
                  <c:v>500</c:v>
                </c:pt>
                <c:pt idx="2">
                  <c:v>1400</c:v>
                </c:pt>
                <c:pt idx="3">
                  <c:v>1000</c:v>
                </c:pt>
                <c:pt idx="4">
                  <c:v>0</c:v>
                </c:pt>
              </c:numCache>
            </c:numRef>
          </c:cat>
          <c:val>
            <c:numRef>
              <c:f>Processing!$M$3:$M$7</c:f>
              <c:numCache>
                <c:formatCode>General</c:formatCode>
                <c:ptCount val="5"/>
                <c:pt idx="0">
                  <c:v>1.8</c:v>
                </c:pt>
                <c:pt idx="1">
                  <c:v>3</c:v>
                </c:pt>
                <c:pt idx="2">
                  <c:v>2</c:v>
                </c:pt>
                <c:pt idx="3">
                  <c:v>4</c:v>
                </c:pt>
                <c:pt idx="4">
                  <c:v>4.8</c:v>
                </c:pt>
              </c:numCache>
            </c:numRef>
          </c:val>
          <c:extLst>
            <c:ext xmlns:c16="http://schemas.microsoft.com/office/drawing/2014/chart" uri="{C3380CC4-5D6E-409C-BE32-E72D297353CC}">
              <c16:uniqueId val="{0000000B-2202-4903-AEDB-2C22C0E6F090}"/>
            </c:ext>
          </c:extLst>
        </c:ser>
        <c:ser>
          <c:idx val="2"/>
          <c:order val="2"/>
          <c:tx>
            <c:strRef>
              <c:f>Processing!$N$2</c:f>
              <c:strCache>
                <c:ptCount val="1"/>
                <c:pt idx="0">
                  <c:v>End</c:v>
                </c:pt>
              </c:strCache>
            </c:strRef>
          </c:tx>
          <c:spPr>
            <a:gradFill>
              <a:gsLst>
                <a:gs pos="0">
                  <a:srgbClr val="0A0E14"/>
                </a:gs>
                <a:gs pos="23000">
                  <a:srgbClr val="0D2048"/>
                </a:gs>
                <a:gs pos="100000">
                  <a:srgbClr val="0A0E14"/>
                </a:gs>
              </a:gsLst>
              <a:lin ang="5400000" scaled="0"/>
            </a:gradFill>
            <a:ln>
              <a:noFill/>
            </a:ln>
            <a:effectLst/>
          </c:spPr>
          <c:invertIfNegative val="0"/>
          <c:cat>
            <c:numRef>
              <c:f>Processing!$K$3:$K$7</c:f>
              <c:numCache>
                <c:formatCode>"$"#\ ###\ ###;\-"$"#\ ###\ ###;</c:formatCode>
                <c:ptCount val="5"/>
                <c:pt idx="0">
                  <c:v>0</c:v>
                </c:pt>
                <c:pt idx="1">
                  <c:v>500</c:v>
                </c:pt>
                <c:pt idx="2">
                  <c:v>1400</c:v>
                </c:pt>
                <c:pt idx="3">
                  <c:v>1000</c:v>
                </c:pt>
                <c:pt idx="4">
                  <c:v>0</c:v>
                </c:pt>
              </c:numCache>
            </c:numRef>
          </c:cat>
          <c:val>
            <c:numRef>
              <c:f>Processing!$N$3:$N$7</c:f>
              <c:numCache>
                <c:formatCode>General</c:formatCode>
                <c:ptCount val="5"/>
                <c:pt idx="0">
                  <c:v>10</c:v>
                </c:pt>
                <c:pt idx="1">
                  <c:v>8</c:v>
                </c:pt>
                <c:pt idx="2">
                  <c:v>7</c:v>
                </c:pt>
                <c:pt idx="3">
                  <c:v>4</c:v>
                </c:pt>
                <c:pt idx="4">
                  <c:v>0.19999999999999929</c:v>
                </c:pt>
              </c:numCache>
            </c:numRef>
          </c:val>
          <c:extLst>
            <c:ext xmlns:c16="http://schemas.microsoft.com/office/drawing/2014/chart" uri="{C3380CC4-5D6E-409C-BE32-E72D297353CC}">
              <c16:uniqueId val="{0000000C-2202-4903-AEDB-2C22C0E6F090}"/>
            </c:ext>
          </c:extLst>
        </c:ser>
        <c:dLbls>
          <c:showLegendKey val="0"/>
          <c:showVal val="0"/>
          <c:showCatName val="0"/>
          <c:showSerName val="0"/>
          <c:showPercent val="0"/>
          <c:showBubbleSize val="0"/>
        </c:dLbls>
        <c:gapWidth val="200"/>
        <c:overlap val="100"/>
        <c:axId val="307646768"/>
        <c:axId val="307649168"/>
      </c:barChart>
      <c:catAx>
        <c:axId val="307646768"/>
        <c:scaling>
          <c:orientation val="maxMin"/>
        </c:scaling>
        <c:delete val="0"/>
        <c:axPos val="l"/>
        <c:numFmt formatCode="&quot;$&quot;#\ ###\ ###;\-&quot;$&quot;#\ ###\ ###;"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ru-RU"/>
          </a:p>
        </c:txPr>
        <c:crossAx val="307649168"/>
        <c:crosses val="autoZero"/>
        <c:auto val="1"/>
        <c:lblAlgn val="ctr"/>
        <c:lblOffset val="100"/>
        <c:noMultiLvlLbl val="0"/>
      </c:catAx>
      <c:valAx>
        <c:axId val="307649168"/>
        <c:scaling>
          <c:orientation val="minMax"/>
          <c:max val="12"/>
          <c:min val="0"/>
        </c:scaling>
        <c:delete val="1"/>
        <c:axPos val="t"/>
        <c:majorGridlines>
          <c:spPr>
            <a:ln w="9525" cap="flat" cmpd="sng" algn="ctr">
              <a:solidFill>
                <a:srgbClr val="193B8A">
                  <a:alpha val="50588"/>
                </a:srgbClr>
              </a:solidFill>
              <a:round/>
            </a:ln>
            <a:effectLst/>
          </c:spPr>
        </c:majorGridlines>
        <c:numFmt formatCode="General" sourceLinked="0"/>
        <c:majorTickMark val="out"/>
        <c:minorTickMark val="none"/>
        <c:tickLblPos val="nextTo"/>
        <c:crossAx val="307646768"/>
        <c:crosses val="autoZero"/>
        <c:crossBetween val="between"/>
        <c:majorUnit val="1"/>
      </c:valAx>
      <c:spPr>
        <a:noFill/>
      </c:spPr>
    </c:plotArea>
    <c:plotVisOnly val="1"/>
    <c:dispBlanksAs val="gap"/>
    <c:showDLblsOverMax val="0"/>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5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tx>
            <c:strRef>
              <c:f>Processing!$S$1</c:f>
              <c:strCache>
                <c:ptCount val="1"/>
                <c:pt idx="0">
                  <c:v>Budget</c:v>
                </c:pt>
              </c:strCache>
            </c:strRef>
          </c:tx>
          <c:spPr>
            <a:gradFill>
              <a:gsLst>
                <a:gs pos="50384">
                  <a:srgbClr val="BCC6FF"/>
                </a:gs>
                <a:gs pos="0">
                  <a:srgbClr val="6494DA"/>
                </a:gs>
                <a:gs pos="94000">
                  <a:srgbClr val="2F6EC7"/>
                </a:gs>
              </a:gsLst>
              <a:lin ang="5400000" scaled="1"/>
            </a:gradFill>
            <a:ln>
              <a:noFill/>
            </a:ln>
            <a:effectLst>
              <a:outerShdw blurRad="50800" dist="38100" dir="8100000" algn="tr" rotWithShape="0">
                <a:prstClr val="black">
                  <a:alpha val="40000"/>
                </a:prstClr>
              </a:outerShdw>
            </a:effectLst>
          </c:spPr>
          <c:dPt>
            <c:idx val="0"/>
            <c:bubble3D val="0"/>
            <c:spPr>
              <a:gradFill>
                <a:gsLst>
                  <a:gs pos="0">
                    <a:srgbClr val="09C3F2"/>
                  </a:gs>
                  <a:gs pos="100000">
                    <a:srgbClr val="06D3D9"/>
                  </a:gs>
                </a:gsLst>
                <a:lin ang="5400000" scaled="1"/>
              </a:gradFill>
              <a:ln w="19050">
                <a:noFill/>
              </a:ln>
              <a:effectLst>
                <a:outerShdw blurRad="50800" dist="38100" dir="8100000" algn="tr" rotWithShape="0">
                  <a:prstClr val="black">
                    <a:alpha val="40000"/>
                  </a:prstClr>
                </a:outerShdw>
              </a:effectLst>
            </c:spPr>
            <c:extLst>
              <c:ext xmlns:c16="http://schemas.microsoft.com/office/drawing/2014/chart" uri="{C3380CC4-5D6E-409C-BE32-E72D297353CC}">
                <c16:uniqueId val="{00000001-6B37-40DD-A7FF-638B11ACE2D0}"/>
              </c:ext>
            </c:extLst>
          </c:dPt>
          <c:dPt>
            <c:idx val="1"/>
            <c:bubble3D val="0"/>
            <c:spPr>
              <a:gradFill>
                <a:gsLst>
                  <a:gs pos="0">
                    <a:srgbClr val="2C71E7"/>
                  </a:gs>
                  <a:gs pos="100000">
                    <a:srgbClr val="2373DF"/>
                  </a:gs>
                </a:gsLst>
                <a:lin ang="5400000" scaled="1"/>
              </a:gradFill>
              <a:ln w="19050">
                <a:noFill/>
              </a:ln>
              <a:effectLst>
                <a:outerShdw blurRad="50800" dist="38100" dir="8100000" algn="tr" rotWithShape="0">
                  <a:prstClr val="black">
                    <a:alpha val="40000"/>
                  </a:prstClr>
                </a:outerShdw>
              </a:effectLst>
            </c:spPr>
            <c:extLst>
              <c:ext xmlns:c16="http://schemas.microsoft.com/office/drawing/2014/chart" uri="{C3380CC4-5D6E-409C-BE32-E72D297353CC}">
                <c16:uniqueId val="{00000003-6B37-40DD-A7FF-638B11ACE2D0}"/>
              </c:ext>
            </c:extLst>
          </c:dPt>
          <c:val>
            <c:numRef>
              <c:f>Processing!$S$3:$T$3</c:f>
              <c:numCache>
                <c:formatCode>0%</c:formatCode>
                <c:ptCount val="2"/>
                <c:pt idx="0">
                  <c:v>0.64091999999999993</c:v>
                </c:pt>
                <c:pt idx="1">
                  <c:v>0.35908000000000001</c:v>
                </c:pt>
              </c:numCache>
            </c:numRef>
          </c:val>
          <c:extLst>
            <c:ext xmlns:c16="http://schemas.microsoft.com/office/drawing/2014/chart" uri="{C3380CC4-5D6E-409C-BE32-E72D297353CC}">
              <c16:uniqueId val="{00000004-6B37-40DD-A7FF-638B11ACE2D0}"/>
            </c:ext>
          </c:extLst>
        </c:ser>
        <c:dLbls>
          <c:showLegendKey val="0"/>
          <c:showVal val="0"/>
          <c:showCatName val="0"/>
          <c:showSerName val="0"/>
          <c:showPercent val="0"/>
          <c:showBubbleSize val="0"/>
          <c:showLeaderLines val="1"/>
        </c:dLbls>
        <c:firstSliceAng val="0"/>
        <c:holeSize val="75"/>
      </c:doughnutChart>
      <c:scatterChart>
        <c:scatterStyle val="lineMarker"/>
        <c:varyColors val="0"/>
        <c:ser>
          <c:idx val="1"/>
          <c:order val="1"/>
          <c:tx>
            <c:strRef>
              <c:f>Processing!$S$4</c:f>
              <c:strCache>
                <c:ptCount val="1"/>
                <c:pt idx="0">
                  <c:v>Cursors</c:v>
                </c:pt>
              </c:strCache>
            </c:strRef>
          </c:tx>
          <c:spPr>
            <a:ln w="25400" cap="rnd">
              <a:noFill/>
              <a:round/>
            </a:ln>
            <a:effectLst/>
          </c:spPr>
          <c:marker>
            <c:symbol val="circle"/>
            <c:size val="14"/>
            <c:spPr>
              <a:solidFill>
                <a:srgbClr val="09C3F2"/>
              </a:solidFill>
              <a:ln w="9525">
                <a:noFill/>
              </a:ln>
              <a:effectLst/>
            </c:spPr>
          </c:marker>
          <c:dPt>
            <c:idx val="1"/>
            <c:marker>
              <c:symbol val="circle"/>
              <c:size val="14"/>
              <c:spPr>
                <a:solidFill>
                  <a:srgbClr val="06D3D9"/>
                </a:solidFill>
                <a:ln w="9525">
                  <a:noFill/>
                </a:ln>
                <a:effectLst/>
              </c:spPr>
            </c:marker>
            <c:bubble3D val="0"/>
            <c:extLst>
              <c:ext xmlns:c16="http://schemas.microsoft.com/office/drawing/2014/chart" uri="{C3380CC4-5D6E-409C-BE32-E72D297353CC}">
                <c16:uniqueId val="{00000005-6B37-40DD-A7FF-638B11ACE2D0}"/>
              </c:ext>
            </c:extLst>
          </c:dPt>
          <c:xVal>
            <c:numRef>
              <c:f>Processing!$S$6:$S$7</c:f>
              <c:numCache>
                <c:formatCode>General</c:formatCode>
                <c:ptCount val="2"/>
                <c:pt idx="0">
                  <c:v>0</c:v>
                </c:pt>
                <c:pt idx="1">
                  <c:v>-0.77418499792466078</c:v>
                </c:pt>
              </c:numCache>
            </c:numRef>
          </c:xVal>
          <c:yVal>
            <c:numRef>
              <c:f>Processing!$T$6:$T$7</c:f>
              <c:numCache>
                <c:formatCode>General</c:formatCode>
                <c:ptCount val="2"/>
                <c:pt idx="0">
                  <c:v>1</c:v>
                </c:pt>
                <c:pt idx="1">
                  <c:v>-0.63295938968340804</c:v>
                </c:pt>
              </c:numCache>
            </c:numRef>
          </c:yVal>
          <c:smooth val="0"/>
          <c:extLst>
            <c:ext xmlns:c16="http://schemas.microsoft.com/office/drawing/2014/chart" uri="{C3380CC4-5D6E-409C-BE32-E72D297353CC}">
              <c16:uniqueId val="{00000006-6B37-40DD-A7FF-638B11ACE2D0}"/>
            </c:ext>
          </c:extLst>
        </c:ser>
        <c:dLbls>
          <c:showLegendKey val="0"/>
          <c:showVal val="0"/>
          <c:showCatName val="0"/>
          <c:showSerName val="0"/>
          <c:showPercent val="0"/>
          <c:showBubbleSize val="0"/>
        </c:dLbls>
        <c:axId val="1214836208"/>
        <c:axId val="1214847248"/>
      </c:scatterChart>
      <c:valAx>
        <c:axId val="1214847248"/>
        <c:scaling>
          <c:orientation val="minMax"/>
          <c:max val="1.1500000000000001"/>
          <c:min val="-1.1400000000000001"/>
        </c:scaling>
        <c:delete val="1"/>
        <c:axPos val="l"/>
        <c:numFmt formatCode="General" sourceLinked="1"/>
        <c:majorTickMark val="out"/>
        <c:minorTickMark val="none"/>
        <c:tickLblPos val="nextTo"/>
        <c:crossAx val="1214836208"/>
        <c:crosses val="autoZero"/>
        <c:crossBetween val="midCat"/>
      </c:valAx>
      <c:valAx>
        <c:axId val="1214836208"/>
        <c:scaling>
          <c:orientation val="minMax"/>
          <c:max val="1.1400000000000001"/>
          <c:min val="-1.1500000000000001"/>
        </c:scaling>
        <c:delete val="1"/>
        <c:axPos val="t"/>
        <c:numFmt formatCode="General" sourceLinked="1"/>
        <c:majorTickMark val="out"/>
        <c:minorTickMark val="none"/>
        <c:tickLblPos val="nextTo"/>
        <c:crossAx val="1214847248"/>
        <c:crosses val="max"/>
        <c:crossBetween val="midCat"/>
      </c:valAx>
      <c:spPr>
        <a:noFill/>
        <a:ln w="25400">
          <a:noFill/>
        </a:ln>
        <a:effectLst/>
      </c:spPr>
    </c:plotArea>
    <c:plotVisOnly val="1"/>
    <c:dispBlanksAs val="gap"/>
    <c:showDLblsOverMax val="0"/>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5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3.3763044812768567E-2"/>
          <c:y val="6.0185185185185182E-2"/>
          <c:w val="0.93247391037446281"/>
          <c:h val="0.88888888888888884"/>
        </c:manualLayout>
      </c:layout>
      <c:barChart>
        <c:barDir val="col"/>
        <c:grouping val="stacked"/>
        <c:varyColors val="0"/>
        <c:ser>
          <c:idx val="0"/>
          <c:order val="0"/>
          <c:spPr>
            <a:noFill/>
            <a:ln>
              <a:noFill/>
            </a:ln>
            <a:effectLst/>
          </c:spPr>
          <c:invertIfNegative val="0"/>
          <c:cat>
            <c:strRef>
              <c:f>Processing!$K$24:$Q$24</c:f>
              <c:strCache>
                <c:ptCount val="7"/>
                <c:pt idx="0">
                  <c:v>SU</c:v>
                </c:pt>
                <c:pt idx="1">
                  <c:v>MO</c:v>
                </c:pt>
                <c:pt idx="2">
                  <c:v>TU</c:v>
                </c:pt>
                <c:pt idx="3">
                  <c:v>WE</c:v>
                </c:pt>
                <c:pt idx="4">
                  <c:v>TH</c:v>
                </c:pt>
                <c:pt idx="5">
                  <c:v>FR</c:v>
                </c:pt>
                <c:pt idx="6">
                  <c:v>SA</c:v>
                </c:pt>
              </c:strCache>
            </c:strRef>
          </c:cat>
          <c:val>
            <c:numRef>
              <c:f>Processing!$K$25:$Q$25</c:f>
              <c:numCache>
                <c:formatCode>General</c:formatCode>
                <c:ptCount val="7"/>
                <c:pt idx="0">
                  <c:v>1</c:v>
                </c:pt>
                <c:pt idx="1">
                  <c:v>1</c:v>
                </c:pt>
                <c:pt idx="2">
                  <c:v>1</c:v>
                </c:pt>
                <c:pt idx="3">
                  <c:v>1</c:v>
                </c:pt>
                <c:pt idx="4">
                  <c:v>0</c:v>
                </c:pt>
                <c:pt idx="5">
                  <c:v>0</c:v>
                </c:pt>
                <c:pt idx="6">
                  <c:v>0</c:v>
                </c:pt>
              </c:numCache>
            </c:numRef>
          </c:val>
          <c:extLst>
            <c:ext xmlns:c16="http://schemas.microsoft.com/office/drawing/2014/chart" uri="{C3380CC4-5D6E-409C-BE32-E72D297353CC}">
              <c16:uniqueId val="{00000000-6C74-4F02-9ACB-CEFC4E3C4181}"/>
            </c:ext>
          </c:extLst>
        </c:ser>
        <c:ser>
          <c:idx val="1"/>
          <c:order val="1"/>
          <c:spPr>
            <a:blipFill>
              <a:blip xmlns:r="http://schemas.openxmlformats.org/officeDocument/2006/relationships" r:embed="rId1"/>
              <a:stretch>
                <a:fillRect/>
              </a:stretch>
            </a:blipFill>
            <a:ln>
              <a:noFill/>
            </a:ln>
            <a:effectLst/>
          </c:spPr>
          <c:invertIfNegative val="0"/>
          <c:cat>
            <c:strRef>
              <c:f>Processing!$K$24:$Q$24</c:f>
              <c:strCache>
                <c:ptCount val="7"/>
                <c:pt idx="0">
                  <c:v>SU</c:v>
                </c:pt>
                <c:pt idx="1">
                  <c:v>MO</c:v>
                </c:pt>
                <c:pt idx="2">
                  <c:v>TU</c:v>
                </c:pt>
                <c:pt idx="3">
                  <c:v>WE</c:v>
                </c:pt>
                <c:pt idx="4">
                  <c:v>TH</c:v>
                </c:pt>
                <c:pt idx="5">
                  <c:v>FR</c:v>
                </c:pt>
                <c:pt idx="6">
                  <c:v>SA</c:v>
                </c:pt>
              </c:strCache>
            </c:strRef>
          </c:cat>
          <c:val>
            <c:numRef>
              <c:f>Processing!$K$26:$Q$26</c:f>
              <c:numCache>
                <c:formatCode>General</c:formatCode>
                <c:ptCount val="7"/>
                <c:pt idx="0">
                  <c:v>0</c:v>
                </c:pt>
                <c:pt idx="1">
                  <c:v>0</c:v>
                </c:pt>
                <c:pt idx="2">
                  <c:v>0</c:v>
                </c:pt>
                <c:pt idx="3">
                  <c:v>0</c:v>
                </c:pt>
                <c:pt idx="4">
                  <c:v>0</c:v>
                </c:pt>
                <c:pt idx="5">
                  <c:v>1</c:v>
                </c:pt>
                <c:pt idx="6">
                  <c:v>0</c:v>
                </c:pt>
              </c:numCache>
            </c:numRef>
          </c:val>
          <c:extLst>
            <c:ext xmlns:c16="http://schemas.microsoft.com/office/drawing/2014/chart" uri="{C3380CC4-5D6E-409C-BE32-E72D297353CC}">
              <c16:uniqueId val="{00000001-6C74-4F02-9ACB-CEFC4E3C4181}"/>
            </c:ext>
          </c:extLst>
        </c:ser>
        <c:ser>
          <c:idx val="2"/>
          <c:order val="2"/>
          <c:spPr>
            <a:blipFill>
              <a:blip xmlns:r="http://schemas.openxmlformats.org/officeDocument/2006/relationships" r:embed="rId2"/>
              <a:stretch>
                <a:fillRect/>
              </a:stretch>
            </a:blipFill>
            <a:ln>
              <a:noFill/>
            </a:ln>
            <a:effectLst/>
          </c:spPr>
          <c:invertIfNegative val="0"/>
          <c:cat>
            <c:strRef>
              <c:f>Processing!$K$24:$Q$24</c:f>
              <c:strCache>
                <c:ptCount val="7"/>
                <c:pt idx="0">
                  <c:v>SU</c:v>
                </c:pt>
                <c:pt idx="1">
                  <c:v>MO</c:v>
                </c:pt>
                <c:pt idx="2">
                  <c:v>TU</c:v>
                </c:pt>
                <c:pt idx="3">
                  <c:v>WE</c:v>
                </c:pt>
                <c:pt idx="4">
                  <c:v>TH</c:v>
                </c:pt>
                <c:pt idx="5">
                  <c:v>FR</c:v>
                </c:pt>
                <c:pt idx="6">
                  <c:v>SA</c:v>
                </c:pt>
              </c:strCache>
            </c:strRef>
          </c:cat>
          <c:val>
            <c:numRef>
              <c:f>Processing!$K$27:$Q$27</c:f>
              <c:numCache>
                <c:formatCode>General</c:formatCode>
                <c:ptCount val="7"/>
                <c:pt idx="0">
                  <c:v>0</c:v>
                </c:pt>
                <c:pt idx="1">
                  <c:v>0</c:v>
                </c:pt>
                <c:pt idx="2">
                  <c:v>0</c:v>
                </c:pt>
                <c:pt idx="3">
                  <c:v>0</c:v>
                </c:pt>
                <c:pt idx="4">
                  <c:v>1</c:v>
                </c:pt>
                <c:pt idx="5">
                  <c:v>0</c:v>
                </c:pt>
                <c:pt idx="6">
                  <c:v>1</c:v>
                </c:pt>
              </c:numCache>
            </c:numRef>
          </c:val>
          <c:extLst>
            <c:ext xmlns:c16="http://schemas.microsoft.com/office/drawing/2014/chart" uri="{C3380CC4-5D6E-409C-BE32-E72D297353CC}">
              <c16:uniqueId val="{00000002-6C74-4F02-9ACB-CEFC4E3C4181}"/>
            </c:ext>
          </c:extLst>
        </c:ser>
        <c:ser>
          <c:idx val="3"/>
          <c:order val="3"/>
          <c:spPr>
            <a:blipFill>
              <a:blip xmlns:r="http://schemas.openxmlformats.org/officeDocument/2006/relationships" r:embed="rId3"/>
              <a:stretch>
                <a:fillRect/>
              </a:stretch>
            </a:blipFill>
            <a:ln>
              <a:noFill/>
            </a:ln>
            <a:effectLst/>
          </c:spPr>
          <c:invertIfNegative val="0"/>
          <c:cat>
            <c:strRef>
              <c:f>Processing!$K$24:$Q$24</c:f>
              <c:strCache>
                <c:ptCount val="7"/>
                <c:pt idx="0">
                  <c:v>SU</c:v>
                </c:pt>
                <c:pt idx="1">
                  <c:v>MO</c:v>
                </c:pt>
                <c:pt idx="2">
                  <c:v>TU</c:v>
                </c:pt>
                <c:pt idx="3">
                  <c:v>WE</c:v>
                </c:pt>
                <c:pt idx="4">
                  <c:v>TH</c:v>
                </c:pt>
                <c:pt idx="5">
                  <c:v>FR</c:v>
                </c:pt>
                <c:pt idx="6">
                  <c:v>SA</c:v>
                </c:pt>
              </c:strCache>
            </c:strRef>
          </c:cat>
          <c:val>
            <c:numRef>
              <c:f>Processing!$K$28:$Q$28</c:f>
              <c:numCache>
                <c:formatCode>General</c:formatCode>
                <c:ptCount val="7"/>
                <c:pt idx="0">
                  <c:v>0</c:v>
                </c:pt>
                <c:pt idx="1">
                  <c:v>0</c:v>
                </c:pt>
                <c:pt idx="2">
                  <c:v>0</c:v>
                </c:pt>
                <c:pt idx="3">
                  <c:v>0</c:v>
                </c:pt>
                <c:pt idx="4">
                  <c:v>0</c:v>
                </c:pt>
                <c:pt idx="5">
                  <c:v>0</c:v>
                </c:pt>
                <c:pt idx="6">
                  <c:v>0</c:v>
                </c:pt>
              </c:numCache>
            </c:numRef>
          </c:val>
          <c:extLst>
            <c:ext xmlns:c16="http://schemas.microsoft.com/office/drawing/2014/chart" uri="{C3380CC4-5D6E-409C-BE32-E72D297353CC}">
              <c16:uniqueId val="{00000003-6C74-4F02-9ACB-CEFC4E3C4181}"/>
            </c:ext>
          </c:extLst>
        </c:ser>
        <c:ser>
          <c:idx val="4"/>
          <c:order val="4"/>
          <c:spPr>
            <a:noFill/>
            <a:ln>
              <a:noFill/>
            </a:ln>
            <a:effectLst/>
          </c:spPr>
          <c:invertIfNegative val="0"/>
          <c:cat>
            <c:strRef>
              <c:f>Processing!$K$24:$Q$24</c:f>
              <c:strCache>
                <c:ptCount val="7"/>
                <c:pt idx="0">
                  <c:v>SU</c:v>
                </c:pt>
                <c:pt idx="1">
                  <c:v>MO</c:v>
                </c:pt>
                <c:pt idx="2">
                  <c:v>TU</c:v>
                </c:pt>
                <c:pt idx="3">
                  <c:v>WE</c:v>
                </c:pt>
                <c:pt idx="4">
                  <c:v>TH</c:v>
                </c:pt>
                <c:pt idx="5">
                  <c:v>FR</c:v>
                </c:pt>
                <c:pt idx="6">
                  <c:v>SA</c:v>
                </c:pt>
              </c:strCache>
            </c:strRef>
          </c:cat>
          <c:val>
            <c:numRef>
              <c:f>Processing!$K$29:$Q$29</c:f>
              <c:numCache>
                <c:formatCode>General</c:formatCode>
                <c:ptCount val="7"/>
                <c:pt idx="0">
                  <c:v>0</c:v>
                </c:pt>
                <c:pt idx="1">
                  <c:v>0</c:v>
                </c:pt>
                <c:pt idx="2">
                  <c:v>0</c:v>
                </c:pt>
                <c:pt idx="3">
                  <c:v>0</c:v>
                </c:pt>
                <c:pt idx="4">
                  <c:v>0</c:v>
                </c:pt>
                <c:pt idx="5">
                  <c:v>0</c:v>
                </c:pt>
                <c:pt idx="6">
                  <c:v>0</c:v>
                </c:pt>
              </c:numCache>
            </c:numRef>
          </c:val>
          <c:extLst>
            <c:ext xmlns:c16="http://schemas.microsoft.com/office/drawing/2014/chart" uri="{C3380CC4-5D6E-409C-BE32-E72D297353CC}">
              <c16:uniqueId val="{00000004-6C74-4F02-9ACB-CEFC4E3C4181}"/>
            </c:ext>
          </c:extLst>
        </c:ser>
        <c:ser>
          <c:idx val="5"/>
          <c:order val="5"/>
          <c:spPr>
            <a:blipFill>
              <a:blip xmlns:r="http://schemas.openxmlformats.org/officeDocument/2006/relationships" r:embed="rId1"/>
              <a:stretch>
                <a:fillRect/>
              </a:stretch>
            </a:blipFill>
            <a:ln>
              <a:noFill/>
            </a:ln>
            <a:effectLst/>
          </c:spPr>
          <c:invertIfNegative val="0"/>
          <c:cat>
            <c:strRef>
              <c:f>Processing!$K$24:$Q$24</c:f>
              <c:strCache>
                <c:ptCount val="7"/>
                <c:pt idx="0">
                  <c:v>SU</c:v>
                </c:pt>
                <c:pt idx="1">
                  <c:v>MO</c:v>
                </c:pt>
                <c:pt idx="2">
                  <c:v>TU</c:v>
                </c:pt>
                <c:pt idx="3">
                  <c:v>WE</c:v>
                </c:pt>
                <c:pt idx="4">
                  <c:v>TH</c:v>
                </c:pt>
                <c:pt idx="5">
                  <c:v>FR</c:v>
                </c:pt>
                <c:pt idx="6">
                  <c:v>SA</c:v>
                </c:pt>
              </c:strCache>
            </c:strRef>
          </c:cat>
          <c:val>
            <c:numRef>
              <c:f>Processing!$K$30:$Q$30</c:f>
              <c:numCache>
                <c:formatCode>General</c:formatCode>
                <c:ptCount val="7"/>
                <c:pt idx="0">
                  <c:v>1</c:v>
                </c:pt>
                <c:pt idx="1">
                  <c:v>1</c:v>
                </c:pt>
                <c:pt idx="2">
                  <c:v>1</c:v>
                </c:pt>
                <c:pt idx="3">
                  <c:v>1</c:v>
                </c:pt>
                <c:pt idx="4">
                  <c:v>1</c:v>
                </c:pt>
                <c:pt idx="5">
                  <c:v>1</c:v>
                </c:pt>
                <c:pt idx="6">
                  <c:v>0</c:v>
                </c:pt>
              </c:numCache>
            </c:numRef>
          </c:val>
          <c:extLst>
            <c:ext xmlns:c16="http://schemas.microsoft.com/office/drawing/2014/chart" uri="{C3380CC4-5D6E-409C-BE32-E72D297353CC}">
              <c16:uniqueId val="{00000005-6C74-4F02-9ACB-CEFC4E3C4181}"/>
            </c:ext>
          </c:extLst>
        </c:ser>
        <c:ser>
          <c:idx val="6"/>
          <c:order val="6"/>
          <c:spPr>
            <a:blipFill>
              <a:blip xmlns:r="http://schemas.openxmlformats.org/officeDocument/2006/relationships" r:embed="rId2"/>
              <a:stretch>
                <a:fillRect/>
              </a:stretch>
            </a:blipFill>
            <a:ln>
              <a:noFill/>
            </a:ln>
            <a:effectLst/>
          </c:spPr>
          <c:invertIfNegative val="0"/>
          <c:cat>
            <c:strRef>
              <c:f>Processing!$K$24:$Q$24</c:f>
              <c:strCache>
                <c:ptCount val="7"/>
                <c:pt idx="0">
                  <c:v>SU</c:v>
                </c:pt>
                <c:pt idx="1">
                  <c:v>MO</c:v>
                </c:pt>
                <c:pt idx="2">
                  <c:v>TU</c:v>
                </c:pt>
                <c:pt idx="3">
                  <c:v>WE</c:v>
                </c:pt>
                <c:pt idx="4">
                  <c:v>TH</c:v>
                </c:pt>
                <c:pt idx="5">
                  <c:v>FR</c:v>
                </c:pt>
                <c:pt idx="6">
                  <c:v>SA</c:v>
                </c:pt>
              </c:strCache>
            </c:strRef>
          </c:cat>
          <c:val>
            <c:numRef>
              <c:f>Processing!$K$31:$Q$31</c:f>
              <c:numCache>
                <c:formatCode>General</c:formatCode>
                <c:ptCount val="7"/>
                <c:pt idx="0">
                  <c:v>0</c:v>
                </c:pt>
                <c:pt idx="1">
                  <c:v>0</c:v>
                </c:pt>
                <c:pt idx="2">
                  <c:v>0</c:v>
                </c:pt>
                <c:pt idx="3">
                  <c:v>0</c:v>
                </c:pt>
                <c:pt idx="4">
                  <c:v>0</c:v>
                </c:pt>
                <c:pt idx="5">
                  <c:v>0</c:v>
                </c:pt>
                <c:pt idx="6">
                  <c:v>1</c:v>
                </c:pt>
              </c:numCache>
            </c:numRef>
          </c:val>
          <c:extLst>
            <c:ext xmlns:c16="http://schemas.microsoft.com/office/drawing/2014/chart" uri="{C3380CC4-5D6E-409C-BE32-E72D297353CC}">
              <c16:uniqueId val="{00000006-6C74-4F02-9ACB-CEFC4E3C4181}"/>
            </c:ext>
          </c:extLst>
        </c:ser>
        <c:ser>
          <c:idx val="7"/>
          <c:order val="7"/>
          <c:spPr>
            <a:blipFill>
              <a:blip xmlns:r="http://schemas.openxmlformats.org/officeDocument/2006/relationships" r:embed="rId3"/>
              <a:stretch>
                <a:fillRect/>
              </a:stretch>
            </a:blipFill>
            <a:ln>
              <a:noFill/>
            </a:ln>
            <a:effectLst/>
          </c:spPr>
          <c:invertIfNegative val="0"/>
          <c:cat>
            <c:strRef>
              <c:f>Processing!$K$24:$Q$24</c:f>
              <c:strCache>
                <c:ptCount val="7"/>
                <c:pt idx="0">
                  <c:v>SU</c:v>
                </c:pt>
                <c:pt idx="1">
                  <c:v>MO</c:v>
                </c:pt>
                <c:pt idx="2">
                  <c:v>TU</c:v>
                </c:pt>
                <c:pt idx="3">
                  <c:v>WE</c:v>
                </c:pt>
                <c:pt idx="4">
                  <c:v>TH</c:v>
                </c:pt>
                <c:pt idx="5">
                  <c:v>FR</c:v>
                </c:pt>
                <c:pt idx="6">
                  <c:v>SA</c:v>
                </c:pt>
              </c:strCache>
            </c:strRef>
          </c:cat>
          <c:val>
            <c:numRef>
              <c:f>Processing!$K$32:$Q$32</c:f>
              <c:numCache>
                <c:formatCode>General</c:formatCode>
                <c:ptCount val="7"/>
                <c:pt idx="0">
                  <c:v>0</c:v>
                </c:pt>
                <c:pt idx="1">
                  <c:v>0</c:v>
                </c:pt>
                <c:pt idx="2">
                  <c:v>0</c:v>
                </c:pt>
                <c:pt idx="3">
                  <c:v>0</c:v>
                </c:pt>
                <c:pt idx="4">
                  <c:v>0</c:v>
                </c:pt>
                <c:pt idx="5">
                  <c:v>0</c:v>
                </c:pt>
                <c:pt idx="6">
                  <c:v>0</c:v>
                </c:pt>
              </c:numCache>
            </c:numRef>
          </c:val>
          <c:extLst>
            <c:ext xmlns:c16="http://schemas.microsoft.com/office/drawing/2014/chart" uri="{C3380CC4-5D6E-409C-BE32-E72D297353CC}">
              <c16:uniqueId val="{00000007-6C74-4F02-9ACB-CEFC4E3C4181}"/>
            </c:ext>
          </c:extLst>
        </c:ser>
        <c:ser>
          <c:idx val="8"/>
          <c:order val="8"/>
          <c:spPr>
            <a:noFill/>
            <a:ln>
              <a:noFill/>
            </a:ln>
            <a:effectLst/>
          </c:spPr>
          <c:invertIfNegative val="0"/>
          <c:cat>
            <c:strRef>
              <c:f>Processing!$K$24:$Q$24</c:f>
              <c:strCache>
                <c:ptCount val="7"/>
                <c:pt idx="0">
                  <c:v>SU</c:v>
                </c:pt>
                <c:pt idx="1">
                  <c:v>MO</c:v>
                </c:pt>
                <c:pt idx="2">
                  <c:v>TU</c:v>
                </c:pt>
                <c:pt idx="3">
                  <c:v>WE</c:v>
                </c:pt>
                <c:pt idx="4">
                  <c:v>TH</c:v>
                </c:pt>
                <c:pt idx="5">
                  <c:v>FR</c:v>
                </c:pt>
                <c:pt idx="6">
                  <c:v>SA</c:v>
                </c:pt>
              </c:strCache>
            </c:strRef>
          </c:cat>
          <c:val>
            <c:numRef>
              <c:f>Processing!$K$33:$Q$33</c:f>
              <c:numCache>
                <c:formatCode>General</c:formatCode>
                <c:ptCount val="7"/>
                <c:pt idx="0">
                  <c:v>0</c:v>
                </c:pt>
                <c:pt idx="1">
                  <c:v>0</c:v>
                </c:pt>
                <c:pt idx="2">
                  <c:v>0</c:v>
                </c:pt>
                <c:pt idx="3">
                  <c:v>0</c:v>
                </c:pt>
                <c:pt idx="4">
                  <c:v>0</c:v>
                </c:pt>
                <c:pt idx="5">
                  <c:v>0</c:v>
                </c:pt>
                <c:pt idx="6">
                  <c:v>0</c:v>
                </c:pt>
              </c:numCache>
            </c:numRef>
          </c:val>
          <c:extLst>
            <c:ext xmlns:c16="http://schemas.microsoft.com/office/drawing/2014/chart" uri="{C3380CC4-5D6E-409C-BE32-E72D297353CC}">
              <c16:uniqueId val="{00000008-6C74-4F02-9ACB-CEFC4E3C4181}"/>
            </c:ext>
          </c:extLst>
        </c:ser>
        <c:ser>
          <c:idx val="9"/>
          <c:order val="9"/>
          <c:spPr>
            <a:blipFill>
              <a:blip xmlns:r="http://schemas.openxmlformats.org/officeDocument/2006/relationships" r:embed="rId1"/>
              <a:stretch>
                <a:fillRect/>
              </a:stretch>
            </a:blipFill>
            <a:ln>
              <a:noFill/>
            </a:ln>
            <a:effectLst/>
          </c:spPr>
          <c:invertIfNegative val="0"/>
          <c:cat>
            <c:strRef>
              <c:f>Processing!$K$24:$Q$24</c:f>
              <c:strCache>
                <c:ptCount val="7"/>
                <c:pt idx="0">
                  <c:v>SU</c:v>
                </c:pt>
                <c:pt idx="1">
                  <c:v>MO</c:v>
                </c:pt>
                <c:pt idx="2">
                  <c:v>TU</c:v>
                </c:pt>
                <c:pt idx="3">
                  <c:v>WE</c:v>
                </c:pt>
                <c:pt idx="4">
                  <c:v>TH</c:v>
                </c:pt>
                <c:pt idx="5">
                  <c:v>FR</c:v>
                </c:pt>
                <c:pt idx="6">
                  <c:v>SA</c:v>
                </c:pt>
              </c:strCache>
            </c:strRef>
          </c:cat>
          <c:val>
            <c:numRef>
              <c:f>Processing!$K$34:$Q$34</c:f>
              <c:numCache>
                <c:formatCode>General</c:formatCode>
                <c:ptCount val="7"/>
                <c:pt idx="0">
                  <c:v>0</c:v>
                </c:pt>
                <c:pt idx="1">
                  <c:v>1</c:v>
                </c:pt>
                <c:pt idx="2">
                  <c:v>0</c:v>
                </c:pt>
                <c:pt idx="3">
                  <c:v>0</c:v>
                </c:pt>
                <c:pt idx="4">
                  <c:v>0</c:v>
                </c:pt>
                <c:pt idx="5">
                  <c:v>1</c:v>
                </c:pt>
                <c:pt idx="6">
                  <c:v>1</c:v>
                </c:pt>
              </c:numCache>
            </c:numRef>
          </c:val>
          <c:extLst>
            <c:ext xmlns:c16="http://schemas.microsoft.com/office/drawing/2014/chart" uri="{C3380CC4-5D6E-409C-BE32-E72D297353CC}">
              <c16:uniqueId val="{00000009-6C74-4F02-9ACB-CEFC4E3C4181}"/>
            </c:ext>
          </c:extLst>
        </c:ser>
        <c:ser>
          <c:idx val="10"/>
          <c:order val="10"/>
          <c:spPr>
            <a:blipFill>
              <a:blip xmlns:r="http://schemas.openxmlformats.org/officeDocument/2006/relationships" r:embed="rId2"/>
              <a:stretch>
                <a:fillRect/>
              </a:stretch>
            </a:blipFill>
            <a:ln>
              <a:noFill/>
            </a:ln>
            <a:effectLst/>
          </c:spPr>
          <c:invertIfNegative val="0"/>
          <c:cat>
            <c:strRef>
              <c:f>Processing!$K$24:$Q$24</c:f>
              <c:strCache>
                <c:ptCount val="7"/>
                <c:pt idx="0">
                  <c:v>SU</c:v>
                </c:pt>
                <c:pt idx="1">
                  <c:v>MO</c:v>
                </c:pt>
                <c:pt idx="2">
                  <c:v>TU</c:v>
                </c:pt>
                <c:pt idx="3">
                  <c:v>WE</c:v>
                </c:pt>
                <c:pt idx="4">
                  <c:v>TH</c:v>
                </c:pt>
                <c:pt idx="5">
                  <c:v>FR</c:v>
                </c:pt>
                <c:pt idx="6">
                  <c:v>SA</c:v>
                </c:pt>
              </c:strCache>
            </c:strRef>
          </c:cat>
          <c:val>
            <c:numRef>
              <c:f>Processing!$K$35:$Q$35</c:f>
              <c:numCache>
                <c:formatCode>General</c:formatCode>
                <c:ptCount val="7"/>
                <c:pt idx="0">
                  <c:v>1</c:v>
                </c:pt>
                <c:pt idx="1">
                  <c:v>0</c:v>
                </c:pt>
                <c:pt idx="2">
                  <c:v>1</c:v>
                </c:pt>
                <c:pt idx="3">
                  <c:v>1</c:v>
                </c:pt>
                <c:pt idx="4">
                  <c:v>1</c:v>
                </c:pt>
                <c:pt idx="5">
                  <c:v>0</c:v>
                </c:pt>
                <c:pt idx="6">
                  <c:v>0</c:v>
                </c:pt>
              </c:numCache>
            </c:numRef>
          </c:val>
          <c:extLst>
            <c:ext xmlns:c16="http://schemas.microsoft.com/office/drawing/2014/chart" uri="{C3380CC4-5D6E-409C-BE32-E72D297353CC}">
              <c16:uniqueId val="{0000000A-6C74-4F02-9ACB-CEFC4E3C4181}"/>
            </c:ext>
          </c:extLst>
        </c:ser>
        <c:ser>
          <c:idx val="11"/>
          <c:order val="11"/>
          <c:spPr>
            <a:blipFill>
              <a:blip xmlns:r="http://schemas.openxmlformats.org/officeDocument/2006/relationships" r:embed="rId3"/>
              <a:stretch>
                <a:fillRect/>
              </a:stretch>
            </a:blipFill>
            <a:ln>
              <a:noFill/>
            </a:ln>
            <a:effectLst/>
          </c:spPr>
          <c:invertIfNegative val="0"/>
          <c:cat>
            <c:strRef>
              <c:f>Processing!$K$24:$Q$24</c:f>
              <c:strCache>
                <c:ptCount val="7"/>
                <c:pt idx="0">
                  <c:v>SU</c:v>
                </c:pt>
                <c:pt idx="1">
                  <c:v>MO</c:v>
                </c:pt>
                <c:pt idx="2">
                  <c:v>TU</c:v>
                </c:pt>
                <c:pt idx="3">
                  <c:v>WE</c:v>
                </c:pt>
                <c:pt idx="4">
                  <c:v>TH</c:v>
                </c:pt>
                <c:pt idx="5">
                  <c:v>FR</c:v>
                </c:pt>
                <c:pt idx="6">
                  <c:v>SA</c:v>
                </c:pt>
              </c:strCache>
            </c:strRef>
          </c:cat>
          <c:val>
            <c:numRef>
              <c:f>Processing!$K$36:$Q$36</c:f>
              <c:numCache>
                <c:formatCode>General</c:formatCode>
                <c:ptCount val="7"/>
                <c:pt idx="0">
                  <c:v>0</c:v>
                </c:pt>
                <c:pt idx="1">
                  <c:v>0</c:v>
                </c:pt>
                <c:pt idx="2">
                  <c:v>0</c:v>
                </c:pt>
                <c:pt idx="3">
                  <c:v>0</c:v>
                </c:pt>
                <c:pt idx="4">
                  <c:v>0</c:v>
                </c:pt>
                <c:pt idx="5">
                  <c:v>0</c:v>
                </c:pt>
                <c:pt idx="6">
                  <c:v>0</c:v>
                </c:pt>
              </c:numCache>
            </c:numRef>
          </c:val>
          <c:extLst>
            <c:ext xmlns:c16="http://schemas.microsoft.com/office/drawing/2014/chart" uri="{C3380CC4-5D6E-409C-BE32-E72D297353CC}">
              <c16:uniqueId val="{0000000B-6C74-4F02-9ACB-CEFC4E3C4181}"/>
            </c:ext>
          </c:extLst>
        </c:ser>
        <c:ser>
          <c:idx val="12"/>
          <c:order val="12"/>
          <c:spPr>
            <a:noFill/>
            <a:ln>
              <a:noFill/>
            </a:ln>
            <a:effectLst/>
          </c:spPr>
          <c:invertIfNegative val="0"/>
          <c:cat>
            <c:strRef>
              <c:f>Processing!$K$24:$Q$24</c:f>
              <c:strCache>
                <c:ptCount val="7"/>
                <c:pt idx="0">
                  <c:v>SU</c:v>
                </c:pt>
                <c:pt idx="1">
                  <c:v>MO</c:v>
                </c:pt>
                <c:pt idx="2">
                  <c:v>TU</c:v>
                </c:pt>
                <c:pt idx="3">
                  <c:v>WE</c:v>
                </c:pt>
                <c:pt idx="4">
                  <c:v>TH</c:v>
                </c:pt>
                <c:pt idx="5">
                  <c:v>FR</c:v>
                </c:pt>
                <c:pt idx="6">
                  <c:v>SA</c:v>
                </c:pt>
              </c:strCache>
            </c:strRef>
          </c:cat>
          <c:val>
            <c:numRef>
              <c:f>Processing!$K$37:$Q$37</c:f>
              <c:numCache>
                <c:formatCode>General</c:formatCode>
                <c:ptCount val="7"/>
                <c:pt idx="0">
                  <c:v>0</c:v>
                </c:pt>
                <c:pt idx="1">
                  <c:v>0</c:v>
                </c:pt>
                <c:pt idx="2">
                  <c:v>0</c:v>
                </c:pt>
                <c:pt idx="3">
                  <c:v>0</c:v>
                </c:pt>
                <c:pt idx="4">
                  <c:v>0</c:v>
                </c:pt>
                <c:pt idx="5">
                  <c:v>0</c:v>
                </c:pt>
                <c:pt idx="6">
                  <c:v>0</c:v>
                </c:pt>
              </c:numCache>
            </c:numRef>
          </c:val>
          <c:extLst>
            <c:ext xmlns:c16="http://schemas.microsoft.com/office/drawing/2014/chart" uri="{C3380CC4-5D6E-409C-BE32-E72D297353CC}">
              <c16:uniqueId val="{0000000C-6C74-4F02-9ACB-CEFC4E3C4181}"/>
            </c:ext>
          </c:extLst>
        </c:ser>
        <c:ser>
          <c:idx val="13"/>
          <c:order val="13"/>
          <c:spPr>
            <a:blipFill>
              <a:blip xmlns:r="http://schemas.openxmlformats.org/officeDocument/2006/relationships" r:embed="rId1"/>
              <a:stretch>
                <a:fillRect/>
              </a:stretch>
            </a:blipFill>
            <a:ln>
              <a:noFill/>
            </a:ln>
            <a:effectLst/>
          </c:spPr>
          <c:invertIfNegative val="0"/>
          <c:cat>
            <c:strRef>
              <c:f>Processing!$K$24:$Q$24</c:f>
              <c:strCache>
                <c:ptCount val="7"/>
                <c:pt idx="0">
                  <c:v>SU</c:v>
                </c:pt>
                <c:pt idx="1">
                  <c:v>MO</c:v>
                </c:pt>
                <c:pt idx="2">
                  <c:v>TU</c:v>
                </c:pt>
                <c:pt idx="3">
                  <c:v>WE</c:v>
                </c:pt>
                <c:pt idx="4">
                  <c:v>TH</c:v>
                </c:pt>
                <c:pt idx="5">
                  <c:v>FR</c:v>
                </c:pt>
                <c:pt idx="6">
                  <c:v>SA</c:v>
                </c:pt>
              </c:strCache>
            </c:strRef>
          </c:cat>
          <c:val>
            <c:numRef>
              <c:f>Processing!$K$38:$Q$38</c:f>
              <c:numCache>
                <c:formatCode>General</c:formatCode>
                <c:ptCount val="7"/>
                <c:pt idx="0">
                  <c:v>0</c:v>
                </c:pt>
                <c:pt idx="1">
                  <c:v>0</c:v>
                </c:pt>
                <c:pt idx="2">
                  <c:v>0</c:v>
                </c:pt>
                <c:pt idx="3">
                  <c:v>1</c:v>
                </c:pt>
                <c:pt idx="4">
                  <c:v>0</c:v>
                </c:pt>
                <c:pt idx="5">
                  <c:v>0</c:v>
                </c:pt>
                <c:pt idx="6">
                  <c:v>0</c:v>
                </c:pt>
              </c:numCache>
            </c:numRef>
          </c:val>
          <c:extLst>
            <c:ext xmlns:c16="http://schemas.microsoft.com/office/drawing/2014/chart" uri="{C3380CC4-5D6E-409C-BE32-E72D297353CC}">
              <c16:uniqueId val="{0000000D-6C74-4F02-9ACB-CEFC4E3C4181}"/>
            </c:ext>
          </c:extLst>
        </c:ser>
        <c:ser>
          <c:idx val="14"/>
          <c:order val="14"/>
          <c:spPr>
            <a:blipFill>
              <a:blip xmlns:r="http://schemas.openxmlformats.org/officeDocument/2006/relationships" r:embed="rId2"/>
              <a:stretch>
                <a:fillRect/>
              </a:stretch>
            </a:blipFill>
            <a:ln>
              <a:noFill/>
            </a:ln>
            <a:effectLst/>
          </c:spPr>
          <c:invertIfNegative val="0"/>
          <c:cat>
            <c:strRef>
              <c:f>Processing!$K$24:$Q$24</c:f>
              <c:strCache>
                <c:ptCount val="7"/>
                <c:pt idx="0">
                  <c:v>SU</c:v>
                </c:pt>
                <c:pt idx="1">
                  <c:v>MO</c:v>
                </c:pt>
                <c:pt idx="2">
                  <c:v>TU</c:v>
                </c:pt>
                <c:pt idx="3">
                  <c:v>WE</c:v>
                </c:pt>
                <c:pt idx="4">
                  <c:v>TH</c:v>
                </c:pt>
                <c:pt idx="5">
                  <c:v>FR</c:v>
                </c:pt>
                <c:pt idx="6">
                  <c:v>SA</c:v>
                </c:pt>
              </c:strCache>
            </c:strRef>
          </c:cat>
          <c:val>
            <c:numRef>
              <c:f>Processing!$K$39:$Q$39</c:f>
              <c:numCache>
                <c:formatCode>General</c:formatCode>
                <c:ptCount val="7"/>
                <c:pt idx="0">
                  <c:v>1</c:v>
                </c:pt>
                <c:pt idx="1">
                  <c:v>1</c:v>
                </c:pt>
                <c:pt idx="2">
                  <c:v>1</c:v>
                </c:pt>
                <c:pt idx="3">
                  <c:v>0</c:v>
                </c:pt>
                <c:pt idx="4">
                  <c:v>0</c:v>
                </c:pt>
                <c:pt idx="5">
                  <c:v>1</c:v>
                </c:pt>
                <c:pt idx="6">
                  <c:v>1</c:v>
                </c:pt>
              </c:numCache>
            </c:numRef>
          </c:val>
          <c:extLst>
            <c:ext xmlns:c16="http://schemas.microsoft.com/office/drawing/2014/chart" uri="{C3380CC4-5D6E-409C-BE32-E72D297353CC}">
              <c16:uniqueId val="{0000000E-6C74-4F02-9ACB-CEFC4E3C4181}"/>
            </c:ext>
          </c:extLst>
        </c:ser>
        <c:ser>
          <c:idx val="15"/>
          <c:order val="15"/>
          <c:spPr>
            <a:blipFill>
              <a:blip xmlns:r="http://schemas.openxmlformats.org/officeDocument/2006/relationships" r:embed="rId3"/>
              <a:stretch>
                <a:fillRect/>
              </a:stretch>
            </a:blipFill>
            <a:ln>
              <a:noFill/>
            </a:ln>
            <a:effectLst/>
          </c:spPr>
          <c:invertIfNegative val="0"/>
          <c:cat>
            <c:strRef>
              <c:f>Processing!$K$24:$Q$24</c:f>
              <c:strCache>
                <c:ptCount val="7"/>
                <c:pt idx="0">
                  <c:v>SU</c:v>
                </c:pt>
                <c:pt idx="1">
                  <c:v>MO</c:v>
                </c:pt>
                <c:pt idx="2">
                  <c:v>TU</c:v>
                </c:pt>
                <c:pt idx="3">
                  <c:v>WE</c:v>
                </c:pt>
                <c:pt idx="4">
                  <c:v>TH</c:v>
                </c:pt>
                <c:pt idx="5">
                  <c:v>FR</c:v>
                </c:pt>
                <c:pt idx="6">
                  <c:v>SA</c:v>
                </c:pt>
              </c:strCache>
            </c:strRef>
          </c:cat>
          <c:val>
            <c:numRef>
              <c:f>Processing!$K$40:$Q$40</c:f>
              <c:numCache>
                <c:formatCode>General</c:formatCode>
                <c:ptCount val="7"/>
                <c:pt idx="0">
                  <c:v>0</c:v>
                </c:pt>
                <c:pt idx="1">
                  <c:v>0</c:v>
                </c:pt>
                <c:pt idx="2">
                  <c:v>0</c:v>
                </c:pt>
                <c:pt idx="3">
                  <c:v>0</c:v>
                </c:pt>
                <c:pt idx="4">
                  <c:v>1</c:v>
                </c:pt>
                <c:pt idx="5">
                  <c:v>0</c:v>
                </c:pt>
                <c:pt idx="6">
                  <c:v>0</c:v>
                </c:pt>
              </c:numCache>
            </c:numRef>
          </c:val>
          <c:extLst>
            <c:ext xmlns:c16="http://schemas.microsoft.com/office/drawing/2014/chart" uri="{C3380CC4-5D6E-409C-BE32-E72D297353CC}">
              <c16:uniqueId val="{0000000F-6C74-4F02-9ACB-CEFC4E3C4181}"/>
            </c:ext>
          </c:extLst>
        </c:ser>
        <c:ser>
          <c:idx val="16"/>
          <c:order val="16"/>
          <c:spPr>
            <a:noFill/>
            <a:ln>
              <a:noFill/>
            </a:ln>
            <a:effectLst/>
          </c:spPr>
          <c:invertIfNegative val="0"/>
          <c:cat>
            <c:strRef>
              <c:f>Processing!$K$24:$Q$24</c:f>
              <c:strCache>
                <c:ptCount val="7"/>
                <c:pt idx="0">
                  <c:v>SU</c:v>
                </c:pt>
                <c:pt idx="1">
                  <c:v>MO</c:v>
                </c:pt>
                <c:pt idx="2">
                  <c:v>TU</c:v>
                </c:pt>
                <c:pt idx="3">
                  <c:v>WE</c:v>
                </c:pt>
                <c:pt idx="4">
                  <c:v>TH</c:v>
                </c:pt>
                <c:pt idx="5">
                  <c:v>FR</c:v>
                </c:pt>
                <c:pt idx="6">
                  <c:v>SA</c:v>
                </c:pt>
              </c:strCache>
            </c:strRef>
          </c:cat>
          <c:val>
            <c:numRef>
              <c:f>Processing!$K$41:$Q$41</c:f>
              <c:numCache>
                <c:formatCode>General</c:formatCode>
                <c:ptCount val="7"/>
                <c:pt idx="0">
                  <c:v>0</c:v>
                </c:pt>
                <c:pt idx="1">
                  <c:v>0</c:v>
                </c:pt>
                <c:pt idx="2">
                  <c:v>0</c:v>
                </c:pt>
                <c:pt idx="3">
                  <c:v>0</c:v>
                </c:pt>
                <c:pt idx="4">
                  <c:v>0</c:v>
                </c:pt>
                <c:pt idx="5">
                  <c:v>0</c:v>
                </c:pt>
                <c:pt idx="6">
                  <c:v>1</c:v>
                </c:pt>
              </c:numCache>
            </c:numRef>
          </c:val>
          <c:extLst>
            <c:ext xmlns:c16="http://schemas.microsoft.com/office/drawing/2014/chart" uri="{C3380CC4-5D6E-409C-BE32-E72D297353CC}">
              <c16:uniqueId val="{00000010-6C74-4F02-9ACB-CEFC4E3C4181}"/>
            </c:ext>
          </c:extLst>
        </c:ser>
        <c:ser>
          <c:idx val="17"/>
          <c:order val="17"/>
          <c:spPr>
            <a:blipFill>
              <a:blip xmlns:r="http://schemas.openxmlformats.org/officeDocument/2006/relationships" r:embed="rId1"/>
              <a:stretch>
                <a:fillRect/>
              </a:stretch>
            </a:blipFill>
            <a:ln>
              <a:noFill/>
            </a:ln>
            <a:effectLst/>
          </c:spPr>
          <c:invertIfNegative val="0"/>
          <c:cat>
            <c:strRef>
              <c:f>Processing!$K$24:$Q$24</c:f>
              <c:strCache>
                <c:ptCount val="7"/>
                <c:pt idx="0">
                  <c:v>SU</c:v>
                </c:pt>
                <c:pt idx="1">
                  <c:v>MO</c:v>
                </c:pt>
                <c:pt idx="2">
                  <c:v>TU</c:v>
                </c:pt>
                <c:pt idx="3">
                  <c:v>WE</c:v>
                </c:pt>
                <c:pt idx="4">
                  <c:v>TH</c:v>
                </c:pt>
                <c:pt idx="5">
                  <c:v>FR</c:v>
                </c:pt>
                <c:pt idx="6">
                  <c:v>SA</c:v>
                </c:pt>
              </c:strCache>
            </c:strRef>
          </c:cat>
          <c:val>
            <c:numRef>
              <c:f>Processing!$K$42:$Q$42</c:f>
              <c:numCache>
                <c:formatCode>General</c:formatCode>
                <c:ptCount val="7"/>
                <c:pt idx="0">
                  <c:v>1</c:v>
                </c:pt>
                <c:pt idx="1">
                  <c:v>0</c:v>
                </c:pt>
                <c:pt idx="2">
                  <c:v>1</c:v>
                </c:pt>
                <c:pt idx="3">
                  <c:v>1</c:v>
                </c:pt>
                <c:pt idx="4">
                  <c:v>1</c:v>
                </c:pt>
                <c:pt idx="5">
                  <c:v>1</c:v>
                </c:pt>
                <c:pt idx="6">
                  <c:v>0</c:v>
                </c:pt>
              </c:numCache>
            </c:numRef>
          </c:val>
          <c:extLst>
            <c:ext xmlns:c16="http://schemas.microsoft.com/office/drawing/2014/chart" uri="{C3380CC4-5D6E-409C-BE32-E72D297353CC}">
              <c16:uniqueId val="{00000011-6C74-4F02-9ACB-CEFC4E3C4181}"/>
            </c:ext>
          </c:extLst>
        </c:ser>
        <c:ser>
          <c:idx val="18"/>
          <c:order val="18"/>
          <c:spPr>
            <a:blipFill>
              <a:blip xmlns:r="http://schemas.openxmlformats.org/officeDocument/2006/relationships" r:embed="rId2"/>
              <a:stretch>
                <a:fillRect/>
              </a:stretch>
            </a:blipFill>
            <a:ln>
              <a:noFill/>
            </a:ln>
            <a:effectLst/>
          </c:spPr>
          <c:invertIfNegative val="0"/>
          <c:cat>
            <c:strRef>
              <c:f>Processing!$K$24:$Q$24</c:f>
              <c:strCache>
                <c:ptCount val="7"/>
                <c:pt idx="0">
                  <c:v>SU</c:v>
                </c:pt>
                <c:pt idx="1">
                  <c:v>MO</c:v>
                </c:pt>
                <c:pt idx="2">
                  <c:v>TU</c:v>
                </c:pt>
                <c:pt idx="3">
                  <c:v>WE</c:v>
                </c:pt>
                <c:pt idx="4">
                  <c:v>TH</c:v>
                </c:pt>
                <c:pt idx="5">
                  <c:v>FR</c:v>
                </c:pt>
                <c:pt idx="6">
                  <c:v>SA</c:v>
                </c:pt>
              </c:strCache>
            </c:strRef>
          </c:cat>
          <c:val>
            <c:numRef>
              <c:f>Processing!$K$43:$Q$43</c:f>
              <c:numCache>
                <c:formatCode>General</c:formatCode>
                <c:ptCount val="7"/>
                <c:pt idx="0">
                  <c:v>0</c:v>
                </c:pt>
                <c:pt idx="1">
                  <c:v>0</c:v>
                </c:pt>
                <c:pt idx="2">
                  <c:v>0</c:v>
                </c:pt>
                <c:pt idx="3">
                  <c:v>0</c:v>
                </c:pt>
                <c:pt idx="4">
                  <c:v>0</c:v>
                </c:pt>
                <c:pt idx="5">
                  <c:v>0</c:v>
                </c:pt>
                <c:pt idx="6">
                  <c:v>0</c:v>
                </c:pt>
              </c:numCache>
            </c:numRef>
          </c:val>
          <c:extLst>
            <c:ext xmlns:c16="http://schemas.microsoft.com/office/drawing/2014/chart" uri="{C3380CC4-5D6E-409C-BE32-E72D297353CC}">
              <c16:uniqueId val="{00000012-6C74-4F02-9ACB-CEFC4E3C4181}"/>
            </c:ext>
          </c:extLst>
        </c:ser>
        <c:ser>
          <c:idx val="19"/>
          <c:order val="19"/>
          <c:spPr>
            <a:blipFill>
              <a:blip xmlns:r="http://schemas.openxmlformats.org/officeDocument/2006/relationships" r:embed="rId3"/>
              <a:stretch>
                <a:fillRect/>
              </a:stretch>
            </a:blipFill>
            <a:ln>
              <a:noFill/>
            </a:ln>
            <a:effectLst/>
          </c:spPr>
          <c:invertIfNegative val="0"/>
          <c:cat>
            <c:strRef>
              <c:f>Processing!$K$24:$Q$24</c:f>
              <c:strCache>
                <c:ptCount val="7"/>
                <c:pt idx="0">
                  <c:v>SU</c:v>
                </c:pt>
                <c:pt idx="1">
                  <c:v>MO</c:v>
                </c:pt>
                <c:pt idx="2">
                  <c:v>TU</c:v>
                </c:pt>
                <c:pt idx="3">
                  <c:v>WE</c:v>
                </c:pt>
                <c:pt idx="4">
                  <c:v>TH</c:v>
                </c:pt>
                <c:pt idx="5">
                  <c:v>FR</c:v>
                </c:pt>
                <c:pt idx="6">
                  <c:v>SA</c:v>
                </c:pt>
              </c:strCache>
            </c:strRef>
          </c:cat>
          <c:val>
            <c:numRef>
              <c:f>Processing!$K$44:$Q$44</c:f>
              <c:numCache>
                <c:formatCode>General</c:formatCode>
                <c:ptCount val="7"/>
                <c:pt idx="0">
                  <c:v>0</c:v>
                </c:pt>
                <c:pt idx="1">
                  <c:v>1</c:v>
                </c:pt>
                <c:pt idx="2">
                  <c:v>0</c:v>
                </c:pt>
                <c:pt idx="3">
                  <c:v>0</c:v>
                </c:pt>
                <c:pt idx="4">
                  <c:v>0</c:v>
                </c:pt>
                <c:pt idx="5">
                  <c:v>0</c:v>
                </c:pt>
                <c:pt idx="6">
                  <c:v>0</c:v>
                </c:pt>
              </c:numCache>
            </c:numRef>
          </c:val>
          <c:extLst>
            <c:ext xmlns:c16="http://schemas.microsoft.com/office/drawing/2014/chart" uri="{C3380CC4-5D6E-409C-BE32-E72D297353CC}">
              <c16:uniqueId val="{00000013-6C74-4F02-9ACB-CEFC4E3C4181}"/>
            </c:ext>
          </c:extLst>
        </c:ser>
        <c:ser>
          <c:idx val="20"/>
          <c:order val="20"/>
          <c:spPr>
            <a:noFill/>
            <a:ln>
              <a:noFill/>
            </a:ln>
            <a:effectLst/>
          </c:spPr>
          <c:invertIfNegative val="0"/>
          <c:cat>
            <c:strRef>
              <c:f>Processing!$K$24:$Q$24</c:f>
              <c:strCache>
                <c:ptCount val="7"/>
                <c:pt idx="0">
                  <c:v>SU</c:v>
                </c:pt>
                <c:pt idx="1">
                  <c:v>MO</c:v>
                </c:pt>
                <c:pt idx="2">
                  <c:v>TU</c:v>
                </c:pt>
                <c:pt idx="3">
                  <c:v>WE</c:v>
                </c:pt>
                <c:pt idx="4">
                  <c:v>TH</c:v>
                </c:pt>
                <c:pt idx="5">
                  <c:v>FR</c:v>
                </c:pt>
                <c:pt idx="6">
                  <c:v>SA</c:v>
                </c:pt>
              </c:strCache>
            </c:strRef>
          </c:cat>
          <c:val>
            <c:numRef>
              <c:f>Processing!$K$45:$Q$45</c:f>
              <c:numCache>
                <c:formatCode>General</c:formatCode>
                <c:ptCount val="7"/>
                <c:pt idx="0">
                  <c:v>1</c:v>
                </c:pt>
                <c:pt idx="1">
                  <c:v>1</c:v>
                </c:pt>
                <c:pt idx="2">
                  <c:v>1</c:v>
                </c:pt>
                <c:pt idx="3">
                  <c:v>1</c:v>
                </c:pt>
                <c:pt idx="4">
                  <c:v>1</c:v>
                </c:pt>
                <c:pt idx="5">
                  <c:v>1</c:v>
                </c:pt>
                <c:pt idx="6">
                  <c:v>1</c:v>
                </c:pt>
              </c:numCache>
            </c:numRef>
          </c:val>
          <c:extLst>
            <c:ext xmlns:c16="http://schemas.microsoft.com/office/drawing/2014/chart" uri="{C3380CC4-5D6E-409C-BE32-E72D297353CC}">
              <c16:uniqueId val="{00000014-6C74-4F02-9ACB-CEFC4E3C4181}"/>
            </c:ext>
          </c:extLst>
        </c:ser>
        <c:ser>
          <c:idx val="21"/>
          <c:order val="21"/>
          <c:spPr>
            <a:blipFill>
              <a:blip xmlns:r="http://schemas.openxmlformats.org/officeDocument/2006/relationships" r:embed="rId1"/>
              <a:stretch>
                <a:fillRect/>
              </a:stretch>
            </a:blipFill>
            <a:ln>
              <a:noFill/>
            </a:ln>
            <a:effectLst/>
          </c:spPr>
          <c:invertIfNegative val="0"/>
          <c:cat>
            <c:strRef>
              <c:f>Processing!$K$24:$Q$24</c:f>
              <c:strCache>
                <c:ptCount val="7"/>
                <c:pt idx="0">
                  <c:v>SU</c:v>
                </c:pt>
                <c:pt idx="1">
                  <c:v>MO</c:v>
                </c:pt>
                <c:pt idx="2">
                  <c:v>TU</c:v>
                </c:pt>
                <c:pt idx="3">
                  <c:v>WE</c:v>
                </c:pt>
                <c:pt idx="4">
                  <c:v>TH</c:v>
                </c:pt>
                <c:pt idx="5">
                  <c:v>FR</c:v>
                </c:pt>
                <c:pt idx="6">
                  <c:v>SA</c:v>
                </c:pt>
              </c:strCache>
            </c:strRef>
          </c:cat>
          <c:val>
            <c:numRef>
              <c:f>Processing!$K$46:$Q$46</c:f>
              <c:numCache>
                <c:formatCode>General</c:formatCode>
                <c:ptCount val="7"/>
                <c:pt idx="0">
                  <c:v>0</c:v>
                </c:pt>
                <c:pt idx="1">
                  <c:v>0</c:v>
                </c:pt>
                <c:pt idx="2">
                  <c:v>0</c:v>
                </c:pt>
                <c:pt idx="3">
                  <c:v>0</c:v>
                </c:pt>
                <c:pt idx="4">
                  <c:v>0</c:v>
                </c:pt>
                <c:pt idx="5">
                  <c:v>0</c:v>
                </c:pt>
                <c:pt idx="6">
                  <c:v>0</c:v>
                </c:pt>
              </c:numCache>
            </c:numRef>
          </c:val>
          <c:extLst>
            <c:ext xmlns:c16="http://schemas.microsoft.com/office/drawing/2014/chart" uri="{C3380CC4-5D6E-409C-BE32-E72D297353CC}">
              <c16:uniqueId val="{00000015-6C74-4F02-9ACB-CEFC4E3C4181}"/>
            </c:ext>
          </c:extLst>
        </c:ser>
        <c:ser>
          <c:idx val="22"/>
          <c:order val="22"/>
          <c:spPr>
            <a:blipFill>
              <a:blip xmlns:r="http://schemas.openxmlformats.org/officeDocument/2006/relationships" r:embed="rId2"/>
              <a:stretch>
                <a:fillRect/>
              </a:stretch>
            </a:blipFill>
            <a:ln>
              <a:noFill/>
            </a:ln>
            <a:effectLst/>
          </c:spPr>
          <c:invertIfNegative val="0"/>
          <c:cat>
            <c:strRef>
              <c:f>Processing!$K$24:$Q$24</c:f>
              <c:strCache>
                <c:ptCount val="7"/>
                <c:pt idx="0">
                  <c:v>SU</c:v>
                </c:pt>
                <c:pt idx="1">
                  <c:v>MO</c:v>
                </c:pt>
                <c:pt idx="2">
                  <c:v>TU</c:v>
                </c:pt>
                <c:pt idx="3">
                  <c:v>WE</c:v>
                </c:pt>
                <c:pt idx="4">
                  <c:v>TH</c:v>
                </c:pt>
                <c:pt idx="5">
                  <c:v>FR</c:v>
                </c:pt>
                <c:pt idx="6">
                  <c:v>SA</c:v>
                </c:pt>
              </c:strCache>
            </c:strRef>
          </c:cat>
          <c:val>
            <c:numRef>
              <c:f>Processing!$K$47:$Q$47</c:f>
              <c:numCache>
                <c:formatCode>General</c:formatCode>
                <c:ptCount val="7"/>
                <c:pt idx="0">
                  <c:v>0</c:v>
                </c:pt>
                <c:pt idx="1">
                  <c:v>0</c:v>
                </c:pt>
                <c:pt idx="2">
                  <c:v>0</c:v>
                </c:pt>
                <c:pt idx="3">
                  <c:v>0</c:v>
                </c:pt>
                <c:pt idx="4">
                  <c:v>0</c:v>
                </c:pt>
                <c:pt idx="5">
                  <c:v>0</c:v>
                </c:pt>
                <c:pt idx="6">
                  <c:v>0</c:v>
                </c:pt>
              </c:numCache>
            </c:numRef>
          </c:val>
          <c:extLst>
            <c:ext xmlns:c16="http://schemas.microsoft.com/office/drawing/2014/chart" uri="{C3380CC4-5D6E-409C-BE32-E72D297353CC}">
              <c16:uniqueId val="{00000016-6C74-4F02-9ACB-CEFC4E3C4181}"/>
            </c:ext>
          </c:extLst>
        </c:ser>
        <c:ser>
          <c:idx val="23"/>
          <c:order val="23"/>
          <c:spPr>
            <a:blipFill>
              <a:blip xmlns:r="http://schemas.openxmlformats.org/officeDocument/2006/relationships" r:embed="rId3"/>
              <a:stretch>
                <a:fillRect/>
              </a:stretch>
            </a:blipFill>
            <a:ln>
              <a:noFill/>
            </a:ln>
            <a:effectLst/>
          </c:spPr>
          <c:invertIfNegative val="0"/>
          <c:cat>
            <c:strRef>
              <c:f>Processing!$K$24:$Q$24</c:f>
              <c:strCache>
                <c:ptCount val="7"/>
                <c:pt idx="0">
                  <c:v>SU</c:v>
                </c:pt>
                <c:pt idx="1">
                  <c:v>MO</c:v>
                </c:pt>
                <c:pt idx="2">
                  <c:v>TU</c:v>
                </c:pt>
                <c:pt idx="3">
                  <c:v>WE</c:v>
                </c:pt>
                <c:pt idx="4">
                  <c:v>TH</c:v>
                </c:pt>
                <c:pt idx="5">
                  <c:v>FR</c:v>
                </c:pt>
                <c:pt idx="6">
                  <c:v>SA</c:v>
                </c:pt>
              </c:strCache>
            </c:strRef>
          </c:cat>
          <c:val>
            <c:numRef>
              <c:f>Processing!$K$48:$Q$48</c:f>
              <c:numCache>
                <c:formatCode>General</c:formatCode>
                <c:ptCount val="7"/>
                <c:pt idx="0">
                  <c:v>0</c:v>
                </c:pt>
                <c:pt idx="1">
                  <c:v>0</c:v>
                </c:pt>
                <c:pt idx="2">
                  <c:v>0</c:v>
                </c:pt>
                <c:pt idx="3">
                  <c:v>0</c:v>
                </c:pt>
                <c:pt idx="4">
                  <c:v>0</c:v>
                </c:pt>
                <c:pt idx="5">
                  <c:v>0</c:v>
                </c:pt>
                <c:pt idx="6">
                  <c:v>0</c:v>
                </c:pt>
              </c:numCache>
            </c:numRef>
          </c:val>
          <c:extLst>
            <c:ext xmlns:c16="http://schemas.microsoft.com/office/drawing/2014/chart" uri="{C3380CC4-5D6E-409C-BE32-E72D297353CC}">
              <c16:uniqueId val="{00000017-6C74-4F02-9ACB-CEFC4E3C4181}"/>
            </c:ext>
          </c:extLst>
        </c:ser>
        <c:dLbls>
          <c:showLegendKey val="0"/>
          <c:showVal val="0"/>
          <c:showCatName val="0"/>
          <c:showSerName val="0"/>
          <c:showPercent val="0"/>
          <c:showBubbleSize val="0"/>
        </c:dLbls>
        <c:gapWidth val="0"/>
        <c:overlap val="100"/>
        <c:axId val="811298159"/>
        <c:axId val="811278479"/>
      </c:barChart>
      <c:catAx>
        <c:axId val="811298159"/>
        <c:scaling>
          <c:orientation val="minMax"/>
        </c:scaling>
        <c:delete val="1"/>
        <c:axPos val="t"/>
        <c:numFmt formatCode="General" sourceLinked="1"/>
        <c:majorTickMark val="out"/>
        <c:minorTickMark val="none"/>
        <c:tickLblPos val="nextTo"/>
        <c:crossAx val="811278479"/>
        <c:crosses val="autoZero"/>
        <c:auto val="1"/>
        <c:lblAlgn val="ctr"/>
        <c:lblOffset val="100"/>
        <c:noMultiLvlLbl val="0"/>
      </c:catAx>
      <c:valAx>
        <c:axId val="811278479"/>
        <c:scaling>
          <c:orientation val="maxMin"/>
        </c:scaling>
        <c:delete val="1"/>
        <c:axPos val="l"/>
        <c:numFmt formatCode="General" sourceLinked="1"/>
        <c:majorTickMark val="out"/>
        <c:minorTickMark val="none"/>
        <c:tickLblPos val="nextTo"/>
        <c:crossAx val="811298159"/>
        <c:crosses val="autoZero"/>
        <c:crossBetween val="between"/>
      </c:valAx>
      <c:spPr>
        <a:noFill/>
      </c:spPr>
    </c:plotArea>
    <c:plotVisOnly val="1"/>
    <c:dispBlanksAs val="gap"/>
    <c:showDLblsOverMax val="0"/>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5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Processing!$B$17</c:f>
              <c:strCache>
                <c:ptCount val="1"/>
                <c:pt idx="0">
                  <c:v>indent</c:v>
                </c:pt>
              </c:strCache>
            </c:strRef>
          </c:tx>
          <c:spPr>
            <a:noFill/>
            <a:ln>
              <a:noFill/>
            </a:ln>
            <a:effectLst/>
          </c:spPr>
          <c:invertIfNegative val="0"/>
          <c:cat>
            <c:strRef>
              <c:f>Processing!$A$18:$A$29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Processing!$B$18:$B$29</c:f>
              <c:numCache>
                <c:formatCode>General</c:formatCode>
                <c:ptCount val="12"/>
                <c:pt idx="0">
                  <c:v>242.05</c:v>
                </c:pt>
                <c:pt idx="1">
                  <c:v>242.05</c:v>
                </c:pt>
                <c:pt idx="2">
                  <c:v>242.05</c:v>
                </c:pt>
                <c:pt idx="3">
                  <c:v>242.05</c:v>
                </c:pt>
                <c:pt idx="4">
                  <c:v>242.05</c:v>
                </c:pt>
                <c:pt idx="5">
                  <c:v>242.05</c:v>
                </c:pt>
                <c:pt idx="6">
                  <c:v>242.05</c:v>
                </c:pt>
                <c:pt idx="7">
                  <c:v>242.05</c:v>
                </c:pt>
                <c:pt idx="8">
                  <c:v>242.05</c:v>
                </c:pt>
                <c:pt idx="9">
                  <c:v>242.05</c:v>
                </c:pt>
                <c:pt idx="10">
                  <c:v>242.05</c:v>
                </c:pt>
                <c:pt idx="11">
                  <c:v>242.05</c:v>
                </c:pt>
              </c:numCache>
            </c:numRef>
          </c:val>
          <c:extLst>
            <c:ext xmlns:c16="http://schemas.microsoft.com/office/drawing/2014/chart" uri="{C3380CC4-5D6E-409C-BE32-E72D297353CC}">
              <c16:uniqueId val="{00000000-AB6E-48F0-83D0-07C901C0E37C}"/>
            </c:ext>
          </c:extLst>
        </c:ser>
        <c:ser>
          <c:idx val="1"/>
          <c:order val="1"/>
          <c:tx>
            <c:strRef>
              <c:f>Processing!$C$17</c:f>
              <c:strCache>
                <c:ptCount val="1"/>
                <c:pt idx="0">
                  <c:v>Income</c:v>
                </c:pt>
              </c:strCache>
            </c:strRef>
          </c:tx>
          <c:spPr>
            <a:solidFill>
              <a:schemeClr val="accent2"/>
            </a:solidFill>
            <a:ln w="101600">
              <a:gradFill>
                <a:gsLst>
                  <a:gs pos="0">
                    <a:srgbClr val="1992E6"/>
                  </a:gs>
                  <a:gs pos="100000">
                    <a:srgbClr val="2373DF"/>
                  </a:gs>
                </a:gsLst>
                <a:lin ang="5400000" scaled="1"/>
              </a:gradFill>
            </a:ln>
            <a:effectLst/>
          </c:spPr>
          <c:invertIfNegative val="0"/>
          <c:cat>
            <c:strRef>
              <c:f>Processing!$A$18:$A$29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Processing!$C$18:$C$29</c:f>
              <c:numCache>
                <c:formatCode>General</c:formatCode>
                <c:ptCount val="12"/>
                <c:pt idx="0">
                  <c:v>2075</c:v>
                </c:pt>
                <c:pt idx="1">
                  <c:v>3066</c:v>
                </c:pt>
                <c:pt idx="2">
                  <c:v>4626</c:v>
                </c:pt>
                <c:pt idx="3">
                  <c:v>4841</c:v>
                </c:pt>
                <c:pt idx="4">
                  <c:v>4626</c:v>
                </c:pt>
                <c:pt idx="5">
                  <c:v>3066</c:v>
                </c:pt>
                <c:pt idx="6">
                  <c:v>2075</c:v>
                </c:pt>
                <c:pt idx="7">
                  <c:v>3066</c:v>
                </c:pt>
                <c:pt idx="8">
                  <c:v>4626</c:v>
                </c:pt>
                <c:pt idx="9">
                  <c:v>4841</c:v>
                </c:pt>
                <c:pt idx="10">
                  <c:v>4626</c:v>
                </c:pt>
                <c:pt idx="11">
                  <c:v>2666</c:v>
                </c:pt>
              </c:numCache>
            </c:numRef>
          </c:val>
          <c:extLst>
            <c:ext xmlns:c16="http://schemas.microsoft.com/office/drawing/2014/chart" uri="{C3380CC4-5D6E-409C-BE32-E72D297353CC}">
              <c16:uniqueId val="{00000001-AB6E-48F0-83D0-07C901C0E37C}"/>
            </c:ext>
          </c:extLst>
        </c:ser>
        <c:dLbls>
          <c:showLegendKey val="0"/>
          <c:showVal val="0"/>
          <c:showCatName val="0"/>
          <c:showSerName val="0"/>
          <c:showPercent val="0"/>
          <c:showBubbleSize val="0"/>
        </c:dLbls>
        <c:gapWidth val="300"/>
        <c:overlap val="100"/>
        <c:axId val="1217850336"/>
        <c:axId val="1217876256"/>
      </c:barChart>
      <c:barChart>
        <c:barDir val="col"/>
        <c:grouping val="stacked"/>
        <c:varyColors val="0"/>
        <c:ser>
          <c:idx val="2"/>
          <c:order val="2"/>
          <c:tx>
            <c:strRef>
              <c:f>Processing!$D$17</c:f>
              <c:strCache>
                <c:ptCount val="1"/>
                <c:pt idx="0">
                  <c:v>indent Cursor</c:v>
                </c:pt>
              </c:strCache>
            </c:strRef>
          </c:tx>
          <c:spPr>
            <a:noFill/>
            <a:ln>
              <a:noFill/>
            </a:ln>
            <a:effectLst/>
          </c:spPr>
          <c:invertIfNegative val="0"/>
          <c:cat>
            <c:strRef>
              <c:f>Processing!$A$18:$A$29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Processing!$D$18:$D$29</c:f>
              <c:numCache>
                <c:formatCode>General</c:formatCode>
                <c:ptCount val="12"/>
                <c:pt idx="0">
                  <c:v>242.05</c:v>
                </c:pt>
                <c:pt idx="1">
                  <c:v>242.05</c:v>
                </c:pt>
                <c:pt idx="2">
                  <c:v>242.05</c:v>
                </c:pt>
                <c:pt idx="3">
                  <c:v>242.05</c:v>
                </c:pt>
                <c:pt idx="4">
                  <c:v>242.05</c:v>
                </c:pt>
                <c:pt idx="5">
                  <c:v>242.05</c:v>
                </c:pt>
                <c:pt idx="6">
                  <c:v>242.05</c:v>
                </c:pt>
                <c:pt idx="7">
                  <c:v>242.05</c:v>
                </c:pt>
                <c:pt idx="8">
                  <c:v>242.05</c:v>
                </c:pt>
                <c:pt idx="9">
                  <c:v>242.05</c:v>
                </c:pt>
                <c:pt idx="10">
                  <c:v>242.05</c:v>
                </c:pt>
                <c:pt idx="11">
                  <c:v>242.05</c:v>
                </c:pt>
              </c:numCache>
            </c:numRef>
          </c:val>
          <c:extLst>
            <c:ext xmlns:c16="http://schemas.microsoft.com/office/drawing/2014/chart" uri="{C3380CC4-5D6E-409C-BE32-E72D297353CC}">
              <c16:uniqueId val="{00000002-AB6E-48F0-83D0-07C901C0E37C}"/>
            </c:ext>
          </c:extLst>
        </c:ser>
        <c:ser>
          <c:idx val="3"/>
          <c:order val="3"/>
          <c:tx>
            <c:strRef>
              <c:f>Processing!$E$17</c:f>
              <c:strCache>
                <c:ptCount val="1"/>
                <c:pt idx="0">
                  <c:v>Cursor</c:v>
                </c:pt>
              </c:strCache>
            </c:strRef>
          </c:tx>
          <c:spPr>
            <a:solidFill>
              <a:schemeClr val="accent4"/>
            </a:solidFill>
            <a:ln w="101600">
              <a:gradFill>
                <a:gsLst>
                  <a:gs pos="0">
                    <a:srgbClr val="06D3D9"/>
                  </a:gs>
                  <a:gs pos="62000">
                    <a:srgbClr val="09C3F2"/>
                  </a:gs>
                </a:gsLst>
                <a:lin ang="5400000" scaled="1"/>
              </a:gradFill>
            </a:ln>
            <a:effectLst>
              <a:outerShdw blurRad="50800" dist="38100" dir="8100000" algn="tr" rotWithShape="0">
                <a:prstClr val="black">
                  <a:alpha val="40000"/>
                </a:prstClr>
              </a:outerShdw>
            </a:effectLst>
          </c:spPr>
          <c:invertIfNegative val="0"/>
          <c:dPt>
            <c:idx val="8"/>
            <c:invertIfNegative val="0"/>
            <c:bubble3D val="0"/>
            <c:extLst>
              <c:ext xmlns:c16="http://schemas.microsoft.com/office/drawing/2014/chart" uri="{C3380CC4-5D6E-409C-BE32-E72D297353CC}">
                <c16:uniqueId val="{00000003-AB6E-48F0-83D0-07C901C0E37C}"/>
              </c:ext>
            </c:extLst>
          </c:dPt>
          <c:cat>
            <c:strRef>
              <c:f>Processing!$A$18:$A$29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Processing!$E$18:$E$29</c:f>
              <c:numCache>
                <c:formatCode>General</c:formatCode>
                <c:ptCount val="12"/>
                <c:pt idx="0">
                  <c:v>#N/A</c:v>
                </c:pt>
                <c:pt idx="1">
                  <c:v>#N/A</c:v>
                </c:pt>
                <c:pt idx="2">
                  <c:v>#N/A</c:v>
                </c:pt>
                <c:pt idx="3">
                  <c:v>4841</c:v>
                </c:pt>
                <c:pt idx="4">
                  <c:v>4626</c:v>
                </c:pt>
                <c:pt idx="5">
                  <c:v>3066</c:v>
                </c:pt>
                <c:pt idx="6">
                  <c:v>#N/A</c:v>
                </c:pt>
                <c:pt idx="7">
                  <c:v>#N/A</c:v>
                </c:pt>
                <c:pt idx="8">
                  <c:v>#N/A</c:v>
                </c:pt>
                <c:pt idx="9">
                  <c:v>#N/A</c:v>
                </c:pt>
                <c:pt idx="10">
                  <c:v>#N/A</c:v>
                </c:pt>
                <c:pt idx="11">
                  <c:v>#N/A</c:v>
                </c:pt>
              </c:numCache>
            </c:numRef>
          </c:val>
          <c:extLst>
            <c:ext xmlns:c16="http://schemas.microsoft.com/office/drawing/2014/chart" uri="{C3380CC4-5D6E-409C-BE32-E72D297353CC}">
              <c16:uniqueId val="{00000004-AB6E-48F0-83D0-07C901C0E37C}"/>
            </c:ext>
          </c:extLst>
        </c:ser>
        <c:dLbls>
          <c:showLegendKey val="0"/>
          <c:showVal val="0"/>
          <c:showCatName val="0"/>
          <c:showSerName val="0"/>
          <c:showPercent val="0"/>
          <c:showBubbleSize val="0"/>
        </c:dLbls>
        <c:gapWidth val="300"/>
        <c:overlap val="100"/>
        <c:axId val="1217885856"/>
        <c:axId val="1217884416"/>
      </c:barChart>
      <c:lineChart>
        <c:grouping val="standard"/>
        <c:varyColors val="0"/>
        <c:ser>
          <c:idx val="4"/>
          <c:order val="4"/>
          <c:tx>
            <c:strRef>
              <c:f>Processing!$F$17</c:f>
              <c:strCache>
                <c:ptCount val="1"/>
                <c:pt idx="0">
                  <c:v>Expenses</c:v>
                </c:pt>
              </c:strCache>
            </c:strRef>
          </c:tx>
          <c:spPr>
            <a:ln w="25400" cap="rnd">
              <a:solidFill>
                <a:srgbClr val="FF00FF"/>
              </a:solidFill>
              <a:round/>
            </a:ln>
            <a:effectLst>
              <a:outerShdw blurRad="50800" dist="38100" dir="5400000" algn="t" rotWithShape="0">
                <a:prstClr val="black">
                  <a:alpha val="40000"/>
                </a:prstClr>
              </a:outerShdw>
            </a:effectLst>
          </c:spPr>
          <c:marker>
            <c:symbol val="circle"/>
            <c:size val="6"/>
            <c:spPr>
              <a:solidFill>
                <a:schemeClr val="bg1"/>
              </a:solidFill>
              <a:ln w="9525">
                <a:solidFill>
                  <a:srgbClr val="FF00FF"/>
                </a:solidFill>
              </a:ln>
              <a:effectLst>
                <a:outerShdw blurRad="50800" dist="38100" dir="5400000" algn="t" rotWithShape="0">
                  <a:prstClr val="black">
                    <a:alpha val="40000"/>
                  </a:prstClr>
                </a:outerShdw>
              </a:effectLst>
            </c:spPr>
          </c:marker>
          <c:cat>
            <c:strRef>
              <c:f>Processing!$A$18:$A$29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Processing!$F$18:$F$29</c:f>
              <c:numCache>
                <c:formatCode>General</c:formatCode>
                <c:ptCount val="12"/>
                <c:pt idx="0">
                  <c:v>2412</c:v>
                </c:pt>
                <c:pt idx="1">
                  <c:v>1696</c:v>
                </c:pt>
                <c:pt idx="2">
                  <c:v>3544</c:v>
                </c:pt>
                <c:pt idx="3">
                  <c:v>2671</c:v>
                </c:pt>
                <c:pt idx="4">
                  <c:v>3036</c:v>
                </c:pt>
                <c:pt idx="5">
                  <c:v>4595</c:v>
                </c:pt>
                <c:pt idx="6">
                  <c:v>2714</c:v>
                </c:pt>
                <c:pt idx="7">
                  <c:v>3731</c:v>
                </c:pt>
                <c:pt idx="8">
                  <c:v>4952</c:v>
                </c:pt>
                <c:pt idx="9">
                  <c:v>3544</c:v>
                </c:pt>
                <c:pt idx="10">
                  <c:v>4595</c:v>
                </c:pt>
                <c:pt idx="11">
                  <c:v>1739</c:v>
                </c:pt>
              </c:numCache>
            </c:numRef>
          </c:val>
          <c:smooth val="0"/>
          <c:extLst>
            <c:ext xmlns:c16="http://schemas.microsoft.com/office/drawing/2014/chart" uri="{C3380CC4-5D6E-409C-BE32-E72D297353CC}">
              <c16:uniqueId val="{00000005-AB6E-48F0-83D0-07C901C0E37C}"/>
            </c:ext>
          </c:extLst>
        </c:ser>
        <c:ser>
          <c:idx val="5"/>
          <c:order val="5"/>
          <c:tx>
            <c:strRef>
              <c:f>Processing!$G$17</c:f>
              <c:strCache>
                <c:ptCount val="1"/>
                <c:pt idx="0">
                  <c:v>Markers</c:v>
                </c:pt>
              </c:strCache>
            </c:strRef>
          </c:tx>
          <c:spPr>
            <a:ln w="28575" cap="rnd">
              <a:noFill/>
              <a:round/>
            </a:ln>
            <a:effectLst/>
          </c:spPr>
          <c:marker>
            <c:symbol val="none"/>
          </c:marker>
          <c:dLbls>
            <c:dLbl>
              <c:idx val="0"/>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6-AB6E-48F0-83D0-07C901C0E37C}"/>
                </c:ext>
              </c:extLst>
            </c:dLbl>
            <c:dLbl>
              <c:idx val="1"/>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7-AB6E-48F0-83D0-07C901C0E37C}"/>
                </c:ext>
              </c:extLst>
            </c:dLbl>
            <c:dLbl>
              <c:idx val="2"/>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8-AB6E-48F0-83D0-07C901C0E37C}"/>
                </c:ext>
              </c:extLst>
            </c:dLbl>
            <c:dLbl>
              <c:idx val="3"/>
              <c:tx>
                <c:rich>
                  <a:bodyPr/>
                  <a:lstStyle/>
                  <a:p>
                    <a:fld id="{80AEC018-A6C4-436F-B639-11CEF1B5E316}"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AB6E-48F0-83D0-07C901C0E37C}"/>
                </c:ext>
              </c:extLst>
            </c:dLbl>
            <c:dLbl>
              <c:idx val="4"/>
              <c:tx>
                <c:rich>
                  <a:bodyPr/>
                  <a:lstStyle/>
                  <a:p>
                    <a:fld id="{E86B1287-4255-481D-8623-51D6AF76F3B1}"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AB6E-48F0-83D0-07C901C0E37C}"/>
                </c:ext>
              </c:extLst>
            </c:dLbl>
            <c:dLbl>
              <c:idx val="5"/>
              <c:tx>
                <c:rich>
                  <a:bodyPr/>
                  <a:lstStyle/>
                  <a:p>
                    <a:fld id="{A67C1ADC-B2A5-44AB-8833-6554C59637C8}"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AB6E-48F0-83D0-07C901C0E37C}"/>
                </c:ext>
              </c:extLst>
            </c:dLbl>
            <c:dLbl>
              <c:idx val="6"/>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C-AB6E-48F0-83D0-07C901C0E37C}"/>
                </c:ext>
              </c:extLst>
            </c:dLbl>
            <c:dLbl>
              <c:idx val="7"/>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D-AB6E-48F0-83D0-07C901C0E37C}"/>
                </c:ext>
              </c:extLst>
            </c:dLbl>
            <c:dLbl>
              <c:idx val="8"/>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E-AB6E-48F0-83D0-07C901C0E37C}"/>
                </c:ext>
              </c:extLst>
            </c:dLbl>
            <c:dLbl>
              <c:idx val="9"/>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F-AB6E-48F0-83D0-07C901C0E37C}"/>
                </c:ext>
              </c:extLst>
            </c:dLbl>
            <c:dLbl>
              <c:idx val="10"/>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0-AB6E-48F0-83D0-07C901C0E37C}"/>
                </c:ext>
              </c:extLst>
            </c:dLbl>
            <c:dLbl>
              <c:idx val="11"/>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1-AB6E-48F0-83D0-07C901C0E37C}"/>
                </c:ext>
              </c:extLst>
            </c:dLbl>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rgbClr val="455177"/>
                    </a:solidFill>
                    <a:latin typeface="+mn-lt"/>
                    <a:ea typeface="+mn-ea"/>
                    <a:cs typeface="+mn-cs"/>
                  </a:defRPr>
                </a:pPr>
                <a:endParaRPr lang="ru-RU"/>
              </a:p>
            </c:txPr>
            <c:dLblPos val="t"/>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f>Processing!$A$18:$A$29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Processing!$G$18:$G$29</c:f>
              <c:numCache>
                <c:formatCode>General</c:formatCode>
                <c:ptCount val="12"/>
                <c:pt idx="0">
                  <c:v>#N/A</c:v>
                </c:pt>
                <c:pt idx="1">
                  <c:v>#N/A</c:v>
                </c:pt>
                <c:pt idx="2">
                  <c:v>#N/A</c:v>
                </c:pt>
                <c:pt idx="3">
                  <c:v>5083.05</c:v>
                </c:pt>
                <c:pt idx="4">
                  <c:v>4868.05</c:v>
                </c:pt>
                <c:pt idx="5">
                  <c:v>3308.05</c:v>
                </c:pt>
                <c:pt idx="6">
                  <c:v>#N/A</c:v>
                </c:pt>
                <c:pt idx="7">
                  <c:v>#N/A</c:v>
                </c:pt>
                <c:pt idx="8">
                  <c:v>#N/A</c:v>
                </c:pt>
                <c:pt idx="9">
                  <c:v>#N/A</c:v>
                </c:pt>
                <c:pt idx="10">
                  <c:v>#N/A</c:v>
                </c:pt>
                <c:pt idx="11">
                  <c:v>#N/A</c:v>
                </c:pt>
              </c:numCache>
            </c:numRef>
          </c:val>
          <c:smooth val="0"/>
          <c:extLst>
            <c:ext xmlns:c15="http://schemas.microsoft.com/office/drawing/2012/chart" uri="{02D57815-91ED-43cb-92C2-25804820EDAC}">
              <c15:datalabelsRange>
                <c15:f>Processing!$H$18:$H$29</c15:f>
                <c15:dlblRangeCache>
                  <c:ptCount val="12"/>
                  <c:pt idx="0">
                    <c:v>#N/A</c:v>
                  </c:pt>
                  <c:pt idx="1">
                    <c:v>#N/A</c:v>
                  </c:pt>
                  <c:pt idx="2">
                    <c:v>#N/A</c:v>
                  </c:pt>
                  <c:pt idx="3">
                    <c:v>5k</c:v>
                  </c:pt>
                  <c:pt idx="4">
                    <c:v>5k</c:v>
                  </c:pt>
                  <c:pt idx="5">
                    <c:v>3k</c:v>
                  </c:pt>
                  <c:pt idx="6">
                    <c:v>#N/A</c:v>
                  </c:pt>
                  <c:pt idx="7">
                    <c:v>#N/A</c:v>
                  </c:pt>
                  <c:pt idx="8">
                    <c:v>#N/A</c:v>
                  </c:pt>
                  <c:pt idx="9">
                    <c:v>#N/A</c:v>
                  </c:pt>
                  <c:pt idx="10">
                    <c:v>#N/A</c:v>
                  </c:pt>
                  <c:pt idx="11">
                    <c:v>#N/A</c:v>
                  </c:pt>
                </c15:dlblRangeCache>
              </c15:datalabelsRange>
            </c:ext>
            <c:ext xmlns:c16="http://schemas.microsoft.com/office/drawing/2014/chart" uri="{C3380CC4-5D6E-409C-BE32-E72D297353CC}">
              <c16:uniqueId val="{00000012-AB6E-48F0-83D0-07C901C0E37C}"/>
            </c:ext>
          </c:extLst>
        </c:ser>
        <c:dLbls>
          <c:showLegendKey val="0"/>
          <c:showVal val="0"/>
          <c:showCatName val="0"/>
          <c:showSerName val="0"/>
          <c:showPercent val="0"/>
          <c:showBubbleSize val="0"/>
        </c:dLbls>
        <c:marker val="1"/>
        <c:smooth val="0"/>
        <c:axId val="1217850336"/>
        <c:axId val="1217876256"/>
      </c:lineChart>
      <c:catAx>
        <c:axId val="1217850336"/>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2">
                    <a:lumMod val="25000"/>
                    <a:lumOff val="75000"/>
                  </a:schemeClr>
                </a:solidFill>
                <a:latin typeface="+mn-lt"/>
                <a:ea typeface="+mn-ea"/>
                <a:cs typeface="+mn-cs"/>
              </a:defRPr>
            </a:pPr>
            <a:endParaRPr lang="ru-RU"/>
          </a:p>
        </c:txPr>
        <c:crossAx val="1217876256"/>
        <c:crosses val="autoZero"/>
        <c:auto val="1"/>
        <c:lblAlgn val="ctr"/>
        <c:lblOffset val="100"/>
        <c:noMultiLvlLbl val="0"/>
      </c:catAx>
      <c:valAx>
        <c:axId val="1217876256"/>
        <c:scaling>
          <c:orientation val="minMax"/>
        </c:scaling>
        <c:delete val="0"/>
        <c:axPos val="l"/>
        <c:majorGridlines>
          <c:spPr>
            <a:ln w="9525" cap="flat" cmpd="sng" algn="ctr">
              <a:solidFill>
                <a:srgbClr val="5D6DA1">
                  <a:alpha val="25000"/>
                </a:srgb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455177"/>
                </a:solidFill>
                <a:latin typeface="+mn-lt"/>
                <a:ea typeface="+mn-ea"/>
                <a:cs typeface="+mn-cs"/>
              </a:defRPr>
            </a:pPr>
            <a:endParaRPr lang="ru-RU"/>
          </a:p>
        </c:txPr>
        <c:crossAx val="1217850336"/>
        <c:crosses val="autoZero"/>
        <c:crossBetween val="between"/>
      </c:valAx>
      <c:valAx>
        <c:axId val="1217884416"/>
        <c:scaling>
          <c:orientation val="minMax"/>
        </c:scaling>
        <c:delete val="1"/>
        <c:axPos val="r"/>
        <c:numFmt formatCode="General" sourceLinked="1"/>
        <c:majorTickMark val="out"/>
        <c:minorTickMark val="none"/>
        <c:tickLblPos val="nextTo"/>
        <c:crossAx val="1217885856"/>
        <c:crosses val="max"/>
        <c:crossBetween val="between"/>
      </c:valAx>
      <c:catAx>
        <c:axId val="1217885856"/>
        <c:scaling>
          <c:orientation val="minMax"/>
        </c:scaling>
        <c:delete val="1"/>
        <c:axPos val="b"/>
        <c:numFmt formatCode="General" sourceLinked="1"/>
        <c:majorTickMark val="out"/>
        <c:minorTickMark val="none"/>
        <c:tickLblPos val="nextTo"/>
        <c:crossAx val="1217884416"/>
        <c:crosses val="autoZero"/>
        <c:auto val="1"/>
        <c:lblAlgn val="ctr"/>
        <c:lblOffset val="100"/>
        <c:noMultiLvlLbl val="0"/>
      </c:catAx>
      <c:spPr>
        <a:noFill/>
      </c:spPr>
    </c:plotArea>
    <c:plotVisOnly val="1"/>
    <c:dispBlanksAs val="gap"/>
    <c:showDLblsOverMax val="0"/>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5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711001086985339"/>
          <c:y val="8.9869281045751634E-2"/>
          <c:w val="0.66877483117640601"/>
          <c:h val="0.8202614379084967"/>
        </c:manualLayout>
      </c:layout>
      <c:barChart>
        <c:barDir val="bar"/>
        <c:grouping val="stacked"/>
        <c:varyColors val="0"/>
        <c:ser>
          <c:idx val="1"/>
          <c:order val="0"/>
          <c:tx>
            <c:strRef>
              <c:f>Processing!$E$33</c:f>
              <c:strCache>
                <c:ptCount val="1"/>
                <c:pt idx="0">
                  <c:v>indent</c:v>
                </c:pt>
              </c:strCache>
            </c:strRef>
          </c:tx>
          <c:spPr>
            <a:noFill/>
            <a:ln>
              <a:noFill/>
            </a:ln>
            <a:effectLst/>
          </c:spPr>
          <c:invertIfNegative val="0"/>
          <c:cat>
            <c:strRef>
              <c:f>Processing!$D$34:$D$37</c:f>
              <c:strCache>
                <c:ptCount val="4"/>
                <c:pt idx="0">
                  <c:v>Savings</c:v>
                </c:pt>
                <c:pt idx="1">
                  <c:v>Salary</c:v>
                </c:pt>
                <c:pt idx="2">
                  <c:v>Side Job</c:v>
                </c:pt>
                <c:pt idx="3">
                  <c:v>Stock</c:v>
                </c:pt>
              </c:strCache>
            </c:strRef>
          </c:cat>
          <c:val>
            <c:numRef>
              <c:f>Processing!$E$34:$E$37</c:f>
              <c:numCache>
                <c:formatCode>General</c:formatCode>
                <c:ptCount val="4"/>
                <c:pt idx="0">
                  <c:v>271.18</c:v>
                </c:pt>
                <c:pt idx="1">
                  <c:v>271.18</c:v>
                </c:pt>
                <c:pt idx="2">
                  <c:v>271.18</c:v>
                </c:pt>
                <c:pt idx="3">
                  <c:v>271.18</c:v>
                </c:pt>
              </c:numCache>
            </c:numRef>
          </c:val>
          <c:extLst>
            <c:ext xmlns:c16="http://schemas.microsoft.com/office/drawing/2014/chart" uri="{C3380CC4-5D6E-409C-BE32-E72D297353CC}">
              <c16:uniqueId val="{00000000-1AB1-48F7-BC3D-4EEDA3117771}"/>
            </c:ext>
          </c:extLst>
        </c:ser>
        <c:ser>
          <c:idx val="0"/>
          <c:order val="1"/>
          <c:tx>
            <c:strRef>
              <c:f>Processing!$F$33</c:f>
              <c:strCache>
                <c:ptCount val="1"/>
                <c:pt idx="0">
                  <c:v>Rank</c:v>
                </c:pt>
              </c:strCache>
            </c:strRef>
          </c:tx>
          <c:spPr>
            <a:solidFill>
              <a:schemeClr val="accent1"/>
            </a:solidFill>
            <a:ln w="101600">
              <a:gradFill>
                <a:gsLst>
                  <a:gs pos="0">
                    <a:srgbClr val="00C8D2"/>
                  </a:gs>
                  <a:gs pos="100000">
                    <a:srgbClr val="178BFF"/>
                  </a:gs>
                </a:gsLst>
                <a:lin ang="5400000" scaled="1"/>
              </a:gradFill>
            </a:ln>
            <a:effectLst/>
          </c:spPr>
          <c:invertIfNegative val="0"/>
          <c:cat>
            <c:strRef>
              <c:f>Processing!$D$34:$D$37</c:f>
              <c:strCache>
                <c:ptCount val="4"/>
                <c:pt idx="0">
                  <c:v>Savings</c:v>
                </c:pt>
                <c:pt idx="1">
                  <c:v>Salary</c:v>
                </c:pt>
                <c:pt idx="2">
                  <c:v>Side Job</c:v>
                </c:pt>
                <c:pt idx="3">
                  <c:v>Stock</c:v>
                </c:pt>
              </c:strCache>
            </c:strRef>
          </c:cat>
          <c:val>
            <c:numRef>
              <c:f>Processing!$F$34:$F$37</c:f>
              <c:numCache>
                <c:formatCode>General</c:formatCode>
                <c:ptCount val="4"/>
                <c:pt idx="0">
                  <c:v>3874</c:v>
                </c:pt>
                <c:pt idx="1">
                  <c:v>3546</c:v>
                </c:pt>
                <c:pt idx="2">
                  <c:v>2607</c:v>
                </c:pt>
                <c:pt idx="3">
                  <c:v>2506</c:v>
                </c:pt>
              </c:numCache>
            </c:numRef>
          </c:val>
          <c:extLst>
            <c:ext xmlns:c16="http://schemas.microsoft.com/office/drawing/2014/chart" uri="{C3380CC4-5D6E-409C-BE32-E72D297353CC}">
              <c16:uniqueId val="{00000001-1AB1-48F7-BC3D-4EEDA3117771}"/>
            </c:ext>
          </c:extLst>
        </c:ser>
        <c:dLbls>
          <c:showLegendKey val="0"/>
          <c:showVal val="0"/>
          <c:showCatName val="0"/>
          <c:showSerName val="0"/>
          <c:showPercent val="0"/>
          <c:showBubbleSize val="0"/>
        </c:dLbls>
        <c:gapWidth val="300"/>
        <c:overlap val="100"/>
        <c:axId val="1547179375"/>
        <c:axId val="1547170255"/>
      </c:barChart>
      <c:catAx>
        <c:axId val="1547179375"/>
        <c:scaling>
          <c:orientation val="maxMin"/>
        </c:scaling>
        <c:delete val="0"/>
        <c:axPos val="l"/>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rgbClr val="455177"/>
                </a:solidFill>
                <a:latin typeface="+mn-lt"/>
                <a:ea typeface="+mn-ea"/>
                <a:cs typeface="+mn-cs"/>
              </a:defRPr>
            </a:pPr>
            <a:endParaRPr lang="ru-RU"/>
          </a:p>
        </c:txPr>
        <c:crossAx val="1547170255"/>
        <c:crosses val="autoZero"/>
        <c:auto val="1"/>
        <c:lblAlgn val="ctr"/>
        <c:lblOffset val="100"/>
        <c:noMultiLvlLbl val="0"/>
      </c:catAx>
      <c:valAx>
        <c:axId val="1547170255"/>
        <c:scaling>
          <c:orientation val="minMax"/>
          <c:min val="0"/>
        </c:scaling>
        <c:delete val="1"/>
        <c:axPos val="t"/>
        <c:numFmt formatCode="General" sourceLinked="1"/>
        <c:majorTickMark val="out"/>
        <c:minorTickMark val="none"/>
        <c:tickLblPos val="nextTo"/>
        <c:crossAx val="1547179375"/>
        <c:crosses val="autoZero"/>
        <c:crossBetween val="between"/>
      </c:valAx>
      <c:spPr>
        <a:noFill/>
      </c:spPr>
    </c:plotArea>
    <c:plotVisOnly val="1"/>
    <c:dispBlanksAs val="gap"/>
    <c:showDLblsOverMax val="0"/>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5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areaChart>
        <c:grouping val="standard"/>
        <c:varyColors val="0"/>
        <c:ser>
          <c:idx val="0"/>
          <c:order val="0"/>
          <c:tx>
            <c:strRef>
              <c:f>Processing!$B$40</c:f>
              <c:strCache>
                <c:ptCount val="1"/>
                <c:pt idx="0">
                  <c:v>Income</c:v>
                </c:pt>
              </c:strCache>
            </c:strRef>
          </c:tx>
          <c:spPr>
            <a:gradFill flip="none" rotWithShape="1">
              <a:gsLst>
                <a:gs pos="0">
                  <a:srgbClr val="00C8D2"/>
                </a:gs>
                <a:gs pos="100000">
                  <a:srgbClr val="178BFF"/>
                </a:gs>
              </a:gsLst>
              <a:lin ang="5400000" scaled="0"/>
              <a:tileRect/>
            </a:gradFill>
            <a:ln>
              <a:noFill/>
            </a:ln>
            <a:effectLst/>
          </c:spPr>
          <c:val>
            <c:numRef>
              <c:f>Processing!$B$41:$B$44</c:f>
              <c:numCache>
                <c:formatCode>General</c:formatCode>
                <c:ptCount val="4"/>
                <c:pt idx="0">
                  <c:v>37965</c:v>
                </c:pt>
                <c:pt idx="1">
                  <c:v>44200</c:v>
                </c:pt>
                <c:pt idx="2">
                  <c:v>38780</c:v>
                </c:pt>
                <c:pt idx="3">
                  <c:v>53560</c:v>
                </c:pt>
              </c:numCache>
            </c:numRef>
          </c:val>
          <c:extLst>
            <c:ext xmlns:c16="http://schemas.microsoft.com/office/drawing/2014/chart" uri="{C3380CC4-5D6E-409C-BE32-E72D297353CC}">
              <c16:uniqueId val="{00000004-86D8-4F02-BA48-80E0FCF8BDD4}"/>
            </c:ext>
          </c:extLst>
        </c:ser>
        <c:dLbls>
          <c:showLegendKey val="0"/>
          <c:showVal val="0"/>
          <c:showCatName val="0"/>
          <c:showSerName val="0"/>
          <c:showPercent val="0"/>
          <c:showBubbleSize val="0"/>
        </c:dLbls>
        <c:axId val="1547119375"/>
        <c:axId val="1547116975"/>
      </c:areaChart>
      <c:lineChart>
        <c:grouping val="standard"/>
        <c:varyColors val="0"/>
        <c:ser>
          <c:idx val="1"/>
          <c:order val="1"/>
          <c:spPr>
            <a:ln w="25400" cap="rnd">
              <a:solidFill>
                <a:srgbClr val="178BFF"/>
              </a:solidFill>
              <a:round/>
            </a:ln>
            <a:effectLst/>
          </c:spPr>
          <c:marker>
            <c:symbol val="none"/>
          </c:marker>
          <c:val>
            <c:numRef>
              <c:f>Processing!$B$41:$B$44</c:f>
              <c:numCache>
                <c:formatCode>General</c:formatCode>
                <c:ptCount val="4"/>
                <c:pt idx="0">
                  <c:v>37965</c:v>
                </c:pt>
                <c:pt idx="1">
                  <c:v>44200</c:v>
                </c:pt>
                <c:pt idx="2">
                  <c:v>38780</c:v>
                </c:pt>
                <c:pt idx="3">
                  <c:v>53560</c:v>
                </c:pt>
              </c:numCache>
            </c:numRef>
          </c:val>
          <c:smooth val="0"/>
          <c:extLst>
            <c:ext xmlns:c16="http://schemas.microsoft.com/office/drawing/2014/chart" uri="{C3380CC4-5D6E-409C-BE32-E72D297353CC}">
              <c16:uniqueId val="{00000006-86D8-4F02-BA48-80E0FCF8BDD4}"/>
            </c:ext>
          </c:extLst>
        </c:ser>
        <c:dLbls>
          <c:showLegendKey val="0"/>
          <c:showVal val="0"/>
          <c:showCatName val="0"/>
          <c:showSerName val="0"/>
          <c:showPercent val="0"/>
          <c:showBubbleSize val="0"/>
        </c:dLbls>
        <c:marker val="1"/>
        <c:smooth val="0"/>
        <c:axId val="1547119375"/>
        <c:axId val="1547116975"/>
      </c:lineChart>
      <c:scatterChart>
        <c:scatterStyle val="lineMarker"/>
        <c:varyColors val="0"/>
        <c:ser>
          <c:idx val="2"/>
          <c:order val="2"/>
          <c:tx>
            <c:strRef>
              <c:f>Processing!$C$40</c:f>
              <c:strCache>
                <c:ptCount val="1"/>
                <c:pt idx="0">
                  <c:v>Cursor</c:v>
                </c:pt>
              </c:strCache>
            </c:strRef>
          </c:tx>
          <c:spPr>
            <a:ln w="25400" cap="rnd">
              <a:noFill/>
              <a:round/>
            </a:ln>
            <a:effectLst>
              <a:outerShdw blurRad="50800" dist="38100" dir="5400000" algn="t" rotWithShape="0">
                <a:srgbClr val="1959AF">
                  <a:alpha val="40000"/>
                </a:srgbClr>
              </a:outerShdw>
            </a:effectLst>
          </c:spPr>
          <c:marker>
            <c:symbol val="circle"/>
            <c:size val="7"/>
            <c:spPr>
              <a:solidFill>
                <a:schemeClr val="bg1"/>
              </a:solidFill>
              <a:ln w="12700">
                <a:solidFill>
                  <a:srgbClr val="4B5792"/>
                </a:solidFill>
              </a:ln>
              <a:effectLst>
                <a:outerShdw blurRad="50800" dist="38100" dir="5400000" algn="t" rotWithShape="0">
                  <a:srgbClr val="1959AF">
                    <a:alpha val="40000"/>
                  </a:srgbClr>
                </a:outerShdw>
              </a:effectLst>
            </c:spPr>
          </c:marker>
          <c:dLbls>
            <c:numFmt formatCode="[&gt;=1000]0,&quot;k&quot;;[&lt;=-1000]\-0,&quot;k&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455177"/>
                    </a:solidFill>
                    <a:latin typeface="+mn-lt"/>
                    <a:ea typeface="+mn-ea"/>
                    <a:cs typeface="+mn-cs"/>
                  </a:defRPr>
                </a:pPr>
                <a:endParaRPr lang="ru-RU"/>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yVal>
            <c:numRef>
              <c:f>Processing!$C$41:$C$44</c:f>
              <c:numCache>
                <c:formatCode>General</c:formatCode>
                <c:ptCount val="4"/>
                <c:pt idx="0">
                  <c:v>#N/A</c:v>
                </c:pt>
                <c:pt idx="1">
                  <c:v>44200</c:v>
                </c:pt>
                <c:pt idx="2">
                  <c:v>#N/A</c:v>
                </c:pt>
                <c:pt idx="3">
                  <c:v>#N/A</c:v>
                </c:pt>
              </c:numCache>
            </c:numRef>
          </c:yVal>
          <c:smooth val="0"/>
          <c:extLst>
            <c:ext xmlns:c16="http://schemas.microsoft.com/office/drawing/2014/chart" uri="{C3380CC4-5D6E-409C-BE32-E72D297353CC}">
              <c16:uniqueId val="{00000008-86D8-4F02-BA48-80E0FCF8BDD4}"/>
            </c:ext>
          </c:extLst>
        </c:ser>
        <c:dLbls>
          <c:showLegendKey val="0"/>
          <c:showVal val="0"/>
          <c:showCatName val="0"/>
          <c:showSerName val="0"/>
          <c:showPercent val="0"/>
          <c:showBubbleSize val="0"/>
        </c:dLbls>
        <c:axId val="1547119375"/>
        <c:axId val="1547116975"/>
      </c:scatterChart>
      <c:catAx>
        <c:axId val="1547119375"/>
        <c:scaling>
          <c:orientation val="minMax"/>
        </c:scaling>
        <c:delete val="1"/>
        <c:axPos val="b"/>
        <c:majorTickMark val="out"/>
        <c:minorTickMark val="none"/>
        <c:tickLblPos val="nextTo"/>
        <c:crossAx val="1547116975"/>
        <c:crosses val="autoZero"/>
        <c:auto val="1"/>
        <c:lblAlgn val="ctr"/>
        <c:lblOffset val="100"/>
        <c:noMultiLvlLbl val="0"/>
      </c:catAx>
      <c:valAx>
        <c:axId val="1547116975"/>
        <c:scaling>
          <c:orientation val="minMax"/>
        </c:scaling>
        <c:delete val="1"/>
        <c:axPos val="l"/>
        <c:numFmt formatCode="General" sourceLinked="1"/>
        <c:majorTickMark val="none"/>
        <c:minorTickMark val="none"/>
        <c:tickLblPos val="nextTo"/>
        <c:crossAx val="1547119375"/>
        <c:crosses val="autoZero"/>
        <c:crossBetween val="between"/>
      </c:valAx>
      <c:spPr>
        <a:noFill/>
      </c:spPr>
    </c:plotArea>
    <c:plotVisOnly val="1"/>
    <c:dispBlanksAs val="zero"/>
    <c:showDLblsOverMax val="0"/>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5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noFill/>
            <a:ln w="9525">
              <a:solidFill>
                <a:srgbClr val="ABB5E2">
                  <a:alpha val="70000"/>
                </a:srgbClr>
              </a:solidFill>
            </a:ln>
          </c:spPr>
          <c:dPt>
            <c:idx val="0"/>
            <c:bubble3D val="0"/>
            <c:spPr>
              <a:noFill/>
              <a:ln w="9525">
                <a:solidFill>
                  <a:srgbClr val="ABB5E2">
                    <a:alpha val="70000"/>
                  </a:srgbClr>
                </a:solidFill>
              </a:ln>
              <a:effectLst/>
            </c:spPr>
            <c:extLst>
              <c:ext xmlns:c16="http://schemas.microsoft.com/office/drawing/2014/chart" uri="{C3380CC4-5D6E-409C-BE32-E72D297353CC}">
                <c16:uniqueId val="{00000023-23F1-4D9B-829A-61E725914DC5}"/>
              </c:ext>
            </c:extLst>
          </c:dPt>
          <c:dPt>
            <c:idx val="1"/>
            <c:bubble3D val="0"/>
            <c:spPr>
              <a:noFill/>
              <a:ln w="9525">
                <a:solidFill>
                  <a:srgbClr val="ABB5E2">
                    <a:alpha val="70000"/>
                  </a:srgbClr>
                </a:solidFill>
              </a:ln>
              <a:effectLst/>
            </c:spPr>
            <c:extLst>
              <c:ext xmlns:c16="http://schemas.microsoft.com/office/drawing/2014/chart" uri="{C3380CC4-5D6E-409C-BE32-E72D297353CC}">
                <c16:uniqueId val="{00000025-23F1-4D9B-829A-61E725914DC5}"/>
              </c:ext>
            </c:extLst>
          </c:dPt>
          <c:dPt>
            <c:idx val="2"/>
            <c:bubble3D val="0"/>
            <c:spPr>
              <a:noFill/>
              <a:ln w="9525">
                <a:solidFill>
                  <a:srgbClr val="ABB5E2">
                    <a:alpha val="70000"/>
                  </a:srgbClr>
                </a:solidFill>
              </a:ln>
              <a:effectLst/>
            </c:spPr>
            <c:extLst>
              <c:ext xmlns:c16="http://schemas.microsoft.com/office/drawing/2014/chart" uri="{C3380CC4-5D6E-409C-BE32-E72D297353CC}">
                <c16:uniqueId val="{00000027-23F1-4D9B-829A-61E725914DC5}"/>
              </c:ext>
            </c:extLst>
          </c:dPt>
          <c:dPt>
            <c:idx val="3"/>
            <c:bubble3D val="0"/>
            <c:spPr>
              <a:noFill/>
              <a:ln w="9525">
                <a:solidFill>
                  <a:srgbClr val="ABB5E2">
                    <a:alpha val="70000"/>
                  </a:srgbClr>
                </a:solidFill>
              </a:ln>
              <a:effectLst/>
            </c:spPr>
            <c:extLst>
              <c:ext xmlns:c16="http://schemas.microsoft.com/office/drawing/2014/chart" uri="{C3380CC4-5D6E-409C-BE32-E72D297353CC}">
                <c16:uniqueId val="{00000029-23F1-4D9B-829A-61E725914DC5}"/>
              </c:ext>
            </c:extLst>
          </c:dPt>
          <c:dPt>
            <c:idx val="4"/>
            <c:bubble3D val="0"/>
            <c:spPr>
              <a:noFill/>
              <a:ln w="9525">
                <a:solidFill>
                  <a:srgbClr val="ABB5E2">
                    <a:alpha val="70000"/>
                  </a:srgbClr>
                </a:solidFill>
              </a:ln>
              <a:effectLst/>
            </c:spPr>
            <c:extLst>
              <c:ext xmlns:c16="http://schemas.microsoft.com/office/drawing/2014/chart" uri="{C3380CC4-5D6E-409C-BE32-E72D297353CC}">
                <c16:uniqueId val="{0000002B-23F1-4D9B-829A-61E725914DC5}"/>
              </c:ext>
            </c:extLst>
          </c:dPt>
          <c:val>
            <c:numRef>
              <c:f>Processing!$A$64:$E$64</c:f>
              <c:numCache>
                <c:formatCode>General</c:formatCode>
                <c:ptCount val="5"/>
                <c:pt idx="0">
                  <c:v>72</c:v>
                </c:pt>
                <c:pt idx="1">
                  <c:v>72</c:v>
                </c:pt>
                <c:pt idx="2">
                  <c:v>72</c:v>
                </c:pt>
                <c:pt idx="3">
                  <c:v>72</c:v>
                </c:pt>
                <c:pt idx="4">
                  <c:v>72</c:v>
                </c:pt>
              </c:numCache>
            </c:numRef>
          </c:val>
          <c:extLst>
            <c:ext xmlns:c16="http://schemas.microsoft.com/office/drawing/2014/chart" uri="{C3380CC4-5D6E-409C-BE32-E72D297353CC}">
              <c16:uniqueId val="{0000002C-23F1-4D9B-829A-61E725914DC5}"/>
            </c:ext>
          </c:extLst>
        </c:ser>
        <c:ser>
          <c:idx val="1"/>
          <c:order val="1"/>
          <c:spPr>
            <a:noFill/>
            <a:ln w="9525">
              <a:solidFill>
                <a:srgbClr val="ABB5E2">
                  <a:alpha val="70000"/>
                </a:srgbClr>
              </a:solidFill>
            </a:ln>
          </c:spPr>
          <c:dPt>
            <c:idx val="0"/>
            <c:bubble3D val="0"/>
            <c:spPr>
              <a:noFill/>
              <a:ln w="9525">
                <a:solidFill>
                  <a:srgbClr val="ABB5E2">
                    <a:alpha val="70000"/>
                  </a:srgbClr>
                </a:solidFill>
              </a:ln>
              <a:effectLst/>
            </c:spPr>
            <c:extLst>
              <c:ext xmlns:c16="http://schemas.microsoft.com/office/drawing/2014/chart" uri="{C3380CC4-5D6E-409C-BE32-E72D297353CC}">
                <c16:uniqueId val="{0000002F-23F1-4D9B-829A-61E725914DC5}"/>
              </c:ext>
            </c:extLst>
          </c:dPt>
          <c:dPt>
            <c:idx val="1"/>
            <c:bubble3D val="0"/>
            <c:spPr>
              <a:noFill/>
              <a:ln w="9525">
                <a:solidFill>
                  <a:srgbClr val="ABB5E2">
                    <a:alpha val="70000"/>
                  </a:srgbClr>
                </a:solidFill>
              </a:ln>
              <a:effectLst/>
            </c:spPr>
            <c:extLst>
              <c:ext xmlns:c16="http://schemas.microsoft.com/office/drawing/2014/chart" uri="{C3380CC4-5D6E-409C-BE32-E72D297353CC}">
                <c16:uniqueId val="{00000031-23F1-4D9B-829A-61E725914DC5}"/>
              </c:ext>
            </c:extLst>
          </c:dPt>
          <c:dPt>
            <c:idx val="2"/>
            <c:bubble3D val="0"/>
            <c:spPr>
              <a:noFill/>
              <a:ln w="9525">
                <a:solidFill>
                  <a:srgbClr val="ABB5E2">
                    <a:alpha val="70000"/>
                  </a:srgbClr>
                </a:solidFill>
              </a:ln>
              <a:effectLst/>
            </c:spPr>
            <c:extLst>
              <c:ext xmlns:c16="http://schemas.microsoft.com/office/drawing/2014/chart" uri="{C3380CC4-5D6E-409C-BE32-E72D297353CC}">
                <c16:uniqueId val="{00000033-23F1-4D9B-829A-61E725914DC5}"/>
              </c:ext>
            </c:extLst>
          </c:dPt>
          <c:dPt>
            <c:idx val="3"/>
            <c:bubble3D val="0"/>
            <c:spPr>
              <a:noFill/>
              <a:ln w="9525">
                <a:solidFill>
                  <a:srgbClr val="ABB5E2">
                    <a:alpha val="70000"/>
                  </a:srgbClr>
                </a:solidFill>
              </a:ln>
              <a:effectLst/>
            </c:spPr>
            <c:extLst>
              <c:ext xmlns:c16="http://schemas.microsoft.com/office/drawing/2014/chart" uri="{C3380CC4-5D6E-409C-BE32-E72D297353CC}">
                <c16:uniqueId val="{00000035-23F1-4D9B-829A-61E725914DC5}"/>
              </c:ext>
            </c:extLst>
          </c:dPt>
          <c:dPt>
            <c:idx val="4"/>
            <c:bubble3D val="0"/>
            <c:spPr>
              <a:noFill/>
              <a:ln w="9525">
                <a:solidFill>
                  <a:srgbClr val="ABB5E2">
                    <a:alpha val="70000"/>
                  </a:srgbClr>
                </a:solidFill>
              </a:ln>
              <a:effectLst/>
            </c:spPr>
            <c:extLst>
              <c:ext xmlns:c16="http://schemas.microsoft.com/office/drawing/2014/chart" uri="{C3380CC4-5D6E-409C-BE32-E72D297353CC}">
                <c16:uniqueId val="{00000037-23F1-4D9B-829A-61E725914DC5}"/>
              </c:ext>
            </c:extLst>
          </c:dPt>
          <c:val>
            <c:numRef>
              <c:f>Processing!$A$65:$E$65</c:f>
              <c:numCache>
                <c:formatCode>General</c:formatCode>
                <c:ptCount val="5"/>
                <c:pt idx="0">
                  <c:v>72</c:v>
                </c:pt>
                <c:pt idx="1">
                  <c:v>72</c:v>
                </c:pt>
                <c:pt idx="2">
                  <c:v>72</c:v>
                </c:pt>
                <c:pt idx="3">
                  <c:v>72</c:v>
                </c:pt>
                <c:pt idx="4">
                  <c:v>72</c:v>
                </c:pt>
              </c:numCache>
            </c:numRef>
          </c:val>
          <c:extLst>
            <c:ext xmlns:c16="http://schemas.microsoft.com/office/drawing/2014/chart" uri="{C3380CC4-5D6E-409C-BE32-E72D297353CC}">
              <c16:uniqueId val="{00000038-23F1-4D9B-829A-61E725914DC5}"/>
            </c:ext>
          </c:extLst>
        </c:ser>
        <c:ser>
          <c:idx val="2"/>
          <c:order val="2"/>
          <c:spPr>
            <a:noFill/>
            <a:ln w="9525">
              <a:solidFill>
                <a:srgbClr val="ABB5E2"/>
              </a:solidFill>
            </a:ln>
          </c:spPr>
          <c:dPt>
            <c:idx val="0"/>
            <c:bubble3D val="0"/>
            <c:spPr>
              <a:noFill/>
              <a:ln w="9525">
                <a:solidFill>
                  <a:srgbClr val="ABB5E2"/>
                </a:solidFill>
              </a:ln>
              <a:effectLst/>
            </c:spPr>
            <c:extLst>
              <c:ext xmlns:c16="http://schemas.microsoft.com/office/drawing/2014/chart" uri="{C3380CC4-5D6E-409C-BE32-E72D297353CC}">
                <c16:uniqueId val="{0000003B-23F1-4D9B-829A-61E725914DC5}"/>
              </c:ext>
            </c:extLst>
          </c:dPt>
          <c:dPt>
            <c:idx val="1"/>
            <c:bubble3D val="0"/>
            <c:spPr>
              <a:noFill/>
              <a:ln w="9525">
                <a:solidFill>
                  <a:srgbClr val="ABB5E2"/>
                </a:solidFill>
              </a:ln>
              <a:effectLst/>
            </c:spPr>
            <c:extLst>
              <c:ext xmlns:c16="http://schemas.microsoft.com/office/drawing/2014/chart" uri="{C3380CC4-5D6E-409C-BE32-E72D297353CC}">
                <c16:uniqueId val="{0000003D-23F1-4D9B-829A-61E725914DC5}"/>
              </c:ext>
            </c:extLst>
          </c:dPt>
          <c:dPt>
            <c:idx val="2"/>
            <c:bubble3D val="0"/>
            <c:spPr>
              <a:noFill/>
              <a:ln w="9525">
                <a:solidFill>
                  <a:srgbClr val="ABB5E2"/>
                </a:solidFill>
              </a:ln>
              <a:effectLst/>
            </c:spPr>
            <c:extLst>
              <c:ext xmlns:c16="http://schemas.microsoft.com/office/drawing/2014/chart" uri="{C3380CC4-5D6E-409C-BE32-E72D297353CC}">
                <c16:uniqueId val="{0000003F-23F1-4D9B-829A-61E725914DC5}"/>
              </c:ext>
            </c:extLst>
          </c:dPt>
          <c:dPt>
            <c:idx val="3"/>
            <c:bubble3D val="0"/>
            <c:spPr>
              <a:noFill/>
              <a:ln w="9525">
                <a:solidFill>
                  <a:srgbClr val="ABB5E2"/>
                </a:solidFill>
              </a:ln>
              <a:effectLst/>
            </c:spPr>
            <c:extLst>
              <c:ext xmlns:c16="http://schemas.microsoft.com/office/drawing/2014/chart" uri="{C3380CC4-5D6E-409C-BE32-E72D297353CC}">
                <c16:uniqueId val="{00000041-23F1-4D9B-829A-61E725914DC5}"/>
              </c:ext>
            </c:extLst>
          </c:dPt>
          <c:dPt>
            <c:idx val="4"/>
            <c:bubble3D val="0"/>
            <c:spPr>
              <a:noFill/>
              <a:ln w="9525">
                <a:solidFill>
                  <a:srgbClr val="ABB5E2"/>
                </a:solidFill>
              </a:ln>
              <a:effectLst/>
            </c:spPr>
            <c:extLst>
              <c:ext xmlns:c16="http://schemas.microsoft.com/office/drawing/2014/chart" uri="{C3380CC4-5D6E-409C-BE32-E72D297353CC}">
                <c16:uniqueId val="{00000043-23F1-4D9B-829A-61E725914DC5}"/>
              </c:ext>
            </c:extLst>
          </c:dPt>
          <c:val>
            <c:numRef>
              <c:f>Processing!$A$66:$E$66</c:f>
              <c:numCache>
                <c:formatCode>General</c:formatCode>
                <c:ptCount val="5"/>
                <c:pt idx="0">
                  <c:v>72</c:v>
                </c:pt>
                <c:pt idx="1">
                  <c:v>72</c:v>
                </c:pt>
                <c:pt idx="2">
                  <c:v>72</c:v>
                </c:pt>
                <c:pt idx="3">
                  <c:v>72</c:v>
                </c:pt>
                <c:pt idx="4">
                  <c:v>72</c:v>
                </c:pt>
              </c:numCache>
            </c:numRef>
          </c:val>
          <c:extLst>
            <c:ext xmlns:c16="http://schemas.microsoft.com/office/drawing/2014/chart" uri="{C3380CC4-5D6E-409C-BE32-E72D297353CC}">
              <c16:uniqueId val="{00000044-23F1-4D9B-829A-61E725914DC5}"/>
            </c:ext>
          </c:extLst>
        </c:ser>
        <c:dLbls>
          <c:showLegendKey val="0"/>
          <c:showVal val="0"/>
          <c:showCatName val="0"/>
          <c:showSerName val="0"/>
          <c:showPercent val="0"/>
          <c:showBubbleSize val="0"/>
          <c:showLeaderLines val="1"/>
        </c:dLbls>
        <c:firstSliceAng val="0"/>
        <c:holeSize val="20"/>
      </c:doughnutChart>
    </c:plotArea>
    <c:plotVisOnly val="1"/>
    <c:dispBlanksAs val="gap"/>
    <c:showDLblsOverMax val="0"/>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6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radarChart>
        <c:radarStyle val="marker"/>
        <c:varyColors val="0"/>
        <c:ser>
          <c:idx val="0"/>
          <c:order val="0"/>
          <c:tx>
            <c:strRef>
              <c:f>Processing!$D$51</c:f>
              <c:strCache>
                <c:ptCount val="1"/>
                <c:pt idx="0">
                  <c:v>Entertainment</c:v>
                </c:pt>
              </c:strCache>
            </c:strRef>
          </c:tx>
          <c:spPr>
            <a:ln w="25400" cap="rnd">
              <a:solidFill>
                <a:srgbClr val="28BEBA"/>
              </a:solidFill>
              <a:round/>
            </a:ln>
            <a:effectLst/>
          </c:spPr>
          <c:marker>
            <c:symbol val="circle"/>
            <c:size val="7"/>
            <c:spPr>
              <a:solidFill>
                <a:srgbClr val="28BEBA"/>
              </a:solidFill>
              <a:ln w="9525">
                <a:noFill/>
              </a:ln>
              <a:effectLst/>
            </c:spPr>
          </c:marker>
          <c:cat>
            <c:strRef>
              <c:f>Processing!$C$52:$C$56</c:f>
              <c:strCache>
                <c:ptCount val="5"/>
                <c:pt idx="0">
                  <c:v>E</c:v>
                </c:pt>
                <c:pt idx="1">
                  <c:v>F</c:v>
                </c:pt>
                <c:pt idx="2">
                  <c:v>H</c:v>
                </c:pt>
                <c:pt idx="3">
                  <c:v>L</c:v>
                </c:pt>
                <c:pt idx="4">
                  <c:v>S</c:v>
                </c:pt>
              </c:strCache>
            </c:strRef>
          </c:cat>
          <c:val>
            <c:numRef>
              <c:f>Processing!$D$52:$D$56</c:f>
              <c:numCache>
                <c:formatCode>General</c:formatCode>
                <c:ptCount val="5"/>
                <c:pt idx="0">
                  <c:v>#N/A</c:v>
                </c:pt>
                <c:pt idx="1">
                  <c:v>#N/A</c:v>
                </c:pt>
                <c:pt idx="2">
                  <c:v>#N/A</c:v>
                </c:pt>
                <c:pt idx="3">
                  <c:v>#N/A</c:v>
                </c:pt>
                <c:pt idx="4">
                  <c:v>#N/A</c:v>
                </c:pt>
              </c:numCache>
            </c:numRef>
          </c:val>
          <c:extLst>
            <c:ext xmlns:c16="http://schemas.microsoft.com/office/drawing/2014/chart" uri="{C3380CC4-5D6E-409C-BE32-E72D297353CC}">
              <c16:uniqueId val="{00000000-7CF1-4F16-BED2-2616BEE45FB4}"/>
            </c:ext>
          </c:extLst>
        </c:ser>
        <c:ser>
          <c:idx val="1"/>
          <c:order val="1"/>
          <c:tx>
            <c:strRef>
              <c:f>Processing!$E$51</c:f>
              <c:strCache>
                <c:ptCount val="1"/>
                <c:pt idx="0">
                  <c:v>FoodCourt</c:v>
                </c:pt>
              </c:strCache>
            </c:strRef>
          </c:tx>
          <c:spPr>
            <a:ln w="25400" cap="rnd">
              <a:solidFill>
                <a:srgbClr val="3879F2"/>
              </a:solidFill>
              <a:round/>
            </a:ln>
            <a:effectLst/>
          </c:spPr>
          <c:marker>
            <c:symbol val="circle"/>
            <c:size val="7"/>
            <c:spPr>
              <a:solidFill>
                <a:srgbClr val="2069F0"/>
              </a:solidFill>
              <a:ln w="9525">
                <a:noFill/>
              </a:ln>
              <a:effectLst/>
            </c:spPr>
          </c:marker>
          <c:cat>
            <c:strRef>
              <c:f>Processing!$C$52:$C$56</c:f>
              <c:strCache>
                <c:ptCount val="5"/>
                <c:pt idx="0">
                  <c:v>E</c:v>
                </c:pt>
                <c:pt idx="1">
                  <c:v>F</c:v>
                </c:pt>
                <c:pt idx="2">
                  <c:v>H</c:v>
                </c:pt>
                <c:pt idx="3">
                  <c:v>L</c:v>
                </c:pt>
                <c:pt idx="4">
                  <c:v>S</c:v>
                </c:pt>
              </c:strCache>
            </c:strRef>
          </c:cat>
          <c:val>
            <c:numRef>
              <c:f>Processing!$E$52:$E$56</c:f>
              <c:numCache>
                <c:formatCode>General</c:formatCode>
                <c:ptCount val="5"/>
                <c:pt idx="0">
                  <c:v>342</c:v>
                </c:pt>
                <c:pt idx="1">
                  <c:v>298</c:v>
                </c:pt>
                <c:pt idx="2">
                  <c:v>319</c:v>
                </c:pt>
                <c:pt idx="3">
                  <c:v>314</c:v>
                </c:pt>
                <c:pt idx="4">
                  <c:v>322</c:v>
                </c:pt>
              </c:numCache>
            </c:numRef>
          </c:val>
          <c:extLst>
            <c:ext xmlns:c16="http://schemas.microsoft.com/office/drawing/2014/chart" uri="{C3380CC4-5D6E-409C-BE32-E72D297353CC}">
              <c16:uniqueId val="{00000001-7CF1-4F16-BED2-2616BEE45FB4}"/>
            </c:ext>
          </c:extLst>
        </c:ser>
        <c:ser>
          <c:idx val="2"/>
          <c:order val="2"/>
          <c:tx>
            <c:strRef>
              <c:f>Processing!$F$51</c:f>
              <c:strCache>
                <c:ptCount val="1"/>
                <c:pt idx="0">
                  <c:v>Supermarket</c:v>
                </c:pt>
              </c:strCache>
            </c:strRef>
          </c:tx>
          <c:spPr>
            <a:ln w="25400" cap="rnd">
              <a:solidFill>
                <a:srgbClr val="FF5C6D"/>
              </a:solidFill>
              <a:round/>
            </a:ln>
            <a:effectLst/>
          </c:spPr>
          <c:marker>
            <c:symbol val="circle"/>
            <c:size val="7"/>
            <c:spPr>
              <a:solidFill>
                <a:srgbClr val="FF5C6D"/>
              </a:solidFill>
              <a:ln w="9525">
                <a:noFill/>
              </a:ln>
              <a:effectLst/>
            </c:spPr>
          </c:marker>
          <c:cat>
            <c:strRef>
              <c:f>Processing!$C$52:$C$56</c:f>
              <c:strCache>
                <c:ptCount val="5"/>
                <c:pt idx="0">
                  <c:v>E</c:v>
                </c:pt>
                <c:pt idx="1">
                  <c:v>F</c:v>
                </c:pt>
                <c:pt idx="2">
                  <c:v>H</c:v>
                </c:pt>
                <c:pt idx="3">
                  <c:v>L</c:v>
                </c:pt>
                <c:pt idx="4">
                  <c:v>S</c:v>
                </c:pt>
              </c:strCache>
            </c:strRef>
          </c:cat>
          <c:val>
            <c:numRef>
              <c:f>Processing!$F$52:$F$56</c:f>
              <c:numCache>
                <c:formatCode>General</c:formatCode>
                <c:ptCount val="5"/>
                <c:pt idx="0">
                  <c:v>524</c:v>
                </c:pt>
                <c:pt idx="1">
                  <c:v>550</c:v>
                </c:pt>
                <c:pt idx="2">
                  <c:v>498</c:v>
                </c:pt>
                <c:pt idx="3">
                  <c:v>406</c:v>
                </c:pt>
                <c:pt idx="4">
                  <c:v>509</c:v>
                </c:pt>
              </c:numCache>
            </c:numRef>
          </c:val>
          <c:extLst>
            <c:ext xmlns:c16="http://schemas.microsoft.com/office/drawing/2014/chart" uri="{C3380CC4-5D6E-409C-BE32-E72D297353CC}">
              <c16:uniqueId val="{00000002-7CF1-4F16-BED2-2616BEE45FB4}"/>
            </c:ext>
          </c:extLst>
        </c:ser>
        <c:ser>
          <c:idx val="3"/>
          <c:order val="3"/>
          <c:tx>
            <c:strRef>
              <c:f>Processing!$G$51</c:f>
              <c:strCache>
                <c:ptCount val="1"/>
                <c:pt idx="0">
                  <c:v>Travel</c:v>
                </c:pt>
              </c:strCache>
            </c:strRef>
          </c:tx>
          <c:spPr>
            <a:ln w="25400" cap="rnd">
              <a:solidFill>
                <a:srgbClr val="00ADD6"/>
              </a:solidFill>
              <a:round/>
            </a:ln>
            <a:effectLst/>
          </c:spPr>
          <c:marker>
            <c:symbol val="circle"/>
            <c:size val="7"/>
            <c:spPr>
              <a:solidFill>
                <a:schemeClr val="accent4"/>
              </a:solidFill>
              <a:ln w="9525">
                <a:solidFill>
                  <a:schemeClr val="accent4"/>
                </a:solidFill>
              </a:ln>
              <a:effectLst/>
            </c:spPr>
          </c:marker>
          <c:cat>
            <c:strRef>
              <c:f>Processing!$C$52:$C$56</c:f>
              <c:strCache>
                <c:ptCount val="5"/>
                <c:pt idx="0">
                  <c:v>E</c:v>
                </c:pt>
                <c:pt idx="1">
                  <c:v>F</c:v>
                </c:pt>
                <c:pt idx="2">
                  <c:v>H</c:v>
                </c:pt>
                <c:pt idx="3">
                  <c:v>L</c:v>
                </c:pt>
                <c:pt idx="4">
                  <c:v>S</c:v>
                </c:pt>
              </c:strCache>
            </c:strRef>
          </c:cat>
          <c:val>
            <c:numRef>
              <c:f>Processing!$G$52:$G$56</c:f>
              <c:numCache>
                <c:formatCode>General</c:formatCode>
                <c:ptCount val="5"/>
                <c:pt idx="0">
                  <c:v>238</c:v>
                </c:pt>
                <c:pt idx="1">
                  <c:v>459</c:v>
                </c:pt>
                <c:pt idx="2">
                  <c:v>370</c:v>
                </c:pt>
                <c:pt idx="3">
                  <c:v>467</c:v>
                </c:pt>
                <c:pt idx="4">
                  <c:v>313</c:v>
                </c:pt>
              </c:numCache>
            </c:numRef>
          </c:val>
          <c:extLst>
            <c:ext xmlns:c16="http://schemas.microsoft.com/office/drawing/2014/chart" uri="{C3380CC4-5D6E-409C-BE32-E72D297353CC}">
              <c16:uniqueId val="{00000003-7CF1-4F16-BED2-2616BEE45FB4}"/>
            </c:ext>
          </c:extLst>
        </c:ser>
        <c:ser>
          <c:idx val="4"/>
          <c:order val="4"/>
          <c:tx>
            <c:strRef>
              <c:f>Processing!$H$51</c:f>
              <c:strCache>
                <c:ptCount val="1"/>
                <c:pt idx="0">
                  <c:v>Workplace</c:v>
                </c:pt>
              </c:strCache>
            </c:strRef>
          </c:tx>
          <c:spPr>
            <a:ln w="25400" cap="rnd">
              <a:solidFill>
                <a:srgbClr val="6978B4"/>
              </a:solidFill>
              <a:round/>
            </a:ln>
            <a:effectLst/>
          </c:spPr>
          <c:marker>
            <c:symbol val="circle"/>
            <c:size val="7"/>
            <c:spPr>
              <a:solidFill>
                <a:srgbClr val="6978B4"/>
              </a:solidFill>
              <a:ln w="9525">
                <a:noFill/>
              </a:ln>
              <a:effectLst/>
            </c:spPr>
          </c:marker>
          <c:cat>
            <c:strRef>
              <c:f>Processing!$C$52:$C$56</c:f>
              <c:strCache>
                <c:ptCount val="5"/>
                <c:pt idx="0">
                  <c:v>E</c:v>
                </c:pt>
                <c:pt idx="1">
                  <c:v>F</c:v>
                </c:pt>
                <c:pt idx="2">
                  <c:v>H</c:v>
                </c:pt>
                <c:pt idx="3">
                  <c:v>L</c:v>
                </c:pt>
                <c:pt idx="4">
                  <c:v>S</c:v>
                </c:pt>
              </c:strCache>
            </c:strRef>
          </c:cat>
          <c:val>
            <c:numRef>
              <c:f>Processing!$H$52:$H$56</c:f>
              <c:numCache>
                <c:formatCode>General</c:formatCode>
                <c:ptCount val="5"/>
                <c:pt idx="0">
                  <c:v>#N/A</c:v>
                </c:pt>
                <c:pt idx="1">
                  <c:v>#N/A</c:v>
                </c:pt>
                <c:pt idx="2">
                  <c:v>#N/A</c:v>
                </c:pt>
                <c:pt idx="3">
                  <c:v>#N/A</c:v>
                </c:pt>
                <c:pt idx="4">
                  <c:v>#N/A</c:v>
                </c:pt>
              </c:numCache>
            </c:numRef>
          </c:val>
          <c:extLst>
            <c:ext xmlns:c16="http://schemas.microsoft.com/office/drawing/2014/chart" uri="{C3380CC4-5D6E-409C-BE32-E72D297353CC}">
              <c16:uniqueId val="{00000004-7CF1-4F16-BED2-2616BEE45FB4}"/>
            </c:ext>
          </c:extLst>
        </c:ser>
        <c:dLbls>
          <c:showLegendKey val="0"/>
          <c:showVal val="0"/>
          <c:showCatName val="0"/>
          <c:showSerName val="0"/>
          <c:showPercent val="0"/>
          <c:showBubbleSize val="0"/>
        </c:dLbls>
        <c:axId val="1484366719"/>
        <c:axId val="1484339839"/>
      </c:radarChart>
      <c:catAx>
        <c:axId val="148436671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455177"/>
                </a:solidFill>
                <a:latin typeface="+mn-lt"/>
                <a:ea typeface="+mn-ea"/>
                <a:cs typeface="+mn-cs"/>
              </a:defRPr>
            </a:pPr>
            <a:endParaRPr lang="ru-RU"/>
          </a:p>
        </c:txPr>
        <c:crossAx val="1484339839"/>
        <c:crosses val="autoZero"/>
        <c:auto val="1"/>
        <c:lblAlgn val="ctr"/>
        <c:lblOffset val="100"/>
        <c:noMultiLvlLbl val="0"/>
      </c:catAx>
      <c:valAx>
        <c:axId val="1484339839"/>
        <c:scaling>
          <c:orientation val="minMax"/>
        </c:scaling>
        <c:delete val="1"/>
        <c:axPos val="l"/>
        <c:numFmt formatCode="General" sourceLinked="1"/>
        <c:majorTickMark val="none"/>
        <c:minorTickMark val="none"/>
        <c:tickLblPos val="nextTo"/>
        <c:crossAx val="1484366719"/>
        <c:crosses val="autoZero"/>
        <c:crossBetween val="between"/>
      </c:valAx>
      <c:spPr>
        <a:noFill/>
      </c:spPr>
    </c:plotArea>
    <c:plotVisOnly val="1"/>
    <c:dispBlanksAs val="gap"/>
    <c:showDLblsOverMax val="0"/>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6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3"/>
          <c:order val="0"/>
          <c:tx>
            <c:strRef>
              <c:f>Processing!$C$60</c:f>
              <c:strCache>
                <c:ptCount val="1"/>
                <c:pt idx="0">
                  <c:v>indent</c:v>
                </c:pt>
              </c:strCache>
            </c:strRef>
          </c:tx>
          <c:spPr>
            <a:noFill/>
            <a:ln>
              <a:noFill/>
            </a:ln>
            <a:effectLst/>
          </c:spPr>
          <c:invertIfNegative val="0"/>
          <c:val>
            <c:numRef>
              <c:f>Processing!$D$60:$H$60</c:f>
              <c:numCache>
                <c:formatCode>General</c:formatCode>
                <c:ptCount val="5"/>
                <c:pt idx="0">
                  <c:v>174.09</c:v>
                </c:pt>
                <c:pt idx="1">
                  <c:v>174.09</c:v>
                </c:pt>
                <c:pt idx="2">
                  <c:v>174.09</c:v>
                </c:pt>
                <c:pt idx="3">
                  <c:v>174.09</c:v>
                </c:pt>
                <c:pt idx="4">
                  <c:v>174.09</c:v>
                </c:pt>
              </c:numCache>
            </c:numRef>
          </c:val>
          <c:extLst>
            <c:ext xmlns:c16="http://schemas.microsoft.com/office/drawing/2014/chart" uri="{C3380CC4-5D6E-409C-BE32-E72D297353CC}">
              <c16:uniqueId val="{00000015-F00A-4196-9B15-A6F5C2B2E629}"/>
            </c:ext>
          </c:extLst>
        </c:ser>
        <c:ser>
          <c:idx val="2"/>
          <c:order val="1"/>
          <c:tx>
            <c:strRef>
              <c:f>Processing!$C$59</c:f>
              <c:strCache>
                <c:ptCount val="1"/>
                <c:pt idx="0">
                  <c:v>Total</c:v>
                </c:pt>
              </c:strCache>
            </c:strRef>
          </c:tx>
          <c:spPr>
            <a:solidFill>
              <a:schemeClr val="accent3"/>
            </a:solidFill>
            <a:ln w="101600">
              <a:solidFill>
                <a:srgbClr val="ABB5E2"/>
              </a:solidFill>
            </a:ln>
            <a:effectLst/>
          </c:spPr>
          <c:invertIfNegative val="0"/>
          <c:val>
            <c:numRef>
              <c:f>Processing!$D$59:$H$59</c:f>
              <c:numCache>
                <c:formatCode>General</c:formatCode>
                <c:ptCount val="5"/>
                <c:pt idx="0">
                  <c:v>2311</c:v>
                </c:pt>
                <c:pt idx="1">
                  <c:v>1595</c:v>
                </c:pt>
                <c:pt idx="2">
                  <c:v>2487</c:v>
                </c:pt>
                <c:pt idx="3">
                  <c:v>1847</c:v>
                </c:pt>
                <c:pt idx="4">
                  <c:v>2062</c:v>
                </c:pt>
              </c:numCache>
            </c:numRef>
          </c:val>
          <c:extLst>
            <c:ext xmlns:c16="http://schemas.microsoft.com/office/drawing/2014/chart" uri="{C3380CC4-5D6E-409C-BE32-E72D297353CC}">
              <c16:uniqueId val="{00000017-F00A-4196-9B15-A6F5C2B2E629}"/>
            </c:ext>
          </c:extLst>
        </c:ser>
        <c:dLbls>
          <c:showLegendKey val="0"/>
          <c:showVal val="0"/>
          <c:showCatName val="0"/>
          <c:showSerName val="0"/>
          <c:showPercent val="0"/>
          <c:showBubbleSize val="0"/>
        </c:dLbls>
        <c:gapWidth val="400"/>
        <c:overlap val="100"/>
        <c:axId val="1488376607"/>
        <c:axId val="1488381407"/>
      </c:barChart>
      <c:barChart>
        <c:barDir val="col"/>
        <c:grouping val="stacked"/>
        <c:varyColors val="0"/>
        <c:ser>
          <c:idx val="1"/>
          <c:order val="2"/>
          <c:tx>
            <c:strRef>
              <c:f>Processing!$C$58</c:f>
              <c:strCache>
                <c:ptCount val="1"/>
                <c:pt idx="0">
                  <c:v>indent Cursor</c:v>
                </c:pt>
              </c:strCache>
            </c:strRef>
          </c:tx>
          <c:spPr>
            <a:noFill/>
            <a:ln>
              <a:noFill/>
            </a:ln>
            <a:effectLst/>
          </c:spPr>
          <c:invertIfNegative val="0"/>
          <c:val>
            <c:numRef>
              <c:f>Processing!$D$58:$H$58</c:f>
              <c:numCache>
                <c:formatCode>General</c:formatCode>
                <c:ptCount val="5"/>
                <c:pt idx="0">
                  <c:v>174.09</c:v>
                </c:pt>
                <c:pt idx="1">
                  <c:v>174.09</c:v>
                </c:pt>
                <c:pt idx="2">
                  <c:v>174.09</c:v>
                </c:pt>
                <c:pt idx="3">
                  <c:v>174.09</c:v>
                </c:pt>
                <c:pt idx="4">
                  <c:v>174.09</c:v>
                </c:pt>
              </c:numCache>
            </c:numRef>
          </c:val>
          <c:extLst>
            <c:ext xmlns:c16="http://schemas.microsoft.com/office/drawing/2014/chart" uri="{C3380CC4-5D6E-409C-BE32-E72D297353CC}">
              <c16:uniqueId val="{00000019-F00A-4196-9B15-A6F5C2B2E629}"/>
            </c:ext>
          </c:extLst>
        </c:ser>
        <c:ser>
          <c:idx val="0"/>
          <c:order val="3"/>
          <c:tx>
            <c:strRef>
              <c:f>Processing!$C$57</c:f>
              <c:strCache>
                <c:ptCount val="1"/>
                <c:pt idx="0">
                  <c:v>Cursor</c:v>
                </c:pt>
              </c:strCache>
            </c:strRef>
          </c:tx>
          <c:spPr>
            <a:solidFill>
              <a:schemeClr val="accent1"/>
            </a:solidFill>
            <a:ln w="101600">
              <a:gradFill>
                <a:gsLst>
                  <a:gs pos="0">
                    <a:srgbClr val="00ADD6"/>
                  </a:gs>
                  <a:gs pos="100000">
                    <a:schemeClr val="accent1">
                      <a:lumMod val="30000"/>
                      <a:lumOff val="70000"/>
                    </a:schemeClr>
                  </a:gs>
                </a:gsLst>
                <a:lin ang="5400000" scaled="1"/>
              </a:gradFill>
            </a:ln>
            <a:effectLst/>
          </c:spPr>
          <c:invertIfNegative val="0"/>
          <c:dPt>
            <c:idx val="0"/>
            <c:invertIfNegative val="0"/>
            <c:bubble3D val="0"/>
            <c:spPr>
              <a:solidFill>
                <a:schemeClr val="accent1"/>
              </a:solidFill>
              <a:ln w="101600">
                <a:gradFill>
                  <a:gsLst>
                    <a:gs pos="0">
                      <a:srgbClr val="00C8D2"/>
                    </a:gs>
                    <a:gs pos="100000">
                      <a:srgbClr val="00A8B0"/>
                    </a:gs>
                  </a:gsLst>
                  <a:lin ang="5400000" scaled="1"/>
                </a:gradFill>
              </a:ln>
              <a:effectLst/>
            </c:spPr>
            <c:extLst>
              <c:ext xmlns:c16="http://schemas.microsoft.com/office/drawing/2014/chart" uri="{C3380CC4-5D6E-409C-BE32-E72D297353CC}">
                <c16:uniqueId val="{0000001C-F00A-4196-9B15-A6F5C2B2E629}"/>
              </c:ext>
            </c:extLst>
          </c:dPt>
          <c:dPt>
            <c:idx val="1"/>
            <c:invertIfNegative val="0"/>
            <c:bubble3D val="0"/>
            <c:spPr>
              <a:solidFill>
                <a:schemeClr val="accent1"/>
              </a:solidFill>
              <a:ln w="101600">
                <a:gradFill>
                  <a:gsLst>
                    <a:gs pos="0">
                      <a:srgbClr val="3879F2"/>
                    </a:gs>
                    <a:gs pos="100000">
                      <a:srgbClr val="2069F0"/>
                    </a:gs>
                  </a:gsLst>
                  <a:lin ang="5400000" scaled="1"/>
                </a:gradFill>
              </a:ln>
              <a:effectLst/>
            </c:spPr>
            <c:extLst>
              <c:ext xmlns:c16="http://schemas.microsoft.com/office/drawing/2014/chart" uri="{C3380CC4-5D6E-409C-BE32-E72D297353CC}">
                <c16:uniqueId val="{0000001E-F00A-4196-9B15-A6F5C2B2E629}"/>
              </c:ext>
            </c:extLst>
          </c:dPt>
          <c:dPt>
            <c:idx val="2"/>
            <c:invertIfNegative val="0"/>
            <c:bubble3D val="0"/>
            <c:spPr>
              <a:solidFill>
                <a:schemeClr val="accent1"/>
              </a:solidFill>
              <a:ln w="101600">
                <a:gradFill>
                  <a:gsLst>
                    <a:gs pos="0">
                      <a:srgbClr val="FF7684"/>
                    </a:gs>
                    <a:gs pos="100000">
                      <a:srgbClr val="FF5C6D"/>
                    </a:gs>
                  </a:gsLst>
                  <a:lin ang="5400000" scaled="1"/>
                </a:gradFill>
              </a:ln>
              <a:effectLst/>
            </c:spPr>
            <c:extLst>
              <c:ext xmlns:c16="http://schemas.microsoft.com/office/drawing/2014/chart" uri="{C3380CC4-5D6E-409C-BE32-E72D297353CC}">
                <c16:uniqueId val="{00000020-F00A-4196-9B15-A6F5C2B2E629}"/>
              </c:ext>
            </c:extLst>
          </c:dPt>
          <c:dPt>
            <c:idx val="3"/>
            <c:invertIfNegative val="0"/>
            <c:bubble3D val="0"/>
            <c:spPr>
              <a:solidFill>
                <a:schemeClr val="accent1"/>
              </a:solidFill>
              <a:ln w="101600">
                <a:gradFill>
                  <a:gsLst>
                    <a:gs pos="0">
                      <a:srgbClr val="00ADD6"/>
                    </a:gs>
                    <a:gs pos="100000">
                      <a:srgbClr val="007D9B"/>
                    </a:gs>
                  </a:gsLst>
                  <a:lin ang="5400000" scaled="1"/>
                </a:gradFill>
              </a:ln>
              <a:effectLst/>
            </c:spPr>
            <c:extLst>
              <c:ext xmlns:c16="http://schemas.microsoft.com/office/drawing/2014/chart" uri="{C3380CC4-5D6E-409C-BE32-E72D297353CC}">
                <c16:uniqueId val="{00000022-F00A-4196-9B15-A6F5C2B2E629}"/>
              </c:ext>
            </c:extLst>
          </c:dPt>
          <c:dPt>
            <c:idx val="4"/>
            <c:invertIfNegative val="0"/>
            <c:bubble3D val="0"/>
            <c:spPr>
              <a:solidFill>
                <a:schemeClr val="accent1"/>
              </a:solidFill>
              <a:ln w="101600">
                <a:gradFill>
                  <a:gsLst>
                    <a:gs pos="0">
                      <a:srgbClr val="6978B4"/>
                    </a:gs>
                    <a:gs pos="100000">
                      <a:srgbClr val="4E5E9D"/>
                    </a:gs>
                  </a:gsLst>
                  <a:lin ang="5400000" scaled="1"/>
                </a:gradFill>
              </a:ln>
              <a:effectLst/>
            </c:spPr>
            <c:extLst>
              <c:ext xmlns:c16="http://schemas.microsoft.com/office/drawing/2014/chart" uri="{C3380CC4-5D6E-409C-BE32-E72D297353CC}">
                <c16:uniqueId val="{00000024-F00A-4196-9B15-A6F5C2B2E629}"/>
              </c:ext>
            </c:extLst>
          </c:dPt>
          <c:val>
            <c:numRef>
              <c:f>Processing!$D$57:$H$57</c:f>
              <c:numCache>
                <c:formatCode>General</c:formatCode>
                <c:ptCount val="5"/>
                <c:pt idx="0">
                  <c:v>#N/A</c:v>
                </c:pt>
                <c:pt idx="1">
                  <c:v>1595</c:v>
                </c:pt>
                <c:pt idx="2">
                  <c:v>2487</c:v>
                </c:pt>
                <c:pt idx="3">
                  <c:v>1847</c:v>
                </c:pt>
                <c:pt idx="4">
                  <c:v>#N/A</c:v>
                </c:pt>
              </c:numCache>
            </c:numRef>
          </c:val>
          <c:extLst>
            <c:ext xmlns:c16="http://schemas.microsoft.com/office/drawing/2014/chart" uri="{C3380CC4-5D6E-409C-BE32-E72D297353CC}">
              <c16:uniqueId val="{00000025-F00A-4196-9B15-A6F5C2B2E629}"/>
            </c:ext>
          </c:extLst>
        </c:ser>
        <c:dLbls>
          <c:showLegendKey val="0"/>
          <c:showVal val="0"/>
          <c:showCatName val="0"/>
          <c:showSerName val="0"/>
          <c:showPercent val="0"/>
          <c:showBubbleSize val="0"/>
        </c:dLbls>
        <c:gapWidth val="400"/>
        <c:overlap val="100"/>
        <c:axId val="1488359807"/>
        <c:axId val="1488349727"/>
      </c:barChart>
      <c:scatterChart>
        <c:scatterStyle val="lineMarker"/>
        <c:varyColors val="0"/>
        <c:ser>
          <c:idx val="4"/>
          <c:order val="4"/>
          <c:tx>
            <c:strRef>
              <c:f>Processing!$C$61</c:f>
              <c:strCache>
                <c:ptCount val="1"/>
                <c:pt idx="0">
                  <c:v>Markers</c:v>
                </c:pt>
              </c:strCache>
            </c:strRef>
          </c:tx>
          <c:spPr>
            <a:ln w="25400" cap="rnd">
              <a:noFill/>
              <a:round/>
            </a:ln>
            <a:effectLst/>
          </c:spPr>
          <c:marker>
            <c:symbol val="none"/>
          </c:marker>
          <c:dLbls>
            <c:dLbl>
              <c:idx val="0"/>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27-F00A-4196-9B15-A6F5C2B2E629}"/>
                </c:ext>
              </c:extLst>
            </c:dLbl>
            <c:dLbl>
              <c:idx val="1"/>
              <c:tx>
                <c:rich>
                  <a:bodyPr/>
                  <a:lstStyle/>
                  <a:p>
                    <a:fld id="{AD66DA6E-D1A8-43DA-A507-EB70DDE9D934}"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8-F00A-4196-9B15-A6F5C2B2E629}"/>
                </c:ext>
              </c:extLst>
            </c:dLbl>
            <c:dLbl>
              <c:idx val="2"/>
              <c:tx>
                <c:rich>
                  <a:bodyPr/>
                  <a:lstStyle/>
                  <a:p>
                    <a:fld id="{D7311A51-317C-4013-BA94-1DF543916BFF}"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9-F00A-4196-9B15-A6F5C2B2E629}"/>
                </c:ext>
              </c:extLst>
            </c:dLbl>
            <c:dLbl>
              <c:idx val="3"/>
              <c:tx>
                <c:rich>
                  <a:bodyPr/>
                  <a:lstStyle/>
                  <a:p>
                    <a:fld id="{783EC4CC-2D5D-4BDA-B035-29FDE2B19329}"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A-F00A-4196-9B15-A6F5C2B2E629}"/>
                </c:ext>
              </c:extLst>
            </c:dLbl>
            <c:dLbl>
              <c:idx val="4"/>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2B-F00A-4196-9B15-A6F5C2B2E62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455177"/>
                    </a:solidFill>
                    <a:latin typeface="+mn-lt"/>
                    <a:ea typeface="+mn-ea"/>
                    <a:cs typeface="+mn-cs"/>
                  </a:defRPr>
                </a:pPr>
                <a:endParaRPr lang="ru-RU"/>
              </a:p>
            </c:txPr>
            <c:dLblPos val="t"/>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yVal>
            <c:numRef>
              <c:f>Processing!$D$61:$H$61</c:f>
              <c:numCache>
                <c:formatCode>General</c:formatCode>
                <c:ptCount val="5"/>
                <c:pt idx="0">
                  <c:v>#N/A</c:v>
                </c:pt>
                <c:pt idx="1">
                  <c:v>1769.09</c:v>
                </c:pt>
                <c:pt idx="2">
                  <c:v>2661.09</c:v>
                </c:pt>
                <c:pt idx="3">
                  <c:v>2021.09</c:v>
                </c:pt>
                <c:pt idx="4">
                  <c:v>#N/A</c:v>
                </c:pt>
              </c:numCache>
            </c:numRef>
          </c:yVal>
          <c:smooth val="0"/>
          <c:extLst>
            <c:ext xmlns:c15="http://schemas.microsoft.com/office/drawing/2012/chart" uri="{02D57815-91ED-43cb-92C2-25804820EDAC}">
              <c15:datalabelsRange>
                <c15:f>Processing!$D$62:$H$62</c15:f>
                <c15:dlblRangeCache>
                  <c:ptCount val="5"/>
                  <c:pt idx="1">
                    <c:v>2k</c:v>
                  </c:pt>
                  <c:pt idx="2">
                    <c:v>2k</c:v>
                  </c:pt>
                  <c:pt idx="3">
                    <c:v>2k</c:v>
                  </c:pt>
                </c15:dlblRangeCache>
              </c15:datalabelsRange>
            </c:ext>
            <c:ext xmlns:c16="http://schemas.microsoft.com/office/drawing/2014/chart" uri="{C3380CC4-5D6E-409C-BE32-E72D297353CC}">
              <c16:uniqueId val="{0000002C-F00A-4196-9B15-A6F5C2B2E629}"/>
            </c:ext>
          </c:extLst>
        </c:ser>
        <c:dLbls>
          <c:showLegendKey val="0"/>
          <c:showVal val="0"/>
          <c:showCatName val="0"/>
          <c:showSerName val="0"/>
          <c:showPercent val="0"/>
          <c:showBubbleSize val="0"/>
        </c:dLbls>
        <c:axId val="1488359807"/>
        <c:axId val="1488349727"/>
      </c:scatterChart>
      <c:catAx>
        <c:axId val="1488376607"/>
        <c:scaling>
          <c:orientation val="minMax"/>
        </c:scaling>
        <c:delete val="1"/>
        <c:axPos val="b"/>
        <c:majorTickMark val="none"/>
        <c:minorTickMark val="none"/>
        <c:tickLblPos val="nextTo"/>
        <c:crossAx val="1488381407"/>
        <c:crosses val="autoZero"/>
        <c:auto val="1"/>
        <c:lblAlgn val="ctr"/>
        <c:lblOffset val="100"/>
        <c:noMultiLvlLbl val="0"/>
      </c:catAx>
      <c:valAx>
        <c:axId val="1488381407"/>
        <c:scaling>
          <c:orientation val="minMax"/>
        </c:scaling>
        <c:delete val="1"/>
        <c:axPos val="l"/>
        <c:numFmt formatCode="General" sourceLinked="1"/>
        <c:majorTickMark val="none"/>
        <c:minorTickMark val="none"/>
        <c:tickLblPos val="nextTo"/>
        <c:crossAx val="1488376607"/>
        <c:crosses val="autoZero"/>
        <c:crossBetween val="between"/>
      </c:valAx>
      <c:valAx>
        <c:axId val="1488349727"/>
        <c:scaling>
          <c:orientation val="minMax"/>
        </c:scaling>
        <c:delete val="1"/>
        <c:axPos val="r"/>
        <c:numFmt formatCode="General" sourceLinked="1"/>
        <c:majorTickMark val="out"/>
        <c:minorTickMark val="none"/>
        <c:tickLblPos val="nextTo"/>
        <c:crossAx val="1488359807"/>
        <c:crosses val="max"/>
        <c:crossBetween val="between"/>
      </c:valAx>
      <c:catAx>
        <c:axId val="1488359807"/>
        <c:scaling>
          <c:orientation val="minMax"/>
        </c:scaling>
        <c:delete val="1"/>
        <c:axPos val="b"/>
        <c:majorTickMark val="out"/>
        <c:minorTickMark val="none"/>
        <c:tickLblPos val="nextTo"/>
        <c:crossAx val="1488349727"/>
        <c:crosses val="autoZero"/>
        <c:auto val="1"/>
        <c:lblAlgn val="ctr"/>
        <c:lblOffset val="100"/>
        <c:noMultiLvlLbl val="0"/>
      </c:catAx>
      <c:spPr>
        <a:noFill/>
      </c:spPr>
    </c:plotArea>
    <c:plotVisOnly val="1"/>
    <c:dispBlanksAs val="gap"/>
    <c:showDLblsOverMax val="0"/>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6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solidFill>
              <a:schemeClr val="bg1"/>
            </a:solidFill>
            <a:ln>
              <a:noFill/>
            </a:ln>
          </c:spPr>
          <c:dPt>
            <c:idx val="0"/>
            <c:bubble3D val="0"/>
            <c:spPr>
              <a:solidFill>
                <a:srgbClr val="1992E6"/>
              </a:solidFill>
              <a:ln w="19050">
                <a:noFill/>
              </a:ln>
              <a:effectLst/>
            </c:spPr>
            <c:extLst>
              <c:ext xmlns:c16="http://schemas.microsoft.com/office/drawing/2014/chart" uri="{C3380CC4-5D6E-409C-BE32-E72D297353CC}">
                <c16:uniqueId val="{00000001-2805-4785-9648-C73D4D777CC7}"/>
              </c:ext>
            </c:extLst>
          </c:dPt>
          <c:dPt>
            <c:idx val="1"/>
            <c:bubble3D val="0"/>
            <c:spPr>
              <a:solidFill>
                <a:schemeClr val="accent5">
                  <a:lumMod val="60000"/>
                  <a:lumOff val="40000"/>
                </a:schemeClr>
              </a:solidFill>
              <a:ln w="19050">
                <a:noFill/>
              </a:ln>
              <a:effectLst/>
            </c:spPr>
            <c:extLst>
              <c:ext xmlns:c16="http://schemas.microsoft.com/office/drawing/2014/chart" uri="{C3380CC4-5D6E-409C-BE32-E72D297353CC}">
                <c16:uniqueId val="{00000003-2805-4785-9648-C73D4D777CC7}"/>
              </c:ext>
            </c:extLst>
          </c:dPt>
          <c:val>
            <c:numRef>
              <c:f>Processing!$E$15:$F$15</c:f>
              <c:numCache>
                <c:formatCode>0%</c:formatCode>
                <c:ptCount val="2"/>
                <c:pt idx="0">
                  <c:v>0.65277777777777779</c:v>
                </c:pt>
                <c:pt idx="1">
                  <c:v>0.34722222222222221</c:v>
                </c:pt>
              </c:numCache>
            </c:numRef>
          </c:val>
          <c:extLst>
            <c:ext xmlns:c16="http://schemas.microsoft.com/office/drawing/2014/chart" uri="{C3380CC4-5D6E-409C-BE32-E72D297353CC}">
              <c16:uniqueId val="{00000004-2805-4785-9648-C73D4D777CC7}"/>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6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Processing!$H$2</c:f>
              <c:strCache>
                <c:ptCount val="1"/>
                <c:pt idx="0">
                  <c:v>Cursor</c:v>
                </c:pt>
              </c:strCache>
            </c:strRef>
          </c:tx>
          <c:spPr>
            <a:solidFill>
              <a:srgbClr val="ABB5E2">
                <a:alpha val="80000"/>
              </a:srgbClr>
            </a:solidFill>
            <a:ln>
              <a:noFill/>
            </a:ln>
            <a:effectLst/>
          </c:spPr>
          <c:invertIfNegative val="0"/>
          <c:cat>
            <c:strRef>
              <c:f>Processing!$B$3:$B$14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Processing!$H$3:$H$14</c:f>
              <c:numCache>
                <c:formatCode>0%</c:formatCode>
                <c:ptCount val="12"/>
                <c:pt idx="0">
                  <c:v>#N/A</c:v>
                </c:pt>
                <c:pt idx="1">
                  <c:v>#N/A</c:v>
                </c:pt>
                <c:pt idx="2">
                  <c:v>#N/A</c:v>
                </c:pt>
                <c:pt idx="3">
                  <c:v>1</c:v>
                </c:pt>
                <c:pt idx="4">
                  <c:v>1</c:v>
                </c:pt>
                <c:pt idx="5">
                  <c:v>1</c:v>
                </c:pt>
                <c:pt idx="6">
                  <c:v>#N/A</c:v>
                </c:pt>
                <c:pt idx="7">
                  <c:v>#N/A</c:v>
                </c:pt>
                <c:pt idx="8">
                  <c:v>#N/A</c:v>
                </c:pt>
                <c:pt idx="9">
                  <c:v>#N/A</c:v>
                </c:pt>
                <c:pt idx="10">
                  <c:v>#N/A</c:v>
                </c:pt>
                <c:pt idx="11">
                  <c:v>#N/A</c:v>
                </c:pt>
              </c:numCache>
            </c:numRef>
          </c:val>
          <c:extLst>
            <c:ext xmlns:c16="http://schemas.microsoft.com/office/drawing/2014/chart" uri="{C3380CC4-5D6E-409C-BE32-E72D297353CC}">
              <c16:uniqueId val="{00000000-D76D-48FC-A296-B256A3376103}"/>
            </c:ext>
          </c:extLst>
        </c:ser>
        <c:dLbls>
          <c:showLegendKey val="0"/>
          <c:showVal val="0"/>
          <c:showCatName val="0"/>
          <c:showSerName val="0"/>
          <c:showPercent val="0"/>
          <c:showBubbleSize val="0"/>
        </c:dLbls>
        <c:gapWidth val="50"/>
        <c:overlap val="-27"/>
        <c:axId val="2029676367"/>
        <c:axId val="2029690287"/>
      </c:barChart>
      <c:catAx>
        <c:axId val="2029676367"/>
        <c:scaling>
          <c:orientation val="minMax"/>
        </c:scaling>
        <c:delete val="0"/>
        <c:axPos val="b"/>
        <c:numFmt formatCode="General" sourceLinked="1"/>
        <c:majorTickMark val="none"/>
        <c:minorTickMark val="none"/>
        <c:tickLblPos val="high"/>
        <c:spPr>
          <a:ln>
            <a:noFill/>
          </a:ln>
        </c:spPr>
        <c:txPr>
          <a:bodyPr/>
          <a:lstStyle/>
          <a:p>
            <a:pPr>
              <a:defRPr>
                <a:solidFill>
                  <a:srgbClr val="455177"/>
                </a:solidFill>
              </a:defRPr>
            </a:pPr>
            <a:endParaRPr lang="ru-RU"/>
          </a:p>
        </c:txPr>
        <c:crossAx val="2029690287"/>
        <c:crosses val="autoZero"/>
        <c:auto val="1"/>
        <c:lblAlgn val="ctr"/>
        <c:lblOffset val="100"/>
        <c:noMultiLvlLbl val="0"/>
      </c:catAx>
      <c:valAx>
        <c:axId val="2029690287"/>
        <c:scaling>
          <c:orientation val="minMax"/>
          <c:max val="1"/>
          <c:min val="0"/>
        </c:scaling>
        <c:delete val="1"/>
        <c:axPos val="l"/>
        <c:numFmt formatCode="0%" sourceLinked="1"/>
        <c:majorTickMark val="none"/>
        <c:minorTickMark val="none"/>
        <c:tickLblPos val="nextTo"/>
        <c:crossAx val="2029676367"/>
        <c:crosses val="autoZero"/>
        <c:crossBetween val="between"/>
      </c:valAx>
      <c:spPr>
        <a:noFill/>
      </c:spPr>
    </c:plotArea>
    <c:plotVisOnly val="1"/>
    <c:dispBlanksAs val="gap"/>
    <c:showDLblsOverMax val="0"/>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6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0617869641294839"/>
          <c:y val="6.7401960784313722E-2"/>
          <c:w val="0.87159908136482955"/>
          <c:h val="0.86519607843137258"/>
        </c:manualLayout>
      </c:layout>
      <c:barChart>
        <c:barDir val="bar"/>
        <c:grouping val="stacked"/>
        <c:varyColors val="0"/>
        <c:ser>
          <c:idx val="0"/>
          <c:order val="0"/>
          <c:tx>
            <c:strRef>
              <c:f>Processing!$L$2</c:f>
              <c:strCache>
                <c:ptCount val="1"/>
                <c:pt idx="0">
                  <c:v>Start</c:v>
                </c:pt>
              </c:strCache>
            </c:strRef>
          </c:tx>
          <c:spPr>
            <a:gradFill flip="none" rotWithShape="1">
              <a:gsLst>
                <a:gs pos="0">
                  <a:srgbClr val="6D7CAB"/>
                </a:gs>
                <a:gs pos="44000">
                  <a:srgbClr val="455177"/>
                </a:gs>
                <a:gs pos="100000">
                  <a:srgbClr val="37415F"/>
                </a:gs>
              </a:gsLst>
              <a:lin ang="5400000" scaled="0"/>
              <a:tileRect/>
            </a:gradFill>
            <a:ln>
              <a:noFill/>
            </a:ln>
            <a:effectLst>
              <a:outerShdw blurRad="63500" sx="102000" sy="102000" algn="ctr" rotWithShape="0">
                <a:prstClr val="black">
                  <a:alpha val="40000"/>
                </a:prstClr>
              </a:outerShdw>
            </a:effectLst>
          </c:spPr>
          <c:invertIfNegative val="0"/>
          <c:cat>
            <c:numRef>
              <c:f>Processing!$K$3:$K$7</c:f>
              <c:numCache>
                <c:formatCode>"$"#\ ###\ ###;\-"$"#\ ###\ ###;</c:formatCode>
                <c:ptCount val="5"/>
                <c:pt idx="0">
                  <c:v>0</c:v>
                </c:pt>
                <c:pt idx="1">
                  <c:v>500</c:v>
                </c:pt>
                <c:pt idx="2">
                  <c:v>1400</c:v>
                </c:pt>
                <c:pt idx="3">
                  <c:v>1000</c:v>
                </c:pt>
                <c:pt idx="4">
                  <c:v>0</c:v>
                </c:pt>
              </c:numCache>
            </c:numRef>
          </c:cat>
          <c:val>
            <c:numRef>
              <c:f>Processing!$L$3:$L$7</c:f>
              <c:numCache>
                <c:formatCode>General</c:formatCode>
                <c:ptCount val="5"/>
                <c:pt idx="0">
                  <c:v>0.2</c:v>
                </c:pt>
                <c:pt idx="1">
                  <c:v>1</c:v>
                </c:pt>
                <c:pt idx="2">
                  <c:v>3</c:v>
                </c:pt>
                <c:pt idx="3">
                  <c:v>4</c:v>
                </c:pt>
                <c:pt idx="4">
                  <c:v>7</c:v>
                </c:pt>
              </c:numCache>
            </c:numRef>
          </c:val>
          <c:extLst>
            <c:ext xmlns:c16="http://schemas.microsoft.com/office/drawing/2014/chart" uri="{C3380CC4-5D6E-409C-BE32-E72D297353CC}">
              <c16:uniqueId val="{0000000E-91C3-484B-B3B4-97038187861D}"/>
            </c:ext>
          </c:extLst>
        </c:ser>
        <c:ser>
          <c:idx val="1"/>
          <c:order val="1"/>
          <c:tx>
            <c:strRef>
              <c:f>Processing!$M$2</c:f>
              <c:strCache>
                <c:ptCount val="1"/>
                <c:pt idx="0">
                  <c:v>Process</c:v>
                </c:pt>
              </c:strCache>
            </c:strRef>
          </c:tx>
          <c:spPr>
            <a:solidFill>
              <a:srgbClr val="2B5BCB"/>
            </a:solidFill>
            <a:ln w="101600">
              <a:solidFill>
                <a:srgbClr val="2B5BCB"/>
              </a:solidFill>
            </a:ln>
            <a:effectLst/>
          </c:spPr>
          <c:invertIfNegative val="0"/>
          <c:dPt>
            <c:idx val="0"/>
            <c:invertIfNegative val="0"/>
            <c:bubble3D val="0"/>
            <c:spPr>
              <a:solidFill>
                <a:srgbClr val="00A8B0"/>
              </a:solidFill>
              <a:ln w="101600">
                <a:gradFill>
                  <a:gsLst>
                    <a:gs pos="0">
                      <a:srgbClr val="00C8D2"/>
                    </a:gs>
                    <a:gs pos="31000">
                      <a:srgbClr val="00A8B0"/>
                    </a:gs>
                  </a:gsLst>
                  <a:lin ang="5400000" scaled="1"/>
                </a:gradFill>
              </a:ln>
              <a:effectLst/>
            </c:spPr>
            <c:extLst>
              <c:ext xmlns:c16="http://schemas.microsoft.com/office/drawing/2014/chart" uri="{C3380CC4-5D6E-409C-BE32-E72D297353CC}">
                <c16:uniqueId val="{00000011-91C3-484B-B3B4-97038187861D}"/>
              </c:ext>
            </c:extLst>
          </c:dPt>
          <c:dPt>
            <c:idx val="1"/>
            <c:invertIfNegative val="0"/>
            <c:bubble3D val="0"/>
            <c:spPr>
              <a:solidFill>
                <a:srgbClr val="2B5BCB"/>
              </a:solidFill>
              <a:ln w="101600">
                <a:gradFill>
                  <a:gsLst>
                    <a:gs pos="0">
                      <a:srgbClr val="5A82DC"/>
                    </a:gs>
                    <a:gs pos="31000">
                      <a:srgbClr val="2B5BCB"/>
                    </a:gs>
                  </a:gsLst>
                  <a:lin ang="5400000" scaled="1"/>
                </a:gradFill>
              </a:ln>
              <a:effectLst/>
            </c:spPr>
            <c:extLst>
              <c:ext xmlns:c16="http://schemas.microsoft.com/office/drawing/2014/chart" uri="{C3380CC4-5D6E-409C-BE32-E72D297353CC}">
                <c16:uniqueId val="{00000013-91C3-484B-B3B4-97038187861D}"/>
              </c:ext>
            </c:extLst>
          </c:dPt>
          <c:dPt>
            <c:idx val="2"/>
            <c:invertIfNegative val="0"/>
            <c:bubble3D val="0"/>
            <c:spPr>
              <a:solidFill>
                <a:srgbClr val="FF5C6D"/>
              </a:solidFill>
              <a:ln w="101600">
                <a:gradFill>
                  <a:gsLst>
                    <a:gs pos="0">
                      <a:srgbClr val="FFA3AC"/>
                    </a:gs>
                    <a:gs pos="31000">
                      <a:srgbClr val="FF5C6D"/>
                    </a:gs>
                  </a:gsLst>
                  <a:lin ang="5400000" scaled="1"/>
                </a:gradFill>
              </a:ln>
              <a:effectLst/>
            </c:spPr>
            <c:extLst>
              <c:ext xmlns:c16="http://schemas.microsoft.com/office/drawing/2014/chart" uri="{C3380CC4-5D6E-409C-BE32-E72D297353CC}">
                <c16:uniqueId val="{00000015-91C3-484B-B3B4-97038187861D}"/>
              </c:ext>
            </c:extLst>
          </c:dPt>
          <c:dPt>
            <c:idx val="3"/>
            <c:invertIfNegative val="0"/>
            <c:bubble3D val="0"/>
            <c:spPr>
              <a:solidFill>
                <a:srgbClr val="007D9B"/>
              </a:solidFill>
              <a:ln w="101600">
                <a:gradFill>
                  <a:gsLst>
                    <a:gs pos="0">
                      <a:srgbClr val="00ADD6"/>
                    </a:gs>
                    <a:gs pos="31000">
                      <a:srgbClr val="007D9B"/>
                    </a:gs>
                  </a:gsLst>
                  <a:lin ang="5400000" scaled="1"/>
                </a:gradFill>
              </a:ln>
              <a:effectLst/>
            </c:spPr>
            <c:extLst>
              <c:ext xmlns:c16="http://schemas.microsoft.com/office/drawing/2014/chart" uri="{C3380CC4-5D6E-409C-BE32-E72D297353CC}">
                <c16:uniqueId val="{00000017-91C3-484B-B3B4-97038187861D}"/>
              </c:ext>
            </c:extLst>
          </c:dPt>
          <c:dPt>
            <c:idx val="4"/>
            <c:invertIfNegative val="0"/>
            <c:bubble3D val="0"/>
            <c:spPr>
              <a:solidFill>
                <a:srgbClr val="4E5E9D"/>
              </a:solidFill>
              <a:ln w="101600">
                <a:gradFill>
                  <a:gsLst>
                    <a:gs pos="0">
                      <a:srgbClr val="6978B4"/>
                    </a:gs>
                    <a:gs pos="31000">
                      <a:srgbClr val="4E5E9D"/>
                    </a:gs>
                  </a:gsLst>
                  <a:lin ang="5400000" scaled="1"/>
                </a:gradFill>
              </a:ln>
              <a:effectLst/>
            </c:spPr>
            <c:extLst>
              <c:ext xmlns:c16="http://schemas.microsoft.com/office/drawing/2014/chart" uri="{C3380CC4-5D6E-409C-BE32-E72D297353CC}">
                <c16:uniqueId val="{00000019-91C3-484B-B3B4-97038187861D}"/>
              </c:ext>
            </c:extLst>
          </c:dPt>
          <c:cat>
            <c:numRef>
              <c:f>Processing!$K$3:$K$7</c:f>
              <c:numCache>
                <c:formatCode>"$"#\ ###\ ###;\-"$"#\ ###\ ###;</c:formatCode>
                <c:ptCount val="5"/>
                <c:pt idx="0">
                  <c:v>0</c:v>
                </c:pt>
                <c:pt idx="1">
                  <c:v>500</c:v>
                </c:pt>
                <c:pt idx="2">
                  <c:v>1400</c:v>
                </c:pt>
                <c:pt idx="3">
                  <c:v>1000</c:v>
                </c:pt>
                <c:pt idx="4">
                  <c:v>0</c:v>
                </c:pt>
              </c:numCache>
            </c:numRef>
          </c:cat>
          <c:val>
            <c:numRef>
              <c:f>Processing!$M$3:$M$7</c:f>
              <c:numCache>
                <c:formatCode>General</c:formatCode>
                <c:ptCount val="5"/>
                <c:pt idx="0">
                  <c:v>1.8</c:v>
                </c:pt>
                <c:pt idx="1">
                  <c:v>3</c:v>
                </c:pt>
                <c:pt idx="2">
                  <c:v>2</c:v>
                </c:pt>
                <c:pt idx="3">
                  <c:v>4</c:v>
                </c:pt>
                <c:pt idx="4">
                  <c:v>4.8</c:v>
                </c:pt>
              </c:numCache>
            </c:numRef>
          </c:val>
          <c:extLst>
            <c:ext xmlns:c16="http://schemas.microsoft.com/office/drawing/2014/chart" uri="{C3380CC4-5D6E-409C-BE32-E72D297353CC}">
              <c16:uniqueId val="{0000001A-91C3-484B-B3B4-97038187861D}"/>
            </c:ext>
          </c:extLst>
        </c:ser>
        <c:ser>
          <c:idx val="2"/>
          <c:order val="2"/>
          <c:tx>
            <c:strRef>
              <c:f>Processing!$N$2</c:f>
              <c:strCache>
                <c:ptCount val="1"/>
                <c:pt idx="0">
                  <c:v>End</c:v>
                </c:pt>
              </c:strCache>
            </c:strRef>
          </c:tx>
          <c:spPr>
            <a:gradFill>
              <a:gsLst>
                <a:gs pos="0">
                  <a:srgbClr val="6D7CAB"/>
                </a:gs>
                <a:gs pos="44000">
                  <a:srgbClr val="455177"/>
                </a:gs>
                <a:gs pos="100000">
                  <a:srgbClr val="37415F"/>
                </a:gs>
              </a:gsLst>
              <a:lin ang="5400000" scaled="0"/>
            </a:gradFill>
            <a:ln>
              <a:noFill/>
            </a:ln>
            <a:effectLst/>
          </c:spPr>
          <c:invertIfNegative val="0"/>
          <c:cat>
            <c:numRef>
              <c:f>Processing!$K$3:$K$7</c:f>
              <c:numCache>
                <c:formatCode>"$"#\ ###\ ###;\-"$"#\ ###\ ###;</c:formatCode>
                <c:ptCount val="5"/>
                <c:pt idx="0">
                  <c:v>0</c:v>
                </c:pt>
                <c:pt idx="1">
                  <c:v>500</c:v>
                </c:pt>
                <c:pt idx="2">
                  <c:v>1400</c:v>
                </c:pt>
                <c:pt idx="3">
                  <c:v>1000</c:v>
                </c:pt>
                <c:pt idx="4">
                  <c:v>0</c:v>
                </c:pt>
              </c:numCache>
            </c:numRef>
          </c:cat>
          <c:val>
            <c:numRef>
              <c:f>Processing!$N$3:$N$7</c:f>
              <c:numCache>
                <c:formatCode>General</c:formatCode>
                <c:ptCount val="5"/>
                <c:pt idx="0">
                  <c:v>10</c:v>
                </c:pt>
                <c:pt idx="1">
                  <c:v>8</c:v>
                </c:pt>
                <c:pt idx="2">
                  <c:v>7</c:v>
                </c:pt>
                <c:pt idx="3">
                  <c:v>4</c:v>
                </c:pt>
                <c:pt idx="4">
                  <c:v>0.19999999999999929</c:v>
                </c:pt>
              </c:numCache>
            </c:numRef>
          </c:val>
          <c:extLst>
            <c:ext xmlns:c16="http://schemas.microsoft.com/office/drawing/2014/chart" uri="{C3380CC4-5D6E-409C-BE32-E72D297353CC}">
              <c16:uniqueId val="{0000001C-91C3-484B-B3B4-97038187861D}"/>
            </c:ext>
          </c:extLst>
        </c:ser>
        <c:dLbls>
          <c:showLegendKey val="0"/>
          <c:showVal val="0"/>
          <c:showCatName val="0"/>
          <c:showSerName val="0"/>
          <c:showPercent val="0"/>
          <c:showBubbleSize val="0"/>
        </c:dLbls>
        <c:gapWidth val="200"/>
        <c:overlap val="100"/>
        <c:axId val="307646768"/>
        <c:axId val="307649168"/>
      </c:barChart>
      <c:catAx>
        <c:axId val="307646768"/>
        <c:scaling>
          <c:orientation val="maxMin"/>
        </c:scaling>
        <c:delete val="0"/>
        <c:axPos val="l"/>
        <c:numFmt formatCode="&quot;$&quot;#\ ###\ ###;\-&quot;$&quot;#\ ###\ ###;"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rgbClr val="455177"/>
                </a:solidFill>
                <a:latin typeface="+mn-lt"/>
                <a:ea typeface="+mn-ea"/>
                <a:cs typeface="+mn-cs"/>
              </a:defRPr>
            </a:pPr>
            <a:endParaRPr lang="ru-RU"/>
          </a:p>
        </c:txPr>
        <c:crossAx val="307649168"/>
        <c:crosses val="autoZero"/>
        <c:auto val="1"/>
        <c:lblAlgn val="ctr"/>
        <c:lblOffset val="100"/>
        <c:noMultiLvlLbl val="0"/>
      </c:catAx>
      <c:valAx>
        <c:axId val="307649168"/>
        <c:scaling>
          <c:orientation val="minMax"/>
          <c:max val="12"/>
          <c:min val="0"/>
        </c:scaling>
        <c:delete val="1"/>
        <c:axPos val="t"/>
        <c:majorGridlines>
          <c:spPr>
            <a:ln w="9525" cap="flat" cmpd="sng" algn="ctr">
              <a:solidFill>
                <a:srgbClr val="193B8A">
                  <a:alpha val="12000"/>
                </a:srgbClr>
              </a:solidFill>
              <a:round/>
            </a:ln>
            <a:effectLst/>
          </c:spPr>
        </c:majorGridlines>
        <c:numFmt formatCode="General" sourceLinked="0"/>
        <c:majorTickMark val="out"/>
        <c:minorTickMark val="none"/>
        <c:tickLblPos val="nextTo"/>
        <c:crossAx val="307646768"/>
        <c:crosses val="autoZero"/>
        <c:crossBetween val="between"/>
        <c:majorUnit val="1"/>
      </c:valAx>
      <c:spPr>
        <a:noFill/>
      </c:spPr>
    </c:plotArea>
    <c:plotVisOnly val="1"/>
    <c:dispBlanksAs val="gap"/>
    <c:showDLblsOverMax val="0"/>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6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Processing!$H$2</c:f>
              <c:strCache>
                <c:ptCount val="1"/>
                <c:pt idx="0">
                  <c:v>Cursor</c:v>
                </c:pt>
              </c:strCache>
            </c:strRef>
          </c:tx>
          <c:spPr>
            <a:solidFill>
              <a:srgbClr val="A2ADBE">
                <a:alpha val="21000"/>
              </a:srgbClr>
            </a:solidFill>
            <a:ln>
              <a:noFill/>
            </a:ln>
            <a:effectLst/>
          </c:spPr>
          <c:invertIfNegative val="0"/>
          <c:cat>
            <c:strRef>
              <c:f>Processing!$B$3:$B$14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Processing!$H$3:$H$14</c:f>
              <c:numCache>
                <c:formatCode>0%</c:formatCode>
                <c:ptCount val="12"/>
                <c:pt idx="0">
                  <c:v>#N/A</c:v>
                </c:pt>
                <c:pt idx="1">
                  <c:v>#N/A</c:v>
                </c:pt>
                <c:pt idx="2">
                  <c:v>#N/A</c:v>
                </c:pt>
                <c:pt idx="3">
                  <c:v>1</c:v>
                </c:pt>
                <c:pt idx="4">
                  <c:v>1</c:v>
                </c:pt>
                <c:pt idx="5">
                  <c:v>1</c:v>
                </c:pt>
                <c:pt idx="6">
                  <c:v>#N/A</c:v>
                </c:pt>
                <c:pt idx="7">
                  <c:v>#N/A</c:v>
                </c:pt>
                <c:pt idx="8">
                  <c:v>#N/A</c:v>
                </c:pt>
                <c:pt idx="9">
                  <c:v>#N/A</c:v>
                </c:pt>
                <c:pt idx="10">
                  <c:v>#N/A</c:v>
                </c:pt>
                <c:pt idx="11">
                  <c:v>#N/A</c:v>
                </c:pt>
              </c:numCache>
            </c:numRef>
          </c:val>
          <c:extLst>
            <c:ext xmlns:c16="http://schemas.microsoft.com/office/drawing/2014/chart" uri="{C3380CC4-5D6E-409C-BE32-E72D297353CC}">
              <c16:uniqueId val="{00000000-364D-402E-92E9-089B4FBAF5DB}"/>
            </c:ext>
          </c:extLst>
        </c:ser>
        <c:dLbls>
          <c:showLegendKey val="0"/>
          <c:showVal val="0"/>
          <c:showCatName val="0"/>
          <c:showSerName val="0"/>
          <c:showPercent val="0"/>
          <c:showBubbleSize val="0"/>
        </c:dLbls>
        <c:gapWidth val="50"/>
        <c:overlap val="-27"/>
        <c:axId val="2029676367"/>
        <c:axId val="2029690287"/>
      </c:barChart>
      <c:catAx>
        <c:axId val="2029676367"/>
        <c:scaling>
          <c:orientation val="minMax"/>
        </c:scaling>
        <c:delete val="0"/>
        <c:axPos val="b"/>
        <c:numFmt formatCode="General" sourceLinked="1"/>
        <c:majorTickMark val="none"/>
        <c:minorTickMark val="none"/>
        <c:tickLblPos val="high"/>
        <c:spPr>
          <a:ln>
            <a:noFill/>
          </a:ln>
        </c:spPr>
        <c:txPr>
          <a:bodyPr/>
          <a:lstStyle/>
          <a:p>
            <a:pPr>
              <a:defRPr>
                <a:solidFill>
                  <a:schemeClr val="tx2">
                    <a:lumMod val="25000"/>
                    <a:lumOff val="75000"/>
                  </a:schemeClr>
                </a:solidFill>
              </a:defRPr>
            </a:pPr>
            <a:endParaRPr lang="ru-RU"/>
          </a:p>
        </c:txPr>
        <c:crossAx val="2029690287"/>
        <c:crosses val="autoZero"/>
        <c:auto val="1"/>
        <c:lblAlgn val="ctr"/>
        <c:lblOffset val="100"/>
        <c:noMultiLvlLbl val="0"/>
      </c:catAx>
      <c:valAx>
        <c:axId val="2029690287"/>
        <c:scaling>
          <c:orientation val="minMax"/>
          <c:max val="1"/>
          <c:min val="0"/>
        </c:scaling>
        <c:delete val="1"/>
        <c:axPos val="l"/>
        <c:numFmt formatCode="0%" sourceLinked="1"/>
        <c:majorTickMark val="none"/>
        <c:minorTickMark val="none"/>
        <c:tickLblPos val="nextTo"/>
        <c:crossAx val="2029676367"/>
        <c:crosses val="autoZero"/>
        <c:crossBetween val="between"/>
      </c:valAx>
      <c:spPr>
        <a:noFill/>
      </c:spPr>
    </c:plotArea>
    <c:plotVisOnly val="1"/>
    <c:dispBlanksAs val="gap"/>
    <c:showDLblsOverMax val="0"/>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6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0617869641294839"/>
          <c:y val="6.7401960784313722E-2"/>
          <c:w val="0.87159908136482955"/>
          <c:h val="0.86519607843137258"/>
        </c:manualLayout>
      </c:layout>
      <c:barChart>
        <c:barDir val="bar"/>
        <c:grouping val="stacked"/>
        <c:varyColors val="0"/>
        <c:ser>
          <c:idx val="0"/>
          <c:order val="0"/>
          <c:tx>
            <c:strRef>
              <c:f>Processing!$L$2</c:f>
              <c:strCache>
                <c:ptCount val="1"/>
                <c:pt idx="0">
                  <c:v>Start</c:v>
                </c:pt>
              </c:strCache>
            </c:strRef>
          </c:tx>
          <c:spPr>
            <a:gradFill flip="none" rotWithShape="1">
              <a:gsLst>
                <a:gs pos="0">
                  <a:srgbClr val="0A0E14"/>
                </a:gs>
                <a:gs pos="23000">
                  <a:srgbClr val="0D2048"/>
                </a:gs>
                <a:gs pos="100000">
                  <a:srgbClr val="0A0E14"/>
                </a:gs>
              </a:gsLst>
              <a:lin ang="5400000" scaled="0"/>
              <a:tileRect/>
            </a:gradFill>
            <a:ln>
              <a:noFill/>
            </a:ln>
            <a:effectLst>
              <a:outerShdw blurRad="63500" sx="102000" sy="102000" algn="ctr" rotWithShape="0">
                <a:prstClr val="black">
                  <a:alpha val="40000"/>
                </a:prstClr>
              </a:outerShdw>
            </a:effectLst>
          </c:spPr>
          <c:invertIfNegative val="0"/>
          <c:cat>
            <c:numRef>
              <c:f>Processing!$K$3:$K$7</c:f>
              <c:numCache>
                <c:formatCode>"$"#\ ###\ ###;\-"$"#\ ###\ ###;</c:formatCode>
                <c:ptCount val="5"/>
                <c:pt idx="0">
                  <c:v>0</c:v>
                </c:pt>
                <c:pt idx="1">
                  <c:v>500</c:v>
                </c:pt>
                <c:pt idx="2">
                  <c:v>1400</c:v>
                </c:pt>
                <c:pt idx="3">
                  <c:v>1000</c:v>
                </c:pt>
                <c:pt idx="4">
                  <c:v>0</c:v>
                </c:pt>
              </c:numCache>
            </c:numRef>
          </c:cat>
          <c:val>
            <c:numRef>
              <c:f>Processing!$L$3:$L$7</c:f>
              <c:numCache>
                <c:formatCode>General</c:formatCode>
                <c:ptCount val="5"/>
                <c:pt idx="0">
                  <c:v>0.2</c:v>
                </c:pt>
                <c:pt idx="1">
                  <c:v>1</c:v>
                </c:pt>
                <c:pt idx="2">
                  <c:v>3</c:v>
                </c:pt>
                <c:pt idx="3">
                  <c:v>4</c:v>
                </c:pt>
                <c:pt idx="4">
                  <c:v>7</c:v>
                </c:pt>
              </c:numCache>
            </c:numRef>
          </c:val>
          <c:extLst>
            <c:ext xmlns:c16="http://schemas.microsoft.com/office/drawing/2014/chart" uri="{C3380CC4-5D6E-409C-BE32-E72D297353CC}">
              <c16:uniqueId val="{00000000-CF49-4131-9C07-5AF3385B575A}"/>
            </c:ext>
          </c:extLst>
        </c:ser>
        <c:ser>
          <c:idx val="1"/>
          <c:order val="1"/>
          <c:tx>
            <c:strRef>
              <c:f>Processing!$M$2</c:f>
              <c:strCache>
                <c:ptCount val="1"/>
                <c:pt idx="0">
                  <c:v>Process</c:v>
                </c:pt>
              </c:strCache>
            </c:strRef>
          </c:tx>
          <c:spPr>
            <a:solidFill>
              <a:srgbClr val="2B5BCB"/>
            </a:solidFill>
            <a:ln w="101600">
              <a:solidFill>
                <a:srgbClr val="2B5BCB"/>
              </a:solidFill>
            </a:ln>
            <a:effectLst/>
          </c:spPr>
          <c:invertIfNegative val="0"/>
          <c:dPt>
            <c:idx val="0"/>
            <c:invertIfNegative val="0"/>
            <c:bubble3D val="0"/>
            <c:spPr>
              <a:solidFill>
                <a:srgbClr val="1D8986"/>
              </a:solidFill>
              <a:ln w="101600">
                <a:gradFill>
                  <a:gsLst>
                    <a:gs pos="0">
                      <a:srgbClr val="28BEBA"/>
                    </a:gs>
                    <a:gs pos="31000">
                      <a:srgbClr val="1D8986"/>
                    </a:gs>
                  </a:gsLst>
                  <a:lin ang="5400000" scaled="1"/>
                </a:gradFill>
              </a:ln>
              <a:effectLst/>
            </c:spPr>
            <c:extLst>
              <c:ext xmlns:c16="http://schemas.microsoft.com/office/drawing/2014/chart" uri="{C3380CC4-5D6E-409C-BE32-E72D297353CC}">
                <c16:uniqueId val="{00000002-CF49-4131-9C07-5AF3385B575A}"/>
              </c:ext>
            </c:extLst>
          </c:dPt>
          <c:dPt>
            <c:idx val="1"/>
            <c:invertIfNegative val="0"/>
            <c:bubble3D val="0"/>
            <c:spPr>
              <a:solidFill>
                <a:srgbClr val="2B5BCB"/>
              </a:solidFill>
              <a:ln w="101600">
                <a:gradFill>
                  <a:gsLst>
                    <a:gs pos="0">
                      <a:srgbClr val="5A82DC"/>
                    </a:gs>
                    <a:gs pos="31000">
                      <a:srgbClr val="2B5BCB"/>
                    </a:gs>
                  </a:gsLst>
                  <a:lin ang="5400000" scaled="1"/>
                </a:gradFill>
              </a:ln>
              <a:effectLst/>
            </c:spPr>
            <c:extLst>
              <c:ext xmlns:c16="http://schemas.microsoft.com/office/drawing/2014/chart" uri="{C3380CC4-5D6E-409C-BE32-E72D297353CC}">
                <c16:uniqueId val="{00000004-CF49-4131-9C07-5AF3385B575A}"/>
              </c:ext>
            </c:extLst>
          </c:dPt>
          <c:dPt>
            <c:idx val="2"/>
            <c:invertIfNegative val="0"/>
            <c:bubble3D val="0"/>
            <c:spPr>
              <a:solidFill>
                <a:srgbClr val="FF5C6D"/>
              </a:solidFill>
              <a:ln w="101600">
                <a:gradFill>
                  <a:gsLst>
                    <a:gs pos="0">
                      <a:srgbClr val="FFA3AC"/>
                    </a:gs>
                    <a:gs pos="31000">
                      <a:srgbClr val="FF5C6D"/>
                    </a:gs>
                  </a:gsLst>
                  <a:lin ang="5400000" scaled="1"/>
                </a:gradFill>
              </a:ln>
              <a:effectLst/>
            </c:spPr>
            <c:extLst>
              <c:ext xmlns:c16="http://schemas.microsoft.com/office/drawing/2014/chart" uri="{C3380CC4-5D6E-409C-BE32-E72D297353CC}">
                <c16:uniqueId val="{00000006-CF49-4131-9C07-5AF3385B575A}"/>
              </c:ext>
            </c:extLst>
          </c:dPt>
          <c:dPt>
            <c:idx val="3"/>
            <c:invertIfNegative val="0"/>
            <c:bubble3D val="0"/>
            <c:spPr>
              <a:solidFill>
                <a:srgbClr val="007D9B"/>
              </a:solidFill>
              <a:ln w="101600">
                <a:gradFill>
                  <a:gsLst>
                    <a:gs pos="0">
                      <a:srgbClr val="00ADD6"/>
                    </a:gs>
                    <a:gs pos="31000">
                      <a:srgbClr val="007D9B"/>
                    </a:gs>
                  </a:gsLst>
                  <a:lin ang="5400000" scaled="1"/>
                </a:gradFill>
              </a:ln>
              <a:effectLst/>
            </c:spPr>
            <c:extLst>
              <c:ext xmlns:c16="http://schemas.microsoft.com/office/drawing/2014/chart" uri="{C3380CC4-5D6E-409C-BE32-E72D297353CC}">
                <c16:uniqueId val="{00000008-CF49-4131-9C07-5AF3385B575A}"/>
              </c:ext>
            </c:extLst>
          </c:dPt>
          <c:dPt>
            <c:idx val="4"/>
            <c:invertIfNegative val="0"/>
            <c:bubble3D val="0"/>
            <c:spPr>
              <a:solidFill>
                <a:srgbClr val="4E5E9D"/>
              </a:solidFill>
              <a:ln w="101600">
                <a:gradFill>
                  <a:gsLst>
                    <a:gs pos="0">
                      <a:srgbClr val="6978B4"/>
                    </a:gs>
                    <a:gs pos="31000">
                      <a:srgbClr val="4E5E9D"/>
                    </a:gs>
                  </a:gsLst>
                  <a:lin ang="5400000" scaled="1"/>
                </a:gradFill>
              </a:ln>
              <a:effectLst/>
            </c:spPr>
            <c:extLst>
              <c:ext xmlns:c16="http://schemas.microsoft.com/office/drawing/2014/chart" uri="{C3380CC4-5D6E-409C-BE32-E72D297353CC}">
                <c16:uniqueId val="{0000000A-CF49-4131-9C07-5AF3385B575A}"/>
              </c:ext>
            </c:extLst>
          </c:dPt>
          <c:cat>
            <c:numRef>
              <c:f>Processing!$K$3:$K$7</c:f>
              <c:numCache>
                <c:formatCode>"$"#\ ###\ ###;\-"$"#\ ###\ ###;</c:formatCode>
                <c:ptCount val="5"/>
                <c:pt idx="0">
                  <c:v>0</c:v>
                </c:pt>
                <c:pt idx="1">
                  <c:v>500</c:v>
                </c:pt>
                <c:pt idx="2">
                  <c:v>1400</c:v>
                </c:pt>
                <c:pt idx="3">
                  <c:v>1000</c:v>
                </c:pt>
                <c:pt idx="4">
                  <c:v>0</c:v>
                </c:pt>
              </c:numCache>
            </c:numRef>
          </c:cat>
          <c:val>
            <c:numRef>
              <c:f>Processing!$M$3:$M$7</c:f>
              <c:numCache>
                <c:formatCode>General</c:formatCode>
                <c:ptCount val="5"/>
                <c:pt idx="0">
                  <c:v>1.8</c:v>
                </c:pt>
                <c:pt idx="1">
                  <c:v>3</c:v>
                </c:pt>
                <c:pt idx="2">
                  <c:v>2</c:v>
                </c:pt>
                <c:pt idx="3">
                  <c:v>4</c:v>
                </c:pt>
                <c:pt idx="4">
                  <c:v>4.8</c:v>
                </c:pt>
              </c:numCache>
            </c:numRef>
          </c:val>
          <c:extLst>
            <c:ext xmlns:c16="http://schemas.microsoft.com/office/drawing/2014/chart" uri="{C3380CC4-5D6E-409C-BE32-E72D297353CC}">
              <c16:uniqueId val="{0000000B-CF49-4131-9C07-5AF3385B575A}"/>
            </c:ext>
          </c:extLst>
        </c:ser>
        <c:ser>
          <c:idx val="2"/>
          <c:order val="2"/>
          <c:tx>
            <c:strRef>
              <c:f>Processing!$N$2</c:f>
              <c:strCache>
                <c:ptCount val="1"/>
                <c:pt idx="0">
                  <c:v>End</c:v>
                </c:pt>
              </c:strCache>
            </c:strRef>
          </c:tx>
          <c:spPr>
            <a:gradFill>
              <a:gsLst>
                <a:gs pos="0">
                  <a:srgbClr val="0A0E14"/>
                </a:gs>
                <a:gs pos="23000">
                  <a:srgbClr val="0D2048"/>
                </a:gs>
                <a:gs pos="100000">
                  <a:srgbClr val="0A0E14"/>
                </a:gs>
              </a:gsLst>
              <a:lin ang="5400000" scaled="0"/>
            </a:gradFill>
            <a:ln>
              <a:noFill/>
            </a:ln>
            <a:effectLst/>
          </c:spPr>
          <c:invertIfNegative val="0"/>
          <c:cat>
            <c:numRef>
              <c:f>Processing!$K$3:$K$7</c:f>
              <c:numCache>
                <c:formatCode>"$"#\ ###\ ###;\-"$"#\ ###\ ###;</c:formatCode>
                <c:ptCount val="5"/>
                <c:pt idx="0">
                  <c:v>0</c:v>
                </c:pt>
                <c:pt idx="1">
                  <c:v>500</c:v>
                </c:pt>
                <c:pt idx="2">
                  <c:v>1400</c:v>
                </c:pt>
                <c:pt idx="3">
                  <c:v>1000</c:v>
                </c:pt>
                <c:pt idx="4">
                  <c:v>0</c:v>
                </c:pt>
              </c:numCache>
            </c:numRef>
          </c:cat>
          <c:val>
            <c:numRef>
              <c:f>Processing!$N$3:$N$7</c:f>
              <c:numCache>
                <c:formatCode>General</c:formatCode>
                <c:ptCount val="5"/>
                <c:pt idx="0">
                  <c:v>10</c:v>
                </c:pt>
                <c:pt idx="1">
                  <c:v>8</c:v>
                </c:pt>
                <c:pt idx="2">
                  <c:v>7</c:v>
                </c:pt>
                <c:pt idx="3">
                  <c:v>4</c:v>
                </c:pt>
                <c:pt idx="4">
                  <c:v>0.19999999999999929</c:v>
                </c:pt>
              </c:numCache>
            </c:numRef>
          </c:val>
          <c:extLst>
            <c:ext xmlns:c16="http://schemas.microsoft.com/office/drawing/2014/chart" uri="{C3380CC4-5D6E-409C-BE32-E72D297353CC}">
              <c16:uniqueId val="{0000000C-CF49-4131-9C07-5AF3385B575A}"/>
            </c:ext>
          </c:extLst>
        </c:ser>
        <c:dLbls>
          <c:showLegendKey val="0"/>
          <c:showVal val="0"/>
          <c:showCatName val="0"/>
          <c:showSerName val="0"/>
          <c:showPercent val="0"/>
          <c:showBubbleSize val="0"/>
        </c:dLbls>
        <c:gapWidth val="200"/>
        <c:overlap val="100"/>
        <c:axId val="307646768"/>
        <c:axId val="307649168"/>
      </c:barChart>
      <c:catAx>
        <c:axId val="307646768"/>
        <c:scaling>
          <c:orientation val="maxMin"/>
        </c:scaling>
        <c:delete val="0"/>
        <c:axPos val="l"/>
        <c:numFmt formatCode="&quot;$&quot;#\ ###\ ###;\-&quot;$&quot;#\ ###\ ###;"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ru-RU"/>
          </a:p>
        </c:txPr>
        <c:crossAx val="307649168"/>
        <c:crosses val="autoZero"/>
        <c:auto val="1"/>
        <c:lblAlgn val="ctr"/>
        <c:lblOffset val="100"/>
        <c:noMultiLvlLbl val="0"/>
      </c:catAx>
      <c:valAx>
        <c:axId val="307649168"/>
        <c:scaling>
          <c:orientation val="minMax"/>
          <c:max val="12"/>
          <c:min val="0"/>
        </c:scaling>
        <c:delete val="1"/>
        <c:axPos val="t"/>
        <c:majorGridlines>
          <c:spPr>
            <a:ln w="9525" cap="flat" cmpd="sng" algn="ctr">
              <a:solidFill>
                <a:srgbClr val="193B8A">
                  <a:alpha val="50588"/>
                </a:srgbClr>
              </a:solidFill>
              <a:round/>
            </a:ln>
            <a:effectLst/>
          </c:spPr>
        </c:majorGridlines>
        <c:numFmt formatCode="General" sourceLinked="0"/>
        <c:majorTickMark val="out"/>
        <c:minorTickMark val="none"/>
        <c:tickLblPos val="nextTo"/>
        <c:crossAx val="307646768"/>
        <c:crosses val="autoZero"/>
        <c:crossBetween val="between"/>
        <c:majorUnit val="1"/>
      </c:valAx>
      <c:spPr>
        <a:noFill/>
      </c:spPr>
    </c:plotArea>
    <c:plotVisOnly val="1"/>
    <c:dispBlanksAs val="gap"/>
    <c:showDLblsOverMax val="0"/>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6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tx>
            <c:strRef>
              <c:f>Processing!$S$1</c:f>
              <c:strCache>
                <c:ptCount val="1"/>
                <c:pt idx="0">
                  <c:v>Budget</c:v>
                </c:pt>
              </c:strCache>
            </c:strRef>
          </c:tx>
          <c:spPr>
            <a:gradFill>
              <a:gsLst>
                <a:gs pos="50384">
                  <a:srgbClr val="BCC6FF"/>
                </a:gs>
                <a:gs pos="0">
                  <a:srgbClr val="6494DA"/>
                </a:gs>
                <a:gs pos="94000">
                  <a:srgbClr val="2F6EC7"/>
                </a:gs>
              </a:gsLst>
              <a:lin ang="5400000" scaled="1"/>
            </a:gradFill>
            <a:ln>
              <a:noFill/>
            </a:ln>
            <a:effectLst>
              <a:outerShdw blurRad="50800" dist="38100" dir="8100000" algn="tr" rotWithShape="0">
                <a:prstClr val="black">
                  <a:alpha val="40000"/>
                </a:prstClr>
              </a:outerShdw>
            </a:effectLst>
          </c:spPr>
          <c:dPt>
            <c:idx val="0"/>
            <c:bubble3D val="0"/>
            <c:spPr>
              <a:gradFill>
                <a:gsLst>
                  <a:gs pos="0">
                    <a:srgbClr val="09C3F2"/>
                  </a:gs>
                  <a:gs pos="100000">
                    <a:srgbClr val="06D3D9"/>
                  </a:gs>
                </a:gsLst>
                <a:lin ang="5400000" scaled="1"/>
              </a:gradFill>
              <a:ln w="19050">
                <a:noFill/>
              </a:ln>
              <a:effectLst>
                <a:outerShdw blurRad="50800" dist="38100" dir="8100000" algn="tr" rotWithShape="0">
                  <a:prstClr val="black">
                    <a:alpha val="40000"/>
                  </a:prstClr>
                </a:outerShdw>
              </a:effectLst>
            </c:spPr>
            <c:extLst>
              <c:ext xmlns:c16="http://schemas.microsoft.com/office/drawing/2014/chart" uri="{C3380CC4-5D6E-409C-BE32-E72D297353CC}">
                <c16:uniqueId val="{00000001-7CB1-4FF2-83EE-CC690809A4D5}"/>
              </c:ext>
            </c:extLst>
          </c:dPt>
          <c:dPt>
            <c:idx val="1"/>
            <c:bubble3D val="0"/>
            <c:spPr>
              <a:gradFill>
                <a:gsLst>
                  <a:gs pos="0">
                    <a:srgbClr val="2C71E7"/>
                  </a:gs>
                  <a:gs pos="100000">
                    <a:srgbClr val="2373DF"/>
                  </a:gs>
                </a:gsLst>
                <a:lin ang="5400000" scaled="1"/>
              </a:gradFill>
              <a:ln w="19050">
                <a:noFill/>
              </a:ln>
              <a:effectLst>
                <a:outerShdw blurRad="50800" dist="38100" dir="8100000" algn="tr" rotWithShape="0">
                  <a:prstClr val="black">
                    <a:alpha val="40000"/>
                  </a:prstClr>
                </a:outerShdw>
              </a:effectLst>
            </c:spPr>
            <c:extLst>
              <c:ext xmlns:c16="http://schemas.microsoft.com/office/drawing/2014/chart" uri="{C3380CC4-5D6E-409C-BE32-E72D297353CC}">
                <c16:uniqueId val="{00000003-7CB1-4FF2-83EE-CC690809A4D5}"/>
              </c:ext>
            </c:extLst>
          </c:dPt>
          <c:val>
            <c:numRef>
              <c:f>Processing!$S$3:$T$3</c:f>
              <c:numCache>
                <c:formatCode>0%</c:formatCode>
                <c:ptCount val="2"/>
                <c:pt idx="0">
                  <c:v>0.64091999999999993</c:v>
                </c:pt>
                <c:pt idx="1">
                  <c:v>0.35908000000000001</c:v>
                </c:pt>
              </c:numCache>
            </c:numRef>
          </c:val>
          <c:extLst>
            <c:ext xmlns:c16="http://schemas.microsoft.com/office/drawing/2014/chart" uri="{C3380CC4-5D6E-409C-BE32-E72D297353CC}">
              <c16:uniqueId val="{00000004-7CB1-4FF2-83EE-CC690809A4D5}"/>
            </c:ext>
          </c:extLst>
        </c:ser>
        <c:dLbls>
          <c:showLegendKey val="0"/>
          <c:showVal val="0"/>
          <c:showCatName val="0"/>
          <c:showSerName val="0"/>
          <c:showPercent val="0"/>
          <c:showBubbleSize val="0"/>
          <c:showLeaderLines val="1"/>
        </c:dLbls>
        <c:firstSliceAng val="0"/>
        <c:holeSize val="75"/>
      </c:doughnutChart>
      <c:scatterChart>
        <c:scatterStyle val="lineMarker"/>
        <c:varyColors val="0"/>
        <c:ser>
          <c:idx val="1"/>
          <c:order val="1"/>
          <c:tx>
            <c:strRef>
              <c:f>Processing!$S$4</c:f>
              <c:strCache>
                <c:ptCount val="1"/>
                <c:pt idx="0">
                  <c:v>Cursors</c:v>
                </c:pt>
              </c:strCache>
            </c:strRef>
          </c:tx>
          <c:spPr>
            <a:ln w="25400" cap="rnd">
              <a:noFill/>
              <a:round/>
            </a:ln>
            <a:effectLst/>
          </c:spPr>
          <c:marker>
            <c:symbol val="circle"/>
            <c:size val="14"/>
            <c:spPr>
              <a:solidFill>
                <a:srgbClr val="09C3F2"/>
              </a:solidFill>
              <a:ln w="9525">
                <a:noFill/>
              </a:ln>
              <a:effectLst/>
            </c:spPr>
          </c:marker>
          <c:dPt>
            <c:idx val="1"/>
            <c:marker>
              <c:symbol val="circle"/>
              <c:size val="14"/>
              <c:spPr>
                <a:solidFill>
                  <a:srgbClr val="06D3D9"/>
                </a:solidFill>
                <a:ln w="9525">
                  <a:noFill/>
                </a:ln>
                <a:effectLst/>
              </c:spPr>
            </c:marker>
            <c:bubble3D val="0"/>
            <c:extLst>
              <c:ext xmlns:c16="http://schemas.microsoft.com/office/drawing/2014/chart" uri="{C3380CC4-5D6E-409C-BE32-E72D297353CC}">
                <c16:uniqueId val="{00000005-7CB1-4FF2-83EE-CC690809A4D5}"/>
              </c:ext>
            </c:extLst>
          </c:dPt>
          <c:xVal>
            <c:numRef>
              <c:f>Processing!$S$6:$S$7</c:f>
              <c:numCache>
                <c:formatCode>General</c:formatCode>
                <c:ptCount val="2"/>
                <c:pt idx="0">
                  <c:v>0</c:v>
                </c:pt>
                <c:pt idx="1">
                  <c:v>-0.77418499792466078</c:v>
                </c:pt>
              </c:numCache>
            </c:numRef>
          </c:xVal>
          <c:yVal>
            <c:numRef>
              <c:f>Processing!$T$6:$T$7</c:f>
              <c:numCache>
                <c:formatCode>General</c:formatCode>
                <c:ptCount val="2"/>
                <c:pt idx="0">
                  <c:v>1</c:v>
                </c:pt>
                <c:pt idx="1">
                  <c:v>-0.63295938968340804</c:v>
                </c:pt>
              </c:numCache>
            </c:numRef>
          </c:yVal>
          <c:smooth val="0"/>
          <c:extLst>
            <c:ext xmlns:c16="http://schemas.microsoft.com/office/drawing/2014/chart" uri="{C3380CC4-5D6E-409C-BE32-E72D297353CC}">
              <c16:uniqueId val="{00000006-7CB1-4FF2-83EE-CC690809A4D5}"/>
            </c:ext>
          </c:extLst>
        </c:ser>
        <c:dLbls>
          <c:showLegendKey val="0"/>
          <c:showVal val="0"/>
          <c:showCatName val="0"/>
          <c:showSerName val="0"/>
          <c:showPercent val="0"/>
          <c:showBubbleSize val="0"/>
        </c:dLbls>
        <c:axId val="1214836208"/>
        <c:axId val="1214847248"/>
      </c:scatterChart>
      <c:valAx>
        <c:axId val="1214847248"/>
        <c:scaling>
          <c:orientation val="minMax"/>
          <c:max val="1.1500000000000001"/>
          <c:min val="-1.1400000000000001"/>
        </c:scaling>
        <c:delete val="1"/>
        <c:axPos val="l"/>
        <c:numFmt formatCode="General" sourceLinked="1"/>
        <c:majorTickMark val="out"/>
        <c:minorTickMark val="none"/>
        <c:tickLblPos val="nextTo"/>
        <c:crossAx val="1214836208"/>
        <c:crosses val="autoZero"/>
        <c:crossBetween val="midCat"/>
      </c:valAx>
      <c:valAx>
        <c:axId val="1214836208"/>
        <c:scaling>
          <c:orientation val="minMax"/>
          <c:max val="1.1400000000000001"/>
          <c:min val="-1.1500000000000001"/>
        </c:scaling>
        <c:delete val="1"/>
        <c:axPos val="t"/>
        <c:numFmt formatCode="General" sourceLinked="1"/>
        <c:majorTickMark val="out"/>
        <c:minorTickMark val="none"/>
        <c:tickLblPos val="nextTo"/>
        <c:crossAx val="1214847248"/>
        <c:crosses val="max"/>
        <c:crossBetween val="midCat"/>
      </c:valAx>
      <c:spPr>
        <a:noFill/>
        <a:ln w="25400">
          <a:noFill/>
        </a:ln>
        <a:effectLst/>
      </c:spPr>
    </c:plotArea>
    <c:plotVisOnly val="1"/>
    <c:dispBlanksAs val="gap"/>
    <c:showDLblsOverMax val="0"/>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6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3.3763044812768567E-2"/>
          <c:y val="6.0185185185185182E-2"/>
          <c:w val="0.93247391037446281"/>
          <c:h val="0.88888888888888884"/>
        </c:manualLayout>
      </c:layout>
      <c:barChart>
        <c:barDir val="col"/>
        <c:grouping val="stacked"/>
        <c:varyColors val="0"/>
        <c:ser>
          <c:idx val="0"/>
          <c:order val="0"/>
          <c:spPr>
            <a:noFill/>
            <a:ln>
              <a:noFill/>
            </a:ln>
            <a:effectLst/>
          </c:spPr>
          <c:invertIfNegative val="0"/>
          <c:cat>
            <c:strRef>
              <c:f>Processing!$K$24:$Q$24</c:f>
              <c:strCache>
                <c:ptCount val="7"/>
                <c:pt idx="0">
                  <c:v>SU</c:v>
                </c:pt>
                <c:pt idx="1">
                  <c:v>MO</c:v>
                </c:pt>
                <c:pt idx="2">
                  <c:v>TU</c:v>
                </c:pt>
                <c:pt idx="3">
                  <c:v>WE</c:v>
                </c:pt>
                <c:pt idx="4">
                  <c:v>TH</c:v>
                </c:pt>
                <c:pt idx="5">
                  <c:v>FR</c:v>
                </c:pt>
                <c:pt idx="6">
                  <c:v>SA</c:v>
                </c:pt>
              </c:strCache>
            </c:strRef>
          </c:cat>
          <c:val>
            <c:numRef>
              <c:f>Processing!$K$25:$Q$25</c:f>
              <c:numCache>
                <c:formatCode>General</c:formatCode>
                <c:ptCount val="7"/>
                <c:pt idx="0">
                  <c:v>1</c:v>
                </c:pt>
                <c:pt idx="1">
                  <c:v>1</c:v>
                </c:pt>
                <c:pt idx="2">
                  <c:v>1</c:v>
                </c:pt>
                <c:pt idx="3">
                  <c:v>1</c:v>
                </c:pt>
                <c:pt idx="4">
                  <c:v>0</c:v>
                </c:pt>
                <c:pt idx="5">
                  <c:v>0</c:v>
                </c:pt>
                <c:pt idx="6">
                  <c:v>0</c:v>
                </c:pt>
              </c:numCache>
            </c:numRef>
          </c:val>
          <c:extLst>
            <c:ext xmlns:c16="http://schemas.microsoft.com/office/drawing/2014/chart" uri="{C3380CC4-5D6E-409C-BE32-E72D297353CC}">
              <c16:uniqueId val="{00000000-73E7-40F6-9CED-D461BD83E4D5}"/>
            </c:ext>
          </c:extLst>
        </c:ser>
        <c:ser>
          <c:idx val="1"/>
          <c:order val="1"/>
          <c:spPr>
            <a:blipFill>
              <a:blip xmlns:r="http://schemas.openxmlformats.org/officeDocument/2006/relationships" r:embed="rId1"/>
              <a:stretch>
                <a:fillRect/>
              </a:stretch>
            </a:blipFill>
            <a:ln>
              <a:noFill/>
            </a:ln>
            <a:effectLst/>
          </c:spPr>
          <c:invertIfNegative val="0"/>
          <c:cat>
            <c:strRef>
              <c:f>Processing!$K$24:$Q$24</c:f>
              <c:strCache>
                <c:ptCount val="7"/>
                <c:pt idx="0">
                  <c:v>SU</c:v>
                </c:pt>
                <c:pt idx="1">
                  <c:v>MO</c:v>
                </c:pt>
                <c:pt idx="2">
                  <c:v>TU</c:v>
                </c:pt>
                <c:pt idx="3">
                  <c:v>WE</c:v>
                </c:pt>
                <c:pt idx="4">
                  <c:v>TH</c:v>
                </c:pt>
                <c:pt idx="5">
                  <c:v>FR</c:v>
                </c:pt>
                <c:pt idx="6">
                  <c:v>SA</c:v>
                </c:pt>
              </c:strCache>
            </c:strRef>
          </c:cat>
          <c:val>
            <c:numRef>
              <c:f>Processing!$K$26:$Q$26</c:f>
              <c:numCache>
                <c:formatCode>General</c:formatCode>
                <c:ptCount val="7"/>
                <c:pt idx="0">
                  <c:v>0</c:v>
                </c:pt>
                <c:pt idx="1">
                  <c:v>0</c:v>
                </c:pt>
                <c:pt idx="2">
                  <c:v>0</c:v>
                </c:pt>
                <c:pt idx="3">
                  <c:v>0</c:v>
                </c:pt>
                <c:pt idx="4">
                  <c:v>0</c:v>
                </c:pt>
                <c:pt idx="5">
                  <c:v>1</c:v>
                </c:pt>
                <c:pt idx="6">
                  <c:v>0</c:v>
                </c:pt>
              </c:numCache>
            </c:numRef>
          </c:val>
          <c:extLst>
            <c:ext xmlns:c16="http://schemas.microsoft.com/office/drawing/2014/chart" uri="{C3380CC4-5D6E-409C-BE32-E72D297353CC}">
              <c16:uniqueId val="{00000001-73E7-40F6-9CED-D461BD83E4D5}"/>
            </c:ext>
          </c:extLst>
        </c:ser>
        <c:ser>
          <c:idx val="2"/>
          <c:order val="2"/>
          <c:spPr>
            <a:blipFill>
              <a:blip xmlns:r="http://schemas.openxmlformats.org/officeDocument/2006/relationships" r:embed="rId2"/>
              <a:stretch>
                <a:fillRect/>
              </a:stretch>
            </a:blipFill>
            <a:ln>
              <a:noFill/>
            </a:ln>
            <a:effectLst/>
          </c:spPr>
          <c:invertIfNegative val="0"/>
          <c:cat>
            <c:strRef>
              <c:f>Processing!$K$24:$Q$24</c:f>
              <c:strCache>
                <c:ptCount val="7"/>
                <c:pt idx="0">
                  <c:v>SU</c:v>
                </c:pt>
                <c:pt idx="1">
                  <c:v>MO</c:v>
                </c:pt>
                <c:pt idx="2">
                  <c:v>TU</c:v>
                </c:pt>
                <c:pt idx="3">
                  <c:v>WE</c:v>
                </c:pt>
                <c:pt idx="4">
                  <c:v>TH</c:v>
                </c:pt>
                <c:pt idx="5">
                  <c:v>FR</c:v>
                </c:pt>
                <c:pt idx="6">
                  <c:v>SA</c:v>
                </c:pt>
              </c:strCache>
            </c:strRef>
          </c:cat>
          <c:val>
            <c:numRef>
              <c:f>Processing!$K$27:$Q$27</c:f>
              <c:numCache>
                <c:formatCode>General</c:formatCode>
                <c:ptCount val="7"/>
                <c:pt idx="0">
                  <c:v>0</c:v>
                </c:pt>
                <c:pt idx="1">
                  <c:v>0</c:v>
                </c:pt>
                <c:pt idx="2">
                  <c:v>0</c:v>
                </c:pt>
                <c:pt idx="3">
                  <c:v>0</c:v>
                </c:pt>
                <c:pt idx="4">
                  <c:v>1</c:v>
                </c:pt>
                <c:pt idx="5">
                  <c:v>0</c:v>
                </c:pt>
                <c:pt idx="6">
                  <c:v>1</c:v>
                </c:pt>
              </c:numCache>
            </c:numRef>
          </c:val>
          <c:extLst>
            <c:ext xmlns:c16="http://schemas.microsoft.com/office/drawing/2014/chart" uri="{C3380CC4-5D6E-409C-BE32-E72D297353CC}">
              <c16:uniqueId val="{00000002-73E7-40F6-9CED-D461BD83E4D5}"/>
            </c:ext>
          </c:extLst>
        </c:ser>
        <c:ser>
          <c:idx val="3"/>
          <c:order val="3"/>
          <c:spPr>
            <a:blipFill>
              <a:blip xmlns:r="http://schemas.openxmlformats.org/officeDocument/2006/relationships" r:embed="rId3"/>
              <a:stretch>
                <a:fillRect/>
              </a:stretch>
            </a:blipFill>
            <a:ln>
              <a:noFill/>
            </a:ln>
            <a:effectLst/>
          </c:spPr>
          <c:invertIfNegative val="0"/>
          <c:cat>
            <c:strRef>
              <c:f>Processing!$K$24:$Q$24</c:f>
              <c:strCache>
                <c:ptCount val="7"/>
                <c:pt idx="0">
                  <c:v>SU</c:v>
                </c:pt>
                <c:pt idx="1">
                  <c:v>MO</c:v>
                </c:pt>
                <c:pt idx="2">
                  <c:v>TU</c:v>
                </c:pt>
                <c:pt idx="3">
                  <c:v>WE</c:v>
                </c:pt>
                <c:pt idx="4">
                  <c:v>TH</c:v>
                </c:pt>
                <c:pt idx="5">
                  <c:v>FR</c:v>
                </c:pt>
                <c:pt idx="6">
                  <c:v>SA</c:v>
                </c:pt>
              </c:strCache>
            </c:strRef>
          </c:cat>
          <c:val>
            <c:numRef>
              <c:f>Processing!$K$28:$Q$28</c:f>
              <c:numCache>
                <c:formatCode>General</c:formatCode>
                <c:ptCount val="7"/>
                <c:pt idx="0">
                  <c:v>0</c:v>
                </c:pt>
                <c:pt idx="1">
                  <c:v>0</c:v>
                </c:pt>
                <c:pt idx="2">
                  <c:v>0</c:v>
                </c:pt>
                <c:pt idx="3">
                  <c:v>0</c:v>
                </c:pt>
                <c:pt idx="4">
                  <c:v>0</c:v>
                </c:pt>
                <c:pt idx="5">
                  <c:v>0</c:v>
                </c:pt>
                <c:pt idx="6">
                  <c:v>0</c:v>
                </c:pt>
              </c:numCache>
            </c:numRef>
          </c:val>
          <c:extLst>
            <c:ext xmlns:c16="http://schemas.microsoft.com/office/drawing/2014/chart" uri="{C3380CC4-5D6E-409C-BE32-E72D297353CC}">
              <c16:uniqueId val="{00000003-73E7-40F6-9CED-D461BD83E4D5}"/>
            </c:ext>
          </c:extLst>
        </c:ser>
        <c:ser>
          <c:idx val="4"/>
          <c:order val="4"/>
          <c:spPr>
            <a:noFill/>
            <a:ln>
              <a:noFill/>
            </a:ln>
            <a:effectLst/>
          </c:spPr>
          <c:invertIfNegative val="0"/>
          <c:cat>
            <c:strRef>
              <c:f>Processing!$K$24:$Q$24</c:f>
              <c:strCache>
                <c:ptCount val="7"/>
                <c:pt idx="0">
                  <c:v>SU</c:v>
                </c:pt>
                <c:pt idx="1">
                  <c:v>MO</c:v>
                </c:pt>
                <c:pt idx="2">
                  <c:v>TU</c:v>
                </c:pt>
                <c:pt idx="3">
                  <c:v>WE</c:v>
                </c:pt>
                <c:pt idx="4">
                  <c:v>TH</c:v>
                </c:pt>
                <c:pt idx="5">
                  <c:v>FR</c:v>
                </c:pt>
                <c:pt idx="6">
                  <c:v>SA</c:v>
                </c:pt>
              </c:strCache>
            </c:strRef>
          </c:cat>
          <c:val>
            <c:numRef>
              <c:f>Processing!$K$29:$Q$29</c:f>
              <c:numCache>
                <c:formatCode>General</c:formatCode>
                <c:ptCount val="7"/>
                <c:pt idx="0">
                  <c:v>0</c:v>
                </c:pt>
                <c:pt idx="1">
                  <c:v>0</c:v>
                </c:pt>
                <c:pt idx="2">
                  <c:v>0</c:v>
                </c:pt>
                <c:pt idx="3">
                  <c:v>0</c:v>
                </c:pt>
                <c:pt idx="4">
                  <c:v>0</c:v>
                </c:pt>
                <c:pt idx="5">
                  <c:v>0</c:v>
                </c:pt>
                <c:pt idx="6">
                  <c:v>0</c:v>
                </c:pt>
              </c:numCache>
            </c:numRef>
          </c:val>
          <c:extLst>
            <c:ext xmlns:c16="http://schemas.microsoft.com/office/drawing/2014/chart" uri="{C3380CC4-5D6E-409C-BE32-E72D297353CC}">
              <c16:uniqueId val="{00000004-73E7-40F6-9CED-D461BD83E4D5}"/>
            </c:ext>
          </c:extLst>
        </c:ser>
        <c:ser>
          <c:idx val="5"/>
          <c:order val="5"/>
          <c:spPr>
            <a:blipFill>
              <a:blip xmlns:r="http://schemas.openxmlformats.org/officeDocument/2006/relationships" r:embed="rId1"/>
              <a:stretch>
                <a:fillRect/>
              </a:stretch>
            </a:blipFill>
            <a:ln>
              <a:noFill/>
            </a:ln>
            <a:effectLst/>
          </c:spPr>
          <c:invertIfNegative val="0"/>
          <c:cat>
            <c:strRef>
              <c:f>Processing!$K$24:$Q$24</c:f>
              <c:strCache>
                <c:ptCount val="7"/>
                <c:pt idx="0">
                  <c:v>SU</c:v>
                </c:pt>
                <c:pt idx="1">
                  <c:v>MO</c:v>
                </c:pt>
                <c:pt idx="2">
                  <c:v>TU</c:v>
                </c:pt>
                <c:pt idx="3">
                  <c:v>WE</c:v>
                </c:pt>
                <c:pt idx="4">
                  <c:v>TH</c:v>
                </c:pt>
                <c:pt idx="5">
                  <c:v>FR</c:v>
                </c:pt>
                <c:pt idx="6">
                  <c:v>SA</c:v>
                </c:pt>
              </c:strCache>
            </c:strRef>
          </c:cat>
          <c:val>
            <c:numRef>
              <c:f>Processing!$K$30:$Q$30</c:f>
              <c:numCache>
                <c:formatCode>General</c:formatCode>
                <c:ptCount val="7"/>
                <c:pt idx="0">
                  <c:v>1</c:v>
                </c:pt>
                <c:pt idx="1">
                  <c:v>1</c:v>
                </c:pt>
                <c:pt idx="2">
                  <c:v>1</c:v>
                </c:pt>
                <c:pt idx="3">
                  <c:v>1</c:v>
                </c:pt>
                <c:pt idx="4">
                  <c:v>1</c:v>
                </c:pt>
                <c:pt idx="5">
                  <c:v>1</c:v>
                </c:pt>
                <c:pt idx="6">
                  <c:v>0</c:v>
                </c:pt>
              </c:numCache>
            </c:numRef>
          </c:val>
          <c:extLst>
            <c:ext xmlns:c16="http://schemas.microsoft.com/office/drawing/2014/chart" uri="{C3380CC4-5D6E-409C-BE32-E72D297353CC}">
              <c16:uniqueId val="{00000005-73E7-40F6-9CED-D461BD83E4D5}"/>
            </c:ext>
          </c:extLst>
        </c:ser>
        <c:ser>
          <c:idx val="6"/>
          <c:order val="6"/>
          <c:spPr>
            <a:blipFill>
              <a:blip xmlns:r="http://schemas.openxmlformats.org/officeDocument/2006/relationships" r:embed="rId2"/>
              <a:stretch>
                <a:fillRect/>
              </a:stretch>
            </a:blipFill>
            <a:ln>
              <a:noFill/>
            </a:ln>
            <a:effectLst/>
          </c:spPr>
          <c:invertIfNegative val="0"/>
          <c:cat>
            <c:strRef>
              <c:f>Processing!$K$24:$Q$24</c:f>
              <c:strCache>
                <c:ptCount val="7"/>
                <c:pt idx="0">
                  <c:v>SU</c:v>
                </c:pt>
                <c:pt idx="1">
                  <c:v>MO</c:v>
                </c:pt>
                <c:pt idx="2">
                  <c:v>TU</c:v>
                </c:pt>
                <c:pt idx="3">
                  <c:v>WE</c:v>
                </c:pt>
                <c:pt idx="4">
                  <c:v>TH</c:v>
                </c:pt>
                <c:pt idx="5">
                  <c:v>FR</c:v>
                </c:pt>
                <c:pt idx="6">
                  <c:v>SA</c:v>
                </c:pt>
              </c:strCache>
            </c:strRef>
          </c:cat>
          <c:val>
            <c:numRef>
              <c:f>Processing!$K$31:$Q$31</c:f>
              <c:numCache>
                <c:formatCode>General</c:formatCode>
                <c:ptCount val="7"/>
                <c:pt idx="0">
                  <c:v>0</c:v>
                </c:pt>
                <c:pt idx="1">
                  <c:v>0</c:v>
                </c:pt>
                <c:pt idx="2">
                  <c:v>0</c:v>
                </c:pt>
                <c:pt idx="3">
                  <c:v>0</c:v>
                </c:pt>
                <c:pt idx="4">
                  <c:v>0</c:v>
                </c:pt>
                <c:pt idx="5">
                  <c:v>0</c:v>
                </c:pt>
                <c:pt idx="6">
                  <c:v>1</c:v>
                </c:pt>
              </c:numCache>
            </c:numRef>
          </c:val>
          <c:extLst>
            <c:ext xmlns:c16="http://schemas.microsoft.com/office/drawing/2014/chart" uri="{C3380CC4-5D6E-409C-BE32-E72D297353CC}">
              <c16:uniqueId val="{00000006-73E7-40F6-9CED-D461BD83E4D5}"/>
            </c:ext>
          </c:extLst>
        </c:ser>
        <c:ser>
          <c:idx val="7"/>
          <c:order val="7"/>
          <c:spPr>
            <a:blipFill>
              <a:blip xmlns:r="http://schemas.openxmlformats.org/officeDocument/2006/relationships" r:embed="rId3"/>
              <a:stretch>
                <a:fillRect/>
              </a:stretch>
            </a:blipFill>
            <a:ln>
              <a:noFill/>
            </a:ln>
            <a:effectLst/>
          </c:spPr>
          <c:invertIfNegative val="0"/>
          <c:cat>
            <c:strRef>
              <c:f>Processing!$K$24:$Q$24</c:f>
              <c:strCache>
                <c:ptCount val="7"/>
                <c:pt idx="0">
                  <c:v>SU</c:v>
                </c:pt>
                <c:pt idx="1">
                  <c:v>MO</c:v>
                </c:pt>
                <c:pt idx="2">
                  <c:v>TU</c:v>
                </c:pt>
                <c:pt idx="3">
                  <c:v>WE</c:v>
                </c:pt>
                <c:pt idx="4">
                  <c:v>TH</c:v>
                </c:pt>
                <c:pt idx="5">
                  <c:v>FR</c:v>
                </c:pt>
                <c:pt idx="6">
                  <c:v>SA</c:v>
                </c:pt>
              </c:strCache>
            </c:strRef>
          </c:cat>
          <c:val>
            <c:numRef>
              <c:f>Processing!$K$32:$Q$32</c:f>
              <c:numCache>
                <c:formatCode>General</c:formatCode>
                <c:ptCount val="7"/>
                <c:pt idx="0">
                  <c:v>0</c:v>
                </c:pt>
                <c:pt idx="1">
                  <c:v>0</c:v>
                </c:pt>
                <c:pt idx="2">
                  <c:v>0</c:v>
                </c:pt>
                <c:pt idx="3">
                  <c:v>0</c:v>
                </c:pt>
                <c:pt idx="4">
                  <c:v>0</c:v>
                </c:pt>
                <c:pt idx="5">
                  <c:v>0</c:v>
                </c:pt>
                <c:pt idx="6">
                  <c:v>0</c:v>
                </c:pt>
              </c:numCache>
            </c:numRef>
          </c:val>
          <c:extLst>
            <c:ext xmlns:c16="http://schemas.microsoft.com/office/drawing/2014/chart" uri="{C3380CC4-5D6E-409C-BE32-E72D297353CC}">
              <c16:uniqueId val="{00000007-73E7-40F6-9CED-D461BD83E4D5}"/>
            </c:ext>
          </c:extLst>
        </c:ser>
        <c:ser>
          <c:idx val="8"/>
          <c:order val="8"/>
          <c:spPr>
            <a:noFill/>
            <a:ln>
              <a:noFill/>
            </a:ln>
            <a:effectLst/>
          </c:spPr>
          <c:invertIfNegative val="0"/>
          <c:cat>
            <c:strRef>
              <c:f>Processing!$K$24:$Q$24</c:f>
              <c:strCache>
                <c:ptCount val="7"/>
                <c:pt idx="0">
                  <c:v>SU</c:v>
                </c:pt>
                <c:pt idx="1">
                  <c:v>MO</c:v>
                </c:pt>
                <c:pt idx="2">
                  <c:v>TU</c:v>
                </c:pt>
                <c:pt idx="3">
                  <c:v>WE</c:v>
                </c:pt>
                <c:pt idx="4">
                  <c:v>TH</c:v>
                </c:pt>
                <c:pt idx="5">
                  <c:v>FR</c:v>
                </c:pt>
                <c:pt idx="6">
                  <c:v>SA</c:v>
                </c:pt>
              </c:strCache>
            </c:strRef>
          </c:cat>
          <c:val>
            <c:numRef>
              <c:f>Processing!$K$33:$Q$33</c:f>
              <c:numCache>
                <c:formatCode>General</c:formatCode>
                <c:ptCount val="7"/>
                <c:pt idx="0">
                  <c:v>0</c:v>
                </c:pt>
                <c:pt idx="1">
                  <c:v>0</c:v>
                </c:pt>
                <c:pt idx="2">
                  <c:v>0</c:v>
                </c:pt>
                <c:pt idx="3">
                  <c:v>0</c:v>
                </c:pt>
                <c:pt idx="4">
                  <c:v>0</c:v>
                </c:pt>
                <c:pt idx="5">
                  <c:v>0</c:v>
                </c:pt>
                <c:pt idx="6">
                  <c:v>0</c:v>
                </c:pt>
              </c:numCache>
            </c:numRef>
          </c:val>
          <c:extLst>
            <c:ext xmlns:c16="http://schemas.microsoft.com/office/drawing/2014/chart" uri="{C3380CC4-5D6E-409C-BE32-E72D297353CC}">
              <c16:uniqueId val="{00000008-73E7-40F6-9CED-D461BD83E4D5}"/>
            </c:ext>
          </c:extLst>
        </c:ser>
        <c:ser>
          <c:idx val="9"/>
          <c:order val="9"/>
          <c:spPr>
            <a:blipFill>
              <a:blip xmlns:r="http://schemas.openxmlformats.org/officeDocument/2006/relationships" r:embed="rId1"/>
              <a:stretch>
                <a:fillRect/>
              </a:stretch>
            </a:blipFill>
            <a:ln>
              <a:noFill/>
            </a:ln>
            <a:effectLst/>
          </c:spPr>
          <c:invertIfNegative val="0"/>
          <c:cat>
            <c:strRef>
              <c:f>Processing!$K$24:$Q$24</c:f>
              <c:strCache>
                <c:ptCount val="7"/>
                <c:pt idx="0">
                  <c:v>SU</c:v>
                </c:pt>
                <c:pt idx="1">
                  <c:v>MO</c:v>
                </c:pt>
                <c:pt idx="2">
                  <c:v>TU</c:v>
                </c:pt>
                <c:pt idx="3">
                  <c:v>WE</c:v>
                </c:pt>
                <c:pt idx="4">
                  <c:v>TH</c:v>
                </c:pt>
                <c:pt idx="5">
                  <c:v>FR</c:v>
                </c:pt>
                <c:pt idx="6">
                  <c:v>SA</c:v>
                </c:pt>
              </c:strCache>
            </c:strRef>
          </c:cat>
          <c:val>
            <c:numRef>
              <c:f>Processing!$K$34:$Q$34</c:f>
              <c:numCache>
                <c:formatCode>General</c:formatCode>
                <c:ptCount val="7"/>
                <c:pt idx="0">
                  <c:v>0</c:v>
                </c:pt>
                <c:pt idx="1">
                  <c:v>1</c:v>
                </c:pt>
                <c:pt idx="2">
                  <c:v>0</c:v>
                </c:pt>
                <c:pt idx="3">
                  <c:v>0</c:v>
                </c:pt>
                <c:pt idx="4">
                  <c:v>0</c:v>
                </c:pt>
                <c:pt idx="5">
                  <c:v>1</c:v>
                </c:pt>
                <c:pt idx="6">
                  <c:v>1</c:v>
                </c:pt>
              </c:numCache>
            </c:numRef>
          </c:val>
          <c:extLst>
            <c:ext xmlns:c16="http://schemas.microsoft.com/office/drawing/2014/chart" uri="{C3380CC4-5D6E-409C-BE32-E72D297353CC}">
              <c16:uniqueId val="{00000009-73E7-40F6-9CED-D461BD83E4D5}"/>
            </c:ext>
          </c:extLst>
        </c:ser>
        <c:ser>
          <c:idx val="10"/>
          <c:order val="10"/>
          <c:spPr>
            <a:blipFill>
              <a:blip xmlns:r="http://schemas.openxmlformats.org/officeDocument/2006/relationships" r:embed="rId2"/>
              <a:stretch>
                <a:fillRect/>
              </a:stretch>
            </a:blipFill>
            <a:ln>
              <a:noFill/>
            </a:ln>
            <a:effectLst/>
          </c:spPr>
          <c:invertIfNegative val="0"/>
          <c:cat>
            <c:strRef>
              <c:f>Processing!$K$24:$Q$24</c:f>
              <c:strCache>
                <c:ptCount val="7"/>
                <c:pt idx="0">
                  <c:v>SU</c:v>
                </c:pt>
                <c:pt idx="1">
                  <c:v>MO</c:v>
                </c:pt>
                <c:pt idx="2">
                  <c:v>TU</c:v>
                </c:pt>
                <c:pt idx="3">
                  <c:v>WE</c:v>
                </c:pt>
                <c:pt idx="4">
                  <c:v>TH</c:v>
                </c:pt>
                <c:pt idx="5">
                  <c:v>FR</c:v>
                </c:pt>
                <c:pt idx="6">
                  <c:v>SA</c:v>
                </c:pt>
              </c:strCache>
            </c:strRef>
          </c:cat>
          <c:val>
            <c:numRef>
              <c:f>Processing!$K$35:$Q$35</c:f>
              <c:numCache>
                <c:formatCode>General</c:formatCode>
                <c:ptCount val="7"/>
                <c:pt idx="0">
                  <c:v>1</c:v>
                </c:pt>
                <c:pt idx="1">
                  <c:v>0</c:v>
                </c:pt>
                <c:pt idx="2">
                  <c:v>1</c:v>
                </c:pt>
                <c:pt idx="3">
                  <c:v>1</c:v>
                </c:pt>
                <c:pt idx="4">
                  <c:v>1</c:v>
                </c:pt>
                <c:pt idx="5">
                  <c:v>0</c:v>
                </c:pt>
                <c:pt idx="6">
                  <c:v>0</c:v>
                </c:pt>
              </c:numCache>
            </c:numRef>
          </c:val>
          <c:extLst>
            <c:ext xmlns:c16="http://schemas.microsoft.com/office/drawing/2014/chart" uri="{C3380CC4-5D6E-409C-BE32-E72D297353CC}">
              <c16:uniqueId val="{0000000A-73E7-40F6-9CED-D461BD83E4D5}"/>
            </c:ext>
          </c:extLst>
        </c:ser>
        <c:ser>
          <c:idx val="11"/>
          <c:order val="11"/>
          <c:spPr>
            <a:blipFill>
              <a:blip xmlns:r="http://schemas.openxmlformats.org/officeDocument/2006/relationships" r:embed="rId3"/>
              <a:stretch>
                <a:fillRect/>
              </a:stretch>
            </a:blipFill>
            <a:ln>
              <a:noFill/>
            </a:ln>
            <a:effectLst/>
          </c:spPr>
          <c:invertIfNegative val="0"/>
          <c:cat>
            <c:strRef>
              <c:f>Processing!$K$24:$Q$24</c:f>
              <c:strCache>
                <c:ptCount val="7"/>
                <c:pt idx="0">
                  <c:v>SU</c:v>
                </c:pt>
                <c:pt idx="1">
                  <c:v>MO</c:v>
                </c:pt>
                <c:pt idx="2">
                  <c:v>TU</c:v>
                </c:pt>
                <c:pt idx="3">
                  <c:v>WE</c:v>
                </c:pt>
                <c:pt idx="4">
                  <c:v>TH</c:v>
                </c:pt>
                <c:pt idx="5">
                  <c:v>FR</c:v>
                </c:pt>
                <c:pt idx="6">
                  <c:v>SA</c:v>
                </c:pt>
              </c:strCache>
            </c:strRef>
          </c:cat>
          <c:val>
            <c:numRef>
              <c:f>Processing!$K$36:$Q$36</c:f>
              <c:numCache>
                <c:formatCode>General</c:formatCode>
                <c:ptCount val="7"/>
                <c:pt idx="0">
                  <c:v>0</c:v>
                </c:pt>
                <c:pt idx="1">
                  <c:v>0</c:v>
                </c:pt>
                <c:pt idx="2">
                  <c:v>0</c:v>
                </c:pt>
                <c:pt idx="3">
                  <c:v>0</c:v>
                </c:pt>
                <c:pt idx="4">
                  <c:v>0</c:v>
                </c:pt>
                <c:pt idx="5">
                  <c:v>0</c:v>
                </c:pt>
                <c:pt idx="6">
                  <c:v>0</c:v>
                </c:pt>
              </c:numCache>
            </c:numRef>
          </c:val>
          <c:extLst>
            <c:ext xmlns:c16="http://schemas.microsoft.com/office/drawing/2014/chart" uri="{C3380CC4-5D6E-409C-BE32-E72D297353CC}">
              <c16:uniqueId val="{0000000B-73E7-40F6-9CED-D461BD83E4D5}"/>
            </c:ext>
          </c:extLst>
        </c:ser>
        <c:ser>
          <c:idx val="12"/>
          <c:order val="12"/>
          <c:spPr>
            <a:noFill/>
            <a:ln>
              <a:noFill/>
            </a:ln>
            <a:effectLst/>
          </c:spPr>
          <c:invertIfNegative val="0"/>
          <c:cat>
            <c:strRef>
              <c:f>Processing!$K$24:$Q$24</c:f>
              <c:strCache>
                <c:ptCount val="7"/>
                <c:pt idx="0">
                  <c:v>SU</c:v>
                </c:pt>
                <c:pt idx="1">
                  <c:v>MO</c:v>
                </c:pt>
                <c:pt idx="2">
                  <c:v>TU</c:v>
                </c:pt>
                <c:pt idx="3">
                  <c:v>WE</c:v>
                </c:pt>
                <c:pt idx="4">
                  <c:v>TH</c:v>
                </c:pt>
                <c:pt idx="5">
                  <c:v>FR</c:v>
                </c:pt>
                <c:pt idx="6">
                  <c:v>SA</c:v>
                </c:pt>
              </c:strCache>
            </c:strRef>
          </c:cat>
          <c:val>
            <c:numRef>
              <c:f>Processing!$K$37:$Q$37</c:f>
              <c:numCache>
                <c:formatCode>General</c:formatCode>
                <c:ptCount val="7"/>
                <c:pt idx="0">
                  <c:v>0</c:v>
                </c:pt>
                <c:pt idx="1">
                  <c:v>0</c:v>
                </c:pt>
                <c:pt idx="2">
                  <c:v>0</c:v>
                </c:pt>
                <c:pt idx="3">
                  <c:v>0</c:v>
                </c:pt>
                <c:pt idx="4">
                  <c:v>0</c:v>
                </c:pt>
                <c:pt idx="5">
                  <c:v>0</c:v>
                </c:pt>
                <c:pt idx="6">
                  <c:v>0</c:v>
                </c:pt>
              </c:numCache>
            </c:numRef>
          </c:val>
          <c:extLst>
            <c:ext xmlns:c16="http://schemas.microsoft.com/office/drawing/2014/chart" uri="{C3380CC4-5D6E-409C-BE32-E72D297353CC}">
              <c16:uniqueId val="{0000000C-73E7-40F6-9CED-D461BD83E4D5}"/>
            </c:ext>
          </c:extLst>
        </c:ser>
        <c:ser>
          <c:idx val="13"/>
          <c:order val="13"/>
          <c:spPr>
            <a:blipFill>
              <a:blip xmlns:r="http://schemas.openxmlformats.org/officeDocument/2006/relationships" r:embed="rId1"/>
              <a:stretch>
                <a:fillRect/>
              </a:stretch>
            </a:blipFill>
            <a:ln>
              <a:noFill/>
            </a:ln>
            <a:effectLst/>
          </c:spPr>
          <c:invertIfNegative val="0"/>
          <c:cat>
            <c:strRef>
              <c:f>Processing!$K$24:$Q$24</c:f>
              <c:strCache>
                <c:ptCount val="7"/>
                <c:pt idx="0">
                  <c:v>SU</c:v>
                </c:pt>
                <c:pt idx="1">
                  <c:v>MO</c:v>
                </c:pt>
                <c:pt idx="2">
                  <c:v>TU</c:v>
                </c:pt>
                <c:pt idx="3">
                  <c:v>WE</c:v>
                </c:pt>
                <c:pt idx="4">
                  <c:v>TH</c:v>
                </c:pt>
                <c:pt idx="5">
                  <c:v>FR</c:v>
                </c:pt>
                <c:pt idx="6">
                  <c:v>SA</c:v>
                </c:pt>
              </c:strCache>
            </c:strRef>
          </c:cat>
          <c:val>
            <c:numRef>
              <c:f>Processing!$K$38:$Q$38</c:f>
              <c:numCache>
                <c:formatCode>General</c:formatCode>
                <c:ptCount val="7"/>
                <c:pt idx="0">
                  <c:v>0</c:v>
                </c:pt>
                <c:pt idx="1">
                  <c:v>0</c:v>
                </c:pt>
                <c:pt idx="2">
                  <c:v>0</c:v>
                </c:pt>
                <c:pt idx="3">
                  <c:v>1</c:v>
                </c:pt>
                <c:pt idx="4">
                  <c:v>0</c:v>
                </c:pt>
                <c:pt idx="5">
                  <c:v>0</c:v>
                </c:pt>
                <c:pt idx="6">
                  <c:v>0</c:v>
                </c:pt>
              </c:numCache>
            </c:numRef>
          </c:val>
          <c:extLst>
            <c:ext xmlns:c16="http://schemas.microsoft.com/office/drawing/2014/chart" uri="{C3380CC4-5D6E-409C-BE32-E72D297353CC}">
              <c16:uniqueId val="{0000000D-73E7-40F6-9CED-D461BD83E4D5}"/>
            </c:ext>
          </c:extLst>
        </c:ser>
        <c:ser>
          <c:idx val="14"/>
          <c:order val="14"/>
          <c:spPr>
            <a:blipFill>
              <a:blip xmlns:r="http://schemas.openxmlformats.org/officeDocument/2006/relationships" r:embed="rId2"/>
              <a:stretch>
                <a:fillRect/>
              </a:stretch>
            </a:blipFill>
            <a:ln>
              <a:noFill/>
            </a:ln>
            <a:effectLst/>
          </c:spPr>
          <c:invertIfNegative val="0"/>
          <c:cat>
            <c:strRef>
              <c:f>Processing!$K$24:$Q$24</c:f>
              <c:strCache>
                <c:ptCount val="7"/>
                <c:pt idx="0">
                  <c:v>SU</c:v>
                </c:pt>
                <c:pt idx="1">
                  <c:v>MO</c:v>
                </c:pt>
                <c:pt idx="2">
                  <c:v>TU</c:v>
                </c:pt>
                <c:pt idx="3">
                  <c:v>WE</c:v>
                </c:pt>
                <c:pt idx="4">
                  <c:v>TH</c:v>
                </c:pt>
                <c:pt idx="5">
                  <c:v>FR</c:v>
                </c:pt>
                <c:pt idx="6">
                  <c:v>SA</c:v>
                </c:pt>
              </c:strCache>
            </c:strRef>
          </c:cat>
          <c:val>
            <c:numRef>
              <c:f>Processing!$K$39:$Q$39</c:f>
              <c:numCache>
                <c:formatCode>General</c:formatCode>
                <c:ptCount val="7"/>
                <c:pt idx="0">
                  <c:v>1</c:v>
                </c:pt>
                <c:pt idx="1">
                  <c:v>1</c:v>
                </c:pt>
                <c:pt idx="2">
                  <c:v>1</c:v>
                </c:pt>
                <c:pt idx="3">
                  <c:v>0</c:v>
                </c:pt>
                <c:pt idx="4">
                  <c:v>0</c:v>
                </c:pt>
                <c:pt idx="5">
                  <c:v>1</c:v>
                </c:pt>
                <c:pt idx="6">
                  <c:v>1</c:v>
                </c:pt>
              </c:numCache>
            </c:numRef>
          </c:val>
          <c:extLst>
            <c:ext xmlns:c16="http://schemas.microsoft.com/office/drawing/2014/chart" uri="{C3380CC4-5D6E-409C-BE32-E72D297353CC}">
              <c16:uniqueId val="{0000000E-73E7-40F6-9CED-D461BD83E4D5}"/>
            </c:ext>
          </c:extLst>
        </c:ser>
        <c:ser>
          <c:idx val="15"/>
          <c:order val="15"/>
          <c:spPr>
            <a:blipFill>
              <a:blip xmlns:r="http://schemas.openxmlformats.org/officeDocument/2006/relationships" r:embed="rId3"/>
              <a:stretch>
                <a:fillRect/>
              </a:stretch>
            </a:blipFill>
            <a:ln>
              <a:noFill/>
            </a:ln>
            <a:effectLst/>
          </c:spPr>
          <c:invertIfNegative val="0"/>
          <c:cat>
            <c:strRef>
              <c:f>Processing!$K$24:$Q$24</c:f>
              <c:strCache>
                <c:ptCount val="7"/>
                <c:pt idx="0">
                  <c:v>SU</c:v>
                </c:pt>
                <c:pt idx="1">
                  <c:v>MO</c:v>
                </c:pt>
                <c:pt idx="2">
                  <c:v>TU</c:v>
                </c:pt>
                <c:pt idx="3">
                  <c:v>WE</c:v>
                </c:pt>
                <c:pt idx="4">
                  <c:v>TH</c:v>
                </c:pt>
                <c:pt idx="5">
                  <c:v>FR</c:v>
                </c:pt>
                <c:pt idx="6">
                  <c:v>SA</c:v>
                </c:pt>
              </c:strCache>
            </c:strRef>
          </c:cat>
          <c:val>
            <c:numRef>
              <c:f>Processing!$K$40:$Q$40</c:f>
              <c:numCache>
                <c:formatCode>General</c:formatCode>
                <c:ptCount val="7"/>
                <c:pt idx="0">
                  <c:v>0</c:v>
                </c:pt>
                <c:pt idx="1">
                  <c:v>0</c:v>
                </c:pt>
                <c:pt idx="2">
                  <c:v>0</c:v>
                </c:pt>
                <c:pt idx="3">
                  <c:v>0</c:v>
                </c:pt>
                <c:pt idx="4">
                  <c:v>1</c:v>
                </c:pt>
                <c:pt idx="5">
                  <c:v>0</c:v>
                </c:pt>
                <c:pt idx="6">
                  <c:v>0</c:v>
                </c:pt>
              </c:numCache>
            </c:numRef>
          </c:val>
          <c:extLst>
            <c:ext xmlns:c16="http://schemas.microsoft.com/office/drawing/2014/chart" uri="{C3380CC4-5D6E-409C-BE32-E72D297353CC}">
              <c16:uniqueId val="{0000000F-73E7-40F6-9CED-D461BD83E4D5}"/>
            </c:ext>
          </c:extLst>
        </c:ser>
        <c:ser>
          <c:idx val="16"/>
          <c:order val="16"/>
          <c:spPr>
            <a:noFill/>
            <a:ln>
              <a:noFill/>
            </a:ln>
            <a:effectLst/>
          </c:spPr>
          <c:invertIfNegative val="0"/>
          <c:cat>
            <c:strRef>
              <c:f>Processing!$K$24:$Q$24</c:f>
              <c:strCache>
                <c:ptCount val="7"/>
                <c:pt idx="0">
                  <c:v>SU</c:v>
                </c:pt>
                <c:pt idx="1">
                  <c:v>MO</c:v>
                </c:pt>
                <c:pt idx="2">
                  <c:v>TU</c:v>
                </c:pt>
                <c:pt idx="3">
                  <c:v>WE</c:v>
                </c:pt>
                <c:pt idx="4">
                  <c:v>TH</c:v>
                </c:pt>
                <c:pt idx="5">
                  <c:v>FR</c:v>
                </c:pt>
                <c:pt idx="6">
                  <c:v>SA</c:v>
                </c:pt>
              </c:strCache>
            </c:strRef>
          </c:cat>
          <c:val>
            <c:numRef>
              <c:f>Processing!$K$41:$Q$41</c:f>
              <c:numCache>
                <c:formatCode>General</c:formatCode>
                <c:ptCount val="7"/>
                <c:pt idx="0">
                  <c:v>0</c:v>
                </c:pt>
                <c:pt idx="1">
                  <c:v>0</c:v>
                </c:pt>
                <c:pt idx="2">
                  <c:v>0</c:v>
                </c:pt>
                <c:pt idx="3">
                  <c:v>0</c:v>
                </c:pt>
                <c:pt idx="4">
                  <c:v>0</c:v>
                </c:pt>
                <c:pt idx="5">
                  <c:v>0</c:v>
                </c:pt>
                <c:pt idx="6">
                  <c:v>1</c:v>
                </c:pt>
              </c:numCache>
            </c:numRef>
          </c:val>
          <c:extLst>
            <c:ext xmlns:c16="http://schemas.microsoft.com/office/drawing/2014/chart" uri="{C3380CC4-5D6E-409C-BE32-E72D297353CC}">
              <c16:uniqueId val="{00000010-73E7-40F6-9CED-D461BD83E4D5}"/>
            </c:ext>
          </c:extLst>
        </c:ser>
        <c:ser>
          <c:idx val="17"/>
          <c:order val="17"/>
          <c:spPr>
            <a:blipFill>
              <a:blip xmlns:r="http://schemas.openxmlformats.org/officeDocument/2006/relationships" r:embed="rId1"/>
              <a:stretch>
                <a:fillRect/>
              </a:stretch>
            </a:blipFill>
            <a:ln>
              <a:noFill/>
            </a:ln>
            <a:effectLst/>
          </c:spPr>
          <c:invertIfNegative val="0"/>
          <c:cat>
            <c:strRef>
              <c:f>Processing!$K$24:$Q$24</c:f>
              <c:strCache>
                <c:ptCount val="7"/>
                <c:pt idx="0">
                  <c:v>SU</c:v>
                </c:pt>
                <c:pt idx="1">
                  <c:v>MO</c:v>
                </c:pt>
                <c:pt idx="2">
                  <c:v>TU</c:v>
                </c:pt>
                <c:pt idx="3">
                  <c:v>WE</c:v>
                </c:pt>
                <c:pt idx="4">
                  <c:v>TH</c:v>
                </c:pt>
                <c:pt idx="5">
                  <c:v>FR</c:v>
                </c:pt>
                <c:pt idx="6">
                  <c:v>SA</c:v>
                </c:pt>
              </c:strCache>
            </c:strRef>
          </c:cat>
          <c:val>
            <c:numRef>
              <c:f>Processing!$K$42:$Q$42</c:f>
              <c:numCache>
                <c:formatCode>General</c:formatCode>
                <c:ptCount val="7"/>
                <c:pt idx="0">
                  <c:v>1</c:v>
                </c:pt>
                <c:pt idx="1">
                  <c:v>0</c:v>
                </c:pt>
                <c:pt idx="2">
                  <c:v>1</c:v>
                </c:pt>
                <c:pt idx="3">
                  <c:v>1</c:v>
                </c:pt>
                <c:pt idx="4">
                  <c:v>1</c:v>
                </c:pt>
                <c:pt idx="5">
                  <c:v>1</c:v>
                </c:pt>
                <c:pt idx="6">
                  <c:v>0</c:v>
                </c:pt>
              </c:numCache>
            </c:numRef>
          </c:val>
          <c:extLst>
            <c:ext xmlns:c16="http://schemas.microsoft.com/office/drawing/2014/chart" uri="{C3380CC4-5D6E-409C-BE32-E72D297353CC}">
              <c16:uniqueId val="{00000011-73E7-40F6-9CED-D461BD83E4D5}"/>
            </c:ext>
          </c:extLst>
        </c:ser>
        <c:ser>
          <c:idx val="18"/>
          <c:order val="18"/>
          <c:spPr>
            <a:blipFill>
              <a:blip xmlns:r="http://schemas.openxmlformats.org/officeDocument/2006/relationships" r:embed="rId2"/>
              <a:stretch>
                <a:fillRect/>
              </a:stretch>
            </a:blipFill>
            <a:ln>
              <a:noFill/>
            </a:ln>
            <a:effectLst/>
          </c:spPr>
          <c:invertIfNegative val="0"/>
          <c:cat>
            <c:strRef>
              <c:f>Processing!$K$24:$Q$24</c:f>
              <c:strCache>
                <c:ptCount val="7"/>
                <c:pt idx="0">
                  <c:v>SU</c:v>
                </c:pt>
                <c:pt idx="1">
                  <c:v>MO</c:v>
                </c:pt>
                <c:pt idx="2">
                  <c:v>TU</c:v>
                </c:pt>
                <c:pt idx="3">
                  <c:v>WE</c:v>
                </c:pt>
                <c:pt idx="4">
                  <c:v>TH</c:v>
                </c:pt>
                <c:pt idx="5">
                  <c:v>FR</c:v>
                </c:pt>
                <c:pt idx="6">
                  <c:v>SA</c:v>
                </c:pt>
              </c:strCache>
            </c:strRef>
          </c:cat>
          <c:val>
            <c:numRef>
              <c:f>Processing!$K$43:$Q$43</c:f>
              <c:numCache>
                <c:formatCode>General</c:formatCode>
                <c:ptCount val="7"/>
                <c:pt idx="0">
                  <c:v>0</c:v>
                </c:pt>
                <c:pt idx="1">
                  <c:v>0</c:v>
                </c:pt>
                <c:pt idx="2">
                  <c:v>0</c:v>
                </c:pt>
                <c:pt idx="3">
                  <c:v>0</c:v>
                </c:pt>
                <c:pt idx="4">
                  <c:v>0</c:v>
                </c:pt>
                <c:pt idx="5">
                  <c:v>0</c:v>
                </c:pt>
                <c:pt idx="6">
                  <c:v>0</c:v>
                </c:pt>
              </c:numCache>
            </c:numRef>
          </c:val>
          <c:extLst>
            <c:ext xmlns:c16="http://schemas.microsoft.com/office/drawing/2014/chart" uri="{C3380CC4-5D6E-409C-BE32-E72D297353CC}">
              <c16:uniqueId val="{00000012-73E7-40F6-9CED-D461BD83E4D5}"/>
            </c:ext>
          </c:extLst>
        </c:ser>
        <c:ser>
          <c:idx val="19"/>
          <c:order val="19"/>
          <c:spPr>
            <a:blipFill>
              <a:blip xmlns:r="http://schemas.openxmlformats.org/officeDocument/2006/relationships" r:embed="rId3"/>
              <a:stretch>
                <a:fillRect/>
              </a:stretch>
            </a:blipFill>
            <a:ln>
              <a:noFill/>
            </a:ln>
            <a:effectLst/>
          </c:spPr>
          <c:invertIfNegative val="0"/>
          <c:cat>
            <c:strRef>
              <c:f>Processing!$K$24:$Q$24</c:f>
              <c:strCache>
                <c:ptCount val="7"/>
                <c:pt idx="0">
                  <c:v>SU</c:v>
                </c:pt>
                <c:pt idx="1">
                  <c:v>MO</c:v>
                </c:pt>
                <c:pt idx="2">
                  <c:v>TU</c:v>
                </c:pt>
                <c:pt idx="3">
                  <c:v>WE</c:v>
                </c:pt>
                <c:pt idx="4">
                  <c:v>TH</c:v>
                </c:pt>
                <c:pt idx="5">
                  <c:v>FR</c:v>
                </c:pt>
                <c:pt idx="6">
                  <c:v>SA</c:v>
                </c:pt>
              </c:strCache>
            </c:strRef>
          </c:cat>
          <c:val>
            <c:numRef>
              <c:f>Processing!$K$44:$Q$44</c:f>
              <c:numCache>
                <c:formatCode>General</c:formatCode>
                <c:ptCount val="7"/>
                <c:pt idx="0">
                  <c:v>0</c:v>
                </c:pt>
                <c:pt idx="1">
                  <c:v>1</c:v>
                </c:pt>
                <c:pt idx="2">
                  <c:v>0</c:v>
                </c:pt>
                <c:pt idx="3">
                  <c:v>0</c:v>
                </c:pt>
                <c:pt idx="4">
                  <c:v>0</c:v>
                </c:pt>
                <c:pt idx="5">
                  <c:v>0</c:v>
                </c:pt>
                <c:pt idx="6">
                  <c:v>0</c:v>
                </c:pt>
              </c:numCache>
            </c:numRef>
          </c:val>
          <c:extLst>
            <c:ext xmlns:c16="http://schemas.microsoft.com/office/drawing/2014/chart" uri="{C3380CC4-5D6E-409C-BE32-E72D297353CC}">
              <c16:uniqueId val="{00000013-73E7-40F6-9CED-D461BD83E4D5}"/>
            </c:ext>
          </c:extLst>
        </c:ser>
        <c:ser>
          <c:idx val="20"/>
          <c:order val="20"/>
          <c:spPr>
            <a:noFill/>
            <a:ln>
              <a:noFill/>
            </a:ln>
            <a:effectLst/>
          </c:spPr>
          <c:invertIfNegative val="0"/>
          <c:cat>
            <c:strRef>
              <c:f>Processing!$K$24:$Q$24</c:f>
              <c:strCache>
                <c:ptCount val="7"/>
                <c:pt idx="0">
                  <c:v>SU</c:v>
                </c:pt>
                <c:pt idx="1">
                  <c:v>MO</c:v>
                </c:pt>
                <c:pt idx="2">
                  <c:v>TU</c:v>
                </c:pt>
                <c:pt idx="3">
                  <c:v>WE</c:v>
                </c:pt>
                <c:pt idx="4">
                  <c:v>TH</c:v>
                </c:pt>
                <c:pt idx="5">
                  <c:v>FR</c:v>
                </c:pt>
                <c:pt idx="6">
                  <c:v>SA</c:v>
                </c:pt>
              </c:strCache>
            </c:strRef>
          </c:cat>
          <c:val>
            <c:numRef>
              <c:f>Processing!$K$45:$Q$45</c:f>
              <c:numCache>
                <c:formatCode>General</c:formatCode>
                <c:ptCount val="7"/>
                <c:pt idx="0">
                  <c:v>1</c:v>
                </c:pt>
                <c:pt idx="1">
                  <c:v>1</c:v>
                </c:pt>
                <c:pt idx="2">
                  <c:v>1</c:v>
                </c:pt>
                <c:pt idx="3">
                  <c:v>1</c:v>
                </c:pt>
                <c:pt idx="4">
                  <c:v>1</c:v>
                </c:pt>
                <c:pt idx="5">
                  <c:v>1</c:v>
                </c:pt>
                <c:pt idx="6">
                  <c:v>1</c:v>
                </c:pt>
              </c:numCache>
            </c:numRef>
          </c:val>
          <c:extLst>
            <c:ext xmlns:c16="http://schemas.microsoft.com/office/drawing/2014/chart" uri="{C3380CC4-5D6E-409C-BE32-E72D297353CC}">
              <c16:uniqueId val="{00000014-73E7-40F6-9CED-D461BD83E4D5}"/>
            </c:ext>
          </c:extLst>
        </c:ser>
        <c:ser>
          <c:idx val="21"/>
          <c:order val="21"/>
          <c:spPr>
            <a:blipFill>
              <a:blip xmlns:r="http://schemas.openxmlformats.org/officeDocument/2006/relationships" r:embed="rId1"/>
              <a:stretch>
                <a:fillRect/>
              </a:stretch>
            </a:blipFill>
            <a:ln>
              <a:noFill/>
            </a:ln>
            <a:effectLst/>
          </c:spPr>
          <c:invertIfNegative val="0"/>
          <c:cat>
            <c:strRef>
              <c:f>Processing!$K$24:$Q$24</c:f>
              <c:strCache>
                <c:ptCount val="7"/>
                <c:pt idx="0">
                  <c:v>SU</c:v>
                </c:pt>
                <c:pt idx="1">
                  <c:v>MO</c:v>
                </c:pt>
                <c:pt idx="2">
                  <c:v>TU</c:v>
                </c:pt>
                <c:pt idx="3">
                  <c:v>WE</c:v>
                </c:pt>
                <c:pt idx="4">
                  <c:v>TH</c:v>
                </c:pt>
                <c:pt idx="5">
                  <c:v>FR</c:v>
                </c:pt>
                <c:pt idx="6">
                  <c:v>SA</c:v>
                </c:pt>
              </c:strCache>
            </c:strRef>
          </c:cat>
          <c:val>
            <c:numRef>
              <c:f>Processing!$K$46:$Q$46</c:f>
              <c:numCache>
                <c:formatCode>General</c:formatCode>
                <c:ptCount val="7"/>
                <c:pt idx="0">
                  <c:v>0</c:v>
                </c:pt>
                <c:pt idx="1">
                  <c:v>0</c:v>
                </c:pt>
                <c:pt idx="2">
                  <c:v>0</c:v>
                </c:pt>
                <c:pt idx="3">
                  <c:v>0</c:v>
                </c:pt>
                <c:pt idx="4">
                  <c:v>0</c:v>
                </c:pt>
                <c:pt idx="5">
                  <c:v>0</c:v>
                </c:pt>
                <c:pt idx="6">
                  <c:v>0</c:v>
                </c:pt>
              </c:numCache>
            </c:numRef>
          </c:val>
          <c:extLst>
            <c:ext xmlns:c16="http://schemas.microsoft.com/office/drawing/2014/chart" uri="{C3380CC4-5D6E-409C-BE32-E72D297353CC}">
              <c16:uniqueId val="{00000015-73E7-40F6-9CED-D461BD83E4D5}"/>
            </c:ext>
          </c:extLst>
        </c:ser>
        <c:ser>
          <c:idx val="22"/>
          <c:order val="22"/>
          <c:spPr>
            <a:blipFill>
              <a:blip xmlns:r="http://schemas.openxmlformats.org/officeDocument/2006/relationships" r:embed="rId2"/>
              <a:stretch>
                <a:fillRect/>
              </a:stretch>
            </a:blipFill>
            <a:ln>
              <a:noFill/>
            </a:ln>
            <a:effectLst/>
          </c:spPr>
          <c:invertIfNegative val="0"/>
          <c:cat>
            <c:strRef>
              <c:f>Processing!$K$24:$Q$24</c:f>
              <c:strCache>
                <c:ptCount val="7"/>
                <c:pt idx="0">
                  <c:v>SU</c:v>
                </c:pt>
                <c:pt idx="1">
                  <c:v>MO</c:v>
                </c:pt>
                <c:pt idx="2">
                  <c:v>TU</c:v>
                </c:pt>
                <c:pt idx="3">
                  <c:v>WE</c:v>
                </c:pt>
                <c:pt idx="4">
                  <c:v>TH</c:v>
                </c:pt>
                <c:pt idx="5">
                  <c:v>FR</c:v>
                </c:pt>
                <c:pt idx="6">
                  <c:v>SA</c:v>
                </c:pt>
              </c:strCache>
            </c:strRef>
          </c:cat>
          <c:val>
            <c:numRef>
              <c:f>Processing!$K$47:$Q$47</c:f>
              <c:numCache>
                <c:formatCode>General</c:formatCode>
                <c:ptCount val="7"/>
                <c:pt idx="0">
                  <c:v>0</c:v>
                </c:pt>
                <c:pt idx="1">
                  <c:v>0</c:v>
                </c:pt>
                <c:pt idx="2">
                  <c:v>0</c:v>
                </c:pt>
                <c:pt idx="3">
                  <c:v>0</c:v>
                </c:pt>
                <c:pt idx="4">
                  <c:v>0</c:v>
                </c:pt>
                <c:pt idx="5">
                  <c:v>0</c:v>
                </c:pt>
                <c:pt idx="6">
                  <c:v>0</c:v>
                </c:pt>
              </c:numCache>
            </c:numRef>
          </c:val>
          <c:extLst>
            <c:ext xmlns:c16="http://schemas.microsoft.com/office/drawing/2014/chart" uri="{C3380CC4-5D6E-409C-BE32-E72D297353CC}">
              <c16:uniqueId val="{00000016-73E7-40F6-9CED-D461BD83E4D5}"/>
            </c:ext>
          </c:extLst>
        </c:ser>
        <c:ser>
          <c:idx val="23"/>
          <c:order val="23"/>
          <c:spPr>
            <a:blipFill>
              <a:blip xmlns:r="http://schemas.openxmlformats.org/officeDocument/2006/relationships" r:embed="rId3"/>
              <a:stretch>
                <a:fillRect/>
              </a:stretch>
            </a:blipFill>
            <a:ln>
              <a:noFill/>
            </a:ln>
            <a:effectLst/>
          </c:spPr>
          <c:invertIfNegative val="0"/>
          <c:cat>
            <c:strRef>
              <c:f>Processing!$K$24:$Q$24</c:f>
              <c:strCache>
                <c:ptCount val="7"/>
                <c:pt idx="0">
                  <c:v>SU</c:v>
                </c:pt>
                <c:pt idx="1">
                  <c:v>MO</c:v>
                </c:pt>
                <c:pt idx="2">
                  <c:v>TU</c:v>
                </c:pt>
                <c:pt idx="3">
                  <c:v>WE</c:v>
                </c:pt>
                <c:pt idx="4">
                  <c:v>TH</c:v>
                </c:pt>
                <c:pt idx="5">
                  <c:v>FR</c:v>
                </c:pt>
                <c:pt idx="6">
                  <c:v>SA</c:v>
                </c:pt>
              </c:strCache>
            </c:strRef>
          </c:cat>
          <c:val>
            <c:numRef>
              <c:f>Processing!$K$48:$Q$48</c:f>
              <c:numCache>
                <c:formatCode>General</c:formatCode>
                <c:ptCount val="7"/>
                <c:pt idx="0">
                  <c:v>0</c:v>
                </c:pt>
                <c:pt idx="1">
                  <c:v>0</c:v>
                </c:pt>
                <c:pt idx="2">
                  <c:v>0</c:v>
                </c:pt>
                <c:pt idx="3">
                  <c:v>0</c:v>
                </c:pt>
                <c:pt idx="4">
                  <c:v>0</c:v>
                </c:pt>
                <c:pt idx="5">
                  <c:v>0</c:v>
                </c:pt>
                <c:pt idx="6">
                  <c:v>0</c:v>
                </c:pt>
              </c:numCache>
            </c:numRef>
          </c:val>
          <c:extLst>
            <c:ext xmlns:c16="http://schemas.microsoft.com/office/drawing/2014/chart" uri="{C3380CC4-5D6E-409C-BE32-E72D297353CC}">
              <c16:uniqueId val="{00000017-73E7-40F6-9CED-D461BD83E4D5}"/>
            </c:ext>
          </c:extLst>
        </c:ser>
        <c:dLbls>
          <c:showLegendKey val="0"/>
          <c:showVal val="0"/>
          <c:showCatName val="0"/>
          <c:showSerName val="0"/>
          <c:showPercent val="0"/>
          <c:showBubbleSize val="0"/>
        </c:dLbls>
        <c:gapWidth val="0"/>
        <c:overlap val="100"/>
        <c:axId val="811298159"/>
        <c:axId val="811278479"/>
      </c:barChart>
      <c:catAx>
        <c:axId val="811298159"/>
        <c:scaling>
          <c:orientation val="minMax"/>
        </c:scaling>
        <c:delete val="1"/>
        <c:axPos val="t"/>
        <c:numFmt formatCode="General" sourceLinked="1"/>
        <c:majorTickMark val="out"/>
        <c:minorTickMark val="none"/>
        <c:tickLblPos val="nextTo"/>
        <c:crossAx val="811278479"/>
        <c:crosses val="autoZero"/>
        <c:auto val="1"/>
        <c:lblAlgn val="ctr"/>
        <c:lblOffset val="100"/>
        <c:noMultiLvlLbl val="0"/>
      </c:catAx>
      <c:valAx>
        <c:axId val="811278479"/>
        <c:scaling>
          <c:orientation val="maxMin"/>
        </c:scaling>
        <c:delete val="1"/>
        <c:axPos val="l"/>
        <c:numFmt formatCode="General" sourceLinked="1"/>
        <c:majorTickMark val="out"/>
        <c:minorTickMark val="none"/>
        <c:tickLblPos val="nextTo"/>
        <c:crossAx val="811298159"/>
        <c:crosses val="autoZero"/>
        <c:crossBetween val="between"/>
      </c:valAx>
      <c:spPr>
        <a:noFill/>
      </c:spPr>
    </c:plotArea>
    <c:plotVisOnly val="1"/>
    <c:dispBlanksAs val="gap"/>
    <c:showDLblsOverMax val="0"/>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6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Processing!$B$17</c:f>
              <c:strCache>
                <c:ptCount val="1"/>
                <c:pt idx="0">
                  <c:v>indent</c:v>
                </c:pt>
              </c:strCache>
            </c:strRef>
          </c:tx>
          <c:spPr>
            <a:noFill/>
            <a:ln>
              <a:noFill/>
            </a:ln>
            <a:effectLst/>
          </c:spPr>
          <c:invertIfNegative val="0"/>
          <c:cat>
            <c:strRef>
              <c:f>Processing!$A$18:$A$29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Processing!$B$18:$B$29</c:f>
              <c:numCache>
                <c:formatCode>General</c:formatCode>
                <c:ptCount val="12"/>
                <c:pt idx="0">
                  <c:v>242.05</c:v>
                </c:pt>
                <c:pt idx="1">
                  <c:v>242.05</c:v>
                </c:pt>
                <c:pt idx="2">
                  <c:v>242.05</c:v>
                </c:pt>
                <c:pt idx="3">
                  <c:v>242.05</c:v>
                </c:pt>
                <c:pt idx="4">
                  <c:v>242.05</c:v>
                </c:pt>
                <c:pt idx="5">
                  <c:v>242.05</c:v>
                </c:pt>
                <c:pt idx="6">
                  <c:v>242.05</c:v>
                </c:pt>
                <c:pt idx="7">
                  <c:v>242.05</c:v>
                </c:pt>
                <c:pt idx="8">
                  <c:v>242.05</c:v>
                </c:pt>
                <c:pt idx="9">
                  <c:v>242.05</c:v>
                </c:pt>
                <c:pt idx="10">
                  <c:v>242.05</c:v>
                </c:pt>
                <c:pt idx="11">
                  <c:v>242.05</c:v>
                </c:pt>
              </c:numCache>
            </c:numRef>
          </c:val>
          <c:extLst>
            <c:ext xmlns:c16="http://schemas.microsoft.com/office/drawing/2014/chart" uri="{C3380CC4-5D6E-409C-BE32-E72D297353CC}">
              <c16:uniqueId val="{00000000-4C98-4587-A17F-736D3BBE02D5}"/>
            </c:ext>
          </c:extLst>
        </c:ser>
        <c:ser>
          <c:idx val="1"/>
          <c:order val="1"/>
          <c:tx>
            <c:strRef>
              <c:f>Processing!$C$17</c:f>
              <c:strCache>
                <c:ptCount val="1"/>
                <c:pt idx="0">
                  <c:v>Income</c:v>
                </c:pt>
              </c:strCache>
            </c:strRef>
          </c:tx>
          <c:spPr>
            <a:solidFill>
              <a:schemeClr val="accent2"/>
            </a:solidFill>
            <a:ln w="101600">
              <a:gradFill>
                <a:gsLst>
                  <a:gs pos="0">
                    <a:srgbClr val="1992E6"/>
                  </a:gs>
                  <a:gs pos="100000">
                    <a:srgbClr val="2373DF"/>
                  </a:gs>
                </a:gsLst>
                <a:lin ang="5400000" scaled="1"/>
              </a:gradFill>
            </a:ln>
            <a:effectLst/>
          </c:spPr>
          <c:invertIfNegative val="0"/>
          <c:cat>
            <c:strRef>
              <c:f>Processing!$A$18:$A$29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Processing!$C$18:$C$29</c:f>
              <c:numCache>
                <c:formatCode>General</c:formatCode>
                <c:ptCount val="12"/>
                <c:pt idx="0">
                  <c:v>2075</c:v>
                </c:pt>
                <c:pt idx="1">
                  <c:v>3066</c:v>
                </c:pt>
                <c:pt idx="2">
                  <c:v>4626</c:v>
                </c:pt>
                <c:pt idx="3">
                  <c:v>4841</c:v>
                </c:pt>
                <c:pt idx="4">
                  <c:v>4626</c:v>
                </c:pt>
                <c:pt idx="5">
                  <c:v>3066</c:v>
                </c:pt>
                <c:pt idx="6">
                  <c:v>2075</c:v>
                </c:pt>
                <c:pt idx="7">
                  <c:v>3066</c:v>
                </c:pt>
                <c:pt idx="8">
                  <c:v>4626</c:v>
                </c:pt>
                <c:pt idx="9">
                  <c:v>4841</c:v>
                </c:pt>
                <c:pt idx="10">
                  <c:v>4626</c:v>
                </c:pt>
                <c:pt idx="11">
                  <c:v>2666</c:v>
                </c:pt>
              </c:numCache>
            </c:numRef>
          </c:val>
          <c:extLst>
            <c:ext xmlns:c16="http://schemas.microsoft.com/office/drawing/2014/chart" uri="{C3380CC4-5D6E-409C-BE32-E72D297353CC}">
              <c16:uniqueId val="{00000001-4C98-4587-A17F-736D3BBE02D5}"/>
            </c:ext>
          </c:extLst>
        </c:ser>
        <c:dLbls>
          <c:showLegendKey val="0"/>
          <c:showVal val="0"/>
          <c:showCatName val="0"/>
          <c:showSerName val="0"/>
          <c:showPercent val="0"/>
          <c:showBubbleSize val="0"/>
        </c:dLbls>
        <c:gapWidth val="300"/>
        <c:overlap val="100"/>
        <c:axId val="1217850336"/>
        <c:axId val="1217876256"/>
      </c:barChart>
      <c:barChart>
        <c:barDir val="col"/>
        <c:grouping val="stacked"/>
        <c:varyColors val="0"/>
        <c:ser>
          <c:idx val="2"/>
          <c:order val="2"/>
          <c:tx>
            <c:strRef>
              <c:f>Processing!$D$17</c:f>
              <c:strCache>
                <c:ptCount val="1"/>
                <c:pt idx="0">
                  <c:v>indent Cursor</c:v>
                </c:pt>
              </c:strCache>
            </c:strRef>
          </c:tx>
          <c:spPr>
            <a:noFill/>
            <a:ln>
              <a:noFill/>
            </a:ln>
            <a:effectLst/>
          </c:spPr>
          <c:invertIfNegative val="0"/>
          <c:cat>
            <c:strRef>
              <c:f>Processing!$A$18:$A$29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Processing!$D$18:$D$29</c:f>
              <c:numCache>
                <c:formatCode>General</c:formatCode>
                <c:ptCount val="12"/>
                <c:pt idx="0">
                  <c:v>242.05</c:v>
                </c:pt>
                <c:pt idx="1">
                  <c:v>242.05</c:v>
                </c:pt>
                <c:pt idx="2">
                  <c:v>242.05</c:v>
                </c:pt>
                <c:pt idx="3">
                  <c:v>242.05</c:v>
                </c:pt>
                <c:pt idx="4">
                  <c:v>242.05</c:v>
                </c:pt>
                <c:pt idx="5">
                  <c:v>242.05</c:v>
                </c:pt>
                <c:pt idx="6">
                  <c:v>242.05</c:v>
                </c:pt>
                <c:pt idx="7">
                  <c:v>242.05</c:v>
                </c:pt>
                <c:pt idx="8">
                  <c:v>242.05</c:v>
                </c:pt>
                <c:pt idx="9">
                  <c:v>242.05</c:v>
                </c:pt>
                <c:pt idx="10">
                  <c:v>242.05</c:v>
                </c:pt>
                <c:pt idx="11">
                  <c:v>242.05</c:v>
                </c:pt>
              </c:numCache>
            </c:numRef>
          </c:val>
          <c:extLst>
            <c:ext xmlns:c16="http://schemas.microsoft.com/office/drawing/2014/chart" uri="{C3380CC4-5D6E-409C-BE32-E72D297353CC}">
              <c16:uniqueId val="{00000002-4C98-4587-A17F-736D3BBE02D5}"/>
            </c:ext>
          </c:extLst>
        </c:ser>
        <c:ser>
          <c:idx val="3"/>
          <c:order val="3"/>
          <c:tx>
            <c:strRef>
              <c:f>Processing!$E$17</c:f>
              <c:strCache>
                <c:ptCount val="1"/>
                <c:pt idx="0">
                  <c:v>Cursor</c:v>
                </c:pt>
              </c:strCache>
            </c:strRef>
          </c:tx>
          <c:spPr>
            <a:solidFill>
              <a:schemeClr val="accent4"/>
            </a:solidFill>
            <a:ln w="101600">
              <a:gradFill>
                <a:gsLst>
                  <a:gs pos="0">
                    <a:srgbClr val="06D3D9"/>
                  </a:gs>
                  <a:gs pos="62000">
                    <a:srgbClr val="09C3F2"/>
                  </a:gs>
                </a:gsLst>
                <a:lin ang="5400000" scaled="1"/>
              </a:gradFill>
            </a:ln>
            <a:effectLst>
              <a:outerShdw blurRad="50800" dist="38100" dir="8100000" algn="tr" rotWithShape="0">
                <a:prstClr val="black">
                  <a:alpha val="40000"/>
                </a:prstClr>
              </a:outerShdw>
            </a:effectLst>
          </c:spPr>
          <c:invertIfNegative val="0"/>
          <c:dPt>
            <c:idx val="8"/>
            <c:invertIfNegative val="0"/>
            <c:bubble3D val="0"/>
            <c:extLst>
              <c:ext xmlns:c16="http://schemas.microsoft.com/office/drawing/2014/chart" uri="{C3380CC4-5D6E-409C-BE32-E72D297353CC}">
                <c16:uniqueId val="{00000003-4C98-4587-A17F-736D3BBE02D5}"/>
              </c:ext>
            </c:extLst>
          </c:dPt>
          <c:cat>
            <c:strRef>
              <c:f>Processing!$A$18:$A$29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Processing!$E$18:$E$29</c:f>
              <c:numCache>
                <c:formatCode>General</c:formatCode>
                <c:ptCount val="12"/>
                <c:pt idx="0">
                  <c:v>#N/A</c:v>
                </c:pt>
                <c:pt idx="1">
                  <c:v>#N/A</c:v>
                </c:pt>
                <c:pt idx="2">
                  <c:v>#N/A</c:v>
                </c:pt>
                <c:pt idx="3">
                  <c:v>4841</c:v>
                </c:pt>
                <c:pt idx="4">
                  <c:v>4626</c:v>
                </c:pt>
                <c:pt idx="5">
                  <c:v>3066</c:v>
                </c:pt>
                <c:pt idx="6">
                  <c:v>#N/A</c:v>
                </c:pt>
                <c:pt idx="7">
                  <c:v>#N/A</c:v>
                </c:pt>
                <c:pt idx="8">
                  <c:v>#N/A</c:v>
                </c:pt>
                <c:pt idx="9">
                  <c:v>#N/A</c:v>
                </c:pt>
                <c:pt idx="10">
                  <c:v>#N/A</c:v>
                </c:pt>
                <c:pt idx="11">
                  <c:v>#N/A</c:v>
                </c:pt>
              </c:numCache>
            </c:numRef>
          </c:val>
          <c:extLst>
            <c:ext xmlns:c16="http://schemas.microsoft.com/office/drawing/2014/chart" uri="{C3380CC4-5D6E-409C-BE32-E72D297353CC}">
              <c16:uniqueId val="{00000004-4C98-4587-A17F-736D3BBE02D5}"/>
            </c:ext>
          </c:extLst>
        </c:ser>
        <c:dLbls>
          <c:showLegendKey val="0"/>
          <c:showVal val="0"/>
          <c:showCatName val="0"/>
          <c:showSerName val="0"/>
          <c:showPercent val="0"/>
          <c:showBubbleSize val="0"/>
        </c:dLbls>
        <c:gapWidth val="300"/>
        <c:overlap val="100"/>
        <c:axId val="1217885856"/>
        <c:axId val="1217884416"/>
      </c:barChart>
      <c:lineChart>
        <c:grouping val="standard"/>
        <c:varyColors val="0"/>
        <c:ser>
          <c:idx val="4"/>
          <c:order val="4"/>
          <c:tx>
            <c:strRef>
              <c:f>Processing!$F$17</c:f>
              <c:strCache>
                <c:ptCount val="1"/>
                <c:pt idx="0">
                  <c:v>Expenses</c:v>
                </c:pt>
              </c:strCache>
            </c:strRef>
          </c:tx>
          <c:spPr>
            <a:ln w="25400" cap="rnd">
              <a:solidFill>
                <a:srgbClr val="FF00FF"/>
              </a:solidFill>
              <a:round/>
            </a:ln>
            <a:effectLst>
              <a:outerShdw blurRad="50800" dist="38100" dir="5400000" algn="t" rotWithShape="0">
                <a:prstClr val="black">
                  <a:alpha val="40000"/>
                </a:prstClr>
              </a:outerShdw>
            </a:effectLst>
          </c:spPr>
          <c:marker>
            <c:symbol val="circle"/>
            <c:size val="6"/>
            <c:spPr>
              <a:solidFill>
                <a:schemeClr val="bg1"/>
              </a:solidFill>
              <a:ln w="9525">
                <a:solidFill>
                  <a:srgbClr val="FF00FF"/>
                </a:solidFill>
              </a:ln>
              <a:effectLst>
                <a:outerShdw blurRad="50800" dist="38100" dir="5400000" algn="t" rotWithShape="0">
                  <a:prstClr val="black">
                    <a:alpha val="40000"/>
                  </a:prstClr>
                </a:outerShdw>
              </a:effectLst>
            </c:spPr>
          </c:marker>
          <c:cat>
            <c:strRef>
              <c:f>Processing!$A$18:$A$29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Processing!$F$18:$F$29</c:f>
              <c:numCache>
                <c:formatCode>General</c:formatCode>
                <c:ptCount val="12"/>
                <c:pt idx="0">
                  <c:v>2412</c:v>
                </c:pt>
                <c:pt idx="1">
                  <c:v>1696</c:v>
                </c:pt>
                <c:pt idx="2">
                  <c:v>3544</c:v>
                </c:pt>
                <c:pt idx="3">
                  <c:v>2671</c:v>
                </c:pt>
                <c:pt idx="4">
                  <c:v>3036</c:v>
                </c:pt>
                <c:pt idx="5">
                  <c:v>4595</c:v>
                </c:pt>
                <c:pt idx="6">
                  <c:v>2714</c:v>
                </c:pt>
                <c:pt idx="7">
                  <c:v>3731</c:v>
                </c:pt>
                <c:pt idx="8">
                  <c:v>4952</c:v>
                </c:pt>
                <c:pt idx="9">
                  <c:v>3544</c:v>
                </c:pt>
                <c:pt idx="10">
                  <c:v>4595</c:v>
                </c:pt>
                <c:pt idx="11">
                  <c:v>1739</c:v>
                </c:pt>
              </c:numCache>
            </c:numRef>
          </c:val>
          <c:smooth val="0"/>
          <c:extLst>
            <c:ext xmlns:c16="http://schemas.microsoft.com/office/drawing/2014/chart" uri="{C3380CC4-5D6E-409C-BE32-E72D297353CC}">
              <c16:uniqueId val="{00000005-4C98-4587-A17F-736D3BBE02D5}"/>
            </c:ext>
          </c:extLst>
        </c:ser>
        <c:ser>
          <c:idx val="5"/>
          <c:order val="5"/>
          <c:tx>
            <c:strRef>
              <c:f>Processing!$G$17</c:f>
              <c:strCache>
                <c:ptCount val="1"/>
                <c:pt idx="0">
                  <c:v>Markers</c:v>
                </c:pt>
              </c:strCache>
            </c:strRef>
          </c:tx>
          <c:spPr>
            <a:ln w="28575" cap="rnd">
              <a:noFill/>
              <a:round/>
            </a:ln>
            <a:effectLst/>
          </c:spPr>
          <c:marker>
            <c:symbol val="none"/>
          </c:marker>
          <c:dLbls>
            <c:dLbl>
              <c:idx val="0"/>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6-4C98-4587-A17F-736D3BBE02D5}"/>
                </c:ext>
              </c:extLst>
            </c:dLbl>
            <c:dLbl>
              <c:idx val="1"/>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7-4C98-4587-A17F-736D3BBE02D5}"/>
                </c:ext>
              </c:extLst>
            </c:dLbl>
            <c:dLbl>
              <c:idx val="2"/>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8-4C98-4587-A17F-736D3BBE02D5}"/>
                </c:ext>
              </c:extLst>
            </c:dLbl>
            <c:dLbl>
              <c:idx val="3"/>
              <c:tx>
                <c:rich>
                  <a:bodyPr/>
                  <a:lstStyle/>
                  <a:p>
                    <a:fld id="{8C0394C3-FF96-4C08-88E2-63EE9622B888}"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4C98-4587-A17F-736D3BBE02D5}"/>
                </c:ext>
              </c:extLst>
            </c:dLbl>
            <c:dLbl>
              <c:idx val="4"/>
              <c:tx>
                <c:rich>
                  <a:bodyPr/>
                  <a:lstStyle/>
                  <a:p>
                    <a:fld id="{27948083-7A54-4F97-AF83-395D0A34BA66}"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4C98-4587-A17F-736D3BBE02D5}"/>
                </c:ext>
              </c:extLst>
            </c:dLbl>
            <c:dLbl>
              <c:idx val="5"/>
              <c:tx>
                <c:rich>
                  <a:bodyPr/>
                  <a:lstStyle/>
                  <a:p>
                    <a:fld id="{E1287A82-AB5B-4ACA-B0EC-674F1E6B931F}"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4C98-4587-A17F-736D3BBE02D5}"/>
                </c:ext>
              </c:extLst>
            </c:dLbl>
            <c:dLbl>
              <c:idx val="6"/>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C-4C98-4587-A17F-736D3BBE02D5}"/>
                </c:ext>
              </c:extLst>
            </c:dLbl>
            <c:dLbl>
              <c:idx val="7"/>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D-4C98-4587-A17F-736D3BBE02D5}"/>
                </c:ext>
              </c:extLst>
            </c:dLbl>
            <c:dLbl>
              <c:idx val="8"/>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E-4C98-4587-A17F-736D3BBE02D5}"/>
                </c:ext>
              </c:extLst>
            </c:dLbl>
            <c:dLbl>
              <c:idx val="9"/>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F-4C98-4587-A17F-736D3BBE02D5}"/>
                </c:ext>
              </c:extLst>
            </c:dLbl>
            <c:dLbl>
              <c:idx val="10"/>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0-4C98-4587-A17F-736D3BBE02D5}"/>
                </c:ext>
              </c:extLst>
            </c:dLbl>
            <c:dLbl>
              <c:idx val="11"/>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1-4C98-4587-A17F-736D3BBE02D5}"/>
                </c:ext>
              </c:extLst>
            </c:dLbl>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ru-RU"/>
              </a:p>
            </c:txPr>
            <c:dLblPos val="t"/>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f>Processing!$A$18:$A$29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Processing!$G$18:$G$29</c:f>
              <c:numCache>
                <c:formatCode>General</c:formatCode>
                <c:ptCount val="12"/>
                <c:pt idx="0">
                  <c:v>#N/A</c:v>
                </c:pt>
                <c:pt idx="1">
                  <c:v>#N/A</c:v>
                </c:pt>
                <c:pt idx="2">
                  <c:v>#N/A</c:v>
                </c:pt>
                <c:pt idx="3">
                  <c:v>5083.05</c:v>
                </c:pt>
                <c:pt idx="4">
                  <c:v>4868.05</c:v>
                </c:pt>
                <c:pt idx="5">
                  <c:v>3308.05</c:v>
                </c:pt>
                <c:pt idx="6">
                  <c:v>#N/A</c:v>
                </c:pt>
                <c:pt idx="7">
                  <c:v>#N/A</c:v>
                </c:pt>
                <c:pt idx="8">
                  <c:v>#N/A</c:v>
                </c:pt>
                <c:pt idx="9">
                  <c:v>#N/A</c:v>
                </c:pt>
                <c:pt idx="10">
                  <c:v>#N/A</c:v>
                </c:pt>
                <c:pt idx="11">
                  <c:v>#N/A</c:v>
                </c:pt>
              </c:numCache>
            </c:numRef>
          </c:val>
          <c:smooth val="0"/>
          <c:extLst>
            <c:ext xmlns:c15="http://schemas.microsoft.com/office/drawing/2012/chart" uri="{02D57815-91ED-43cb-92C2-25804820EDAC}">
              <c15:datalabelsRange>
                <c15:f>Processing!$H$18:$H$29</c15:f>
                <c15:dlblRangeCache>
                  <c:ptCount val="12"/>
                  <c:pt idx="0">
                    <c:v>#N/A</c:v>
                  </c:pt>
                  <c:pt idx="1">
                    <c:v>#N/A</c:v>
                  </c:pt>
                  <c:pt idx="2">
                    <c:v>#N/A</c:v>
                  </c:pt>
                  <c:pt idx="3">
                    <c:v>5k</c:v>
                  </c:pt>
                  <c:pt idx="4">
                    <c:v>5k</c:v>
                  </c:pt>
                  <c:pt idx="5">
                    <c:v>3k</c:v>
                  </c:pt>
                  <c:pt idx="6">
                    <c:v>#N/A</c:v>
                  </c:pt>
                  <c:pt idx="7">
                    <c:v>#N/A</c:v>
                  </c:pt>
                  <c:pt idx="8">
                    <c:v>#N/A</c:v>
                  </c:pt>
                  <c:pt idx="9">
                    <c:v>#N/A</c:v>
                  </c:pt>
                  <c:pt idx="10">
                    <c:v>#N/A</c:v>
                  </c:pt>
                  <c:pt idx="11">
                    <c:v>#N/A</c:v>
                  </c:pt>
                </c15:dlblRangeCache>
              </c15:datalabelsRange>
            </c:ext>
            <c:ext xmlns:c16="http://schemas.microsoft.com/office/drawing/2014/chart" uri="{C3380CC4-5D6E-409C-BE32-E72D297353CC}">
              <c16:uniqueId val="{00000012-4C98-4587-A17F-736D3BBE02D5}"/>
            </c:ext>
          </c:extLst>
        </c:ser>
        <c:dLbls>
          <c:showLegendKey val="0"/>
          <c:showVal val="0"/>
          <c:showCatName val="0"/>
          <c:showSerName val="0"/>
          <c:showPercent val="0"/>
          <c:showBubbleSize val="0"/>
        </c:dLbls>
        <c:marker val="1"/>
        <c:smooth val="0"/>
        <c:axId val="1217850336"/>
        <c:axId val="1217876256"/>
      </c:lineChart>
      <c:catAx>
        <c:axId val="1217850336"/>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1217876256"/>
        <c:crosses val="autoZero"/>
        <c:auto val="1"/>
        <c:lblAlgn val="ctr"/>
        <c:lblOffset val="100"/>
        <c:noMultiLvlLbl val="0"/>
      </c:catAx>
      <c:valAx>
        <c:axId val="1217876256"/>
        <c:scaling>
          <c:orientation val="minMax"/>
        </c:scaling>
        <c:delete val="0"/>
        <c:axPos val="l"/>
        <c:majorGridlines>
          <c:spPr>
            <a:ln w="9525" cap="flat" cmpd="sng" algn="ctr">
              <a:solidFill>
                <a:srgbClr val="18387B"/>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lumMod val="25000"/>
                    <a:lumOff val="75000"/>
                  </a:schemeClr>
                </a:solidFill>
                <a:latin typeface="+mn-lt"/>
                <a:ea typeface="+mn-ea"/>
                <a:cs typeface="+mn-cs"/>
              </a:defRPr>
            </a:pPr>
            <a:endParaRPr lang="ru-RU"/>
          </a:p>
        </c:txPr>
        <c:crossAx val="1217850336"/>
        <c:crosses val="autoZero"/>
        <c:crossBetween val="between"/>
      </c:valAx>
      <c:valAx>
        <c:axId val="1217884416"/>
        <c:scaling>
          <c:orientation val="minMax"/>
        </c:scaling>
        <c:delete val="1"/>
        <c:axPos val="r"/>
        <c:numFmt formatCode="General" sourceLinked="1"/>
        <c:majorTickMark val="out"/>
        <c:minorTickMark val="none"/>
        <c:tickLblPos val="nextTo"/>
        <c:crossAx val="1217885856"/>
        <c:crosses val="max"/>
        <c:crossBetween val="between"/>
      </c:valAx>
      <c:catAx>
        <c:axId val="1217885856"/>
        <c:scaling>
          <c:orientation val="minMax"/>
        </c:scaling>
        <c:delete val="1"/>
        <c:axPos val="b"/>
        <c:numFmt formatCode="General" sourceLinked="1"/>
        <c:majorTickMark val="out"/>
        <c:minorTickMark val="none"/>
        <c:tickLblPos val="nextTo"/>
        <c:crossAx val="1217884416"/>
        <c:crosses val="autoZero"/>
        <c:auto val="1"/>
        <c:lblAlgn val="ctr"/>
        <c:lblOffset val="100"/>
        <c:noMultiLvlLbl val="0"/>
      </c:catAx>
      <c:spPr>
        <a:noFill/>
      </c:spPr>
    </c:plotArea>
    <c:plotVisOnly val="1"/>
    <c:dispBlanksAs val="gap"/>
    <c:showDLblsOverMax val="0"/>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7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noFill/>
            <a:ln w="9525">
              <a:solidFill>
                <a:srgbClr val="4E5E9D">
                  <a:alpha val="70000"/>
                </a:srgbClr>
              </a:solidFill>
            </a:ln>
          </c:spPr>
          <c:dPt>
            <c:idx val="0"/>
            <c:bubble3D val="0"/>
            <c:spPr>
              <a:noFill/>
              <a:ln w="9525">
                <a:solidFill>
                  <a:srgbClr val="4E5E9D">
                    <a:alpha val="70000"/>
                  </a:srgbClr>
                </a:solidFill>
              </a:ln>
              <a:effectLst/>
            </c:spPr>
            <c:extLst>
              <c:ext xmlns:c16="http://schemas.microsoft.com/office/drawing/2014/chart" uri="{C3380CC4-5D6E-409C-BE32-E72D297353CC}">
                <c16:uniqueId val="{00000001-D3E1-48FC-8545-87825963954B}"/>
              </c:ext>
            </c:extLst>
          </c:dPt>
          <c:dPt>
            <c:idx val="1"/>
            <c:bubble3D val="0"/>
            <c:spPr>
              <a:noFill/>
              <a:ln w="9525">
                <a:solidFill>
                  <a:srgbClr val="4E5E9D">
                    <a:alpha val="70000"/>
                  </a:srgbClr>
                </a:solidFill>
              </a:ln>
              <a:effectLst/>
            </c:spPr>
            <c:extLst>
              <c:ext xmlns:c16="http://schemas.microsoft.com/office/drawing/2014/chart" uri="{C3380CC4-5D6E-409C-BE32-E72D297353CC}">
                <c16:uniqueId val="{00000003-D3E1-48FC-8545-87825963954B}"/>
              </c:ext>
            </c:extLst>
          </c:dPt>
          <c:dPt>
            <c:idx val="2"/>
            <c:bubble3D val="0"/>
            <c:spPr>
              <a:noFill/>
              <a:ln w="9525">
                <a:solidFill>
                  <a:srgbClr val="4E5E9D">
                    <a:alpha val="70000"/>
                  </a:srgbClr>
                </a:solidFill>
              </a:ln>
              <a:effectLst/>
            </c:spPr>
            <c:extLst>
              <c:ext xmlns:c16="http://schemas.microsoft.com/office/drawing/2014/chart" uri="{C3380CC4-5D6E-409C-BE32-E72D297353CC}">
                <c16:uniqueId val="{00000005-D3E1-48FC-8545-87825963954B}"/>
              </c:ext>
            </c:extLst>
          </c:dPt>
          <c:dPt>
            <c:idx val="3"/>
            <c:bubble3D val="0"/>
            <c:spPr>
              <a:noFill/>
              <a:ln w="9525">
                <a:solidFill>
                  <a:srgbClr val="4E5E9D">
                    <a:alpha val="70000"/>
                  </a:srgbClr>
                </a:solidFill>
              </a:ln>
              <a:effectLst/>
            </c:spPr>
            <c:extLst>
              <c:ext xmlns:c16="http://schemas.microsoft.com/office/drawing/2014/chart" uri="{C3380CC4-5D6E-409C-BE32-E72D297353CC}">
                <c16:uniqueId val="{00000007-D3E1-48FC-8545-87825963954B}"/>
              </c:ext>
            </c:extLst>
          </c:dPt>
          <c:dPt>
            <c:idx val="4"/>
            <c:bubble3D val="0"/>
            <c:spPr>
              <a:noFill/>
              <a:ln w="9525">
                <a:solidFill>
                  <a:srgbClr val="4E5E9D">
                    <a:alpha val="70000"/>
                  </a:srgbClr>
                </a:solidFill>
              </a:ln>
              <a:effectLst/>
            </c:spPr>
            <c:extLst>
              <c:ext xmlns:c16="http://schemas.microsoft.com/office/drawing/2014/chart" uri="{C3380CC4-5D6E-409C-BE32-E72D297353CC}">
                <c16:uniqueId val="{00000009-D3E1-48FC-8545-87825963954B}"/>
              </c:ext>
            </c:extLst>
          </c:dPt>
          <c:val>
            <c:numRef>
              <c:f>Processing!$A$64:$E$64</c:f>
              <c:numCache>
                <c:formatCode>General</c:formatCode>
                <c:ptCount val="5"/>
                <c:pt idx="0">
                  <c:v>72</c:v>
                </c:pt>
                <c:pt idx="1">
                  <c:v>72</c:v>
                </c:pt>
                <c:pt idx="2">
                  <c:v>72</c:v>
                </c:pt>
                <c:pt idx="3">
                  <c:v>72</c:v>
                </c:pt>
                <c:pt idx="4">
                  <c:v>72</c:v>
                </c:pt>
              </c:numCache>
            </c:numRef>
          </c:val>
          <c:extLst>
            <c:ext xmlns:c16="http://schemas.microsoft.com/office/drawing/2014/chart" uri="{C3380CC4-5D6E-409C-BE32-E72D297353CC}">
              <c16:uniqueId val="{0000000A-D3E1-48FC-8545-87825963954B}"/>
            </c:ext>
          </c:extLst>
        </c:ser>
        <c:ser>
          <c:idx val="1"/>
          <c:order val="1"/>
          <c:spPr>
            <a:noFill/>
            <a:ln w="9525">
              <a:solidFill>
                <a:srgbClr val="4E5E9D">
                  <a:alpha val="70000"/>
                </a:srgbClr>
              </a:solidFill>
            </a:ln>
          </c:spPr>
          <c:dPt>
            <c:idx val="0"/>
            <c:bubble3D val="0"/>
            <c:spPr>
              <a:noFill/>
              <a:ln w="9525">
                <a:solidFill>
                  <a:srgbClr val="4E5E9D">
                    <a:alpha val="70000"/>
                  </a:srgbClr>
                </a:solidFill>
              </a:ln>
              <a:effectLst/>
            </c:spPr>
            <c:extLst>
              <c:ext xmlns:c16="http://schemas.microsoft.com/office/drawing/2014/chart" uri="{C3380CC4-5D6E-409C-BE32-E72D297353CC}">
                <c16:uniqueId val="{0000000C-D3E1-48FC-8545-87825963954B}"/>
              </c:ext>
            </c:extLst>
          </c:dPt>
          <c:dPt>
            <c:idx val="1"/>
            <c:bubble3D val="0"/>
            <c:spPr>
              <a:noFill/>
              <a:ln w="9525">
                <a:solidFill>
                  <a:srgbClr val="4E5E9D">
                    <a:alpha val="70000"/>
                  </a:srgbClr>
                </a:solidFill>
              </a:ln>
              <a:effectLst/>
            </c:spPr>
            <c:extLst>
              <c:ext xmlns:c16="http://schemas.microsoft.com/office/drawing/2014/chart" uri="{C3380CC4-5D6E-409C-BE32-E72D297353CC}">
                <c16:uniqueId val="{0000000E-D3E1-48FC-8545-87825963954B}"/>
              </c:ext>
            </c:extLst>
          </c:dPt>
          <c:dPt>
            <c:idx val="2"/>
            <c:bubble3D val="0"/>
            <c:spPr>
              <a:noFill/>
              <a:ln w="9525">
                <a:solidFill>
                  <a:srgbClr val="4E5E9D">
                    <a:alpha val="70000"/>
                  </a:srgbClr>
                </a:solidFill>
              </a:ln>
              <a:effectLst/>
            </c:spPr>
            <c:extLst>
              <c:ext xmlns:c16="http://schemas.microsoft.com/office/drawing/2014/chart" uri="{C3380CC4-5D6E-409C-BE32-E72D297353CC}">
                <c16:uniqueId val="{00000010-D3E1-48FC-8545-87825963954B}"/>
              </c:ext>
            </c:extLst>
          </c:dPt>
          <c:dPt>
            <c:idx val="3"/>
            <c:bubble3D val="0"/>
            <c:spPr>
              <a:noFill/>
              <a:ln w="9525">
                <a:solidFill>
                  <a:srgbClr val="4E5E9D">
                    <a:alpha val="70000"/>
                  </a:srgbClr>
                </a:solidFill>
              </a:ln>
              <a:effectLst/>
            </c:spPr>
            <c:extLst>
              <c:ext xmlns:c16="http://schemas.microsoft.com/office/drawing/2014/chart" uri="{C3380CC4-5D6E-409C-BE32-E72D297353CC}">
                <c16:uniqueId val="{00000012-D3E1-48FC-8545-87825963954B}"/>
              </c:ext>
            </c:extLst>
          </c:dPt>
          <c:dPt>
            <c:idx val="4"/>
            <c:bubble3D val="0"/>
            <c:spPr>
              <a:noFill/>
              <a:ln w="9525">
                <a:solidFill>
                  <a:srgbClr val="4E5E9D">
                    <a:alpha val="70000"/>
                  </a:srgbClr>
                </a:solidFill>
              </a:ln>
              <a:effectLst/>
            </c:spPr>
            <c:extLst>
              <c:ext xmlns:c16="http://schemas.microsoft.com/office/drawing/2014/chart" uri="{C3380CC4-5D6E-409C-BE32-E72D297353CC}">
                <c16:uniqueId val="{00000014-D3E1-48FC-8545-87825963954B}"/>
              </c:ext>
            </c:extLst>
          </c:dPt>
          <c:val>
            <c:numRef>
              <c:f>Processing!$A$65:$E$65</c:f>
              <c:numCache>
                <c:formatCode>General</c:formatCode>
                <c:ptCount val="5"/>
                <c:pt idx="0">
                  <c:v>72</c:v>
                </c:pt>
                <c:pt idx="1">
                  <c:v>72</c:v>
                </c:pt>
                <c:pt idx="2">
                  <c:v>72</c:v>
                </c:pt>
                <c:pt idx="3">
                  <c:v>72</c:v>
                </c:pt>
                <c:pt idx="4">
                  <c:v>72</c:v>
                </c:pt>
              </c:numCache>
            </c:numRef>
          </c:val>
          <c:extLst>
            <c:ext xmlns:c16="http://schemas.microsoft.com/office/drawing/2014/chart" uri="{C3380CC4-5D6E-409C-BE32-E72D297353CC}">
              <c16:uniqueId val="{00000015-D3E1-48FC-8545-87825963954B}"/>
            </c:ext>
          </c:extLst>
        </c:ser>
        <c:ser>
          <c:idx val="2"/>
          <c:order val="2"/>
          <c:spPr>
            <a:noFill/>
            <a:ln w="9525">
              <a:solidFill>
                <a:srgbClr val="4E5E9D">
                  <a:alpha val="70000"/>
                </a:srgbClr>
              </a:solidFill>
            </a:ln>
          </c:spPr>
          <c:dPt>
            <c:idx val="0"/>
            <c:bubble3D val="0"/>
            <c:spPr>
              <a:noFill/>
              <a:ln w="9525">
                <a:solidFill>
                  <a:srgbClr val="4E5E9D">
                    <a:alpha val="70000"/>
                  </a:srgbClr>
                </a:solidFill>
              </a:ln>
              <a:effectLst/>
            </c:spPr>
            <c:extLst>
              <c:ext xmlns:c16="http://schemas.microsoft.com/office/drawing/2014/chart" uri="{C3380CC4-5D6E-409C-BE32-E72D297353CC}">
                <c16:uniqueId val="{00000017-D3E1-48FC-8545-87825963954B}"/>
              </c:ext>
            </c:extLst>
          </c:dPt>
          <c:dPt>
            <c:idx val="1"/>
            <c:bubble3D val="0"/>
            <c:spPr>
              <a:noFill/>
              <a:ln w="9525">
                <a:solidFill>
                  <a:srgbClr val="4E5E9D">
                    <a:alpha val="70000"/>
                  </a:srgbClr>
                </a:solidFill>
              </a:ln>
              <a:effectLst/>
            </c:spPr>
            <c:extLst>
              <c:ext xmlns:c16="http://schemas.microsoft.com/office/drawing/2014/chart" uri="{C3380CC4-5D6E-409C-BE32-E72D297353CC}">
                <c16:uniqueId val="{00000019-D3E1-48FC-8545-87825963954B}"/>
              </c:ext>
            </c:extLst>
          </c:dPt>
          <c:dPt>
            <c:idx val="2"/>
            <c:bubble3D val="0"/>
            <c:spPr>
              <a:noFill/>
              <a:ln w="9525">
                <a:solidFill>
                  <a:srgbClr val="4E5E9D">
                    <a:alpha val="70000"/>
                  </a:srgbClr>
                </a:solidFill>
              </a:ln>
              <a:effectLst/>
            </c:spPr>
            <c:extLst>
              <c:ext xmlns:c16="http://schemas.microsoft.com/office/drawing/2014/chart" uri="{C3380CC4-5D6E-409C-BE32-E72D297353CC}">
                <c16:uniqueId val="{0000001B-D3E1-48FC-8545-87825963954B}"/>
              </c:ext>
            </c:extLst>
          </c:dPt>
          <c:dPt>
            <c:idx val="3"/>
            <c:bubble3D val="0"/>
            <c:spPr>
              <a:noFill/>
              <a:ln w="9525">
                <a:solidFill>
                  <a:srgbClr val="4E5E9D">
                    <a:alpha val="70000"/>
                  </a:srgbClr>
                </a:solidFill>
              </a:ln>
              <a:effectLst/>
            </c:spPr>
            <c:extLst>
              <c:ext xmlns:c16="http://schemas.microsoft.com/office/drawing/2014/chart" uri="{C3380CC4-5D6E-409C-BE32-E72D297353CC}">
                <c16:uniqueId val="{0000001D-D3E1-48FC-8545-87825963954B}"/>
              </c:ext>
            </c:extLst>
          </c:dPt>
          <c:dPt>
            <c:idx val="4"/>
            <c:bubble3D val="0"/>
            <c:spPr>
              <a:noFill/>
              <a:ln w="9525">
                <a:solidFill>
                  <a:srgbClr val="4E5E9D">
                    <a:alpha val="70000"/>
                  </a:srgbClr>
                </a:solidFill>
              </a:ln>
              <a:effectLst/>
            </c:spPr>
            <c:extLst>
              <c:ext xmlns:c16="http://schemas.microsoft.com/office/drawing/2014/chart" uri="{C3380CC4-5D6E-409C-BE32-E72D297353CC}">
                <c16:uniqueId val="{0000001F-D3E1-48FC-8545-87825963954B}"/>
              </c:ext>
            </c:extLst>
          </c:dPt>
          <c:val>
            <c:numRef>
              <c:f>Processing!$A$66:$E$66</c:f>
              <c:numCache>
                <c:formatCode>General</c:formatCode>
                <c:ptCount val="5"/>
                <c:pt idx="0">
                  <c:v>72</c:v>
                </c:pt>
                <c:pt idx="1">
                  <c:v>72</c:v>
                </c:pt>
                <c:pt idx="2">
                  <c:v>72</c:v>
                </c:pt>
                <c:pt idx="3">
                  <c:v>72</c:v>
                </c:pt>
                <c:pt idx="4">
                  <c:v>72</c:v>
                </c:pt>
              </c:numCache>
            </c:numRef>
          </c:val>
          <c:extLst>
            <c:ext xmlns:c16="http://schemas.microsoft.com/office/drawing/2014/chart" uri="{C3380CC4-5D6E-409C-BE32-E72D297353CC}">
              <c16:uniqueId val="{00000020-D3E1-48FC-8545-87825963954B}"/>
            </c:ext>
          </c:extLst>
        </c:ser>
        <c:dLbls>
          <c:showLegendKey val="0"/>
          <c:showVal val="0"/>
          <c:showCatName val="0"/>
          <c:showSerName val="0"/>
          <c:showPercent val="0"/>
          <c:showBubbleSize val="0"/>
          <c:showLeaderLines val="1"/>
        </c:dLbls>
        <c:firstSliceAng val="0"/>
        <c:holeSize val="20"/>
      </c:doughnutChart>
    </c:plotArea>
    <c:plotVisOnly val="1"/>
    <c:dispBlanksAs val="gap"/>
    <c:showDLblsOverMax val="0"/>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7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radarChart>
        <c:radarStyle val="marker"/>
        <c:varyColors val="0"/>
        <c:ser>
          <c:idx val="0"/>
          <c:order val="0"/>
          <c:tx>
            <c:strRef>
              <c:f>Processing!$D$51</c:f>
              <c:strCache>
                <c:ptCount val="1"/>
                <c:pt idx="0">
                  <c:v>Entertainment</c:v>
                </c:pt>
              </c:strCache>
            </c:strRef>
          </c:tx>
          <c:spPr>
            <a:ln w="25400" cap="rnd">
              <a:solidFill>
                <a:srgbClr val="28BEBA"/>
              </a:solidFill>
              <a:round/>
            </a:ln>
            <a:effectLst>
              <a:outerShdw blurRad="50800" dist="38100" dir="8100000" algn="tr" rotWithShape="0">
                <a:prstClr val="black">
                  <a:alpha val="40000"/>
                </a:prstClr>
              </a:outerShdw>
            </a:effectLst>
          </c:spPr>
          <c:marker>
            <c:symbol val="circle"/>
            <c:size val="7"/>
            <c:spPr>
              <a:solidFill>
                <a:srgbClr val="28BEBA"/>
              </a:solidFill>
              <a:ln w="9525">
                <a:noFill/>
              </a:ln>
              <a:effectLst>
                <a:outerShdw blurRad="50800" dist="38100" dir="8100000" algn="tr" rotWithShape="0">
                  <a:prstClr val="black">
                    <a:alpha val="40000"/>
                  </a:prstClr>
                </a:outerShdw>
              </a:effectLst>
            </c:spPr>
          </c:marker>
          <c:cat>
            <c:strRef>
              <c:f>Processing!$B$52:$B$56</c:f>
              <c:strCache>
                <c:ptCount val="5"/>
                <c:pt idx="0">
                  <c:v>Eating</c:v>
                </c:pt>
                <c:pt idx="1">
                  <c:v>Fuel</c:v>
                </c:pt>
                <c:pt idx="2">
                  <c:v>Hobbies</c:v>
                </c:pt>
                <c:pt idx="3">
                  <c:v>Leisure</c:v>
                </c:pt>
                <c:pt idx="4">
                  <c:v>Shopping</c:v>
                </c:pt>
              </c:strCache>
            </c:strRef>
          </c:cat>
          <c:val>
            <c:numRef>
              <c:f>Processing!$D$52:$D$56</c:f>
              <c:numCache>
                <c:formatCode>General</c:formatCode>
                <c:ptCount val="5"/>
                <c:pt idx="0">
                  <c:v>#N/A</c:v>
                </c:pt>
                <c:pt idx="1">
                  <c:v>#N/A</c:v>
                </c:pt>
                <c:pt idx="2">
                  <c:v>#N/A</c:v>
                </c:pt>
                <c:pt idx="3">
                  <c:v>#N/A</c:v>
                </c:pt>
                <c:pt idx="4">
                  <c:v>#N/A</c:v>
                </c:pt>
              </c:numCache>
            </c:numRef>
          </c:val>
          <c:extLst>
            <c:ext xmlns:c16="http://schemas.microsoft.com/office/drawing/2014/chart" uri="{C3380CC4-5D6E-409C-BE32-E72D297353CC}">
              <c16:uniqueId val="{00000000-351F-48AB-B0F1-B3EDB3D2C33F}"/>
            </c:ext>
          </c:extLst>
        </c:ser>
        <c:ser>
          <c:idx val="1"/>
          <c:order val="1"/>
          <c:tx>
            <c:strRef>
              <c:f>Processing!$E$51</c:f>
              <c:strCache>
                <c:ptCount val="1"/>
                <c:pt idx="0">
                  <c:v>FoodCourt</c:v>
                </c:pt>
              </c:strCache>
            </c:strRef>
          </c:tx>
          <c:spPr>
            <a:ln w="25400" cap="rnd">
              <a:solidFill>
                <a:srgbClr val="3879F2"/>
              </a:solidFill>
              <a:round/>
            </a:ln>
            <a:effectLst>
              <a:outerShdw blurRad="50800" dist="38100" dir="8100000" algn="tr" rotWithShape="0">
                <a:prstClr val="black">
                  <a:alpha val="40000"/>
                </a:prstClr>
              </a:outerShdw>
            </a:effectLst>
          </c:spPr>
          <c:marker>
            <c:symbol val="circle"/>
            <c:size val="7"/>
            <c:spPr>
              <a:solidFill>
                <a:srgbClr val="2069F0"/>
              </a:solidFill>
              <a:ln w="9525">
                <a:noFill/>
              </a:ln>
              <a:effectLst>
                <a:outerShdw blurRad="50800" dist="38100" dir="8100000" algn="tr" rotWithShape="0">
                  <a:prstClr val="black">
                    <a:alpha val="40000"/>
                  </a:prstClr>
                </a:outerShdw>
              </a:effectLst>
            </c:spPr>
          </c:marker>
          <c:cat>
            <c:strRef>
              <c:f>Processing!$B$52:$B$56</c:f>
              <c:strCache>
                <c:ptCount val="5"/>
                <c:pt idx="0">
                  <c:v>Eating</c:v>
                </c:pt>
                <c:pt idx="1">
                  <c:v>Fuel</c:v>
                </c:pt>
                <c:pt idx="2">
                  <c:v>Hobbies</c:v>
                </c:pt>
                <c:pt idx="3">
                  <c:v>Leisure</c:v>
                </c:pt>
                <c:pt idx="4">
                  <c:v>Shopping</c:v>
                </c:pt>
              </c:strCache>
            </c:strRef>
          </c:cat>
          <c:val>
            <c:numRef>
              <c:f>Processing!$E$52:$E$56</c:f>
              <c:numCache>
                <c:formatCode>General</c:formatCode>
                <c:ptCount val="5"/>
                <c:pt idx="0">
                  <c:v>342</c:v>
                </c:pt>
                <c:pt idx="1">
                  <c:v>298</c:v>
                </c:pt>
                <c:pt idx="2">
                  <c:v>319</c:v>
                </c:pt>
                <c:pt idx="3">
                  <c:v>314</c:v>
                </c:pt>
                <c:pt idx="4">
                  <c:v>322</c:v>
                </c:pt>
              </c:numCache>
            </c:numRef>
          </c:val>
          <c:extLst>
            <c:ext xmlns:c16="http://schemas.microsoft.com/office/drawing/2014/chart" uri="{C3380CC4-5D6E-409C-BE32-E72D297353CC}">
              <c16:uniqueId val="{00000001-351F-48AB-B0F1-B3EDB3D2C33F}"/>
            </c:ext>
          </c:extLst>
        </c:ser>
        <c:ser>
          <c:idx val="2"/>
          <c:order val="2"/>
          <c:tx>
            <c:strRef>
              <c:f>Processing!$F$51</c:f>
              <c:strCache>
                <c:ptCount val="1"/>
                <c:pt idx="0">
                  <c:v>Supermarket</c:v>
                </c:pt>
              </c:strCache>
            </c:strRef>
          </c:tx>
          <c:spPr>
            <a:ln w="25400" cap="rnd">
              <a:solidFill>
                <a:srgbClr val="FF5C6D"/>
              </a:solidFill>
              <a:round/>
            </a:ln>
            <a:effectLst>
              <a:outerShdw blurRad="50800" dist="38100" dir="8100000" algn="tr" rotWithShape="0">
                <a:prstClr val="black">
                  <a:alpha val="40000"/>
                </a:prstClr>
              </a:outerShdw>
            </a:effectLst>
          </c:spPr>
          <c:marker>
            <c:symbol val="circle"/>
            <c:size val="7"/>
            <c:spPr>
              <a:solidFill>
                <a:srgbClr val="FF5C6D"/>
              </a:solidFill>
              <a:ln w="9525">
                <a:noFill/>
              </a:ln>
              <a:effectLst>
                <a:outerShdw blurRad="50800" dist="38100" dir="8100000" algn="tr" rotWithShape="0">
                  <a:prstClr val="black">
                    <a:alpha val="40000"/>
                  </a:prstClr>
                </a:outerShdw>
              </a:effectLst>
            </c:spPr>
          </c:marker>
          <c:cat>
            <c:strRef>
              <c:f>Processing!$B$52:$B$56</c:f>
              <c:strCache>
                <c:ptCount val="5"/>
                <c:pt idx="0">
                  <c:v>Eating</c:v>
                </c:pt>
                <c:pt idx="1">
                  <c:v>Fuel</c:v>
                </c:pt>
                <c:pt idx="2">
                  <c:v>Hobbies</c:v>
                </c:pt>
                <c:pt idx="3">
                  <c:v>Leisure</c:v>
                </c:pt>
                <c:pt idx="4">
                  <c:v>Shopping</c:v>
                </c:pt>
              </c:strCache>
            </c:strRef>
          </c:cat>
          <c:val>
            <c:numRef>
              <c:f>Processing!$F$52:$F$56</c:f>
              <c:numCache>
                <c:formatCode>General</c:formatCode>
                <c:ptCount val="5"/>
                <c:pt idx="0">
                  <c:v>524</c:v>
                </c:pt>
                <c:pt idx="1">
                  <c:v>550</c:v>
                </c:pt>
                <c:pt idx="2">
                  <c:v>498</c:v>
                </c:pt>
                <c:pt idx="3">
                  <c:v>406</c:v>
                </c:pt>
                <c:pt idx="4">
                  <c:v>509</c:v>
                </c:pt>
              </c:numCache>
            </c:numRef>
          </c:val>
          <c:extLst>
            <c:ext xmlns:c16="http://schemas.microsoft.com/office/drawing/2014/chart" uri="{C3380CC4-5D6E-409C-BE32-E72D297353CC}">
              <c16:uniqueId val="{00000002-351F-48AB-B0F1-B3EDB3D2C33F}"/>
            </c:ext>
          </c:extLst>
        </c:ser>
        <c:ser>
          <c:idx val="3"/>
          <c:order val="3"/>
          <c:tx>
            <c:strRef>
              <c:f>Processing!$G$51</c:f>
              <c:strCache>
                <c:ptCount val="1"/>
                <c:pt idx="0">
                  <c:v>Travel</c:v>
                </c:pt>
              </c:strCache>
            </c:strRef>
          </c:tx>
          <c:spPr>
            <a:ln w="25400" cap="rnd">
              <a:solidFill>
                <a:srgbClr val="00ADD6"/>
              </a:solidFill>
              <a:round/>
            </a:ln>
            <a:effectLst>
              <a:outerShdw blurRad="50800" dist="38100" dir="8100000" algn="tr" rotWithShape="0">
                <a:prstClr val="black">
                  <a:alpha val="40000"/>
                </a:prstClr>
              </a:outerShdw>
            </a:effectLst>
          </c:spPr>
          <c:marker>
            <c:symbol val="circle"/>
            <c:size val="7"/>
            <c:spPr>
              <a:solidFill>
                <a:schemeClr val="accent4"/>
              </a:solidFill>
              <a:ln w="9525">
                <a:solidFill>
                  <a:schemeClr val="accent4"/>
                </a:solidFill>
              </a:ln>
              <a:effectLst>
                <a:outerShdw blurRad="50800" dist="38100" dir="8100000" algn="tr" rotWithShape="0">
                  <a:prstClr val="black">
                    <a:alpha val="40000"/>
                  </a:prstClr>
                </a:outerShdw>
              </a:effectLst>
            </c:spPr>
          </c:marker>
          <c:cat>
            <c:strRef>
              <c:f>Processing!$B$52:$B$56</c:f>
              <c:strCache>
                <c:ptCount val="5"/>
                <c:pt idx="0">
                  <c:v>Eating</c:v>
                </c:pt>
                <c:pt idx="1">
                  <c:v>Fuel</c:v>
                </c:pt>
                <c:pt idx="2">
                  <c:v>Hobbies</c:v>
                </c:pt>
                <c:pt idx="3">
                  <c:v>Leisure</c:v>
                </c:pt>
                <c:pt idx="4">
                  <c:v>Shopping</c:v>
                </c:pt>
              </c:strCache>
            </c:strRef>
          </c:cat>
          <c:val>
            <c:numRef>
              <c:f>Processing!$G$52:$G$56</c:f>
              <c:numCache>
                <c:formatCode>General</c:formatCode>
                <c:ptCount val="5"/>
                <c:pt idx="0">
                  <c:v>238</c:v>
                </c:pt>
                <c:pt idx="1">
                  <c:v>459</c:v>
                </c:pt>
                <c:pt idx="2">
                  <c:v>370</c:v>
                </c:pt>
                <c:pt idx="3">
                  <c:v>467</c:v>
                </c:pt>
                <c:pt idx="4">
                  <c:v>313</c:v>
                </c:pt>
              </c:numCache>
            </c:numRef>
          </c:val>
          <c:extLst>
            <c:ext xmlns:c16="http://schemas.microsoft.com/office/drawing/2014/chart" uri="{C3380CC4-5D6E-409C-BE32-E72D297353CC}">
              <c16:uniqueId val="{00000003-351F-48AB-B0F1-B3EDB3D2C33F}"/>
            </c:ext>
          </c:extLst>
        </c:ser>
        <c:ser>
          <c:idx val="4"/>
          <c:order val="4"/>
          <c:tx>
            <c:strRef>
              <c:f>Processing!$H$51</c:f>
              <c:strCache>
                <c:ptCount val="1"/>
                <c:pt idx="0">
                  <c:v>Workplace</c:v>
                </c:pt>
              </c:strCache>
            </c:strRef>
          </c:tx>
          <c:spPr>
            <a:ln w="25400" cap="rnd">
              <a:solidFill>
                <a:srgbClr val="6978B4"/>
              </a:solidFill>
              <a:round/>
            </a:ln>
            <a:effectLst>
              <a:outerShdw blurRad="50800" dist="38100" dir="8100000" algn="tr" rotWithShape="0">
                <a:prstClr val="black">
                  <a:alpha val="40000"/>
                </a:prstClr>
              </a:outerShdw>
            </a:effectLst>
          </c:spPr>
          <c:marker>
            <c:symbol val="circle"/>
            <c:size val="7"/>
            <c:spPr>
              <a:solidFill>
                <a:srgbClr val="6978B4"/>
              </a:solidFill>
              <a:ln w="9525">
                <a:noFill/>
              </a:ln>
              <a:effectLst>
                <a:outerShdw blurRad="50800" dist="38100" dir="8100000" algn="tr" rotWithShape="0">
                  <a:prstClr val="black">
                    <a:alpha val="40000"/>
                  </a:prstClr>
                </a:outerShdw>
              </a:effectLst>
            </c:spPr>
          </c:marker>
          <c:cat>
            <c:strRef>
              <c:f>Processing!$B$52:$B$56</c:f>
              <c:strCache>
                <c:ptCount val="5"/>
                <c:pt idx="0">
                  <c:v>Eating</c:v>
                </c:pt>
                <c:pt idx="1">
                  <c:v>Fuel</c:v>
                </c:pt>
                <c:pt idx="2">
                  <c:v>Hobbies</c:v>
                </c:pt>
                <c:pt idx="3">
                  <c:v>Leisure</c:v>
                </c:pt>
                <c:pt idx="4">
                  <c:v>Shopping</c:v>
                </c:pt>
              </c:strCache>
            </c:strRef>
          </c:cat>
          <c:val>
            <c:numRef>
              <c:f>Processing!$H$52:$H$56</c:f>
              <c:numCache>
                <c:formatCode>General</c:formatCode>
                <c:ptCount val="5"/>
                <c:pt idx="0">
                  <c:v>#N/A</c:v>
                </c:pt>
                <c:pt idx="1">
                  <c:v>#N/A</c:v>
                </c:pt>
                <c:pt idx="2">
                  <c:v>#N/A</c:v>
                </c:pt>
                <c:pt idx="3">
                  <c:v>#N/A</c:v>
                </c:pt>
                <c:pt idx="4">
                  <c:v>#N/A</c:v>
                </c:pt>
              </c:numCache>
            </c:numRef>
          </c:val>
          <c:extLst>
            <c:ext xmlns:c16="http://schemas.microsoft.com/office/drawing/2014/chart" uri="{C3380CC4-5D6E-409C-BE32-E72D297353CC}">
              <c16:uniqueId val="{00000004-351F-48AB-B0F1-B3EDB3D2C33F}"/>
            </c:ext>
          </c:extLst>
        </c:ser>
        <c:dLbls>
          <c:showLegendKey val="0"/>
          <c:showVal val="0"/>
          <c:showCatName val="0"/>
          <c:showSerName val="0"/>
          <c:showPercent val="0"/>
          <c:showBubbleSize val="0"/>
        </c:dLbls>
        <c:axId val="1484366719"/>
        <c:axId val="1484339839"/>
      </c:radarChart>
      <c:catAx>
        <c:axId val="148436671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lumMod val="25000"/>
                    <a:lumOff val="75000"/>
                  </a:schemeClr>
                </a:solidFill>
                <a:latin typeface="+mn-lt"/>
                <a:ea typeface="+mn-ea"/>
                <a:cs typeface="+mn-cs"/>
              </a:defRPr>
            </a:pPr>
            <a:endParaRPr lang="ru-RU"/>
          </a:p>
        </c:txPr>
        <c:crossAx val="1484339839"/>
        <c:crosses val="autoZero"/>
        <c:auto val="1"/>
        <c:lblAlgn val="ctr"/>
        <c:lblOffset val="100"/>
        <c:noMultiLvlLbl val="0"/>
      </c:catAx>
      <c:valAx>
        <c:axId val="1484339839"/>
        <c:scaling>
          <c:orientation val="minMax"/>
        </c:scaling>
        <c:delete val="1"/>
        <c:axPos val="l"/>
        <c:numFmt formatCode="General" sourceLinked="1"/>
        <c:majorTickMark val="none"/>
        <c:minorTickMark val="none"/>
        <c:tickLblPos val="nextTo"/>
        <c:crossAx val="1484366719"/>
        <c:crosses val="autoZero"/>
        <c:crossBetween val="between"/>
      </c:valAx>
      <c:spPr>
        <a:noFill/>
      </c:spPr>
    </c:plotArea>
    <c:plotVisOnly val="1"/>
    <c:dispBlanksAs val="gap"/>
    <c:showDLblsOverMax val="0"/>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7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3"/>
          <c:order val="0"/>
          <c:tx>
            <c:strRef>
              <c:f>Processing!$C$60</c:f>
              <c:strCache>
                <c:ptCount val="1"/>
                <c:pt idx="0">
                  <c:v>indent</c:v>
                </c:pt>
              </c:strCache>
            </c:strRef>
          </c:tx>
          <c:spPr>
            <a:noFill/>
            <a:ln>
              <a:noFill/>
            </a:ln>
            <a:effectLst/>
          </c:spPr>
          <c:invertIfNegative val="0"/>
          <c:val>
            <c:numRef>
              <c:f>Processing!$D$60:$H$60</c:f>
              <c:numCache>
                <c:formatCode>General</c:formatCode>
                <c:ptCount val="5"/>
                <c:pt idx="0">
                  <c:v>174.09</c:v>
                </c:pt>
                <c:pt idx="1">
                  <c:v>174.09</c:v>
                </c:pt>
                <c:pt idx="2">
                  <c:v>174.09</c:v>
                </c:pt>
                <c:pt idx="3">
                  <c:v>174.09</c:v>
                </c:pt>
                <c:pt idx="4">
                  <c:v>174.09</c:v>
                </c:pt>
              </c:numCache>
            </c:numRef>
          </c:val>
          <c:extLst>
            <c:ext xmlns:c16="http://schemas.microsoft.com/office/drawing/2014/chart" uri="{C3380CC4-5D6E-409C-BE32-E72D297353CC}">
              <c16:uniqueId val="{00000000-27D4-4CF0-BD82-DA05A8463893}"/>
            </c:ext>
          </c:extLst>
        </c:ser>
        <c:ser>
          <c:idx val="2"/>
          <c:order val="1"/>
          <c:tx>
            <c:strRef>
              <c:f>Processing!$C$59</c:f>
              <c:strCache>
                <c:ptCount val="1"/>
                <c:pt idx="0">
                  <c:v>Total</c:v>
                </c:pt>
              </c:strCache>
            </c:strRef>
          </c:tx>
          <c:spPr>
            <a:solidFill>
              <a:schemeClr val="accent3"/>
            </a:solidFill>
            <a:ln w="101600">
              <a:gradFill>
                <a:gsLst>
                  <a:gs pos="0">
                    <a:srgbClr val="1F449D"/>
                  </a:gs>
                  <a:gs pos="100000">
                    <a:srgbClr val="1B3B88"/>
                  </a:gs>
                </a:gsLst>
                <a:lin ang="5400000" scaled="1"/>
              </a:gradFill>
            </a:ln>
            <a:effectLst/>
          </c:spPr>
          <c:invertIfNegative val="0"/>
          <c:val>
            <c:numRef>
              <c:f>Processing!$D$59:$H$59</c:f>
              <c:numCache>
                <c:formatCode>General</c:formatCode>
                <c:ptCount val="5"/>
                <c:pt idx="0">
                  <c:v>2311</c:v>
                </c:pt>
                <c:pt idx="1">
                  <c:v>1595</c:v>
                </c:pt>
                <c:pt idx="2">
                  <c:v>2487</c:v>
                </c:pt>
                <c:pt idx="3">
                  <c:v>1847</c:v>
                </c:pt>
                <c:pt idx="4">
                  <c:v>2062</c:v>
                </c:pt>
              </c:numCache>
            </c:numRef>
          </c:val>
          <c:extLst>
            <c:ext xmlns:c16="http://schemas.microsoft.com/office/drawing/2014/chart" uri="{C3380CC4-5D6E-409C-BE32-E72D297353CC}">
              <c16:uniqueId val="{00000001-27D4-4CF0-BD82-DA05A8463893}"/>
            </c:ext>
          </c:extLst>
        </c:ser>
        <c:dLbls>
          <c:showLegendKey val="0"/>
          <c:showVal val="0"/>
          <c:showCatName val="0"/>
          <c:showSerName val="0"/>
          <c:showPercent val="0"/>
          <c:showBubbleSize val="0"/>
        </c:dLbls>
        <c:gapWidth val="400"/>
        <c:overlap val="100"/>
        <c:axId val="1488376607"/>
        <c:axId val="1488381407"/>
      </c:barChart>
      <c:barChart>
        <c:barDir val="col"/>
        <c:grouping val="stacked"/>
        <c:varyColors val="0"/>
        <c:ser>
          <c:idx val="1"/>
          <c:order val="2"/>
          <c:tx>
            <c:strRef>
              <c:f>Processing!$C$58</c:f>
              <c:strCache>
                <c:ptCount val="1"/>
                <c:pt idx="0">
                  <c:v>indent Cursor</c:v>
                </c:pt>
              </c:strCache>
            </c:strRef>
          </c:tx>
          <c:spPr>
            <a:noFill/>
            <a:ln>
              <a:noFill/>
            </a:ln>
            <a:effectLst/>
          </c:spPr>
          <c:invertIfNegative val="0"/>
          <c:val>
            <c:numRef>
              <c:f>Processing!$D$58:$H$58</c:f>
              <c:numCache>
                <c:formatCode>General</c:formatCode>
                <c:ptCount val="5"/>
                <c:pt idx="0">
                  <c:v>174.09</c:v>
                </c:pt>
                <c:pt idx="1">
                  <c:v>174.09</c:v>
                </c:pt>
                <c:pt idx="2">
                  <c:v>174.09</c:v>
                </c:pt>
                <c:pt idx="3">
                  <c:v>174.09</c:v>
                </c:pt>
                <c:pt idx="4">
                  <c:v>174.09</c:v>
                </c:pt>
              </c:numCache>
            </c:numRef>
          </c:val>
          <c:extLst>
            <c:ext xmlns:c16="http://schemas.microsoft.com/office/drawing/2014/chart" uri="{C3380CC4-5D6E-409C-BE32-E72D297353CC}">
              <c16:uniqueId val="{00000002-27D4-4CF0-BD82-DA05A8463893}"/>
            </c:ext>
          </c:extLst>
        </c:ser>
        <c:ser>
          <c:idx val="0"/>
          <c:order val="3"/>
          <c:tx>
            <c:strRef>
              <c:f>Processing!$C$57</c:f>
              <c:strCache>
                <c:ptCount val="1"/>
                <c:pt idx="0">
                  <c:v>Cursor</c:v>
                </c:pt>
              </c:strCache>
            </c:strRef>
          </c:tx>
          <c:spPr>
            <a:solidFill>
              <a:schemeClr val="accent1"/>
            </a:solidFill>
            <a:ln w="101600">
              <a:gradFill>
                <a:gsLst>
                  <a:gs pos="0">
                    <a:srgbClr val="00ADD6"/>
                  </a:gs>
                  <a:gs pos="100000">
                    <a:schemeClr val="accent1">
                      <a:lumMod val="30000"/>
                      <a:lumOff val="70000"/>
                    </a:schemeClr>
                  </a:gs>
                </a:gsLst>
                <a:lin ang="5400000" scaled="1"/>
              </a:gradFill>
            </a:ln>
            <a:effectLst>
              <a:outerShdw blurRad="50800" dist="38100" dir="8100000" algn="tr" rotWithShape="0">
                <a:prstClr val="black">
                  <a:alpha val="40000"/>
                </a:prstClr>
              </a:outerShdw>
            </a:effectLst>
          </c:spPr>
          <c:invertIfNegative val="0"/>
          <c:dPt>
            <c:idx val="0"/>
            <c:invertIfNegative val="0"/>
            <c:bubble3D val="0"/>
            <c:spPr>
              <a:solidFill>
                <a:schemeClr val="accent1"/>
              </a:solidFill>
              <a:ln w="101600">
                <a:gradFill>
                  <a:gsLst>
                    <a:gs pos="0">
                      <a:srgbClr val="28BEBA"/>
                    </a:gs>
                    <a:gs pos="100000">
                      <a:srgbClr val="1D8986"/>
                    </a:gs>
                  </a:gsLst>
                  <a:lin ang="5400000" scaled="1"/>
                </a:gradFill>
              </a:ln>
              <a:effectLst>
                <a:outerShdw blurRad="50800" dist="38100" dir="8100000" algn="tr" rotWithShape="0">
                  <a:prstClr val="black">
                    <a:alpha val="40000"/>
                  </a:prstClr>
                </a:outerShdw>
              </a:effectLst>
            </c:spPr>
            <c:extLst>
              <c:ext xmlns:c16="http://schemas.microsoft.com/office/drawing/2014/chart" uri="{C3380CC4-5D6E-409C-BE32-E72D297353CC}">
                <c16:uniqueId val="{00000004-27D4-4CF0-BD82-DA05A8463893}"/>
              </c:ext>
            </c:extLst>
          </c:dPt>
          <c:dPt>
            <c:idx val="1"/>
            <c:invertIfNegative val="0"/>
            <c:bubble3D val="0"/>
            <c:spPr>
              <a:solidFill>
                <a:schemeClr val="accent1"/>
              </a:solidFill>
              <a:ln w="101600">
                <a:gradFill>
                  <a:gsLst>
                    <a:gs pos="0">
                      <a:srgbClr val="3879F2"/>
                    </a:gs>
                    <a:gs pos="100000">
                      <a:srgbClr val="2069F0"/>
                    </a:gs>
                  </a:gsLst>
                  <a:lin ang="5400000" scaled="1"/>
                </a:gradFill>
              </a:ln>
              <a:effectLst>
                <a:outerShdw blurRad="50800" dist="38100" dir="8100000" algn="tr" rotWithShape="0">
                  <a:prstClr val="black">
                    <a:alpha val="40000"/>
                  </a:prstClr>
                </a:outerShdw>
              </a:effectLst>
            </c:spPr>
            <c:extLst>
              <c:ext xmlns:c16="http://schemas.microsoft.com/office/drawing/2014/chart" uri="{C3380CC4-5D6E-409C-BE32-E72D297353CC}">
                <c16:uniqueId val="{00000006-27D4-4CF0-BD82-DA05A8463893}"/>
              </c:ext>
            </c:extLst>
          </c:dPt>
          <c:dPt>
            <c:idx val="2"/>
            <c:invertIfNegative val="0"/>
            <c:bubble3D val="0"/>
            <c:spPr>
              <a:solidFill>
                <a:schemeClr val="accent1"/>
              </a:solidFill>
              <a:ln w="101600">
                <a:gradFill>
                  <a:gsLst>
                    <a:gs pos="0">
                      <a:srgbClr val="FF7684"/>
                    </a:gs>
                    <a:gs pos="100000">
                      <a:srgbClr val="FF5C6D"/>
                    </a:gs>
                  </a:gsLst>
                  <a:lin ang="5400000" scaled="1"/>
                </a:gradFill>
              </a:ln>
              <a:effectLst>
                <a:outerShdw blurRad="50800" dist="38100" dir="8100000" algn="tr" rotWithShape="0">
                  <a:prstClr val="black">
                    <a:alpha val="40000"/>
                  </a:prstClr>
                </a:outerShdw>
              </a:effectLst>
            </c:spPr>
            <c:extLst>
              <c:ext xmlns:c16="http://schemas.microsoft.com/office/drawing/2014/chart" uri="{C3380CC4-5D6E-409C-BE32-E72D297353CC}">
                <c16:uniqueId val="{00000008-27D4-4CF0-BD82-DA05A8463893}"/>
              </c:ext>
            </c:extLst>
          </c:dPt>
          <c:dPt>
            <c:idx val="3"/>
            <c:invertIfNegative val="0"/>
            <c:bubble3D val="0"/>
            <c:spPr>
              <a:solidFill>
                <a:schemeClr val="accent1"/>
              </a:solidFill>
              <a:ln w="101600">
                <a:gradFill>
                  <a:gsLst>
                    <a:gs pos="0">
                      <a:srgbClr val="00ADD6"/>
                    </a:gs>
                    <a:gs pos="100000">
                      <a:srgbClr val="007D9B"/>
                    </a:gs>
                  </a:gsLst>
                  <a:lin ang="5400000" scaled="1"/>
                </a:gradFill>
              </a:ln>
              <a:effectLst>
                <a:outerShdw blurRad="50800" dist="38100" dir="8100000" algn="tr" rotWithShape="0">
                  <a:prstClr val="black">
                    <a:alpha val="40000"/>
                  </a:prstClr>
                </a:outerShdw>
              </a:effectLst>
            </c:spPr>
            <c:extLst>
              <c:ext xmlns:c16="http://schemas.microsoft.com/office/drawing/2014/chart" uri="{C3380CC4-5D6E-409C-BE32-E72D297353CC}">
                <c16:uniqueId val="{0000000A-27D4-4CF0-BD82-DA05A8463893}"/>
              </c:ext>
            </c:extLst>
          </c:dPt>
          <c:dPt>
            <c:idx val="4"/>
            <c:invertIfNegative val="0"/>
            <c:bubble3D val="0"/>
            <c:spPr>
              <a:solidFill>
                <a:schemeClr val="accent1"/>
              </a:solidFill>
              <a:ln w="101600">
                <a:gradFill>
                  <a:gsLst>
                    <a:gs pos="0">
                      <a:srgbClr val="6978B4"/>
                    </a:gs>
                    <a:gs pos="100000">
                      <a:srgbClr val="4E5E9D"/>
                    </a:gs>
                  </a:gsLst>
                  <a:lin ang="5400000" scaled="1"/>
                </a:gradFill>
              </a:ln>
              <a:effectLst>
                <a:outerShdw blurRad="50800" dist="38100" dir="8100000" algn="tr" rotWithShape="0">
                  <a:prstClr val="black">
                    <a:alpha val="40000"/>
                  </a:prstClr>
                </a:outerShdw>
              </a:effectLst>
            </c:spPr>
            <c:extLst>
              <c:ext xmlns:c16="http://schemas.microsoft.com/office/drawing/2014/chart" uri="{C3380CC4-5D6E-409C-BE32-E72D297353CC}">
                <c16:uniqueId val="{0000000C-27D4-4CF0-BD82-DA05A8463893}"/>
              </c:ext>
            </c:extLst>
          </c:dPt>
          <c:val>
            <c:numRef>
              <c:f>Processing!$D$57:$H$57</c:f>
              <c:numCache>
                <c:formatCode>General</c:formatCode>
                <c:ptCount val="5"/>
                <c:pt idx="0">
                  <c:v>#N/A</c:v>
                </c:pt>
                <c:pt idx="1">
                  <c:v>1595</c:v>
                </c:pt>
                <c:pt idx="2">
                  <c:v>2487</c:v>
                </c:pt>
                <c:pt idx="3">
                  <c:v>1847</c:v>
                </c:pt>
                <c:pt idx="4">
                  <c:v>#N/A</c:v>
                </c:pt>
              </c:numCache>
            </c:numRef>
          </c:val>
          <c:extLst>
            <c:ext xmlns:c16="http://schemas.microsoft.com/office/drawing/2014/chart" uri="{C3380CC4-5D6E-409C-BE32-E72D297353CC}">
              <c16:uniqueId val="{0000000D-27D4-4CF0-BD82-DA05A8463893}"/>
            </c:ext>
          </c:extLst>
        </c:ser>
        <c:dLbls>
          <c:showLegendKey val="0"/>
          <c:showVal val="0"/>
          <c:showCatName val="0"/>
          <c:showSerName val="0"/>
          <c:showPercent val="0"/>
          <c:showBubbleSize val="0"/>
        </c:dLbls>
        <c:gapWidth val="400"/>
        <c:overlap val="100"/>
        <c:axId val="1488359807"/>
        <c:axId val="1488349727"/>
      </c:barChart>
      <c:scatterChart>
        <c:scatterStyle val="lineMarker"/>
        <c:varyColors val="0"/>
        <c:ser>
          <c:idx val="4"/>
          <c:order val="4"/>
          <c:tx>
            <c:strRef>
              <c:f>Processing!$C$61</c:f>
              <c:strCache>
                <c:ptCount val="1"/>
                <c:pt idx="0">
                  <c:v>Markers</c:v>
                </c:pt>
              </c:strCache>
            </c:strRef>
          </c:tx>
          <c:spPr>
            <a:ln w="25400" cap="rnd">
              <a:noFill/>
              <a:round/>
            </a:ln>
            <a:effectLst/>
          </c:spPr>
          <c:marker>
            <c:symbol val="none"/>
          </c:marker>
          <c:dLbls>
            <c:dLbl>
              <c:idx val="0"/>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E-27D4-4CF0-BD82-DA05A8463893}"/>
                </c:ext>
              </c:extLst>
            </c:dLbl>
            <c:dLbl>
              <c:idx val="1"/>
              <c:tx>
                <c:rich>
                  <a:bodyPr/>
                  <a:lstStyle/>
                  <a:p>
                    <a:fld id="{7447C43A-ABAE-4B18-80E5-304846201052}"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F-27D4-4CF0-BD82-DA05A8463893}"/>
                </c:ext>
              </c:extLst>
            </c:dLbl>
            <c:dLbl>
              <c:idx val="2"/>
              <c:tx>
                <c:rich>
                  <a:bodyPr/>
                  <a:lstStyle/>
                  <a:p>
                    <a:fld id="{05FB81B4-99A5-40B4-B378-C0364942242D}"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0-27D4-4CF0-BD82-DA05A8463893}"/>
                </c:ext>
              </c:extLst>
            </c:dLbl>
            <c:dLbl>
              <c:idx val="3"/>
              <c:tx>
                <c:rich>
                  <a:bodyPr/>
                  <a:lstStyle/>
                  <a:p>
                    <a:fld id="{E1E3254E-6615-4A23-A3CE-6B4CDD11B43A}"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1-27D4-4CF0-BD82-DA05A8463893}"/>
                </c:ext>
              </c:extLst>
            </c:dLbl>
            <c:dLbl>
              <c:idx val="4"/>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2-27D4-4CF0-BD82-DA05A8463893}"/>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ru-RU"/>
              </a:p>
            </c:txPr>
            <c:dLblPos val="t"/>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yVal>
            <c:numRef>
              <c:f>Processing!$D$61:$H$61</c:f>
              <c:numCache>
                <c:formatCode>General</c:formatCode>
                <c:ptCount val="5"/>
                <c:pt idx="0">
                  <c:v>#N/A</c:v>
                </c:pt>
                <c:pt idx="1">
                  <c:v>1769.09</c:v>
                </c:pt>
                <c:pt idx="2">
                  <c:v>2661.09</c:v>
                </c:pt>
                <c:pt idx="3">
                  <c:v>2021.09</c:v>
                </c:pt>
                <c:pt idx="4">
                  <c:v>#N/A</c:v>
                </c:pt>
              </c:numCache>
            </c:numRef>
          </c:yVal>
          <c:smooth val="0"/>
          <c:extLst>
            <c:ext xmlns:c15="http://schemas.microsoft.com/office/drawing/2012/chart" uri="{02D57815-91ED-43cb-92C2-25804820EDAC}">
              <c15:datalabelsRange>
                <c15:f>Processing!$D$62:$H$62</c15:f>
                <c15:dlblRangeCache>
                  <c:ptCount val="5"/>
                  <c:pt idx="1">
                    <c:v>2k</c:v>
                  </c:pt>
                  <c:pt idx="2">
                    <c:v>2k</c:v>
                  </c:pt>
                  <c:pt idx="3">
                    <c:v>2k</c:v>
                  </c:pt>
                </c15:dlblRangeCache>
              </c15:datalabelsRange>
            </c:ext>
            <c:ext xmlns:c16="http://schemas.microsoft.com/office/drawing/2014/chart" uri="{C3380CC4-5D6E-409C-BE32-E72D297353CC}">
              <c16:uniqueId val="{00000013-27D4-4CF0-BD82-DA05A8463893}"/>
            </c:ext>
          </c:extLst>
        </c:ser>
        <c:dLbls>
          <c:showLegendKey val="0"/>
          <c:showVal val="0"/>
          <c:showCatName val="0"/>
          <c:showSerName val="0"/>
          <c:showPercent val="0"/>
          <c:showBubbleSize val="0"/>
        </c:dLbls>
        <c:axId val="1488359807"/>
        <c:axId val="1488349727"/>
      </c:scatterChart>
      <c:catAx>
        <c:axId val="1488376607"/>
        <c:scaling>
          <c:orientation val="minMax"/>
        </c:scaling>
        <c:delete val="1"/>
        <c:axPos val="b"/>
        <c:majorTickMark val="none"/>
        <c:minorTickMark val="none"/>
        <c:tickLblPos val="nextTo"/>
        <c:crossAx val="1488381407"/>
        <c:crosses val="autoZero"/>
        <c:auto val="1"/>
        <c:lblAlgn val="ctr"/>
        <c:lblOffset val="100"/>
        <c:noMultiLvlLbl val="0"/>
      </c:catAx>
      <c:valAx>
        <c:axId val="1488381407"/>
        <c:scaling>
          <c:orientation val="minMax"/>
        </c:scaling>
        <c:delete val="1"/>
        <c:axPos val="l"/>
        <c:numFmt formatCode="General" sourceLinked="1"/>
        <c:majorTickMark val="none"/>
        <c:minorTickMark val="none"/>
        <c:tickLblPos val="nextTo"/>
        <c:crossAx val="1488376607"/>
        <c:crosses val="autoZero"/>
        <c:crossBetween val="between"/>
      </c:valAx>
      <c:valAx>
        <c:axId val="1488349727"/>
        <c:scaling>
          <c:orientation val="minMax"/>
        </c:scaling>
        <c:delete val="1"/>
        <c:axPos val="r"/>
        <c:numFmt formatCode="General" sourceLinked="1"/>
        <c:majorTickMark val="out"/>
        <c:minorTickMark val="none"/>
        <c:tickLblPos val="nextTo"/>
        <c:crossAx val="1488359807"/>
        <c:crosses val="max"/>
        <c:crossBetween val="between"/>
      </c:valAx>
      <c:catAx>
        <c:axId val="1488359807"/>
        <c:scaling>
          <c:orientation val="minMax"/>
        </c:scaling>
        <c:delete val="1"/>
        <c:axPos val="b"/>
        <c:majorTickMark val="out"/>
        <c:minorTickMark val="none"/>
        <c:tickLblPos val="nextTo"/>
        <c:crossAx val="1488349727"/>
        <c:crosses val="autoZero"/>
        <c:auto val="1"/>
        <c:lblAlgn val="ctr"/>
        <c:lblOffset val="100"/>
        <c:noMultiLvlLbl val="0"/>
      </c:catAx>
      <c:spPr>
        <a:noFill/>
      </c:spPr>
    </c:plotArea>
    <c:plotVisOnly val="1"/>
    <c:dispBlanksAs val="gap"/>
    <c:showDLblsOverMax val="0"/>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7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711001086985339"/>
          <c:y val="8.9869281045751634E-2"/>
          <c:w val="0.66877483117640601"/>
          <c:h val="0.8202614379084967"/>
        </c:manualLayout>
      </c:layout>
      <c:barChart>
        <c:barDir val="bar"/>
        <c:grouping val="stacked"/>
        <c:varyColors val="0"/>
        <c:ser>
          <c:idx val="1"/>
          <c:order val="0"/>
          <c:tx>
            <c:strRef>
              <c:f>Processing!$E$33</c:f>
              <c:strCache>
                <c:ptCount val="1"/>
                <c:pt idx="0">
                  <c:v>indent</c:v>
                </c:pt>
              </c:strCache>
            </c:strRef>
          </c:tx>
          <c:spPr>
            <a:noFill/>
            <a:ln>
              <a:noFill/>
            </a:ln>
            <a:effectLst/>
          </c:spPr>
          <c:invertIfNegative val="0"/>
          <c:cat>
            <c:strRef>
              <c:f>Processing!$D$34:$D$37</c:f>
              <c:strCache>
                <c:ptCount val="4"/>
                <c:pt idx="0">
                  <c:v>Savings</c:v>
                </c:pt>
                <c:pt idx="1">
                  <c:v>Salary</c:v>
                </c:pt>
                <c:pt idx="2">
                  <c:v>Side Job</c:v>
                </c:pt>
                <c:pt idx="3">
                  <c:v>Stock</c:v>
                </c:pt>
              </c:strCache>
            </c:strRef>
          </c:cat>
          <c:val>
            <c:numRef>
              <c:f>Processing!$E$34:$E$37</c:f>
              <c:numCache>
                <c:formatCode>General</c:formatCode>
                <c:ptCount val="4"/>
                <c:pt idx="0">
                  <c:v>271.18</c:v>
                </c:pt>
                <c:pt idx="1">
                  <c:v>271.18</c:v>
                </c:pt>
                <c:pt idx="2">
                  <c:v>271.18</c:v>
                </c:pt>
                <c:pt idx="3">
                  <c:v>271.18</c:v>
                </c:pt>
              </c:numCache>
            </c:numRef>
          </c:val>
          <c:extLst>
            <c:ext xmlns:c16="http://schemas.microsoft.com/office/drawing/2014/chart" uri="{C3380CC4-5D6E-409C-BE32-E72D297353CC}">
              <c16:uniqueId val="{00000000-67C9-46DE-9666-2E60A02BBA14}"/>
            </c:ext>
          </c:extLst>
        </c:ser>
        <c:ser>
          <c:idx val="0"/>
          <c:order val="1"/>
          <c:tx>
            <c:strRef>
              <c:f>Processing!$F$33</c:f>
              <c:strCache>
                <c:ptCount val="1"/>
                <c:pt idx="0">
                  <c:v>Rank</c:v>
                </c:pt>
              </c:strCache>
            </c:strRef>
          </c:tx>
          <c:spPr>
            <a:solidFill>
              <a:schemeClr val="accent1"/>
            </a:solidFill>
            <a:ln w="10160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invertIfNegative val="0"/>
          <c:cat>
            <c:strRef>
              <c:f>Processing!$D$34:$D$37</c:f>
              <c:strCache>
                <c:ptCount val="4"/>
                <c:pt idx="0">
                  <c:v>Savings</c:v>
                </c:pt>
                <c:pt idx="1">
                  <c:v>Salary</c:v>
                </c:pt>
                <c:pt idx="2">
                  <c:v>Side Job</c:v>
                </c:pt>
                <c:pt idx="3">
                  <c:v>Stock</c:v>
                </c:pt>
              </c:strCache>
            </c:strRef>
          </c:cat>
          <c:val>
            <c:numRef>
              <c:f>Processing!$F$34:$F$37</c:f>
              <c:numCache>
                <c:formatCode>General</c:formatCode>
                <c:ptCount val="4"/>
                <c:pt idx="0">
                  <c:v>3874</c:v>
                </c:pt>
                <c:pt idx="1">
                  <c:v>3546</c:v>
                </c:pt>
                <c:pt idx="2">
                  <c:v>2607</c:v>
                </c:pt>
                <c:pt idx="3">
                  <c:v>2506</c:v>
                </c:pt>
              </c:numCache>
            </c:numRef>
          </c:val>
          <c:extLst>
            <c:ext xmlns:c16="http://schemas.microsoft.com/office/drawing/2014/chart" uri="{C3380CC4-5D6E-409C-BE32-E72D297353CC}">
              <c16:uniqueId val="{00000001-67C9-46DE-9666-2E60A02BBA14}"/>
            </c:ext>
          </c:extLst>
        </c:ser>
        <c:dLbls>
          <c:showLegendKey val="0"/>
          <c:showVal val="0"/>
          <c:showCatName val="0"/>
          <c:showSerName val="0"/>
          <c:showPercent val="0"/>
          <c:showBubbleSize val="0"/>
        </c:dLbls>
        <c:gapWidth val="400"/>
        <c:overlap val="100"/>
        <c:axId val="1547179375"/>
        <c:axId val="1547170255"/>
      </c:barChart>
      <c:catAx>
        <c:axId val="1547179375"/>
        <c:scaling>
          <c:orientation val="maxMin"/>
        </c:scaling>
        <c:delete val="0"/>
        <c:axPos val="l"/>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2">
                    <a:lumMod val="25000"/>
                    <a:lumOff val="75000"/>
                  </a:schemeClr>
                </a:solidFill>
                <a:latin typeface="+mn-lt"/>
                <a:ea typeface="+mn-ea"/>
                <a:cs typeface="+mn-cs"/>
              </a:defRPr>
            </a:pPr>
            <a:endParaRPr lang="ru-RU"/>
          </a:p>
        </c:txPr>
        <c:crossAx val="1547170255"/>
        <c:crosses val="autoZero"/>
        <c:auto val="1"/>
        <c:lblAlgn val="ctr"/>
        <c:lblOffset val="100"/>
        <c:noMultiLvlLbl val="0"/>
      </c:catAx>
      <c:valAx>
        <c:axId val="1547170255"/>
        <c:scaling>
          <c:orientation val="minMax"/>
          <c:min val="0"/>
        </c:scaling>
        <c:delete val="1"/>
        <c:axPos val="t"/>
        <c:numFmt formatCode="General" sourceLinked="1"/>
        <c:majorTickMark val="out"/>
        <c:minorTickMark val="none"/>
        <c:tickLblPos val="nextTo"/>
        <c:crossAx val="1547179375"/>
        <c:crosses val="autoZero"/>
        <c:crossBetween val="between"/>
      </c:valAx>
      <c:spPr>
        <a:noFill/>
      </c:spPr>
    </c:plotArea>
    <c:plotVisOnly val="1"/>
    <c:dispBlanksAs val="gap"/>
    <c:showDLblsOverMax val="0"/>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7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areaChart>
        <c:grouping val="standard"/>
        <c:varyColors val="0"/>
        <c:ser>
          <c:idx val="0"/>
          <c:order val="0"/>
          <c:tx>
            <c:strRef>
              <c:f>Processing!$B$40</c:f>
              <c:strCache>
                <c:ptCount val="1"/>
                <c:pt idx="0">
                  <c:v>Income</c:v>
                </c:pt>
              </c:strCache>
            </c:strRef>
          </c:tx>
          <c:spPr>
            <a:gradFill>
              <a:gsLst>
                <a:gs pos="0">
                  <a:srgbClr val="3883D4"/>
                </a:gs>
                <a:gs pos="100000">
                  <a:srgbClr val="224192">
                    <a:alpha val="2000"/>
                  </a:srgbClr>
                </a:gs>
              </a:gsLst>
              <a:lin ang="5400000" scaled="0"/>
            </a:gradFill>
            <a:ln>
              <a:noFill/>
            </a:ln>
            <a:effectLst/>
          </c:spPr>
          <c:val>
            <c:numRef>
              <c:f>Processing!$B$41:$B$44</c:f>
              <c:numCache>
                <c:formatCode>General</c:formatCode>
                <c:ptCount val="4"/>
                <c:pt idx="0">
                  <c:v>37965</c:v>
                </c:pt>
                <c:pt idx="1">
                  <c:v>44200</c:v>
                </c:pt>
                <c:pt idx="2">
                  <c:v>38780</c:v>
                </c:pt>
                <c:pt idx="3">
                  <c:v>53560</c:v>
                </c:pt>
              </c:numCache>
            </c:numRef>
          </c:val>
          <c:extLst>
            <c:ext xmlns:c16="http://schemas.microsoft.com/office/drawing/2014/chart" uri="{C3380CC4-5D6E-409C-BE32-E72D297353CC}">
              <c16:uniqueId val="{00000000-4649-4E09-8DE3-51B61B2A747E}"/>
            </c:ext>
          </c:extLst>
        </c:ser>
        <c:dLbls>
          <c:showLegendKey val="0"/>
          <c:showVal val="0"/>
          <c:showCatName val="0"/>
          <c:showSerName val="0"/>
          <c:showPercent val="0"/>
          <c:showBubbleSize val="0"/>
        </c:dLbls>
        <c:axId val="1547119375"/>
        <c:axId val="1547116975"/>
      </c:areaChart>
      <c:lineChart>
        <c:grouping val="standard"/>
        <c:varyColors val="0"/>
        <c:ser>
          <c:idx val="1"/>
          <c:order val="1"/>
          <c:spPr>
            <a:ln w="25400" cap="rnd">
              <a:solidFill>
                <a:srgbClr val="B9C1FF"/>
              </a:solidFill>
              <a:round/>
            </a:ln>
            <a:effectLst>
              <a:outerShdw blurRad="50800" dist="38100" dir="5400000" algn="t" rotWithShape="0">
                <a:prstClr val="black">
                  <a:alpha val="40000"/>
                </a:prstClr>
              </a:outerShdw>
            </a:effectLst>
          </c:spPr>
          <c:marker>
            <c:symbol val="none"/>
          </c:marker>
          <c:val>
            <c:numRef>
              <c:f>Processing!$B$41:$B$44</c:f>
              <c:numCache>
                <c:formatCode>General</c:formatCode>
                <c:ptCount val="4"/>
                <c:pt idx="0">
                  <c:v>37965</c:v>
                </c:pt>
                <c:pt idx="1">
                  <c:v>44200</c:v>
                </c:pt>
                <c:pt idx="2">
                  <c:v>38780</c:v>
                </c:pt>
                <c:pt idx="3">
                  <c:v>53560</c:v>
                </c:pt>
              </c:numCache>
            </c:numRef>
          </c:val>
          <c:smooth val="0"/>
          <c:extLst>
            <c:ext xmlns:c16="http://schemas.microsoft.com/office/drawing/2014/chart" uri="{C3380CC4-5D6E-409C-BE32-E72D297353CC}">
              <c16:uniqueId val="{00000001-4649-4E09-8DE3-51B61B2A747E}"/>
            </c:ext>
          </c:extLst>
        </c:ser>
        <c:dLbls>
          <c:showLegendKey val="0"/>
          <c:showVal val="0"/>
          <c:showCatName val="0"/>
          <c:showSerName val="0"/>
          <c:showPercent val="0"/>
          <c:showBubbleSize val="0"/>
        </c:dLbls>
        <c:marker val="1"/>
        <c:smooth val="0"/>
        <c:axId val="1547119375"/>
        <c:axId val="1547116975"/>
      </c:lineChart>
      <c:scatterChart>
        <c:scatterStyle val="lineMarker"/>
        <c:varyColors val="0"/>
        <c:ser>
          <c:idx val="2"/>
          <c:order val="2"/>
          <c:tx>
            <c:strRef>
              <c:f>Processing!$C$40</c:f>
              <c:strCache>
                <c:ptCount val="1"/>
                <c:pt idx="0">
                  <c:v>Cursor</c:v>
                </c:pt>
              </c:strCache>
            </c:strRef>
          </c:tx>
          <c:spPr>
            <a:ln w="25400" cap="rnd">
              <a:noFill/>
              <a:round/>
            </a:ln>
            <a:effectLst>
              <a:outerShdw blurRad="50800" dist="38100" dir="5400000" algn="t" rotWithShape="0">
                <a:prstClr val="black">
                  <a:alpha val="40000"/>
                </a:prstClr>
              </a:outerShdw>
            </a:effectLst>
          </c:spPr>
          <c:marker>
            <c:symbol val="circle"/>
            <c:size val="7"/>
            <c:spPr>
              <a:solidFill>
                <a:schemeClr val="bg1"/>
              </a:solidFill>
              <a:ln w="12700">
                <a:solidFill>
                  <a:srgbClr val="4B5792"/>
                </a:solidFill>
              </a:ln>
              <a:effectLst>
                <a:outerShdw blurRad="50800" dist="38100" dir="5400000" algn="t" rotWithShape="0">
                  <a:prstClr val="black">
                    <a:alpha val="40000"/>
                  </a:prstClr>
                </a:outerShdw>
              </a:effectLst>
            </c:spPr>
          </c:marker>
          <c:dLbls>
            <c:numFmt formatCode="[&gt;=1000]0,&quot;k&quot;;[&lt;=-1000]\-0,&quot;k&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ru-RU"/>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yVal>
            <c:numRef>
              <c:f>Processing!$C$41:$C$44</c:f>
              <c:numCache>
                <c:formatCode>General</c:formatCode>
                <c:ptCount val="4"/>
                <c:pt idx="0">
                  <c:v>#N/A</c:v>
                </c:pt>
                <c:pt idx="1">
                  <c:v>44200</c:v>
                </c:pt>
                <c:pt idx="2">
                  <c:v>#N/A</c:v>
                </c:pt>
                <c:pt idx="3">
                  <c:v>#N/A</c:v>
                </c:pt>
              </c:numCache>
            </c:numRef>
          </c:yVal>
          <c:smooth val="0"/>
          <c:extLst>
            <c:ext xmlns:c16="http://schemas.microsoft.com/office/drawing/2014/chart" uri="{C3380CC4-5D6E-409C-BE32-E72D297353CC}">
              <c16:uniqueId val="{00000002-4649-4E09-8DE3-51B61B2A747E}"/>
            </c:ext>
          </c:extLst>
        </c:ser>
        <c:dLbls>
          <c:showLegendKey val="0"/>
          <c:showVal val="0"/>
          <c:showCatName val="0"/>
          <c:showSerName val="0"/>
          <c:showPercent val="0"/>
          <c:showBubbleSize val="0"/>
        </c:dLbls>
        <c:axId val="1547119375"/>
        <c:axId val="1547116975"/>
      </c:scatterChart>
      <c:catAx>
        <c:axId val="1547119375"/>
        <c:scaling>
          <c:orientation val="minMax"/>
        </c:scaling>
        <c:delete val="1"/>
        <c:axPos val="b"/>
        <c:majorTickMark val="out"/>
        <c:minorTickMark val="none"/>
        <c:tickLblPos val="nextTo"/>
        <c:crossAx val="1547116975"/>
        <c:crosses val="autoZero"/>
        <c:auto val="1"/>
        <c:lblAlgn val="ctr"/>
        <c:lblOffset val="100"/>
        <c:noMultiLvlLbl val="0"/>
      </c:catAx>
      <c:valAx>
        <c:axId val="1547116975"/>
        <c:scaling>
          <c:orientation val="minMax"/>
        </c:scaling>
        <c:delete val="1"/>
        <c:axPos val="l"/>
        <c:numFmt formatCode="General" sourceLinked="1"/>
        <c:majorTickMark val="none"/>
        <c:minorTickMark val="none"/>
        <c:tickLblPos val="nextTo"/>
        <c:crossAx val="1547119375"/>
        <c:crosses val="autoZero"/>
        <c:crossBetween val="between"/>
      </c:valAx>
      <c:spPr>
        <a:noFill/>
      </c:spPr>
    </c:plotArea>
    <c:plotVisOnly val="1"/>
    <c:dispBlanksAs val="zero"/>
    <c:showDLblsOverMax val="0"/>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7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Processing!$H$2</c:f>
              <c:strCache>
                <c:ptCount val="1"/>
                <c:pt idx="0">
                  <c:v>Cursor</c:v>
                </c:pt>
              </c:strCache>
            </c:strRef>
          </c:tx>
          <c:spPr>
            <a:solidFill>
              <a:srgbClr val="ABB5E2">
                <a:alpha val="80000"/>
              </a:srgbClr>
            </a:solidFill>
            <a:ln>
              <a:noFill/>
            </a:ln>
            <a:effectLst/>
          </c:spPr>
          <c:invertIfNegative val="0"/>
          <c:cat>
            <c:strRef>
              <c:f>Processing!$B$3:$B$14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Processing!$H$3:$H$14</c:f>
              <c:numCache>
                <c:formatCode>0%</c:formatCode>
                <c:ptCount val="12"/>
                <c:pt idx="0">
                  <c:v>#N/A</c:v>
                </c:pt>
                <c:pt idx="1">
                  <c:v>#N/A</c:v>
                </c:pt>
                <c:pt idx="2">
                  <c:v>#N/A</c:v>
                </c:pt>
                <c:pt idx="3">
                  <c:v>1</c:v>
                </c:pt>
                <c:pt idx="4">
                  <c:v>1</c:v>
                </c:pt>
                <c:pt idx="5">
                  <c:v>1</c:v>
                </c:pt>
                <c:pt idx="6">
                  <c:v>#N/A</c:v>
                </c:pt>
                <c:pt idx="7">
                  <c:v>#N/A</c:v>
                </c:pt>
                <c:pt idx="8">
                  <c:v>#N/A</c:v>
                </c:pt>
                <c:pt idx="9">
                  <c:v>#N/A</c:v>
                </c:pt>
                <c:pt idx="10">
                  <c:v>#N/A</c:v>
                </c:pt>
                <c:pt idx="11">
                  <c:v>#N/A</c:v>
                </c:pt>
              </c:numCache>
            </c:numRef>
          </c:val>
          <c:extLst>
            <c:ext xmlns:c16="http://schemas.microsoft.com/office/drawing/2014/chart" uri="{C3380CC4-5D6E-409C-BE32-E72D297353CC}">
              <c16:uniqueId val="{00000002-3C1A-4CF3-8249-4B2BEA20663D}"/>
            </c:ext>
          </c:extLst>
        </c:ser>
        <c:dLbls>
          <c:showLegendKey val="0"/>
          <c:showVal val="0"/>
          <c:showCatName val="0"/>
          <c:showSerName val="0"/>
          <c:showPercent val="0"/>
          <c:showBubbleSize val="0"/>
        </c:dLbls>
        <c:gapWidth val="50"/>
        <c:overlap val="-27"/>
        <c:axId val="2029676367"/>
        <c:axId val="2029690287"/>
      </c:barChart>
      <c:catAx>
        <c:axId val="2029676367"/>
        <c:scaling>
          <c:orientation val="minMax"/>
        </c:scaling>
        <c:delete val="0"/>
        <c:axPos val="b"/>
        <c:numFmt formatCode="General" sourceLinked="1"/>
        <c:majorTickMark val="none"/>
        <c:minorTickMark val="none"/>
        <c:tickLblPos val="high"/>
        <c:spPr>
          <a:ln>
            <a:noFill/>
          </a:ln>
        </c:spPr>
        <c:txPr>
          <a:bodyPr/>
          <a:lstStyle/>
          <a:p>
            <a:pPr>
              <a:defRPr>
                <a:solidFill>
                  <a:srgbClr val="455177"/>
                </a:solidFill>
              </a:defRPr>
            </a:pPr>
            <a:endParaRPr lang="ru-RU"/>
          </a:p>
        </c:txPr>
        <c:crossAx val="2029690287"/>
        <c:crosses val="autoZero"/>
        <c:auto val="1"/>
        <c:lblAlgn val="ctr"/>
        <c:lblOffset val="100"/>
        <c:noMultiLvlLbl val="0"/>
      </c:catAx>
      <c:valAx>
        <c:axId val="2029690287"/>
        <c:scaling>
          <c:orientation val="minMax"/>
          <c:max val="1"/>
          <c:min val="0"/>
        </c:scaling>
        <c:delete val="1"/>
        <c:axPos val="l"/>
        <c:numFmt formatCode="0%" sourceLinked="1"/>
        <c:majorTickMark val="none"/>
        <c:minorTickMark val="none"/>
        <c:tickLblPos val="nextTo"/>
        <c:crossAx val="2029676367"/>
        <c:crosses val="autoZero"/>
        <c:crossBetween val="between"/>
      </c:valAx>
      <c:spPr>
        <a:noFill/>
      </c:spPr>
    </c:plotArea>
    <c:plotVisOnly val="1"/>
    <c:dispBlanksAs val="gap"/>
    <c:showDLblsOverMax val="0"/>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7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0617869641294839"/>
          <c:y val="6.7401960784313722E-2"/>
          <c:w val="0.87159908136482955"/>
          <c:h val="0.86519607843137258"/>
        </c:manualLayout>
      </c:layout>
      <c:barChart>
        <c:barDir val="bar"/>
        <c:grouping val="stacked"/>
        <c:varyColors val="0"/>
        <c:ser>
          <c:idx val="0"/>
          <c:order val="0"/>
          <c:tx>
            <c:strRef>
              <c:f>Processing!$L$2</c:f>
              <c:strCache>
                <c:ptCount val="1"/>
                <c:pt idx="0">
                  <c:v>Start</c:v>
                </c:pt>
              </c:strCache>
            </c:strRef>
          </c:tx>
          <c:spPr>
            <a:gradFill flip="none" rotWithShape="1">
              <a:gsLst>
                <a:gs pos="0">
                  <a:srgbClr val="6D7CAB"/>
                </a:gs>
                <a:gs pos="44000">
                  <a:srgbClr val="455177"/>
                </a:gs>
                <a:gs pos="100000">
                  <a:srgbClr val="37415F"/>
                </a:gs>
              </a:gsLst>
              <a:lin ang="5400000" scaled="0"/>
              <a:tileRect/>
            </a:gradFill>
            <a:ln>
              <a:noFill/>
            </a:ln>
            <a:effectLst>
              <a:outerShdw blurRad="63500" sx="102000" sy="102000" algn="ctr" rotWithShape="0">
                <a:prstClr val="black">
                  <a:alpha val="40000"/>
                </a:prstClr>
              </a:outerShdw>
            </a:effectLst>
          </c:spPr>
          <c:invertIfNegative val="0"/>
          <c:cat>
            <c:numRef>
              <c:f>Processing!$K$3:$K$7</c:f>
              <c:numCache>
                <c:formatCode>"$"#\ ###\ ###;\-"$"#\ ###\ ###;</c:formatCode>
                <c:ptCount val="5"/>
                <c:pt idx="0">
                  <c:v>0</c:v>
                </c:pt>
                <c:pt idx="1">
                  <c:v>500</c:v>
                </c:pt>
                <c:pt idx="2">
                  <c:v>1400</c:v>
                </c:pt>
                <c:pt idx="3">
                  <c:v>1000</c:v>
                </c:pt>
                <c:pt idx="4">
                  <c:v>0</c:v>
                </c:pt>
              </c:numCache>
            </c:numRef>
          </c:cat>
          <c:val>
            <c:numRef>
              <c:f>Processing!$L$3:$L$7</c:f>
              <c:numCache>
                <c:formatCode>General</c:formatCode>
                <c:ptCount val="5"/>
                <c:pt idx="0">
                  <c:v>0.2</c:v>
                </c:pt>
                <c:pt idx="1">
                  <c:v>1</c:v>
                </c:pt>
                <c:pt idx="2">
                  <c:v>3</c:v>
                </c:pt>
                <c:pt idx="3">
                  <c:v>4</c:v>
                </c:pt>
                <c:pt idx="4">
                  <c:v>7</c:v>
                </c:pt>
              </c:numCache>
            </c:numRef>
          </c:val>
          <c:extLst>
            <c:ext xmlns:c16="http://schemas.microsoft.com/office/drawing/2014/chart" uri="{C3380CC4-5D6E-409C-BE32-E72D297353CC}">
              <c16:uniqueId val="{0000000E-EE6E-4CEF-BADE-3F22630C044F}"/>
            </c:ext>
          </c:extLst>
        </c:ser>
        <c:ser>
          <c:idx val="1"/>
          <c:order val="1"/>
          <c:tx>
            <c:strRef>
              <c:f>Processing!$M$2</c:f>
              <c:strCache>
                <c:ptCount val="1"/>
                <c:pt idx="0">
                  <c:v>Process</c:v>
                </c:pt>
              </c:strCache>
            </c:strRef>
          </c:tx>
          <c:spPr>
            <a:solidFill>
              <a:srgbClr val="2B5BCB"/>
            </a:solidFill>
            <a:ln w="101600">
              <a:solidFill>
                <a:srgbClr val="2B5BCB"/>
              </a:solidFill>
            </a:ln>
            <a:effectLst/>
          </c:spPr>
          <c:invertIfNegative val="0"/>
          <c:dPt>
            <c:idx val="0"/>
            <c:invertIfNegative val="0"/>
            <c:bubble3D val="0"/>
            <c:spPr>
              <a:solidFill>
                <a:srgbClr val="00A8B0"/>
              </a:solidFill>
              <a:ln w="101600">
                <a:gradFill>
                  <a:gsLst>
                    <a:gs pos="0">
                      <a:srgbClr val="00C8D2"/>
                    </a:gs>
                    <a:gs pos="31000">
                      <a:srgbClr val="00A8B0"/>
                    </a:gs>
                  </a:gsLst>
                  <a:lin ang="5400000" scaled="1"/>
                </a:gradFill>
              </a:ln>
              <a:effectLst/>
            </c:spPr>
            <c:extLst>
              <c:ext xmlns:c16="http://schemas.microsoft.com/office/drawing/2014/chart" uri="{C3380CC4-5D6E-409C-BE32-E72D297353CC}">
                <c16:uniqueId val="{00000011-EE6E-4CEF-BADE-3F22630C044F}"/>
              </c:ext>
            </c:extLst>
          </c:dPt>
          <c:dPt>
            <c:idx val="1"/>
            <c:invertIfNegative val="0"/>
            <c:bubble3D val="0"/>
            <c:spPr>
              <a:solidFill>
                <a:srgbClr val="2B5BCB"/>
              </a:solidFill>
              <a:ln w="101600">
                <a:gradFill>
                  <a:gsLst>
                    <a:gs pos="0">
                      <a:srgbClr val="5A82DC"/>
                    </a:gs>
                    <a:gs pos="31000">
                      <a:srgbClr val="2B5BCB"/>
                    </a:gs>
                  </a:gsLst>
                  <a:lin ang="5400000" scaled="1"/>
                </a:gradFill>
              </a:ln>
              <a:effectLst/>
            </c:spPr>
            <c:extLst>
              <c:ext xmlns:c16="http://schemas.microsoft.com/office/drawing/2014/chart" uri="{C3380CC4-5D6E-409C-BE32-E72D297353CC}">
                <c16:uniqueId val="{00000013-EE6E-4CEF-BADE-3F22630C044F}"/>
              </c:ext>
            </c:extLst>
          </c:dPt>
          <c:dPt>
            <c:idx val="2"/>
            <c:invertIfNegative val="0"/>
            <c:bubble3D val="0"/>
            <c:spPr>
              <a:solidFill>
                <a:srgbClr val="FF5C6D"/>
              </a:solidFill>
              <a:ln w="101600">
                <a:gradFill>
                  <a:gsLst>
                    <a:gs pos="0">
                      <a:srgbClr val="FFA3AC"/>
                    </a:gs>
                    <a:gs pos="31000">
                      <a:srgbClr val="FF5C6D"/>
                    </a:gs>
                  </a:gsLst>
                  <a:lin ang="5400000" scaled="1"/>
                </a:gradFill>
              </a:ln>
              <a:effectLst/>
            </c:spPr>
            <c:extLst>
              <c:ext xmlns:c16="http://schemas.microsoft.com/office/drawing/2014/chart" uri="{C3380CC4-5D6E-409C-BE32-E72D297353CC}">
                <c16:uniqueId val="{00000015-EE6E-4CEF-BADE-3F22630C044F}"/>
              </c:ext>
            </c:extLst>
          </c:dPt>
          <c:dPt>
            <c:idx val="3"/>
            <c:invertIfNegative val="0"/>
            <c:bubble3D val="0"/>
            <c:spPr>
              <a:solidFill>
                <a:srgbClr val="007D9B"/>
              </a:solidFill>
              <a:ln w="101600">
                <a:gradFill>
                  <a:gsLst>
                    <a:gs pos="0">
                      <a:srgbClr val="00ADD6"/>
                    </a:gs>
                    <a:gs pos="31000">
                      <a:srgbClr val="007D9B"/>
                    </a:gs>
                  </a:gsLst>
                  <a:lin ang="5400000" scaled="1"/>
                </a:gradFill>
              </a:ln>
              <a:effectLst/>
            </c:spPr>
            <c:extLst>
              <c:ext xmlns:c16="http://schemas.microsoft.com/office/drawing/2014/chart" uri="{C3380CC4-5D6E-409C-BE32-E72D297353CC}">
                <c16:uniqueId val="{00000017-EE6E-4CEF-BADE-3F22630C044F}"/>
              </c:ext>
            </c:extLst>
          </c:dPt>
          <c:dPt>
            <c:idx val="4"/>
            <c:invertIfNegative val="0"/>
            <c:bubble3D val="0"/>
            <c:spPr>
              <a:solidFill>
                <a:srgbClr val="4E5E9D"/>
              </a:solidFill>
              <a:ln w="101600">
                <a:gradFill>
                  <a:gsLst>
                    <a:gs pos="0">
                      <a:srgbClr val="6978B4"/>
                    </a:gs>
                    <a:gs pos="31000">
                      <a:srgbClr val="4E5E9D"/>
                    </a:gs>
                  </a:gsLst>
                  <a:lin ang="5400000" scaled="1"/>
                </a:gradFill>
              </a:ln>
              <a:effectLst/>
            </c:spPr>
            <c:extLst>
              <c:ext xmlns:c16="http://schemas.microsoft.com/office/drawing/2014/chart" uri="{C3380CC4-5D6E-409C-BE32-E72D297353CC}">
                <c16:uniqueId val="{00000019-EE6E-4CEF-BADE-3F22630C044F}"/>
              </c:ext>
            </c:extLst>
          </c:dPt>
          <c:cat>
            <c:numRef>
              <c:f>Processing!$K$3:$K$7</c:f>
              <c:numCache>
                <c:formatCode>"$"#\ ###\ ###;\-"$"#\ ###\ ###;</c:formatCode>
                <c:ptCount val="5"/>
                <c:pt idx="0">
                  <c:v>0</c:v>
                </c:pt>
                <c:pt idx="1">
                  <c:v>500</c:v>
                </c:pt>
                <c:pt idx="2">
                  <c:v>1400</c:v>
                </c:pt>
                <c:pt idx="3">
                  <c:v>1000</c:v>
                </c:pt>
                <c:pt idx="4">
                  <c:v>0</c:v>
                </c:pt>
              </c:numCache>
            </c:numRef>
          </c:cat>
          <c:val>
            <c:numRef>
              <c:f>Processing!$M$3:$M$7</c:f>
              <c:numCache>
                <c:formatCode>General</c:formatCode>
                <c:ptCount val="5"/>
                <c:pt idx="0">
                  <c:v>1.8</c:v>
                </c:pt>
                <c:pt idx="1">
                  <c:v>3</c:v>
                </c:pt>
                <c:pt idx="2">
                  <c:v>2</c:v>
                </c:pt>
                <c:pt idx="3">
                  <c:v>4</c:v>
                </c:pt>
                <c:pt idx="4">
                  <c:v>4.8</c:v>
                </c:pt>
              </c:numCache>
            </c:numRef>
          </c:val>
          <c:extLst>
            <c:ext xmlns:c16="http://schemas.microsoft.com/office/drawing/2014/chart" uri="{C3380CC4-5D6E-409C-BE32-E72D297353CC}">
              <c16:uniqueId val="{0000001A-EE6E-4CEF-BADE-3F22630C044F}"/>
            </c:ext>
          </c:extLst>
        </c:ser>
        <c:ser>
          <c:idx val="2"/>
          <c:order val="2"/>
          <c:tx>
            <c:strRef>
              <c:f>Processing!$N$2</c:f>
              <c:strCache>
                <c:ptCount val="1"/>
                <c:pt idx="0">
                  <c:v>End</c:v>
                </c:pt>
              </c:strCache>
            </c:strRef>
          </c:tx>
          <c:spPr>
            <a:gradFill>
              <a:gsLst>
                <a:gs pos="0">
                  <a:srgbClr val="6D7CAB"/>
                </a:gs>
                <a:gs pos="44000">
                  <a:srgbClr val="455177"/>
                </a:gs>
                <a:gs pos="100000">
                  <a:srgbClr val="37415F"/>
                </a:gs>
              </a:gsLst>
              <a:lin ang="5400000" scaled="0"/>
            </a:gradFill>
            <a:ln>
              <a:noFill/>
            </a:ln>
            <a:effectLst/>
          </c:spPr>
          <c:invertIfNegative val="0"/>
          <c:cat>
            <c:numRef>
              <c:f>Processing!$K$3:$K$7</c:f>
              <c:numCache>
                <c:formatCode>"$"#\ ###\ ###;\-"$"#\ ###\ ###;</c:formatCode>
                <c:ptCount val="5"/>
                <c:pt idx="0">
                  <c:v>0</c:v>
                </c:pt>
                <c:pt idx="1">
                  <c:v>500</c:v>
                </c:pt>
                <c:pt idx="2">
                  <c:v>1400</c:v>
                </c:pt>
                <c:pt idx="3">
                  <c:v>1000</c:v>
                </c:pt>
                <c:pt idx="4">
                  <c:v>0</c:v>
                </c:pt>
              </c:numCache>
            </c:numRef>
          </c:cat>
          <c:val>
            <c:numRef>
              <c:f>Processing!$N$3:$N$7</c:f>
              <c:numCache>
                <c:formatCode>General</c:formatCode>
                <c:ptCount val="5"/>
                <c:pt idx="0">
                  <c:v>10</c:v>
                </c:pt>
                <c:pt idx="1">
                  <c:v>8</c:v>
                </c:pt>
                <c:pt idx="2">
                  <c:v>7</c:v>
                </c:pt>
                <c:pt idx="3">
                  <c:v>4</c:v>
                </c:pt>
                <c:pt idx="4">
                  <c:v>0.19999999999999929</c:v>
                </c:pt>
              </c:numCache>
            </c:numRef>
          </c:val>
          <c:extLst>
            <c:ext xmlns:c16="http://schemas.microsoft.com/office/drawing/2014/chart" uri="{C3380CC4-5D6E-409C-BE32-E72D297353CC}">
              <c16:uniqueId val="{0000001C-EE6E-4CEF-BADE-3F22630C044F}"/>
            </c:ext>
          </c:extLst>
        </c:ser>
        <c:dLbls>
          <c:showLegendKey val="0"/>
          <c:showVal val="0"/>
          <c:showCatName val="0"/>
          <c:showSerName val="0"/>
          <c:showPercent val="0"/>
          <c:showBubbleSize val="0"/>
        </c:dLbls>
        <c:gapWidth val="200"/>
        <c:overlap val="100"/>
        <c:axId val="307646768"/>
        <c:axId val="307649168"/>
      </c:barChart>
      <c:catAx>
        <c:axId val="307646768"/>
        <c:scaling>
          <c:orientation val="maxMin"/>
        </c:scaling>
        <c:delete val="0"/>
        <c:axPos val="l"/>
        <c:numFmt formatCode="&quot;$&quot;#\ ###\ ###;\-&quot;$&quot;#\ ###\ ###;"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rgbClr val="455177"/>
                </a:solidFill>
                <a:latin typeface="+mn-lt"/>
                <a:ea typeface="+mn-ea"/>
                <a:cs typeface="+mn-cs"/>
              </a:defRPr>
            </a:pPr>
            <a:endParaRPr lang="ru-RU"/>
          </a:p>
        </c:txPr>
        <c:crossAx val="307649168"/>
        <c:crosses val="autoZero"/>
        <c:auto val="1"/>
        <c:lblAlgn val="ctr"/>
        <c:lblOffset val="100"/>
        <c:noMultiLvlLbl val="0"/>
      </c:catAx>
      <c:valAx>
        <c:axId val="307649168"/>
        <c:scaling>
          <c:orientation val="minMax"/>
          <c:max val="12"/>
          <c:min val="0"/>
        </c:scaling>
        <c:delete val="1"/>
        <c:axPos val="t"/>
        <c:majorGridlines>
          <c:spPr>
            <a:ln w="9525" cap="flat" cmpd="sng" algn="ctr">
              <a:solidFill>
                <a:srgbClr val="193B8A">
                  <a:alpha val="12000"/>
                </a:srgbClr>
              </a:solidFill>
              <a:round/>
            </a:ln>
            <a:effectLst/>
          </c:spPr>
        </c:majorGridlines>
        <c:numFmt formatCode="General" sourceLinked="0"/>
        <c:majorTickMark val="out"/>
        <c:minorTickMark val="none"/>
        <c:tickLblPos val="nextTo"/>
        <c:crossAx val="307646768"/>
        <c:crosses val="autoZero"/>
        <c:crossBetween val="between"/>
        <c:majorUnit val="1"/>
      </c:valAx>
      <c:spPr>
        <a:noFill/>
      </c:spPr>
    </c:plotArea>
    <c:plotVisOnly val="1"/>
    <c:dispBlanksAs val="gap"/>
    <c:showDLblsOverMax val="0"/>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7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tx>
            <c:strRef>
              <c:f>Processing!$S$1</c:f>
              <c:strCache>
                <c:ptCount val="1"/>
                <c:pt idx="0">
                  <c:v>Budget</c:v>
                </c:pt>
              </c:strCache>
            </c:strRef>
          </c:tx>
          <c:spPr>
            <a:gradFill>
              <a:gsLst>
                <a:gs pos="50384">
                  <a:srgbClr val="BCC6FF"/>
                </a:gs>
                <a:gs pos="0">
                  <a:srgbClr val="6494DA"/>
                </a:gs>
                <a:gs pos="94000">
                  <a:srgbClr val="2F6EC7"/>
                </a:gs>
              </a:gsLst>
              <a:lin ang="5400000" scaled="1"/>
            </a:gradFill>
            <a:ln>
              <a:noFill/>
            </a:ln>
            <a:effectLst>
              <a:outerShdw blurRad="50800" dist="38100" dir="8100000" algn="tr" rotWithShape="0">
                <a:prstClr val="black">
                  <a:alpha val="40000"/>
                </a:prstClr>
              </a:outerShdw>
            </a:effectLst>
          </c:spPr>
          <c:dPt>
            <c:idx val="0"/>
            <c:bubble3D val="0"/>
            <c:spPr>
              <a:gradFill>
                <a:gsLst>
                  <a:gs pos="0">
                    <a:srgbClr val="09C3F2"/>
                  </a:gs>
                  <a:gs pos="100000">
                    <a:srgbClr val="06D3D9"/>
                  </a:gs>
                </a:gsLst>
                <a:lin ang="5400000" scaled="1"/>
              </a:gradFill>
              <a:ln w="19050">
                <a:noFill/>
              </a:ln>
              <a:effectLst>
                <a:outerShdw blurRad="50800" dist="38100" dir="8100000" algn="tr" rotWithShape="0">
                  <a:prstClr val="black">
                    <a:alpha val="40000"/>
                  </a:prstClr>
                </a:outerShdw>
              </a:effectLst>
            </c:spPr>
            <c:extLst>
              <c:ext xmlns:c16="http://schemas.microsoft.com/office/drawing/2014/chart" uri="{C3380CC4-5D6E-409C-BE32-E72D297353CC}">
                <c16:uniqueId val="{00000001-179F-474B-A21E-AF78903E0D83}"/>
              </c:ext>
            </c:extLst>
          </c:dPt>
          <c:dPt>
            <c:idx val="1"/>
            <c:bubble3D val="0"/>
            <c:spPr>
              <a:gradFill>
                <a:gsLst>
                  <a:gs pos="0">
                    <a:srgbClr val="2C71E7"/>
                  </a:gs>
                  <a:gs pos="100000">
                    <a:srgbClr val="2373DF"/>
                  </a:gs>
                </a:gsLst>
                <a:lin ang="5400000" scaled="1"/>
              </a:gradFill>
              <a:ln w="19050">
                <a:noFill/>
              </a:ln>
              <a:effectLst>
                <a:outerShdw blurRad="50800" dist="38100" dir="8100000" algn="tr" rotWithShape="0">
                  <a:prstClr val="black">
                    <a:alpha val="40000"/>
                  </a:prstClr>
                </a:outerShdw>
              </a:effectLst>
            </c:spPr>
            <c:extLst>
              <c:ext xmlns:c16="http://schemas.microsoft.com/office/drawing/2014/chart" uri="{C3380CC4-5D6E-409C-BE32-E72D297353CC}">
                <c16:uniqueId val="{00000003-179F-474B-A21E-AF78903E0D83}"/>
              </c:ext>
            </c:extLst>
          </c:dPt>
          <c:val>
            <c:numRef>
              <c:f>Processing!$S$3:$T$3</c:f>
              <c:numCache>
                <c:formatCode>0%</c:formatCode>
                <c:ptCount val="2"/>
                <c:pt idx="0">
                  <c:v>0.64091999999999993</c:v>
                </c:pt>
                <c:pt idx="1">
                  <c:v>0.35908000000000001</c:v>
                </c:pt>
              </c:numCache>
            </c:numRef>
          </c:val>
          <c:extLst>
            <c:ext xmlns:c16="http://schemas.microsoft.com/office/drawing/2014/chart" uri="{C3380CC4-5D6E-409C-BE32-E72D297353CC}">
              <c16:uniqueId val="{00000004-179F-474B-A21E-AF78903E0D83}"/>
            </c:ext>
          </c:extLst>
        </c:ser>
        <c:dLbls>
          <c:showLegendKey val="0"/>
          <c:showVal val="0"/>
          <c:showCatName val="0"/>
          <c:showSerName val="0"/>
          <c:showPercent val="0"/>
          <c:showBubbleSize val="0"/>
          <c:showLeaderLines val="1"/>
        </c:dLbls>
        <c:firstSliceAng val="0"/>
        <c:holeSize val="75"/>
      </c:doughnutChart>
      <c:scatterChart>
        <c:scatterStyle val="lineMarker"/>
        <c:varyColors val="0"/>
        <c:ser>
          <c:idx val="1"/>
          <c:order val="1"/>
          <c:tx>
            <c:strRef>
              <c:f>Processing!$S$4</c:f>
              <c:strCache>
                <c:ptCount val="1"/>
                <c:pt idx="0">
                  <c:v>Cursors</c:v>
                </c:pt>
              </c:strCache>
            </c:strRef>
          </c:tx>
          <c:spPr>
            <a:ln w="25400" cap="rnd">
              <a:noFill/>
              <a:round/>
            </a:ln>
            <a:effectLst/>
          </c:spPr>
          <c:marker>
            <c:symbol val="circle"/>
            <c:size val="14"/>
            <c:spPr>
              <a:solidFill>
                <a:srgbClr val="09C3F2"/>
              </a:solidFill>
              <a:ln w="9525">
                <a:noFill/>
              </a:ln>
              <a:effectLst/>
            </c:spPr>
          </c:marker>
          <c:dPt>
            <c:idx val="1"/>
            <c:marker>
              <c:symbol val="circle"/>
              <c:size val="14"/>
              <c:spPr>
                <a:solidFill>
                  <a:srgbClr val="06D3D9"/>
                </a:solidFill>
                <a:ln w="9525">
                  <a:noFill/>
                </a:ln>
                <a:effectLst/>
              </c:spPr>
            </c:marker>
            <c:bubble3D val="0"/>
            <c:extLst>
              <c:ext xmlns:c16="http://schemas.microsoft.com/office/drawing/2014/chart" uri="{C3380CC4-5D6E-409C-BE32-E72D297353CC}">
                <c16:uniqueId val="{00000005-179F-474B-A21E-AF78903E0D83}"/>
              </c:ext>
            </c:extLst>
          </c:dPt>
          <c:xVal>
            <c:numRef>
              <c:f>Processing!$S$6:$S$7</c:f>
              <c:numCache>
                <c:formatCode>General</c:formatCode>
                <c:ptCount val="2"/>
                <c:pt idx="0">
                  <c:v>0</c:v>
                </c:pt>
                <c:pt idx="1">
                  <c:v>-0.77418499792466078</c:v>
                </c:pt>
              </c:numCache>
            </c:numRef>
          </c:xVal>
          <c:yVal>
            <c:numRef>
              <c:f>Processing!$T$6:$T$7</c:f>
              <c:numCache>
                <c:formatCode>General</c:formatCode>
                <c:ptCount val="2"/>
                <c:pt idx="0">
                  <c:v>1</c:v>
                </c:pt>
                <c:pt idx="1">
                  <c:v>-0.63295938968340804</c:v>
                </c:pt>
              </c:numCache>
            </c:numRef>
          </c:yVal>
          <c:smooth val="0"/>
          <c:extLst>
            <c:ext xmlns:c16="http://schemas.microsoft.com/office/drawing/2014/chart" uri="{C3380CC4-5D6E-409C-BE32-E72D297353CC}">
              <c16:uniqueId val="{00000006-179F-474B-A21E-AF78903E0D83}"/>
            </c:ext>
          </c:extLst>
        </c:ser>
        <c:dLbls>
          <c:showLegendKey val="0"/>
          <c:showVal val="0"/>
          <c:showCatName val="0"/>
          <c:showSerName val="0"/>
          <c:showPercent val="0"/>
          <c:showBubbleSize val="0"/>
        </c:dLbls>
        <c:axId val="1214836208"/>
        <c:axId val="1214847248"/>
      </c:scatterChart>
      <c:valAx>
        <c:axId val="1214847248"/>
        <c:scaling>
          <c:orientation val="minMax"/>
          <c:max val="1.1500000000000001"/>
          <c:min val="-1.1400000000000001"/>
        </c:scaling>
        <c:delete val="1"/>
        <c:axPos val="l"/>
        <c:numFmt formatCode="General" sourceLinked="1"/>
        <c:majorTickMark val="out"/>
        <c:minorTickMark val="none"/>
        <c:tickLblPos val="nextTo"/>
        <c:crossAx val="1214836208"/>
        <c:crosses val="autoZero"/>
        <c:crossBetween val="midCat"/>
      </c:valAx>
      <c:valAx>
        <c:axId val="1214836208"/>
        <c:scaling>
          <c:orientation val="minMax"/>
          <c:max val="1.1400000000000001"/>
          <c:min val="-1.1500000000000001"/>
        </c:scaling>
        <c:delete val="1"/>
        <c:axPos val="t"/>
        <c:numFmt formatCode="General" sourceLinked="1"/>
        <c:majorTickMark val="out"/>
        <c:minorTickMark val="none"/>
        <c:tickLblPos val="nextTo"/>
        <c:crossAx val="1214847248"/>
        <c:crosses val="max"/>
        <c:crossBetween val="midCat"/>
      </c:valAx>
      <c:spPr>
        <a:noFill/>
        <a:ln w="25400">
          <a:noFill/>
        </a:ln>
        <a:effectLst/>
      </c:spPr>
    </c:plotArea>
    <c:plotVisOnly val="1"/>
    <c:dispBlanksAs val="gap"/>
    <c:showDLblsOverMax val="0"/>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7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3.3763044812768567E-2"/>
          <c:y val="6.0185185185185182E-2"/>
          <c:w val="0.93247391037446281"/>
          <c:h val="0.88888888888888884"/>
        </c:manualLayout>
      </c:layout>
      <c:barChart>
        <c:barDir val="col"/>
        <c:grouping val="stacked"/>
        <c:varyColors val="0"/>
        <c:ser>
          <c:idx val="0"/>
          <c:order val="0"/>
          <c:spPr>
            <a:noFill/>
            <a:ln>
              <a:noFill/>
            </a:ln>
            <a:effectLst/>
          </c:spPr>
          <c:invertIfNegative val="0"/>
          <c:cat>
            <c:strRef>
              <c:f>Processing!$K$24:$Q$24</c:f>
              <c:strCache>
                <c:ptCount val="7"/>
                <c:pt idx="0">
                  <c:v>SU</c:v>
                </c:pt>
                <c:pt idx="1">
                  <c:v>MO</c:v>
                </c:pt>
                <c:pt idx="2">
                  <c:v>TU</c:v>
                </c:pt>
                <c:pt idx="3">
                  <c:v>WE</c:v>
                </c:pt>
                <c:pt idx="4">
                  <c:v>TH</c:v>
                </c:pt>
                <c:pt idx="5">
                  <c:v>FR</c:v>
                </c:pt>
                <c:pt idx="6">
                  <c:v>SA</c:v>
                </c:pt>
              </c:strCache>
            </c:strRef>
          </c:cat>
          <c:val>
            <c:numRef>
              <c:f>Processing!$K$25:$Q$25</c:f>
              <c:numCache>
                <c:formatCode>General</c:formatCode>
                <c:ptCount val="7"/>
                <c:pt idx="0">
                  <c:v>1</c:v>
                </c:pt>
                <c:pt idx="1">
                  <c:v>1</c:v>
                </c:pt>
                <c:pt idx="2">
                  <c:v>1</c:v>
                </c:pt>
                <c:pt idx="3">
                  <c:v>1</c:v>
                </c:pt>
                <c:pt idx="4">
                  <c:v>0</c:v>
                </c:pt>
                <c:pt idx="5">
                  <c:v>0</c:v>
                </c:pt>
                <c:pt idx="6">
                  <c:v>0</c:v>
                </c:pt>
              </c:numCache>
            </c:numRef>
          </c:val>
          <c:extLst>
            <c:ext xmlns:c16="http://schemas.microsoft.com/office/drawing/2014/chart" uri="{C3380CC4-5D6E-409C-BE32-E72D297353CC}">
              <c16:uniqueId val="{00000000-DF74-4CA2-8984-6D7E8A5A23CC}"/>
            </c:ext>
          </c:extLst>
        </c:ser>
        <c:ser>
          <c:idx val="1"/>
          <c:order val="1"/>
          <c:spPr>
            <a:blipFill>
              <a:blip xmlns:r="http://schemas.openxmlformats.org/officeDocument/2006/relationships" r:embed="rId1"/>
              <a:stretch>
                <a:fillRect/>
              </a:stretch>
            </a:blipFill>
            <a:ln>
              <a:noFill/>
            </a:ln>
            <a:effectLst/>
          </c:spPr>
          <c:invertIfNegative val="0"/>
          <c:cat>
            <c:strRef>
              <c:f>Processing!$K$24:$Q$24</c:f>
              <c:strCache>
                <c:ptCount val="7"/>
                <c:pt idx="0">
                  <c:v>SU</c:v>
                </c:pt>
                <c:pt idx="1">
                  <c:v>MO</c:v>
                </c:pt>
                <c:pt idx="2">
                  <c:v>TU</c:v>
                </c:pt>
                <c:pt idx="3">
                  <c:v>WE</c:v>
                </c:pt>
                <c:pt idx="4">
                  <c:v>TH</c:v>
                </c:pt>
                <c:pt idx="5">
                  <c:v>FR</c:v>
                </c:pt>
                <c:pt idx="6">
                  <c:v>SA</c:v>
                </c:pt>
              </c:strCache>
            </c:strRef>
          </c:cat>
          <c:val>
            <c:numRef>
              <c:f>Processing!$K$26:$Q$26</c:f>
              <c:numCache>
                <c:formatCode>General</c:formatCode>
                <c:ptCount val="7"/>
                <c:pt idx="0">
                  <c:v>0</c:v>
                </c:pt>
                <c:pt idx="1">
                  <c:v>0</c:v>
                </c:pt>
                <c:pt idx="2">
                  <c:v>0</c:v>
                </c:pt>
                <c:pt idx="3">
                  <c:v>0</c:v>
                </c:pt>
                <c:pt idx="4">
                  <c:v>0</c:v>
                </c:pt>
                <c:pt idx="5">
                  <c:v>1</c:v>
                </c:pt>
                <c:pt idx="6">
                  <c:v>0</c:v>
                </c:pt>
              </c:numCache>
            </c:numRef>
          </c:val>
          <c:extLst>
            <c:ext xmlns:c16="http://schemas.microsoft.com/office/drawing/2014/chart" uri="{C3380CC4-5D6E-409C-BE32-E72D297353CC}">
              <c16:uniqueId val="{00000001-DF74-4CA2-8984-6D7E8A5A23CC}"/>
            </c:ext>
          </c:extLst>
        </c:ser>
        <c:ser>
          <c:idx val="2"/>
          <c:order val="2"/>
          <c:spPr>
            <a:blipFill>
              <a:blip xmlns:r="http://schemas.openxmlformats.org/officeDocument/2006/relationships" r:embed="rId2"/>
              <a:stretch>
                <a:fillRect/>
              </a:stretch>
            </a:blipFill>
            <a:ln>
              <a:noFill/>
            </a:ln>
            <a:effectLst/>
          </c:spPr>
          <c:invertIfNegative val="0"/>
          <c:cat>
            <c:strRef>
              <c:f>Processing!$K$24:$Q$24</c:f>
              <c:strCache>
                <c:ptCount val="7"/>
                <c:pt idx="0">
                  <c:v>SU</c:v>
                </c:pt>
                <c:pt idx="1">
                  <c:v>MO</c:v>
                </c:pt>
                <c:pt idx="2">
                  <c:v>TU</c:v>
                </c:pt>
                <c:pt idx="3">
                  <c:v>WE</c:v>
                </c:pt>
                <c:pt idx="4">
                  <c:v>TH</c:v>
                </c:pt>
                <c:pt idx="5">
                  <c:v>FR</c:v>
                </c:pt>
                <c:pt idx="6">
                  <c:v>SA</c:v>
                </c:pt>
              </c:strCache>
            </c:strRef>
          </c:cat>
          <c:val>
            <c:numRef>
              <c:f>Processing!$K$27:$Q$27</c:f>
              <c:numCache>
                <c:formatCode>General</c:formatCode>
                <c:ptCount val="7"/>
                <c:pt idx="0">
                  <c:v>0</c:v>
                </c:pt>
                <c:pt idx="1">
                  <c:v>0</c:v>
                </c:pt>
                <c:pt idx="2">
                  <c:v>0</c:v>
                </c:pt>
                <c:pt idx="3">
                  <c:v>0</c:v>
                </c:pt>
                <c:pt idx="4">
                  <c:v>1</c:v>
                </c:pt>
                <c:pt idx="5">
                  <c:v>0</c:v>
                </c:pt>
                <c:pt idx="6">
                  <c:v>1</c:v>
                </c:pt>
              </c:numCache>
            </c:numRef>
          </c:val>
          <c:extLst>
            <c:ext xmlns:c16="http://schemas.microsoft.com/office/drawing/2014/chart" uri="{C3380CC4-5D6E-409C-BE32-E72D297353CC}">
              <c16:uniqueId val="{00000002-DF74-4CA2-8984-6D7E8A5A23CC}"/>
            </c:ext>
          </c:extLst>
        </c:ser>
        <c:ser>
          <c:idx val="3"/>
          <c:order val="3"/>
          <c:spPr>
            <a:blipFill>
              <a:blip xmlns:r="http://schemas.openxmlformats.org/officeDocument/2006/relationships" r:embed="rId3"/>
              <a:stretch>
                <a:fillRect/>
              </a:stretch>
            </a:blipFill>
            <a:ln>
              <a:noFill/>
            </a:ln>
            <a:effectLst/>
          </c:spPr>
          <c:invertIfNegative val="0"/>
          <c:cat>
            <c:strRef>
              <c:f>Processing!$K$24:$Q$24</c:f>
              <c:strCache>
                <c:ptCount val="7"/>
                <c:pt idx="0">
                  <c:v>SU</c:v>
                </c:pt>
                <c:pt idx="1">
                  <c:v>MO</c:v>
                </c:pt>
                <c:pt idx="2">
                  <c:v>TU</c:v>
                </c:pt>
                <c:pt idx="3">
                  <c:v>WE</c:v>
                </c:pt>
                <c:pt idx="4">
                  <c:v>TH</c:v>
                </c:pt>
                <c:pt idx="5">
                  <c:v>FR</c:v>
                </c:pt>
                <c:pt idx="6">
                  <c:v>SA</c:v>
                </c:pt>
              </c:strCache>
            </c:strRef>
          </c:cat>
          <c:val>
            <c:numRef>
              <c:f>Processing!$K$28:$Q$28</c:f>
              <c:numCache>
                <c:formatCode>General</c:formatCode>
                <c:ptCount val="7"/>
                <c:pt idx="0">
                  <c:v>0</c:v>
                </c:pt>
                <c:pt idx="1">
                  <c:v>0</c:v>
                </c:pt>
                <c:pt idx="2">
                  <c:v>0</c:v>
                </c:pt>
                <c:pt idx="3">
                  <c:v>0</c:v>
                </c:pt>
                <c:pt idx="4">
                  <c:v>0</c:v>
                </c:pt>
                <c:pt idx="5">
                  <c:v>0</c:v>
                </c:pt>
                <c:pt idx="6">
                  <c:v>0</c:v>
                </c:pt>
              </c:numCache>
            </c:numRef>
          </c:val>
          <c:extLst>
            <c:ext xmlns:c16="http://schemas.microsoft.com/office/drawing/2014/chart" uri="{C3380CC4-5D6E-409C-BE32-E72D297353CC}">
              <c16:uniqueId val="{00000003-DF74-4CA2-8984-6D7E8A5A23CC}"/>
            </c:ext>
          </c:extLst>
        </c:ser>
        <c:ser>
          <c:idx val="4"/>
          <c:order val="4"/>
          <c:spPr>
            <a:noFill/>
            <a:ln>
              <a:noFill/>
            </a:ln>
            <a:effectLst/>
          </c:spPr>
          <c:invertIfNegative val="0"/>
          <c:cat>
            <c:strRef>
              <c:f>Processing!$K$24:$Q$24</c:f>
              <c:strCache>
                <c:ptCount val="7"/>
                <c:pt idx="0">
                  <c:v>SU</c:v>
                </c:pt>
                <c:pt idx="1">
                  <c:v>MO</c:v>
                </c:pt>
                <c:pt idx="2">
                  <c:v>TU</c:v>
                </c:pt>
                <c:pt idx="3">
                  <c:v>WE</c:v>
                </c:pt>
                <c:pt idx="4">
                  <c:v>TH</c:v>
                </c:pt>
                <c:pt idx="5">
                  <c:v>FR</c:v>
                </c:pt>
                <c:pt idx="6">
                  <c:v>SA</c:v>
                </c:pt>
              </c:strCache>
            </c:strRef>
          </c:cat>
          <c:val>
            <c:numRef>
              <c:f>Processing!$K$29:$Q$29</c:f>
              <c:numCache>
                <c:formatCode>General</c:formatCode>
                <c:ptCount val="7"/>
                <c:pt idx="0">
                  <c:v>0</c:v>
                </c:pt>
                <c:pt idx="1">
                  <c:v>0</c:v>
                </c:pt>
                <c:pt idx="2">
                  <c:v>0</c:v>
                </c:pt>
                <c:pt idx="3">
                  <c:v>0</c:v>
                </c:pt>
                <c:pt idx="4">
                  <c:v>0</c:v>
                </c:pt>
                <c:pt idx="5">
                  <c:v>0</c:v>
                </c:pt>
                <c:pt idx="6">
                  <c:v>0</c:v>
                </c:pt>
              </c:numCache>
            </c:numRef>
          </c:val>
          <c:extLst>
            <c:ext xmlns:c16="http://schemas.microsoft.com/office/drawing/2014/chart" uri="{C3380CC4-5D6E-409C-BE32-E72D297353CC}">
              <c16:uniqueId val="{00000004-DF74-4CA2-8984-6D7E8A5A23CC}"/>
            </c:ext>
          </c:extLst>
        </c:ser>
        <c:ser>
          <c:idx val="5"/>
          <c:order val="5"/>
          <c:spPr>
            <a:blipFill>
              <a:blip xmlns:r="http://schemas.openxmlformats.org/officeDocument/2006/relationships" r:embed="rId1"/>
              <a:stretch>
                <a:fillRect/>
              </a:stretch>
            </a:blipFill>
            <a:ln>
              <a:noFill/>
            </a:ln>
            <a:effectLst/>
          </c:spPr>
          <c:invertIfNegative val="0"/>
          <c:cat>
            <c:strRef>
              <c:f>Processing!$K$24:$Q$24</c:f>
              <c:strCache>
                <c:ptCount val="7"/>
                <c:pt idx="0">
                  <c:v>SU</c:v>
                </c:pt>
                <c:pt idx="1">
                  <c:v>MO</c:v>
                </c:pt>
                <c:pt idx="2">
                  <c:v>TU</c:v>
                </c:pt>
                <c:pt idx="3">
                  <c:v>WE</c:v>
                </c:pt>
                <c:pt idx="4">
                  <c:v>TH</c:v>
                </c:pt>
                <c:pt idx="5">
                  <c:v>FR</c:v>
                </c:pt>
                <c:pt idx="6">
                  <c:v>SA</c:v>
                </c:pt>
              </c:strCache>
            </c:strRef>
          </c:cat>
          <c:val>
            <c:numRef>
              <c:f>Processing!$K$30:$Q$30</c:f>
              <c:numCache>
                <c:formatCode>General</c:formatCode>
                <c:ptCount val="7"/>
                <c:pt idx="0">
                  <c:v>1</c:v>
                </c:pt>
                <c:pt idx="1">
                  <c:v>1</c:v>
                </c:pt>
                <c:pt idx="2">
                  <c:v>1</c:v>
                </c:pt>
                <c:pt idx="3">
                  <c:v>1</c:v>
                </c:pt>
                <c:pt idx="4">
                  <c:v>1</c:v>
                </c:pt>
                <c:pt idx="5">
                  <c:v>1</c:v>
                </c:pt>
                <c:pt idx="6">
                  <c:v>0</c:v>
                </c:pt>
              </c:numCache>
            </c:numRef>
          </c:val>
          <c:extLst>
            <c:ext xmlns:c16="http://schemas.microsoft.com/office/drawing/2014/chart" uri="{C3380CC4-5D6E-409C-BE32-E72D297353CC}">
              <c16:uniqueId val="{00000005-DF74-4CA2-8984-6D7E8A5A23CC}"/>
            </c:ext>
          </c:extLst>
        </c:ser>
        <c:ser>
          <c:idx val="6"/>
          <c:order val="6"/>
          <c:spPr>
            <a:blipFill>
              <a:blip xmlns:r="http://schemas.openxmlformats.org/officeDocument/2006/relationships" r:embed="rId2"/>
              <a:stretch>
                <a:fillRect/>
              </a:stretch>
            </a:blipFill>
            <a:ln>
              <a:noFill/>
            </a:ln>
            <a:effectLst/>
          </c:spPr>
          <c:invertIfNegative val="0"/>
          <c:cat>
            <c:strRef>
              <c:f>Processing!$K$24:$Q$24</c:f>
              <c:strCache>
                <c:ptCount val="7"/>
                <c:pt idx="0">
                  <c:v>SU</c:v>
                </c:pt>
                <c:pt idx="1">
                  <c:v>MO</c:v>
                </c:pt>
                <c:pt idx="2">
                  <c:v>TU</c:v>
                </c:pt>
                <c:pt idx="3">
                  <c:v>WE</c:v>
                </c:pt>
                <c:pt idx="4">
                  <c:v>TH</c:v>
                </c:pt>
                <c:pt idx="5">
                  <c:v>FR</c:v>
                </c:pt>
                <c:pt idx="6">
                  <c:v>SA</c:v>
                </c:pt>
              </c:strCache>
            </c:strRef>
          </c:cat>
          <c:val>
            <c:numRef>
              <c:f>Processing!$K$31:$Q$31</c:f>
              <c:numCache>
                <c:formatCode>General</c:formatCode>
                <c:ptCount val="7"/>
                <c:pt idx="0">
                  <c:v>0</c:v>
                </c:pt>
                <c:pt idx="1">
                  <c:v>0</c:v>
                </c:pt>
                <c:pt idx="2">
                  <c:v>0</c:v>
                </c:pt>
                <c:pt idx="3">
                  <c:v>0</c:v>
                </c:pt>
                <c:pt idx="4">
                  <c:v>0</c:v>
                </c:pt>
                <c:pt idx="5">
                  <c:v>0</c:v>
                </c:pt>
                <c:pt idx="6">
                  <c:v>1</c:v>
                </c:pt>
              </c:numCache>
            </c:numRef>
          </c:val>
          <c:extLst>
            <c:ext xmlns:c16="http://schemas.microsoft.com/office/drawing/2014/chart" uri="{C3380CC4-5D6E-409C-BE32-E72D297353CC}">
              <c16:uniqueId val="{00000006-DF74-4CA2-8984-6D7E8A5A23CC}"/>
            </c:ext>
          </c:extLst>
        </c:ser>
        <c:ser>
          <c:idx val="7"/>
          <c:order val="7"/>
          <c:spPr>
            <a:blipFill>
              <a:blip xmlns:r="http://schemas.openxmlformats.org/officeDocument/2006/relationships" r:embed="rId3"/>
              <a:stretch>
                <a:fillRect/>
              </a:stretch>
            </a:blipFill>
            <a:ln>
              <a:noFill/>
            </a:ln>
            <a:effectLst/>
          </c:spPr>
          <c:invertIfNegative val="0"/>
          <c:cat>
            <c:strRef>
              <c:f>Processing!$K$24:$Q$24</c:f>
              <c:strCache>
                <c:ptCount val="7"/>
                <c:pt idx="0">
                  <c:v>SU</c:v>
                </c:pt>
                <c:pt idx="1">
                  <c:v>MO</c:v>
                </c:pt>
                <c:pt idx="2">
                  <c:v>TU</c:v>
                </c:pt>
                <c:pt idx="3">
                  <c:v>WE</c:v>
                </c:pt>
                <c:pt idx="4">
                  <c:v>TH</c:v>
                </c:pt>
                <c:pt idx="5">
                  <c:v>FR</c:v>
                </c:pt>
                <c:pt idx="6">
                  <c:v>SA</c:v>
                </c:pt>
              </c:strCache>
            </c:strRef>
          </c:cat>
          <c:val>
            <c:numRef>
              <c:f>Processing!$K$32:$Q$32</c:f>
              <c:numCache>
                <c:formatCode>General</c:formatCode>
                <c:ptCount val="7"/>
                <c:pt idx="0">
                  <c:v>0</c:v>
                </c:pt>
                <c:pt idx="1">
                  <c:v>0</c:v>
                </c:pt>
                <c:pt idx="2">
                  <c:v>0</c:v>
                </c:pt>
                <c:pt idx="3">
                  <c:v>0</c:v>
                </c:pt>
                <c:pt idx="4">
                  <c:v>0</c:v>
                </c:pt>
                <c:pt idx="5">
                  <c:v>0</c:v>
                </c:pt>
                <c:pt idx="6">
                  <c:v>0</c:v>
                </c:pt>
              </c:numCache>
            </c:numRef>
          </c:val>
          <c:extLst>
            <c:ext xmlns:c16="http://schemas.microsoft.com/office/drawing/2014/chart" uri="{C3380CC4-5D6E-409C-BE32-E72D297353CC}">
              <c16:uniqueId val="{00000007-DF74-4CA2-8984-6D7E8A5A23CC}"/>
            </c:ext>
          </c:extLst>
        </c:ser>
        <c:ser>
          <c:idx val="8"/>
          <c:order val="8"/>
          <c:spPr>
            <a:noFill/>
            <a:ln>
              <a:noFill/>
            </a:ln>
            <a:effectLst/>
          </c:spPr>
          <c:invertIfNegative val="0"/>
          <c:cat>
            <c:strRef>
              <c:f>Processing!$K$24:$Q$24</c:f>
              <c:strCache>
                <c:ptCount val="7"/>
                <c:pt idx="0">
                  <c:v>SU</c:v>
                </c:pt>
                <c:pt idx="1">
                  <c:v>MO</c:v>
                </c:pt>
                <c:pt idx="2">
                  <c:v>TU</c:v>
                </c:pt>
                <c:pt idx="3">
                  <c:v>WE</c:v>
                </c:pt>
                <c:pt idx="4">
                  <c:v>TH</c:v>
                </c:pt>
                <c:pt idx="5">
                  <c:v>FR</c:v>
                </c:pt>
                <c:pt idx="6">
                  <c:v>SA</c:v>
                </c:pt>
              </c:strCache>
            </c:strRef>
          </c:cat>
          <c:val>
            <c:numRef>
              <c:f>Processing!$K$33:$Q$33</c:f>
              <c:numCache>
                <c:formatCode>General</c:formatCode>
                <c:ptCount val="7"/>
                <c:pt idx="0">
                  <c:v>0</c:v>
                </c:pt>
                <c:pt idx="1">
                  <c:v>0</c:v>
                </c:pt>
                <c:pt idx="2">
                  <c:v>0</c:v>
                </c:pt>
                <c:pt idx="3">
                  <c:v>0</c:v>
                </c:pt>
                <c:pt idx="4">
                  <c:v>0</c:v>
                </c:pt>
                <c:pt idx="5">
                  <c:v>0</c:v>
                </c:pt>
                <c:pt idx="6">
                  <c:v>0</c:v>
                </c:pt>
              </c:numCache>
            </c:numRef>
          </c:val>
          <c:extLst>
            <c:ext xmlns:c16="http://schemas.microsoft.com/office/drawing/2014/chart" uri="{C3380CC4-5D6E-409C-BE32-E72D297353CC}">
              <c16:uniqueId val="{00000008-DF74-4CA2-8984-6D7E8A5A23CC}"/>
            </c:ext>
          </c:extLst>
        </c:ser>
        <c:ser>
          <c:idx val="9"/>
          <c:order val="9"/>
          <c:spPr>
            <a:blipFill>
              <a:blip xmlns:r="http://schemas.openxmlformats.org/officeDocument/2006/relationships" r:embed="rId1"/>
              <a:stretch>
                <a:fillRect/>
              </a:stretch>
            </a:blipFill>
            <a:ln>
              <a:noFill/>
            </a:ln>
            <a:effectLst/>
          </c:spPr>
          <c:invertIfNegative val="0"/>
          <c:cat>
            <c:strRef>
              <c:f>Processing!$K$24:$Q$24</c:f>
              <c:strCache>
                <c:ptCount val="7"/>
                <c:pt idx="0">
                  <c:v>SU</c:v>
                </c:pt>
                <c:pt idx="1">
                  <c:v>MO</c:v>
                </c:pt>
                <c:pt idx="2">
                  <c:v>TU</c:v>
                </c:pt>
                <c:pt idx="3">
                  <c:v>WE</c:v>
                </c:pt>
                <c:pt idx="4">
                  <c:v>TH</c:v>
                </c:pt>
                <c:pt idx="5">
                  <c:v>FR</c:v>
                </c:pt>
                <c:pt idx="6">
                  <c:v>SA</c:v>
                </c:pt>
              </c:strCache>
            </c:strRef>
          </c:cat>
          <c:val>
            <c:numRef>
              <c:f>Processing!$K$34:$Q$34</c:f>
              <c:numCache>
                <c:formatCode>General</c:formatCode>
                <c:ptCount val="7"/>
                <c:pt idx="0">
                  <c:v>0</c:v>
                </c:pt>
                <c:pt idx="1">
                  <c:v>1</c:v>
                </c:pt>
                <c:pt idx="2">
                  <c:v>0</c:v>
                </c:pt>
                <c:pt idx="3">
                  <c:v>0</c:v>
                </c:pt>
                <c:pt idx="4">
                  <c:v>0</c:v>
                </c:pt>
                <c:pt idx="5">
                  <c:v>1</c:v>
                </c:pt>
                <c:pt idx="6">
                  <c:v>1</c:v>
                </c:pt>
              </c:numCache>
            </c:numRef>
          </c:val>
          <c:extLst>
            <c:ext xmlns:c16="http://schemas.microsoft.com/office/drawing/2014/chart" uri="{C3380CC4-5D6E-409C-BE32-E72D297353CC}">
              <c16:uniqueId val="{00000009-DF74-4CA2-8984-6D7E8A5A23CC}"/>
            </c:ext>
          </c:extLst>
        </c:ser>
        <c:ser>
          <c:idx val="10"/>
          <c:order val="10"/>
          <c:spPr>
            <a:blipFill>
              <a:blip xmlns:r="http://schemas.openxmlformats.org/officeDocument/2006/relationships" r:embed="rId2"/>
              <a:stretch>
                <a:fillRect/>
              </a:stretch>
            </a:blipFill>
            <a:ln>
              <a:noFill/>
            </a:ln>
            <a:effectLst/>
          </c:spPr>
          <c:invertIfNegative val="0"/>
          <c:cat>
            <c:strRef>
              <c:f>Processing!$K$24:$Q$24</c:f>
              <c:strCache>
                <c:ptCount val="7"/>
                <c:pt idx="0">
                  <c:v>SU</c:v>
                </c:pt>
                <c:pt idx="1">
                  <c:v>MO</c:v>
                </c:pt>
                <c:pt idx="2">
                  <c:v>TU</c:v>
                </c:pt>
                <c:pt idx="3">
                  <c:v>WE</c:v>
                </c:pt>
                <c:pt idx="4">
                  <c:v>TH</c:v>
                </c:pt>
                <c:pt idx="5">
                  <c:v>FR</c:v>
                </c:pt>
                <c:pt idx="6">
                  <c:v>SA</c:v>
                </c:pt>
              </c:strCache>
            </c:strRef>
          </c:cat>
          <c:val>
            <c:numRef>
              <c:f>Processing!$K$35:$Q$35</c:f>
              <c:numCache>
                <c:formatCode>General</c:formatCode>
                <c:ptCount val="7"/>
                <c:pt idx="0">
                  <c:v>1</c:v>
                </c:pt>
                <c:pt idx="1">
                  <c:v>0</c:v>
                </c:pt>
                <c:pt idx="2">
                  <c:v>1</c:v>
                </c:pt>
                <c:pt idx="3">
                  <c:v>1</c:v>
                </c:pt>
                <c:pt idx="4">
                  <c:v>1</c:v>
                </c:pt>
                <c:pt idx="5">
                  <c:v>0</c:v>
                </c:pt>
                <c:pt idx="6">
                  <c:v>0</c:v>
                </c:pt>
              </c:numCache>
            </c:numRef>
          </c:val>
          <c:extLst>
            <c:ext xmlns:c16="http://schemas.microsoft.com/office/drawing/2014/chart" uri="{C3380CC4-5D6E-409C-BE32-E72D297353CC}">
              <c16:uniqueId val="{0000000A-DF74-4CA2-8984-6D7E8A5A23CC}"/>
            </c:ext>
          </c:extLst>
        </c:ser>
        <c:ser>
          <c:idx val="11"/>
          <c:order val="11"/>
          <c:spPr>
            <a:blipFill>
              <a:blip xmlns:r="http://schemas.openxmlformats.org/officeDocument/2006/relationships" r:embed="rId3"/>
              <a:stretch>
                <a:fillRect/>
              </a:stretch>
            </a:blipFill>
            <a:ln>
              <a:noFill/>
            </a:ln>
            <a:effectLst/>
          </c:spPr>
          <c:invertIfNegative val="0"/>
          <c:cat>
            <c:strRef>
              <c:f>Processing!$K$24:$Q$24</c:f>
              <c:strCache>
                <c:ptCount val="7"/>
                <c:pt idx="0">
                  <c:v>SU</c:v>
                </c:pt>
                <c:pt idx="1">
                  <c:v>MO</c:v>
                </c:pt>
                <c:pt idx="2">
                  <c:v>TU</c:v>
                </c:pt>
                <c:pt idx="3">
                  <c:v>WE</c:v>
                </c:pt>
                <c:pt idx="4">
                  <c:v>TH</c:v>
                </c:pt>
                <c:pt idx="5">
                  <c:v>FR</c:v>
                </c:pt>
                <c:pt idx="6">
                  <c:v>SA</c:v>
                </c:pt>
              </c:strCache>
            </c:strRef>
          </c:cat>
          <c:val>
            <c:numRef>
              <c:f>Processing!$K$36:$Q$36</c:f>
              <c:numCache>
                <c:formatCode>General</c:formatCode>
                <c:ptCount val="7"/>
                <c:pt idx="0">
                  <c:v>0</c:v>
                </c:pt>
                <c:pt idx="1">
                  <c:v>0</c:v>
                </c:pt>
                <c:pt idx="2">
                  <c:v>0</c:v>
                </c:pt>
                <c:pt idx="3">
                  <c:v>0</c:v>
                </c:pt>
                <c:pt idx="4">
                  <c:v>0</c:v>
                </c:pt>
                <c:pt idx="5">
                  <c:v>0</c:v>
                </c:pt>
                <c:pt idx="6">
                  <c:v>0</c:v>
                </c:pt>
              </c:numCache>
            </c:numRef>
          </c:val>
          <c:extLst>
            <c:ext xmlns:c16="http://schemas.microsoft.com/office/drawing/2014/chart" uri="{C3380CC4-5D6E-409C-BE32-E72D297353CC}">
              <c16:uniqueId val="{0000000B-DF74-4CA2-8984-6D7E8A5A23CC}"/>
            </c:ext>
          </c:extLst>
        </c:ser>
        <c:ser>
          <c:idx val="12"/>
          <c:order val="12"/>
          <c:spPr>
            <a:noFill/>
            <a:ln>
              <a:noFill/>
            </a:ln>
            <a:effectLst/>
          </c:spPr>
          <c:invertIfNegative val="0"/>
          <c:cat>
            <c:strRef>
              <c:f>Processing!$K$24:$Q$24</c:f>
              <c:strCache>
                <c:ptCount val="7"/>
                <c:pt idx="0">
                  <c:v>SU</c:v>
                </c:pt>
                <c:pt idx="1">
                  <c:v>MO</c:v>
                </c:pt>
                <c:pt idx="2">
                  <c:v>TU</c:v>
                </c:pt>
                <c:pt idx="3">
                  <c:v>WE</c:v>
                </c:pt>
                <c:pt idx="4">
                  <c:v>TH</c:v>
                </c:pt>
                <c:pt idx="5">
                  <c:v>FR</c:v>
                </c:pt>
                <c:pt idx="6">
                  <c:v>SA</c:v>
                </c:pt>
              </c:strCache>
            </c:strRef>
          </c:cat>
          <c:val>
            <c:numRef>
              <c:f>Processing!$K$37:$Q$37</c:f>
              <c:numCache>
                <c:formatCode>General</c:formatCode>
                <c:ptCount val="7"/>
                <c:pt idx="0">
                  <c:v>0</c:v>
                </c:pt>
                <c:pt idx="1">
                  <c:v>0</c:v>
                </c:pt>
                <c:pt idx="2">
                  <c:v>0</c:v>
                </c:pt>
                <c:pt idx="3">
                  <c:v>0</c:v>
                </c:pt>
                <c:pt idx="4">
                  <c:v>0</c:v>
                </c:pt>
                <c:pt idx="5">
                  <c:v>0</c:v>
                </c:pt>
                <c:pt idx="6">
                  <c:v>0</c:v>
                </c:pt>
              </c:numCache>
            </c:numRef>
          </c:val>
          <c:extLst>
            <c:ext xmlns:c16="http://schemas.microsoft.com/office/drawing/2014/chart" uri="{C3380CC4-5D6E-409C-BE32-E72D297353CC}">
              <c16:uniqueId val="{0000000C-DF74-4CA2-8984-6D7E8A5A23CC}"/>
            </c:ext>
          </c:extLst>
        </c:ser>
        <c:ser>
          <c:idx val="13"/>
          <c:order val="13"/>
          <c:spPr>
            <a:blipFill>
              <a:blip xmlns:r="http://schemas.openxmlformats.org/officeDocument/2006/relationships" r:embed="rId1"/>
              <a:stretch>
                <a:fillRect/>
              </a:stretch>
            </a:blipFill>
            <a:ln>
              <a:noFill/>
            </a:ln>
            <a:effectLst/>
          </c:spPr>
          <c:invertIfNegative val="0"/>
          <c:cat>
            <c:strRef>
              <c:f>Processing!$K$24:$Q$24</c:f>
              <c:strCache>
                <c:ptCount val="7"/>
                <c:pt idx="0">
                  <c:v>SU</c:v>
                </c:pt>
                <c:pt idx="1">
                  <c:v>MO</c:v>
                </c:pt>
                <c:pt idx="2">
                  <c:v>TU</c:v>
                </c:pt>
                <c:pt idx="3">
                  <c:v>WE</c:v>
                </c:pt>
                <c:pt idx="4">
                  <c:v>TH</c:v>
                </c:pt>
                <c:pt idx="5">
                  <c:v>FR</c:v>
                </c:pt>
                <c:pt idx="6">
                  <c:v>SA</c:v>
                </c:pt>
              </c:strCache>
            </c:strRef>
          </c:cat>
          <c:val>
            <c:numRef>
              <c:f>Processing!$K$38:$Q$38</c:f>
              <c:numCache>
                <c:formatCode>General</c:formatCode>
                <c:ptCount val="7"/>
                <c:pt idx="0">
                  <c:v>0</c:v>
                </c:pt>
                <c:pt idx="1">
                  <c:v>0</c:v>
                </c:pt>
                <c:pt idx="2">
                  <c:v>0</c:v>
                </c:pt>
                <c:pt idx="3">
                  <c:v>1</c:v>
                </c:pt>
                <c:pt idx="4">
                  <c:v>0</c:v>
                </c:pt>
                <c:pt idx="5">
                  <c:v>0</c:v>
                </c:pt>
                <c:pt idx="6">
                  <c:v>0</c:v>
                </c:pt>
              </c:numCache>
            </c:numRef>
          </c:val>
          <c:extLst>
            <c:ext xmlns:c16="http://schemas.microsoft.com/office/drawing/2014/chart" uri="{C3380CC4-5D6E-409C-BE32-E72D297353CC}">
              <c16:uniqueId val="{0000000D-DF74-4CA2-8984-6D7E8A5A23CC}"/>
            </c:ext>
          </c:extLst>
        </c:ser>
        <c:ser>
          <c:idx val="14"/>
          <c:order val="14"/>
          <c:spPr>
            <a:blipFill>
              <a:blip xmlns:r="http://schemas.openxmlformats.org/officeDocument/2006/relationships" r:embed="rId2"/>
              <a:stretch>
                <a:fillRect/>
              </a:stretch>
            </a:blipFill>
            <a:ln>
              <a:noFill/>
            </a:ln>
            <a:effectLst/>
          </c:spPr>
          <c:invertIfNegative val="0"/>
          <c:cat>
            <c:strRef>
              <c:f>Processing!$K$24:$Q$24</c:f>
              <c:strCache>
                <c:ptCount val="7"/>
                <c:pt idx="0">
                  <c:v>SU</c:v>
                </c:pt>
                <c:pt idx="1">
                  <c:v>MO</c:v>
                </c:pt>
                <c:pt idx="2">
                  <c:v>TU</c:v>
                </c:pt>
                <c:pt idx="3">
                  <c:v>WE</c:v>
                </c:pt>
                <c:pt idx="4">
                  <c:v>TH</c:v>
                </c:pt>
                <c:pt idx="5">
                  <c:v>FR</c:v>
                </c:pt>
                <c:pt idx="6">
                  <c:v>SA</c:v>
                </c:pt>
              </c:strCache>
            </c:strRef>
          </c:cat>
          <c:val>
            <c:numRef>
              <c:f>Processing!$K$39:$Q$39</c:f>
              <c:numCache>
                <c:formatCode>General</c:formatCode>
                <c:ptCount val="7"/>
                <c:pt idx="0">
                  <c:v>1</c:v>
                </c:pt>
                <c:pt idx="1">
                  <c:v>1</c:v>
                </c:pt>
                <c:pt idx="2">
                  <c:v>1</c:v>
                </c:pt>
                <c:pt idx="3">
                  <c:v>0</c:v>
                </c:pt>
                <c:pt idx="4">
                  <c:v>0</c:v>
                </c:pt>
                <c:pt idx="5">
                  <c:v>1</c:v>
                </c:pt>
                <c:pt idx="6">
                  <c:v>1</c:v>
                </c:pt>
              </c:numCache>
            </c:numRef>
          </c:val>
          <c:extLst>
            <c:ext xmlns:c16="http://schemas.microsoft.com/office/drawing/2014/chart" uri="{C3380CC4-5D6E-409C-BE32-E72D297353CC}">
              <c16:uniqueId val="{0000000E-DF74-4CA2-8984-6D7E8A5A23CC}"/>
            </c:ext>
          </c:extLst>
        </c:ser>
        <c:ser>
          <c:idx val="15"/>
          <c:order val="15"/>
          <c:spPr>
            <a:blipFill>
              <a:blip xmlns:r="http://schemas.openxmlformats.org/officeDocument/2006/relationships" r:embed="rId3"/>
              <a:stretch>
                <a:fillRect/>
              </a:stretch>
            </a:blipFill>
            <a:ln>
              <a:noFill/>
            </a:ln>
            <a:effectLst/>
          </c:spPr>
          <c:invertIfNegative val="0"/>
          <c:cat>
            <c:strRef>
              <c:f>Processing!$K$24:$Q$24</c:f>
              <c:strCache>
                <c:ptCount val="7"/>
                <c:pt idx="0">
                  <c:v>SU</c:v>
                </c:pt>
                <c:pt idx="1">
                  <c:v>MO</c:v>
                </c:pt>
                <c:pt idx="2">
                  <c:v>TU</c:v>
                </c:pt>
                <c:pt idx="3">
                  <c:v>WE</c:v>
                </c:pt>
                <c:pt idx="4">
                  <c:v>TH</c:v>
                </c:pt>
                <c:pt idx="5">
                  <c:v>FR</c:v>
                </c:pt>
                <c:pt idx="6">
                  <c:v>SA</c:v>
                </c:pt>
              </c:strCache>
            </c:strRef>
          </c:cat>
          <c:val>
            <c:numRef>
              <c:f>Processing!$K$40:$Q$40</c:f>
              <c:numCache>
                <c:formatCode>General</c:formatCode>
                <c:ptCount val="7"/>
                <c:pt idx="0">
                  <c:v>0</c:v>
                </c:pt>
                <c:pt idx="1">
                  <c:v>0</c:v>
                </c:pt>
                <c:pt idx="2">
                  <c:v>0</c:v>
                </c:pt>
                <c:pt idx="3">
                  <c:v>0</c:v>
                </c:pt>
                <c:pt idx="4">
                  <c:v>1</c:v>
                </c:pt>
                <c:pt idx="5">
                  <c:v>0</c:v>
                </c:pt>
                <c:pt idx="6">
                  <c:v>0</c:v>
                </c:pt>
              </c:numCache>
            </c:numRef>
          </c:val>
          <c:extLst>
            <c:ext xmlns:c16="http://schemas.microsoft.com/office/drawing/2014/chart" uri="{C3380CC4-5D6E-409C-BE32-E72D297353CC}">
              <c16:uniqueId val="{0000000F-DF74-4CA2-8984-6D7E8A5A23CC}"/>
            </c:ext>
          </c:extLst>
        </c:ser>
        <c:ser>
          <c:idx val="16"/>
          <c:order val="16"/>
          <c:spPr>
            <a:noFill/>
            <a:ln>
              <a:noFill/>
            </a:ln>
            <a:effectLst/>
          </c:spPr>
          <c:invertIfNegative val="0"/>
          <c:cat>
            <c:strRef>
              <c:f>Processing!$K$24:$Q$24</c:f>
              <c:strCache>
                <c:ptCount val="7"/>
                <c:pt idx="0">
                  <c:v>SU</c:v>
                </c:pt>
                <c:pt idx="1">
                  <c:v>MO</c:v>
                </c:pt>
                <c:pt idx="2">
                  <c:v>TU</c:v>
                </c:pt>
                <c:pt idx="3">
                  <c:v>WE</c:v>
                </c:pt>
                <c:pt idx="4">
                  <c:v>TH</c:v>
                </c:pt>
                <c:pt idx="5">
                  <c:v>FR</c:v>
                </c:pt>
                <c:pt idx="6">
                  <c:v>SA</c:v>
                </c:pt>
              </c:strCache>
            </c:strRef>
          </c:cat>
          <c:val>
            <c:numRef>
              <c:f>Processing!$K$41:$Q$41</c:f>
              <c:numCache>
                <c:formatCode>General</c:formatCode>
                <c:ptCount val="7"/>
                <c:pt idx="0">
                  <c:v>0</c:v>
                </c:pt>
                <c:pt idx="1">
                  <c:v>0</c:v>
                </c:pt>
                <c:pt idx="2">
                  <c:v>0</c:v>
                </c:pt>
                <c:pt idx="3">
                  <c:v>0</c:v>
                </c:pt>
                <c:pt idx="4">
                  <c:v>0</c:v>
                </c:pt>
                <c:pt idx="5">
                  <c:v>0</c:v>
                </c:pt>
                <c:pt idx="6">
                  <c:v>1</c:v>
                </c:pt>
              </c:numCache>
            </c:numRef>
          </c:val>
          <c:extLst>
            <c:ext xmlns:c16="http://schemas.microsoft.com/office/drawing/2014/chart" uri="{C3380CC4-5D6E-409C-BE32-E72D297353CC}">
              <c16:uniqueId val="{00000010-DF74-4CA2-8984-6D7E8A5A23CC}"/>
            </c:ext>
          </c:extLst>
        </c:ser>
        <c:ser>
          <c:idx val="17"/>
          <c:order val="17"/>
          <c:spPr>
            <a:blipFill>
              <a:blip xmlns:r="http://schemas.openxmlformats.org/officeDocument/2006/relationships" r:embed="rId1"/>
              <a:stretch>
                <a:fillRect/>
              </a:stretch>
            </a:blipFill>
            <a:ln>
              <a:noFill/>
            </a:ln>
            <a:effectLst/>
          </c:spPr>
          <c:invertIfNegative val="0"/>
          <c:cat>
            <c:strRef>
              <c:f>Processing!$K$24:$Q$24</c:f>
              <c:strCache>
                <c:ptCount val="7"/>
                <c:pt idx="0">
                  <c:v>SU</c:v>
                </c:pt>
                <c:pt idx="1">
                  <c:v>MO</c:v>
                </c:pt>
                <c:pt idx="2">
                  <c:v>TU</c:v>
                </c:pt>
                <c:pt idx="3">
                  <c:v>WE</c:v>
                </c:pt>
                <c:pt idx="4">
                  <c:v>TH</c:v>
                </c:pt>
                <c:pt idx="5">
                  <c:v>FR</c:v>
                </c:pt>
                <c:pt idx="6">
                  <c:v>SA</c:v>
                </c:pt>
              </c:strCache>
            </c:strRef>
          </c:cat>
          <c:val>
            <c:numRef>
              <c:f>Processing!$K$42:$Q$42</c:f>
              <c:numCache>
                <c:formatCode>General</c:formatCode>
                <c:ptCount val="7"/>
                <c:pt idx="0">
                  <c:v>1</c:v>
                </c:pt>
                <c:pt idx="1">
                  <c:v>0</c:v>
                </c:pt>
                <c:pt idx="2">
                  <c:v>1</c:v>
                </c:pt>
                <c:pt idx="3">
                  <c:v>1</c:v>
                </c:pt>
                <c:pt idx="4">
                  <c:v>1</c:v>
                </c:pt>
                <c:pt idx="5">
                  <c:v>1</c:v>
                </c:pt>
                <c:pt idx="6">
                  <c:v>0</c:v>
                </c:pt>
              </c:numCache>
            </c:numRef>
          </c:val>
          <c:extLst>
            <c:ext xmlns:c16="http://schemas.microsoft.com/office/drawing/2014/chart" uri="{C3380CC4-5D6E-409C-BE32-E72D297353CC}">
              <c16:uniqueId val="{00000011-DF74-4CA2-8984-6D7E8A5A23CC}"/>
            </c:ext>
          </c:extLst>
        </c:ser>
        <c:ser>
          <c:idx val="18"/>
          <c:order val="18"/>
          <c:spPr>
            <a:blipFill>
              <a:blip xmlns:r="http://schemas.openxmlformats.org/officeDocument/2006/relationships" r:embed="rId2"/>
              <a:stretch>
                <a:fillRect/>
              </a:stretch>
            </a:blipFill>
            <a:ln>
              <a:noFill/>
            </a:ln>
            <a:effectLst/>
          </c:spPr>
          <c:invertIfNegative val="0"/>
          <c:cat>
            <c:strRef>
              <c:f>Processing!$K$24:$Q$24</c:f>
              <c:strCache>
                <c:ptCount val="7"/>
                <c:pt idx="0">
                  <c:v>SU</c:v>
                </c:pt>
                <c:pt idx="1">
                  <c:v>MO</c:v>
                </c:pt>
                <c:pt idx="2">
                  <c:v>TU</c:v>
                </c:pt>
                <c:pt idx="3">
                  <c:v>WE</c:v>
                </c:pt>
                <c:pt idx="4">
                  <c:v>TH</c:v>
                </c:pt>
                <c:pt idx="5">
                  <c:v>FR</c:v>
                </c:pt>
                <c:pt idx="6">
                  <c:v>SA</c:v>
                </c:pt>
              </c:strCache>
            </c:strRef>
          </c:cat>
          <c:val>
            <c:numRef>
              <c:f>Processing!$K$43:$Q$43</c:f>
              <c:numCache>
                <c:formatCode>General</c:formatCode>
                <c:ptCount val="7"/>
                <c:pt idx="0">
                  <c:v>0</c:v>
                </c:pt>
                <c:pt idx="1">
                  <c:v>0</c:v>
                </c:pt>
                <c:pt idx="2">
                  <c:v>0</c:v>
                </c:pt>
                <c:pt idx="3">
                  <c:v>0</c:v>
                </c:pt>
                <c:pt idx="4">
                  <c:v>0</c:v>
                </c:pt>
                <c:pt idx="5">
                  <c:v>0</c:v>
                </c:pt>
                <c:pt idx="6">
                  <c:v>0</c:v>
                </c:pt>
              </c:numCache>
            </c:numRef>
          </c:val>
          <c:extLst>
            <c:ext xmlns:c16="http://schemas.microsoft.com/office/drawing/2014/chart" uri="{C3380CC4-5D6E-409C-BE32-E72D297353CC}">
              <c16:uniqueId val="{00000012-DF74-4CA2-8984-6D7E8A5A23CC}"/>
            </c:ext>
          </c:extLst>
        </c:ser>
        <c:ser>
          <c:idx val="19"/>
          <c:order val="19"/>
          <c:spPr>
            <a:blipFill>
              <a:blip xmlns:r="http://schemas.openxmlformats.org/officeDocument/2006/relationships" r:embed="rId3"/>
              <a:stretch>
                <a:fillRect/>
              </a:stretch>
            </a:blipFill>
            <a:ln>
              <a:noFill/>
            </a:ln>
            <a:effectLst/>
          </c:spPr>
          <c:invertIfNegative val="0"/>
          <c:cat>
            <c:strRef>
              <c:f>Processing!$K$24:$Q$24</c:f>
              <c:strCache>
                <c:ptCount val="7"/>
                <c:pt idx="0">
                  <c:v>SU</c:v>
                </c:pt>
                <c:pt idx="1">
                  <c:v>MO</c:v>
                </c:pt>
                <c:pt idx="2">
                  <c:v>TU</c:v>
                </c:pt>
                <c:pt idx="3">
                  <c:v>WE</c:v>
                </c:pt>
                <c:pt idx="4">
                  <c:v>TH</c:v>
                </c:pt>
                <c:pt idx="5">
                  <c:v>FR</c:v>
                </c:pt>
                <c:pt idx="6">
                  <c:v>SA</c:v>
                </c:pt>
              </c:strCache>
            </c:strRef>
          </c:cat>
          <c:val>
            <c:numRef>
              <c:f>Processing!$K$44:$Q$44</c:f>
              <c:numCache>
                <c:formatCode>General</c:formatCode>
                <c:ptCount val="7"/>
                <c:pt idx="0">
                  <c:v>0</c:v>
                </c:pt>
                <c:pt idx="1">
                  <c:v>1</c:v>
                </c:pt>
                <c:pt idx="2">
                  <c:v>0</c:v>
                </c:pt>
                <c:pt idx="3">
                  <c:v>0</c:v>
                </c:pt>
                <c:pt idx="4">
                  <c:v>0</c:v>
                </c:pt>
                <c:pt idx="5">
                  <c:v>0</c:v>
                </c:pt>
                <c:pt idx="6">
                  <c:v>0</c:v>
                </c:pt>
              </c:numCache>
            </c:numRef>
          </c:val>
          <c:extLst>
            <c:ext xmlns:c16="http://schemas.microsoft.com/office/drawing/2014/chart" uri="{C3380CC4-5D6E-409C-BE32-E72D297353CC}">
              <c16:uniqueId val="{00000013-DF74-4CA2-8984-6D7E8A5A23CC}"/>
            </c:ext>
          </c:extLst>
        </c:ser>
        <c:ser>
          <c:idx val="20"/>
          <c:order val="20"/>
          <c:spPr>
            <a:noFill/>
            <a:ln>
              <a:noFill/>
            </a:ln>
            <a:effectLst/>
          </c:spPr>
          <c:invertIfNegative val="0"/>
          <c:cat>
            <c:strRef>
              <c:f>Processing!$K$24:$Q$24</c:f>
              <c:strCache>
                <c:ptCount val="7"/>
                <c:pt idx="0">
                  <c:v>SU</c:v>
                </c:pt>
                <c:pt idx="1">
                  <c:v>MO</c:v>
                </c:pt>
                <c:pt idx="2">
                  <c:v>TU</c:v>
                </c:pt>
                <c:pt idx="3">
                  <c:v>WE</c:v>
                </c:pt>
                <c:pt idx="4">
                  <c:v>TH</c:v>
                </c:pt>
                <c:pt idx="5">
                  <c:v>FR</c:v>
                </c:pt>
                <c:pt idx="6">
                  <c:v>SA</c:v>
                </c:pt>
              </c:strCache>
            </c:strRef>
          </c:cat>
          <c:val>
            <c:numRef>
              <c:f>Processing!$K$45:$Q$45</c:f>
              <c:numCache>
                <c:formatCode>General</c:formatCode>
                <c:ptCount val="7"/>
                <c:pt idx="0">
                  <c:v>1</c:v>
                </c:pt>
                <c:pt idx="1">
                  <c:v>1</c:v>
                </c:pt>
                <c:pt idx="2">
                  <c:v>1</c:v>
                </c:pt>
                <c:pt idx="3">
                  <c:v>1</c:v>
                </c:pt>
                <c:pt idx="4">
                  <c:v>1</c:v>
                </c:pt>
                <c:pt idx="5">
                  <c:v>1</c:v>
                </c:pt>
                <c:pt idx="6">
                  <c:v>1</c:v>
                </c:pt>
              </c:numCache>
            </c:numRef>
          </c:val>
          <c:extLst>
            <c:ext xmlns:c16="http://schemas.microsoft.com/office/drawing/2014/chart" uri="{C3380CC4-5D6E-409C-BE32-E72D297353CC}">
              <c16:uniqueId val="{00000014-DF74-4CA2-8984-6D7E8A5A23CC}"/>
            </c:ext>
          </c:extLst>
        </c:ser>
        <c:ser>
          <c:idx val="21"/>
          <c:order val="21"/>
          <c:spPr>
            <a:blipFill>
              <a:blip xmlns:r="http://schemas.openxmlformats.org/officeDocument/2006/relationships" r:embed="rId1"/>
              <a:stretch>
                <a:fillRect/>
              </a:stretch>
            </a:blipFill>
            <a:ln>
              <a:noFill/>
            </a:ln>
            <a:effectLst/>
          </c:spPr>
          <c:invertIfNegative val="0"/>
          <c:cat>
            <c:strRef>
              <c:f>Processing!$K$24:$Q$24</c:f>
              <c:strCache>
                <c:ptCount val="7"/>
                <c:pt idx="0">
                  <c:v>SU</c:v>
                </c:pt>
                <c:pt idx="1">
                  <c:v>MO</c:v>
                </c:pt>
                <c:pt idx="2">
                  <c:v>TU</c:v>
                </c:pt>
                <c:pt idx="3">
                  <c:v>WE</c:v>
                </c:pt>
                <c:pt idx="4">
                  <c:v>TH</c:v>
                </c:pt>
                <c:pt idx="5">
                  <c:v>FR</c:v>
                </c:pt>
                <c:pt idx="6">
                  <c:v>SA</c:v>
                </c:pt>
              </c:strCache>
            </c:strRef>
          </c:cat>
          <c:val>
            <c:numRef>
              <c:f>Processing!$K$46:$Q$46</c:f>
              <c:numCache>
                <c:formatCode>General</c:formatCode>
                <c:ptCount val="7"/>
                <c:pt idx="0">
                  <c:v>0</c:v>
                </c:pt>
                <c:pt idx="1">
                  <c:v>0</c:v>
                </c:pt>
                <c:pt idx="2">
                  <c:v>0</c:v>
                </c:pt>
                <c:pt idx="3">
                  <c:v>0</c:v>
                </c:pt>
                <c:pt idx="4">
                  <c:v>0</c:v>
                </c:pt>
                <c:pt idx="5">
                  <c:v>0</c:v>
                </c:pt>
                <c:pt idx="6">
                  <c:v>0</c:v>
                </c:pt>
              </c:numCache>
            </c:numRef>
          </c:val>
          <c:extLst>
            <c:ext xmlns:c16="http://schemas.microsoft.com/office/drawing/2014/chart" uri="{C3380CC4-5D6E-409C-BE32-E72D297353CC}">
              <c16:uniqueId val="{00000015-DF74-4CA2-8984-6D7E8A5A23CC}"/>
            </c:ext>
          </c:extLst>
        </c:ser>
        <c:ser>
          <c:idx val="22"/>
          <c:order val="22"/>
          <c:spPr>
            <a:blipFill>
              <a:blip xmlns:r="http://schemas.openxmlformats.org/officeDocument/2006/relationships" r:embed="rId2"/>
              <a:stretch>
                <a:fillRect/>
              </a:stretch>
            </a:blipFill>
            <a:ln>
              <a:noFill/>
            </a:ln>
            <a:effectLst/>
          </c:spPr>
          <c:invertIfNegative val="0"/>
          <c:cat>
            <c:strRef>
              <c:f>Processing!$K$24:$Q$24</c:f>
              <c:strCache>
                <c:ptCount val="7"/>
                <c:pt idx="0">
                  <c:v>SU</c:v>
                </c:pt>
                <c:pt idx="1">
                  <c:v>MO</c:v>
                </c:pt>
                <c:pt idx="2">
                  <c:v>TU</c:v>
                </c:pt>
                <c:pt idx="3">
                  <c:v>WE</c:v>
                </c:pt>
                <c:pt idx="4">
                  <c:v>TH</c:v>
                </c:pt>
                <c:pt idx="5">
                  <c:v>FR</c:v>
                </c:pt>
                <c:pt idx="6">
                  <c:v>SA</c:v>
                </c:pt>
              </c:strCache>
            </c:strRef>
          </c:cat>
          <c:val>
            <c:numRef>
              <c:f>Processing!$K$47:$Q$47</c:f>
              <c:numCache>
                <c:formatCode>General</c:formatCode>
                <c:ptCount val="7"/>
                <c:pt idx="0">
                  <c:v>0</c:v>
                </c:pt>
                <c:pt idx="1">
                  <c:v>0</c:v>
                </c:pt>
                <c:pt idx="2">
                  <c:v>0</c:v>
                </c:pt>
                <c:pt idx="3">
                  <c:v>0</c:v>
                </c:pt>
                <c:pt idx="4">
                  <c:v>0</c:v>
                </c:pt>
                <c:pt idx="5">
                  <c:v>0</c:v>
                </c:pt>
                <c:pt idx="6">
                  <c:v>0</c:v>
                </c:pt>
              </c:numCache>
            </c:numRef>
          </c:val>
          <c:extLst>
            <c:ext xmlns:c16="http://schemas.microsoft.com/office/drawing/2014/chart" uri="{C3380CC4-5D6E-409C-BE32-E72D297353CC}">
              <c16:uniqueId val="{00000016-DF74-4CA2-8984-6D7E8A5A23CC}"/>
            </c:ext>
          </c:extLst>
        </c:ser>
        <c:ser>
          <c:idx val="23"/>
          <c:order val="23"/>
          <c:spPr>
            <a:blipFill>
              <a:blip xmlns:r="http://schemas.openxmlformats.org/officeDocument/2006/relationships" r:embed="rId3"/>
              <a:stretch>
                <a:fillRect/>
              </a:stretch>
            </a:blipFill>
            <a:ln>
              <a:noFill/>
            </a:ln>
            <a:effectLst/>
          </c:spPr>
          <c:invertIfNegative val="0"/>
          <c:cat>
            <c:strRef>
              <c:f>Processing!$K$24:$Q$24</c:f>
              <c:strCache>
                <c:ptCount val="7"/>
                <c:pt idx="0">
                  <c:v>SU</c:v>
                </c:pt>
                <c:pt idx="1">
                  <c:v>MO</c:v>
                </c:pt>
                <c:pt idx="2">
                  <c:v>TU</c:v>
                </c:pt>
                <c:pt idx="3">
                  <c:v>WE</c:v>
                </c:pt>
                <c:pt idx="4">
                  <c:v>TH</c:v>
                </c:pt>
                <c:pt idx="5">
                  <c:v>FR</c:v>
                </c:pt>
                <c:pt idx="6">
                  <c:v>SA</c:v>
                </c:pt>
              </c:strCache>
            </c:strRef>
          </c:cat>
          <c:val>
            <c:numRef>
              <c:f>Processing!$K$48:$Q$48</c:f>
              <c:numCache>
                <c:formatCode>General</c:formatCode>
                <c:ptCount val="7"/>
                <c:pt idx="0">
                  <c:v>0</c:v>
                </c:pt>
                <c:pt idx="1">
                  <c:v>0</c:v>
                </c:pt>
                <c:pt idx="2">
                  <c:v>0</c:v>
                </c:pt>
                <c:pt idx="3">
                  <c:v>0</c:v>
                </c:pt>
                <c:pt idx="4">
                  <c:v>0</c:v>
                </c:pt>
                <c:pt idx="5">
                  <c:v>0</c:v>
                </c:pt>
                <c:pt idx="6">
                  <c:v>0</c:v>
                </c:pt>
              </c:numCache>
            </c:numRef>
          </c:val>
          <c:extLst>
            <c:ext xmlns:c16="http://schemas.microsoft.com/office/drawing/2014/chart" uri="{C3380CC4-5D6E-409C-BE32-E72D297353CC}">
              <c16:uniqueId val="{00000017-DF74-4CA2-8984-6D7E8A5A23CC}"/>
            </c:ext>
          </c:extLst>
        </c:ser>
        <c:dLbls>
          <c:showLegendKey val="0"/>
          <c:showVal val="0"/>
          <c:showCatName val="0"/>
          <c:showSerName val="0"/>
          <c:showPercent val="0"/>
          <c:showBubbleSize val="0"/>
        </c:dLbls>
        <c:gapWidth val="0"/>
        <c:overlap val="100"/>
        <c:axId val="811298159"/>
        <c:axId val="811278479"/>
      </c:barChart>
      <c:catAx>
        <c:axId val="811298159"/>
        <c:scaling>
          <c:orientation val="minMax"/>
        </c:scaling>
        <c:delete val="1"/>
        <c:axPos val="t"/>
        <c:numFmt formatCode="General" sourceLinked="1"/>
        <c:majorTickMark val="out"/>
        <c:minorTickMark val="none"/>
        <c:tickLblPos val="nextTo"/>
        <c:crossAx val="811278479"/>
        <c:crosses val="autoZero"/>
        <c:auto val="1"/>
        <c:lblAlgn val="ctr"/>
        <c:lblOffset val="100"/>
        <c:noMultiLvlLbl val="0"/>
      </c:catAx>
      <c:valAx>
        <c:axId val="811278479"/>
        <c:scaling>
          <c:orientation val="maxMin"/>
        </c:scaling>
        <c:delete val="1"/>
        <c:axPos val="l"/>
        <c:numFmt formatCode="General" sourceLinked="1"/>
        <c:majorTickMark val="out"/>
        <c:minorTickMark val="none"/>
        <c:tickLblPos val="nextTo"/>
        <c:crossAx val="811298159"/>
        <c:crosses val="autoZero"/>
        <c:crossBetween val="between"/>
      </c:valAx>
      <c:spPr>
        <a:noFill/>
      </c:spPr>
    </c:plotArea>
    <c:plotVisOnly val="1"/>
    <c:dispBlanksAs val="gap"/>
    <c:showDLblsOverMax val="0"/>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7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Processing!$B$17</c:f>
              <c:strCache>
                <c:ptCount val="1"/>
                <c:pt idx="0">
                  <c:v>indent</c:v>
                </c:pt>
              </c:strCache>
            </c:strRef>
          </c:tx>
          <c:spPr>
            <a:noFill/>
            <a:ln>
              <a:noFill/>
            </a:ln>
            <a:effectLst/>
          </c:spPr>
          <c:invertIfNegative val="0"/>
          <c:cat>
            <c:strRef>
              <c:f>Processing!$A$18:$A$29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Processing!$B$18:$B$29</c:f>
              <c:numCache>
                <c:formatCode>General</c:formatCode>
                <c:ptCount val="12"/>
                <c:pt idx="0">
                  <c:v>242.05</c:v>
                </c:pt>
                <c:pt idx="1">
                  <c:v>242.05</c:v>
                </c:pt>
                <c:pt idx="2">
                  <c:v>242.05</c:v>
                </c:pt>
                <c:pt idx="3">
                  <c:v>242.05</c:v>
                </c:pt>
                <c:pt idx="4">
                  <c:v>242.05</c:v>
                </c:pt>
                <c:pt idx="5">
                  <c:v>242.05</c:v>
                </c:pt>
                <c:pt idx="6">
                  <c:v>242.05</c:v>
                </c:pt>
                <c:pt idx="7">
                  <c:v>242.05</c:v>
                </c:pt>
                <c:pt idx="8">
                  <c:v>242.05</c:v>
                </c:pt>
                <c:pt idx="9">
                  <c:v>242.05</c:v>
                </c:pt>
                <c:pt idx="10">
                  <c:v>242.05</c:v>
                </c:pt>
                <c:pt idx="11">
                  <c:v>242.05</c:v>
                </c:pt>
              </c:numCache>
            </c:numRef>
          </c:val>
          <c:extLst>
            <c:ext xmlns:c16="http://schemas.microsoft.com/office/drawing/2014/chart" uri="{C3380CC4-5D6E-409C-BE32-E72D297353CC}">
              <c16:uniqueId val="{00000000-F0F9-4339-A062-6AE89232F8C0}"/>
            </c:ext>
          </c:extLst>
        </c:ser>
        <c:ser>
          <c:idx val="1"/>
          <c:order val="1"/>
          <c:tx>
            <c:strRef>
              <c:f>Processing!$C$17</c:f>
              <c:strCache>
                <c:ptCount val="1"/>
                <c:pt idx="0">
                  <c:v>Income</c:v>
                </c:pt>
              </c:strCache>
            </c:strRef>
          </c:tx>
          <c:spPr>
            <a:solidFill>
              <a:schemeClr val="accent2"/>
            </a:solidFill>
            <a:ln w="101600">
              <a:gradFill>
                <a:gsLst>
                  <a:gs pos="0">
                    <a:srgbClr val="1992E6"/>
                  </a:gs>
                  <a:gs pos="100000">
                    <a:srgbClr val="2373DF"/>
                  </a:gs>
                </a:gsLst>
                <a:lin ang="5400000" scaled="1"/>
              </a:gradFill>
            </a:ln>
            <a:effectLst/>
          </c:spPr>
          <c:invertIfNegative val="0"/>
          <c:cat>
            <c:strRef>
              <c:f>Processing!$A$18:$A$29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Processing!$C$18:$C$29</c:f>
              <c:numCache>
                <c:formatCode>General</c:formatCode>
                <c:ptCount val="12"/>
                <c:pt idx="0">
                  <c:v>2075</c:v>
                </c:pt>
                <c:pt idx="1">
                  <c:v>3066</c:v>
                </c:pt>
                <c:pt idx="2">
                  <c:v>4626</c:v>
                </c:pt>
                <c:pt idx="3">
                  <c:v>4841</c:v>
                </c:pt>
                <c:pt idx="4">
                  <c:v>4626</c:v>
                </c:pt>
                <c:pt idx="5">
                  <c:v>3066</c:v>
                </c:pt>
                <c:pt idx="6">
                  <c:v>2075</c:v>
                </c:pt>
                <c:pt idx="7">
                  <c:v>3066</c:v>
                </c:pt>
                <c:pt idx="8">
                  <c:v>4626</c:v>
                </c:pt>
                <c:pt idx="9">
                  <c:v>4841</c:v>
                </c:pt>
                <c:pt idx="10">
                  <c:v>4626</c:v>
                </c:pt>
                <c:pt idx="11">
                  <c:v>2666</c:v>
                </c:pt>
              </c:numCache>
            </c:numRef>
          </c:val>
          <c:extLst>
            <c:ext xmlns:c16="http://schemas.microsoft.com/office/drawing/2014/chart" uri="{C3380CC4-5D6E-409C-BE32-E72D297353CC}">
              <c16:uniqueId val="{00000001-F0F9-4339-A062-6AE89232F8C0}"/>
            </c:ext>
          </c:extLst>
        </c:ser>
        <c:dLbls>
          <c:showLegendKey val="0"/>
          <c:showVal val="0"/>
          <c:showCatName val="0"/>
          <c:showSerName val="0"/>
          <c:showPercent val="0"/>
          <c:showBubbleSize val="0"/>
        </c:dLbls>
        <c:gapWidth val="300"/>
        <c:overlap val="100"/>
        <c:axId val="1217850336"/>
        <c:axId val="1217876256"/>
      </c:barChart>
      <c:barChart>
        <c:barDir val="col"/>
        <c:grouping val="stacked"/>
        <c:varyColors val="0"/>
        <c:ser>
          <c:idx val="2"/>
          <c:order val="2"/>
          <c:tx>
            <c:strRef>
              <c:f>Processing!$D$17</c:f>
              <c:strCache>
                <c:ptCount val="1"/>
                <c:pt idx="0">
                  <c:v>indent Cursor</c:v>
                </c:pt>
              </c:strCache>
            </c:strRef>
          </c:tx>
          <c:spPr>
            <a:noFill/>
            <a:ln>
              <a:noFill/>
            </a:ln>
            <a:effectLst/>
          </c:spPr>
          <c:invertIfNegative val="0"/>
          <c:cat>
            <c:strRef>
              <c:f>Processing!$A$18:$A$29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Processing!$D$18:$D$29</c:f>
              <c:numCache>
                <c:formatCode>General</c:formatCode>
                <c:ptCount val="12"/>
                <c:pt idx="0">
                  <c:v>242.05</c:v>
                </c:pt>
                <c:pt idx="1">
                  <c:v>242.05</c:v>
                </c:pt>
                <c:pt idx="2">
                  <c:v>242.05</c:v>
                </c:pt>
                <c:pt idx="3">
                  <c:v>242.05</c:v>
                </c:pt>
                <c:pt idx="4">
                  <c:v>242.05</c:v>
                </c:pt>
                <c:pt idx="5">
                  <c:v>242.05</c:v>
                </c:pt>
                <c:pt idx="6">
                  <c:v>242.05</c:v>
                </c:pt>
                <c:pt idx="7">
                  <c:v>242.05</c:v>
                </c:pt>
                <c:pt idx="8">
                  <c:v>242.05</c:v>
                </c:pt>
                <c:pt idx="9">
                  <c:v>242.05</c:v>
                </c:pt>
                <c:pt idx="10">
                  <c:v>242.05</c:v>
                </c:pt>
                <c:pt idx="11">
                  <c:v>242.05</c:v>
                </c:pt>
              </c:numCache>
            </c:numRef>
          </c:val>
          <c:extLst>
            <c:ext xmlns:c16="http://schemas.microsoft.com/office/drawing/2014/chart" uri="{C3380CC4-5D6E-409C-BE32-E72D297353CC}">
              <c16:uniqueId val="{00000002-F0F9-4339-A062-6AE89232F8C0}"/>
            </c:ext>
          </c:extLst>
        </c:ser>
        <c:ser>
          <c:idx val="3"/>
          <c:order val="3"/>
          <c:tx>
            <c:strRef>
              <c:f>Processing!$E$17</c:f>
              <c:strCache>
                <c:ptCount val="1"/>
                <c:pt idx="0">
                  <c:v>Cursor</c:v>
                </c:pt>
              </c:strCache>
            </c:strRef>
          </c:tx>
          <c:spPr>
            <a:solidFill>
              <a:schemeClr val="accent4"/>
            </a:solidFill>
            <a:ln w="101600">
              <a:gradFill>
                <a:gsLst>
                  <a:gs pos="0">
                    <a:srgbClr val="06D3D9"/>
                  </a:gs>
                  <a:gs pos="62000">
                    <a:srgbClr val="09C3F2"/>
                  </a:gs>
                </a:gsLst>
                <a:lin ang="5400000" scaled="1"/>
              </a:gradFill>
            </a:ln>
            <a:effectLst>
              <a:outerShdw blurRad="50800" dist="38100" dir="8100000" algn="tr" rotWithShape="0">
                <a:prstClr val="black">
                  <a:alpha val="40000"/>
                </a:prstClr>
              </a:outerShdw>
            </a:effectLst>
          </c:spPr>
          <c:invertIfNegative val="0"/>
          <c:dPt>
            <c:idx val="8"/>
            <c:invertIfNegative val="0"/>
            <c:bubble3D val="0"/>
            <c:extLst>
              <c:ext xmlns:c16="http://schemas.microsoft.com/office/drawing/2014/chart" uri="{C3380CC4-5D6E-409C-BE32-E72D297353CC}">
                <c16:uniqueId val="{00000003-F0F9-4339-A062-6AE89232F8C0}"/>
              </c:ext>
            </c:extLst>
          </c:dPt>
          <c:cat>
            <c:strRef>
              <c:f>Processing!$A$18:$A$29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Processing!$E$18:$E$29</c:f>
              <c:numCache>
                <c:formatCode>General</c:formatCode>
                <c:ptCount val="12"/>
                <c:pt idx="0">
                  <c:v>#N/A</c:v>
                </c:pt>
                <c:pt idx="1">
                  <c:v>#N/A</c:v>
                </c:pt>
                <c:pt idx="2">
                  <c:v>#N/A</c:v>
                </c:pt>
                <c:pt idx="3">
                  <c:v>4841</c:v>
                </c:pt>
                <c:pt idx="4">
                  <c:v>4626</c:v>
                </c:pt>
                <c:pt idx="5">
                  <c:v>3066</c:v>
                </c:pt>
                <c:pt idx="6">
                  <c:v>#N/A</c:v>
                </c:pt>
                <c:pt idx="7">
                  <c:v>#N/A</c:v>
                </c:pt>
                <c:pt idx="8">
                  <c:v>#N/A</c:v>
                </c:pt>
                <c:pt idx="9">
                  <c:v>#N/A</c:v>
                </c:pt>
                <c:pt idx="10">
                  <c:v>#N/A</c:v>
                </c:pt>
                <c:pt idx="11">
                  <c:v>#N/A</c:v>
                </c:pt>
              </c:numCache>
            </c:numRef>
          </c:val>
          <c:extLst>
            <c:ext xmlns:c16="http://schemas.microsoft.com/office/drawing/2014/chart" uri="{C3380CC4-5D6E-409C-BE32-E72D297353CC}">
              <c16:uniqueId val="{00000004-F0F9-4339-A062-6AE89232F8C0}"/>
            </c:ext>
          </c:extLst>
        </c:ser>
        <c:dLbls>
          <c:showLegendKey val="0"/>
          <c:showVal val="0"/>
          <c:showCatName val="0"/>
          <c:showSerName val="0"/>
          <c:showPercent val="0"/>
          <c:showBubbleSize val="0"/>
        </c:dLbls>
        <c:gapWidth val="300"/>
        <c:overlap val="100"/>
        <c:axId val="1217885856"/>
        <c:axId val="1217884416"/>
      </c:barChart>
      <c:lineChart>
        <c:grouping val="standard"/>
        <c:varyColors val="0"/>
        <c:ser>
          <c:idx val="4"/>
          <c:order val="4"/>
          <c:tx>
            <c:strRef>
              <c:f>Processing!$F$17</c:f>
              <c:strCache>
                <c:ptCount val="1"/>
                <c:pt idx="0">
                  <c:v>Expenses</c:v>
                </c:pt>
              </c:strCache>
            </c:strRef>
          </c:tx>
          <c:spPr>
            <a:ln w="25400" cap="rnd">
              <a:solidFill>
                <a:srgbClr val="FF00FF"/>
              </a:solidFill>
              <a:round/>
            </a:ln>
            <a:effectLst>
              <a:outerShdw blurRad="50800" dist="38100" dir="5400000" algn="t" rotWithShape="0">
                <a:prstClr val="black">
                  <a:alpha val="40000"/>
                </a:prstClr>
              </a:outerShdw>
            </a:effectLst>
          </c:spPr>
          <c:marker>
            <c:symbol val="circle"/>
            <c:size val="6"/>
            <c:spPr>
              <a:solidFill>
                <a:schemeClr val="bg1"/>
              </a:solidFill>
              <a:ln w="9525">
                <a:solidFill>
                  <a:srgbClr val="FF00FF"/>
                </a:solidFill>
              </a:ln>
              <a:effectLst>
                <a:outerShdw blurRad="50800" dist="38100" dir="5400000" algn="t" rotWithShape="0">
                  <a:prstClr val="black">
                    <a:alpha val="40000"/>
                  </a:prstClr>
                </a:outerShdw>
              </a:effectLst>
            </c:spPr>
          </c:marker>
          <c:cat>
            <c:strRef>
              <c:f>Processing!$A$18:$A$29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Processing!$F$18:$F$29</c:f>
              <c:numCache>
                <c:formatCode>General</c:formatCode>
                <c:ptCount val="12"/>
                <c:pt idx="0">
                  <c:v>2412</c:v>
                </c:pt>
                <c:pt idx="1">
                  <c:v>1696</c:v>
                </c:pt>
                <c:pt idx="2">
                  <c:v>3544</c:v>
                </c:pt>
                <c:pt idx="3">
                  <c:v>2671</c:v>
                </c:pt>
                <c:pt idx="4">
                  <c:v>3036</c:v>
                </c:pt>
                <c:pt idx="5">
                  <c:v>4595</c:v>
                </c:pt>
                <c:pt idx="6">
                  <c:v>2714</c:v>
                </c:pt>
                <c:pt idx="7">
                  <c:v>3731</c:v>
                </c:pt>
                <c:pt idx="8">
                  <c:v>4952</c:v>
                </c:pt>
                <c:pt idx="9">
                  <c:v>3544</c:v>
                </c:pt>
                <c:pt idx="10">
                  <c:v>4595</c:v>
                </c:pt>
                <c:pt idx="11">
                  <c:v>1739</c:v>
                </c:pt>
              </c:numCache>
            </c:numRef>
          </c:val>
          <c:smooth val="0"/>
          <c:extLst>
            <c:ext xmlns:c16="http://schemas.microsoft.com/office/drawing/2014/chart" uri="{C3380CC4-5D6E-409C-BE32-E72D297353CC}">
              <c16:uniqueId val="{00000005-F0F9-4339-A062-6AE89232F8C0}"/>
            </c:ext>
          </c:extLst>
        </c:ser>
        <c:ser>
          <c:idx val="5"/>
          <c:order val="5"/>
          <c:tx>
            <c:strRef>
              <c:f>Processing!$G$17</c:f>
              <c:strCache>
                <c:ptCount val="1"/>
                <c:pt idx="0">
                  <c:v>Markers</c:v>
                </c:pt>
              </c:strCache>
            </c:strRef>
          </c:tx>
          <c:spPr>
            <a:ln w="28575" cap="rnd">
              <a:noFill/>
              <a:round/>
            </a:ln>
            <a:effectLst/>
          </c:spPr>
          <c:marker>
            <c:symbol val="none"/>
          </c:marker>
          <c:dLbls>
            <c:dLbl>
              <c:idx val="0"/>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6-F0F9-4339-A062-6AE89232F8C0}"/>
                </c:ext>
              </c:extLst>
            </c:dLbl>
            <c:dLbl>
              <c:idx val="1"/>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7-F0F9-4339-A062-6AE89232F8C0}"/>
                </c:ext>
              </c:extLst>
            </c:dLbl>
            <c:dLbl>
              <c:idx val="2"/>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8-F0F9-4339-A062-6AE89232F8C0}"/>
                </c:ext>
              </c:extLst>
            </c:dLbl>
            <c:dLbl>
              <c:idx val="3"/>
              <c:tx>
                <c:rich>
                  <a:bodyPr/>
                  <a:lstStyle/>
                  <a:p>
                    <a:fld id="{3DA29649-EECB-41E1-BFCE-BE7BE1A5EEDC}"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F0F9-4339-A062-6AE89232F8C0}"/>
                </c:ext>
              </c:extLst>
            </c:dLbl>
            <c:dLbl>
              <c:idx val="4"/>
              <c:tx>
                <c:rich>
                  <a:bodyPr/>
                  <a:lstStyle/>
                  <a:p>
                    <a:fld id="{517E32B2-F808-4EF1-99B1-72D2AB2C11E8}"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F0F9-4339-A062-6AE89232F8C0}"/>
                </c:ext>
              </c:extLst>
            </c:dLbl>
            <c:dLbl>
              <c:idx val="5"/>
              <c:tx>
                <c:rich>
                  <a:bodyPr/>
                  <a:lstStyle/>
                  <a:p>
                    <a:fld id="{0E0324D5-3016-40E8-8114-BC1ECD567476}"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F0F9-4339-A062-6AE89232F8C0}"/>
                </c:ext>
              </c:extLst>
            </c:dLbl>
            <c:dLbl>
              <c:idx val="6"/>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C-F0F9-4339-A062-6AE89232F8C0}"/>
                </c:ext>
              </c:extLst>
            </c:dLbl>
            <c:dLbl>
              <c:idx val="7"/>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D-F0F9-4339-A062-6AE89232F8C0}"/>
                </c:ext>
              </c:extLst>
            </c:dLbl>
            <c:dLbl>
              <c:idx val="8"/>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E-F0F9-4339-A062-6AE89232F8C0}"/>
                </c:ext>
              </c:extLst>
            </c:dLbl>
            <c:dLbl>
              <c:idx val="9"/>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F-F0F9-4339-A062-6AE89232F8C0}"/>
                </c:ext>
              </c:extLst>
            </c:dLbl>
            <c:dLbl>
              <c:idx val="10"/>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0-F0F9-4339-A062-6AE89232F8C0}"/>
                </c:ext>
              </c:extLst>
            </c:dLbl>
            <c:dLbl>
              <c:idx val="11"/>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1-F0F9-4339-A062-6AE89232F8C0}"/>
                </c:ext>
              </c:extLst>
            </c:dLbl>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rgbClr val="455177"/>
                    </a:solidFill>
                    <a:latin typeface="+mn-lt"/>
                    <a:ea typeface="+mn-ea"/>
                    <a:cs typeface="+mn-cs"/>
                  </a:defRPr>
                </a:pPr>
                <a:endParaRPr lang="ru-RU"/>
              </a:p>
            </c:txPr>
            <c:dLblPos val="t"/>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f>Processing!$A$18:$A$29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Processing!$G$18:$G$29</c:f>
              <c:numCache>
                <c:formatCode>General</c:formatCode>
                <c:ptCount val="12"/>
                <c:pt idx="0">
                  <c:v>#N/A</c:v>
                </c:pt>
                <c:pt idx="1">
                  <c:v>#N/A</c:v>
                </c:pt>
                <c:pt idx="2">
                  <c:v>#N/A</c:v>
                </c:pt>
                <c:pt idx="3">
                  <c:v>5083.05</c:v>
                </c:pt>
                <c:pt idx="4">
                  <c:v>4868.05</c:v>
                </c:pt>
                <c:pt idx="5">
                  <c:v>3308.05</c:v>
                </c:pt>
                <c:pt idx="6">
                  <c:v>#N/A</c:v>
                </c:pt>
                <c:pt idx="7">
                  <c:v>#N/A</c:v>
                </c:pt>
                <c:pt idx="8">
                  <c:v>#N/A</c:v>
                </c:pt>
                <c:pt idx="9">
                  <c:v>#N/A</c:v>
                </c:pt>
                <c:pt idx="10">
                  <c:v>#N/A</c:v>
                </c:pt>
                <c:pt idx="11">
                  <c:v>#N/A</c:v>
                </c:pt>
              </c:numCache>
            </c:numRef>
          </c:val>
          <c:smooth val="0"/>
          <c:extLst>
            <c:ext xmlns:c15="http://schemas.microsoft.com/office/drawing/2012/chart" uri="{02D57815-91ED-43cb-92C2-25804820EDAC}">
              <c15:datalabelsRange>
                <c15:f>Processing!$H$18:$H$29</c15:f>
                <c15:dlblRangeCache>
                  <c:ptCount val="12"/>
                  <c:pt idx="0">
                    <c:v>#N/A</c:v>
                  </c:pt>
                  <c:pt idx="1">
                    <c:v>#N/A</c:v>
                  </c:pt>
                  <c:pt idx="2">
                    <c:v>#N/A</c:v>
                  </c:pt>
                  <c:pt idx="3">
                    <c:v>5k</c:v>
                  </c:pt>
                  <c:pt idx="4">
                    <c:v>5k</c:v>
                  </c:pt>
                  <c:pt idx="5">
                    <c:v>3k</c:v>
                  </c:pt>
                  <c:pt idx="6">
                    <c:v>#N/A</c:v>
                  </c:pt>
                  <c:pt idx="7">
                    <c:v>#N/A</c:v>
                  </c:pt>
                  <c:pt idx="8">
                    <c:v>#N/A</c:v>
                  </c:pt>
                  <c:pt idx="9">
                    <c:v>#N/A</c:v>
                  </c:pt>
                  <c:pt idx="10">
                    <c:v>#N/A</c:v>
                  </c:pt>
                  <c:pt idx="11">
                    <c:v>#N/A</c:v>
                  </c:pt>
                </c15:dlblRangeCache>
              </c15:datalabelsRange>
            </c:ext>
            <c:ext xmlns:c16="http://schemas.microsoft.com/office/drawing/2014/chart" uri="{C3380CC4-5D6E-409C-BE32-E72D297353CC}">
              <c16:uniqueId val="{00000012-F0F9-4339-A062-6AE89232F8C0}"/>
            </c:ext>
          </c:extLst>
        </c:ser>
        <c:dLbls>
          <c:showLegendKey val="0"/>
          <c:showVal val="0"/>
          <c:showCatName val="0"/>
          <c:showSerName val="0"/>
          <c:showPercent val="0"/>
          <c:showBubbleSize val="0"/>
        </c:dLbls>
        <c:marker val="1"/>
        <c:smooth val="0"/>
        <c:axId val="1217850336"/>
        <c:axId val="1217876256"/>
      </c:lineChart>
      <c:catAx>
        <c:axId val="1217850336"/>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1217876256"/>
        <c:crosses val="autoZero"/>
        <c:auto val="1"/>
        <c:lblAlgn val="ctr"/>
        <c:lblOffset val="100"/>
        <c:noMultiLvlLbl val="0"/>
      </c:catAx>
      <c:valAx>
        <c:axId val="1217876256"/>
        <c:scaling>
          <c:orientation val="minMax"/>
        </c:scaling>
        <c:delete val="0"/>
        <c:axPos val="l"/>
        <c:majorGridlines>
          <c:spPr>
            <a:ln w="9525" cap="flat" cmpd="sng" algn="ctr">
              <a:solidFill>
                <a:srgbClr val="5D6DA1">
                  <a:alpha val="25000"/>
                </a:srgb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455177"/>
                </a:solidFill>
                <a:latin typeface="+mn-lt"/>
                <a:ea typeface="+mn-ea"/>
                <a:cs typeface="+mn-cs"/>
              </a:defRPr>
            </a:pPr>
            <a:endParaRPr lang="ru-RU"/>
          </a:p>
        </c:txPr>
        <c:crossAx val="1217850336"/>
        <c:crosses val="autoZero"/>
        <c:crossBetween val="between"/>
      </c:valAx>
      <c:valAx>
        <c:axId val="1217884416"/>
        <c:scaling>
          <c:orientation val="minMax"/>
        </c:scaling>
        <c:delete val="1"/>
        <c:axPos val="r"/>
        <c:numFmt formatCode="General" sourceLinked="1"/>
        <c:majorTickMark val="out"/>
        <c:minorTickMark val="none"/>
        <c:tickLblPos val="nextTo"/>
        <c:crossAx val="1217885856"/>
        <c:crosses val="max"/>
        <c:crossBetween val="between"/>
      </c:valAx>
      <c:catAx>
        <c:axId val="1217885856"/>
        <c:scaling>
          <c:orientation val="minMax"/>
        </c:scaling>
        <c:delete val="1"/>
        <c:axPos val="b"/>
        <c:numFmt formatCode="General" sourceLinked="1"/>
        <c:majorTickMark val="out"/>
        <c:minorTickMark val="none"/>
        <c:tickLblPos val="nextTo"/>
        <c:crossAx val="1217884416"/>
        <c:crosses val="autoZero"/>
        <c:auto val="1"/>
        <c:lblAlgn val="ctr"/>
        <c:lblOffset val="100"/>
        <c:noMultiLvlLbl val="0"/>
      </c:catAx>
      <c:spPr>
        <a:noFill/>
      </c:spPr>
    </c:plotArea>
    <c:plotVisOnly val="1"/>
    <c:dispBlanksAs val="gap"/>
    <c:showDLblsOverMax val="0"/>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8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noFill/>
            <a:ln w="9525">
              <a:solidFill>
                <a:srgbClr val="4E5E9D">
                  <a:alpha val="20000"/>
                </a:srgbClr>
              </a:solidFill>
            </a:ln>
          </c:spPr>
          <c:dPt>
            <c:idx val="0"/>
            <c:bubble3D val="0"/>
            <c:spPr>
              <a:noFill/>
              <a:ln w="9525">
                <a:solidFill>
                  <a:srgbClr val="4E5E9D">
                    <a:alpha val="20000"/>
                  </a:srgbClr>
                </a:solidFill>
              </a:ln>
              <a:effectLst/>
            </c:spPr>
            <c:extLst>
              <c:ext xmlns:c16="http://schemas.microsoft.com/office/drawing/2014/chart" uri="{C3380CC4-5D6E-409C-BE32-E72D297353CC}">
                <c16:uniqueId val="{00000001-214F-40E0-9C0F-65CEDB089B52}"/>
              </c:ext>
            </c:extLst>
          </c:dPt>
          <c:dPt>
            <c:idx val="1"/>
            <c:bubble3D val="0"/>
            <c:spPr>
              <a:noFill/>
              <a:ln w="9525">
                <a:solidFill>
                  <a:srgbClr val="4E5E9D">
                    <a:alpha val="20000"/>
                  </a:srgbClr>
                </a:solidFill>
              </a:ln>
              <a:effectLst/>
            </c:spPr>
            <c:extLst>
              <c:ext xmlns:c16="http://schemas.microsoft.com/office/drawing/2014/chart" uri="{C3380CC4-5D6E-409C-BE32-E72D297353CC}">
                <c16:uniqueId val="{00000003-214F-40E0-9C0F-65CEDB089B52}"/>
              </c:ext>
            </c:extLst>
          </c:dPt>
          <c:dPt>
            <c:idx val="2"/>
            <c:bubble3D val="0"/>
            <c:spPr>
              <a:noFill/>
              <a:ln w="9525">
                <a:solidFill>
                  <a:srgbClr val="4E5E9D">
                    <a:alpha val="20000"/>
                  </a:srgbClr>
                </a:solidFill>
              </a:ln>
              <a:effectLst/>
            </c:spPr>
            <c:extLst>
              <c:ext xmlns:c16="http://schemas.microsoft.com/office/drawing/2014/chart" uri="{C3380CC4-5D6E-409C-BE32-E72D297353CC}">
                <c16:uniqueId val="{00000005-214F-40E0-9C0F-65CEDB089B52}"/>
              </c:ext>
            </c:extLst>
          </c:dPt>
          <c:dPt>
            <c:idx val="3"/>
            <c:bubble3D val="0"/>
            <c:spPr>
              <a:noFill/>
              <a:ln w="9525">
                <a:solidFill>
                  <a:srgbClr val="4E5E9D">
                    <a:alpha val="20000"/>
                  </a:srgbClr>
                </a:solidFill>
              </a:ln>
              <a:effectLst/>
            </c:spPr>
            <c:extLst>
              <c:ext xmlns:c16="http://schemas.microsoft.com/office/drawing/2014/chart" uri="{C3380CC4-5D6E-409C-BE32-E72D297353CC}">
                <c16:uniqueId val="{00000007-214F-40E0-9C0F-65CEDB089B52}"/>
              </c:ext>
            </c:extLst>
          </c:dPt>
          <c:dPt>
            <c:idx val="4"/>
            <c:bubble3D val="0"/>
            <c:spPr>
              <a:noFill/>
              <a:ln w="9525">
                <a:solidFill>
                  <a:srgbClr val="4E5E9D">
                    <a:alpha val="20000"/>
                  </a:srgbClr>
                </a:solidFill>
              </a:ln>
              <a:effectLst/>
            </c:spPr>
            <c:extLst>
              <c:ext xmlns:c16="http://schemas.microsoft.com/office/drawing/2014/chart" uri="{C3380CC4-5D6E-409C-BE32-E72D297353CC}">
                <c16:uniqueId val="{00000009-214F-40E0-9C0F-65CEDB089B52}"/>
              </c:ext>
            </c:extLst>
          </c:dPt>
          <c:val>
            <c:numRef>
              <c:f>Processing!$A$64:$E$64</c:f>
              <c:numCache>
                <c:formatCode>General</c:formatCode>
                <c:ptCount val="5"/>
                <c:pt idx="0">
                  <c:v>72</c:v>
                </c:pt>
                <c:pt idx="1">
                  <c:v>72</c:v>
                </c:pt>
                <c:pt idx="2">
                  <c:v>72</c:v>
                </c:pt>
                <c:pt idx="3">
                  <c:v>72</c:v>
                </c:pt>
                <c:pt idx="4">
                  <c:v>72</c:v>
                </c:pt>
              </c:numCache>
            </c:numRef>
          </c:val>
          <c:extLst>
            <c:ext xmlns:c16="http://schemas.microsoft.com/office/drawing/2014/chart" uri="{C3380CC4-5D6E-409C-BE32-E72D297353CC}">
              <c16:uniqueId val="{0000000A-214F-40E0-9C0F-65CEDB089B52}"/>
            </c:ext>
          </c:extLst>
        </c:ser>
        <c:ser>
          <c:idx val="1"/>
          <c:order val="1"/>
          <c:spPr>
            <a:noFill/>
            <a:ln w="9525">
              <a:solidFill>
                <a:srgbClr val="4E5E9D">
                  <a:alpha val="20000"/>
                </a:srgbClr>
              </a:solidFill>
            </a:ln>
          </c:spPr>
          <c:dPt>
            <c:idx val="0"/>
            <c:bubble3D val="0"/>
            <c:spPr>
              <a:noFill/>
              <a:ln w="9525">
                <a:solidFill>
                  <a:srgbClr val="4E5E9D">
                    <a:alpha val="20000"/>
                  </a:srgbClr>
                </a:solidFill>
              </a:ln>
              <a:effectLst/>
            </c:spPr>
            <c:extLst>
              <c:ext xmlns:c16="http://schemas.microsoft.com/office/drawing/2014/chart" uri="{C3380CC4-5D6E-409C-BE32-E72D297353CC}">
                <c16:uniqueId val="{0000000C-214F-40E0-9C0F-65CEDB089B52}"/>
              </c:ext>
            </c:extLst>
          </c:dPt>
          <c:dPt>
            <c:idx val="1"/>
            <c:bubble3D val="0"/>
            <c:spPr>
              <a:noFill/>
              <a:ln w="9525">
                <a:solidFill>
                  <a:srgbClr val="4E5E9D">
                    <a:alpha val="20000"/>
                  </a:srgbClr>
                </a:solidFill>
              </a:ln>
              <a:effectLst/>
            </c:spPr>
            <c:extLst>
              <c:ext xmlns:c16="http://schemas.microsoft.com/office/drawing/2014/chart" uri="{C3380CC4-5D6E-409C-BE32-E72D297353CC}">
                <c16:uniqueId val="{0000000E-214F-40E0-9C0F-65CEDB089B52}"/>
              </c:ext>
            </c:extLst>
          </c:dPt>
          <c:dPt>
            <c:idx val="2"/>
            <c:bubble3D val="0"/>
            <c:spPr>
              <a:noFill/>
              <a:ln w="9525">
                <a:solidFill>
                  <a:srgbClr val="4E5E9D">
                    <a:alpha val="20000"/>
                  </a:srgbClr>
                </a:solidFill>
              </a:ln>
              <a:effectLst/>
            </c:spPr>
            <c:extLst>
              <c:ext xmlns:c16="http://schemas.microsoft.com/office/drawing/2014/chart" uri="{C3380CC4-5D6E-409C-BE32-E72D297353CC}">
                <c16:uniqueId val="{00000010-214F-40E0-9C0F-65CEDB089B52}"/>
              </c:ext>
            </c:extLst>
          </c:dPt>
          <c:dPt>
            <c:idx val="3"/>
            <c:bubble3D val="0"/>
            <c:spPr>
              <a:noFill/>
              <a:ln w="9525">
                <a:solidFill>
                  <a:srgbClr val="4E5E9D">
                    <a:alpha val="20000"/>
                  </a:srgbClr>
                </a:solidFill>
              </a:ln>
              <a:effectLst/>
            </c:spPr>
            <c:extLst>
              <c:ext xmlns:c16="http://schemas.microsoft.com/office/drawing/2014/chart" uri="{C3380CC4-5D6E-409C-BE32-E72D297353CC}">
                <c16:uniqueId val="{00000012-214F-40E0-9C0F-65CEDB089B52}"/>
              </c:ext>
            </c:extLst>
          </c:dPt>
          <c:dPt>
            <c:idx val="4"/>
            <c:bubble3D val="0"/>
            <c:spPr>
              <a:noFill/>
              <a:ln w="9525">
                <a:solidFill>
                  <a:srgbClr val="4E5E9D">
                    <a:alpha val="20000"/>
                  </a:srgbClr>
                </a:solidFill>
              </a:ln>
              <a:effectLst/>
            </c:spPr>
            <c:extLst>
              <c:ext xmlns:c16="http://schemas.microsoft.com/office/drawing/2014/chart" uri="{C3380CC4-5D6E-409C-BE32-E72D297353CC}">
                <c16:uniqueId val="{00000014-214F-40E0-9C0F-65CEDB089B52}"/>
              </c:ext>
            </c:extLst>
          </c:dPt>
          <c:val>
            <c:numRef>
              <c:f>Processing!$A$65:$E$65</c:f>
              <c:numCache>
                <c:formatCode>General</c:formatCode>
                <c:ptCount val="5"/>
                <c:pt idx="0">
                  <c:v>72</c:v>
                </c:pt>
                <c:pt idx="1">
                  <c:v>72</c:v>
                </c:pt>
                <c:pt idx="2">
                  <c:v>72</c:v>
                </c:pt>
                <c:pt idx="3">
                  <c:v>72</c:v>
                </c:pt>
                <c:pt idx="4">
                  <c:v>72</c:v>
                </c:pt>
              </c:numCache>
            </c:numRef>
          </c:val>
          <c:extLst>
            <c:ext xmlns:c16="http://schemas.microsoft.com/office/drawing/2014/chart" uri="{C3380CC4-5D6E-409C-BE32-E72D297353CC}">
              <c16:uniqueId val="{00000015-214F-40E0-9C0F-65CEDB089B52}"/>
            </c:ext>
          </c:extLst>
        </c:ser>
        <c:ser>
          <c:idx val="2"/>
          <c:order val="2"/>
          <c:spPr>
            <a:noFill/>
            <a:ln w="9525">
              <a:solidFill>
                <a:srgbClr val="4E5E9D">
                  <a:alpha val="20000"/>
                </a:srgbClr>
              </a:solidFill>
            </a:ln>
          </c:spPr>
          <c:dPt>
            <c:idx val="0"/>
            <c:bubble3D val="0"/>
            <c:spPr>
              <a:noFill/>
              <a:ln w="9525">
                <a:solidFill>
                  <a:srgbClr val="4E5E9D">
                    <a:alpha val="20000"/>
                  </a:srgbClr>
                </a:solidFill>
              </a:ln>
              <a:effectLst/>
            </c:spPr>
            <c:extLst>
              <c:ext xmlns:c16="http://schemas.microsoft.com/office/drawing/2014/chart" uri="{C3380CC4-5D6E-409C-BE32-E72D297353CC}">
                <c16:uniqueId val="{00000017-214F-40E0-9C0F-65CEDB089B52}"/>
              </c:ext>
            </c:extLst>
          </c:dPt>
          <c:dPt>
            <c:idx val="1"/>
            <c:bubble3D val="0"/>
            <c:spPr>
              <a:noFill/>
              <a:ln w="9525">
                <a:solidFill>
                  <a:srgbClr val="4E5E9D">
                    <a:alpha val="20000"/>
                  </a:srgbClr>
                </a:solidFill>
              </a:ln>
              <a:effectLst/>
            </c:spPr>
            <c:extLst>
              <c:ext xmlns:c16="http://schemas.microsoft.com/office/drawing/2014/chart" uri="{C3380CC4-5D6E-409C-BE32-E72D297353CC}">
                <c16:uniqueId val="{00000019-214F-40E0-9C0F-65CEDB089B52}"/>
              </c:ext>
            </c:extLst>
          </c:dPt>
          <c:dPt>
            <c:idx val="2"/>
            <c:bubble3D val="0"/>
            <c:spPr>
              <a:noFill/>
              <a:ln w="9525">
                <a:solidFill>
                  <a:srgbClr val="4E5E9D">
                    <a:alpha val="20000"/>
                  </a:srgbClr>
                </a:solidFill>
              </a:ln>
              <a:effectLst/>
            </c:spPr>
            <c:extLst>
              <c:ext xmlns:c16="http://schemas.microsoft.com/office/drawing/2014/chart" uri="{C3380CC4-5D6E-409C-BE32-E72D297353CC}">
                <c16:uniqueId val="{0000001B-214F-40E0-9C0F-65CEDB089B52}"/>
              </c:ext>
            </c:extLst>
          </c:dPt>
          <c:dPt>
            <c:idx val="3"/>
            <c:bubble3D val="0"/>
            <c:spPr>
              <a:noFill/>
              <a:ln w="9525">
                <a:solidFill>
                  <a:srgbClr val="4E5E9D">
                    <a:alpha val="20000"/>
                  </a:srgbClr>
                </a:solidFill>
              </a:ln>
              <a:effectLst/>
            </c:spPr>
            <c:extLst>
              <c:ext xmlns:c16="http://schemas.microsoft.com/office/drawing/2014/chart" uri="{C3380CC4-5D6E-409C-BE32-E72D297353CC}">
                <c16:uniqueId val="{0000001D-214F-40E0-9C0F-65CEDB089B52}"/>
              </c:ext>
            </c:extLst>
          </c:dPt>
          <c:dPt>
            <c:idx val="4"/>
            <c:bubble3D val="0"/>
            <c:spPr>
              <a:noFill/>
              <a:ln w="9525">
                <a:solidFill>
                  <a:srgbClr val="4E5E9D">
                    <a:alpha val="20000"/>
                  </a:srgbClr>
                </a:solidFill>
              </a:ln>
              <a:effectLst/>
            </c:spPr>
            <c:extLst>
              <c:ext xmlns:c16="http://schemas.microsoft.com/office/drawing/2014/chart" uri="{C3380CC4-5D6E-409C-BE32-E72D297353CC}">
                <c16:uniqueId val="{0000001F-214F-40E0-9C0F-65CEDB089B52}"/>
              </c:ext>
            </c:extLst>
          </c:dPt>
          <c:val>
            <c:numRef>
              <c:f>Processing!$A$66:$E$66</c:f>
              <c:numCache>
                <c:formatCode>General</c:formatCode>
                <c:ptCount val="5"/>
                <c:pt idx="0">
                  <c:v>72</c:v>
                </c:pt>
                <c:pt idx="1">
                  <c:v>72</c:v>
                </c:pt>
                <c:pt idx="2">
                  <c:v>72</c:v>
                </c:pt>
                <c:pt idx="3">
                  <c:v>72</c:v>
                </c:pt>
                <c:pt idx="4">
                  <c:v>72</c:v>
                </c:pt>
              </c:numCache>
            </c:numRef>
          </c:val>
          <c:extLst>
            <c:ext xmlns:c16="http://schemas.microsoft.com/office/drawing/2014/chart" uri="{C3380CC4-5D6E-409C-BE32-E72D297353CC}">
              <c16:uniqueId val="{00000020-214F-40E0-9C0F-65CEDB089B52}"/>
            </c:ext>
          </c:extLst>
        </c:ser>
        <c:dLbls>
          <c:showLegendKey val="0"/>
          <c:showVal val="0"/>
          <c:showCatName val="0"/>
          <c:showSerName val="0"/>
          <c:showPercent val="0"/>
          <c:showBubbleSize val="0"/>
          <c:showLeaderLines val="1"/>
        </c:dLbls>
        <c:firstSliceAng val="0"/>
        <c:holeSize val="20"/>
      </c:doughnutChart>
    </c:plotArea>
    <c:plotVisOnly val="1"/>
    <c:dispBlanksAs val="gap"/>
    <c:showDLblsOverMax val="0"/>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8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radarChart>
        <c:radarStyle val="marker"/>
        <c:varyColors val="0"/>
        <c:ser>
          <c:idx val="0"/>
          <c:order val="0"/>
          <c:tx>
            <c:strRef>
              <c:f>Processing!$D$51</c:f>
              <c:strCache>
                <c:ptCount val="1"/>
                <c:pt idx="0">
                  <c:v>Entertainment</c:v>
                </c:pt>
              </c:strCache>
            </c:strRef>
          </c:tx>
          <c:spPr>
            <a:ln w="25400" cap="rnd">
              <a:solidFill>
                <a:srgbClr val="00C8D2"/>
              </a:solidFill>
              <a:round/>
            </a:ln>
            <a:effectLst/>
          </c:spPr>
          <c:marker>
            <c:symbol val="circle"/>
            <c:size val="7"/>
            <c:spPr>
              <a:solidFill>
                <a:srgbClr val="00C8D2"/>
              </a:solidFill>
              <a:ln w="9525">
                <a:noFill/>
              </a:ln>
              <a:effectLst/>
            </c:spPr>
          </c:marker>
          <c:cat>
            <c:strRef>
              <c:f>Processing!$B$52:$B$56</c:f>
              <c:strCache>
                <c:ptCount val="5"/>
                <c:pt idx="0">
                  <c:v>Eating</c:v>
                </c:pt>
                <c:pt idx="1">
                  <c:v>Fuel</c:v>
                </c:pt>
                <c:pt idx="2">
                  <c:v>Hobbies</c:v>
                </c:pt>
                <c:pt idx="3">
                  <c:v>Leisure</c:v>
                </c:pt>
                <c:pt idx="4">
                  <c:v>Shopping</c:v>
                </c:pt>
              </c:strCache>
            </c:strRef>
          </c:cat>
          <c:val>
            <c:numRef>
              <c:f>Processing!$D$52:$D$56</c:f>
              <c:numCache>
                <c:formatCode>General</c:formatCode>
                <c:ptCount val="5"/>
                <c:pt idx="0">
                  <c:v>#N/A</c:v>
                </c:pt>
                <c:pt idx="1">
                  <c:v>#N/A</c:v>
                </c:pt>
                <c:pt idx="2">
                  <c:v>#N/A</c:v>
                </c:pt>
                <c:pt idx="3">
                  <c:v>#N/A</c:v>
                </c:pt>
                <c:pt idx="4">
                  <c:v>#N/A</c:v>
                </c:pt>
              </c:numCache>
            </c:numRef>
          </c:val>
          <c:extLst>
            <c:ext xmlns:c16="http://schemas.microsoft.com/office/drawing/2014/chart" uri="{C3380CC4-5D6E-409C-BE32-E72D297353CC}">
              <c16:uniqueId val="{00000000-DA68-41F9-9DF5-F063AD0D2441}"/>
            </c:ext>
          </c:extLst>
        </c:ser>
        <c:ser>
          <c:idx val="1"/>
          <c:order val="1"/>
          <c:tx>
            <c:strRef>
              <c:f>Processing!$E$51</c:f>
              <c:strCache>
                <c:ptCount val="1"/>
                <c:pt idx="0">
                  <c:v>FoodCourt</c:v>
                </c:pt>
              </c:strCache>
            </c:strRef>
          </c:tx>
          <c:spPr>
            <a:ln w="25400" cap="rnd">
              <a:solidFill>
                <a:srgbClr val="3879F2"/>
              </a:solidFill>
              <a:round/>
            </a:ln>
            <a:effectLst/>
          </c:spPr>
          <c:marker>
            <c:symbol val="circle"/>
            <c:size val="7"/>
            <c:spPr>
              <a:solidFill>
                <a:srgbClr val="2069F0"/>
              </a:solidFill>
              <a:ln w="9525">
                <a:noFill/>
              </a:ln>
              <a:effectLst/>
            </c:spPr>
          </c:marker>
          <c:cat>
            <c:strRef>
              <c:f>Processing!$B$52:$B$56</c:f>
              <c:strCache>
                <c:ptCount val="5"/>
                <c:pt idx="0">
                  <c:v>Eating</c:v>
                </c:pt>
                <c:pt idx="1">
                  <c:v>Fuel</c:v>
                </c:pt>
                <c:pt idx="2">
                  <c:v>Hobbies</c:v>
                </c:pt>
                <c:pt idx="3">
                  <c:v>Leisure</c:v>
                </c:pt>
                <c:pt idx="4">
                  <c:v>Shopping</c:v>
                </c:pt>
              </c:strCache>
            </c:strRef>
          </c:cat>
          <c:val>
            <c:numRef>
              <c:f>Processing!$E$52:$E$56</c:f>
              <c:numCache>
                <c:formatCode>General</c:formatCode>
                <c:ptCount val="5"/>
                <c:pt idx="0">
                  <c:v>342</c:v>
                </c:pt>
                <c:pt idx="1">
                  <c:v>298</c:v>
                </c:pt>
                <c:pt idx="2">
                  <c:v>319</c:v>
                </c:pt>
                <c:pt idx="3">
                  <c:v>314</c:v>
                </c:pt>
                <c:pt idx="4">
                  <c:v>322</c:v>
                </c:pt>
              </c:numCache>
            </c:numRef>
          </c:val>
          <c:extLst>
            <c:ext xmlns:c16="http://schemas.microsoft.com/office/drawing/2014/chart" uri="{C3380CC4-5D6E-409C-BE32-E72D297353CC}">
              <c16:uniqueId val="{00000001-DA68-41F9-9DF5-F063AD0D2441}"/>
            </c:ext>
          </c:extLst>
        </c:ser>
        <c:ser>
          <c:idx val="2"/>
          <c:order val="2"/>
          <c:tx>
            <c:strRef>
              <c:f>Processing!$F$51</c:f>
              <c:strCache>
                <c:ptCount val="1"/>
                <c:pt idx="0">
                  <c:v>Supermarket</c:v>
                </c:pt>
              </c:strCache>
            </c:strRef>
          </c:tx>
          <c:spPr>
            <a:ln w="25400" cap="rnd">
              <a:solidFill>
                <a:srgbClr val="FF5C6D"/>
              </a:solidFill>
              <a:round/>
            </a:ln>
            <a:effectLst/>
          </c:spPr>
          <c:marker>
            <c:symbol val="circle"/>
            <c:size val="7"/>
            <c:spPr>
              <a:solidFill>
                <a:srgbClr val="FF5C6D"/>
              </a:solidFill>
              <a:ln w="9525">
                <a:noFill/>
              </a:ln>
              <a:effectLst/>
            </c:spPr>
          </c:marker>
          <c:cat>
            <c:strRef>
              <c:f>Processing!$B$52:$B$56</c:f>
              <c:strCache>
                <c:ptCount val="5"/>
                <c:pt idx="0">
                  <c:v>Eating</c:v>
                </c:pt>
                <c:pt idx="1">
                  <c:v>Fuel</c:v>
                </c:pt>
                <c:pt idx="2">
                  <c:v>Hobbies</c:v>
                </c:pt>
                <c:pt idx="3">
                  <c:v>Leisure</c:v>
                </c:pt>
                <c:pt idx="4">
                  <c:v>Shopping</c:v>
                </c:pt>
              </c:strCache>
            </c:strRef>
          </c:cat>
          <c:val>
            <c:numRef>
              <c:f>Processing!$F$52:$F$56</c:f>
              <c:numCache>
                <c:formatCode>General</c:formatCode>
                <c:ptCount val="5"/>
                <c:pt idx="0">
                  <c:v>524</c:v>
                </c:pt>
                <c:pt idx="1">
                  <c:v>550</c:v>
                </c:pt>
                <c:pt idx="2">
                  <c:v>498</c:v>
                </c:pt>
                <c:pt idx="3">
                  <c:v>406</c:v>
                </c:pt>
                <c:pt idx="4">
                  <c:v>509</c:v>
                </c:pt>
              </c:numCache>
            </c:numRef>
          </c:val>
          <c:extLst>
            <c:ext xmlns:c16="http://schemas.microsoft.com/office/drawing/2014/chart" uri="{C3380CC4-5D6E-409C-BE32-E72D297353CC}">
              <c16:uniqueId val="{00000002-DA68-41F9-9DF5-F063AD0D2441}"/>
            </c:ext>
          </c:extLst>
        </c:ser>
        <c:ser>
          <c:idx val="3"/>
          <c:order val="3"/>
          <c:tx>
            <c:strRef>
              <c:f>Processing!$G$51</c:f>
              <c:strCache>
                <c:ptCount val="1"/>
                <c:pt idx="0">
                  <c:v>Travel</c:v>
                </c:pt>
              </c:strCache>
            </c:strRef>
          </c:tx>
          <c:spPr>
            <a:ln w="25400" cap="rnd">
              <a:solidFill>
                <a:srgbClr val="00ADD6"/>
              </a:solidFill>
              <a:round/>
            </a:ln>
            <a:effectLst/>
          </c:spPr>
          <c:marker>
            <c:symbol val="circle"/>
            <c:size val="7"/>
            <c:spPr>
              <a:solidFill>
                <a:schemeClr val="accent4"/>
              </a:solidFill>
              <a:ln w="9525">
                <a:solidFill>
                  <a:schemeClr val="accent4"/>
                </a:solidFill>
              </a:ln>
              <a:effectLst/>
            </c:spPr>
          </c:marker>
          <c:cat>
            <c:strRef>
              <c:f>Processing!$B$52:$B$56</c:f>
              <c:strCache>
                <c:ptCount val="5"/>
                <c:pt idx="0">
                  <c:v>Eating</c:v>
                </c:pt>
                <c:pt idx="1">
                  <c:v>Fuel</c:v>
                </c:pt>
                <c:pt idx="2">
                  <c:v>Hobbies</c:v>
                </c:pt>
                <c:pt idx="3">
                  <c:v>Leisure</c:v>
                </c:pt>
                <c:pt idx="4">
                  <c:v>Shopping</c:v>
                </c:pt>
              </c:strCache>
            </c:strRef>
          </c:cat>
          <c:val>
            <c:numRef>
              <c:f>Processing!$G$52:$G$56</c:f>
              <c:numCache>
                <c:formatCode>General</c:formatCode>
                <c:ptCount val="5"/>
                <c:pt idx="0">
                  <c:v>238</c:v>
                </c:pt>
                <c:pt idx="1">
                  <c:v>459</c:v>
                </c:pt>
                <c:pt idx="2">
                  <c:v>370</c:v>
                </c:pt>
                <c:pt idx="3">
                  <c:v>467</c:v>
                </c:pt>
                <c:pt idx="4">
                  <c:v>313</c:v>
                </c:pt>
              </c:numCache>
            </c:numRef>
          </c:val>
          <c:extLst>
            <c:ext xmlns:c16="http://schemas.microsoft.com/office/drawing/2014/chart" uri="{C3380CC4-5D6E-409C-BE32-E72D297353CC}">
              <c16:uniqueId val="{00000003-DA68-41F9-9DF5-F063AD0D2441}"/>
            </c:ext>
          </c:extLst>
        </c:ser>
        <c:ser>
          <c:idx val="4"/>
          <c:order val="4"/>
          <c:tx>
            <c:strRef>
              <c:f>Processing!$H$51</c:f>
              <c:strCache>
                <c:ptCount val="1"/>
                <c:pt idx="0">
                  <c:v>Workplace</c:v>
                </c:pt>
              </c:strCache>
            </c:strRef>
          </c:tx>
          <c:spPr>
            <a:ln w="25400" cap="rnd">
              <a:solidFill>
                <a:srgbClr val="6978B4"/>
              </a:solidFill>
              <a:round/>
            </a:ln>
            <a:effectLst/>
          </c:spPr>
          <c:marker>
            <c:symbol val="circle"/>
            <c:size val="7"/>
            <c:spPr>
              <a:solidFill>
                <a:srgbClr val="6978B4"/>
              </a:solidFill>
              <a:ln w="9525">
                <a:noFill/>
              </a:ln>
              <a:effectLst/>
            </c:spPr>
          </c:marker>
          <c:cat>
            <c:strRef>
              <c:f>Processing!$B$52:$B$56</c:f>
              <c:strCache>
                <c:ptCount val="5"/>
                <c:pt idx="0">
                  <c:v>Eating</c:v>
                </c:pt>
                <c:pt idx="1">
                  <c:v>Fuel</c:v>
                </c:pt>
                <c:pt idx="2">
                  <c:v>Hobbies</c:v>
                </c:pt>
                <c:pt idx="3">
                  <c:v>Leisure</c:v>
                </c:pt>
                <c:pt idx="4">
                  <c:v>Shopping</c:v>
                </c:pt>
              </c:strCache>
            </c:strRef>
          </c:cat>
          <c:val>
            <c:numRef>
              <c:f>Processing!$H$52:$H$56</c:f>
              <c:numCache>
                <c:formatCode>General</c:formatCode>
                <c:ptCount val="5"/>
                <c:pt idx="0">
                  <c:v>#N/A</c:v>
                </c:pt>
                <c:pt idx="1">
                  <c:v>#N/A</c:v>
                </c:pt>
                <c:pt idx="2">
                  <c:v>#N/A</c:v>
                </c:pt>
                <c:pt idx="3">
                  <c:v>#N/A</c:v>
                </c:pt>
                <c:pt idx="4">
                  <c:v>#N/A</c:v>
                </c:pt>
              </c:numCache>
            </c:numRef>
          </c:val>
          <c:extLst>
            <c:ext xmlns:c16="http://schemas.microsoft.com/office/drawing/2014/chart" uri="{C3380CC4-5D6E-409C-BE32-E72D297353CC}">
              <c16:uniqueId val="{00000004-DA68-41F9-9DF5-F063AD0D2441}"/>
            </c:ext>
          </c:extLst>
        </c:ser>
        <c:dLbls>
          <c:showLegendKey val="0"/>
          <c:showVal val="0"/>
          <c:showCatName val="0"/>
          <c:showSerName val="0"/>
          <c:showPercent val="0"/>
          <c:showBubbleSize val="0"/>
        </c:dLbls>
        <c:axId val="1484366719"/>
        <c:axId val="1484339839"/>
      </c:radarChart>
      <c:catAx>
        <c:axId val="148436671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455177"/>
                </a:solidFill>
                <a:latin typeface="+mn-lt"/>
                <a:ea typeface="+mn-ea"/>
                <a:cs typeface="+mn-cs"/>
              </a:defRPr>
            </a:pPr>
            <a:endParaRPr lang="ru-RU"/>
          </a:p>
        </c:txPr>
        <c:crossAx val="1484339839"/>
        <c:crosses val="autoZero"/>
        <c:auto val="1"/>
        <c:lblAlgn val="ctr"/>
        <c:lblOffset val="100"/>
        <c:noMultiLvlLbl val="0"/>
      </c:catAx>
      <c:valAx>
        <c:axId val="1484339839"/>
        <c:scaling>
          <c:orientation val="minMax"/>
        </c:scaling>
        <c:delete val="1"/>
        <c:axPos val="l"/>
        <c:numFmt formatCode="General" sourceLinked="1"/>
        <c:majorTickMark val="none"/>
        <c:minorTickMark val="none"/>
        <c:tickLblPos val="nextTo"/>
        <c:crossAx val="1484366719"/>
        <c:crosses val="autoZero"/>
        <c:crossBetween val="between"/>
      </c:valAx>
      <c:spPr>
        <a:noFill/>
      </c:spPr>
    </c:plotArea>
    <c:plotVisOnly val="1"/>
    <c:dispBlanksAs val="gap"/>
    <c:showDLblsOverMax val="0"/>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8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3"/>
          <c:order val="0"/>
          <c:tx>
            <c:strRef>
              <c:f>Processing!$C$60</c:f>
              <c:strCache>
                <c:ptCount val="1"/>
                <c:pt idx="0">
                  <c:v>indent</c:v>
                </c:pt>
              </c:strCache>
            </c:strRef>
          </c:tx>
          <c:spPr>
            <a:noFill/>
            <a:ln>
              <a:noFill/>
            </a:ln>
            <a:effectLst/>
          </c:spPr>
          <c:invertIfNegative val="0"/>
          <c:val>
            <c:numRef>
              <c:f>Processing!$D$60:$H$60</c:f>
              <c:numCache>
                <c:formatCode>General</c:formatCode>
                <c:ptCount val="5"/>
                <c:pt idx="0">
                  <c:v>174.09</c:v>
                </c:pt>
                <c:pt idx="1">
                  <c:v>174.09</c:v>
                </c:pt>
                <c:pt idx="2">
                  <c:v>174.09</c:v>
                </c:pt>
                <c:pt idx="3">
                  <c:v>174.09</c:v>
                </c:pt>
                <c:pt idx="4">
                  <c:v>174.09</c:v>
                </c:pt>
              </c:numCache>
            </c:numRef>
          </c:val>
          <c:extLst>
            <c:ext xmlns:c16="http://schemas.microsoft.com/office/drawing/2014/chart" uri="{C3380CC4-5D6E-409C-BE32-E72D297353CC}">
              <c16:uniqueId val="{00000015-369C-426A-9241-B7D46704F673}"/>
            </c:ext>
          </c:extLst>
        </c:ser>
        <c:ser>
          <c:idx val="2"/>
          <c:order val="1"/>
          <c:tx>
            <c:strRef>
              <c:f>Processing!$C$59</c:f>
              <c:strCache>
                <c:ptCount val="1"/>
                <c:pt idx="0">
                  <c:v>Total</c:v>
                </c:pt>
              </c:strCache>
            </c:strRef>
          </c:tx>
          <c:spPr>
            <a:solidFill>
              <a:schemeClr val="accent3"/>
            </a:solidFill>
            <a:ln w="101600">
              <a:solidFill>
                <a:srgbClr val="ABB5E2"/>
              </a:solidFill>
            </a:ln>
            <a:effectLst/>
          </c:spPr>
          <c:invertIfNegative val="0"/>
          <c:val>
            <c:numRef>
              <c:f>Processing!$D$59:$H$59</c:f>
              <c:numCache>
                <c:formatCode>General</c:formatCode>
                <c:ptCount val="5"/>
                <c:pt idx="0">
                  <c:v>2311</c:v>
                </c:pt>
                <c:pt idx="1">
                  <c:v>1595</c:v>
                </c:pt>
                <c:pt idx="2">
                  <c:v>2487</c:v>
                </c:pt>
                <c:pt idx="3">
                  <c:v>1847</c:v>
                </c:pt>
                <c:pt idx="4">
                  <c:v>2062</c:v>
                </c:pt>
              </c:numCache>
            </c:numRef>
          </c:val>
          <c:extLst>
            <c:ext xmlns:c16="http://schemas.microsoft.com/office/drawing/2014/chart" uri="{C3380CC4-5D6E-409C-BE32-E72D297353CC}">
              <c16:uniqueId val="{00000017-369C-426A-9241-B7D46704F673}"/>
            </c:ext>
          </c:extLst>
        </c:ser>
        <c:dLbls>
          <c:showLegendKey val="0"/>
          <c:showVal val="0"/>
          <c:showCatName val="0"/>
          <c:showSerName val="0"/>
          <c:showPercent val="0"/>
          <c:showBubbleSize val="0"/>
        </c:dLbls>
        <c:gapWidth val="400"/>
        <c:overlap val="100"/>
        <c:axId val="1488376607"/>
        <c:axId val="1488381407"/>
      </c:barChart>
      <c:barChart>
        <c:barDir val="col"/>
        <c:grouping val="stacked"/>
        <c:varyColors val="0"/>
        <c:ser>
          <c:idx val="1"/>
          <c:order val="2"/>
          <c:tx>
            <c:strRef>
              <c:f>Processing!$C$58</c:f>
              <c:strCache>
                <c:ptCount val="1"/>
                <c:pt idx="0">
                  <c:v>indent Cursor</c:v>
                </c:pt>
              </c:strCache>
            </c:strRef>
          </c:tx>
          <c:spPr>
            <a:noFill/>
            <a:ln>
              <a:noFill/>
            </a:ln>
            <a:effectLst/>
          </c:spPr>
          <c:invertIfNegative val="0"/>
          <c:val>
            <c:numRef>
              <c:f>Processing!$D$58:$H$58</c:f>
              <c:numCache>
                <c:formatCode>General</c:formatCode>
                <c:ptCount val="5"/>
                <c:pt idx="0">
                  <c:v>174.09</c:v>
                </c:pt>
                <c:pt idx="1">
                  <c:v>174.09</c:v>
                </c:pt>
                <c:pt idx="2">
                  <c:v>174.09</c:v>
                </c:pt>
                <c:pt idx="3">
                  <c:v>174.09</c:v>
                </c:pt>
                <c:pt idx="4">
                  <c:v>174.09</c:v>
                </c:pt>
              </c:numCache>
            </c:numRef>
          </c:val>
          <c:extLst>
            <c:ext xmlns:c16="http://schemas.microsoft.com/office/drawing/2014/chart" uri="{C3380CC4-5D6E-409C-BE32-E72D297353CC}">
              <c16:uniqueId val="{00000019-369C-426A-9241-B7D46704F673}"/>
            </c:ext>
          </c:extLst>
        </c:ser>
        <c:ser>
          <c:idx val="0"/>
          <c:order val="3"/>
          <c:tx>
            <c:strRef>
              <c:f>Processing!$C$57</c:f>
              <c:strCache>
                <c:ptCount val="1"/>
                <c:pt idx="0">
                  <c:v>Cursor</c:v>
                </c:pt>
              </c:strCache>
            </c:strRef>
          </c:tx>
          <c:spPr>
            <a:solidFill>
              <a:schemeClr val="accent1"/>
            </a:solidFill>
            <a:ln w="101600">
              <a:gradFill>
                <a:gsLst>
                  <a:gs pos="0">
                    <a:srgbClr val="00ADD6"/>
                  </a:gs>
                  <a:gs pos="100000">
                    <a:schemeClr val="accent1">
                      <a:lumMod val="30000"/>
                      <a:lumOff val="70000"/>
                    </a:schemeClr>
                  </a:gs>
                </a:gsLst>
                <a:lin ang="5400000" scaled="1"/>
              </a:gradFill>
            </a:ln>
            <a:effectLst/>
          </c:spPr>
          <c:invertIfNegative val="0"/>
          <c:dPt>
            <c:idx val="0"/>
            <c:invertIfNegative val="0"/>
            <c:bubble3D val="0"/>
            <c:spPr>
              <a:solidFill>
                <a:schemeClr val="accent1"/>
              </a:solidFill>
              <a:ln w="101600">
                <a:gradFill>
                  <a:gsLst>
                    <a:gs pos="0">
                      <a:srgbClr val="00C8D2"/>
                    </a:gs>
                    <a:gs pos="100000">
                      <a:srgbClr val="00A8B0"/>
                    </a:gs>
                  </a:gsLst>
                  <a:lin ang="5400000" scaled="1"/>
                </a:gradFill>
              </a:ln>
              <a:effectLst/>
            </c:spPr>
            <c:extLst>
              <c:ext xmlns:c16="http://schemas.microsoft.com/office/drawing/2014/chart" uri="{C3380CC4-5D6E-409C-BE32-E72D297353CC}">
                <c16:uniqueId val="{0000001C-369C-426A-9241-B7D46704F673}"/>
              </c:ext>
            </c:extLst>
          </c:dPt>
          <c:dPt>
            <c:idx val="1"/>
            <c:invertIfNegative val="0"/>
            <c:bubble3D val="0"/>
            <c:spPr>
              <a:solidFill>
                <a:schemeClr val="accent1"/>
              </a:solidFill>
              <a:ln w="101600">
                <a:gradFill>
                  <a:gsLst>
                    <a:gs pos="0">
                      <a:srgbClr val="3879F2"/>
                    </a:gs>
                    <a:gs pos="100000">
                      <a:srgbClr val="2069F0"/>
                    </a:gs>
                  </a:gsLst>
                  <a:lin ang="5400000" scaled="1"/>
                </a:gradFill>
              </a:ln>
              <a:effectLst/>
            </c:spPr>
            <c:extLst>
              <c:ext xmlns:c16="http://schemas.microsoft.com/office/drawing/2014/chart" uri="{C3380CC4-5D6E-409C-BE32-E72D297353CC}">
                <c16:uniqueId val="{0000001E-369C-426A-9241-B7D46704F673}"/>
              </c:ext>
            </c:extLst>
          </c:dPt>
          <c:dPt>
            <c:idx val="2"/>
            <c:invertIfNegative val="0"/>
            <c:bubble3D val="0"/>
            <c:spPr>
              <a:solidFill>
                <a:schemeClr val="accent1"/>
              </a:solidFill>
              <a:ln w="101600">
                <a:gradFill>
                  <a:gsLst>
                    <a:gs pos="0">
                      <a:srgbClr val="FF7684"/>
                    </a:gs>
                    <a:gs pos="100000">
                      <a:srgbClr val="FF5C6D"/>
                    </a:gs>
                  </a:gsLst>
                  <a:lin ang="5400000" scaled="1"/>
                </a:gradFill>
              </a:ln>
              <a:effectLst/>
            </c:spPr>
            <c:extLst>
              <c:ext xmlns:c16="http://schemas.microsoft.com/office/drawing/2014/chart" uri="{C3380CC4-5D6E-409C-BE32-E72D297353CC}">
                <c16:uniqueId val="{00000020-369C-426A-9241-B7D46704F673}"/>
              </c:ext>
            </c:extLst>
          </c:dPt>
          <c:dPt>
            <c:idx val="3"/>
            <c:invertIfNegative val="0"/>
            <c:bubble3D val="0"/>
            <c:spPr>
              <a:solidFill>
                <a:schemeClr val="accent1"/>
              </a:solidFill>
              <a:ln w="101600">
                <a:gradFill>
                  <a:gsLst>
                    <a:gs pos="0">
                      <a:srgbClr val="00ADD6"/>
                    </a:gs>
                    <a:gs pos="100000">
                      <a:srgbClr val="007D9B"/>
                    </a:gs>
                  </a:gsLst>
                  <a:lin ang="5400000" scaled="1"/>
                </a:gradFill>
              </a:ln>
              <a:effectLst/>
            </c:spPr>
            <c:extLst>
              <c:ext xmlns:c16="http://schemas.microsoft.com/office/drawing/2014/chart" uri="{C3380CC4-5D6E-409C-BE32-E72D297353CC}">
                <c16:uniqueId val="{00000022-369C-426A-9241-B7D46704F673}"/>
              </c:ext>
            </c:extLst>
          </c:dPt>
          <c:dPt>
            <c:idx val="4"/>
            <c:invertIfNegative val="0"/>
            <c:bubble3D val="0"/>
            <c:spPr>
              <a:solidFill>
                <a:schemeClr val="accent1"/>
              </a:solidFill>
              <a:ln w="101600">
                <a:gradFill>
                  <a:gsLst>
                    <a:gs pos="0">
                      <a:srgbClr val="6978B4"/>
                    </a:gs>
                    <a:gs pos="100000">
                      <a:srgbClr val="4E5E9D"/>
                    </a:gs>
                  </a:gsLst>
                  <a:lin ang="5400000" scaled="1"/>
                </a:gradFill>
              </a:ln>
              <a:effectLst/>
            </c:spPr>
            <c:extLst>
              <c:ext xmlns:c16="http://schemas.microsoft.com/office/drawing/2014/chart" uri="{C3380CC4-5D6E-409C-BE32-E72D297353CC}">
                <c16:uniqueId val="{00000024-369C-426A-9241-B7D46704F673}"/>
              </c:ext>
            </c:extLst>
          </c:dPt>
          <c:val>
            <c:numRef>
              <c:f>Processing!$D$57:$H$57</c:f>
              <c:numCache>
                <c:formatCode>General</c:formatCode>
                <c:ptCount val="5"/>
                <c:pt idx="0">
                  <c:v>#N/A</c:v>
                </c:pt>
                <c:pt idx="1">
                  <c:v>1595</c:v>
                </c:pt>
                <c:pt idx="2">
                  <c:v>2487</c:v>
                </c:pt>
                <c:pt idx="3">
                  <c:v>1847</c:v>
                </c:pt>
                <c:pt idx="4">
                  <c:v>#N/A</c:v>
                </c:pt>
              </c:numCache>
            </c:numRef>
          </c:val>
          <c:extLst>
            <c:ext xmlns:c16="http://schemas.microsoft.com/office/drawing/2014/chart" uri="{C3380CC4-5D6E-409C-BE32-E72D297353CC}">
              <c16:uniqueId val="{00000025-369C-426A-9241-B7D46704F673}"/>
            </c:ext>
          </c:extLst>
        </c:ser>
        <c:dLbls>
          <c:showLegendKey val="0"/>
          <c:showVal val="0"/>
          <c:showCatName val="0"/>
          <c:showSerName val="0"/>
          <c:showPercent val="0"/>
          <c:showBubbleSize val="0"/>
        </c:dLbls>
        <c:gapWidth val="400"/>
        <c:overlap val="100"/>
        <c:axId val="1488359807"/>
        <c:axId val="1488349727"/>
      </c:barChart>
      <c:scatterChart>
        <c:scatterStyle val="lineMarker"/>
        <c:varyColors val="0"/>
        <c:ser>
          <c:idx val="4"/>
          <c:order val="4"/>
          <c:tx>
            <c:strRef>
              <c:f>Processing!$C$61</c:f>
              <c:strCache>
                <c:ptCount val="1"/>
                <c:pt idx="0">
                  <c:v>Markers</c:v>
                </c:pt>
              </c:strCache>
            </c:strRef>
          </c:tx>
          <c:spPr>
            <a:ln w="25400" cap="rnd">
              <a:noFill/>
              <a:round/>
            </a:ln>
            <a:effectLst/>
          </c:spPr>
          <c:marker>
            <c:symbol val="none"/>
          </c:marker>
          <c:dLbls>
            <c:dLbl>
              <c:idx val="0"/>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27-369C-426A-9241-B7D46704F673}"/>
                </c:ext>
              </c:extLst>
            </c:dLbl>
            <c:dLbl>
              <c:idx val="1"/>
              <c:tx>
                <c:rich>
                  <a:bodyPr/>
                  <a:lstStyle/>
                  <a:p>
                    <a:fld id="{30997F9C-4694-4E22-B61D-F4A433F0AE98}"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8-369C-426A-9241-B7D46704F673}"/>
                </c:ext>
              </c:extLst>
            </c:dLbl>
            <c:dLbl>
              <c:idx val="2"/>
              <c:tx>
                <c:rich>
                  <a:bodyPr/>
                  <a:lstStyle/>
                  <a:p>
                    <a:fld id="{03A888B5-EF4C-4840-8CB9-6385DCFD7B47}"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9-369C-426A-9241-B7D46704F673}"/>
                </c:ext>
              </c:extLst>
            </c:dLbl>
            <c:dLbl>
              <c:idx val="3"/>
              <c:tx>
                <c:rich>
                  <a:bodyPr/>
                  <a:lstStyle/>
                  <a:p>
                    <a:fld id="{1F954A8A-1BE4-4EFF-8F37-970588CDE327}"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A-369C-426A-9241-B7D46704F673}"/>
                </c:ext>
              </c:extLst>
            </c:dLbl>
            <c:dLbl>
              <c:idx val="4"/>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2B-369C-426A-9241-B7D46704F673}"/>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455177"/>
                    </a:solidFill>
                    <a:latin typeface="+mn-lt"/>
                    <a:ea typeface="+mn-ea"/>
                    <a:cs typeface="+mn-cs"/>
                  </a:defRPr>
                </a:pPr>
                <a:endParaRPr lang="ru-RU"/>
              </a:p>
            </c:txPr>
            <c:dLblPos val="t"/>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yVal>
            <c:numRef>
              <c:f>Processing!$D$61:$H$61</c:f>
              <c:numCache>
                <c:formatCode>General</c:formatCode>
                <c:ptCount val="5"/>
                <c:pt idx="0">
                  <c:v>#N/A</c:v>
                </c:pt>
                <c:pt idx="1">
                  <c:v>1769.09</c:v>
                </c:pt>
                <c:pt idx="2">
                  <c:v>2661.09</c:v>
                </c:pt>
                <c:pt idx="3">
                  <c:v>2021.09</c:v>
                </c:pt>
                <c:pt idx="4">
                  <c:v>#N/A</c:v>
                </c:pt>
              </c:numCache>
            </c:numRef>
          </c:yVal>
          <c:smooth val="0"/>
          <c:extLst>
            <c:ext xmlns:c15="http://schemas.microsoft.com/office/drawing/2012/chart" uri="{02D57815-91ED-43cb-92C2-25804820EDAC}">
              <c15:datalabelsRange>
                <c15:f>Processing!$D$62:$H$62</c15:f>
                <c15:dlblRangeCache>
                  <c:ptCount val="5"/>
                  <c:pt idx="1">
                    <c:v>2k</c:v>
                  </c:pt>
                  <c:pt idx="2">
                    <c:v>2k</c:v>
                  </c:pt>
                  <c:pt idx="3">
                    <c:v>2k</c:v>
                  </c:pt>
                </c15:dlblRangeCache>
              </c15:datalabelsRange>
            </c:ext>
            <c:ext xmlns:c16="http://schemas.microsoft.com/office/drawing/2014/chart" uri="{C3380CC4-5D6E-409C-BE32-E72D297353CC}">
              <c16:uniqueId val="{0000002C-369C-426A-9241-B7D46704F673}"/>
            </c:ext>
          </c:extLst>
        </c:ser>
        <c:dLbls>
          <c:showLegendKey val="0"/>
          <c:showVal val="0"/>
          <c:showCatName val="0"/>
          <c:showSerName val="0"/>
          <c:showPercent val="0"/>
          <c:showBubbleSize val="0"/>
        </c:dLbls>
        <c:axId val="1488359807"/>
        <c:axId val="1488349727"/>
      </c:scatterChart>
      <c:catAx>
        <c:axId val="1488376607"/>
        <c:scaling>
          <c:orientation val="minMax"/>
        </c:scaling>
        <c:delete val="1"/>
        <c:axPos val="b"/>
        <c:majorTickMark val="none"/>
        <c:minorTickMark val="none"/>
        <c:tickLblPos val="nextTo"/>
        <c:crossAx val="1488381407"/>
        <c:crosses val="autoZero"/>
        <c:auto val="1"/>
        <c:lblAlgn val="ctr"/>
        <c:lblOffset val="100"/>
        <c:noMultiLvlLbl val="0"/>
      </c:catAx>
      <c:valAx>
        <c:axId val="1488381407"/>
        <c:scaling>
          <c:orientation val="minMax"/>
        </c:scaling>
        <c:delete val="1"/>
        <c:axPos val="l"/>
        <c:numFmt formatCode="General" sourceLinked="1"/>
        <c:majorTickMark val="none"/>
        <c:minorTickMark val="none"/>
        <c:tickLblPos val="nextTo"/>
        <c:crossAx val="1488376607"/>
        <c:crosses val="autoZero"/>
        <c:crossBetween val="between"/>
      </c:valAx>
      <c:valAx>
        <c:axId val="1488349727"/>
        <c:scaling>
          <c:orientation val="minMax"/>
        </c:scaling>
        <c:delete val="1"/>
        <c:axPos val="r"/>
        <c:numFmt formatCode="General" sourceLinked="1"/>
        <c:majorTickMark val="out"/>
        <c:minorTickMark val="none"/>
        <c:tickLblPos val="nextTo"/>
        <c:crossAx val="1488359807"/>
        <c:crosses val="max"/>
        <c:crossBetween val="between"/>
      </c:valAx>
      <c:catAx>
        <c:axId val="1488359807"/>
        <c:scaling>
          <c:orientation val="minMax"/>
        </c:scaling>
        <c:delete val="1"/>
        <c:axPos val="b"/>
        <c:majorTickMark val="out"/>
        <c:minorTickMark val="none"/>
        <c:tickLblPos val="nextTo"/>
        <c:crossAx val="1488349727"/>
        <c:crosses val="autoZero"/>
        <c:auto val="1"/>
        <c:lblAlgn val="ctr"/>
        <c:lblOffset val="100"/>
        <c:noMultiLvlLbl val="0"/>
      </c:catAx>
      <c:spPr>
        <a:noFill/>
      </c:spPr>
    </c:plotArea>
    <c:plotVisOnly val="1"/>
    <c:dispBlanksAs val="gap"/>
    <c:showDLblsOverMax val="0"/>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8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711001086985339"/>
          <c:y val="8.9869281045751634E-2"/>
          <c:w val="0.66877483117640601"/>
          <c:h val="0.8202614379084967"/>
        </c:manualLayout>
      </c:layout>
      <c:barChart>
        <c:barDir val="bar"/>
        <c:grouping val="stacked"/>
        <c:varyColors val="0"/>
        <c:ser>
          <c:idx val="1"/>
          <c:order val="0"/>
          <c:tx>
            <c:strRef>
              <c:f>Processing!$E$33</c:f>
              <c:strCache>
                <c:ptCount val="1"/>
                <c:pt idx="0">
                  <c:v>indent</c:v>
                </c:pt>
              </c:strCache>
            </c:strRef>
          </c:tx>
          <c:spPr>
            <a:noFill/>
            <a:ln>
              <a:noFill/>
            </a:ln>
            <a:effectLst/>
          </c:spPr>
          <c:invertIfNegative val="0"/>
          <c:cat>
            <c:strRef>
              <c:f>Processing!$D$34:$D$37</c:f>
              <c:strCache>
                <c:ptCount val="4"/>
                <c:pt idx="0">
                  <c:v>Savings</c:v>
                </c:pt>
                <c:pt idx="1">
                  <c:v>Salary</c:v>
                </c:pt>
                <c:pt idx="2">
                  <c:v>Side Job</c:v>
                </c:pt>
                <c:pt idx="3">
                  <c:v>Stock</c:v>
                </c:pt>
              </c:strCache>
            </c:strRef>
          </c:cat>
          <c:val>
            <c:numRef>
              <c:f>Processing!$E$34:$E$37</c:f>
              <c:numCache>
                <c:formatCode>General</c:formatCode>
                <c:ptCount val="4"/>
                <c:pt idx="0">
                  <c:v>271.18</c:v>
                </c:pt>
                <c:pt idx="1">
                  <c:v>271.18</c:v>
                </c:pt>
                <c:pt idx="2">
                  <c:v>271.18</c:v>
                </c:pt>
                <c:pt idx="3">
                  <c:v>271.18</c:v>
                </c:pt>
              </c:numCache>
            </c:numRef>
          </c:val>
          <c:extLst>
            <c:ext xmlns:c16="http://schemas.microsoft.com/office/drawing/2014/chart" uri="{C3380CC4-5D6E-409C-BE32-E72D297353CC}">
              <c16:uniqueId val="{00000000-CF4A-4406-B881-A49F9D099B46}"/>
            </c:ext>
          </c:extLst>
        </c:ser>
        <c:ser>
          <c:idx val="0"/>
          <c:order val="1"/>
          <c:tx>
            <c:strRef>
              <c:f>Processing!$F$33</c:f>
              <c:strCache>
                <c:ptCount val="1"/>
                <c:pt idx="0">
                  <c:v>Rank</c:v>
                </c:pt>
              </c:strCache>
            </c:strRef>
          </c:tx>
          <c:spPr>
            <a:solidFill>
              <a:schemeClr val="accent1"/>
            </a:solidFill>
            <a:ln w="101600">
              <a:gradFill>
                <a:gsLst>
                  <a:gs pos="0">
                    <a:srgbClr val="00C8D2"/>
                  </a:gs>
                  <a:gs pos="100000">
                    <a:srgbClr val="178BFF"/>
                  </a:gs>
                </a:gsLst>
                <a:lin ang="5400000" scaled="1"/>
              </a:gradFill>
            </a:ln>
            <a:effectLst/>
          </c:spPr>
          <c:invertIfNegative val="0"/>
          <c:cat>
            <c:strRef>
              <c:f>Processing!$D$34:$D$37</c:f>
              <c:strCache>
                <c:ptCount val="4"/>
                <c:pt idx="0">
                  <c:v>Savings</c:v>
                </c:pt>
                <c:pt idx="1">
                  <c:v>Salary</c:v>
                </c:pt>
                <c:pt idx="2">
                  <c:v>Side Job</c:v>
                </c:pt>
                <c:pt idx="3">
                  <c:v>Stock</c:v>
                </c:pt>
              </c:strCache>
            </c:strRef>
          </c:cat>
          <c:val>
            <c:numRef>
              <c:f>Processing!$F$34:$F$37</c:f>
              <c:numCache>
                <c:formatCode>General</c:formatCode>
                <c:ptCount val="4"/>
                <c:pt idx="0">
                  <c:v>3874</c:v>
                </c:pt>
                <c:pt idx="1">
                  <c:v>3546</c:v>
                </c:pt>
                <c:pt idx="2">
                  <c:v>2607</c:v>
                </c:pt>
                <c:pt idx="3">
                  <c:v>2506</c:v>
                </c:pt>
              </c:numCache>
            </c:numRef>
          </c:val>
          <c:extLst>
            <c:ext xmlns:c16="http://schemas.microsoft.com/office/drawing/2014/chart" uri="{C3380CC4-5D6E-409C-BE32-E72D297353CC}">
              <c16:uniqueId val="{00000001-CF4A-4406-B881-A49F9D099B46}"/>
            </c:ext>
          </c:extLst>
        </c:ser>
        <c:dLbls>
          <c:showLegendKey val="0"/>
          <c:showVal val="0"/>
          <c:showCatName val="0"/>
          <c:showSerName val="0"/>
          <c:showPercent val="0"/>
          <c:showBubbleSize val="0"/>
        </c:dLbls>
        <c:gapWidth val="400"/>
        <c:overlap val="100"/>
        <c:axId val="1547179375"/>
        <c:axId val="1547170255"/>
      </c:barChart>
      <c:catAx>
        <c:axId val="1547179375"/>
        <c:scaling>
          <c:orientation val="maxMin"/>
        </c:scaling>
        <c:delete val="0"/>
        <c:axPos val="l"/>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rgbClr val="455177"/>
                </a:solidFill>
                <a:latin typeface="+mn-lt"/>
                <a:ea typeface="+mn-ea"/>
                <a:cs typeface="+mn-cs"/>
              </a:defRPr>
            </a:pPr>
            <a:endParaRPr lang="ru-RU"/>
          </a:p>
        </c:txPr>
        <c:crossAx val="1547170255"/>
        <c:crosses val="autoZero"/>
        <c:auto val="1"/>
        <c:lblAlgn val="ctr"/>
        <c:lblOffset val="100"/>
        <c:noMultiLvlLbl val="0"/>
      </c:catAx>
      <c:valAx>
        <c:axId val="1547170255"/>
        <c:scaling>
          <c:orientation val="minMax"/>
          <c:min val="0"/>
        </c:scaling>
        <c:delete val="1"/>
        <c:axPos val="t"/>
        <c:numFmt formatCode="General" sourceLinked="1"/>
        <c:majorTickMark val="out"/>
        <c:minorTickMark val="none"/>
        <c:tickLblPos val="nextTo"/>
        <c:crossAx val="1547179375"/>
        <c:crosses val="autoZero"/>
        <c:crossBetween val="between"/>
      </c:valAx>
      <c:spPr>
        <a:noFill/>
      </c:spPr>
    </c:plotArea>
    <c:plotVisOnly val="1"/>
    <c:dispBlanksAs val="gap"/>
    <c:showDLblsOverMax val="0"/>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8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areaChart>
        <c:grouping val="standard"/>
        <c:varyColors val="0"/>
        <c:ser>
          <c:idx val="0"/>
          <c:order val="0"/>
          <c:tx>
            <c:strRef>
              <c:f>Processing!$B$40</c:f>
              <c:strCache>
                <c:ptCount val="1"/>
                <c:pt idx="0">
                  <c:v>Income</c:v>
                </c:pt>
              </c:strCache>
            </c:strRef>
          </c:tx>
          <c:spPr>
            <a:gradFill flip="none" rotWithShape="1">
              <a:gsLst>
                <a:gs pos="0">
                  <a:srgbClr val="00C8D2"/>
                </a:gs>
                <a:gs pos="100000">
                  <a:srgbClr val="178BFF"/>
                </a:gs>
              </a:gsLst>
              <a:lin ang="5400000" scaled="0"/>
              <a:tileRect/>
            </a:gradFill>
            <a:ln>
              <a:noFill/>
            </a:ln>
            <a:effectLst/>
          </c:spPr>
          <c:val>
            <c:numRef>
              <c:f>Processing!$B$41:$B$44</c:f>
              <c:numCache>
                <c:formatCode>General</c:formatCode>
                <c:ptCount val="4"/>
                <c:pt idx="0">
                  <c:v>37965</c:v>
                </c:pt>
                <c:pt idx="1">
                  <c:v>44200</c:v>
                </c:pt>
                <c:pt idx="2">
                  <c:v>38780</c:v>
                </c:pt>
                <c:pt idx="3">
                  <c:v>53560</c:v>
                </c:pt>
              </c:numCache>
            </c:numRef>
          </c:val>
          <c:extLst>
            <c:ext xmlns:c16="http://schemas.microsoft.com/office/drawing/2014/chart" uri="{C3380CC4-5D6E-409C-BE32-E72D297353CC}">
              <c16:uniqueId val="{00000004-8078-4334-8F1B-6D9BDA594BDC}"/>
            </c:ext>
          </c:extLst>
        </c:ser>
        <c:dLbls>
          <c:showLegendKey val="0"/>
          <c:showVal val="0"/>
          <c:showCatName val="0"/>
          <c:showSerName val="0"/>
          <c:showPercent val="0"/>
          <c:showBubbleSize val="0"/>
        </c:dLbls>
        <c:axId val="1547119375"/>
        <c:axId val="1547116975"/>
      </c:areaChart>
      <c:lineChart>
        <c:grouping val="standard"/>
        <c:varyColors val="0"/>
        <c:ser>
          <c:idx val="1"/>
          <c:order val="1"/>
          <c:spPr>
            <a:ln w="25400" cap="rnd">
              <a:solidFill>
                <a:srgbClr val="178BFF"/>
              </a:solidFill>
              <a:round/>
            </a:ln>
            <a:effectLst/>
          </c:spPr>
          <c:marker>
            <c:symbol val="none"/>
          </c:marker>
          <c:val>
            <c:numRef>
              <c:f>Processing!$B$41:$B$44</c:f>
              <c:numCache>
                <c:formatCode>General</c:formatCode>
                <c:ptCount val="4"/>
                <c:pt idx="0">
                  <c:v>37965</c:v>
                </c:pt>
                <c:pt idx="1">
                  <c:v>44200</c:v>
                </c:pt>
                <c:pt idx="2">
                  <c:v>38780</c:v>
                </c:pt>
                <c:pt idx="3">
                  <c:v>53560</c:v>
                </c:pt>
              </c:numCache>
            </c:numRef>
          </c:val>
          <c:smooth val="0"/>
          <c:extLst>
            <c:ext xmlns:c16="http://schemas.microsoft.com/office/drawing/2014/chart" uri="{C3380CC4-5D6E-409C-BE32-E72D297353CC}">
              <c16:uniqueId val="{00000006-8078-4334-8F1B-6D9BDA594BDC}"/>
            </c:ext>
          </c:extLst>
        </c:ser>
        <c:dLbls>
          <c:showLegendKey val="0"/>
          <c:showVal val="0"/>
          <c:showCatName val="0"/>
          <c:showSerName val="0"/>
          <c:showPercent val="0"/>
          <c:showBubbleSize val="0"/>
        </c:dLbls>
        <c:marker val="1"/>
        <c:smooth val="0"/>
        <c:axId val="1547119375"/>
        <c:axId val="1547116975"/>
      </c:lineChart>
      <c:scatterChart>
        <c:scatterStyle val="lineMarker"/>
        <c:varyColors val="0"/>
        <c:ser>
          <c:idx val="2"/>
          <c:order val="2"/>
          <c:tx>
            <c:strRef>
              <c:f>Processing!$C$40</c:f>
              <c:strCache>
                <c:ptCount val="1"/>
                <c:pt idx="0">
                  <c:v>Cursor</c:v>
                </c:pt>
              </c:strCache>
            </c:strRef>
          </c:tx>
          <c:spPr>
            <a:ln w="25400" cap="rnd">
              <a:noFill/>
              <a:round/>
            </a:ln>
            <a:effectLst>
              <a:outerShdw blurRad="50800" dist="38100" dir="5400000" algn="t" rotWithShape="0">
                <a:srgbClr val="1959AF">
                  <a:alpha val="40000"/>
                </a:srgbClr>
              </a:outerShdw>
            </a:effectLst>
          </c:spPr>
          <c:marker>
            <c:symbol val="circle"/>
            <c:size val="7"/>
            <c:spPr>
              <a:solidFill>
                <a:schemeClr val="bg1"/>
              </a:solidFill>
              <a:ln w="12700">
                <a:solidFill>
                  <a:srgbClr val="4B5792"/>
                </a:solidFill>
              </a:ln>
              <a:effectLst>
                <a:outerShdw blurRad="50800" dist="38100" dir="5400000" algn="t" rotWithShape="0">
                  <a:srgbClr val="1959AF">
                    <a:alpha val="40000"/>
                  </a:srgbClr>
                </a:outerShdw>
              </a:effectLst>
            </c:spPr>
          </c:marker>
          <c:dLbls>
            <c:numFmt formatCode="[&gt;=1000]0,&quot;k&quot;;[&lt;=-1000]\-0,&quot;k&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455177"/>
                    </a:solidFill>
                    <a:latin typeface="+mn-lt"/>
                    <a:ea typeface="+mn-ea"/>
                    <a:cs typeface="+mn-cs"/>
                  </a:defRPr>
                </a:pPr>
                <a:endParaRPr lang="ru-RU"/>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yVal>
            <c:numRef>
              <c:f>Processing!$C$41:$C$44</c:f>
              <c:numCache>
                <c:formatCode>General</c:formatCode>
                <c:ptCount val="4"/>
                <c:pt idx="0">
                  <c:v>#N/A</c:v>
                </c:pt>
                <c:pt idx="1">
                  <c:v>44200</c:v>
                </c:pt>
                <c:pt idx="2">
                  <c:v>#N/A</c:v>
                </c:pt>
                <c:pt idx="3">
                  <c:v>#N/A</c:v>
                </c:pt>
              </c:numCache>
            </c:numRef>
          </c:yVal>
          <c:smooth val="0"/>
          <c:extLst>
            <c:ext xmlns:c16="http://schemas.microsoft.com/office/drawing/2014/chart" uri="{C3380CC4-5D6E-409C-BE32-E72D297353CC}">
              <c16:uniqueId val="{00000008-8078-4334-8F1B-6D9BDA594BDC}"/>
            </c:ext>
          </c:extLst>
        </c:ser>
        <c:dLbls>
          <c:showLegendKey val="0"/>
          <c:showVal val="0"/>
          <c:showCatName val="0"/>
          <c:showSerName val="0"/>
          <c:showPercent val="0"/>
          <c:showBubbleSize val="0"/>
        </c:dLbls>
        <c:axId val="1547119375"/>
        <c:axId val="1547116975"/>
      </c:scatterChart>
      <c:catAx>
        <c:axId val="1547119375"/>
        <c:scaling>
          <c:orientation val="minMax"/>
        </c:scaling>
        <c:delete val="1"/>
        <c:axPos val="b"/>
        <c:majorTickMark val="out"/>
        <c:minorTickMark val="none"/>
        <c:tickLblPos val="nextTo"/>
        <c:crossAx val="1547116975"/>
        <c:crosses val="autoZero"/>
        <c:auto val="1"/>
        <c:lblAlgn val="ctr"/>
        <c:lblOffset val="100"/>
        <c:noMultiLvlLbl val="0"/>
      </c:catAx>
      <c:valAx>
        <c:axId val="1547116975"/>
        <c:scaling>
          <c:orientation val="minMax"/>
        </c:scaling>
        <c:delete val="1"/>
        <c:axPos val="l"/>
        <c:numFmt formatCode="General" sourceLinked="1"/>
        <c:majorTickMark val="none"/>
        <c:minorTickMark val="none"/>
        <c:tickLblPos val="nextTo"/>
        <c:crossAx val="1547119375"/>
        <c:crosses val="autoZero"/>
        <c:crossBetween val="between"/>
      </c:valAx>
      <c:spPr>
        <a:noFill/>
      </c:spPr>
    </c:plotArea>
    <c:plotVisOnly val="1"/>
    <c:dispBlanksAs val="zero"/>
    <c:showDLblsOverMax val="0"/>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4.xml"/><Relationship Id="rId13" Type="http://schemas.openxmlformats.org/officeDocument/2006/relationships/chart" Target="../charts/chart9.xml"/><Relationship Id="rId18" Type="http://schemas.openxmlformats.org/officeDocument/2006/relationships/image" Target="../media/image10.png"/><Relationship Id="rId3" Type="http://schemas.openxmlformats.org/officeDocument/2006/relationships/image" Target="../media/image3.png"/><Relationship Id="rId21" Type="http://schemas.openxmlformats.org/officeDocument/2006/relationships/hyperlink" Target="#'Financial Goals'!A1"/><Relationship Id="rId7" Type="http://schemas.openxmlformats.org/officeDocument/2006/relationships/chart" Target="../charts/chart3.xml"/><Relationship Id="rId12" Type="http://schemas.openxmlformats.org/officeDocument/2006/relationships/chart" Target="../charts/chart8.xml"/><Relationship Id="rId17" Type="http://schemas.openxmlformats.org/officeDocument/2006/relationships/image" Target="../media/image9.svg"/><Relationship Id="rId2" Type="http://schemas.openxmlformats.org/officeDocument/2006/relationships/image" Target="../media/image2.svg"/><Relationship Id="rId16" Type="http://schemas.openxmlformats.org/officeDocument/2006/relationships/image" Target="../media/image8.png"/><Relationship Id="rId20" Type="http://schemas.openxmlformats.org/officeDocument/2006/relationships/hyperlink" Target="#'Income Expenses'!A1"/><Relationship Id="rId1" Type="http://schemas.openxmlformats.org/officeDocument/2006/relationships/image" Target="../media/image1.png"/><Relationship Id="rId6" Type="http://schemas.openxmlformats.org/officeDocument/2006/relationships/chart" Target="../charts/chart2.xml"/><Relationship Id="rId11" Type="http://schemas.openxmlformats.org/officeDocument/2006/relationships/chart" Target="../charts/chart7.xml"/><Relationship Id="rId5" Type="http://schemas.openxmlformats.org/officeDocument/2006/relationships/chart" Target="../charts/chart1.xml"/><Relationship Id="rId15" Type="http://schemas.openxmlformats.org/officeDocument/2006/relationships/hyperlink" Target="#'DASHBOARD Light'!A1"/><Relationship Id="rId10" Type="http://schemas.openxmlformats.org/officeDocument/2006/relationships/chart" Target="../charts/chart6.xml"/><Relationship Id="rId19" Type="http://schemas.openxmlformats.org/officeDocument/2006/relationships/image" Target="../media/image11.svg"/><Relationship Id="rId4" Type="http://schemas.openxmlformats.org/officeDocument/2006/relationships/image" Target="../media/image4.svg"/><Relationship Id="rId9" Type="http://schemas.openxmlformats.org/officeDocument/2006/relationships/chart" Target="../charts/chart5.xml"/><Relationship Id="rId14" Type="http://schemas.openxmlformats.org/officeDocument/2006/relationships/chart" Target="../charts/chart10.xml"/><Relationship Id="rId22" Type="http://schemas.openxmlformats.org/officeDocument/2006/relationships/hyperlink" Target="#'Essential Costs'!A1"/></Relationships>
</file>

<file path=xl/drawings/_rels/drawing2.xml.rels><?xml version="1.0" encoding="UTF-8" standalone="yes"?>
<Relationships xmlns="http://schemas.openxmlformats.org/package/2006/relationships"><Relationship Id="rId8" Type="http://schemas.openxmlformats.org/officeDocument/2006/relationships/chart" Target="../charts/chart14.xml"/><Relationship Id="rId13" Type="http://schemas.openxmlformats.org/officeDocument/2006/relationships/chart" Target="../charts/chart19.xml"/><Relationship Id="rId18" Type="http://schemas.openxmlformats.org/officeDocument/2006/relationships/image" Target="../media/image18.png"/><Relationship Id="rId3" Type="http://schemas.openxmlformats.org/officeDocument/2006/relationships/image" Target="../media/image14.png"/><Relationship Id="rId21" Type="http://schemas.openxmlformats.org/officeDocument/2006/relationships/hyperlink" Target="#'Financial Goals Light'!A1"/><Relationship Id="rId7" Type="http://schemas.openxmlformats.org/officeDocument/2006/relationships/chart" Target="../charts/chart13.xml"/><Relationship Id="rId12" Type="http://schemas.openxmlformats.org/officeDocument/2006/relationships/chart" Target="../charts/chart18.xml"/><Relationship Id="rId17" Type="http://schemas.openxmlformats.org/officeDocument/2006/relationships/hyperlink" Target="#DASHBOARD!A1"/><Relationship Id="rId2" Type="http://schemas.openxmlformats.org/officeDocument/2006/relationships/image" Target="../media/image13.svg"/><Relationship Id="rId16" Type="http://schemas.openxmlformats.org/officeDocument/2006/relationships/image" Target="../media/image17.svg"/><Relationship Id="rId20" Type="http://schemas.openxmlformats.org/officeDocument/2006/relationships/hyperlink" Target="#'Income Expenses Light'!A1"/><Relationship Id="rId1" Type="http://schemas.openxmlformats.org/officeDocument/2006/relationships/image" Target="../media/image12.png"/><Relationship Id="rId6" Type="http://schemas.openxmlformats.org/officeDocument/2006/relationships/chart" Target="../charts/chart12.xml"/><Relationship Id="rId11" Type="http://schemas.openxmlformats.org/officeDocument/2006/relationships/chart" Target="../charts/chart17.xml"/><Relationship Id="rId5" Type="http://schemas.openxmlformats.org/officeDocument/2006/relationships/chart" Target="../charts/chart11.xml"/><Relationship Id="rId15" Type="http://schemas.openxmlformats.org/officeDocument/2006/relationships/image" Target="../media/image16.png"/><Relationship Id="rId10" Type="http://schemas.openxmlformats.org/officeDocument/2006/relationships/chart" Target="../charts/chart16.xml"/><Relationship Id="rId19" Type="http://schemas.openxmlformats.org/officeDocument/2006/relationships/image" Target="../media/image19.svg"/><Relationship Id="rId4" Type="http://schemas.openxmlformats.org/officeDocument/2006/relationships/image" Target="../media/image15.svg"/><Relationship Id="rId9" Type="http://schemas.openxmlformats.org/officeDocument/2006/relationships/chart" Target="../charts/chart15.xml"/><Relationship Id="rId14" Type="http://schemas.openxmlformats.org/officeDocument/2006/relationships/chart" Target="../charts/chart20.xml"/><Relationship Id="rId22" Type="http://schemas.openxmlformats.org/officeDocument/2006/relationships/hyperlink" Target="#'Essential Costs Light'!A1"/></Relationships>
</file>

<file path=xl/drawings/_rels/drawing3.xml.rels><?xml version="1.0" encoding="UTF-8" standalone="yes"?>
<Relationships xmlns="http://schemas.openxmlformats.org/package/2006/relationships"><Relationship Id="rId8" Type="http://schemas.openxmlformats.org/officeDocument/2006/relationships/chart" Target="../charts/chart28.xml"/><Relationship Id="rId13" Type="http://schemas.openxmlformats.org/officeDocument/2006/relationships/image" Target="../media/image8.png"/><Relationship Id="rId18" Type="http://schemas.openxmlformats.org/officeDocument/2006/relationships/hyperlink" Target="#'Essential Costs'!A1"/><Relationship Id="rId3" Type="http://schemas.openxmlformats.org/officeDocument/2006/relationships/chart" Target="../charts/chart23.xml"/><Relationship Id="rId21" Type="http://schemas.openxmlformats.org/officeDocument/2006/relationships/image" Target="../media/image21.svg"/><Relationship Id="rId7" Type="http://schemas.openxmlformats.org/officeDocument/2006/relationships/chart" Target="../charts/chart27.xml"/><Relationship Id="rId12" Type="http://schemas.openxmlformats.org/officeDocument/2006/relationships/hyperlink" Target="#'Financial Goals Light'!A1"/><Relationship Id="rId17" Type="http://schemas.openxmlformats.org/officeDocument/2006/relationships/hyperlink" Target="#'Income Expenses'!A1"/><Relationship Id="rId2" Type="http://schemas.openxmlformats.org/officeDocument/2006/relationships/chart" Target="../charts/chart22.xml"/><Relationship Id="rId16" Type="http://schemas.openxmlformats.org/officeDocument/2006/relationships/image" Target="../media/image11.svg"/><Relationship Id="rId20" Type="http://schemas.openxmlformats.org/officeDocument/2006/relationships/image" Target="../media/image20.png"/><Relationship Id="rId1" Type="http://schemas.openxmlformats.org/officeDocument/2006/relationships/chart" Target="../charts/chart21.xml"/><Relationship Id="rId6" Type="http://schemas.openxmlformats.org/officeDocument/2006/relationships/chart" Target="../charts/chart26.xml"/><Relationship Id="rId11" Type="http://schemas.openxmlformats.org/officeDocument/2006/relationships/chart" Target="../charts/chart31.xml"/><Relationship Id="rId5" Type="http://schemas.openxmlformats.org/officeDocument/2006/relationships/chart" Target="../charts/chart25.xml"/><Relationship Id="rId15" Type="http://schemas.openxmlformats.org/officeDocument/2006/relationships/image" Target="../media/image10.png"/><Relationship Id="rId10" Type="http://schemas.openxmlformats.org/officeDocument/2006/relationships/chart" Target="../charts/chart30.xml"/><Relationship Id="rId19" Type="http://schemas.openxmlformats.org/officeDocument/2006/relationships/hyperlink" Target="#DASHBOARD!A1"/><Relationship Id="rId4" Type="http://schemas.openxmlformats.org/officeDocument/2006/relationships/chart" Target="../charts/chart24.xml"/><Relationship Id="rId9" Type="http://schemas.openxmlformats.org/officeDocument/2006/relationships/chart" Target="../charts/chart29.xml"/><Relationship Id="rId14" Type="http://schemas.openxmlformats.org/officeDocument/2006/relationships/image" Target="../media/image9.svg"/></Relationships>
</file>

<file path=xl/drawings/_rels/drawing4.xml.rels><?xml version="1.0" encoding="UTF-8" standalone="yes"?>
<Relationships xmlns="http://schemas.openxmlformats.org/package/2006/relationships"><Relationship Id="rId8" Type="http://schemas.openxmlformats.org/officeDocument/2006/relationships/chart" Target="../charts/chart39.xml"/><Relationship Id="rId13" Type="http://schemas.openxmlformats.org/officeDocument/2006/relationships/image" Target="../media/image17.svg"/><Relationship Id="rId18" Type="http://schemas.openxmlformats.org/officeDocument/2006/relationships/hyperlink" Target="#'Essential Costs Light'!A1"/><Relationship Id="rId3" Type="http://schemas.openxmlformats.org/officeDocument/2006/relationships/chart" Target="../charts/chart34.xml"/><Relationship Id="rId21" Type="http://schemas.openxmlformats.org/officeDocument/2006/relationships/image" Target="../media/image21.svg"/><Relationship Id="rId7" Type="http://schemas.openxmlformats.org/officeDocument/2006/relationships/chart" Target="../charts/chart38.xml"/><Relationship Id="rId12" Type="http://schemas.openxmlformats.org/officeDocument/2006/relationships/image" Target="../media/image16.png"/><Relationship Id="rId17" Type="http://schemas.openxmlformats.org/officeDocument/2006/relationships/hyperlink" Target="#'Income Expenses Light'!A1"/><Relationship Id="rId2" Type="http://schemas.openxmlformats.org/officeDocument/2006/relationships/chart" Target="../charts/chart33.xml"/><Relationship Id="rId16" Type="http://schemas.openxmlformats.org/officeDocument/2006/relationships/image" Target="../media/image19.svg"/><Relationship Id="rId20" Type="http://schemas.openxmlformats.org/officeDocument/2006/relationships/image" Target="../media/image20.png"/><Relationship Id="rId1" Type="http://schemas.openxmlformats.org/officeDocument/2006/relationships/chart" Target="../charts/chart32.xml"/><Relationship Id="rId6" Type="http://schemas.openxmlformats.org/officeDocument/2006/relationships/chart" Target="../charts/chart37.xml"/><Relationship Id="rId11" Type="http://schemas.openxmlformats.org/officeDocument/2006/relationships/chart" Target="../charts/chart42.xml"/><Relationship Id="rId5" Type="http://schemas.openxmlformats.org/officeDocument/2006/relationships/chart" Target="../charts/chart36.xml"/><Relationship Id="rId15" Type="http://schemas.openxmlformats.org/officeDocument/2006/relationships/image" Target="../media/image18.png"/><Relationship Id="rId10" Type="http://schemas.openxmlformats.org/officeDocument/2006/relationships/chart" Target="../charts/chart41.xml"/><Relationship Id="rId19" Type="http://schemas.openxmlformats.org/officeDocument/2006/relationships/hyperlink" Target="#'DASHBOARD Light'!A1"/><Relationship Id="rId4" Type="http://schemas.openxmlformats.org/officeDocument/2006/relationships/chart" Target="../charts/chart35.xml"/><Relationship Id="rId9" Type="http://schemas.openxmlformats.org/officeDocument/2006/relationships/chart" Target="../charts/chart40.xml"/><Relationship Id="rId14" Type="http://schemas.openxmlformats.org/officeDocument/2006/relationships/hyperlink" Target="#'Financial Goals'!A1"/></Relationships>
</file>

<file path=xl/drawings/_rels/drawing5.xml.rels><?xml version="1.0" encoding="UTF-8" standalone="yes"?>
<Relationships xmlns="http://schemas.openxmlformats.org/package/2006/relationships"><Relationship Id="rId8" Type="http://schemas.openxmlformats.org/officeDocument/2006/relationships/chart" Target="../charts/chart50.xml"/><Relationship Id="rId13" Type="http://schemas.openxmlformats.org/officeDocument/2006/relationships/image" Target="../media/image8.png"/><Relationship Id="rId18" Type="http://schemas.openxmlformats.org/officeDocument/2006/relationships/hyperlink" Target="#'Essential Costs'!A1"/><Relationship Id="rId3" Type="http://schemas.openxmlformats.org/officeDocument/2006/relationships/chart" Target="../charts/chart45.xml"/><Relationship Id="rId21" Type="http://schemas.openxmlformats.org/officeDocument/2006/relationships/image" Target="../media/image21.svg"/><Relationship Id="rId7" Type="http://schemas.openxmlformats.org/officeDocument/2006/relationships/chart" Target="../charts/chart49.xml"/><Relationship Id="rId12" Type="http://schemas.openxmlformats.org/officeDocument/2006/relationships/hyperlink" Target="#'Income Expenses Light'!A1"/><Relationship Id="rId17" Type="http://schemas.openxmlformats.org/officeDocument/2006/relationships/hyperlink" Target="#'Financial Goals'!A1"/><Relationship Id="rId2" Type="http://schemas.openxmlformats.org/officeDocument/2006/relationships/chart" Target="../charts/chart44.xml"/><Relationship Id="rId16" Type="http://schemas.openxmlformats.org/officeDocument/2006/relationships/image" Target="../media/image11.svg"/><Relationship Id="rId20" Type="http://schemas.openxmlformats.org/officeDocument/2006/relationships/image" Target="../media/image20.png"/><Relationship Id="rId1" Type="http://schemas.openxmlformats.org/officeDocument/2006/relationships/chart" Target="../charts/chart43.xml"/><Relationship Id="rId6" Type="http://schemas.openxmlformats.org/officeDocument/2006/relationships/chart" Target="../charts/chart48.xml"/><Relationship Id="rId11" Type="http://schemas.openxmlformats.org/officeDocument/2006/relationships/chart" Target="../charts/chart53.xml"/><Relationship Id="rId5" Type="http://schemas.openxmlformats.org/officeDocument/2006/relationships/chart" Target="../charts/chart47.xml"/><Relationship Id="rId15" Type="http://schemas.openxmlformats.org/officeDocument/2006/relationships/image" Target="../media/image10.png"/><Relationship Id="rId10" Type="http://schemas.openxmlformats.org/officeDocument/2006/relationships/chart" Target="../charts/chart52.xml"/><Relationship Id="rId19" Type="http://schemas.openxmlformats.org/officeDocument/2006/relationships/hyperlink" Target="#DASHBOARD!A1"/><Relationship Id="rId4" Type="http://schemas.openxmlformats.org/officeDocument/2006/relationships/chart" Target="../charts/chart46.xml"/><Relationship Id="rId9" Type="http://schemas.openxmlformats.org/officeDocument/2006/relationships/chart" Target="../charts/chart51.xml"/><Relationship Id="rId14" Type="http://schemas.openxmlformats.org/officeDocument/2006/relationships/image" Target="../media/image9.svg"/></Relationships>
</file>

<file path=xl/drawings/_rels/drawing6.xml.rels><?xml version="1.0" encoding="UTF-8" standalone="yes"?>
<Relationships xmlns="http://schemas.openxmlformats.org/package/2006/relationships"><Relationship Id="rId8" Type="http://schemas.openxmlformats.org/officeDocument/2006/relationships/chart" Target="../charts/chart61.xml"/><Relationship Id="rId13" Type="http://schemas.openxmlformats.org/officeDocument/2006/relationships/image" Target="../media/image17.svg"/><Relationship Id="rId18" Type="http://schemas.openxmlformats.org/officeDocument/2006/relationships/hyperlink" Target="#'Essential Costs Light'!A1"/><Relationship Id="rId3" Type="http://schemas.openxmlformats.org/officeDocument/2006/relationships/chart" Target="../charts/chart56.xml"/><Relationship Id="rId21" Type="http://schemas.openxmlformats.org/officeDocument/2006/relationships/image" Target="../media/image21.svg"/><Relationship Id="rId7" Type="http://schemas.openxmlformats.org/officeDocument/2006/relationships/chart" Target="../charts/chart60.xml"/><Relationship Id="rId12" Type="http://schemas.openxmlformats.org/officeDocument/2006/relationships/image" Target="../media/image16.png"/><Relationship Id="rId17" Type="http://schemas.openxmlformats.org/officeDocument/2006/relationships/hyperlink" Target="#'Financial Goals Light'!A1"/><Relationship Id="rId2" Type="http://schemas.openxmlformats.org/officeDocument/2006/relationships/chart" Target="../charts/chart55.xml"/><Relationship Id="rId16" Type="http://schemas.openxmlformats.org/officeDocument/2006/relationships/image" Target="../media/image19.svg"/><Relationship Id="rId20" Type="http://schemas.openxmlformats.org/officeDocument/2006/relationships/image" Target="../media/image20.png"/><Relationship Id="rId1" Type="http://schemas.openxmlformats.org/officeDocument/2006/relationships/chart" Target="../charts/chart54.xml"/><Relationship Id="rId6" Type="http://schemas.openxmlformats.org/officeDocument/2006/relationships/chart" Target="../charts/chart59.xml"/><Relationship Id="rId11" Type="http://schemas.openxmlformats.org/officeDocument/2006/relationships/chart" Target="../charts/chart64.xml"/><Relationship Id="rId5" Type="http://schemas.openxmlformats.org/officeDocument/2006/relationships/chart" Target="../charts/chart58.xml"/><Relationship Id="rId15" Type="http://schemas.openxmlformats.org/officeDocument/2006/relationships/image" Target="../media/image18.png"/><Relationship Id="rId10" Type="http://schemas.openxmlformats.org/officeDocument/2006/relationships/chart" Target="../charts/chart63.xml"/><Relationship Id="rId19" Type="http://schemas.openxmlformats.org/officeDocument/2006/relationships/hyperlink" Target="#'DASHBOARD Light'!A1"/><Relationship Id="rId4" Type="http://schemas.openxmlformats.org/officeDocument/2006/relationships/chart" Target="../charts/chart57.xml"/><Relationship Id="rId9" Type="http://schemas.openxmlformats.org/officeDocument/2006/relationships/chart" Target="../charts/chart62.xml"/><Relationship Id="rId14" Type="http://schemas.openxmlformats.org/officeDocument/2006/relationships/hyperlink" Target="#'Income Expenses'!A1"/></Relationships>
</file>

<file path=xl/drawings/_rels/drawing7.xml.rels><?xml version="1.0" encoding="UTF-8" standalone="yes"?>
<Relationships xmlns="http://schemas.openxmlformats.org/package/2006/relationships"><Relationship Id="rId8" Type="http://schemas.openxmlformats.org/officeDocument/2006/relationships/chart" Target="../charts/chart72.xml"/><Relationship Id="rId13" Type="http://schemas.openxmlformats.org/officeDocument/2006/relationships/image" Target="../media/image9.svg"/><Relationship Id="rId18" Type="http://schemas.openxmlformats.org/officeDocument/2006/relationships/hyperlink" Target="#DASHBOARD!A1"/><Relationship Id="rId3" Type="http://schemas.openxmlformats.org/officeDocument/2006/relationships/chart" Target="../charts/chart67.xml"/><Relationship Id="rId7" Type="http://schemas.openxmlformats.org/officeDocument/2006/relationships/chart" Target="../charts/chart71.xml"/><Relationship Id="rId12" Type="http://schemas.openxmlformats.org/officeDocument/2006/relationships/image" Target="../media/image8.png"/><Relationship Id="rId17" Type="http://schemas.openxmlformats.org/officeDocument/2006/relationships/hyperlink" Target="#'Financial Goals'!A1"/><Relationship Id="rId2" Type="http://schemas.openxmlformats.org/officeDocument/2006/relationships/chart" Target="../charts/chart66.xml"/><Relationship Id="rId16" Type="http://schemas.openxmlformats.org/officeDocument/2006/relationships/hyperlink" Target="#'Income Expenses'!A1"/><Relationship Id="rId20" Type="http://schemas.openxmlformats.org/officeDocument/2006/relationships/image" Target="../media/image21.svg"/><Relationship Id="rId1" Type="http://schemas.openxmlformats.org/officeDocument/2006/relationships/chart" Target="../charts/chart65.xml"/><Relationship Id="rId6" Type="http://schemas.openxmlformats.org/officeDocument/2006/relationships/chart" Target="../charts/chart70.xml"/><Relationship Id="rId11" Type="http://schemas.openxmlformats.org/officeDocument/2006/relationships/hyperlink" Target="#'Essential Costs Light'!A1"/><Relationship Id="rId5" Type="http://schemas.openxmlformats.org/officeDocument/2006/relationships/chart" Target="../charts/chart69.xml"/><Relationship Id="rId15" Type="http://schemas.openxmlformats.org/officeDocument/2006/relationships/image" Target="../media/image11.svg"/><Relationship Id="rId10" Type="http://schemas.openxmlformats.org/officeDocument/2006/relationships/chart" Target="../charts/chart74.xml"/><Relationship Id="rId19" Type="http://schemas.openxmlformats.org/officeDocument/2006/relationships/image" Target="../media/image20.png"/><Relationship Id="rId4" Type="http://schemas.openxmlformats.org/officeDocument/2006/relationships/chart" Target="../charts/chart68.xml"/><Relationship Id="rId9" Type="http://schemas.openxmlformats.org/officeDocument/2006/relationships/chart" Target="../charts/chart73.xml"/><Relationship Id="rId14" Type="http://schemas.openxmlformats.org/officeDocument/2006/relationships/image" Target="../media/image10.png"/></Relationships>
</file>

<file path=xl/drawings/_rels/drawing8.xml.rels><?xml version="1.0" encoding="UTF-8" standalone="yes"?>
<Relationships xmlns="http://schemas.openxmlformats.org/package/2006/relationships"><Relationship Id="rId8" Type="http://schemas.openxmlformats.org/officeDocument/2006/relationships/chart" Target="../charts/chart82.xml"/><Relationship Id="rId13" Type="http://schemas.openxmlformats.org/officeDocument/2006/relationships/hyperlink" Target="#'Essential Costs'!A1"/><Relationship Id="rId18" Type="http://schemas.openxmlformats.org/officeDocument/2006/relationships/hyperlink" Target="#'DASHBOARD Light'!A1"/><Relationship Id="rId3" Type="http://schemas.openxmlformats.org/officeDocument/2006/relationships/chart" Target="../charts/chart77.xml"/><Relationship Id="rId7" Type="http://schemas.openxmlformats.org/officeDocument/2006/relationships/chart" Target="../charts/chart81.xml"/><Relationship Id="rId12" Type="http://schemas.openxmlformats.org/officeDocument/2006/relationships/image" Target="../media/image17.svg"/><Relationship Id="rId17" Type="http://schemas.openxmlformats.org/officeDocument/2006/relationships/hyperlink" Target="#'Financial Goals Light'!A1"/><Relationship Id="rId2" Type="http://schemas.openxmlformats.org/officeDocument/2006/relationships/chart" Target="../charts/chart76.xml"/><Relationship Id="rId16" Type="http://schemas.openxmlformats.org/officeDocument/2006/relationships/hyperlink" Target="#'Income Expenses Light'!A1"/><Relationship Id="rId20" Type="http://schemas.openxmlformats.org/officeDocument/2006/relationships/image" Target="../media/image21.svg"/><Relationship Id="rId1" Type="http://schemas.openxmlformats.org/officeDocument/2006/relationships/chart" Target="../charts/chart75.xml"/><Relationship Id="rId6" Type="http://schemas.openxmlformats.org/officeDocument/2006/relationships/chart" Target="../charts/chart80.xml"/><Relationship Id="rId11" Type="http://schemas.openxmlformats.org/officeDocument/2006/relationships/image" Target="../media/image16.png"/><Relationship Id="rId5" Type="http://schemas.openxmlformats.org/officeDocument/2006/relationships/chart" Target="../charts/chart79.xml"/><Relationship Id="rId15" Type="http://schemas.openxmlformats.org/officeDocument/2006/relationships/image" Target="../media/image19.svg"/><Relationship Id="rId10" Type="http://schemas.openxmlformats.org/officeDocument/2006/relationships/chart" Target="../charts/chart84.xml"/><Relationship Id="rId19" Type="http://schemas.openxmlformats.org/officeDocument/2006/relationships/image" Target="../media/image20.png"/><Relationship Id="rId4" Type="http://schemas.openxmlformats.org/officeDocument/2006/relationships/chart" Target="../charts/chart78.xml"/><Relationship Id="rId9" Type="http://schemas.openxmlformats.org/officeDocument/2006/relationships/chart" Target="../charts/chart83.xml"/><Relationship Id="rId14" Type="http://schemas.openxmlformats.org/officeDocument/2006/relationships/image" Target="../media/image18.png"/></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25</xdr:col>
      <xdr:colOff>304800</xdr:colOff>
      <xdr:row>45</xdr:row>
      <xdr:rowOff>0</xdr:rowOff>
    </xdr:to>
    <xdr:sp macro="" textlink="">
      <xdr:nvSpPr>
        <xdr:cNvPr id="2" name="Rectangle 1">
          <a:extLst>
            <a:ext uri="{FF2B5EF4-FFF2-40B4-BE49-F238E27FC236}">
              <a16:creationId xmlns:a16="http://schemas.microsoft.com/office/drawing/2014/main" id="{F7CFC03F-35F2-4B22-BD5E-7C16F83EA84F}"/>
            </a:ext>
          </a:extLst>
        </xdr:cNvPr>
        <xdr:cNvSpPr/>
      </xdr:nvSpPr>
      <xdr:spPr>
        <a:xfrm>
          <a:off x="0" y="0"/>
          <a:ext cx="15544800" cy="8229600"/>
        </a:xfrm>
        <a:prstGeom prst="rect">
          <a:avLst/>
        </a:prstGeom>
        <a:gradFill flip="none" rotWithShape="1">
          <a:gsLst>
            <a:gs pos="0">
              <a:srgbClr val="3883D4"/>
            </a:gs>
            <a:gs pos="84000">
              <a:srgbClr val="224192"/>
            </a:gs>
          </a:gsLst>
          <a:lin ang="4200000" scaled="0"/>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clientData/>
  </xdr:twoCellAnchor>
  <xdr:twoCellAnchor>
    <xdr:from>
      <xdr:col>3</xdr:col>
      <xdr:colOff>7620</xdr:colOff>
      <xdr:row>2</xdr:row>
      <xdr:rowOff>99060</xdr:rowOff>
    </xdr:from>
    <xdr:to>
      <xdr:col>20</xdr:col>
      <xdr:colOff>586740</xdr:colOff>
      <xdr:row>39</xdr:row>
      <xdr:rowOff>99060</xdr:rowOff>
    </xdr:to>
    <xdr:sp macro="" textlink="">
      <xdr:nvSpPr>
        <xdr:cNvPr id="3" name="Rectangle: Rounded Corners 2">
          <a:extLst>
            <a:ext uri="{FF2B5EF4-FFF2-40B4-BE49-F238E27FC236}">
              <a16:creationId xmlns:a16="http://schemas.microsoft.com/office/drawing/2014/main" id="{39965CD4-FA3A-437F-AED2-0548127AC966}"/>
            </a:ext>
          </a:extLst>
        </xdr:cNvPr>
        <xdr:cNvSpPr/>
      </xdr:nvSpPr>
      <xdr:spPr>
        <a:xfrm>
          <a:off x="1836420" y="464820"/>
          <a:ext cx="10942320" cy="6766560"/>
        </a:xfrm>
        <a:prstGeom prst="roundRect">
          <a:avLst>
            <a:gd name="adj" fmla="val 4034"/>
          </a:avLst>
        </a:prstGeom>
        <a:gradFill>
          <a:gsLst>
            <a:gs pos="0">
              <a:srgbClr val="21509A"/>
            </a:gs>
            <a:gs pos="52000">
              <a:srgbClr val="0F2453"/>
            </a:gs>
          </a:gsLst>
          <a:lin ang="4200000" scaled="0"/>
        </a:gradFill>
        <a:ln w="9525">
          <a:gradFill>
            <a:gsLst>
              <a:gs pos="50384">
                <a:srgbClr val="BCC6FF"/>
              </a:gs>
              <a:gs pos="0">
                <a:srgbClr val="6494DA"/>
              </a:gs>
              <a:gs pos="94000">
                <a:srgbClr val="2F6EC7"/>
              </a:gs>
            </a:gsLst>
            <a:lin ang="5400000" scaled="1"/>
          </a:gradFill>
        </a:ln>
        <a:effectLst>
          <a:outerShdw blurRad="508000" dist="190500" dir="8100000" algn="tr" rotWithShape="0">
            <a:prstClr val="black">
              <a:alpha val="5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clientData/>
  </xdr:twoCellAnchor>
  <xdr:twoCellAnchor>
    <xdr:from>
      <xdr:col>8</xdr:col>
      <xdr:colOff>60960</xdr:colOff>
      <xdr:row>4</xdr:row>
      <xdr:rowOff>106680</xdr:rowOff>
    </xdr:from>
    <xdr:to>
      <xdr:col>12</xdr:col>
      <xdr:colOff>121920</xdr:colOff>
      <xdr:row>11</xdr:row>
      <xdr:rowOff>106680</xdr:rowOff>
    </xdr:to>
    <xdr:sp macro="" textlink="Processing!F30">
      <xdr:nvSpPr>
        <xdr:cNvPr id="4" name="Rectangle: Rounded Corners 3">
          <a:extLst>
            <a:ext uri="{FF2B5EF4-FFF2-40B4-BE49-F238E27FC236}">
              <a16:creationId xmlns:a16="http://schemas.microsoft.com/office/drawing/2014/main" id="{889F76D7-4D68-4216-A969-2A4224174570}"/>
            </a:ext>
          </a:extLst>
        </xdr:cNvPr>
        <xdr:cNvSpPr/>
      </xdr:nvSpPr>
      <xdr:spPr>
        <a:xfrm>
          <a:off x="4937760" y="838200"/>
          <a:ext cx="2499360" cy="1280160"/>
        </a:xfrm>
        <a:prstGeom prst="roundRect">
          <a:avLst>
            <a:gd name="adj" fmla="val 12518"/>
          </a:avLst>
        </a:prstGeom>
        <a:gradFill flip="none" rotWithShape="1">
          <a:gsLst>
            <a:gs pos="0">
              <a:srgbClr val="2F6EC7"/>
            </a:gs>
            <a:gs pos="84000">
              <a:srgbClr val="224E9F"/>
            </a:gs>
          </a:gsLst>
          <a:lin ang="2700000" scaled="1"/>
          <a:tileRect/>
        </a:gradFill>
        <a:ln w="9525">
          <a:gradFill>
            <a:gsLst>
              <a:gs pos="0">
                <a:srgbClr val="6494DA"/>
              </a:gs>
              <a:gs pos="74000">
                <a:srgbClr val="BCC6FF"/>
              </a:gs>
              <a:gs pos="100000">
                <a:srgbClr val="2F6EC7"/>
              </a:gs>
            </a:gsLst>
            <a:lin ang="5400000" scaled="1"/>
          </a:gradFill>
        </a:ln>
        <a:effectLst>
          <a:outerShdw blurRad="190500" dist="101600" dir="8100000" algn="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fld id="{18F88175-3A2C-439F-BD2B-8BF5A6A9AE39}" type="TxLink">
            <a:rPr lang="en-US" sz="3800" b="0" i="0" u="none" strike="noStrike">
              <a:solidFill>
                <a:schemeClr val="bg1"/>
              </a:solidFill>
              <a:latin typeface="Aptos Narrow"/>
            </a:rPr>
            <a:pPr algn="ctr"/>
            <a:t> $10,302 </a:t>
          </a:fld>
          <a:endParaRPr lang="ru-RU" sz="3800">
            <a:solidFill>
              <a:schemeClr val="bg1"/>
            </a:solidFill>
          </a:endParaRPr>
        </a:p>
      </xdr:txBody>
    </xdr:sp>
    <xdr:clientData/>
  </xdr:twoCellAnchor>
  <xdr:twoCellAnchor>
    <xdr:from>
      <xdr:col>3</xdr:col>
      <xdr:colOff>426720</xdr:colOff>
      <xdr:row>12</xdr:row>
      <xdr:rowOff>111830</xdr:rowOff>
    </xdr:from>
    <xdr:to>
      <xdr:col>12</xdr:col>
      <xdr:colOff>121920</xdr:colOff>
      <xdr:row>25</xdr:row>
      <xdr:rowOff>111830</xdr:rowOff>
    </xdr:to>
    <xdr:sp macro="" textlink="">
      <xdr:nvSpPr>
        <xdr:cNvPr id="5" name="Rectangle: Rounded Corners 4">
          <a:extLst>
            <a:ext uri="{FF2B5EF4-FFF2-40B4-BE49-F238E27FC236}">
              <a16:creationId xmlns:a16="http://schemas.microsoft.com/office/drawing/2014/main" id="{406B99B1-9115-4414-A7FA-D89F3353766C}"/>
            </a:ext>
          </a:extLst>
        </xdr:cNvPr>
        <xdr:cNvSpPr/>
      </xdr:nvSpPr>
      <xdr:spPr>
        <a:xfrm>
          <a:off x="2255520" y="2306390"/>
          <a:ext cx="5181600" cy="2377440"/>
        </a:xfrm>
        <a:prstGeom prst="roundRect">
          <a:avLst>
            <a:gd name="adj" fmla="val 6794"/>
          </a:avLst>
        </a:prstGeom>
        <a:gradFill flip="none" rotWithShape="1">
          <a:gsLst>
            <a:gs pos="0">
              <a:srgbClr val="1C4285"/>
            </a:gs>
            <a:gs pos="84000">
              <a:srgbClr val="132D64"/>
            </a:gs>
          </a:gsLst>
          <a:lin ang="2700000" scaled="1"/>
          <a:tileRect/>
        </a:gradFill>
        <a:ln w="9525">
          <a:gradFill>
            <a:gsLst>
              <a:gs pos="0">
                <a:srgbClr val="6494DA"/>
              </a:gs>
              <a:gs pos="74000">
                <a:srgbClr val="BCC6FF"/>
              </a:gs>
              <a:gs pos="100000">
                <a:srgbClr val="2F6EC7"/>
              </a:gs>
            </a:gsLst>
            <a:lin ang="5400000" scaled="1"/>
          </a:gradFill>
        </a:ln>
        <a:effectLst>
          <a:outerShdw blurRad="190500" dist="101600" dir="8100000" algn="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clientData/>
  </xdr:twoCellAnchor>
  <xdr:twoCellAnchor>
    <xdr:from>
      <xdr:col>3</xdr:col>
      <xdr:colOff>403860</xdr:colOff>
      <xdr:row>26</xdr:row>
      <xdr:rowOff>109359</xdr:rowOff>
    </xdr:from>
    <xdr:to>
      <xdr:col>12</xdr:col>
      <xdr:colOff>99060</xdr:colOff>
      <xdr:row>37</xdr:row>
      <xdr:rowOff>94982</xdr:rowOff>
    </xdr:to>
    <xdr:sp macro="" textlink="Processing!A16">
      <xdr:nvSpPr>
        <xdr:cNvPr id="6" name="Rectangle: Rounded Corners 5">
          <a:extLst>
            <a:ext uri="{FF2B5EF4-FFF2-40B4-BE49-F238E27FC236}">
              <a16:creationId xmlns:a16="http://schemas.microsoft.com/office/drawing/2014/main" id="{DD008A42-1158-415C-AC4F-EC4F0CEEB30E}"/>
            </a:ext>
          </a:extLst>
        </xdr:cNvPr>
        <xdr:cNvSpPr/>
      </xdr:nvSpPr>
      <xdr:spPr>
        <a:xfrm>
          <a:off x="2232660" y="4864239"/>
          <a:ext cx="5181600" cy="1997303"/>
        </a:xfrm>
        <a:prstGeom prst="roundRect">
          <a:avLst>
            <a:gd name="adj" fmla="val 7756"/>
          </a:avLst>
        </a:prstGeom>
        <a:gradFill flip="none" rotWithShape="1">
          <a:gsLst>
            <a:gs pos="0">
              <a:srgbClr val="15306A"/>
            </a:gs>
            <a:gs pos="60000">
              <a:srgbClr val="13295E"/>
            </a:gs>
          </a:gsLst>
          <a:lin ang="4200000" scaled="0"/>
          <a:tileRect/>
        </a:gradFill>
        <a:ln w="9525">
          <a:gradFill flip="none" rotWithShape="1">
            <a:gsLst>
              <a:gs pos="0">
                <a:srgbClr val="6494DA"/>
              </a:gs>
              <a:gs pos="100000">
                <a:srgbClr val="2F6EC7"/>
              </a:gs>
            </a:gsLst>
            <a:lin ang="8100000" scaled="1"/>
            <a:tileRect/>
          </a:gradFill>
        </a:ln>
        <a:effectLst>
          <a:outerShdw blurRad="190500" dist="101600" dir="8100000" algn="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fld id="{D2D6F0D1-0F7B-4E37-AF29-585FD355E19A}" type="TxLink">
            <a:rPr lang="en-US" sz="1200" b="0" i="0" u="none" strike="noStrike">
              <a:solidFill>
                <a:schemeClr val="tx2">
                  <a:lumMod val="25000"/>
                  <a:lumOff val="75000"/>
                </a:schemeClr>
              </a:solidFill>
              <a:latin typeface="Aptos Narrow"/>
            </a:rPr>
            <a:pPr algn="ctr"/>
            <a:t>Income &amp; Expenses</a:t>
          </a:fld>
          <a:endParaRPr lang="ru-RU" sz="2000">
            <a:solidFill>
              <a:schemeClr val="tx2">
                <a:lumMod val="25000"/>
                <a:lumOff val="75000"/>
              </a:schemeClr>
            </a:solidFill>
          </a:endParaRPr>
        </a:p>
      </xdr:txBody>
    </xdr:sp>
    <xdr:clientData/>
  </xdr:twoCellAnchor>
  <xdr:twoCellAnchor>
    <xdr:from>
      <xdr:col>12</xdr:col>
      <xdr:colOff>314716</xdr:colOff>
      <xdr:row>18</xdr:row>
      <xdr:rowOff>11162</xdr:rowOff>
    </xdr:from>
    <xdr:to>
      <xdr:col>16</xdr:col>
      <xdr:colOff>162316</xdr:colOff>
      <xdr:row>37</xdr:row>
      <xdr:rowOff>102602</xdr:rowOff>
    </xdr:to>
    <xdr:sp macro="" textlink="Processing!A39">
      <xdr:nvSpPr>
        <xdr:cNvPr id="7" name="Rectangle: Rounded Corners 6">
          <a:extLst>
            <a:ext uri="{FF2B5EF4-FFF2-40B4-BE49-F238E27FC236}">
              <a16:creationId xmlns:a16="http://schemas.microsoft.com/office/drawing/2014/main" id="{2ECCAED7-0D1E-4B4E-A3EB-239E8D977BF6}"/>
            </a:ext>
          </a:extLst>
        </xdr:cNvPr>
        <xdr:cNvSpPr/>
      </xdr:nvSpPr>
      <xdr:spPr>
        <a:xfrm>
          <a:off x="7629916" y="3303002"/>
          <a:ext cx="2286000" cy="3566160"/>
        </a:xfrm>
        <a:prstGeom prst="roundRect">
          <a:avLst>
            <a:gd name="adj" fmla="val 6756"/>
          </a:avLst>
        </a:prstGeom>
        <a:gradFill flip="none" rotWithShape="1">
          <a:gsLst>
            <a:gs pos="0">
              <a:srgbClr val="15306A"/>
            </a:gs>
            <a:gs pos="84000">
              <a:srgbClr val="13295E"/>
            </a:gs>
          </a:gsLst>
          <a:lin ang="4200000" scaled="0"/>
          <a:tileRect/>
        </a:gradFill>
        <a:ln w="9525">
          <a:gradFill flip="none" rotWithShape="1">
            <a:gsLst>
              <a:gs pos="0">
                <a:srgbClr val="6494DA"/>
              </a:gs>
              <a:gs pos="62000">
                <a:srgbClr val="4F62B8"/>
              </a:gs>
            </a:gsLst>
            <a:lin ang="8100000" scaled="1"/>
            <a:tileRect/>
          </a:gradFill>
        </a:ln>
        <a:effectLst>
          <a:outerShdw blurRad="190500" dist="101600" dir="8100000" algn="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fld id="{C4FBDBAC-C864-40E9-A360-74884EA78C45}" type="TxLink">
            <a:rPr lang="en-US" sz="1200" b="0" i="0" u="none" strike="noStrike">
              <a:solidFill>
                <a:schemeClr val="tx2">
                  <a:lumMod val="25000"/>
                  <a:lumOff val="75000"/>
                </a:schemeClr>
              </a:solidFill>
              <a:latin typeface="Aptos Narrow"/>
            </a:rPr>
            <a:pPr algn="ctr"/>
            <a:t>Source Rating</a:t>
          </a:fld>
          <a:endParaRPr lang="ru-RU" sz="2400">
            <a:solidFill>
              <a:schemeClr val="tx2">
                <a:lumMod val="25000"/>
                <a:lumOff val="75000"/>
              </a:schemeClr>
            </a:solidFill>
          </a:endParaRPr>
        </a:p>
      </xdr:txBody>
    </xdr:sp>
    <xdr:clientData/>
  </xdr:twoCellAnchor>
  <xdr:twoCellAnchor>
    <xdr:from>
      <xdr:col>12</xdr:col>
      <xdr:colOff>314716</xdr:colOff>
      <xdr:row>4</xdr:row>
      <xdr:rowOff>106680</xdr:rowOff>
    </xdr:from>
    <xdr:to>
      <xdr:col>20</xdr:col>
      <xdr:colOff>192796</xdr:colOff>
      <xdr:row>17</xdr:row>
      <xdr:rowOff>15240</xdr:rowOff>
    </xdr:to>
    <xdr:sp macro="" textlink="">
      <xdr:nvSpPr>
        <xdr:cNvPr id="8" name="Rectangle: Rounded Corners 7">
          <a:extLst>
            <a:ext uri="{FF2B5EF4-FFF2-40B4-BE49-F238E27FC236}">
              <a16:creationId xmlns:a16="http://schemas.microsoft.com/office/drawing/2014/main" id="{0C26E198-0E8B-4476-A6B7-DB9111ACA6A2}"/>
            </a:ext>
          </a:extLst>
        </xdr:cNvPr>
        <xdr:cNvSpPr/>
      </xdr:nvSpPr>
      <xdr:spPr>
        <a:xfrm>
          <a:off x="7629916" y="838200"/>
          <a:ext cx="4754880" cy="2286000"/>
        </a:xfrm>
        <a:prstGeom prst="roundRect">
          <a:avLst>
            <a:gd name="adj" fmla="val 7756"/>
          </a:avLst>
        </a:prstGeom>
        <a:gradFill flip="none" rotWithShape="1">
          <a:gsLst>
            <a:gs pos="0">
              <a:srgbClr val="1C4285"/>
            </a:gs>
            <a:gs pos="84000">
              <a:srgbClr val="132D64"/>
            </a:gs>
          </a:gsLst>
          <a:lin ang="2700000" scaled="1"/>
          <a:tileRect/>
        </a:gradFill>
        <a:ln w="9525">
          <a:gradFill>
            <a:gsLst>
              <a:gs pos="49000">
                <a:srgbClr val="BCC6FF"/>
              </a:gs>
              <a:gs pos="0">
                <a:srgbClr val="6494DA"/>
              </a:gs>
              <a:gs pos="100000">
                <a:srgbClr val="2F6EC7"/>
              </a:gs>
            </a:gsLst>
            <a:lin ang="5400000" scaled="1"/>
          </a:gradFill>
        </a:ln>
        <a:effectLst>
          <a:outerShdw blurRad="190500" dist="101600" dir="8100000" algn="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clientData/>
  </xdr:twoCellAnchor>
  <xdr:twoCellAnchor>
    <xdr:from>
      <xdr:col>16</xdr:col>
      <xdr:colOff>345196</xdr:colOff>
      <xdr:row>18</xdr:row>
      <xdr:rowOff>11162</xdr:rowOff>
    </xdr:from>
    <xdr:to>
      <xdr:col>20</xdr:col>
      <xdr:colOff>192796</xdr:colOff>
      <xdr:row>37</xdr:row>
      <xdr:rowOff>102602</xdr:rowOff>
    </xdr:to>
    <xdr:sp macro="" textlink="Processing!J50">
      <xdr:nvSpPr>
        <xdr:cNvPr id="9" name="Rectangle: Rounded Corners 8">
          <a:extLst>
            <a:ext uri="{FF2B5EF4-FFF2-40B4-BE49-F238E27FC236}">
              <a16:creationId xmlns:a16="http://schemas.microsoft.com/office/drawing/2014/main" id="{273D7247-6EE2-4DE6-817E-79E9BBE3B73D}"/>
            </a:ext>
          </a:extLst>
        </xdr:cNvPr>
        <xdr:cNvSpPr/>
      </xdr:nvSpPr>
      <xdr:spPr>
        <a:xfrm>
          <a:off x="10098796" y="3303002"/>
          <a:ext cx="2286000" cy="3566160"/>
        </a:xfrm>
        <a:prstGeom prst="roundRect">
          <a:avLst>
            <a:gd name="adj" fmla="val 6756"/>
          </a:avLst>
        </a:prstGeom>
        <a:gradFill flip="none" rotWithShape="1">
          <a:gsLst>
            <a:gs pos="0">
              <a:srgbClr val="15306A"/>
            </a:gs>
            <a:gs pos="70000">
              <a:srgbClr val="13295E"/>
            </a:gs>
          </a:gsLst>
          <a:lin ang="4200000" scaled="0"/>
          <a:tileRect/>
        </a:gradFill>
        <a:ln w="9525">
          <a:gradFill flip="none" rotWithShape="1">
            <a:gsLst>
              <a:gs pos="0">
                <a:srgbClr val="6494DA"/>
              </a:gs>
              <a:gs pos="60000">
                <a:srgbClr val="4F62B8"/>
              </a:gs>
            </a:gsLst>
            <a:lin ang="8100000" scaled="1"/>
            <a:tileRect/>
          </a:gradFill>
        </a:ln>
        <a:effectLst>
          <a:outerShdw blurRad="190500" dist="101600" dir="8100000" algn="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fld id="{1DE3003E-1F1C-47CB-AEC1-2E414D995FCE}" type="TxLink">
            <a:rPr lang="en-US" sz="1200" b="0" i="0" u="none" strike="noStrike">
              <a:solidFill>
                <a:schemeClr val="tx2">
                  <a:lumMod val="25000"/>
                  <a:lumOff val="75000"/>
                </a:schemeClr>
              </a:solidFill>
              <a:latin typeface="Aptos Narrow"/>
            </a:rPr>
            <a:pPr algn="ctr"/>
            <a:t>Essential Costs</a:t>
          </a:fld>
          <a:endParaRPr lang="ru-RU" sz="2000">
            <a:solidFill>
              <a:schemeClr val="tx2">
                <a:lumMod val="25000"/>
                <a:lumOff val="75000"/>
              </a:schemeClr>
            </a:solidFill>
          </a:endParaRPr>
        </a:p>
      </xdr:txBody>
    </xdr:sp>
    <xdr:clientData/>
  </xdr:twoCellAnchor>
  <xdr:twoCellAnchor>
    <xdr:from>
      <xdr:col>3</xdr:col>
      <xdr:colOff>426720</xdr:colOff>
      <xdr:row>4</xdr:row>
      <xdr:rowOff>106680</xdr:rowOff>
    </xdr:from>
    <xdr:to>
      <xdr:col>7</xdr:col>
      <xdr:colOff>487680</xdr:colOff>
      <xdr:row>11</xdr:row>
      <xdr:rowOff>106680</xdr:rowOff>
    </xdr:to>
    <xdr:sp macro="" textlink="Processing!E30">
      <xdr:nvSpPr>
        <xdr:cNvPr id="10" name="Rectangle: Rounded Corners 9">
          <a:extLst>
            <a:ext uri="{FF2B5EF4-FFF2-40B4-BE49-F238E27FC236}">
              <a16:creationId xmlns:a16="http://schemas.microsoft.com/office/drawing/2014/main" id="{AA9E2526-8911-4146-8EA0-32AE7A6BD906}"/>
            </a:ext>
          </a:extLst>
        </xdr:cNvPr>
        <xdr:cNvSpPr/>
      </xdr:nvSpPr>
      <xdr:spPr>
        <a:xfrm>
          <a:off x="2255520" y="838200"/>
          <a:ext cx="2499360" cy="1280160"/>
        </a:xfrm>
        <a:prstGeom prst="roundRect">
          <a:avLst>
            <a:gd name="adj" fmla="val 12518"/>
          </a:avLst>
        </a:prstGeom>
        <a:gradFill flip="none" rotWithShape="1">
          <a:gsLst>
            <a:gs pos="0">
              <a:srgbClr val="2F6EC7"/>
            </a:gs>
            <a:gs pos="84000">
              <a:srgbClr val="224E9F"/>
            </a:gs>
          </a:gsLst>
          <a:lin ang="2700000" scaled="1"/>
          <a:tileRect/>
        </a:gradFill>
        <a:ln w="9525">
          <a:gradFill>
            <a:gsLst>
              <a:gs pos="0">
                <a:srgbClr val="6494DA"/>
              </a:gs>
              <a:gs pos="74000">
                <a:srgbClr val="BCC6FF"/>
              </a:gs>
              <a:gs pos="100000">
                <a:srgbClr val="2F6EC7"/>
              </a:gs>
            </a:gsLst>
            <a:lin ang="5400000" scaled="1"/>
          </a:gradFill>
        </a:ln>
        <a:effectLst>
          <a:outerShdw blurRad="190500" dist="101600" dir="8100000" algn="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fld id="{4B44C066-6662-4947-A096-F7BBC08BF728}" type="TxLink">
            <a:rPr lang="en-US" sz="3800" b="0" i="0" u="none" strike="noStrike">
              <a:solidFill>
                <a:schemeClr val="bg1"/>
              </a:solidFill>
              <a:latin typeface="Aptos Narrow"/>
            </a:rPr>
            <a:pPr algn="ctr"/>
            <a:t> $12,533 </a:t>
          </a:fld>
          <a:endParaRPr lang="ru-RU" sz="3800">
            <a:solidFill>
              <a:schemeClr val="bg1"/>
            </a:solidFill>
          </a:endParaRPr>
        </a:p>
      </xdr:txBody>
    </xdr:sp>
    <xdr:clientData/>
  </xdr:twoCellAnchor>
  <xdr:twoCellAnchor>
    <xdr:from>
      <xdr:col>4</xdr:col>
      <xdr:colOff>487680</xdr:colOff>
      <xdr:row>14</xdr:row>
      <xdr:rowOff>160020</xdr:rowOff>
    </xdr:from>
    <xdr:to>
      <xdr:col>11</xdr:col>
      <xdr:colOff>335280</xdr:colOff>
      <xdr:row>24</xdr:row>
      <xdr:rowOff>160020</xdr:rowOff>
    </xdr:to>
    <xdr:sp macro="" textlink="">
      <xdr:nvSpPr>
        <xdr:cNvPr id="17" name="Rectangle: Rounded Corners 16">
          <a:extLst>
            <a:ext uri="{FF2B5EF4-FFF2-40B4-BE49-F238E27FC236}">
              <a16:creationId xmlns:a16="http://schemas.microsoft.com/office/drawing/2014/main" id="{8F174AF9-BDA7-428D-B91A-22E9832E10C9}"/>
            </a:ext>
          </a:extLst>
        </xdr:cNvPr>
        <xdr:cNvSpPr/>
      </xdr:nvSpPr>
      <xdr:spPr>
        <a:xfrm>
          <a:off x="2926080" y="2720340"/>
          <a:ext cx="4114800" cy="1828800"/>
        </a:xfrm>
        <a:prstGeom prst="roundRect">
          <a:avLst>
            <a:gd name="adj" fmla="val 5788"/>
          </a:avLst>
        </a:prstGeom>
        <a:solidFill>
          <a:srgbClr val="0F2659"/>
        </a:solidFill>
        <a:effectLst>
          <a:innerShdw blurRad="127000">
            <a:prstClr val="black"/>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8</xdr:col>
      <xdr:colOff>403860</xdr:colOff>
      <xdr:row>8</xdr:row>
      <xdr:rowOff>91440</xdr:rowOff>
    </xdr:from>
    <xdr:to>
      <xdr:col>9</xdr:col>
      <xdr:colOff>160020</xdr:colOff>
      <xdr:row>10</xdr:row>
      <xdr:rowOff>111891</xdr:rowOff>
    </xdr:to>
    <xdr:grpSp>
      <xdr:nvGrpSpPr>
        <xdr:cNvPr id="11" name="Group 10">
          <a:extLst>
            <a:ext uri="{FF2B5EF4-FFF2-40B4-BE49-F238E27FC236}">
              <a16:creationId xmlns:a16="http://schemas.microsoft.com/office/drawing/2014/main" id="{864C6612-8E2C-4DCD-BA8D-74347DBA8C52}"/>
            </a:ext>
          </a:extLst>
        </xdr:cNvPr>
        <xdr:cNvGrpSpPr/>
      </xdr:nvGrpSpPr>
      <xdr:grpSpPr>
        <a:xfrm>
          <a:off x="5314527" y="1615440"/>
          <a:ext cx="369993" cy="401451"/>
          <a:chOff x="18036540" y="13411200"/>
          <a:chExt cx="914400" cy="965528"/>
        </a:xfrm>
      </xdr:grpSpPr>
      <xdr:pic>
        <xdr:nvPicPr>
          <xdr:cNvPr id="12" name="Graphic 11" descr="Wallet outline">
            <a:extLst>
              <a:ext uri="{FF2B5EF4-FFF2-40B4-BE49-F238E27FC236}">
                <a16:creationId xmlns:a16="http://schemas.microsoft.com/office/drawing/2014/main" id="{78F41348-C081-8B3B-21F4-BAABFCBDA0B3}"/>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8036540" y="13411200"/>
            <a:ext cx="914400" cy="914400"/>
          </a:xfrm>
          <a:prstGeom prst="rect">
            <a:avLst/>
          </a:prstGeom>
        </xdr:spPr>
      </xdr:pic>
      <xdr:sp macro="" textlink="">
        <xdr:nvSpPr>
          <xdr:cNvPr id="13" name="Arrow: Down 12">
            <a:extLst>
              <a:ext uri="{FF2B5EF4-FFF2-40B4-BE49-F238E27FC236}">
                <a16:creationId xmlns:a16="http://schemas.microsoft.com/office/drawing/2014/main" id="{DA5DE48F-F6C9-8BCD-AD58-B2FCC69396E4}"/>
              </a:ext>
            </a:extLst>
          </xdr:cNvPr>
          <xdr:cNvSpPr/>
        </xdr:nvSpPr>
        <xdr:spPr>
          <a:xfrm>
            <a:off x="18242280" y="13822680"/>
            <a:ext cx="350520" cy="554048"/>
          </a:xfrm>
          <a:prstGeom prst="downArrow">
            <a:avLst/>
          </a:prstGeom>
          <a:solidFill>
            <a:srgbClr val="B9C1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grpSp>
    <xdr:clientData/>
  </xdr:twoCellAnchor>
  <xdr:twoCellAnchor>
    <xdr:from>
      <xdr:col>4</xdr:col>
      <xdr:colOff>213360</xdr:colOff>
      <xdr:row>8</xdr:row>
      <xdr:rowOff>114104</xdr:rowOff>
    </xdr:from>
    <xdr:to>
      <xdr:col>4</xdr:col>
      <xdr:colOff>579120</xdr:colOff>
      <xdr:row>10</xdr:row>
      <xdr:rowOff>114104</xdr:rowOff>
    </xdr:to>
    <xdr:pic>
      <xdr:nvPicPr>
        <xdr:cNvPr id="14" name="Graphic 13" descr="Treasure chest outline">
          <a:extLst>
            <a:ext uri="{FF2B5EF4-FFF2-40B4-BE49-F238E27FC236}">
              <a16:creationId xmlns:a16="http://schemas.microsoft.com/office/drawing/2014/main" id="{681882F3-1DA9-4F33-8FA3-2AB4F360D324}"/>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2651760" y="1577144"/>
          <a:ext cx="365760" cy="365760"/>
        </a:xfrm>
        <a:prstGeom prst="rect">
          <a:avLst/>
        </a:prstGeom>
      </xdr:spPr>
    </xdr:pic>
    <xdr:clientData/>
  </xdr:twoCellAnchor>
  <xdr:twoCellAnchor>
    <xdr:from>
      <xdr:col>4</xdr:col>
      <xdr:colOff>396240</xdr:colOff>
      <xdr:row>13</xdr:row>
      <xdr:rowOff>53340</xdr:rowOff>
    </xdr:from>
    <xdr:to>
      <xdr:col>11</xdr:col>
      <xdr:colOff>472440</xdr:colOff>
      <xdr:row>25</xdr:row>
      <xdr:rowOff>99060</xdr:rowOff>
    </xdr:to>
    <xdr:graphicFrame macro="">
      <xdr:nvGraphicFramePr>
        <xdr:cNvPr id="16" name="Chart 15">
          <a:extLst>
            <a:ext uri="{FF2B5EF4-FFF2-40B4-BE49-F238E27FC236}">
              <a16:creationId xmlns:a16="http://schemas.microsoft.com/office/drawing/2014/main" id="{636C4A83-2EB2-4F82-9DDA-907E3732672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15240</xdr:colOff>
      <xdr:row>14</xdr:row>
      <xdr:rowOff>38100</xdr:rowOff>
    </xdr:from>
    <xdr:to>
      <xdr:col>11</xdr:col>
      <xdr:colOff>457200</xdr:colOff>
      <xdr:row>25</xdr:row>
      <xdr:rowOff>83820</xdr:rowOff>
    </xdr:to>
    <xdr:graphicFrame macro="">
      <xdr:nvGraphicFramePr>
        <xdr:cNvPr id="15" name="Chart 14">
          <a:extLst>
            <a:ext uri="{FF2B5EF4-FFF2-40B4-BE49-F238E27FC236}">
              <a16:creationId xmlns:a16="http://schemas.microsoft.com/office/drawing/2014/main" id="{481F7201-E832-4536-B3FC-4118C33DFD0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12</xdr:col>
      <xdr:colOff>403860</xdr:colOff>
      <xdr:row>5</xdr:row>
      <xdr:rowOff>53340</xdr:rowOff>
    </xdr:from>
    <xdr:to>
      <xdr:col>15</xdr:col>
      <xdr:colOff>586740</xdr:colOff>
      <xdr:row>16</xdr:row>
      <xdr:rowOff>53340</xdr:rowOff>
    </xdr:to>
    <xdr:graphicFrame macro="">
      <xdr:nvGraphicFramePr>
        <xdr:cNvPr id="18" name="Chart 17">
          <a:extLst>
            <a:ext uri="{FF2B5EF4-FFF2-40B4-BE49-F238E27FC236}">
              <a16:creationId xmlns:a16="http://schemas.microsoft.com/office/drawing/2014/main" id="{0680AD38-E16D-4489-9CCD-E314EB38E36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13</xdr:col>
      <xdr:colOff>342900</xdr:colOff>
      <xdr:row>9</xdr:row>
      <xdr:rowOff>76200</xdr:rowOff>
    </xdr:from>
    <xdr:to>
      <xdr:col>15</xdr:col>
      <xdr:colOff>38100</xdr:colOff>
      <xdr:row>11</xdr:row>
      <xdr:rowOff>160020</xdr:rowOff>
    </xdr:to>
    <xdr:sp macro="" textlink="Processing!S3">
      <xdr:nvSpPr>
        <xdr:cNvPr id="19" name="TextBox 18">
          <a:extLst>
            <a:ext uri="{FF2B5EF4-FFF2-40B4-BE49-F238E27FC236}">
              <a16:creationId xmlns:a16="http://schemas.microsoft.com/office/drawing/2014/main" id="{AB7AF52C-252A-C78E-F6EF-CEFF6518596D}"/>
            </a:ext>
          </a:extLst>
        </xdr:cNvPr>
        <xdr:cNvSpPr txBox="1"/>
      </xdr:nvSpPr>
      <xdr:spPr>
        <a:xfrm>
          <a:off x="8267700" y="1722120"/>
          <a:ext cx="914400" cy="4495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E76BA41-C5AD-4A6D-8F20-94D5DF0D5944}" type="TxLink">
            <a:rPr lang="en-US" sz="2800" b="0" i="0" u="none" strike="noStrike">
              <a:solidFill>
                <a:schemeClr val="bg1"/>
              </a:solidFill>
              <a:latin typeface="Aptos Narrow"/>
            </a:rPr>
            <a:pPr algn="ctr"/>
            <a:t>64%</a:t>
          </a:fld>
          <a:endParaRPr lang="ru-RU" sz="2800">
            <a:solidFill>
              <a:schemeClr val="bg1"/>
            </a:solidFill>
          </a:endParaRPr>
        </a:p>
      </xdr:txBody>
    </xdr:sp>
    <xdr:clientData/>
  </xdr:twoCellAnchor>
  <xdr:twoCellAnchor>
    <xdr:from>
      <xdr:col>13</xdr:col>
      <xdr:colOff>342900</xdr:colOff>
      <xdr:row>10</xdr:row>
      <xdr:rowOff>167640</xdr:rowOff>
    </xdr:from>
    <xdr:to>
      <xdr:col>15</xdr:col>
      <xdr:colOff>38100</xdr:colOff>
      <xdr:row>13</xdr:row>
      <xdr:rowOff>68580</xdr:rowOff>
    </xdr:to>
    <xdr:sp macro="" textlink="Processing!S1">
      <xdr:nvSpPr>
        <xdr:cNvPr id="20" name="TextBox 19">
          <a:extLst>
            <a:ext uri="{FF2B5EF4-FFF2-40B4-BE49-F238E27FC236}">
              <a16:creationId xmlns:a16="http://schemas.microsoft.com/office/drawing/2014/main" id="{036FA704-CE97-4737-73F4-8C319E44384D}"/>
            </a:ext>
          </a:extLst>
        </xdr:cNvPr>
        <xdr:cNvSpPr txBox="1"/>
      </xdr:nvSpPr>
      <xdr:spPr>
        <a:xfrm>
          <a:off x="8267700" y="1996440"/>
          <a:ext cx="914400" cy="4495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F56BAA3-B378-48FE-B598-FF2C3B2AC85A}" type="TxLink">
            <a:rPr lang="en-US" sz="1400" b="0" i="0" u="none" strike="noStrike">
              <a:solidFill>
                <a:schemeClr val="tx2">
                  <a:lumMod val="25000"/>
                  <a:lumOff val="75000"/>
                </a:schemeClr>
              </a:solidFill>
              <a:latin typeface="Aptos Narrow"/>
            </a:rPr>
            <a:pPr algn="ctr"/>
            <a:t>Budget</a:t>
          </a:fld>
          <a:endParaRPr lang="ru-RU" sz="3600" b="0">
            <a:solidFill>
              <a:schemeClr val="tx2">
                <a:lumMod val="25000"/>
                <a:lumOff val="75000"/>
              </a:schemeClr>
            </a:solidFill>
          </a:endParaRPr>
        </a:p>
      </xdr:txBody>
    </xdr:sp>
    <xdr:clientData/>
  </xdr:twoCellAnchor>
  <xdr:twoCellAnchor>
    <xdr:from>
      <xdr:col>16</xdr:col>
      <xdr:colOff>0</xdr:colOff>
      <xdr:row>5</xdr:row>
      <xdr:rowOff>22860</xdr:rowOff>
    </xdr:from>
    <xdr:to>
      <xdr:col>20</xdr:col>
      <xdr:colOff>83820</xdr:colOff>
      <xdr:row>16</xdr:row>
      <xdr:rowOff>114300</xdr:rowOff>
    </xdr:to>
    <xdr:sp macro="" textlink="">
      <xdr:nvSpPr>
        <xdr:cNvPr id="22" name="Rectangle: Rounded Corners 21">
          <a:extLst>
            <a:ext uri="{FF2B5EF4-FFF2-40B4-BE49-F238E27FC236}">
              <a16:creationId xmlns:a16="http://schemas.microsoft.com/office/drawing/2014/main" id="{3691C553-BF49-421C-9D07-4CABBBC0EA0C}"/>
            </a:ext>
          </a:extLst>
        </xdr:cNvPr>
        <xdr:cNvSpPr/>
      </xdr:nvSpPr>
      <xdr:spPr>
        <a:xfrm>
          <a:off x="9753600" y="937260"/>
          <a:ext cx="2522220" cy="2103120"/>
        </a:xfrm>
        <a:prstGeom prst="roundRect">
          <a:avLst>
            <a:gd name="adj" fmla="val 7028"/>
          </a:avLst>
        </a:prstGeom>
        <a:solidFill>
          <a:srgbClr val="00103E"/>
        </a:solidFill>
        <a:ln w="9525">
          <a:solidFill>
            <a:schemeClr val="tx2">
              <a:lumMod val="75000"/>
              <a:lumOff val="25000"/>
            </a:schemeClr>
          </a:solidFill>
        </a:ln>
        <a:effectLst>
          <a:innerShdw blurRad="393700">
            <a:prstClr val="black"/>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16</xdr:col>
      <xdr:colOff>22860</xdr:colOff>
      <xdr:row>6</xdr:row>
      <xdr:rowOff>144780</xdr:rowOff>
    </xdr:from>
    <xdr:to>
      <xdr:col>20</xdr:col>
      <xdr:colOff>53340</xdr:colOff>
      <xdr:row>17</xdr:row>
      <xdr:rowOff>144780</xdr:rowOff>
    </xdr:to>
    <xdr:graphicFrame macro="">
      <xdr:nvGraphicFramePr>
        <xdr:cNvPr id="21" name="Chart 20">
          <a:extLst>
            <a:ext uri="{FF2B5EF4-FFF2-40B4-BE49-F238E27FC236}">
              <a16:creationId xmlns:a16="http://schemas.microsoft.com/office/drawing/2014/main" id="{F8FC29B2-B8B9-4D6E-9697-F46EDADF545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16</xdr:col>
      <xdr:colOff>76200</xdr:colOff>
      <xdr:row>5</xdr:row>
      <xdr:rowOff>144780</xdr:rowOff>
    </xdr:from>
    <xdr:to>
      <xdr:col>20</xdr:col>
      <xdr:colOff>22860</xdr:colOff>
      <xdr:row>7</xdr:row>
      <xdr:rowOff>53340</xdr:rowOff>
    </xdr:to>
    <xdr:sp macro="" textlink="">
      <xdr:nvSpPr>
        <xdr:cNvPr id="23" name="TextBox 22">
          <a:extLst>
            <a:ext uri="{FF2B5EF4-FFF2-40B4-BE49-F238E27FC236}">
              <a16:creationId xmlns:a16="http://schemas.microsoft.com/office/drawing/2014/main" id="{F7C303C3-F602-439C-A8BD-9F6C4A5BC871}"/>
            </a:ext>
          </a:extLst>
        </xdr:cNvPr>
        <xdr:cNvSpPr txBox="1"/>
      </xdr:nvSpPr>
      <xdr:spPr>
        <a:xfrm>
          <a:off x="9829800" y="1059180"/>
          <a:ext cx="238506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100">
              <a:solidFill>
                <a:srgbClr val="FF6CFF"/>
              </a:solidFill>
            </a:rPr>
            <a:t>SU  </a:t>
          </a:r>
          <a:r>
            <a:rPr lang="en-US" sz="1100">
              <a:solidFill>
                <a:srgbClr val="0062C4"/>
              </a:solidFill>
            </a:rPr>
            <a:t>     MO       TU      WE      TH       FR       </a:t>
          </a:r>
          <a:r>
            <a:rPr lang="en-US" sz="1100">
              <a:solidFill>
                <a:srgbClr val="FF6CFF"/>
              </a:solidFill>
            </a:rPr>
            <a:t>SA</a:t>
          </a:r>
        </a:p>
      </xdr:txBody>
    </xdr:sp>
    <xdr:clientData/>
  </xdr:twoCellAnchor>
  <xdr:twoCellAnchor>
    <xdr:from>
      <xdr:col>3</xdr:col>
      <xdr:colOff>495300</xdr:colOff>
      <xdr:row>28</xdr:row>
      <xdr:rowOff>0</xdr:rowOff>
    </xdr:from>
    <xdr:to>
      <xdr:col>12</xdr:col>
      <xdr:colOff>83820</xdr:colOff>
      <xdr:row>36</xdr:row>
      <xdr:rowOff>91440</xdr:rowOff>
    </xdr:to>
    <xdr:graphicFrame macro="">
      <xdr:nvGraphicFramePr>
        <xdr:cNvPr id="24" name="Chart 23">
          <a:extLst>
            <a:ext uri="{FF2B5EF4-FFF2-40B4-BE49-F238E27FC236}">
              <a16:creationId xmlns:a16="http://schemas.microsoft.com/office/drawing/2014/main" id="{AA39D978-D2A8-4574-8D5D-E4A11D338B8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12</xdr:col>
      <xdr:colOff>343967</xdr:colOff>
      <xdr:row>19</xdr:row>
      <xdr:rowOff>91440</xdr:rowOff>
    </xdr:from>
    <xdr:to>
      <xdr:col>16</xdr:col>
      <xdr:colOff>191567</xdr:colOff>
      <xdr:row>28</xdr:row>
      <xdr:rowOff>0</xdr:rowOff>
    </xdr:to>
    <xdr:graphicFrame macro="">
      <xdr:nvGraphicFramePr>
        <xdr:cNvPr id="25" name="Chart 24">
          <a:extLst>
            <a:ext uri="{FF2B5EF4-FFF2-40B4-BE49-F238E27FC236}">
              <a16:creationId xmlns:a16="http://schemas.microsoft.com/office/drawing/2014/main" id="{10582207-F694-48C7-9DF2-3A9DB31305E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12</xdr:col>
      <xdr:colOff>320040</xdr:colOff>
      <xdr:row>27</xdr:row>
      <xdr:rowOff>167640</xdr:rowOff>
    </xdr:from>
    <xdr:to>
      <xdr:col>16</xdr:col>
      <xdr:colOff>167640</xdr:colOff>
      <xdr:row>35</xdr:row>
      <xdr:rowOff>76200</xdr:rowOff>
    </xdr:to>
    <xdr:graphicFrame macro="">
      <xdr:nvGraphicFramePr>
        <xdr:cNvPr id="26" name="Chart 25">
          <a:extLst>
            <a:ext uri="{FF2B5EF4-FFF2-40B4-BE49-F238E27FC236}">
              <a16:creationId xmlns:a16="http://schemas.microsoft.com/office/drawing/2014/main" id="{553CFBB6-4EFE-4E5D-A694-2214243865E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16</xdr:col>
      <xdr:colOff>502920</xdr:colOff>
      <xdr:row>19</xdr:row>
      <xdr:rowOff>76200</xdr:rowOff>
    </xdr:from>
    <xdr:to>
      <xdr:col>20</xdr:col>
      <xdr:colOff>76200</xdr:colOff>
      <xdr:row>30</xdr:row>
      <xdr:rowOff>76200</xdr:rowOff>
    </xdr:to>
    <xdr:grpSp>
      <xdr:nvGrpSpPr>
        <xdr:cNvPr id="29" name="Group 28">
          <a:extLst>
            <a:ext uri="{FF2B5EF4-FFF2-40B4-BE49-F238E27FC236}">
              <a16:creationId xmlns:a16="http://schemas.microsoft.com/office/drawing/2014/main" id="{8C7D7672-99D7-7A3B-354B-439AD1A614F2}"/>
            </a:ext>
          </a:extLst>
        </xdr:cNvPr>
        <xdr:cNvGrpSpPr/>
      </xdr:nvGrpSpPr>
      <xdr:grpSpPr>
        <a:xfrm>
          <a:off x="10324253" y="3695700"/>
          <a:ext cx="2028614" cy="2095500"/>
          <a:chOff x="10287000" y="3314700"/>
          <a:chExt cx="2011680" cy="2011680"/>
        </a:xfrm>
      </xdr:grpSpPr>
      <xdr:graphicFrame macro="">
        <xdr:nvGraphicFramePr>
          <xdr:cNvPr id="28" name="Chart 27">
            <a:extLst>
              <a:ext uri="{FF2B5EF4-FFF2-40B4-BE49-F238E27FC236}">
                <a16:creationId xmlns:a16="http://schemas.microsoft.com/office/drawing/2014/main" id="{D27467EB-0EA7-461C-80A4-DBD74851D0E5}"/>
              </a:ext>
            </a:extLst>
          </xdr:cNvPr>
          <xdr:cNvGraphicFramePr>
            <a:graphicFrameLocks/>
          </xdr:cNvGraphicFramePr>
        </xdr:nvGraphicFramePr>
        <xdr:xfrm>
          <a:off x="10424160" y="3451860"/>
          <a:ext cx="1737360" cy="1737360"/>
        </xdr:xfrm>
        <a:graphic>
          <a:graphicData uri="http://schemas.openxmlformats.org/drawingml/2006/chart">
            <c:chart xmlns:c="http://schemas.openxmlformats.org/drawingml/2006/chart" xmlns:r="http://schemas.openxmlformats.org/officeDocument/2006/relationships" r:id="rId12"/>
          </a:graphicData>
        </a:graphic>
      </xdr:graphicFrame>
      <xdr:graphicFrame macro="">
        <xdr:nvGraphicFramePr>
          <xdr:cNvPr id="27" name="Chart 26">
            <a:extLst>
              <a:ext uri="{FF2B5EF4-FFF2-40B4-BE49-F238E27FC236}">
                <a16:creationId xmlns:a16="http://schemas.microsoft.com/office/drawing/2014/main" id="{D70540F9-95BD-4ED4-9330-7C8ECE5754D1}"/>
              </a:ext>
            </a:extLst>
          </xdr:cNvPr>
          <xdr:cNvGraphicFramePr>
            <a:graphicFrameLocks/>
          </xdr:cNvGraphicFramePr>
        </xdr:nvGraphicFramePr>
        <xdr:xfrm>
          <a:off x="10287000" y="3314700"/>
          <a:ext cx="2011680" cy="2011680"/>
        </xdr:xfrm>
        <a:graphic>
          <a:graphicData uri="http://schemas.openxmlformats.org/drawingml/2006/chart">
            <c:chart xmlns:c="http://schemas.openxmlformats.org/drawingml/2006/chart" xmlns:r="http://schemas.openxmlformats.org/officeDocument/2006/relationships" r:id="rId13"/>
          </a:graphicData>
        </a:graphic>
      </xdr:graphicFrame>
    </xdr:grpSp>
    <xdr:clientData/>
  </xdr:twoCellAnchor>
  <xdr:twoCellAnchor>
    <xdr:from>
      <xdr:col>16</xdr:col>
      <xdr:colOff>485018</xdr:colOff>
      <xdr:row>28</xdr:row>
      <xdr:rowOff>152400</xdr:rowOff>
    </xdr:from>
    <xdr:to>
      <xdr:col>20</xdr:col>
      <xdr:colOff>58298</xdr:colOff>
      <xdr:row>35</xdr:row>
      <xdr:rowOff>99060</xdr:rowOff>
    </xdr:to>
    <xdr:graphicFrame macro="">
      <xdr:nvGraphicFramePr>
        <xdr:cNvPr id="30" name="Chart 29">
          <a:extLst>
            <a:ext uri="{FF2B5EF4-FFF2-40B4-BE49-F238E27FC236}">
              <a16:creationId xmlns:a16="http://schemas.microsoft.com/office/drawing/2014/main" id="{FCA89658-19CA-482F-B0C6-67160DB70F6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5</xdr:col>
      <xdr:colOff>0</xdr:colOff>
      <xdr:row>8</xdr:row>
      <xdr:rowOff>53340</xdr:rowOff>
    </xdr:from>
    <xdr:to>
      <xdr:col>6</xdr:col>
      <xdr:colOff>304800</xdr:colOff>
      <xdr:row>10</xdr:row>
      <xdr:rowOff>137160</xdr:rowOff>
    </xdr:to>
    <xdr:sp macro="" textlink="Processing!E31">
      <xdr:nvSpPr>
        <xdr:cNvPr id="32" name="TextBox 31">
          <a:extLst>
            <a:ext uri="{FF2B5EF4-FFF2-40B4-BE49-F238E27FC236}">
              <a16:creationId xmlns:a16="http://schemas.microsoft.com/office/drawing/2014/main" id="{F6306138-38F5-45EE-B6CA-77AD0A49334D}"/>
            </a:ext>
          </a:extLst>
        </xdr:cNvPr>
        <xdr:cNvSpPr txBox="1"/>
      </xdr:nvSpPr>
      <xdr:spPr>
        <a:xfrm>
          <a:off x="3048000" y="1516380"/>
          <a:ext cx="914400" cy="4495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94714EBD-EAB5-4C5E-9078-D0EE1DCCC2E0}" type="TxLink">
            <a:rPr lang="en-US" sz="1800" b="0" i="0" u="none" strike="noStrike">
              <a:solidFill>
                <a:schemeClr val="tx2">
                  <a:lumMod val="25000"/>
                  <a:lumOff val="75000"/>
                </a:schemeClr>
              </a:solidFill>
              <a:latin typeface="Aptos Narrow"/>
              <a:ea typeface="+mn-ea"/>
              <a:cs typeface="+mn-cs"/>
            </a:rPr>
            <a:pPr marL="0" indent="0" algn="ctr"/>
            <a:t>Income</a:t>
          </a:fld>
          <a:endParaRPr lang="ru-RU" sz="1800" b="0" i="0" u="none" strike="noStrike">
            <a:solidFill>
              <a:schemeClr val="tx2">
                <a:lumMod val="25000"/>
                <a:lumOff val="75000"/>
              </a:schemeClr>
            </a:solidFill>
            <a:latin typeface="Aptos Narrow"/>
            <a:ea typeface="+mn-ea"/>
            <a:cs typeface="+mn-cs"/>
          </a:endParaRPr>
        </a:p>
      </xdr:txBody>
    </xdr:sp>
    <xdr:clientData/>
  </xdr:twoCellAnchor>
  <xdr:twoCellAnchor>
    <xdr:from>
      <xdr:col>9</xdr:col>
      <xdr:colOff>95250</xdr:colOff>
      <xdr:row>8</xdr:row>
      <xdr:rowOff>68580</xdr:rowOff>
    </xdr:from>
    <xdr:to>
      <xdr:col>11</xdr:col>
      <xdr:colOff>87630</xdr:colOff>
      <xdr:row>10</xdr:row>
      <xdr:rowOff>152400</xdr:rowOff>
    </xdr:to>
    <xdr:sp macro="" textlink="Processing!F31">
      <xdr:nvSpPr>
        <xdr:cNvPr id="34" name="TextBox 33">
          <a:extLst>
            <a:ext uri="{FF2B5EF4-FFF2-40B4-BE49-F238E27FC236}">
              <a16:creationId xmlns:a16="http://schemas.microsoft.com/office/drawing/2014/main" id="{AEBE5AD6-A950-E7E0-E022-005577CDBEB5}"/>
            </a:ext>
          </a:extLst>
        </xdr:cNvPr>
        <xdr:cNvSpPr txBox="1"/>
      </xdr:nvSpPr>
      <xdr:spPr>
        <a:xfrm>
          <a:off x="5581650" y="1531620"/>
          <a:ext cx="1211580" cy="4495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40A01C3A-4DFD-47FE-9BFE-DE0CE915F36E}" type="TxLink">
            <a:rPr lang="en-US" sz="1800" b="0" i="0" u="none" strike="noStrike">
              <a:solidFill>
                <a:schemeClr val="tx2">
                  <a:lumMod val="25000"/>
                  <a:lumOff val="75000"/>
                </a:schemeClr>
              </a:solidFill>
              <a:latin typeface="Aptos Narrow"/>
              <a:ea typeface="+mn-ea"/>
              <a:cs typeface="+mn-cs"/>
            </a:rPr>
            <a:pPr marL="0" indent="0" algn="ctr"/>
            <a:t>Expenses</a:t>
          </a:fld>
          <a:endParaRPr lang="ru-RU" sz="1800" b="0" i="0" u="none" strike="noStrike">
            <a:solidFill>
              <a:schemeClr val="tx2">
                <a:lumMod val="25000"/>
                <a:lumOff val="75000"/>
              </a:schemeClr>
            </a:solidFill>
            <a:latin typeface="Aptos Narrow"/>
            <a:ea typeface="+mn-ea"/>
            <a:cs typeface="+mn-cs"/>
          </a:endParaRPr>
        </a:p>
      </xdr:txBody>
    </xdr:sp>
    <xdr:clientData/>
  </xdr:twoCellAnchor>
  <xdr:twoCellAnchor editAs="oneCell">
    <xdr:from>
      <xdr:col>12</xdr:col>
      <xdr:colOff>419100</xdr:colOff>
      <xdr:row>35</xdr:row>
      <xdr:rowOff>0</xdr:rowOff>
    </xdr:from>
    <xdr:to>
      <xdr:col>16</xdr:col>
      <xdr:colOff>83820</xdr:colOff>
      <xdr:row>37</xdr:row>
      <xdr:rowOff>64008</xdr:rowOff>
    </xdr:to>
    <mc:AlternateContent xmlns:mc="http://schemas.openxmlformats.org/markup-compatibility/2006" xmlns:a14="http://schemas.microsoft.com/office/drawing/2010/main">
      <mc:Choice Requires="a14">
        <xdr:graphicFrame macro="">
          <xdr:nvGraphicFramePr>
            <xdr:cNvPr id="35" name="Year">
              <a:extLst>
                <a:ext uri="{FF2B5EF4-FFF2-40B4-BE49-F238E27FC236}">
                  <a16:creationId xmlns:a16="http://schemas.microsoft.com/office/drawing/2014/main" id="{03D4EC1D-EA0E-4E3F-8DE2-F5B522FD6467}"/>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7734300" y="6400800"/>
              <a:ext cx="2103120" cy="429768"/>
            </a:xfrm>
            <a:prstGeom prst="rect">
              <a:avLst/>
            </a:prstGeom>
            <a:solidFill>
              <a:prstClr val="white"/>
            </a:solidFill>
            <a:ln w="1">
              <a:solidFill>
                <a:prstClr val="green"/>
              </a:solidFill>
            </a:ln>
          </xdr:spPr>
          <xdr:txBody>
            <a:bodyPr vertOverflow="clip" horzOverflow="clip"/>
            <a:lstStyle/>
            <a:p>
              <a:r>
                <a:rPr lang="ru-R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236220</xdr:colOff>
      <xdr:row>35</xdr:row>
      <xdr:rowOff>0</xdr:rowOff>
    </xdr:from>
    <xdr:to>
      <xdr:col>12</xdr:col>
      <xdr:colOff>22860</xdr:colOff>
      <xdr:row>37</xdr:row>
      <xdr:rowOff>64008</xdr:rowOff>
    </xdr:to>
    <mc:AlternateContent xmlns:mc="http://schemas.openxmlformats.org/markup-compatibility/2006" xmlns:a14="http://schemas.microsoft.com/office/drawing/2010/main">
      <mc:Choice Requires="a14">
        <xdr:graphicFrame macro="">
          <xdr:nvGraphicFramePr>
            <xdr:cNvPr id="36" name="Month">
              <a:extLst>
                <a:ext uri="{FF2B5EF4-FFF2-40B4-BE49-F238E27FC236}">
                  <a16:creationId xmlns:a16="http://schemas.microsoft.com/office/drawing/2014/main" id="{9F853C0A-F469-4A58-BDA0-191E762DD4EC}"/>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2674620" y="6400800"/>
              <a:ext cx="4663440" cy="429768"/>
            </a:xfrm>
            <a:prstGeom prst="rect">
              <a:avLst/>
            </a:prstGeom>
            <a:solidFill>
              <a:prstClr val="white"/>
            </a:solidFill>
            <a:ln w="1">
              <a:solidFill>
                <a:prstClr val="green"/>
              </a:solidFill>
            </a:ln>
          </xdr:spPr>
          <xdr:txBody>
            <a:bodyPr vertOverflow="clip" horzOverflow="clip"/>
            <a:lstStyle/>
            <a:p>
              <a:r>
                <a:rPr lang="ru-R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500638</xdr:colOff>
      <xdr:row>27</xdr:row>
      <xdr:rowOff>2758</xdr:rowOff>
    </xdr:from>
    <xdr:to>
      <xdr:col>10</xdr:col>
      <xdr:colOff>108963</xdr:colOff>
      <xdr:row>28</xdr:row>
      <xdr:rowOff>50583</xdr:rowOff>
    </xdr:to>
    <xdr:sp macro="" textlink="Processing!F30">
      <xdr:nvSpPr>
        <xdr:cNvPr id="38" name="TextBox 37">
          <a:extLst>
            <a:ext uri="{FF2B5EF4-FFF2-40B4-BE49-F238E27FC236}">
              <a16:creationId xmlns:a16="http://schemas.microsoft.com/office/drawing/2014/main" id="{4618D721-D82A-A0B3-D9F6-DB6437D86C47}"/>
            </a:ext>
          </a:extLst>
        </xdr:cNvPr>
        <xdr:cNvSpPr txBox="1"/>
      </xdr:nvSpPr>
      <xdr:spPr>
        <a:xfrm>
          <a:off x="5377438" y="4940518"/>
          <a:ext cx="827525" cy="2307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F39BE783-B392-4D7C-8C2A-EEB34489B994}" type="TxLink">
            <a:rPr lang="en-US" sz="1200" b="0" i="0" u="none" strike="noStrike">
              <a:solidFill>
                <a:schemeClr val="accent5">
                  <a:lumMod val="40000"/>
                  <a:lumOff val="60000"/>
                </a:schemeClr>
              </a:solidFill>
              <a:latin typeface="Aptos Narrow"/>
              <a:ea typeface="+mn-ea"/>
              <a:cs typeface="+mn-cs"/>
            </a:rPr>
            <a:pPr marL="0" indent="0" algn="l"/>
            <a:t> $10,302 </a:t>
          </a:fld>
          <a:endParaRPr lang="ru-RU" sz="2000" b="0" i="0" u="none" strike="noStrike">
            <a:solidFill>
              <a:schemeClr val="accent5">
                <a:lumMod val="40000"/>
                <a:lumOff val="60000"/>
              </a:schemeClr>
            </a:solidFill>
            <a:latin typeface="Aptos Narrow"/>
            <a:ea typeface="+mn-ea"/>
            <a:cs typeface="+mn-cs"/>
          </a:endParaRPr>
        </a:p>
      </xdr:txBody>
    </xdr:sp>
    <xdr:clientData/>
  </xdr:twoCellAnchor>
  <xdr:twoCellAnchor>
    <xdr:from>
      <xdr:col>5</xdr:col>
      <xdr:colOff>348238</xdr:colOff>
      <xdr:row>27</xdr:row>
      <xdr:rowOff>2758</xdr:rowOff>
    </xdr:from>
    <xdr:to>
      <xdr:col>6</xdr:col>
      <xdr:colOff>566163</xdr:colOff>
      <xdr:row>28</xdr:row>
      <xdr:rowOff>50583</xdr:rowOff>
    </xdr:to>
    <xdr:sp macro="" textlink="Processing!E30">
      <xdr:nvSpPr>
        <xdr:cNvPr id="39" name="TextBox 38">
          <a:extLst>
            <a:ext uri="{FF2B5EF4-FFF2-40B4-BE49-F238E27FC236}">
              <a16:creationId xmlns:a16="http://schemas.microsoft.com/office/drawing/2014/main" id="{8AC2DCFC-BA16-F908-F094-2B943A33A0E1}"/>
            </a:ext>
          </a:extLst>
        </xdr:cNvPr>
        <xdr:cNvSpPr txBox="1"/>
      </xdr:nvSpPr>
      <xdr:spPr>
        <a:xfrm>
          <a:off x="3396238" y="4940518"/>
          <a:ext cx="827525" cy="2307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6228063D-045F-42D2-9E29-4ADE8D5D219F}" type="TxLink">
            <a:rPr lang="en-US" sz="1200" b="0" i="0" u="none" strike="noStrike">
              <a:solidFill>
                <a:srgbClr val="00B0F0"/>
              </a:solidFill>
              <a:latin typeface="Aptos Narrow"/>
              <a:ea typeface="+mn-ea"/>
              <a:cs typeface="+mn-cs"/>
            </a:rPr>
            <a:pPr marL="0" indent="0" algn="r"/>
            <a:t> $12,533 </a:t>
          </a:fld>
          <a:endParaRPr lang="ru-RU" sz="2400" b="0" i="0" u="none" strike="noStrike">
            <a:solidFill>
              <a:srgbClr val="00B0F0"/>
            </a:solidFill>
            <a:latin typeface="Aptos Narrow"/>
            <a:ea typeface="+mn-ea"/>
            <a:cs typeface="+mn-cs"/>
          </a:endParaRPr>
        </a:p>
      </xdr:txBody>
    </xdr:sp>
    <xdr:clientData/>
  </xdr:twoCellAnchor>
  <xdr:twoCellAnchor editAs="oneCell">
    <xdr:from>
      <xdr:col>16</xdr:col>
      <xdr:colOff>530738</xdr:colOff>
      <xdr:row>35</xdr:row>
      <xdr:rowOff>0</xdr:rowOff>
    </xdr:from>
    <xdr:to>
      <xdr:col>20</xdr:col>
      <xdr:colOff>12578</xdr:colOff>
      <xdr:row>37</xdr:row>
      <xdr:rowOff>64008</xdr:rowOff>
    </xdr:to>
    <mc:AlternateContent xmlns:mc="http://schemas.openxmlformats.org/markup-compatibility/2006" xmlns:a14="http://schemas.microsoft.com/office/drawing/2010/main">
      <mc:Choice Requires="a14">
        <xdr:graphicFrame macro="">
          <xdr:nvGraphicFramePr>
            <xdr:cNvPr id="40" name="Buttons">
              <a:extLst>
                <a:ext uri="{FF2B5EF4-FFF2-40B4-BE49-F238E27FC236}">
                  <a16:creationId xmlns:a16="http://schemas.microsoft.com/office/drawing/2014/main" id="{9E2EF966-C18B-43A0-A3AF-606EB60109E1}"/>
                </a:ext>
              </a:extLst>
            </xdr:cNvPr>
            <xdr:cNvGraphicFramePr/>
          </xdr:nvGraphicFramePr>
          <xdr:xfrm>
            <a:off x="0" y="0"/>
            <a:ext cx="0" cy="0"/>
          </xdr:xfrm>
          <a:graphic>
            <a:graphicData uri="http://schemas.microsoft.com/office/drawing/2010/slicer">
              <sle:slicer xmlns:sle="http://schemas.microsoft.com/office/drawing/2010/slicer" name="Buttons"/>
            </a:graphicData>
          </a:graphic>
        </xdr:graphicFrame>
      </mc:Choice>
      <mc:Fallback xmlns="">
        <xdr:sp macro="" textlink="">
          <xdr:nvSpPr>
            <xdr:cNvPr id="0" name=""/>
            <xdr:cNvSpPr>
              <a:spLocks noTextEdit="1"/>
            </xdr:cNvSpPr>
          </xdr:nvSpPr>
          <xdr:spPr>
            <a:xfrm>
              <a:off x="10284338" y="6400800"/>
              <a:ext cx="1920240" cy="429768"/>
            </a:xfrm>
            <a:prstGeom prst="rect">
              <a:avLst/>
            </a:prstGeom>
            <a:solidFill>
              <a:prstClr val="white"/>
            </a:solidFill>
            <a:ln w="1">
              <a:solidFill>
                <a:prstClr val="green"/>
              </a:solidFill>
            </a:ln>
          </xdr:spPr>
          <xdr:txBody>
            <a:bodyPr vertOverflow="clip" horzOverflow="clip"/>
            <a:lstStyle/>
            <a:p>
              <a:r>
                <a:rPr lang="ru-R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16</xdr:col>
      <xdr:colOff>108357</xdr:colOff>
      <xdr:row>7</xdr:row>
      <xdr:rowOff>72390</xdr:rowOff>
    </xdr:from>
    <xdr:to>
      <xdr:col>19</xdr:col>
      <xdr:colOff>592684</xdr:colOff>
      <xdr:row>15</xdr:row>
      <xdr:rowOff>156210</xdr:rowOff>
    </xdr:to>
    <xdr:grpSp>
      <xdr:nvGrpSpPr>
        <xdr:cNvPr id="94" name="Group 93">
          <a:extLst>
            <a:ext uri="{FF2B5EF4-FFF2-40B4-BE49-F238E27FC236}">
              <a16:creationId xmlns:a16="http://schemas.microsoft.com/office/drawing/2014/main" id="{74DEC77D-0322-DB68-60A8-AE873DF712DE}"/>
            </a:ext>
          </a:extLst>
        </xdr:cNvPr>
        <xdr:cNvGrpSpPr/>
      </xdr:nvGrpSpPr>
      <xdr:grpSpPr>
        <a:xfrm>
          <a:off x="9929690" y="1405890"/>
          <a:ext cx="2325827" cy="1607820"/>
          <a:chOff x="9861957" y="1352550"/>
          <a:chExt cx="2313127" cy="1546860"/>
        </a:xfrm>
      </xdr:grpSpPr>
      <xdr:sp macro="" textlink="Processing!K18">
        <xdr:nvSpPr>
          <xdr:cNvPr id="31" name="TextBox 30">
            <a:extLst>
              <a:ext uri="{FF2B5EF4-FFF2-40B4-BE49-F238E27FC236}">
                <a16:creationId xmlns:a16="http://schemas.microsoft.com/office/drawing/2014/main" id="{D6DA5451-B63D-11D1-1A06-E84D6B480EA0}"/>
              </a:ext>
            </a:extLst>
          </xdr:cNvPr>
          <xdr:cNvSpPr txBox="1"/>
        </xdr:nvSpPr>
        <xdr:spPr>
          <a:xfrm>
            <a:off x="9890760" y="1352550"/>
            <a:ext cx="27432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D3E7255-CADA-4230-BD23-D54321216D7F}" type="TxLink">
              <a:rPr lang="en-US" sz="1100" b="0" i="0" u="none" strike="noStrike">
                <a:solidFill>
                  <a:schemeClr val="bg1"/>
                </a:solidFill>
                <a:latin typeface="Aptos Narrow"/>
              </a:rPr>
              <a:pPr algn="ctr"/>
              <a:t> </a:t>
            </a:fld>
            <a:endParaRPr lang="ru-RU" sz="1100">
              <a:solidFill>
                <a:schemeClr val="bg1"/>
              </a:solidFill>
            </a:endParaRPr>
          </a:p>
        </xdr:txBody>
      </xdr:sp>
      <xdr:sp macro="" textlink="Processing!L18">
        <xdr:nvSpPr>
          <xdr:cNvPr id="33" name="TextBox 32">
            <a:extLst>
              <a:ext uri="{FF2B5EF4-FFF2-40B4-BE49-F238E27FC236}">
                <a16:creationId xmlns:a16="http://schemas.microsoft.com/office/drawing/2014/main" id="{05AA27CE-1DC1-B580-0E16-A6805E58965E}"/>
              </a:ext>
            </a:extLst>
          </xdr:cNvPr>
          <xdr:cNvSpPr txBox="1"/>
        </xdr:nvSpPr>
        <xdr:spPr>
          <a:xfrm>
            <a:off x="10220960" y="1352550"/>
            <a:ext cx="27432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1C6F21F-FDF9-4379-8CF8-B6BD162D0F3A}" type="TxLink">
              <a:rPr lang="en-US" sz="1100" b="0" i="0" u="none" strike="noStrike">
                <a:solidFill>
                  <a:schemeClr val="bg1"/>
                </a:solidFill>
                <a:latin typeface="Aptos Narrow"/>
              </a:rPr>
              <a:pPr algn="ctr"/>
              <a:t> </a:t>
            </a:fld>
            <a:endParaRPr lang="ru-RU" sz="1100">
              <a:solidFill>
                <a:schemeClr val="bg1"/>
              </a:solidFill>
            </a:endParaRPr>
          </a:p>
        </xdr:txBody>
      </xdr:sp>
      <xdr:sp macro="" textlink="Processing!M18">
        <xdr:nvSpPr>
          <xdr:cNvPr id="37" name="TextBox 36">
            <a:extLst>
              <a:ext uri="{FF2B5EF4-FFF2-40B4-BE49-F238E27FC236}">
                <a16:creationId xmlns:a16="http://schemas.microsoft.com/office/drawing/2014/main" id="{42EFDBD6-1C22-3E55-F1A2-FD0129A07784}"/>
              </a:ext>
            </a:extLst>
          </xdr:cNvPr>
          <xdr:cNvSpPr txBox="1"/>
        </xdr:nvSpPr>
        <xdr:spPr>
          <a:xfrm>
            <a:off x="10551160" y="1352550"/>
            <a:ext cx="27432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1610ED9-FE00-40BD-8F7F-81F57958080E}" type="TxLink">
              <a:rPr lang="en-US" sz="1100" b="0" i="0" u="none" strike="noStrike">
                <a:solidFill>
                  <a:schemeClr val="bg1"/>
                </a:solidFill>
                <a:latin typeface="Aptos Narrow"/>
              </a:rPr>
              <a:pPr algn="ctr"/>
              <a:t> </a:t>
            </a:fld>
            <a:endParaRPr lang="ru-RU" sz="1100">
              <a:solidFill>
                <a:schemeClr val="bg1"/>
              </a:solidFill>
            </a:endParaRPr>
          </a:p>
        </xdr:txBody>
      </xdr:sp>
      <xdr:sp macro="" textlink="Processing!N18">
        <xdr:nvSpPr>
          <xdr:cNvPr id="41" name="TextBox 40">
            <a:extLst>
              <a:ext uri="{FF2B5EF4-FFF2-40B4-BE49-F238E27FC236}">
                <a16:creationId xmlns:a16="http://schemas.microsoft.com/office/drawing/2014/main" id="{5621FCCD-31A3-12DB-8D3D-1DA1054666AF}"/>
              </a:ext>
            </a:extLst>
          </xdr:cNvPr>
          <xdr:cNvSpPr txBox="1"/>
        </xdr:nvSpPr>
        <xdr:spPr>
          <a:xfrm>
            <a:off x="10881360" y="1352550"/>
            <a:ext cx="27432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0821B4C-4BAA-44F2-AE44-CF18588BA78E}" type="TxLink">
              <a:rPr lang="en-US" sz="1100" b="0" i="0" u="none" strike="noStrike">
                <a:solidFill>
                  <a:schemeClr val="bg1"/>
                </a:solidFill>
                <a:latin typeface="Aptos Narrow"/>
              </a:rPr>
              <a:pPr algn="ctr"/>
              <a:t> </a:t>
            </a:fld>
            <a:endParaRPr lang="ru-RU" sz="1100">
              <a:solidFill>
                <a:schemeClr val="bg1"/>
              </a:solidFill>
            </a:endParaRPr>
          </a:p>
        </xdr:txBody>
      </xdr:sp>
      <xdr:sp macro="" textlink="Processing!O18">
        <xdr:nvSpPr>
          <xdr:cNvPr id="42" name="TextBox 41">
            <a:extLst>
              <a:ext uri="{FF2B5EF4-FFF2-40B4-BE49-F238E27FC236}">
                <a16:creationId xmlns:a16="http://schemas.microsoft.com/office/drawing/2014/main" id="{DCD50022-2D3F-953A-9D24-20D20D3B0D25}"/>
              </a:ext>
            </a:extLst>
          </xdr:cNvPr>
          <xdr:cNvSpPr txBox="1"/>
        </xdr:nvSpPr>
        <xdr:spPr>
          <a:xfrm>
            <a:off x="11211560" y="1352550"/>
            <a:ext cx="27432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3900FCD-5EFC-4A56-8CED-011582CB3E1E}" type="TxLink">
              <a:rPr lang="en-US" sz="1100" b="0" i="0" u="none" strike="noStrike">
                <a:solidFill>
                  <a:schemeClr val="bg1"/>
                </a:solidFill>
                <a:latin typeface="Aptos Narrow"/>
              </a:rPr>
              <a:pPr algn="ctr"/>
              <a:t>1</a:t>
            </a:fld>
            <a:endParaRPr lang="ru-RU" sz="1100">
              <a:solidFill>
                <a:schemeClr val="bg1"/>
              </a:solidFill>
            </a:endParaRPr>
          </a:p>
        </xdr:txBody>
      </xdr:sp>
      <xdr:sp macro="" textlink="Processing!P18">
        <xdr:nvSpPr>
          <xdr:cNvPr id="43" name="TextBox 42">
            <a:extLst>
              <a:ext uri="{FF2B5EF4-FFF2-40B4-BE49-F238E27FC236}">
                <a16:creationId xmlns:a16="http://schemas.microsoft.com/office/drawing/2014/main" id="{673081DB-2E9D-D0FE-7E16-B4509012E526}"/>
              </a:ext>
            </a:extLst>
          </xdr:cNvPr>
          <xdr:cNvSpPr txBox="1"/>
        </xdr:nvSpPr>
        <xdr:spPr>
          <a:xfrm>
            <a:off x="11541760" y="1352550"/>
            <a:ext cx="27432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1C9B50A-1F2B-470C-A2CD-50A82C48B554}" type="TxLink">
              <a:rPr lang="en-US" sz="1100" b="0" i="0" u="none" strike="noStrike">
                <a:solidFill>
                  <a:schemeClr val="bg1"/>
                </a:solidFill>
                <a:latin typeface="Aptos Narrow"/>
              </a:rPr>
              <a:pPr algn="ctr"/>
              <a:t>2</a:t>
            </a:fld>
            <a:endParaRPr lang="ru-RU" sz="1100">
              <a:solidFill>
                <a:schemeClr val="bg1"/>
              </a:solidFill>
            </a:endParaRPr>
          </a:p>
        </xdr:txBody>
      </xdr:sp>
      <xdr:sp macro="" textlink="Processing!Q18">
        <xdr:nvSpPr>
          <xdr:cNvPr id="44" name="TextBox 43">
            <a:extLst>
              <a:ext uri="{FF2B5EF4-FFF2-40B4-BE49-F238E27FC236}">
                <a16:creationId xmlns:a16="http://schemas.microsoft.com/office/drawing/2014/main" id="{F2BB3EDB-C90A-A6A6-26A9-1E7574E59602}"/>
              </a:ext>
            </a:extLst>
          </xdr:cNvPr>
          <xdr:cNvSpPr txBox="1"/>
        </xdr:nvSpPr>
        <xdr:spPr>
          <a:xfrm>
            <a:off x="11871960" y="1352550"/>
            <a:ext cx="27432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2B7511D-7E23-4379-9E06-0EFB29477EA3}" type="TxLink">
              <a:rPr lang="en-US" sz="1100" b="0" i="0" u="none" strike="noStrike">
                <a:solidFill>
                  <a:schemeClr val="bg1"/>
                </a:solidFill>
                <a:latin typeface="Aptos Narrow"/>
              </a:rPr>
              <a:pPr algn="ctr"/>
              <a:t>3</a:t>
            </a:fld>
            <a:endParaRPr lang="ru-RU" sz="1100">
              <a:solidFill>
                <a:schemeClr val="bg1"/>
              </a:solidFill>
            </a:endParaRPr>
          </a:p>
        </xdr:txBody>
      </xdr:sp>
      <xdr:sp macro="" textlink="Processing!K19">
        <xdr:nvSpPr>
          <xdr:cNvPr id="59" name="TextBox 58">
            <a:extLst>
              <a:ext uri="{FF2B5EF4-FFF2-40B4-BE49-F238E27FC236}">
                <a16:creationId xmlns:a16="http://schemas.microsoft.com/office/drawing/2014/main" id="{367F3993-A38E-666A-5554-DC3A9F640ACF}"/>
              </a:ext>
            </a:extLst>
          </xdr:cNvPr>
          <xdr:cNvSpPr txBox="1"/>
        </xdr:nvSpPr>
        <xdr:spPr>
          <a:xfrm>
            <a:off x="9890760" y="1604010"/>
            <a:ext cx="27432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734A8F3-B214-4719-B067-7A5649E0BED0}" type="TxLink">
              <a:rPr lang="en-US" sz="1100" b="0" i="0" u="none" strike="noStrike">
                <a:solidFill>
                  <a:schemeClr val="bg1"/>
                </a:solidFill>
                <a:latin typeface="Aptos Narrow"/>
              </a:rPr>
              <a:pPr algn="ctr"/>
              <a:t>4</a:t>
            </a:fld>
            <a:endParaRPr lang="ru-RU" sz="1100">
              <a:solidFill>
                <a:schemeClr val="bg1"/>
              </a:solidFill>
            </a:endParaRPr>
          </a:p>
        </xdr:txBody>
      </xdr:sp>
      <xdr:sp macro="" textlink="Processing!L19">
        <xdr:nvSpPr>
          <xdr:cNvPr id="60" name="TextBox 59">
            <a:extLst>
              <a:ext uri="{FF2B5EF4-FFF2-40B4-BE49-F238E27FC236}">
                <a16:creationId xmlns:a16="http://schemas.microsoft.com/office/drawing/2014/main" id="{1658868C-7D93-FB3F-A025-8F557BC05C64}"/>
              </a:ext>
            </a:extLst>
          </xdr:cNvPr>
          <xdr:cNvSpPr txBox="1"/>
        </xdr:nvSpPr>
        <xdr:spPr>
          <a:xfrm>
            <a:off x="10220960" y="1604010"/>
            <a:ext cx="27432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F7073B0-31DA-4010-92B7-F7156DB1F6CD}" type="TxLink">
              <a:rPr lang="en-US" sz="1100" b="0" i="0" u="none" strike="noStrike">
                <a:solidFill>
                  <a:schemeClr val="bg1"/>
                </a:solidFill>
                <a:latin typeface="Aptos Narrow"/>
              </a:rPr>
              <a:pPr algn="ctr"/>
              <a:t>5</a:t>
            </a:fld>
            <a:endParaRPr lang="ru-RU" sz="1100">
              <a:solidFill>
                <a:schemeClr val="bg1"/>
              </a:solidFill>
            </a:endParaRPr>
          </a:p>
        </xdr:txBody>
      </xdr:sp>
      <xdr:sp macro="" textlink="Processing!M19">
        <xdr:nvSpPr>
          <xdr:cNvPr id="61" name="TextBox 60">
            <a:extLst>
              <a:ext uri="{FF2B5EF4-FFF2-40B4-BE49-F238E27FC236}">
                <a16:creationId xmlns:a16="http://schemas.microsoft.com/office/drawing/2014/main" id="{B22B0F83-C4C5-D4D5-471D-0029DDBC1069}"/>
              </a:ext>
            </a:extLst>
          </xdr:cNvPr>
          <xdr:cNvSpPr txBox="1"/>
        </xdr:nvSpPr>
        <xdr:spPr>
          <a:xfrm>
            <a:off x="10551160" y="1604010"/>
            <a:ext cx="27432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E4519E0-88CC-4A87-BEC0-C59796ABFC34}" type="TxLink">
              <a:rPr lang="en-US" sz="1100" b="0" i="0" u="none" strike="noStrike">
                <a:solidFill>
                  <a:schemeClr val="bg1"/>
                </a:solidFill>
                <a:latin typeface="Aptos Narrow"/>
              </a:rPr>
              <a:pPr algn="ctr"/>
              <a:t>6</a:t>
            </a:fld>
            <a:endParaRPr lang="ru-RU" sz="1100">
              <a:solidFill>
                <a:schemeClr val="bg1"/>
              </a:solidFill>
            </a:endParaRPr>
          </a:p>
        </xdr:txBody>
      </xdr:sp>
      <xdr:sp macro="" textlink="Processing!N19">
        <xdr:nvSpPr>
          <xdr:cNvPr id="62" name="TextBox 61">
            <a:extLst>
              <a:ext uri="{FF2B5EF4-FFF2-40B4-BE49-F238E27FC236}">
                <a16:creationId xmlns:a16="http://schemas.microsoft.com/office/drawing/2014/main" id="{54DA7529-FED7-24A8-D1EE-1B79F449C259}"/>
              </a:ext>
            </a:extLst>
          </xdr:cNvPr>
          <xdr:cNvSpPr txBox="1"/>
        </xdr:nvSpPr>
        <xdr:spPr>
          <a:xfrm>
            <a:off x="10881360" y="1604010"/>
            <a:ext cx="27432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4851FCB-C615-4FE3-9319-CD60603925D0}" type="TxLink">
              <a:rPr lang="en-US" sz="1100" b="0" i="0" u="none" strike="noStrike">
                <a:solidFill>
                  <a:schemeClr val="bg1"/>
                </a:solidFill>
                <a:latin typeface="Aptos Narrow"/>
              </a:rPr>
              <a:pPr algn="ctr"/>
              <a:t>7</a:t>
            </a:fld>
            <a:endParaRPr lang="ru-RU" sz="1100">
              <a:solidFill>
                <a:schemeClr val="bg1"/>
              </a:solidFill>
            </a:endParaRPr>
          </a:p>
        </xdr:txBody>
      </xdr:sp>
      <xdr:sp macro="" textlink="Processing!O19">
        <xdr:nvSpPr>
          <xdr:cNvPr id="63" name="TextBox 62">
            <a:extLst>
              <a:ext uri="{FF2B5EF4-FFF2-40B4-BE49-F238E27FC236}">
                <a16:creationId xmlns:a16="http://schemas.microsoft.com/office/drawing/2014/main" id="{85C922C6-B467-D3DC-61AF-4526D8A6573A}"/>
              </a:ext>
            </a:extLst>
          </xdr:cNvPr>
          <xdr:cNvSpPr txBox="1"/>
        </xdr:nvSpPr>
        <xdr:spPr>
          <a:xfrm>
            <a:off x="11211560" y="1604010"/>
            <a:ext cx="27432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FD928CD-492E-48F0-AAD1-A041DAEAA5E6}" type="TxLink">
              <a:rPr lang="en-US" sz="1100" b="0" i="0" u="none" strike="noStrike">
                <a:solidFill>
                  <a:schemeClr val="bg1"/>
                </a:solidFill>
                <a:latin typeface="Aptos Narrow"/>
              </a:rPr>
              <a:pPr algn="ctr"/>
              <a:t>8</a:t>
            </a:fld>
            <a:endParaRPr lang="ru-RU" sz="1100">
              <a:solidFill>
                <a:schemeClr val="bg1"/>
              </a:solidFill>
            </a:endParaRPr>
          </a:p>
        </xdr:txBody>
      </xdr:sp>
      <xdr:sp macro="" textlink="Processing!P19">
        <xdr:nvSpPr>
          <xdr:cNvPr id="64" name="TextBox 63">
            <a:extLst>
              <a:ext uri="{FF2B5EF4-FFF2-40B4-BE49-F238E27FC236}">
                <a16:creationId xmlns:a16="http://schemas.microsoft.com/office/drawing/2014/main" id="{1C0AE870-DB48-E6CB-5CCF-815FCB723B5C}"/>
              </a:ext>
            </a:extLst>
          </xdr:cNvPr>
          <xdr:cNvSpPr txBox="1"/>
        </xdr:nvSpPr>
        <xdr:spPr>
          <a:xfrm>
            <a:off x="11541760" y="1604010"/>
            <a:ext cx="27432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ADF5C92-B1EA-4B23-93A4-EDF486955967}" type="TxLink">
              <a:rPr lang="en-US" sz="1100" b="0" i="0" u="none" strike="noStrike">
                <a:solidFill>
                  <a:schemeClr val="bg1"/>
                </a:solidFill>
                <a:latin typeface="Aptos Narrow"/>
              </a:rPr>
              <a:pPr algn="ctr"/>
              <a:t>9</a:t>
            </a:fld>
            <a:endParaRPr lang="ru-RU" sz="1100">
              <a:solidFill>
                <a:schemeClr val="bg1"/>
              </a:solidFill>
            </a:endParaRPr>
          </a:p>
        </xdr:txBody>
      </xdr:sp>
      <xdr:sp macro="" textlink="Processing!Q19">
        <xdr:nvSpPr>
          <xdr:cNvPr id="65" name="TextBox 64">
            <a:extLst>
              <a:ext uri="{FF2B5EF4-FFF2-40B4-BE49-F238E27FC236}">
                <a16:creationId xmlns:a16="http://schemas.microsoft.com/office/drawing/2014/main" id="{F4E8FE7C-2D48-6C67-04E3-42BE664FDF86}"/>
              </a:ext>
            </a:extLst>
          </xdr:cNvPr>
          <xdr:cNvSpPr txBox="1"/>
        </xdr:nvSpPr>
        <xdr:spPr>
          <a:xfrm>
            <a:off x="11871960" y="1604010"/>
            <a:ext cx="27432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F13E9FE-F125-434D-BD7E-0614FC50A4FA}" type="TxLink">
              <a:rPr lang="en-US" sz="1100" b="0" i="0" u="none" strike="noStrike">
                <a:solidFill>
                  <a:schemeClr val="bg1"/>
                </a:solidFill>
                <a:latin typeface="Aptos Narrow"/>
              </a:rPr>
              <a:pPr algn="ctr"/>
              <a:t>10</a:t>
            </a:fld>
            <a:endParaRPr lang="ru-RU" sz="1100">
              <a:solidFill>
                <a:schemeClr val="bg1"/>
              </a:solidFill>
            </a:endParaRPr>
          </a:p>
        </xdr:txBody>
      </xdr:sp>
      <xdr:sp macro="" textlink="Processing!K20">
        <xdr:nvSpPr>
          <xdr:cNvPr id="66" name="TextBox 65">
            <a:extLst>
              <a:ext uri="{FF2B5EF4-FFF2-40B4-BE49-F238E27FC236}">
                <a16:creationId xmlns:a16="http://schemas.microsoft.com/office/drawing/2014/main" id="{EA7FC4F9-0221-29FE-533F-AE6E3C915F4D}"/>
              </a:ext>
            </a:extLst>
          </xdr:cNvPr>
          <xdr:cNvSpPr txBox="1"/>
        </xdr:nvSpPr>
        <xdr:spPr>
          <a:xfrm>
            <a:off x="9861957" y="1863090"/>
            <a:ext cx="331927"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93D72D5-7AC8-45DD-8439-FB93AFA960DC}" type="TxLink">
              <a:rPr lang="en-US" sz="1100" b="0" i="0" u="none" strike="noStrike">
                <a:solidFill>
                  <a:schemeClr val="bg1"/>
                </a:solidFill>
                <a:latin typeface="Aptos Narrow"/>
              </a:rPr>
              <a:pPr algn="ctr"/>
              <a:t>11</a:t>
            </a:fld>
            <a:endParaRPr lang="ru-RU" sz="1100">
              <a:solidFill>
                <a:schemeClr val="bg1"/>
              </a:solidFill>
            </a:endParaRPr>
          </a:p>
        </xdr:txBody>
      </xdr:sp>
      <xdr:sp macro="" textlink="Processing!L20">
        <xdr:nvSpPr>
          <xdr:cNvPr id="67" name="TextBox 66">
            <a:extLst>
              <a:ext uri="{FF2B5EF4-FFF2-40B4-BE49-F238E27FC236}">
                <a16:creationId xmlns:a16="http://schemas.microsoft.com/office/drawing/2014/main" id="{2A3F2AAF-E29D-7DC2-B959-8008BD9DC53B}"/>
              </a:ext>
            </a:extLst>
          </xdr:cNvPr>
          <xdr:cNvSpPr txBox="1"/>
        </xdr:nvSpPr>
        <xdr:spPr>
          <a:xfrm>
            <a:off x="10192157" y="1863090"/>
            <a:ext cx="331927"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2516537-E3FB-4583-9CFC-58FE2FBD8DA0}" type="TxLink">
              <a:rPr lang="en-US" sz="1100" b="0" i="0" u="none" strike="noStrike">
                <a:solidFill>
                  <a:schemeClr val="bg1"/>
                </a:solidFill>
                <a:latin typeface="Aptos Narrow"/>
              </a:rPr>
              <a:pPr algn="ctr"/>
              <a:t>12</a:t>
            </a:fld>
            <a:endParaRPr lang="ru-RU" sz="1100">
              <a:solidFill>
                <a:schemeClr val="bg1"/>
              </a:solidFill>
            </a:endParaRPr>
          </a:p>
        </xdr:txBody>
      </xdr:sp>
      <xdr:sp macro="" textlink="Processing!M20">
        <xdr:nvSpPr>
          <xdr:cNvPr id="68" name="TextBox 67">
            <a:extLst>
              <a:ext uri="{FF2B5EF4-FFF2-40B4-BE49-F238E27FC236}">
                <a16:creationId xmlns:a16="http://schemas.microsoft.com/office/drawing/2014/main" id="{46F523BF-B958-20E2-AC08-69493311488B}"/>
              </a:ext>
            </a:extLst>
          </xdr:cNvPr>
          <xdr:cNvSpPr txBox="1"/>
        </xdr:nvSpPr>
        <xdr:spPr>
          <a:xfrm>
            <a:off x="10522357" y="1863090"/>
            <a:ext cx="331927"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76D20A2-3B17-4419-A0BB-129F95622FC4}" type="TxLink">
              <a:rPr lang="en-US" sz="1100" b="0" i="0" u="none" strike="noStrike">
                <a:solidFill>
                  <a:schemeClr val="bg1"/>
                </a:solidFill>
                <a:latin typeface="Aptos Narrow"/>
              </a:rPr>
              <a:pPr algn="ctr"/>
              <a:t>13</a:t>
            </a:fld>
            <a:endParaRPr lang="ru-RU" sz="1100">
              <a:solidFill>
                <a:schemeClr val="bg1"/>
              </a:solidFill>
            </a:endParaRPr>
          </a:p>
        </xdr:txBody>
      </xdr:sp>
      <xdr:sp macro="" textlink="Processing!N20">
        <xdr:nvSpPr>
          <xdr:cNvPr id="69" name="TextBox 68">
            <a:extLst>
              <a:ext uri="{FF2B5EF4-FFF2-40B4-BE49-F238E27FC236}">
                <a16:creationId xmlns:a16="http://schemas.microsoft.com/office/drawing/2014/main" id="{91410FDA-4718-4251-B20F-08FAE07ACE95}"/>
              </a:ext>
            </a:extLst>
          </xdr:cNvPr>
          <xdr:cNvSpPr txBox="1"/>
        </xdr:nvSpPr>
        <xdr:spPr>
          <a:xfrm>
            <a:off x="10852557" y="1863090"/>
            <a:ext cx="331927"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2057887-148A-4DA4-9606-3F1365AB6939}" type="TxLink">
              <a:rPr lang="en-US" sz="1100" b="0" i="0" u="none" strike="noStrike">
                <a:solidFill>
                  <a:schemeClr val="bg1"/>
                </a:solidFill>
                <a:latin typeface="Aptos Narrow"/>
              </a:rPr>
              <a:pPr algn="ctr"/>
              <a:t>14</a:t>
            </a:fld>
            <a:endParaRPr lang="ru-RU" sz="1100">
              <a:solidFill>
                <a:schemeClr val="bg1"/>
              </a:solidFill>
            </a:endParaRPr>
          </a:p>
        </xdr:txBody>
      </xdr:sp>
      <xdr:sp macro="" textlink="Processing!O20">
        <xdr:nvSpPr>
          <xdr:cNvPr id="70" name="TextBox 69">
            <a:extLst>
              <a:ext uri="{FF2B5EF4-FFF2-40B4-BE49-F238E27FC236}">
                <a16:creationId xmlns:a16="http://schemas.microsoft.com/office/drawing/2014/main" id="{9BFBAA3E-26BB-020B-997B-AC816CB33B70}"/>
              </a:ext>
            </a:extLst>
          </xdr:cNvPr>
          <xdr:cNvSpPr txBox="1"/>
        </xdr:nvSpPr>
        <xdr:spPr>
          <a:xfrm>
            <a:off x="11182757" y="1863090"/>
            <a:ext cx="331927"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CFDC083-655D-45DE-ABDC-201FA0A374BB}" type="TxLink">
              <a:rPr lang="en-US" sz="1100" b="0" i="0" u="none" strike="noStrike">
                <a:solidFill>
                  <a:schemeClr val="bg1"/>
                </a:solidFill>
                <a:latin typeface="Aptos Narrow"/>
              </a:rPr>
              <a:pPr algn="ctr"/>
              <a:t>15</a:t>
            </a:fld>
            <a:endParaRPr lang="ru-RU" sz="1100">
              <a:solidFill>
                <a:schemeClr val="bg1"/>
              </a:solidFill>
            </a:endParaRPr>
          </a:p>
        </xdr:txBody>
      </xdr:sp>
      <xdr:sp macro="" textlink="Processing!P20">
        <xdr:nvSpPr>
          <xdr:cNvPr id="71" name="TextBox 70">
            <a:extLst>
              <a:ext uri="{FF2B5EF4-FFF2-40B4-BE49-F238E27FC236}">
                <a16:creationId xmlns:a16="http://schemas.microsoft.com/office/drawing/2014/main" id="{867DBBC2-ED94-5E77-8127-D180332FFCC3}"/>
              </a:ext>
            </a:extLst>
          </xdr:cNvPr>
          <xdr:cNvSpPr txBox="1"/>
        </xdr:nvSpPr>
        <xdr:spPr>
          <a:xfrm>
            <a:off x="11512957" y="1863090"/>
            <a:ext cx="331927"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7F05786-ECB9-4D56-894B-DEAE253EFB82}" type="TxLink">
              <a:rPr lang="en-US" sz="1100" b="0" i="0" u="none" strike="noStrike">
                <a:solidFill>
                  <a:schemeClr val="bg1"/>
                </a:solidFill>
                <a:latin typeface="Aptos Narrow"/>
              </a:rPr>
              <a:pPr algn="ctr"/>
              <a:t>16</a:t>
            </a:fld>
            <a:endParaRPr lang="ru-RU" sz="1100">
              <a:solidFill>
                <a:schemeClr val="bg1"/>
              </a:solidFill>
            </a:endParaRPr>
          </a:p>
        </xdr:txBody>
      </xdr:sp>
      <xdr:sp macro="" textlink="Processing!Q20">
        <xdr:nvSpPr>
          <xdr:cNvPr id="72" name="TextBox 71">
            <a:extLst>
              <a:ext uri="{FF2B5EF4-FFF2-40B4-BE49-F238E27FC236}">
                <a16:creationId xmlns:a16="http://schemas.microsoft.com/office/drawing/2014/main" id="{E8FF7C9D-4A68-3B92-EA49-1E94C1F44B7C}"/>
              </a:ext>
            </a:extLst>
          </xdr:cNvPr>
          <xdr:cNvSpPr txBox="1"/>
        </xdr:nvSpPr>
        <xdr:spPr>
          <a:xfrm>
            <a:off x="11843157" y="1863090"/>
            <a:ext cx="331927"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0BBCAF6-90AB-44AA-84B2-9314DE957D23}" type="TxLink">
              <a:rPr lang="en-US" sz="1100" b="0" i="0" u="none" strike="noStrike">
                <a:solidFill>
                  <a:schemeClr val="bg1"/>
                </a:solidFill>
                <a:latin typeface="Aptos Narrow"/>
              </a:rPr>
              <a:pPr algn="ctr"/>
              <a:t>17</a:t>
            </a:fld>
            <a:endParaRPr lang="ru-RU" sz="1100">
              <a:solidFill>
                <a:schemeClr val="bg1"/>
              </a:solidFill>
            </a:endParaRPr>
          </a:p>
        </xdr:txBody>
      </xdr:sp>
      <xdr:sp macro="" textlink="Processing!K21">
        <xdr:nvSpPr>
          <xdr:cNvPr id="73" name="TextBox 72">
            <a:extLst>
              <a:ext uri="{FF2B5EF4-FFF2-40B4-BE49-F238E27FC236}">
                <a16:creationId xmlns:a16="http://schemas.microsoft.com/office/drawing/2014/main" id="{E929F949-1992-901D-17DF-ACDE8BD24187}"/>
              </a:ext>
            </a:extLst>
          </xdr:cNvPr>
          <xdr:cNvSpPr txBox="1"/>
        </xdr:nvSpPr>
        <xdr:spPr>
          <a:xfrm>
            <a:off x="9861957" y="2114550"/>
            <a:ext cx="331927"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F60CDE4-322C-40AF-8B58-CAED286107F1}" type="TxLink">
              <a:rPr lang="en-US" sz="1100" b="0" i="0" u="none" strike="noStrike">
                <a:solidFill>
                  <a:schemeClr val="bg1"/>
                </a:solidFill>
                <a:latin typeface="Aptos Narrow"/>
              </a:rPr>
              <a:pPr algn="ctr"/>
              <a:t>18</a:t>
            </a:fld>
            <a:endParaRPr lang="ru-RU" sz="1100">
              <a:solidFill>
                <a:schemeClr val="bg1"/>
              </a:solidFill>
            </a:endParaRPr>
          </a:p>
        </xdr:txBody>
      </xdr:sp>
      <xdr:sp macro="" textlink="Processing!L21">
        <xdr:nvSpPr>
          <xdr:cNvPr id="74" name="TextBox 73">
            <a:extLst>
              <a:ext uri="{FF2B5EF4-FFF2-40B4-BE49-F238E27FC236}">
                <a16:creationId xmlns:a16="http://schemas.microsoft.com/office/drawing/2014/main" id="{12C4C397-7EE8-EA0D-DD9E-69E7CD24D893}"/>
              </a:ext>
            </a:extLst>
          </xdr:cNvPr>
          <xdr:cNvSpPr txBox="1"/>
        </xdr:nvSpPr>
        <xdr:spPr>
          <a:xfrm>
            <a:off x="10192157" y="2114550"/>
            <a:ext cx="331927"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50F645A-C85B-45BE-BE89-CFB916D180F5}" type="TxLink">
              <a:rPr lang="en-US" sz="1100" b="0" i="0" u="none" strike="noStrike">
                <a:solidFill>
                  <a:schemeClr val="bg1"/>
                </a:solidFill>
                <a:latin typeface="Aptos Narrow"/>
              </a:rPr>
              <a:pPr algn="ctr"/>
              <a:t>19</a:t>
            </a:fld>
            <a:endParaRPr lang="ru-RU" sz="1100">
              <a:solidFill>
                <a:schemeClr val="bg1"/>
              </a:solidFill>
            </a:endParaRPr>
          </a:p>
        </xdr:txBody>
      </xdr:sp>
      <xdr:sp macro="" textlink="Processing!M21">
        <xdr:nvSpPr>
          <xdr:cNvPr id="75" name="TextBox 74">
            <a:extLst>
              <a:ext uri="{FF2B5EF4-FFF2-40B4-BE49-F238E27FC236}">
                <a16:creationId xmlns:a16="http://schemas.microsoft.com/office/drawing/2014/main" id="{BDC8E277-5DDD-AD73-C8E5-A62192F7378F}"/>
              </a:ext>
            </a:extLst>
          </xdr:cNvPr>
          <xdr:cNvSpPr txBox="1"/>
        </xdr:nvSpPr>
        <xdr:spPr>
          <a:xfrm>
            <a:off x="10522357" y="2114550"/>
            <a:ext cx="331927"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2D4DE51-B53E-43A7-BF59-7EB4745421B3}" type="TxLink">
              <a:rPr lang="en-US" sz="1100" b="0" i="0" u="none" strike="noStrike">
                <a:solidFill>
                  <a:schemeClr val="bg1"/>
                </a:solidFill>
                <a:latin typeface="Aptos Narrow"/>
              </a:rPr>
              <a:pPr algn="ctr"/>
              <a:t>20</a:t>
            </a:fld>
            <a:endParaRPr lang="ru-RU" sz="1100">
              <a:solidFill>
                <a:schemeClr val="bg1"/>
              </a:solidFill>
            </a:endParaRPr>
          </a:p>
        </xdr:txBody>
      </xdr:sp>
      <xdr:sp macro="" textlink="Processing!N21">
        <xdr:nvSpPr>
          <xdr:cNvPr id="76" name="TextBox 75">
            <a:extLst>
              <a:ext uri="{FF2B5EF4-FFF2-40B4-BE49-F238E27FC236}">
                <a16:creationId xmlns:a16="http://schemas.microsoft.com/office/drawing/2014/main" id="{905995FF-BC7F-6B80-9002-0FCC6874D2FC}"/>
              </a:ext>
            </a:extLst>
          </xdr:cNvPr>
          <xdr:cNvSpPr txBox="1"/>
        </xdr:nvSpPr>
        <xdr:spPr>
          <a:xfrm>
            <a:off x="10852557" y="2114550"/>
            <a:ext cx="331927"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00A3283-8CA4-4689-B118-D630B42327C5}" type="TxLink">
              <a:rPr lang="en-US" sz="1100" b="0" i="0" u="none" strike="noStrike">
                <a:solidFill>
                  <a:schemeClr val="bg1"/>
                </a:solidFill>
                <a:latin typeface="Aptos Narrow"/>
              </a:rPr>
              <a:pPr algn="ctr"/>
              <a:t>21</a:t>
            </a:fld>
            <a:endParaRPr lang="ru-RU" sz="1100">
              <a:solidFill>
                <a:schemeClr val="bg1"/>
              </a:solidFill>
            </a:endParaRPr>
          </a:p>
        </xdr:txBody>
      </xdr:sp>
      <xdr:sp macro="" textlink="Processing!O21">
        <xdr:nvSpPr>
          <xdr:cNvPr id="77" name="TextBox 76">
            <a:extLst>
              <a:ext uri="{FF2B5EF4-FFF2-40B4-BE49-F238E27FC236}">
                <a16:creationId xmlns:a16="http://schemas.microsoft.com/office/drawing/2014/main" id="{CFC0D999-A394-11D5-9189-D2C15EC59CE6}"/>
              </a:ext>
            </a:extLst>
          </xdr:cNvPr>
          <xdr:cNvSpPr txBox="1"/>
        </xdr:nvSpPr>
        <xdr:spPr>
          <a:xfrm>
            <a:off x="11182757" y="2114550"/>
            <a:ext cx="331927"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6813377-304F-4B02-B975-0B14037BE775}" type="TxLink">
              <a:rPr lang="en-US" sz="1100" b="0" i="0" u="none" strike="noStrike">
                <a:solidFill>
                  <a:schemeClr val="bg1"/>
                </a:solidFill>
                <a:latin typeface="Aptos Narrow"/>
              </a:rPr>
              <a:pPr algn="ctr"/>
              <a:t>22</a:t>
            </a:fld>
            <a:endParaRPr lang="ru-RU" sz="1100">
              <a:solidFill>
                <a:schemeClr val="bg1"/>
              </a:solidFill>
            </a:endParaRPr>
          </a:p>
        </xdr:txBody>
      </xdr:sp>
      <xdr:sp macro="" textlink="Processing!P21">
        <xdr:nvSpPr>
          <xdr:cNvPr id="78" name="TextBox 77">
            <a:extLst>
              <a:ext uri="{FF2B5EF4-FFF2-40B4-BE49-F238E27FC236}">
                <a16:creationId xmlns:a16="http://schemas.microsoft.com/office/drawing/2014/main" id="{DA842EA9-2062-7522-4F7E-6A96D9881DDD}"/>
              </a:ext>
            </a:extLst>
          </xdr:cNvPr>
          <xdr:cNvSpPr txBox="1"/>
        </xdr:nvSpPr>
        <xdr:spPr>
          <a:xfrm>
            <a:off x="11512957" y="2114550"/>
            <a:ext cx="331927"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197EDCA-3BCF-4D6C-952C-105DC49430B5}" type="TxLink">
              <a:rPr lang="en-US" sz="1100" b="0" i="0" u="none" strike="noStrike">
                <a:solidFill>
                  <a:schemeClr val="bg1"/>
                </a:solidFill>
                <a:latin typeface="Aptos Narrow"/>
              </a:rPr>
              <a:pPr algn="ctr"/>
              <a:t>23</a:t>
            </a:fld>
            <a:endParaRPr lang="ru-RU" sz="1100">
              <a:solidFill>
                <a:schemeClr val="bg1"/>
              </a:solidFill>
            </a:endParaRPr>
          </a:p>
        </xdr:txBody>
      </xdr:sp>
      <xdr:sp macro="" textlink="Processing!Q21">
        <xdr:nvSpPr>
          <xdr:cNvPr id="79" name="TextBox 78">
            <a:extLst>
              <a:ext uri="{FF2B5EF4-FFF2-40B4-BE49-F238E27FC236}">
                <a16:creationId xmlns:a16="http://schemas.microsoft.com/office/drawing/2014/main" id="{A778C588-9239-A5B2-80D6-F419FA582F7B}"/>
              </a:ext>
            </a:extLst>
          </xdr:cNvPr>
          <xdr:cNvSpPr txBox="1"/>
        </xdr:nvSpPr>
        <xdr:spPr>
          <a:xfrm>
            <a:off x="11843157" y="2114550"/>
            <a:ext cx="331927"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02C04EE-592A-4139-AD3F-13DE1EDB025B}" type="TxLink">
              <a:rPr lang="en-US" sz="1100" b="0" i="0" u="none" strike="noStrike">
                <a:solidFill>
                  <a:schemeClr val="bg1"/>
                </a:solidFill>
                <a:latin typeface="Aptos Narrow"/>
              </a:rPr>
              <a:pPr algn="ctr"/>
              <a:t>24</a:t>
            </a:fld>
            <a:endParaRPr lang="ru-RU" sz="1100">
              <a:solidFill>
                <a:schemeClr val="bg1"/>
              </a:solidFill>
            </a:endParaRPr>
          </a:p>
        </xdr:txBody>
      </xdr:sp>
      <xdr:sp macro="" textlink="Processing!K22">
        <xdr:nvSpPr>
          <xdr:cNvPr id="80" name="TextBox 79">
            <a:extLst>
              <a:ext uri="{FF2B5EF4-FFF2-40B4-BE49-F238E27FC236}">
                <a16:creationId xmlns:a16="http://schemas.microsoft.com/office/drawing/2014/main" id="{331CFA2B-12B2-7B5A-35C1-BAF4356D0293}"/>
              </a:ext>
            </a:extLst>
          </xdr:cNvPr>
          <xdr:cNvSpPr txBox="1"/>
        </xdr:nvSpPr>
        <xdr:spPr>
          <a:xfrm>
            <a:off x="9861957" y="2373630"/>
            <a:ext cx="331927"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3434D46-59CD-48AF-A619-BF930CF101C1}" type="TxLink">
              <a:rPr lang="en-US" sz="1100" b="0" i="0" u="none" strike="noStrike">
                <a:solidFill>
                  <a:schemeClr val="bg1"/>
                </a:solidFill>
                <a:latin typeface="Aptos Narrow"/>
              </a:rPr>
              <a:pPr algn="ctr"/>
              <a:t>25</a:t>
            </a:fld>
            <a:endParaRPr lang="ru-RU" sz="1100">
              <a:solidFill>
                <a:schemeClr val="bg1"/>
              </a:solidFill>
            </a:endParaRPr>
          </a:p>
        </xdr:txBody>
      </xdr:sp>
      <xdr:sp macro="" textlink="Processing!L22">
        <xdr:nvSpPr>
          <xdr:cNvPr id="81" name="TextBox 80">
            <a:extLst>
              <a:ext uri="{FF2B5EF4-FFF2-40B4-BE49-F238E27FC236}">
                <a16:creationId xmlns:a16="http://schemas.microsoft.com/office/drawing/2014/main" id="{51516B33-6FE0-6D1A-902D-53D26905C140}"/>
              </a:ext>
            </a:extLst>
          </xdr:cNvPr>
          <xdr:cNvSpPr txBox="1"/>
        </xdr:nvSpPr>
        <xdr:spPr>
          <a:xfrm>
            <a:off x="10192157" y="2373630"/>
            <a:ext cx="331927"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08C6F43-D2D6-4FDA-97F5-39CC07F013C4}" type="TxLink">
              <a:rPr lang="en-US" sz="1100" b="0" i="0" u="none" strike="noStrike">
                <a:solidFill>
                  <a:schemeClr val="bg1"/>
                </a:solidFill>
                <a:latin typeface="Aptos Narrow"/>
              </a:rPr>
              <a:pPr algn="ctr"/>
              <a:t>26</a:t>
            </a:fld>
            <a:endParaRPr lang="ru-RU" sz="1100">
              <a:solidFill>
                <a:schemeClr val="bg1"/>
              </a:solidFill>
            </a:endParaRPr>
          </a:p>
        </xdr:txBody>
      </xdr:sp>
      <xdr:sp macro="" textlink="Processing!M22">
        <xdr:nvSpPr>
          <xdr:cNvPr id="82" name="TextBox 81">
            <a:extLst>
              <a:ext uri="{FF2B5EF4-FFF2-40B4-BE49-F238E27FC236}">
                <a16:creationId xmlns:a16="http://schemas.microsoft.com/office/drawing/2014/main" id="{DB891A74-7491-7547-527C-AB7772CE9B86}"/>
              </a:ext>
            </a:extLst>
          </xdr:cNvPr>
          <xdr:cNvSpPr txBox="1"/>
        </xdr:nvSpPr>
        <xdr:spPr>
          <a:xfrm>
            <a:off x="10522357" y="2373630"/>
            <a:ext cx="331927"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80B591B-3685-4584-BBAD-C0107B433C6F}" type="TxLink">
              <a:rPr lang="en-US" sz="1100" b="0" i="0" u="none" strike="noStrike">
                <a:solidFill>
                  <a:schemeClr val="bg1"/>
                </a:solidFill>
                <a:latin typeface="Aptos Narrow"/>
              </a:rPr>
              <a:pPr algn="ctr"/>
              <a:t>27</a:t>
            </a:fld>
            <a:endParaRPr lang="ru-RU" sz="1100">
              <a:solidFill>
                <a:schemeClr val="bg1"/>
              </a:solidFill>
            </a:endParaRPr>
          </a:p>
        </xdr:txBody>
      </xdr:sp>
      <xdr:sp macro="" textlink="Processing!N22">
        <xdr:nvSpPr>
          <xdr:cNvPr id="83" name="TextBox 82">
            <a:extLst>
              <a:ext uri="{FF2B5EF4-FFF2-40B4-BE49-F238E27FC236}">
                <a16:creationId xmlns:a16="http://schemas.microsoft.com/office/drawing/2014/main" id="{3B582091-B5B3-99CA-C509-707DDF493A93}"/>
              </a:ext>
            </a:extLst>
          </xdr:cNvPr>
          <xdr:cNvSpPr txBox="1"/>
        </xdr:nvSpPr>
        <xdr:spPr>
          <a:xfrm>
            <a:off x="10852557" y="2373630"/>
            <a:ext cx="331927"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9151E29-6C8F-4181-B53C-00B141B89A32}" type="TxLink">
              <a:rPr lang="en-US" sz="1100" b="0" i="0" u="none" strike="noStrike">
                <a:solidFill>
                  <a:schemeClr val="bg1"/>
                </a:solidFill>
                <a:latin typeface="Aptos Narrow"/>
              </a:rPr>
              <a:pPr algn="ctr"/>
              <a:t>28</a:t>
            </a:fld>
            <a:endParaRPr lang="ru-RU" sz="1100">
              <a:solidFill>
                <a:schemeClr val="bg1"/>
              </a:solidFill>
            </a:endParaRPr>
          </a:p>
        </xdr:txBody>
      </xdr:sp>
      <xdr:sp macro="" textlink="Processing!O22">
        <xdr:nvSpPr>
          <xdr:cNvPr id="84" name="TextBox 83">
            <a:extLst>
              <a:ext uri="{FF2B5EF4-FFF2-40B4-BE49-F238E27FC236}">
                <a16:creationId xmlns:a16="http://schemas.microsoft.com/office/drawing/2014/main" id="{85522E8E-A5B4-31B9-CEF3-5C7819D26726}"/>
              </a:ext>
            </a:extLst>
          </xdr:cNvPr>
          <xdr:cNvSpPr txBox="1"/>
        </xdr:nvSpPr>
        <xdr:spPr>
          <a:xfrm>
            <a:off x="11182757" y="2373630"/>
            <a:ext cx="331927"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8B71AD2-8317-4217-BCD5-0AE664AC41DE}" type="TxLink">
              <a:rPr lang="en-US" sz="1100" b="0" i="0" u="none" strike="noStrike">
                <a:solidFill>
                  <a:schemeClr val="bg1"/>
                </a:solidFill>
                <a:latin typeface="Aptos Narrow"/>
              </a:rPr>
              <a:pPr algn="ctr"/>
              <a:t>29</a:t>
            </a:fld>
            <a:endParaRPr lang="ru-RU" sz="1100">
              <a:solidFill>
                <a:schemeClr val="bg1"/>
              </a:solidFill>
            </a:endParaRPr>
          </a:p>
        </xdr:txBody>
      </xdr:sp>
      <xdr:sp macro="" textlink="Processing!P22">
        <xdr:nvSpPr>
          <xdr:cNvPr id="85" name="TextBox 84">
            <a:extLst>
              <a:ext uri="{FF2B5EF4-FFF2-40B4-BE49-F238E27FC236}">
                <a16:creationId xmlns:a16="http://schemas.microsoft.com/office/drawing/2014/main" id="{811D6538-3824-B6FE-89BA-70A98B0A14C5}"/>
              </a:ext>
            </a:extLst>
          </xdr:cNvPr>
          <xdr:cNvSpPr txBox="1"/>
        </xdr:nvSpPr>
        <xdr:spPr>
          <a:xfrm>
            <a:off x="11512957" y="2373630"/>
            <a:ext cx="331927"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3152B50-DF90-4733-A7AC-635DF7B3EE72}" type="TxLink">
              <a:rPr lang="en-US" sz="1100" b="0" i="0" u="none" strike="noStrike">
                <a:solidFill>
                  <a:schemeClr val="bg1"/>
                </a:solidFill>
                <a:latin typeface="Aptos Narrow"/>
              </a:rPr>
              <a:pPr algn="ctr"/>
              <a:t>30</a:t>
            </a:fld>
            <a:endParaRPr lang="ru-RU" sz="1100">
              <a:solidFill>
                <a:schemeClr val="bg1"/>
              </a:solidFill>
            </a:endParaRPr>
          </a:p>
        </xdr:txBody>
      </xdr:sp>
      <xdr:sp macro="" textlink="Processing!Q22">
        <xdr:nvSpPr>
          <xdr:cNvPr id="86" name="TextBox 85">
            <a:extLst>
              <a:ext uri="{FF2B5EF4-FFF2-40B4-BE49-F238E27FC236}">
                <a16:creationId xmlns:a16="http://schemas.microsoft.com/office/drawing/2014/main" id="{11FE1F1C-1DA4-094D-0582-2C4632E8C6AE}"/>
              </a:ext>
            </a:extLst>
          </xdr:cNvPr>
          <xdr:cNvSpPr txBox="1"/>
        </xdr:nvSpPr>
        <xdr:spPr>
          <a:xfrm>
            <a:off x="11843157" y="2373630"/>
            <a:ext cx="331927"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0DD52F1-01A4-4DC0-A191-276895FD2A53}" type="TxLink">
              <a:rPr lang="en-US" sz="1100" b="0" i="0" u="none" strike="noStrike">
                <a:solidFill>
                  <a:schemeClr val="bg1"/>
                </a:solidFill>
                <a:latin typeface="Aptos Narrow"/>
              </a:rPr>
              <a:pPr algn="ctr"/>
              <a:t> </a:t>
            </a:fld>
            <a:endParaRPr lang="ru-RU" sz="1100">
              <a:solidFill>
                <a:schemeClr val="bg1"/>
              </a:solidFill>
            </a:endParaRPr>
          </a:p>
        </xdr:txBody>
      </xdr:sp>
      <xdr:sp macro="" textlink="Processing!K23">
        <xdr:nvSpPr>
          <xdr:cNvPr id="87" name="TextBox 86">
            <a:extLst>
              <a:ext uri="{FF2B5EF4-FFF2-40B4-BE49-F238E27FC236}">
                <a16:creationId xmlns:a16="http://schemas.microsoft.com/office/drawing/2014/main" id="{0B655FDD-123B-5C94-332E-0409C595C400}"/>
              </a:ext>
            </a:extLst>
          </xdr:cNvPr>
          <xdr:cNvSpPr txBox="1"/>
        </xdr:nvSpPr>
        <xdr:spPr>
          <a:xfrm>
            <a:off x="9861957" y="2625090"/>
            <a:ext cx="331927"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2E74728-937F-4954-89A7-B828DA252D8E}" type="TxLink">
              <a:rPr lang="en-US" sz="1100" b="0" i="0" u="none" strike="noStrike">
                <a:solidFill>
                  <a:schemeClr val="bg1"/>
                </a:solidFill>
                <a:latin typeface="Aptos Narrow"/>
              </a:rPr>
              <a:pPr algn="ctr"/>
              <a:t> </a:t>
            </a:fld>
            <a:endParaRPr lang="ru-RU" sz="1100">
              <a:solidFill>
                <a:schemeClr val="bg1"/>
              </a:solidFill>
            </a:endParaRPr>
          </a:p>
        </xdr:txBody>
      </xdr:sp>
      <xdr:sp macro="" textlink="Processing!L23">
        <xdr:nvSpPr>
          <xdr:cNvPr id="88" name="TextBox 87">
            <a:extLst>
              <a:ext uri="{FF2B5EF4-FFF2-40B4-BE49-F238E27FC236}">
                <a16:creationId xmlns:a16="http://schemas.microsoft.com/office/drawing/2014/main" id="{E3F0A4C8-6815-7796-11C9-1486CE510B50}"/>
              </a:ext>
            </a:extLst>
          </xdr:cNvPr>
          <xdr:cNvSpPr txBox="1"/>
        </xdr:nvSpPr>
        <xdr:spPr>
          <a:xfrm>
            <a:off x="10192157" y="2625090"/>
            <a:ext cx="331927"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6566E17-270D-48FD-A911-0D721FAE9D81}" type="TxLink">
              <a:rPr lang="en-US" sz="1100" b="0" i="0" u="none" strike="noStrike">
                <a:solidFill>
                  <a:schemeClr val="bg1"/>
                </a:solidFill>
                <a:latin typeface="Aptos Narrow"/>
              </a:rPr>
              <a:pPr algn="ctr"/>
              <a:t> </a:t>
            </a:fld>
            <a:endParaRPr lang="ru-RU" sz="1100">
              <a:solidFill>
                <a:schemeClr val="bg1"/>
              </a:solidFill>
            </a:endParaRPr>
          </a:p>
        </xdr:txBody>
      </xdr:sp>
      <xdr:sp macro="" textlink="Processing!M23">
        <xdr:nvSpPr>
          <xdr:cNvPr id="89" name="TextBox 88">
            <a:extLst>
              <a:ext uri="{FF2B5EF4-FFF2-40B4-BE49-F238E27FC236}">
                <a16:creationId xmlns:a16="http://schemas.microsoft.com/office/drawing/2014/main" id="{E87B76BA-DE37-313E-E6D9-6C0E1CFE55E7}"/>
              </a:ext>
            </a:extLst>
          </xdr:cNvPr>
          <xdr:cNvSpPr txBox="1"/>
        </xdr:nvSpPr>
        <xdr:spPr>
          <a:xfrm>
            <a:off x="10522357" y="2625090"/>
            <a:ext cx="331927"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8107160-E3A7-4ACE-886C-33D4EAAF47DF}" type="TxLink">
              <a:rPr lang="en-US" sz="1100" b="0" i="0" u="none" strike="noStrike">
                <a:solidFill>
                  <a:schemeClr val="bg1"/>
                </a:solidFill>
                <a:latin typeface="Aptos Narrow"/>
              </a:rPr>
              <a:pPr algn="ctr"/>
              <a:t> </a:t>
            </a:fld>
            <a:endParaRPr lang="ru-RU" sz="1100">
              <a:solidFill>
                <a:schemeClr val="bg1"/>
              </a:solidFill>
            </a:endParaRPr>
          </a:p>
        </xdr:txBody>
      </xdr:sp>
      <xdr:sp macro="" textlink="Processing!N23">
        <xdr:nvSpPr>
          <xdr:cNvPr id="90" name="TextBox 89">
            <a:extLst>
              <a:ext uri="{FF2B5EF4-FFF2-40B4-BE49-F238E27FC236}">
                <a16:creationId xmlns:a16="http://schemas.microsoft.com/office/drawing/2014/main" id="{25ACD605-ACD3-1E45-1C59-A821286474FE}"/>
              </a:ext>
            </a:extLst>
          </xdr:cNvPr>
          <xdr:cNvSpPr txBox="1"/>
        </xdr:nvSpPr>
        <xdr:spPr>
          <a:xfrm>
            <a:off x="10852557" y="2625090"/>
            <a:ext cx="331927"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8EB2ECB-6F7F-4F10-BE5E-B980037A19FA}" type="TxLink">
              <a:rPr lang="en-US" sz="1100" b="0" i="0" u="none" strike="noStrike">
                <a:solidFill>
                  <a:schemeClr val="bg1"/>
                </a:solidFill>
                <a:latin typeface="Aptos Narrow"/>
              </a:rPr>
              <a:pPr algn="ctr"/>
              <a:t> </a:t>
            </a:fld>
            <a:endParaRPr lang="ru-RU" sz="1100">
              <a:solidFill>
                <a:schemeClr val="bg1"/>
              </a:solidFill>
            </a:endParaRPr>
          </a:p>
        </xdr:txBody>
      </xdr:sp>
      <xdr:sp macro="" textlink="Processing!O23">
        <xdr:nvSpPr>
          <xdr:cNvPr id="91" name="TextBox 90">
            <a:extLst>
              <a:ext uri="{FF2B5EF4-FFF2-40B4-BE49-F238E27FC236}">
                <a16:creationId xmlns:a16="http://schemas.microsoft.com/office/drawing/2014/main" id="{8F87176C-0F3A-ED2E-7B36-C71986DFBF09}"/>
              </a:ext>
            </a:extLst>
          </xdr:cNvPr>
          <xdr:cNvSpPr txBox="1"/>
        </xdr:nvSpPr>
        <xdr:spPr>
          <a:xfrm>
            <a:off x="11182757" y="2625090"/>
            <a:ext cx="331927"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45878CA-C1A0-4731-81FB-EF7CE4A076F3}" type="TxLink">
              <a:rPr lang="en-US" sz="1100" b="0" i="0" u="none" strike="noStrike">
                <a:solidFill>
                  <a:schemeClr val="bg1"/>
                </a:solidFill>
                <a:latin typeface="Aptos Narrow"/>
              </a:rPr>
              <a:pPr algn="ctr"/>
              <a:t> </a:t>
            </a:fld>
            <a:endParaRPr lang="ru-RU" sz="1100">
              <a:solidFill>
                <a:schemeClr val="bg1"/>
              </a:solidFill>
            </a:endParaRPr>
          </a:p>
        </xdr:txBody>
      </xdr:sp>
      <xdr:sp macro="" textlink="Processing!P23">
        <xdr:nvSpPr>
          <xdr:cNvPr id="92" name="TextBox 91">
            <a:extLst>
              <a:ext uri="{FF2B5EF4-FFF2-40B4-BE49-F238E27FC236}">
                <a16:creationId xmlns:a16="http://schemas.microsoft.com/office/drawing/2014/main" id="{69DD7E6E-234F-EF59-849C-C9D7665B00BA}"/>
              </a:ext>
            </a:extLst>
          </xdr:cNvPr>
          <xdr:cNvSpPr txBox="1"/>
        </xdr:nvSpPr>
        <xdr:spPr>
          <a:xfrm>
            <a:off x="11512957" y="2625090"/>
            <a:ext cx="331927"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216AF94-6942-426F-9EE2-7466AA9E6F81}" type="TxLink">
              <a:rPr lang="en-US" sz="1100" b="0" i="0" u="none" strike="noStrike">
                <a:solidFill>
                  <a:schemeClr val="bg1"/>
                </a:solidFill>
                <a:latin typeface="Aptos Narrow"/>
              </a:rPr>
              <a:pPr algn="ctr"/>
              <a:t> </a:t>
            </a:fld>
            <a:endParaRPr lang="ru-RU" sz="1100">
              <a:solidFill>
                <a:schemeClr val="bg1"/>
              </a:solidFill>
            </a:endParaRPr>
          </a:p>
        </xdr:txBody>
      </xdr:sp>
      <xdr:sp macro="" textlink="Processing!Q23">
        <xdr:nvSpPr>
          <xdr:cNvPr id="93" name="TextBox 92">
            <a:extLst>
              <a:ext uri="{FF2B5EF4-FFF2-40B4-BE49-F238E27FC236}">
                <a16:creationId xmlns:a16="http://schemas.microsoft.com/office/drawing/2014/main" id="{AD66BAFD-7B55-204D-A96E-2410233FD250}"/>
              </a:ext>
            </a:extLst>
          </xdr:cNvPr>
          <xdr:cNvSpPr txBox="1"/>
        </xdr:nvSpPr>
        <xdr:spPr>
          <a:xfrm>
            <a:off x="11843157" y="2625090"/>
            <a:ext cx="331927"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F8D5031-89A1-4503-AD3B-7EFDD2B20049}" type="TxLink">
              <a:rPr lang="en-US" sz="1100" b="0" i="0" u="none" strike="noStrike">
                <a:solidFill>
                  <a:schemeClr val="bg1"/>
                </a:solidFill>
                <a:latin typeface="Aptos Narrow"/>
              </a:rPr>
              <a:pPr algn="ctr"/>
              <a:t> </a:t>
            </a:fld>
            <a:endParaRPr lang="ru-RU" sz="1100">
              <a:solidFill>
                <a:schemeClr val="bg1"/>
              </a:solidFill>
            </a:endParaRPr>
          </a:p>
        </xdr:txBody>
      </xdr:sp>
    </xdr:grpSp>
    <xdr:clientData/>
  </xdr:twoCellAnchor>
  <xdr:twoCellAnchor>
    <xdr:from>
      <xdr:col>3</xdr:col>
      <xdr:colOff>480060</xdr:colOff>
      <xdr:row>14</xdr:row>
      <xdr:rowOff>40776</xdr:rowOff>
    </xdr:from>
    <xdr:to>
      <xdr:col>4</xdr:col>
      <xdr:colOff>495008</xdr:colOff>
      <xdr:row>15</xdr:row>
      <xdr:rowOff>164965</xdr:rowOff>
    </xdr:to>
    <xdr:sp macro="" textlink="Processing!J3">
      <xdr:nvSpPr>
        <xdr:cNvPr id="45" name="TextBox 44">
          <a:extLst>
            <a:ext uri="{FF2B5EF4-FFF2-40B4-BE49-F238E27FC236}">
              <a16:creationId xmlns:a16="http://schemas.microsoft.com/office/drawing/2014/main" id="{FB6026C5-DD12-4CE4-A8AA-4F05CE0FF595}"/>
            </a:ext>
          </a:extLst>
        </xdr:cNvPr>
        <xdr:cNvSpPr txBox="1"/>
      </xdr:nvSpPr>
      <xdr:spPr>
        <a:xfrm>
          <a:off x="2308860" y="2601096"/>
          <a:ext cx="624548" cy="3070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B651ED33-8F01-41CA-96B5-2480A3CCD5B8}" type="TxLink">
            <a:rPr lang="en-US" sz="900" b="0" i="0" u="none" strike="noStrike">
              <a:solidFill>
                <a:srgbClr val="28BEBA"/>
              </a:solidFill>
              <a:latin typeface="Aptos Narrow"/>
              <a:ea typeface="+mn-ea"/>
              <a:cs typeface="+mn-cs"/>
            </a:rPr>
            <a:pPr marL="0" indent="0" algn="ctr"/>
            <a:t>Target 1</a:t>
          </a:fld>
          <a:endParaRPr lang="ru-RU" sz="1200" b="0" i="0" u="none" strike="noStrike">
            <a:solidFill>
              <a:srgbClr val="28BEBA"/>
            </a:solidFill>
            <a:latin typeface="Aptos Narrow"/>
            <a:ea typeface="+mn-ea"/>
            <a:cs typeface="+mn-cs"/>
          </a:endParaRPr>
        </a:p>
      </xdr:txBody>
    </xdr:sp>
    <xdr:clientData/>
  </xdr:twoCellAnchor>
  <xdr:twoCellAnchor>
    <xdr:from>
      <xdr:col>3</xdr:col>
      <xdr:colOff>480060</xdr:colOff>
      <xdr:row>16</xdr:row>
      <xdr:rowOff>25536</xdr:rowOff>
    </xdr:from>
    <xdr:to>
      <xdr:col>4</xdr:col>
      <xdr:colOff>495008</xdr:colOff>
      <xdr:row>17</xdr:row>
      <xdr:rowOff>149725</xdr:rowOff>
    </xdr:to>
    <xdr:sp macro="" textlink="Processing!J4">
      <xdr:nvSpPr>
        <xdr:cNvPr id="46" name="TextBox 45">
          <a:extLst>
            <a:ext uri="{FF2B5EF4-FFF2-40B4-BE49-F238E27FC236}">
              <a16:creationId xmlns:a16="http://schemas.microsoft.com/office/drawing/2014/main" id="{7DC77AE3-DC10-467C-82EF-B197BEE2A833}"/>
            </a:ext>
          </a:extLst>
        </xdr:cNvPr>
        <xdr:cNvSpPr txBox="1"/>
      </xdr:nvSpPr>
      <xdr:spPr>
        <a:xfrm>
          <a:off x="2308860" y="2951616"/>
          <a:ext cx="624548" cy="3070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61BD5C03-9666-4F95-9C4A-BCF38E0A9883}" type="TxLink">
            <a:rPr lang="en-US" sz="900" b="0" i="0" u="none" strike="noStrike">
              <a:solidFill>
                <a:srgbClr val="3879F2"/>
              </a:solidFill>
              <a:latin typeface="Aptos Narrow"/>
              <a:ea typeface="+mn-ea"/>
              <a:cs typeface="+mn-cs"/>
            </a:rPr>
            <a:pPr marL="0" indent="0" algn="ctr"/>
            <a:t>Target 2</a:t>
          </a:fld>
          <a:endParaRPr lang="ru-RU" sz="1000" b="0" i="0" u="none" strike="noStrike">
            <a:solidFill>
              <a:srgbClr val="3879F2"/>
            </a:solidFill>
            <a:latin typeface="Aptos Narrow"/>
            <a:ea typeface="+mn-ea"/>
            <a:cs typeface="+mn-cs"/>
          </a:endParaRPr>
        </a:p>
      </xdr:txBody>
    </xdr:sp>
    <xdr:clientData/>
  </xdr:twoCellAnchor>
  <xdr:twoCellAnchor>
    <xdr:from>
      <xdr:col>3</xdr:col>
      <xdr:colOff>480060</xdr:colOff>
      <xdr:row>18</xdr:row>
      <xdr:rowOff>10296</xdr:rowOff>
    </xdr:from>
    <xdr:to>
      <xdr:col>4</xdr:col>
      <xdr:colOff>495008</xdr:colOff>
      <xdr:row>19</xdr:row>
      <xdr:rowOff>134485</xdr:rowOff>
    </xdr:to>
    <xdr:sp macro="" textlink="Processing!J5">
      <xdr:nvSpPr>
        <xdr:cNvPr id="47" name="TextBox 46">
          <a:extLst>
            <a:ext uri="{FF2B5EF4-FFF2-40B4-BE49-F238E27FC236}">
              <a16:creationId xmlns:a16="http://schemas.microsoft.com/office/drawing/2014/main" id="{23F135E6-7420-4116-B49D-2C85639CBC90}"/>
            </a:ext>
          </a:extLst>
        </xdr:cNvPr>
        <xdr:cNvSpPr txBox="1"/>
      </xdr:nvSpPr>
      <xdr:spPr>
        <a:xfrm>
          <a:off x="2308860" y="3302136"/>
          <a:ext cx="624548" cy="3070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4D0E215D-3655-4F66-ACFB-977969128424}" type="TxLink">
            <a:rPr lang="en-US" sz="900" b="0" i="0" u="none" strike="noStrike">
              <a:solidFill>
                <a:srgbClr val="FF7684"/>
              </a:solidFill>
              <a:latin typeface="Aptos Narrow"/>
              <a:ea typeface="+mn-ea"/>
              <a:cs typeface="+mn-cs"/>
            </a:rPr>
            <a:pPr marL="0" indent="0" algn="ctr"/>
            <a:t>Target 3</a:t>
          </a:fld>
          <a:endParaRPr lang="ru-RU" sz="1000" b="0" i="0" u="none" strike="noStrike">
            <a:solidFill>
              <a:srgbClr val="FF7684"/>
            </a:solidFill>
            <a:latin typeface="Aptos Narrow"/>
            <a:ea typeface="+mn-ea"/>
            <a:cs typeface="+mn-cs"/>
          </a:endParaRPr>
        </a:p>
      </xdr:txBody>
    </xdr:sp>
    <xdr:clientData/>
  </xdr:twoCellAnchor>
  <xdr:twoCellAnchor>
    <xdr:from>
      <xdr:col>3</xdr:col>
      <xdr:colOff>480060</xdr:colOff>
      <xdr:row>19</xdr:row>
      <xdr:rowOff>177936</xdr:rowOff>
    </xdr:from>
    <xdr:to>
      <xdr:col>4</xdr:col>
      <xdr:colOff>495008</xdr:colOff>
      <xdr:row>21</xdr:row>
      <xdr:rowOff>119245</xdr:rowOff>
    </xdr:to>
    <xdr:sp macro="" textlink="Processing!J6">
      <xdr:nvSpPr>
        <xdr:cNvPr id="48" name="TextBox 47">
          <a:extLst>
            <a:ext uri="{FF2B5EF4-FFF2-40B4-BE49-F238E27FC236}">
              <a16:creationId xmlns:a16="http://schemas.microsoft.com/office/drawing/2014/main" id="{52902601-E44D-45CE-AD2A-5B6FAC9E2883}"/>
            </a:ext>
          </a:extLst>
        </xdr:cNvPr>
        <xdr:cNvSpPr txBox="1"/>
      </xdr:nvSpPr>
      <xdr:spPr>
        <a:xfrm>
          <a:off x="2308860" y="3652656"/>
          <a:ext cx="624548" cy="3070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D58AA4D8-5D6F-485A-A4E3-857258D4E43D}" type="TxLink">
            <a:rPr lang="en-US" sz="900" b="0" i="0" u="none" strike="noStrike">
              <a:solidFill>
                <a:srgbClr val="00ADD6"/>
              </a:solidFill>
              <a:latin typeface="Aptos Narrow"/>
              <a:ea typeface="+mn-ea"/>
              <a:cs typeface="+mn-cs"/>
            </a:rPr>
            <a:pPr marL="0" indent="0" algn="ctr"/>
            <a:t>Target 4</a:t>
          </a:fld>
          <a:endParaRPr lang="ru-RU" sz="1000" b="0" i="0" u="none" strike="noStrike">
            <a:solidFill>
              <a:srgbClr val="00ADD6"/>
            </a:solidFill>
            <a:latin typeface="Aptos Narrow"/>
            <a:ea typeface="+mn-ea"/>
            <a:cs typeface="+mn-cs"/>
          </a:endParaRPr>
        </a:p>
      </xdr:txBody>
    </xdr:sp>
    <xdr:clientData/>
  </xdr:twoCellAnchor>
  <xdr:twoCellAnchor>
    <xdr:from>
      <xdr:col>3</xdr:col>
      <xdr:colOff>480060</xdr:colOff>
      <xdr:row>21</xdr:row>
      <xdr:rowOff>162696</xdr:rowOff>
    </xdr:from>
    <xdr:to>
      <xdr:col>4</xdr:col>
      <xdr:colOff>495008</xdr:colOff>
      <xdr:row>23</xdr:row>
      <xdr:rowOff>104005</xdr:rowOff>
    </xdr:to>
    <xdr:sp macro="" textlink="Processing!J7">
      <xdr:nvSpPr>
        <xdr:cNvPr id="49" name="TextBox 48">
          <a:extLst>
            <a:ext uri="{FF2B5EF4-FFF2-40B4-BE49-F238E27FC236}">
              <a16:creationId xmlns:a16="http://schemas.microsoft.com/office/drawing/2014/main" id="{34043ED2-64E1-4AE0-B987-D8B7419AB3C0}"/>
            </a:ext>
          </a:extLst>
        </xdr:cNvPr>
        <xdr:cNvSpPr txBox="1"/>
      </xdr:nvSpPr>
      <xdr:spPr>
        <a:xfrm>
          <a:off x="2308860" y="4003176"/>
          <a:ext cx="624548" cy="3070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BBD31B8A-D271-4BDE-984C-859332B009E3}" type="TxLink">
            <a:rPr lang="en-US" sz="900" b="0" i="0" u="none" strike="noStrike">
              <a:solidFill>
                <a:srgbClr val="6978B4"/>
              </a:solidFill>
              <a:latin typeface="Aptos Narrow"/>
              <a:ea typeface="+mn-ea"/>
              <a:cs typeface="+mn-cs"/>
            </a:rPr>
            <a:pPr marL="0" indent="0" algn="ctr"/>
            <a:t>Target 5</a:t>
          </a:fld>
          <a:endParaRPr lang="ru-RU" sz="1000" b="0" i="0" u="none" strike="noStrike">
            <a:solidFill>
              <a:srgbClr val="6978B4"/>
            </a:solidFill>
            <a:latin typeface="Aptos Narrow"/>
            <a:ea typeface="+mn-ea"/>
            <a:cs typeface="+mn-cs"/>
          </a:endParaRPr>
        </a:p>
      </xdr:txBody>
    </xdr:sp>
    <xdr:clientData/>
  </xdr:twoCellAnchor>
  <xdr:twoCellAnchor editAs="oneCell">
    <xdr:from>
      <xdr:col>1</xdr:col>
      <xdr:colOff>0</xdr:colOff>
      <xdr:row>1</xdr:row>
      <xdr:rowOff>0</xdr:rowOff>
    </xdr:from>
    <xdr:to>
      <xdr:col>1</xdr:col>
      <xdr:colOff>274320</xdr:colOff>
      <xdr:row>2</xdr:row>
      <xdr:rowOff>91440</xdr:rowOff>
    </xdr:to>
    <xdr:pic>
      <xdr:nvPicPr>
        <xdr:cNvPr id="58" name="Graphic 57" descr="Sun with solid fill">
          <a:hlinkClick xmlns:r="http://schemas.openxmlformats.org/officeDocument/2006/relationships" r:id="rId15"/>
          <a:extLst>
            <a:ext uri="{FF2B5EF4-FFF2-40B4-BE49-F238E27FC236}">
              <a16:creationId xmlns:a16="http://schemas.microsoft.com/office/drawing/2014/main" id="{7F936048-88EA-485A-86A8-BCB0063A33F7}"/>
            </a:ext>
          </a:extLst>
        </xdr:cNvPr>
        <xdr:cNvPicPr>
          <a:picLocks noChangeAspect="1"/>
        </xdr:cNvPicPr>
      </xdr:nvPicPr>
      <xdr:blipFill>
        <a:blip xmlns:r="http://schemas.openxmlformats.org/officeDocument/2006/relationships" r:embed="rId16">
          <a:extLst>
            <a:ext uri="{96DAC541-7B7A-43D3-8B79-37D633B846F1}">
              <asvg:svgBlip xmlns:asvg="http://schemas.microsoft.com/office/drawing/2016/SVG/main" r:embed="rId17"/>
            </a:ext>
          </a:extLst>
        </a:blip>
        <a:stretch>
          <a:fillRect/>
        </a:stretch>
      </xdr:blipFill>
      <xdr:spPr>
        <a:xfrm>
          <a:off x="609600" y="182880"/>
          <a:ext cx="274320" cy="274320"/>
        </a:xfrm>
        <a:prstGeom prst="rect">
          <a:avLst/>
        </a:prstGeom>
      </xdr:spPr>
    </xdr:pic>
    <xdr:clientData/>
  </xdr:twoCellAnchor>
  <xdr:twoCellAnchor editAs="oneCell">
    <xdr:from>
      <xdr:col>1</xdr:col>
      <xdr:colOff>419100</xdr:colOff>
      <xdr:row>1</xdr:row>
      <xdr:rowOff>0</xdr:rowOff>
    </xdr:from>
    <xdr:to>
      <xdr:col>2</xdr:col>
      <xdr:colOff>83820</xdr:colOff>
      <xdr:row>2</xdr:row>
      <xdr:rowOff>91440</xdr:rowOff>
    </xdr:to>
    <xdr:pic>
      <xdr:nvPicPr>
        <xdr:cNvPr id="100" name="Graphic 99" descr="Moon with solid fill">
          <a:extLst>
            <a:ext uri="{FF2B5EF4-FFF2-40B4-BE49-F238E27FC236}">
              <a16:creationId xmlns:a16="http://schemas.microsoft.com/office/drawing/2014/main" id="{4613B8DA-1E44-4C61-A8F5-7B77D8FD539C}"/>
            </a:ext>
          </a:extLst>
        </xdr:cNvPr>
        <xdr:cNvPicPr>
          <a:picLocks noChangeAspect="1"/>
        </xdr:cNvPicPr>
      </xdr:nvPicPr>
      <xdr:blipFill>
        <a:blip xmlns:r="http://schemas.openxmlformats.org/officeDocument/2006/relationships" r:embed="rId18">
          <a:extLst>
            <a:ext uri="{96DAC541-7B7A-43D3-8B79-37D633B846F1}">
              <asvg:svgBlip xmlns:asvg="http://schemas.microsoft.com/office/drawing/2016/SVG/main" r:embed="rId19"/>
            </a:ext>
          </a:extLst>
        </a:blip>
        <a:stretch>
          <a:fillRect/>
        </a:stretch>
      </xdr:blipFill>
      <xdr:spPr>
        <a:xfrm>
          <a:off x="1028700" y="182880"/>
          <a:ext cx="274320" cy="274320"/>
        </a:xfrm>
        <a:prstGeom prst="rect">
          <a:avLst/>
        </a:prstGeom>
      </xdr:spPr>
    </xdr:pic>
    <xdr:clientData/>
  </xdr:twoCellAnchor>
  <xdr:twoCellAnchor>
    <xdr:from>
      <xdr:col>3</xdr:col>
      <xdr:colOff>411480</xdr:colOff>
      <xdr:row>26</xdr:row>
      <xdr:rowOff>129540</xdr:rowOff>
    </xdr:from>
    <xdr:to>
      <xdr:col>12</xdr:col>
      <xdr:colOff>106680</xdr:colOff>
      <xdr:row>34</xdr:row>
      <xdr:rowOff>160020</xdr:rowOff>
    </xdr:to>
    <xdr:sp macro="" textlink="">
      <xdr:nvSpPr>
        <xdr:cNvPr id="101" name="Rectangle: Rounded Corners 100">
          <a:hlinkClick xmlns:r="http://schemas.openxmlformats.org/officeDocument/2006/relationships" r:id="rId20"/>
          <a:extLst>
            <a:ext uri="{FF2B5EF4-FFF2-40B4-BE49-F238E27FC236}">
              <a16:creationId xmlns:a16="http://schemas.microsoft.com/office/drawing/2014/main" id="{FD99C1D8-A765-C930-0BDE-CAAD4E4044D1}"/>
            </a:ext>
          </a:extLst>
        </xdr:cNvPr>
        <xdr:cNvSpPr/>
      </xdr:nvSpPr>
      <xdr:spPr>
        <a:xfrm>
          <a:off x="2240280" y="4884420"/>
          <a:ext cx="5181600" cy="149352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3</xdr:col>
      <xdr:colOff>411480</xdr:colOff>
      <xdr:row>12</xdr:row>
      <xdr:rowOff>121920</xdr:rowOff>
    </xdr:from>
    <xdr:to>
      <xdr:col>12</xdr:col>
      <xdr:colOff>106680</xdr:colOff>
      <xdr:row>25</xdr:row>
      <xdr:rowOff>129540</xdr:rowOff>
    </xdr:to>
    <xdr:sp macro="" textlink="">
      <xdr:nvSpPr>
        <xdr:cNvPr id="102" name="Rectangle: Rounded Corners 101">
          <a:hlinkClick xmlns:r="http://schemas.openxmlformats.org/officeDocument/2006/relationships" r:id="rId21"/>
          <a:extLst>
            <a:ext uri="{FF2B5EF4-FFF2-40B4-BE49-F238E27FC236}">
              <a16:creationId xmlns:a16="http://schemas.microsoft.com/office/drawing/2014/main" id="{DE5F4CD6-B04B-804D-EFBB-317DF6E52FA4}"/>
            </a:ext>
          </a:extLst>
        </xdr:cNvPr>
        <xdr:cNvSpPr/>
      </xdr:nvSpPr>
      <xdr:spPr>
        <a:xfrm>
          <a:off x="2240280" y="2316480"/>
          <a:ext cx="5181600" cy="238506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16</xdr:col>
      <xdr:colOff>358140</xdr:colOff>
      <xdr:row>17</xdr:row>
      <xdr:rowOff>175260</xdr:rowOff>
    </xdr:from>
    <xdr:to>
      <xdr:col>20</xdr:col>
      <xdr:colOff>205740</xdr:colOff>
      <xdr:row>34</xdr:row>
      <xdr:rowOff>144780</xdr:rowOff>
    </xdr:to>
    <xdr:sp macro="" textlink="">
      <xdr:nvSpPr>
        <xdr:cNvPr id="103" name="Rectangle: Rounded Corners 102">
          <a:hlinkClick xmlns:r="http://schemas.openxmlformats.org/officeDocument/2006/relationships" r:id="rId22"/>
          <a:extLst>
            <a:ext uri="{FF2B5EF4-FFF2-40B4-BE49-F238E27FC236}">
              <a16:creationId xmlns:a16="http://schemas.microsoft.com/office/drawing/2014/main" id="{E967CD5E-C2DC-EA57-BA2B-7D140BB35719}"/>
            </a:ext>
          </a:extLst>
        </xdr:cNvPr>
        <xdr:cNvSpPr/>
      </xdr:nvSpPr>
      <xdr:spPr>
        <a:xfrm>
          <a:off x="10111740" y="3284220"/>
          <a:ext cx="2286000" cy="307848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24</xdr:col>
      <xdr:colOff>0</xdr:colOff>
      <xdr:row>45</xdr:row>
      <xdr:rowOff>0</xdr:rowOff>
    </xdr:to>
    <xdr:sp macro="" textlink="">
      <xdr:nvSpPr>
        <xdr:cNvPr id="86" name="Rectangle 85">
          <a:extLst>
            <a:ext uri="{FF2B5EF4-FFF2-40B4-BE49-F238E27FC236}">
              <a16:creationId xmlns:a16="http://schemas.microsoft.com/office/drawing/2014/main" id="{94FD29A2-A321-4F99-B424-D19046F2E948}"/>
            </a:ext>
          </a:extLst>
        </xdr:cNvPr>
        <xdr:cNvSpPr/>
      </xdr:nvSpPr>
      <xdr:spPr>
        <a:xfrm>
          <a:off x="0" y="0"/>
          <a:ext cx="14630400" cy="8229600"/>
        </a:xfrm>
        <a:prstGeom prst="rect">
          <a:avLst/>
        </a:prstGeom>
        <a:gradFill flip="none" rotWithShape="1">
          <a:gsLst>
            <a:gs pos="84000">
              <a:srgbClr val="3173C7"/>
            </a:gs>
            <a:gs pos="8000">
              <a:srgbClr val="92C1E4"/>
            </a:gs>
            <a:gs pos="100000">
              <a:srgbClr val="1655B7"/>
            </a:gs>
          </a:gsLst>
          <a:path path="circle">
            <a:fillToRect l="100000" t="100000"/>
          </a:path>
          <a:tileRect r="-100000" b="-100000"/>
        </a:gra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clientData/>
  </xdr:twoCellAnchor>
  <xdr:twoCellAnchor>
    <xdr:from>
      <xdr:col>3</xdr:col>
      <xdr:colOff>7620</xdr:colOff>
      <xdr:row>2</xdr:row>
      <xdr:rowOff>99060</xdr:rowOff>
    </xdr:from>
    <xdr:to>
      <xdr:col>20</xdr:col>
      <xdr:colOff>586740</xdr:colOff>
      <xdr:row>39</xdr:row>
      <xdr:rowOff>99060</xdr:rowOff>
    </xdr:to>
    <xdr:sp macro="" textlink="">
      <xdr:nvSpPr>
        <xdr:cNvPr id="3" name="Rectangle: Rounded Corners 2">
          <a:extLst>
            <a:ext uri="{FF2B5EF4-FFF2-40B4-BE49-F238E27FC236}">
              <a16:creationId xmlns:a16="http://schemas.microsoft.com/office/drawing/2014/main" id="{08B87156-0D61-4FF6-B9D1-EF2325784DE8}"/>
            </a:ext>
          </a:extLst>
        </xdr:cNvPr>
        <xdr:cNvSpPr/>
      </xdr:nvSpPr>
      <xdr:spPr>
        <a:xfrm>
          <a:off x="1836420" y="464820"/>
          <a:ext cx="10942320" cy="6766560"/>
        </a:xfrm>
        <a:prstGeom prst="roundRect">
          <a:avLst>
            <a:gd name="adj" fmla="val 4034"/>
          </a:avLst>
        </a:prstGeom>
        <a:solidFill>
          <a:schemeClr val="bg1"/>
        </a:solidFill>
        <a:ln w="12700">
          <a:noFill/>
        </a:ln>
        <a:effectLst>
          <a:outerShdw blurRad="571500" dist="190500" dir="8100000" algn="tr" rotWithShape="0">
            <a:srgbClr val="0D328D">
              <a:alpha val="6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l" defTabSz="914400" rtl="0" eaLnBrk="1" latinLnBrk="0" hangingPunct="1"/>
          <a:endParaRPr lang="ru-RU" sz="1100" kern="1200">
            <a:solidFill>
              <a:schemeClr val="lt1"/>
            </a:solidFill>
            <a:latin typeface="+mn-lt"/>
            <a:ea typeface="+mn-ea"/>
            <a:cs typeface="+mn-cs"/>
          </a:endParaRPr>
        </a:p>
      </xdr:txBody>
    </xdr:sp>
    <xdr:clientData/>
  </xdr:twoCellAnchor>
  <xdr:twoCellAnchor>
    <xdr:from>
      <xdr:col>8</xdr:col>
      <xdr:colOff>60960</xdr:colOff>
      <xdr:row>4</xdr:row>
      <xdr:rowOff>106680</xdr:rowOff>
    </xdr:from>
    <xdr:to>
      <xdr:col>12</xdr:col>
      <xdr:colOff>121920</xdr:colOff>
      <xdr:row>11</xdr:row>
      <xdr:rowOff>106680</xdr:rowOff>
    </xdr:to>
    <xdr:sp macro="" textlink="Processing!F30">
      <xdr:nvSpPr>
        <xdr:cNvPr id="4" name="Rectangle: Rounded Corners 3">
          <a:extLst>
            <a:ext uri="{FF2B5EF4-FFF2-40B4-BE49-F238E27FC236}">
              <a16:creationId xmlns:a16="http://schemas.microsoft.com/office/drawing/2014/main" id="{15174DAC-A8CB-4E28-8BF5-465B001FD422}"/>
            </a:ext>
          </a:extLst>
        </xdr:cNvPr>
        <xdr:cNvSpPr/>
      </xdr:nvSpPr>
      <xdr:spPr>
        <a:xfrm>
          <a:off x="4937760" y="838200"/>
          <a:ext cx="2499360" cy="1280160"/>
        </a:xfrm>
        <a:prstGeom prst="roundRect">
          <a:avLst>
            <a:gd name="adj" fmla="val 12518"/>
          </a:avLst>
        </a:prstGeom>
        <a:solidFill>
          <a:schemeClr val="bg1"/>
        </a:solidFill>
        <a:ln w="9525">
          <a:solidFill>
            <a:schemeClr val="bg1"/>
          </a:solidFill>
        </a:ln>
        <a:effectLst>
          <a:outerShdw blurRad="254000" dist="101600" dir="8100000" algn="tr" rotWithShape="0">
            <a:srgbClr val="0D328D">
              <a:alpha val="4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fld id="{18F88175-3A2C-439F-BD2B-8BF5A6A9AE39}" type="TxLink">
            <a:rPr lang="en-US" sz="3800" b="0" i="0" u="none" strike="noStrike" kern="1200">
              <a:solidFill>
                <a:srgbClr val="455177"/>
              </a:solidFill>
              <a:latin typeface="+mn-lt"/>
              <a:ea typeface="+mn-ea"/>
              <a:cs typeface="+mn-cs"/>
            </a:rPr>
            <a:pPr marL="0" indent="0" algn="ctr" defTabSz="914400" rtl="0" eaLnBrk="1" latinLnBrk="0" hangingPunct="1"/>
            <a:t> $10,302 </a:t>
          </a:fld>
          <a:endParaRPr lang="ru-RU" sz="3800" kern="1200">
            <a:solidFill>
              <a:srgbClr val="455177"/>
            </a:solidFill>
            <a:latin typeface="+mn-lt"/>
            <a:ea typeface="+mn-ea"/>
            <a:cs typeface="+mn-cs"/>
          </a:endParaRPr>
        </a:p>
      </xdr:txBody>
    </xdr:sp>
    <xdr:clientData/>
  </xdr:twoCellAnchor>
  <xdr:twoCellAnchor>
    <xdr:from>
      <xdr:col>3</xdr:col>
      <xdr:colOff>426720</xdr:colOff>
      <xdr:row>12</xdr:row>
      <xdr:rowOff>111830</xdr:rowOff>
    </xdr:from>
    <xdr:to>
      <xdr:col>12</xdr:col>
      <xdr:colOff>121920</xdr:colOff>
      <xdr:row>25</xdr:row>
      <xdr:rowOff>111830</xdr:rowOff>
    </xdr:to>
    <xdr:sp macro="" textlink="">
      <xdr:nvSpPr>
        <xdr:cNvPr id="5" name="Rectangle: Rounded Corners 4">
          <a:extLst>
            <a:ext uri="{FF2B5EF4-FFF2-40B4-BE49-F238E27FC236}">
              <a16:creationId xmlns:a16="http://schemas.microsoft.com/office/drawing/2014/main" id="{03572335-A57A-4E33-A39A-F7A00C3B3953}"/>
            </a:ext>
          </a:extLst>
        </xdr:cNvPr>
        <xdr:cNvSpPr/>
      </xdr:nvSpPr>
      <xdr:spPr>
        <a:xfrm>
          <a:off x="2255520" y="2306390"/>
          <a:ext cx="5181600" cy="2377440"/>
        </a:xfrm>
        <a:prstGeom prst="roundRect">
          <a:avLst>
            <a:gd name="adj" fmla="val 6794"/>
          </a:avLst>
        </a:prstGeom>
        <a:solidFill>
          <a:schemeClr val="bg1"/>
        </a:solidFill>
        <a:ln w="9525">
          <a:solidFill>
            <a:schemeClr val="bg1"/>
          </a:solidFill>
        </a:ln>
        <a:effectLst>
          <a:outerShdw blurRad="254000" dist="101600" dir="8100000" algn="tr" rotWithShape="0">
            <a:srgbClr val="0D328D">
              <a:alpha val="4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400" kern="1200">
            <a:solidFill>
              <a:srgbClr val="455177"/>
            </a:solidFill>
            <a:latin typeface="+mn-lt"/>
            <a:ea typeface="+mn-ea"/>
            <a:cs typeface="+mn-cs"/>
          </a:endParaRPr>
        </a:p>
      </xdr:txBody>
    </xdr:sp>
    <xdr:clientData/>
  </xdr:twoCellAnchor>
  <xdr:twoCellAnchor>
    <xdr:from>
      <xdr:col>3</xdr:col>
      <xdr:colOff>403860</xdr:colOff>
      <xdr:row>26</xdr:row>
      <xdr:rowOff>109359</xdr:rowOff>
    </xdr:from>
    <xdr:to>
      <xdr:col>12</xdr:col>
      <xdr:colOff>99060</xdr:colOff>
      <xdr:row>37</xdr:row>
      <xdr:rowOff>94982</xdr:rowOff>
    </xdr:to>
    <xdr:sp macro="" textlink="Processing!A16">
      <xdr:nvSpPr>
        <xdr:cNvPr id="6" name="Rectangle: Rounded Corners 5">
          <a:extLst>
            <a:ext uri="{FF2B5EF4-FFF2-40B4-BE49-F238E27FC236}">
              <a16:creationId xmlns:a16="http://schemas.microsoft.com/office/drawing/2014/main" id="{E92F43BE-55A6-4F1F-B0BD-700746515086}"/>
            </a:ext>
          </a:extLst>
        </xdr:cNvPr>
        <xdr:cNvSpPr/>
      </xdr:nvSpPr>
      <xdr:spPr>
        <a:xfrm>
          <a:off x="2232660" y="4864239"/>
          <a:ext cx="5181600" cy="1997303"/>
        </a:xfrm>
        <a:prstGeom prst="roundRect">
          <a:avLst>
            <a:gd name="adj" fmla="val 7756"/>
          </a:avLst>
        </a:prstGeom>
        <a:solidFill>
          <a:schemeClr val="bg1"/>
        </a:solidFill>
        <a:ln w="9525">
          <a:solidFill>
            <a:schemeClr val="bg1"/>
          </a:solidFill>
        </a:ln>
        <a:effectLst>
          <a:outerShdw blurRad="254000" dist="101600" dir="8100000" algn="tr" rotWithShape="0">
            <a:srgbClr val="0D328D">
              <a:alpha val="4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fld id="{D2D6F0D1-0F7B-4E37-AF29-585FD355E19A}" type="TxLink">
            <a:rPr lang="en-US" sz="1200" kern="1200">
              <a:solidFill>
                <a:srgbClr val="455177"/>
              </a:solidFill>
              <a:latin typeface="+mn-lt"/>
              <a:ea typeface="+mn-ea"/>
              <a:cs typeface="+mn-cs"/>
            </a:rPr>
            <a:pPr marL="0" indent="0" algn="ctr" defTabSz="914400" rtl="0" eaLnBrk="1" latinLnBrk="0" hangingPunct="1"/>
            <a:t>Income &amp; Expenses</a:t>
          </a:fld>
          <a:endParaRPr lang="ru-RU" sz="1200" kern="1200">
            <a:solidFill>
              <a:srgbClr val="455177"/>
            </a:solidFill>
            <a:latin typeface="+mn-lt"/>
            <a:ea typeface="+mn-ea"/>
            <a:cs typeface="+mn-cs"/>
          </a:endParaRPr>
        </a:p>
      </xdr:txBody>
    </xdr:sp>
    <xdr:clientData/>
  </xdr:twoCellAnchor>
  <xdr:twoCellAnchor>
    <xdr:from>
      <xdr:col>12</xdr:col>
      <xdr:colOff>314716</xdr:colOff>
      <xdr:row>18</xdr:row>
      <xdr:rowOff>11162</xdr:rowOff>
    </xdr:from>
    <xdr:to>
      <xdr:col>16</xdr:col>
      <xdr:colOff>162316</xdr:colOff>
      <xdr:row>37</xdr:row>
      <xdr:rowOff>102602</xdr:rowOff>
    </xdr:to>
    <xdr:sp macro="" textlink="Processing!A39">
      <xdr:nvSpPr>
        <xdr:cNvPr id="7" name="Rectangle: Rounded Corners 6">
          <a:extLst>
            <a:ext uri="{FF2B5EF4-FFF2-40B4-BE49-F238E27FC236}">
              <a16:creationId xmlns:a16="http://schemas.microsoft.com/office/drawing/2014/main" id="{79D43715-F585-4179-99A4-A6EBEF0B1968}"/>
            </a:ext>
          </a:extLst>
        </xdr:cNvPr>
        <xdr:cNvSpPr/>
      </xdr:nvSpPr>
      <xdr:spPr>
        <a:xfrm>
          <a:off x="7629916" y="3303002"/>
          <a:ext cx="2286000" cy="3566160"/>
        </a:xfrm>
        <a:prstGeom prst="roundRect">
          <a:avLst>
            <a:gd name="adj" fmla="val 6756"/>
          </a:avLst>
        </a:prstGeom>
        <a:solidFill>
          <a:schemeClr val="bg1"/>
        </a:solidFill>
        <a:ln w="9525">
          <a:solidFill>
            <a:schemeClr val="bg1"/>
          </a:solidFill>
        </a:ln>
        <a:effectLst>
          <a:outerShdw blurRad="254000" dist="101600" dir="8100000" algn="tr" rotWithShape="0">
            <a:srgbClr val="0D328D">
              <a:alpha val="4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fld id="{C4FBDBAC-C864-40E9-A360-74884EA78C45}" type="TxLink">
            <a:rPr lang="en-US" sz="1200" kern="1200">
              <a:solidFill>
                <a:srgbClr val="455177"/>
              </a:solidFill>
              <a:latin typeface="+mn-lt"/>
              <a:ea typeface="+mn-ea"/>
              <a:cs typeface="+mn-cs"/>
            </a:rPr>
            <a:pPr marL="0" indent="0" algn="ctr" defTabSz="914400" rtl="0" eaLnBrk="1" latinLnBrk="0" hangingPunct="1"/>
            <a:t>Source Rating</a:t>
          </a:fld>
          <a:endParaRPr lang="ru-RU" sz="1200" kern="1200">
            <a:solidFill>
              <a:srgbClr val="455177"/>
            </a:solidFill>
            <a:latin typeface="+mn-lt"/>
            <a:ea typeface="+mn-ea"/>
            <a:cs typeface="+mn-cs"/>
          </a:endParaRPr>
        </a:p>
      </xdr:txBody>
    </xdr:sp>
    <xdr:clientData/>
  </xdr:twoCellAnchor>
  <xdr:twoCellAnchor>
    <xdr:from>
      <xdr:col>12</xdr:col>
      <xdr:colOff>314716</xdr:colOff>
      <xdr:row>4</xdr:row>
      <xdr:rowOff>106680</xdr:rowOff>
    </xdr:from>
    <xdr:to>
      <xdr:col>20</xdr:col>
      <xdr:colOff>192796</xdr:colOff>
      <xdr:row>17</xdr:row>
      <xdr:rowOff>15240</xdr:rowOff>
    </xdr:to>
    <xdr:sp macro="" textlink="">
      <xdr:nvSpPr>
        <xdr:cNvPr id="8" name="Rectangle: Rounded Corners 7">
          <a:extLst>
            <a:ext uri="{FF2B5EF4-FFF2-40B4-BE49-F238E27FC236}">
              <a16:creationId xmlns:a16="http://schemas.microsoft.com/office/drawing/2014/main" id="{C98E2DCA-C7D9-41D8-A5B4-3AD5ABDF82E2}"/>
            </a:ext>
          </a:extLst>
        </xdr:cNvPr>
        <xdr:cNvSpPr/>
      </xdr:nvSpPr>
      <xdr:spPr>
        <a:xfrm>
          <a:off x="7629916" y="838200"/>
          <a:ext cx="4754880" cy="2286000"/>
        </a:xfrm>
        <a:prstGeom prst="roundRect">
          <a:avLst>
            <a:gd name="adj" fmla="val 7756"/>
          </a:avLst>
        </a:prstGeom>
        <a:solidFill>
          <a:schemeClr val="bg1"/>
        </a:solidFill>
        <a:ln w="9525">
          <a:solidFill>
            <a:schemeClr val="bg1"/>
          </a:solidFill>
        </a:ln>
        <a:effectLst>
          <a:outerShdw blurRad="254000" dist="101600" dir="8100000" algn="tr" rotWithShape="0">
            <a:srgbClr val="0D328D">
              <a:alpha val="4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200" kern="1200">
            <a:solidFill>
              <a:srgbClr val="455177"/>
            </a:solidFill>
            <a:latin typeface="+mn-lt"/>
            <a:ea typeface="+mn-ea"/>
            <a:cs typeface="+mn-cs"/>
          </a:endParaRPr>
        </a:p>
      </xdr:txBody>
    </xdr:sp>
    <xdr:clientData/>
  </xdr:twoCellAnchor>
  <xdr:twoCellAnchor>
    <xdr:from>
      <xdr:col>16</xdr:col>
      <xdr:colOff>345196</xdr:colOff>
      <xdr:row>18</xdr:row>
      <xdr:rowOff>11162</xdr:rowOff>
    </xdr:from>
    <xdr:to>
      <xdr:col>20</xdr:col>
      <xdr:colOff>192796</xdr:colOff>
      <xdr:row>37</xdr:row>
      <xdr:rowOff>102602</xdr:rowOff>
    </xdr:to>
    <xdr:sp macro="" textlink="Processing!J50">
      <xdr:nvSpPr>
        <xdr:cNvPr id="9" name="Rectangle: Rounded Corners 8">
          <a:extLst>
            <a:ext uri="{FF2B5EF4-FFF2-40B4-BE49-F238E27FC236}">
              <a16:creationId xmlns:a16="http://schemas.microsoft.com/office/drawing/2014/main" id="{A9E546B9-F68F-4B8E-AB0A-BEBBF5C4D631}"/>
            </a:ext>
          </a:extLst>
        </xdr:cNvPr>
        <xdr:cNvSpPr/>
      </xdr:nvSpPr>
      <xdr:spPr>
        <a:xfrm>
          <a:off x="10098796" y="3303002"/>
          <a:ext cx="2286000" cy="3566160"/>
        </a:xfrm>
        <a:prstGeom prst="roundRect">
          <a:avLst>
            <a:gd name="adj" fmla="val 6756"/>
          </a:avLst>
        </a:prstGeom>
        <a:solidFill>
          <a:schemeClr val="bg1"/>
        </a:solidFill>
        <a:ln w="9525">
          <a:solidFill>
            <a:schemeClr val="bg1"/>
          </a:solidFill>
        </a:ln>
        <a:effectLst>
          <a:outerShdw blurRad="254000" dist="101600" dir="8100000" algn="tr" rotWithShape="0">
            <a:srgbClr val="0D328D">
              <a:alpha val="4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fld id="{1DE3003E-1F1C-47CB-AEC1-2E414D995FCE}" type="TxLink">
            <a:rPr lang="en-US" sz="1200" kern="1200">
              <a:solidFill>
                <a:srgbClr val="455177"/>
              </a:solidFill>
              <a:latin typeface="+mn-lt"/>
              <a:ea typeface="+mn-ea"/>
              <a:cs typeface="+mn-cs"/>
            </a:rPr>
            <a:pPr marL="0" indent="0" algn="ctr" defTabSz="914400" rtl="0" eaLnBrk="1" latinLnBrk="0" hangingPunct="1"/>
            <a:t>Essential Costs</a:t>
          </a:fld>
          <a:endParaRPr lang="ru-RU" sz="1200" kern="1200">
            <a:solidFill>
              <a:srgbClr val="455177"/>
            </a:solidFill>
            <a:latin typeface="+mn-lt"/>
            <a:ea typeface="+mn-ea"/>
            <a:cs typeface="+mn-cs"/>
          </a:endParaRPr>
        </a:p>
      </xdr:txBody>
    </xdr:sp>
    <xdr:clientData/>
  </xdr:twoCellAnchor>
  <xdr:twoCellAnchor>
    <xdr:from>
      <xdr:col>3</xdr:col>
      <xdr:colOff>426720</xdr:colOff>
      <xdr:row>4</xdr:row>
      <xdr:rowOff>106680</xdr:rowOff>
    </xdr:from>
    <xdr:to>
      <xdr:col>7</xdr:col>
      <xdr:colOff>487680</xdr:colOff>
      <xdr:row>11</xdr:row>
      <xdr:rowOff>106680</xdr:rowOff>
    </xdr:to>
    <xdr:sp macro="" textlink="Processing!E30">
      <xdr:nvSpPr>
        <xdr:cNvPr id="10" name="Rectangle: Rounded Corners 9">
          <a:extLst>
            <a:ext uri="{FF2B5EF4-FFF2-40B4-BE49-F238E27FC236}">
              <a16:creationId xmlns:a16="http://schemas.microsoft.com/office/drawing/2014/main" id="{3021D3A4-AF00-40D2-8EF3-1679CBD6988E}"/>
            </a:ext>
          </a:extLst>
        </xdr:cNvPr>
        <xdr:cNvSpPr/>
      </xdr:nvSpPr>
      <xdr:spPr>
        <a:xfrm>
          <a:off x="2255520" y="838200"/>
          <a:ext cx="2499360" cy="1280160"/>
        </a:xfrm>
        <a:prstGeom prst="roundRect">
          <a:avLst>
            <a:gd name="adj" fmla="val 12518"/>
          </a:avLst>
        </a:prstGeom>
        <a:solidFill>
          <a:schemeClr val="bg1"/>
        </a:solidFill>
        <a:ln w="9525">
          <a:solidFill>
            <a:schemeClr val="bg1"/>
          </a:solidFill>
        </a:ln>
        <a:effectLst>
          <a:outerShdw blurRad="254000" dist="101600" dir="8100000" algn="tr" rotWithShape="0">
            <a:srgbClr val="0D328D">
              <a:alpha val="4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fld id="{4B44C066-6662-4947-A096-F7BBC08BF728}" type="TxLink">
            <a:rPr lang="en-US" sz="3800" b="0" i="0" u="none" strike="noStrike" kern="1200">
              <a:solidFill>
                <a:srgbClr val="455177"/>
              </a:solidFill>
              <a:latin typeface="+mn-lt"/>
              <a:ea typeface="+mn-ea"/>
              <a:cs typeface="+mn-cs"/>
            </a:rPr>
            <a:pPr marL="0" indent="0" algn="ctr" defTabSz="914400" rtl="0" eaLnBrk="1" latinLnBrk="0" hangingPunct="1"/>
            <a:t> $12,533 </a:t>
          </a:fld>
          <a:endParaRPr lang="ru-RU" sz="3800" kern="1200">
            <a:solidFill>
              <a:srgbClr val="455177"/>
            </a:solidFill>
            <a:latin typeface="+mn-lt"/>
            <a:ea typeface="+mn-ea"/>
            <a:cs typeface="+mn-cs"/>
          </a:endParaRPr>
        </a:p>
      </xdr:txBody>
    </xdr:sp>
    <xdr:clientData/>
  </xdr:twoCellAnchor>
  <xdr:twoCellAnchor>
    <xdr:from>
      <xdr:col>4</xdr:col>
      <xdr:colOff>505266</xdr:colOff>
      <xdr:row>14</xdr:row>
      <xdr:rowOff>160020</xdr:rowOff>
    </xdr:from>
    <xdr:to>
      <xdr:col>11</xdr:col>
      <xdr:colOff>325434</xdr:colOff>
      <xdr:row>24</xdr:row>
      <xdr:rowOff>160020</xdr:rowOff>
    </xdr:to>
    <xdr:sp macro="" textlink="">
      <xdr:nvSpPr>
        <xdr:cNvPr id="11" name="Rectangle: Rounded Corners 10">
          <a:extLst>
            <a:ext uri="{FF2B5EF4-FFF2-40B4-BE49-F238E27FC236}">
              <a16:creationId xmlns:a16="http://schemas.microsoft.com/office/drawing/2014/main" id="{E77847B5-BA42-4BC5-86BA-AED53405256E}"/>
            </a:ext>
          </a:extLst>
        </xdr:cNvPr>
        <xdr:cNvSpPr/>
      </xdr:nvSpPr>
      <xdr:spPr>
        <a:xfrm>
          <a:off x="2943666" y="2703928"/>
          <a:ext cx="4087368" cy="1817077"/>
        </a:xfrm>
        <a:prstGeom prst="roundRect">
          <a:avLst>
            <a:gd name="adj" fmla="val 5788"/>
          </a:avLst>
        </a:prstGeom>
        <a:solidFill>
          <a:schemeClr val="bg1"/>
        </a:solidFill>
        <a:ln>
          <a:noFill/>
        </a:ln>
        <a:effectLst>
          <a:innerShdw blurRad="381000">
            <a:srgbClr val="004A82">
              <a:alpha val="60000"/>
            </a:srgbClr>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8</xdr:col>
      <xdr:colOff>403860</xdr:colOff>
      <xdr:row>8</xdr:row>
      <xdr:rowOff>91440</xdr:rowOff>
    </xdr:from>
    <xdr:to>
      <xdr:col>9</xdr:col>
      <xdr:colOff>160020</xdr:colOff>
      <xdr:row>10</xdr:row>
      <xdr:rowOff>111891</xdr:rowOff>
    </xdr:to>
    <xdr:grpSp>
      <xdr:nvGrpSpPr>
        <xdr:cNvPr id="12" name="Group 11">
          <a:extLst>
            <a:ext uri="{FF2B5EF4-FFF2-40B4-BE49-F238E27FC236}">
              <a16:creationId xmlns:a16="http://schemas.microsoft.com/office/drawing/2014/main" id="{92017AD2-24D3-4F06-8928-FD4BFD18DED3}"/>
            </a:ext>
          </a:extLst>
        </xdr:cNvPr>
        <xdr:cNvGrpSpPr/>
      </xdr:nvGrpSpPr>
      <xdr:grpSpPr>
        <a:xfrm>
          <a:off x="5314527" y="1615440"/>
          <a:ext cx="369993" cy="401451"/>
          <a:chOff x="18036540" y="13411200"/>
          <a:chExt cx="914400" cy="965528"/>
        </a:xfrm>
      </xdr:grpSpPr>
      <xdr:pic>
        <xdr:nvPicPr>
          <xdr:cNvPr id="13" name="Graphic 12" descr="Wallet outline">
            <a:extLst>
              <a:ext uri="{FF2B5EF4-FFF2-40B4-BE49-F238E27FC236}">
                <a16:creationId xmlns:a16="http://schemas.microsoft.com/office/drawing/2014/main" id="{3856AA48-4377-6805-ADE0-733CF2E46061}"/>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8036540" y="13411200"/>
            <a:ext cx="914400" cy="914400"/>
          </a:xfrm>
          <a:prstGeom prst="rect">
            <a:avLst/>
          </a:prstGeom>
        </xdr:spPr>
      </xdr:pic>
      <xdr:sp macro="" textlink="">
        <xdr:nvSpPr>
          <xdr:cNvPr id="14" name="Arrow: Down 13">
            <a:extLst>
              <a:ext uri="{FF2B5EF4-FFF2-40B4-BE49-F238E27FC236}">
                <a16:creationId xmlns:a16="http://schemas.microsoft.com/office/drawing/2014/main" id="{ADC879FA-5D67-1C67-0EB5-31C48271C6BC}"/>
              </a:ext>
            </a:extLst>
          </xdr:cNvPr>
          <xdr:cNvSpPr/>
        </xdr:nvSpPr>
        <xdr:spPr>
          <a:xfrm>
            <a:off x="18242280" y="13822680"/>
            <a:ext cx="350520" cy="554048"/>
          </a:xfrm>
          <a:prstGeom prst="downArrow">
            <a:avLst/>
          </a:prstGeom>
          <a:solidFill>
            <a:srgbClr val="455177"/>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grpSp>
    <xdr:clientData/>
  </xdr:twoCellAnchor>
  <xdr:twoCellAnchor>
    <xdr:from>
      <xdr:col>4</xdr:col>
      <xdr:colOff>213360</xdr:colOff>
      <xdr:row>8</xdr:row>
      <xdr:rowOff>114104</xdr:rowOff>
    </xdr:from>
    <xdr:to>
      <xdr:col>4</xdr:col>
      <xdr:colOff>579120</xdr:colOff>
      <xdr:row>10</xdr:row>
      <xdr:rowOff>114104</xdr:rowOff>
    </xdr:to>
    <xdr:pic>
      <xdr:nvPicPr>
        <xdr:cNvPr id="15" name="Graphic 14" descr="Treasure chest outline">
          <a:extLst>
            <a:ext uri="{FF2B5EF4-FFF2-40B4-BE49-F238E27FC236}">
              <a16:creationId xmlns:a16="http://schemas.microsoft.com/office/drawing/2014/main" id="{F2C3107C-6D1A-4CF7-864B-2E839DF8A474}"/>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2651760" y="1577144"/>
          <a:ext cx="365760" cy="365760"/>
        </a:xfrm>
        <a:prstGeom prst="rect">
          <a:avLst/>
        </a:prstGeom>
      </xdr:spPr>
    </xdr:pic>
    <xdr:clientData/>
  </xdr:twoCellAnchor>
  <xdr:twoCellAnchor>
    <xdr:from>
      <xdr:col>4</xdr:col>
      <xdr:colOff>396240</xdr:colOff>
      <xdr:row>13</xdr:row>
      <xdr:rowOff>53340</xdr:rowOff>
    </xdr:from>
    <xdr:to>
      <xdr:col>11</xdr:col>
      <xdr:colOff>472440</xdr:colOff>
      <xdr:row>25</xdr:row>
      <xdr:rowOff>99060</xdr:rowOff>
    </xdr:to>
    <xdr:graphicFrame macro="">
      <xdr:nvGraphicFramePr>
        <xdr:cNvPr id="16" name="Chart 15">
          <a:extLst>
            <a:ext uri="{FF2B5EF4-FFF2-40B4-BE49-F238E27FC236}">
              <a16:creationId xmlns:a16="http://schemas.microsoft.com/office/drawing/2014/main" id="{DC9F91E8-0388-4FBE-AE76-BF5492006E9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15240</xdr:colOff>
      <xdr:row>14</xdr:row>
      <xdr:rowOff>38100</xdr:rowOff>
    </xdr:from>
    <xdr:to>
      <xdr:col>11</xdr:col>
      <xdr:colOff>426720</xdr:colOff>
      <xdr:row>25</xdr:row>
      <xdr:rowOff>83820</xdr:rowOff>
    </xdr:to>
    <xdr:graphicFrame macro="">
      <xdr:nvGraphicFramePr>
        <xdr:cNvPr id="17" name="Chart 16">
          <a:extLst>
            <a:ext uri="{FF2B5EF4-FFF2-40B4-BE49-F238E27FC236}">
              <a16:creationId xmlns:a16="http://schemas.microsoft.com/office/drawing/2014/main" id="{A0358AA6-88DD-4E79-B103-9100C501102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12</xdr:col>
      <xdr:colOff>403860</xdr:colOff>
      <xdr:row>5</xdr:row>
      <xdr:rowOff>53340</xdr:rowOff>
    </xdr:from>
    <xdr:to>
      <xdr:col>15</xdr:col>
      <xdr:colOff>586740</xdr:colOff>
      <xdr:row>16</xdr:row>
      <xdr:rowOff>53340</xdr:rowOff>
    </xdr:to>
    <xdr:graphicFrame macro="">
      <xdr:nvGraphicFramePr>
        <xdr:cNvPr id="18" name="Chart 17">
          <a:extLst>
            <a:ext uri="{FF2B5EF4-FFF2-40B4-BE49-F238E27FC236}">
              <a16:creationId xmlns:a16="http://schemas.microsoft.com/office/drawing/2014/main" id="{57CBAD96-9070-4F73-805F-77E0BCAE7F8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13</xdr:col>
      <xdr:colOff>342900</xdr:colOff>
      <xdr:row>9</xdr:row>
      <xdr:rowOff>76200</xdr:rowOff>
    </xdr:from>
    <xdr:to>
      <xdr:col>15</xdr:col>
      <xdr:colOff>38100</xdr:colOff>
      <xdr:row>11</xdr:row>
      <xdr:rowOff>160020</xdr:rowOff>
    </xdr:to>
    <xdr:sp macro="" textlink="Processing!S3">
      <xdr:nvSpPr>
        <xdr:cNvPr id="19" name="TextBox 18">
          <a:extLst>
            <a:ext uri="{FF2B5EF4-FFF2-40B4-BE49-F238E27FC236}">
              <a16:creationId xmlns:a16="http://schemas.microsoft.com/office/drawing/2014/main" id="{27CCB925-25BF-448C-A3B0-2D58603483C0}"/>
            </a:ext>
          </a:extLst>
        </xdr:cNvPr>
        <xdr:cNvSpPr txBox="1"/>
      </xdr:nvSpPr>
      <xdr:spPr>
        <a:xfrm>
          <a:off x="8267700" y="1722120"/>
          <a:ext cx="914400" cy="4495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E76BA41-C5AD-4A6D-8F20-94D5DF0D5944}" type="TxLink">
            <a:rPr lang="en-US" sz="2800" b="0" i="0" u="none" strike="noStrike">
              <a:solidFill>
                <a:srgbClr val="455177"/>
              </a:solidFill>
              <a:latin typeface="Aptos Narrow"/>
            </a:rPr>
            <a:pPr algn="ctr"/>
            <a:t>64%</a:t>
          </a:fld>
          <a:endParaRPr lang="ru-RU" sz="2800">
            <a:solidFill>
              <a:srgbClr val="455177"/>
            </a:solidFill>
          </a:endParaRPr>
        </a:p>
      </xdr:txBody>
    </xdr:sp>
    <xdr:clientData/>
  </xdr:twoCellAnchor>
  <xdr:twoCellAnchor>
    <xdr:from>
      <xdr:col>13</xdr:col>
      <xdr:colOff>342900</xdr:colOff>
      <xdr:row>10</xdr:row>
      <xdr:rowOff>167640</xdr:rowOff>
    </xdr:from>
    <xdr:to>
      <xdr:col>15</xdr:col>
      <xdr:colOff>38100</xdr:colOff>
      <xdr:row>13</xdr:row>
      <xdr:rowOff>68580</xdr:rowOff>
    </xdr:to>
    <xdr:sp macro="" textlink="Processing!S1">
      <xdr:nvSpPr>
        <xdr:cNvPr id="20" name="TextBox 19">
          <a:extLst>
            <a:ext uri="{FF2B5EF4-FFF2-40B4-BE49-F238E27FC236}">
              <a16:creationId xmlns:a16="http://schemas.microsoft.com/office/drawing/2014/main" id="{E88BBB2D-F4AC-4F1C-8482-224CB3BF55D9}"/>
            </a:ext>
          </a:extLst>
        </xdr:cNvPr>
        <xdr:cNvSpPr txBox="1"/>
      </xdr:nvSpPr>
      <xdr:spPr>
        <a:xfrm>
          <a:off x="8267700" y="1996440"/>
          <a:ext cx="914400" cy="4495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F56BAA3-B378-48FE-B598-FF2C3B2AC85A}" type="TxLink">
            <a:rPr lang="en-US" sz="1400" b="0" i="0" u="none" strike="noStrike">
              <a:solidFill>
                <a:srgbClr val="455177"/>
              </a:solidFill>
              <a:latin typeface="Aptos Narrow"/>
            </a:rPr>
            <a:pPr algn="ctr"/>
            <a:t>Budget</a:t>
          </a:fld>
          <a:endParaRPr lang="ru-RU" sz="3600" b="0">
            <a:solidFill>
              <a:srgbClr val="455177"/>
            </a:solidFill>
          </a:endParaRPr>
        </a:p>
      </xdr:txBody>
    </xdr:sp>
    <xdr:clientData/>
  </xdr:twoCellAnchor>
  <xdr:twoCellAnchor>
    <xdr:from>
      <xdr:col>16</xdr:col>
      <xdr:colOff>0</xdr:colOff>
      <xdr:row>5</xdr:row>
      <xdr:rowOff>22860</xdr:rowOff>
    </xdr:from>
    <xdr:to>
      <xdr:col>20</xdr:col>
      <xdr:colOff>83820</xdr:colOff>
      <xdr:row>16</xdr:row>
      <xdr:rowOff>114300</xdr:rowOff>
    </xdr:to>
    <xdr:sp macro="" textlink="">
      <xdr:nvSpPr>
        <xdr:cNvPr id="21" name="Rectangle: Rounded Corners 20">
          <a:extLst>
            <a:ext uri="{FF2B5EF4-FFF2-40B4-BE49-F238E27FC236}">
              <a16:creationId xmlns:a16="http://schemas.microsoft.com/office/drawing/2014/main" id="{0F9D1B82-E8BB-412A-AC93-0BE08E43F184}"/>
            </a:ext>
          </a:extLst>
        </xdr:cNvPr>
        <xdr:cNvSpPr/>
      </xdr:nvSpPr>
      <xdr:spPr>
        <a:xfrm>
          <a:off x="9753600" y="937260"/>
          <a:ext cx="2522220" cy="2103120"/>
        </a:xfrm>
        <a:prstGeom prst="roundRect">
          <a:avLst>
            <a:gd name="adj" fmla="val 7028"/>
          </a:avLst>
        </a:prstGeom>
        <a:solidFill>
          <a:srgbClr val="F0F4FE"/>
        </a:solidFill>
        <a:ln w="9525">
          <a:noFill/>
        </a:ln>
        <a:effectLst>
          <a:innerShdw blurRad="381000">
            <a:srgbClr val="159BFF">
              <a:alpha val="30000"/>
            </a:srgbClr>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16</xdr:col>
      <xdr:colOff>22860</xdr:colOff>
      <xdr:row>6</xdr:row>
      <xdr:rowOff>144780</xdr:rowOff>
    </xdr:from>
    <xdr:to>
      <xdr:col>20</xdr:col>
      <xdr:colOff>53340</xdr:colOff>
      <xdr:row>17</xdr:row>
      <xdr:rowOff>144780</xdr:rowOff>
    </xdr:to>
    <xdr:graphicFrame macro="">
      <xdr:nvGraphicFramePr>
        <xdr:cNvPr id="22" name="Chart 21">
          <a:extLst>
            <a:ext uri="{FF2B5EF4-FFF2-40B4-BE49-F238E27FC236}">
              <a16:creationId xmlns:a16="http://schemas.microsoft.com/office/drawing/2014/main" id="{62D1998E-0672-4121-9650-2EB49B946C4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16</xdr:col>
      <xdr:colOff>76200</xdr:colOff>
      <xdr:row>5</xdr:row>
      <xdr:rowOff>144780</xdr:rowOff>
    </xdr:from>
    <xdr:to>
      <xdr:col>20</xdr:col>
      <xdr:colOff>22860</xdr:colOff>
      <xdr:row>7</xdr:row>
      <xdr:rowOff>53340</xdr:rowOff>
    </xdr:to>
    <xdr:sp macro="" textlink="">
      <xdr:nvSpPr>
        <xdr:cNvPr id="23" name="TextBox 22">
          <a:extLst>
            <a:ext uri="{FF2B5EF4-FFF2-40B4-BE49-F238E27FC236}">
              <a16:creationId xmlns:a16="http://schemas.microsoft.com/office/drawing/2014/main" id="{BB175E1C-EFEE-4B09-AF3B-FB6B74E6CA3E}"/>
            </a:ext>
          </a:extLst>
        </xdr:cNvPr>
        <xdr:cNvSpPr txBox="1"/>
      </xdr:nvSpPr>
      <xdr:spPr>
        <a:xfrm>
          <a:off x="9829800" y="1059180"/>
          <a:ext cx="238506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100">
              <a:solidFill>
                <a:srgbClr val="FF6CFF"/>
              </a:solidFill>
            </a:rPr>
            <a:t>SU  </a:t>
          </a:r>
          <a:r>
            <a:rPr lang="en-US" sz="1100">
              <a:solidFill>
                <a:srgbClr val="0062C4"/>
              </a:solidFill>
            </a:rPr>
            <a:t>     MO       TU      WE      TH       FR       </a:t>
          </a:r>
          <a:r>
            <a:rPr lang="en-US" sz="1100">
              <a:solidFill>
                <a:srgbClr val="FF6CFF"/>
              </a:solidFill>
            </a:rPr>
            <a:t>SA</a:t>
          </a:r>
        </a:p>
      </xdr:txBody>
    </xdr:sp>
    <xdr:clientData/>
  </xdr:twoCellAnchor>
  <xdr:twoCellAnchor>
    <xdr:from>
      <xdr:col>3</xdr:col>
      <xdr:colOff>495300</xdr:colOff>
      <xdr:row>28</xdr:row>
      <xdr:rowOff>0</xdr:rowOff>
    </xdr:from>
    <xdr:to>
      <xdr:col>12</xdr:col>
      <xdr:colOff>83820</xdr:colOff>
      <xdr:row>36</xdr:row>
      <xdr:rowOff>91440</xdr:rowOff>
    </xdr:to>
    <xdr:graphicFrame macro="">
      <xdr:nvGraphicFramePr>
        <xdr:cNvPr id="24" name="Chart 23">
          <a:extLst>
            <a:ext uri="{FF2B5EF4-FFF2-40B4-BE49-F238E27FC236}">
              <a16:creationId xmlns:a16="http://schemas.microsoft.com/office/drawing/2014/main" id="{E01671C5-A76D-4B28-BDE0-AC69090E98A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12</xdr:col>
      <xdr:colOff>343967</xdr:colOff>
      <xdr:row>19</xdr:row>
      <xdr:rowOff>91440</xdr:rowOff>
    </xdr:from>
    <xdr:to>
      <xdr:col>16</xdr:col>
      <xdr:colOff>191567</xdr:colOff>
      <xdr:row>28</xdr:row>
      <xdr:rowOff>0</xdr:rowOff>
    </xdr:to>
    <xdr:graphicFrame macro="">
      <xdr:nvGraphicFramePr>
        <xdr:cNvPr id="25" name="Chart 24">
          <a:extLst>
            <a:ext uri="{FF2B5EF4-FFF2-40B4-BE49-F238E27FC236}">
              <a16:creationId xmlns:a16="http://schemas.microsoft.com/office/drawing/2014/main" id="{A0C91BC6-3A65-4AEF-8D2C-15DB75FAE77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12</xdr:col>
      <xdr:colOff>320040</xdr:colOff>
      <xdr:row>27</xdr:row>
      <xdr:rowOff>167640</xdr:rowOff>
    </xdr:from>
    <xdr:to>
      <xdr:col>16</xdr:col>
      <xdr:colOff>167640</xdr:colOff>
      <xdr:row>35</xdr:row>
      <xdr:rowOff>76200</xdr:rowOff>
    </xdr:to>
    <xdr:graphicFrame macro="">
      <xdr:nvGraphicFramePr>
        <xdr:cNvPr id="26" name="Chart 25">
          <a:extLst>
            <a:ext uri="{FF2B5EF4-FFF2-40B4-BE49-F238E27FC236}">
              <a16:creationId xmlns:a16="http://schemas.microsoft.com/office/drawing/2014/main" id="{E84CB05B-F8E3-473F-BBC7-1FC1C84A773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16</xdr:col>
      <xdr:colOff>502920</xdr:colOff>
      <xdr:row>19</xdr:row>
      <xdr:rowOff>76200</xdr:rowOff>
    </xdr:from>
    <xdr:to>
      <xdr:col>20</xdr:col>
      <xdr:colOff>76200</xdr:colOff>
      <xdr:row>30</xdr:row>
      <xdr:rowOff>76200</xdr:rowOff>
    </xdr:to>
    <xdr:grpSp>
      <xdr:nvGrpSpPr>
        <xdr:cNvPr id="27" name="Group 26">
          <a:extLst>
            <a:ext uri="{FF2B5EF4-FFF2-40B4-BE49-F238E27FC236}">
              <a16:creationId xmlns:a16="http://schemas.microsoft.com/office/drawing/2014/main" id="{56EC0AFC-D936-4D19-AEDC-BAAA2F9DFD9F}"/>
            </a:ext>
          </a:extLst>
        </xdr:cNvPr>
        <xdr:cNvGrpSpPr/>
      </xdr:nvGrpSpPr>
      <xdr:grpSpPr>
        <a:xfrm>
          <a:off x="10324253" y="3695700"/>
          <a:ext cx="2028614" cy="2095500"/>
          <a:chOff x="10287000" y="3314700"/>
          <a:chExt cx="2011680" cy="2011680"/>
        </a:xfrm>
      </xdr:grpSpPr>
      <xdr:graphicFrame macro="">
        <xdr:nvGraphicFramePr>
          <xdr:cNvPr id="28" name="Chart 27">
            <a:extLst>
              <a:ext uri="{FF2B5EF4-FFF2-40B4-BE49-F238E27FC236}">
                <a16:creationId xmlns:a16="http://schemas.microsoft.com/office/drawing/2014/main" id="{9953C355-84E1-05E4-0D5D-AFBB2F5E6233}"/>
              </a:ext>
            </a:extLst>
          </xdr:cNvPr>
          <xdr:cNvGraphicFramePr>
            <a:graphicFrameLocks/>
          </xdr:cNvGraphicFramePr>
        </xdr:nvGraphicFramePr>
        <xdr:xfrm>
          <a:off x="10424160" y="3451860"/>
          <a:ext cx="1737360" cy="1737360"/>
        </xdr:xfrm>
        <a:graphic>
          <a:graphicData uri="http://schemas.openxmlformats.org/drawingml/2006/chart">
            <c:chart xmlns:c="http://schemas.openxmlformats.org/drawingml/2006/chart" xmlns:r="http://schemas.openxmlformats.org/officeDocument/2006/relationships" r:id="rId12"/>
          </a:graphicData>
        </a:graphic>
      </xdr:graphicFrame>
      <xdr:graphicFrame macro="">
        <xdr:nvGraphicFramePr>
          <xdr:cNvPr id="29" name="Chart 28">
            <a:extLst>
              <a:ext uri="{FF2B5EF4-FFF2-40B4-BE49-F238E27FC236}">
                <a16:creationId xmlns:a16="http://schemas.microsoft.com/office/drawing/2014/main" id="{ACC2DF80-84E8-2B5A-EF82-57CD5AFF7AC1}"/>
              </a:ext>
            </a:extLst>
          </xdr:cNvPr>
          <xdr:cNvGraphicFramePr>
            <a:graphicFrameLocks/>
          </xdr:cNvGraphicFramePr>
        </xdr:nvGraphicFramePr>
        <xdr:xfrm>
          <a:off x="10287000" y="3314700"/>
          <a:ext cx="2011680" cy="2011680"/>
        </xdr:xfrm>
        <a:graphic>
          <a:graphicData uri="http://schemas.openxmlformats.org/drawingml/2006/chart">
            <c:chart xmlns:c="http://schemas.openxmlformats.org/drawingml/2006/chart" xmlns:r="http://schemas.openxmlformats.org/officeDocument/2006/relationships" r:id="rId13"/>
          </a:graphicData>
        </a:graphic>
      </xdr:graphicFrame>
    </xdr:grpSp>
    <xdr:clientData/>
  </xdr:twoCellAnchor>
  <xdr:twoCellAnchor>
    <xdr:from>
      <xdr:col>16</xdr:col>
      <xdr:colOff>485018</xdr:colOff>
      <xdr:row>28</xdr:row>
      <xdr:rowOff>152400</xdr:rowOff>
    </xdr:from>
    <xdr:to>
      <xdr:col>20</xdr:col>
      <xdr:colOff>58298</xdr:colOff>
      <xdr:row>35</xdr:row>
      <xdr:rowOff>99060</xdr:rowOff>
    </xdr:to>
    <xdr:graphicFrame macro="">
      <xdr:nvGraphicFramePr>
        <xdr:cNvPr id="30" name="Chart 29">
          <a:extLst>
            <a:ext uri="{FF2B5EF4-FFF2-40B4-BE49-F238E27FC236}">
              <a16:creationId xmlns:a16="http://schemas.microsoft.com/office/drawing/2014/main" id="{DF8DAD19-9592-407D-BC75-FDC61915CC2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5</xdr:col>
      <xdr:colOff>0</xdr:colOff>
      <xdr:row>8</xdr:row>
      <xdr:rowOff>53340</xdr:rowOff>
    </xdr:from>
    <xdr:to>
      <xdr:col>6</xdr:col>
      <xdr:colOff>304800</xdr:colOff>
      <xdr:row>10</xdr:row>
      <xdr:rowOff>137160</xdr:rowOff>
    </xdr:to>
    <xdr:sp macro="" textlink="Processing!E31">
      <xdr:nvSpPr>
        <xdr:cNvPr id="31" name="TextBox 30">
          <a:extLst>
            <a:ext uri="{FF2B5EF4-FFF2-40B4-BE49-F238E27FC236}">
              <a16:creationId xmlns:a16="http://schemas.microsoft.com/office/drawing/2014/main" id="{F792DBE1-02F6-41AE-AC66-87DF07185437}"/>
            </a:ext>
          </a:extLst>
        </xdr:cNvPr>
        <xdr:cNvSpPr txBox="1"/>
      </xdr:nvSpPr>
      <xdr:spPr>
        <a:xfrm>
          <a:off x="3048000" y="1516380"/>
          <a:ext cx="914400" cy="4495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94714EBD-EAB5-4C5E-9078-D0EE1DCCC2E0}" type="TxLink">
            <a:rPr lang="en-US" sz="1800" b="0" i="0" u="none" strike="noStrike">
              <a:solidFill>
                <a:srgbClr val="455177"/>
              </a:solidFill>
              <a:latin typeface="Aptos Narrow"/>
              <a:ea typeface="+mn-ea"/>
              <a:cs typeface="+mn-cs"/>
            </a:rPr>
            <a:pPr marL="0" indent="0" algn="ctr"/>
            <a:t>Income</a:t>
          </a:fld>
          <a:endParaRPr lang="ru-RU" sz="1800" b="0" i="0" u="none" strike="noStrike">
            <a:solidFill>
              <a:srgbClr val="455177"/>
            </a:solidFill>
            <a:latin typeface="Aptos Narrow"/>
            <a:ea typeface="+mn-ea"/>
            <a:cs typeface="+mn-cs"/>
          </a:endParaRPr>
        </a:p>
      </xdr:txBody>
    </xdr:sp>
    <xdr:clientData/>
  </xdr:twoCellAnchor>
  <xdr:twoCellAnchor>
    <xdr:from>
      <xdr:col>9</xdr:col>
      <xdr:colOff>95250</xdr:colOff>
      <xdr:row>8</xdr:row>
      <xdr:rowOff>68580</xdr:rowOff>
    </xdr:from>
    <xdr:to>
      <xdr:col>11</xdr:col>
      <xdr:colOff>87630</xdr:colOff>
      <xdr:row>10</xdr:row>
      <xdr:rowOff>152400</xdr:rowOff>
    </xdr:to>
    <xdr:sp macro="" textlink="Processing!F31">
      <xdr:nvSpPr>
        <xdr:cNvPr id="32" name="TextBox 31">
          <a:extLst>
            <a:ext uri="{FF2B5EF4-FFF2-40B4-BE49-F238E27FC236}">
              <a16:creationId xmlns:a16="http://schemas.microsoft.com/office/drawing/2014/main" id="{590DB655-DE93-4045-9DB6-1853F1C08EBC}"/>
            </a:ext>
          </a:extLst>
        </xdr:cNvPr>
        <xdr:cNvSpPr txBox="1"/>
      </xdr:nvSpPr>
      <xdr:spPr>
        <a:xfrm>
          <a:off x="5581650" y="1531620"/>
          <a:ext cx="1211580" cy="4495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40A01C3A-4DFD-47FE-9BFE-DE0CE915F36E}" type="TxLink">
            <a:rPr lang="en-US" sz="1800" b="0" i="0" u="none" strike="noStrike">
              <a:solidFill>
                <a:srgbClr val="455177"/>
              </a:solidFill>
              <a:latin typeface="Aptos Narrow"/>
              <a:ea typeface="+mn-ea"/>
              <a:cs typeface="+mn-cs"/>
            </a:rPr>
            <a:pPr marL="0" indent="0" algn="ctr"/>
            <a:t>Expenses</a:t>
          </a:fld>
          <a:endParaRPr lang="ru-RU" sz="1800" b="0" i="0" u="none" strike="noStrike">
            <a:solidFill>
              <a:srgbClr val="455177"/>
            </a:solidFill>
            <a:latin typeface="Aptos Narrow"/>
            <a:ea typeface="+mn-ea"/>
            <a:cs typeface="+mn-cs"/>
          </a:endParaRPr>
        </a:p>
      </xdr:txBody>
    </xdr:sp>
    <xdr:clientData/>
  </xdr:twoCellAnchor>
  <xdr:twoCellAnchor editAs="oneCell">
    <xdr:from>
      <xdr:col>12</xdr:col>
      <xdr:colOff>419100</xdr:colOff>
      <xdr:row>35</xdr:row>
      <xdr:rowOff>0</xdr:rowOff>
    </xdr:from>
    <xdr:to>
      <xdr:col>16</xdr:col>
      <xdr:colOff>83820</xdr:colOff>
      <xdr:row>37</xdr:row>
      <xdr:rowOff>64008</xdr:rowOff>
    </xdr:to>
    <mc:AlternateContent xmlns:mc="http://schemas.openxmlformats.org/markup-compatibility/2006" xmlns:a14="http://schemas.microsoft.com/office/drawing/2010/main">
      <mc:Choice Requires="a14">
        <xdr:graphicFrame macro="">
          <xdr:nvGraphicFramePr>
            <xdr:cNvPr id="33" name="Year 5">
              <a:extLst>
                <a:ext uri="{FF2B5EF4-FFF2-40B4-BE49-F238E27FC236}">
                  <a16:creationId xmlns:a16="http://schemas.microsoft.com/office/drawing/2014/main" id="{A9FDC135-6F90-493D-8F14-36D40E8BDDDA}"/>
                </a:ext>
              </a:extLst>
            </xdr:cNvPr>
            <xdr:cNvGraphicFramePr/>
          </xdr:nvGraphicFramePr>
          <xdr:xfrm>
            <a:off x="0" y="0"/>
            <a:ext cx="0" cy="0"/>
          </xdr:xfrm>
          <a:graphic>
            <a:graphicData uri="http://schemas.microsoft.com/office/drawing/2010/slicer">
              <sle:slicer xmlns:sle="http://schemas.microsoft.com/office/drawing/2010/slicer" name="Year 5"/>
            </a:graphicData>
          </a:graphic>
        </xdr:graphicFrame>
      </mc:Choice>
      <mc:Fallback xmlns="">
        <xdr:sp macro="" textlink="">
          <xdr:nvSpPr>
            <xdr:cNvPr id="0" name=""/>
            <xdr:cNvSpPr>
              <a:spLocks noTextEdit="1"/>
            </xdr:cNvSpPr>
          </xdr:nvSpPr>
          <xdr:spPr>
            <a:xfrm>
              <a:off x="7734300" y="6400800"/>
              <a:ext cx="2103120" cy="429768"/>
            </a:xfrm>
            <a:prstGeom prst="rect">
              <a:avLst/>
            </a:prstGeom>
            <a:solidFill>
              <a:prstClr val="white"/>
            </a:solidFill>
            <a:ln w="1">
              <a:solidFill>
                <a:prstClr val="green"/>
              </a:solidFill>
            </a:ln>
          </xdr:spPr>
          <xdr:txBody>
            <a:bodyPr vertOverflow="clip" horzOverflow="clip"/>
            <a:lstStyle/>
            <a:p>
              <a:r>
                <a:rPr lang="ru-R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236220</xdr:colOff>
      <xdr:row>35</xdr:row>
      <xdr:rowOff>0</xdr:rowOff>
    </xdr:from>
    <xdr:to>
      <xdr:col>12</xdr:col>
      <xdr:colOff>22860</xdr:colOff>
      <xdr:row>37</xdr:row>
      <xdr:rowOff>64008</xdr:rowOff>
    </xdr:to>
    <mc:AlternateContent xmlns:mc="http://schemas.openxmlformats.org/markup-compatibility/2006" xmlns:a14="http://schemas.microsoft.com/office/drawing/2010/main">
      <mc:Choice Requires="a14">
        <xdr:graphicFrame macro="">
          <xdr:nvGraphicFramePr>
            <xdr:cNvPr id="34" name="Month 5">
              <a:extLst>
                <a:ext uri="{FF2B5EF4-FFF2-40B4-BE49-F238E27FC236}">
                  <a16:creationId xmlns:a16="http://schemas.microsoft.com/office/drawing/2014/main" id="{B7902AEC-1649-4949-B445-0E48A8576343}"/>
                </a:ext>
              </a:extLst>
            </xdr:cNvPr>
            <xdr:cNvGraphicFramePr/>
          </xdr:nvGraphicFramePr>
          <xdr:xfrm>
            <a:off x="0" y="0"/>
            <a:ext cx="0" cy="0"/>
          </xdr:xfrm>
          <a:graphic>
            <a:graphicData uri="http://schemas.microsoft.com/office/drawing/2010/slicer">
              <sle:slicer xmlns:sle="http://schemas.microsoft.com/office/drawing/2010/slicer" name="Month 5"/>
            </a:graphicData>
          </a:graphic>
        </xdr:graphicFrame>
      </mc:Choice>
      <mc:Fallback xmlns="">
        <xdr:sp macro="" textlink="">
          <xdr:nvSpPr>
            <xdr:cNvPr id="0" name=""/>
            <xdr:cNvSpPr>
              <a:spLocks noTextEdit="1"/>
            </xdr:cNvSpPr>
          </xdr:nvSpPr>
          <xdr:spPr>
            <a:xfrm>
              <a:off x="2674620" y="6400800"/>
              <a:ext cx="4663440" cy="429768"/>
            </a:xfrm>
            <a:prstGeom prst="rect">
              <a:avLst/>
            </a:prstGeom>
            <a:solidFill>
              <a:prstClr val="white"/>
            </a:solidFill>
            <a:ln w="1">
              <a:solidFill>
                <a:prstClr val="green"/>
              </a:solidFill>
            </a:ln>
          </xdr:spPr>
          <xdr:txBody>
            <a:bodyPr vertOverflow="clip" horzOverflow="clip"/>
            <a:lstStyle/>
            <a:p>
              <a:r>
                <a:rPr lang="ru-R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500638</xdr:colOff>
      <xdr:row>27</xdr:row>
      <xdr:rowOff>2758</xdr:rowOff>
    </xdr:from>
    <xdr:to>
      <xdr:col>10</xdr:col>
      <xdr:colOff>108963</xdr:colOff>
      <xdr:row>28</xdr:row>
      <xdr:rowOff>50583</xdr:rowOff>
    </xdr:to>
    <xdr:sp macro="" textlink="Processing!F30">
      <xdr:nvSpPr>
        <xdr:cNvPr id="35" name="TextBox 34">
          <a:extLst>
            <a:ext uri="{FF2B5EF4-FFF2-40B4-BE49-F238E27FC236}">
              <a16:creationId xmlns:a16="http://schemas.microsoft.com/office/drawing/2014/main" id="{BCFBD0F3-445E-4F3D-9ABF-7B9B86BB342D}"/>
            </a:ext>
          </a:extLst>
        </xdr:cNvPr>
        <xdr:cNvSpPr txBox="1"/>
      </xdr:nvSpPr>
      <xdr:spPr>
        <a:xfrm>
          <a:off x="5377438" y="4940518"/>
          <a:ext cx="827525" cy="2307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F39BE783-B392-4D7C-8C2A-EEB34489B994}" type="TxLink">
            <a:rPr lang="en-US" sz="1200" b="0" i="0" u="none" strike="noStrike">
              <a:solidFill>
                <a:srgbClr val="FF00FF"/>
              </a:solidFill>
              <a:latin typeface="Aptos Narrow"/>
              <a:ea typeface="+mn-ea"/>
              <a:cs typeface="+mn-cs"/>
            </a:rPr>
            <a:pPr marL="0" indent="0" algn="l"/>
            <a:t> $10,302 </a:t>
          </a:fld>
          <a:endParaRPr lang="ru-RU" sz="2000" b="0" i="0" u="none" strike="noStrike">
            <a:solidFill>
              <a:srgbClr val="FF00FF"/>
            </a:solidFill>
            <a:latin typeface="Aptos Narrow"/>
            <a:ea typeface="+mn-ea"/>
            <a:cs typeface="+mn-cs"/>
          </a:endParaRPr>
        </a:p>
      </xdr:txBody>
    </xdr:sp>
    <xdr:clientData/>
  </xdr:twoCellAnchor>
  <xdr:twoCellAnchor>
    <xdr:from>
      <xdr:col>5</xdr:col>
      <xdr:colOff>348238</xdr:colOff>
      <xdr:row>27</xdr:row>
      <xdr:rowOff>2758</xdr:rowOff>
    </xdr:from>
    <xdr:to>
      <xdr:col>6</xdr:col>
      <xdr:colOff>566163</xdr:colOff>
      <xdr:row>28</xdr:row>
      <xdr:rowOff>50583</xdr:rowOff>
    </xdr:to>
    <xdr:sp macro="" textlink="Processing!E30">
      <xdr:nvSpPr>
        <xdr:cNvPr id="36" name="TextBox 35">
          <a:extLst>
            <a:ext uri="{FF2B5EF4-FFF2-40B4-BE49-F238E27FC236}">
              <a16:creationId xmlns:a16="http://schemas.microsoft.com/office/drawing/2014/main" id="{61FFC985-F579-4EA6-8859-59218A26DAB7}"/>
            </a:ext>
          </a:extLst>
        </xdr:cNvPr>
        <xdr:cNvSpPr txBox="1"/>
      </xdr:nvSpPr>
      <xdr:spPr>
        <a:xfrm>
          <a:off x="3396238" y="4940518"/>
          <a:ext cx="827525" cy="2307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6228063D-045F-42D2-9E29-4ADE8D5D219F}" type="TxLink">
            <a:rPr lang="en-US" sz="1200" b="0" i="0" u="none" strike="noStrike">
              <a:solidFill>
                <a:srgbClr val="2373DF"/>
              </a:solidFill>
              <a:latin typeface="Aptos Narrow"/>
              <a:ea typeface="+mn-ea"/>
              <a:cs typeface="+mn-cs"/>
            </a:rPr>
            <a:pPr marL="0" indent="0" algn="r"/>
            <a:t> $12,533 </a:t>
          </a:fld>
          <a:endParaRPr lang="ru-RU" sz="2400" b="0" i="0" u="none" strike="noStrike">
            <a:solidFill>
              <a:srgbClr val="2373DF"/>
            </a:solidFill>
            <a:latin typeface="Aptos Narrow"/>
            <a:ea typeface="+mn-ea"/>
            <a:cs typeface="+mn-cs"/>
          </a:endParaRPr>
        </a:p>
      </xdr:txBody>
    </xdr:sp>
    <xdr:clientData/>
  </xdr:twoCellAnchor>
  <xdr:twoCellAnchor editAs="oneCell">
    <xdr:from>
      <xdr:col>16</xdr:col>
      <xdr:colOff>530738</xdr:colOff>
      <xdr:row>35</xdr:row>
      <xdr:rowOff>0</xdr:rowOff>
    </xdr:from>
    <xdr:to>
      <xdr:col>20</xdr:col>
      <xdr:colOff>12578</xdr:colOff>
      <xdr:row>37</xdr:row>
      <xdr:rowOff>64008</xdr:rowOff>
    </xdr:to>
    <mc:AlternateContent xmlns:mc="http://schemas.openxmlformats.org/markup-compatibility/2006" xmlns:a14="http://schemas.microsoft.com/office/drawing/2010/main">
      <mc:Choice Requires="a14">
        <xdr:graphicFrame macro="">
          <xdr:nvGraphicFramePr>
            <xdr:cNvPr id="37" name="Buttons 6">
              <a:extLst>
                <a:ext uri="{FF2B5EF4-FFF2-40B4-BE49-F238E27FC236}">
                  <a16:creationId xmlns:a16="http://schemas.microsoft.com/office/drawing/2014/main" id="{6A5A7FAB-3825-4A43-B721-C8AC88FEC1BC}"/>
                </a:ext>
              </a:extLst>
            </xdr:cNvPr>
            <xdr:cNvGraphicFramePr/>
          </xdr:nvGraphicFramePr>
          <xdr:xfrm>
            <a:off x="0" y="0"/>
            <a:ext cx="0" cy="0"/>
          </xdr:xfrm>
          <a:graphic>
            <a:graphicData uri="http://schemas.microsoft.com/office/drawing/2010/slicer">
              <sle:slicer xmlns:sle="http://schemas.microsoft.com/office/drawing/2010/slicer" name="Buttons 6"/>
            </a:graphicData>
          </a:graphic>
        </xdr:graphicFrame>
      </mc:Choice>
      <mc:Fallback xmlns="">
        <xdr:sp macro="" textlink="">
          <xdr:nvSpPr>
            <xdr:cNvPr id="0" name=""/>
            <xdr:cNvSpPr>
              <a:spLocks noTextEdit="1"/>
            </xdr:cNvSpPr>
          </xdr:nvSpPr>
          <xdr:spPr>
            <a:xfrm>
              <a:off x="10284338" y="6400800"/>
              <a:ext cx="1920240" cy="429768"/>
            </a:xfrm>
            <a:prstGeom prst="rect">
              <a:avLst/>
            </a:prstGeom>
            <a:solidFill>
              <a:prstClr val="white"/>
            </a:solidFill>
            <a:ln w="1">
              <a:solidFill>
                <a:prstClr val="green"/>
              </a:solidFill>
            </a:ln>
          </xdr:spPr>
          <xdr:txBody>
            <a:bodyPr vertOverflow="clip" horzOverflow="clip"/>
            <a:lstStyle/>
            <a:p>
              <a:r>
                <a:rPr lang="ru-R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16</xdr:col>
      <xdr:colOff>108357</xdr:colOff>
      <xdr:row>7</xdr:row>
      <xdr:rowOff>72390</xdr:rowOff>
    </xdr:from>
    <xdr:to>
      <xdr:col>19</xdr:col>
      <xdr:colOff>592684</xdr:colOff>
      <xdr:row>15</xdr:row>
      <xdr:rowOff>156210</xdr:rowOff>
    </xdr:to>
    <xdr:grpSp>
      <xdr:nvGrpSpPr>
        <xdr:cNvPr id="38" name="Group 37">
          <a:extLst>
            <a:ext uri="{FF2B5EF4-FFF2-40B4-BE49-F238E27FC236}">
              <a16:creationId xmlns:a16="http://schemas.microsoft.com/office/drawing/2014/main" id="{9D6DA3F9-0D6B-4F03-91C8-74CF8A7B577D}"/>
            </a:ext>
          </a:extLst>
        </xdr:cNvPr>
        <xdr:cNvGrpSpPr/>
      </xdr:nvGrpSpPr>
      <xdr:grpSpPr>
        <a:xfrm>
          <a:off x="9929690" y="1405890"/>
          <a:ext cx="2325827" cy="1607820"/>
          <a:chOff x="9861957" y="1352550"/>
          <a:chExt cx="2313127" cy="1546860"/>
        </a:xfrm>
      </xdr:grpSpPr>
      <xdr:sp macro="" textlink="Processing!K18">
        <xdr:nvSpPr>
          <xdr:cNvPr id="39" name="TextBox 38">
            <a:extLst>
              <a:ext uri="{FF2B5EF4-FFF2-40B4-BE49-F238E27FC236}">
                <a16:creationId xmlns:a16="http://schemas.microsoft.com/office/drawing/2014/main" id="{C6FA618C-259E-7238-EEEB-806DBE4402F2}"/>
              </a:ext>
            </a:extLst>
          </xdr:cNvPr>
          <xdr:cNvSpPr txBox="1"/>
        </xdr:nvSpPr>
        <xdr:spPr>
          <a:xfrm>
            <a:off x="9890760" y="1352550"/>
            <a:ext cx="27432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D3E7255-CADA-4230-BD23-D54321216D7F}" type="TxLink">
              <a:rPr lang="en-US" sz="1100" b="0" i="0" u="none" strike="noStrike">
                <a:solidFill>
                  <a:schemeClr val="bg1"/>
                </a:solidFill>
                <a:latin typeface="Aptos Narrow"/>
              </a:rPr>
              <a:pPr algn="ctr"/>
              <a:t> </a:t>
            </a:fld>
            <a:endParaRPr lang="ru-RU" sz="1100">
              <a:solidFill>
                <a:schemeClr val="bg1"/>
              </a:solidFill>
            </a:endParaRPr>
          </a:p>
        </xdr:txBody>
      </xdr:sp>
      <xdr:sp macro="" textlink="Processing!L18">
        <xdr:nvSpPr>
          <xdr:cNvPr id="40" name="TextBox 39">
            <a:extLst>
              <a:ext uri="{FF2B5EF4-FFF2-40B4-BE49-F238E27FC236}">
                <a16:creationId xmlns:a16="http://schemas.microsoft.com/office/drawing/2014/main" id="{8F707904-6506-4F8B-EC8A-17CBBCF0EB63}"/>
              </a:ext>
            </a:extLst>
          </xdr:cNvPr>
          <xdr:cNvSpPr txBox="1"/>
        </xdr:nvSpPr>
        <xdr:spPr>
          <a:xfrm>
            <a:off x="10220960" y="1352550"/>
            <a:ext cx="27432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1C6F21F-FDF9-4379-8CF8-B6BD162D0F3A}" type="TxLink">
              <a:rPr lang="en-US" sz="1100" b="0" i="0" u="none" strike="noStrike">
                <a:solidFill>
                  <a:schemeClr val="bg1"/>
                </a:solidFill>
                <a:latin typeface="Aptos Narrow"/>
              </a:rPr>
              <a:pPr algn="ctr"/>
              <a:t> </a:t>
            </a:fld>
            <a:endParaRPr lang="ru-RU" sz="1100">
              <a:solidFill>
                <a:schemeClr val="bg1"/>
              </a:solidFill>
            </a:endParaRPr>
          </a:p>
        </xdr:txBody>
      </xdr:sp>
      <xdr:sp macro="" textlink="Processing!M18">
        <xdr:nvSpPr>
          <xdr:cNvPr id="41" name="TextBox 40">
            <a:extLst>
              <a:ext uri="{FF2B5EF4-FFF2-40B4-BE49-F238E27FC236}">
                <a16:creationId xmlns:a16="http://schemas.microsoft.com/office/drawing/2014/main" id="{B1A648D1-85E9-C052-3C22-E2F644AAAF30}"/>
              </a:ext>
            </a:extLst>
          </xdr:cNvPr>
          <xdr:cNvSpPr txBox="1"/>
        </xdr:nvSpPr>
        <xdr:spPr>
          <a:xfrm>
            <a:off x="10551160" y="1352550"/>
            <a:ext cx="27432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1610ED9-FE00-40BD-8F7F-81F57958080E}" type="TxLink">
              <a:rPr lang="en-US" sz="1100" b="0" i="0" u="none" strike="noStrike">
                <a:solidFill>
                  <a:schemeClr val="bg1"/>
                </a:solidFill>
                <a:latin typeface="Aptos Narrow"/>
              </a:rPr>
              <a:pPr algn="ctr"/>
              <a:t> </a:t>
            </a:fld>
            <a:endParaRPr lang="ru-RU" sz="1100">
              <a:solidFill>
                <a:schemeClr val="bg1"/>
              </a:solidFill>
            </a:endParaRPr>
          </a:p>
        </xdr:txBody>
      </xdr:sp>
      <xdr:sp macro="" textlink="Processing!N18">
        <xdr:nvSpPr>
          <xdr:cNvPr id="42" name="TextBox 41">
            <a:extLst>
              <a:ext uri="{FF2B5EF4-FFF2-40B4-BE49-F238E27FC236}">
                <a16:creationId xmlns:a16="http://schemas.microsoft.com/office/drawing/2014/main" id="{19A823BE-A8E2-9CDF-A16C-A96B571EF7AE}"/>
              </a:ext>
            </a:extLst>
          </xdr:cNvPr>
          <xdr:cNvSpPr txBox="1"/>
        </xdr:nvSpPr>
        <xdr:spPr>
          <a:xfrm>
            <a:off x="10881360" y="1352550"/>
            <a:ext cx="27432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0821B4C-4BAA-44F2-AE44-CF18588BA78E}" type="TxLink">
              <a:rPr lang="en-US" sz="1100" b="0" i="0" u="none" strike="noStrike">
                <a:solidFill>
                  <a:schemeClr val="bg1"/>
                </a:solidFill>
                <a:latin typeface="Aptos Narrow"/>
              </a:rPr>
              <a:pPr algn="ctr"/>
              <a:t> </a:t>
            </a:fld>
            <a:endParaRPr lang="ru-RU" sz="1100">
              <a:solidFill>
                <a:schemeClr val="bg1"/>
              </a:solidFill>
            </a:endParaRPr>
          </a:p>
        </xdr:txBody>
      </xdr:sp>
      <xdr:sp macro="" textlink="Processing!O18">
        <xdr:nvSpPr>
          <xdr:cNvPr id="43" name="TextBox 42">
            <a:extLst>
              <a:ext uri="{FF2B5EF4-FFF2-40B4-BE49-F238E27FC236}">
                <a16:creationId xmlns:a16="http://schemas.microsoft.com/office/drawing/2014/main" id="{20D44B5D-9E33-82D4-D299-A07B6F64ECA2}"/>
              </a:ext>
            </a:extLst>
          </xdr:cNvPr>
          <xdr:cNvSpPr txBox="1"/>
        </xdr:nvSpPr>
        <xdr:spPr>
          <a:xfrm>
            <a:off x="11211560" y="1352550"/>
            <a:ext cx="27432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3900FCD-5EFC-4A56-8CED-011582CB3E1E}" type="TxLink">
              <a:rPr lang="en-US" sz="1100" b="0" i="0" u="none" strike="noStrike">
                <a:solidFill>
                  <a:schemeClr val="bg1"/>
                </a:solidFill>
                <a:latin typeface="Aptos Narrow"/>
              </a:rPr>
              <a:pPr algn="ctr"/>
              <a:t>1</a:t>
            </a:fld>
            <a:endParaRPr lang="ru-RU" sz="1100">
              <a:solidFill>
                <a:schemeClr val="bg1"/>
              </a:solidFill>
            </a:endParaRPr>
          </a:p>
        </xdr:txBody>
      </xdr:sp>
      <xdr:sp macro="" textlink="Processing!P18">
        <xdr:nvSpPr>
          <xdr:cNvPr id="44" name="TextBox 43">
            <a:extLst>
              <a:ext uri="{FF2B5EF4-FFF2-40B4-BE49-F238E27FC236}">
                <a16:creationId xmlns:a16="http://schemas.microsoft.com/office/drawing/2014/main" id="{9168D7EC-CEEB-0F4E-0767-5804C4FCDEA8}"/>
              </a:ext>
            </a:extLst>
          </xdr:cNvPr>
          <xdr:cNvSpPr txBox="1"/>
        </xdr:nvSpPr>
        <xdr:spPr>
          <a:xfrm>
            <a:off x="11541760" y="1352550"/>
            <a:ext cx="27432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1C9B50A-1F2B-470C-A2CD-50A82C48B554}" type="TxLink">
              <a:rPr lang="en-US" sz="1100" b="0" i="0" u="none" strike="noStrike">
                <a:solidFill>
                  <a:schemeClr val="bg1"/>
                </a:solidFill>
                <a:latin typeface="Aptos Narrow"/>
              </a:rPr>
              <a:pPr algn="ctr"/>
              <a:t>2</a:t>
            </a:fld>
            <a:endParaRPr lang="ru-RU" sz="1100">
              <a:solidFill>
                <a:schemeClr val="bg1"/>
              </a:solidFill>
            </a:endParaRPr>
          </a:p>
        </xdr:txBody>
      </xdr:sp>
      <xdr:sp macro="" textlink="Processing!Q18">
        <xdr:nvSpPr>
          <xdr:cNvPr id="45" name="TextBox 44">
            <a:extLst>
              <a:ext uri="{FF2B5EF4-FFF2-40B4-BE49-F238E27FC236}">
                <a16:creationId xmlns:a16="http://schemas.microsoft.com/office/drawing/2014/main" id="{87B4A4A9-BA1F-50E8-D4A2-FEF7D7BB643D}"/>
              </a:ext>
            </a:extLst>
          </xdr:cNvPr>
          <xdr:cNvSpPr txBox="1"/>
        </xdr:nvSpPr>
        <xdr:spPr>
          <a:xfrm>
            <a:off x="11871960" y="1352550"/>
            <a:ext cx="27432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2B7511D-7E23-4379-9E06-0EFB29477EA3}" type="TxLink">
              <a:rPr lang="en-US" sz="1100" b="0" i="0" u="none" strike="noStrike">
                <a:solidFill>
                  <a:schemeClr val="bg1"/>
                </a:solidFill>
                <a:latin typeface="Aptos Narrow"/>
              </a:rPr>
              <a:pPr algn="ctr"/>
              <a:t>3</a:t>
            </a:fld>
            <a:endParaRPr lang="ru-RU" sz="1100">
              <a:solidFill>
                <a:schemeClr val="bg1"/>
              </a:solidFill>
            </a:endParaRPr>
          </a:p>
        </xdr:txBody>
      </xdr:sp>
      <xdr:sp macro="" textlink="Processing!K19">
        <xdr:nvSpPr>
          <xdr:cNvPr id="46" name="TextBox 45">
            <a:extLst>
              <a:ext uri="{FF2B5EF4-FFF2-40B4-BE49-F238E27FC236}">
                <a16:creationId xmlns:a16="http://schemas.microsoft.com/office/drawing/2014/main" id="{7CDD06D5-F26F-F295-35A0-544AA25E61B8}"/>
              </a:ext>
            </a:extLst>
          </xdr:cNvPr>
          <xdr:cNvSpPr txBox="1"/>
        </xdr:nvSpPr>
        <xdr:spPr>
          <a:xfrm>
            <a:off x="9890760" y="1604010"/>
            <a:ext cx="27432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734A8F3-B214-4719-B067-7A5649E0BED0}" type="TxLink">
              <a:rPr lang="en-US" sz="1100" b="0" i="0" u="none" strike="noStrike">
                <a:solidFill>
                  <a:schemeClr val="bg1"/>
                </a:solidFill>
                <a:latin typeface="Aptos Narrow"/>
              </a:rPr>
              <a:pPr algn="ctr"/>
              <a:t>4</a:t>
            </a:fld>
            <a:endParaRPr lang="ru-RU" sz="1100">
              <a:solidFill>
                <a:schemeClr val="bg1"/>
              </a:solidFill>
            </a:endParaRPr>
          </a:p>
        </xdr:txBody>
      </xdr:sp>
      <xdr:sp macro="" textlink="Processing!L19">
        <xdr:nvSpPr>
          <xdr:cNvPr id="47" name="TextBox 46">
            <a:extLst>
              <a:ext uri="{FF2B5EF4-FFF2-40B4-BE49-F238E27FC236}">
                <a16:creationId xmlns:a16="http://schemas.microsoft.com/office/drawing/2014/main" id="{F0A05B12-BEEB-7B02-580F-27B5E47FD190}"/>
              </a:ext>
            </a:extLst>
          </xdr:cNvPr>
          <xdr:cNvSpPr txBox="1"/>
        </xdr:nvSpPr>
        <xdr:spPr>
          <a:xfrm>
            <a:off x="10220960" y="1604010"/>
            <a:ext cx="27432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F7073B0-31DA-4010-92B7-F7156DB1F6CD}" type="TxLink">
              <a:rPr lang="en-US" sz="1100" b="0" i="0" u="none" strike="noStrike">
                <a:solidFill>
                  <a:schemeClr val="bg1"/>
                </a:solidFill>
                <a:latin typeface="Aptos Narrow"/>
              </a:rPr>
              <a:pPr algn="ctr"/>
              <a:t>5</a:t>
            </a:fld>
            <a:endParaRPr lang="ru-RU" sz="1100">
              <a:solidFill>
                <a:schemeClr val="bg1"/>
              </a:solidFill>
            </a:endParaRPr>
          </a:p>
        </xdr:txBody>
      </xdr:sp>
      <xdr:sp macro="" textlink="Processing!M19">
        <xdr:nvSpPr>
          <xdr:cNvPr id="48" name="TextBox 47">
            <a:extLst>
              <a:ext uri="{FF2B5EF4-FFF2-40B4-BE49-F238E27FC236}">
                <a16:creationId xmlns:a16="http://schemas.microsoft.com/office/drawing/2014/main" id="{C1E822F8-EDBD-28A8-8CA8-2CF2D5648554}"/>
              </a:ext>
            </a:extLst>
          </xdr:cNvPr>
          <xdr:cNvSpPr txBox="1"/>
        </xdr:nvSpPr>
        <xdr:spPr>
          <a:xfrm>
            <a:off x="10551160" y="1604010"/>
            <a:ext cx="27432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E4519E0-88CC-4A87-BEC0-C59796ABFC34}" type="TxLink">
              <a:rPr lang="en-US" sz="1100" b="0" i="0" u="none" strike="noStrike">
                <a:solidFill>
                  <a:schemeClr val="bg1"/>
                </a:solidFill>
                <a:latin typeface="Aptos Narrow"/>
              </a:rPr>
              <a:pPr algn="ctr"/>
              <a:t>6</a:t>
            </a:fld>
            <a:endParaRPr lang="ru-RU" sz="1100">
              <a:solidFill>
                <a:schemeClr val="bg1"/>
              </a:solidFill>
            </a:endParaRPr>
          </a:p>
        </xdr:txBody>
      </xdr:sp>
      <xdr:sp macro="" textlink="Processing!N19">
        <xdr:nvSpPr>
          <xdr:cNvPr id="49" name="TextBox 48">
            <a:extLst>
              <a:ext uri="{FF2B5EF4-FFF2-40B4-BE49-F238E27FC236}">
                <a16:creationId xmlns:a16="http://schemas.microsoft.com/office/drawing/2014/main" id="{51E3E558-E750-8485-9B6E-C1D34576951A}"/>
              </a:ext>
            </a:extLst>
          </xdr:cNvPr>
          <xdr:cNvSpPr txBox="1"/>
        </xdr:nvSpPr>
        <xdr:spPr>
          <a:xfrm>
            <a:off x="10881360" y="1604010"/>
            <a:ext cx="27432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4851FCB-C615-4FE3-9319-CD60603925D0}" type="TxLink">
              <a:rPr lang="en-US" sz="1100" b="0" i="0" u="none" strike="noStrike">
                <a:solidFill>
                  <a:schemeClr val="bg1"/>
                </a:solidFill>
                <a:latin typeface="Aptos Narrow"/>
              </a:rPr>
              <a:pPr algn="ctr"/>
              <a:t>7</a:t>
            </a:fld>
            <a:endParaRPr lang="ru-RU" sz="1100">
              <a:solidFill>
                <a:schemeClr val="bg1"/>
              </a:solidFill>
            </a:endParaRPr>
          </a:p>
        </xdr:txBody>
      </xdr:sp>
      <xdr:sp macro="" textlink="Processing!O19">
        <xdr:nvSpPr>
          <xdr:cNvPr id="50" name="TextBox 49">
            <a:extLst>
              <a:ext uri="{FF2B5EF4-FFF2-40B4-BE49-F238E27FC236}">
                <a16:creationId xmlns:a16="http://schemas.microsoft.com/office/drawing/2014/main" id="{D91DEA86-1FAD-5F2E-9FAC-69CFEAD021CF}"/>
              </a:ext>
            </a:extLst>
          </xdr:cNvPr>
          <xdr:cNvSpPr txBox="1"/>
        </xdr:nvSpPr>
        <xdr:spPr>
          <a:xfrm>
            <a:off x="11211560" y="1604010"/>
            <a:ext cx="27432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FD928CD-492E-48F0-AAD1-A041DAEAA5E6}" type="TxLink">
              <a:rPr lang="en-US" sz="1100" b="0" i="0" u="none" strike="noStrike">
                <a:solidFill>
                  <a:schemeClr val="bg1"/>
                </a:solidFill>
                <a:latin typeface="Aptos Narrow"/>
              </a:rPr>
              <a:pPr algn="ctr"/>
              <a:t>8</a:t>
            </a:fld>
            <a:endParaRPr lang="ru-RU" sz="1100">
              <a:solidFill>
                <a:schemeClr val="bg1"/>
              </a:solidFill>
            </a:endParaRPr>
          </a:p>
        </xdr:txBody>
      </xdr:sp>
      <xdr:sp macro="" textlink="Processing!P19">
        <xdr:nvSpPr>
          <xdr:cNvPr id="51" name="TextBox 50">
            <a:extLst>
              <a:ext uri="{FF2B5EF4-FFF2-40B4-BE49-F238E27FC236}">
                <a16:creationId xmlns:a16="http://schemas.microsoft.com/office/drawing/2014/main" id="{A68229EF-0A61-842B-A798-8F3AB2B5D64F}"/>
              </a:ext>
            </a:extLst>
          </xdr:cNvPr>
          <xdr:cNvSpPr txBox="1"/>
        </xdr:nvSpPr>
        <xdr:spPr>
          <a:xfrm>
            <a:off x="11541760" y="1604010"/>
            <a:ext cx="27432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ADF5C92-B1EA-4B23-93A4-EDF486955967}" type="TxLink">
              <a:rPr lang="en-US" sz="1100" b="0" i="0" u="none" strike="noStrike">
                <a:solidFill>
                  <a:schemeClr val="bg1"/>
                </a:solidFill>
                <a:latin typeface="Aptos Narrow"/>
              </a:rPr>
              <a:pPr algn="ctr"/>
              <a:t>9</a:t>
            </a:fld>
            <a:endParaRPr lang="ru-RU" sz="1100">
              <a:solidFill>
                <a:schemeClr val="bg1"/>
              </a:solidFill>
            </a:endParaRPr>
          </a:p>
        </xdr:txBody>
      </xdr:sp>
      <xdr:sp macro="" textlink="Processing!Q19">
        <xdr:nvSpPr>
          <xdr:cNvPr id="52" name="TextBox 51">
            <a:extLst>
              <a:ext uri="{FF2B5EF4-FFF2-40B4-BE49-F238E27FC236}">
                <a16:creationId xmlns:a16="http://schemas.microsoft.com/office/drawing/2014/main" id="{9C31C060-6931-A6C1-0C86-C4F624949D3E}"/>
              </a:ext>
            </a:extLst>
          </xdr:cNvPr>
          <xdr:cNvSpPr txBox="1"/>
        </xdr:nvSpPr>
        <xdr:spPr>
          <a:xfrm>
            <a:off x="11871960" y="1604010"/>
            <a:ext cx="27432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F13E9FE-F125-434D-BD7E-0614FC50A4FA}" type="TxLink">
              <a:rPr lang="en-US" sz="1100" b="0" i="0" u="none" strike="noStrike">
                <a:solidFill>
                  <a:schemeClr val="bg1"/>
                </a:solidFill>
                <a:latin typeface="Aptos Narrow"/>
              </a:rPr>
              <a:pPr algn="ctr"/>
              <a:t>10</a:t>
            </a:fld>
            <a:endParaRPr lang="ru-RU" sz="1100">
              <a:solidFill>
                <a:schemeClr val="bg1"/>
              </a:solidFill>
            </a:endParaRPr>
          </a:p>
        </xdr:txBody>
      </xdr:sp>
      <xdr:sp macro="" textlink="Processing!K20">
        <xdr:nvSpPr>
          <xdr:cNvPr id="53" name="TextBox 52">
            <a:extLst>
              <a:ext uri="{FF2B5EF4-FFF2-40B4-BE49-F238E27FC236}">
                <a16:creationId xmlns:a16="http://schemas.microsoft.com/office/drawing/2014/main" id="{5ACB6C11-51B9-1752-630C-CDDA96AA154B}"/>
              </a:ext>
            </a:extLst>
          </xdr:cNvPr>
          <xdr:cNvSpPr txBox="1"/>
        </xdr:nvSpPr>
        <xdr:spPr>
          <a:xfrm>
            <a:off x="9861957" y="1863090"/>
            <a:ext cx="331927"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93D72D5-7AC8-45DD-8439-FB93AFA960DC}" type="TxLink">
              <a:rPr lang="en-US" sz="1100" b="0" i="0" u="none" strike="noStrike">
                <a:solidFill>
                  <a:schemeClr val="bg1"/>
                </a:solidFill>
                <a:latin typeface="Aptos Narrow"/>
              </a:rPr>
              <a:pPr algn="ctr"/>
              <a:t>11</a:t>
            </a:fld>
            <a:endParaRPr lang="ru-RU" sz="1100">
              <a:solidFill>
                <a:schemeClr val="bg1"/>
              </a:solidFill>
            </a:endParaRPr>
          </a:p>
        </xdr:txBody>
      </xdr:sp>
      <xdr:sp macro="" textlink="Processing!L20">
        <xdr:nvSpPr>
          <xdr:cNvPr id="54" name="TextBox 53">
            <a:extLst>
              <a:ext uri="{FF2B5EF4-FFF2-40B4-BE49-F238E27FC236}">
                <a16:creationId xmlns:a16="http://schemas.microsoft.com/office/drawing/2014/main" id="{73F0E515-26EC-7695-D7D1-FD374F79684D}"/>
              </a:ext>
            </a:extLst>
          </xdr:cNvPr>
          <xdr:cNvSpPr txBox="1"/>
        </xdr:nvSpPr>
        <xdr:spPr>
          <a:xfrm>
            <a:off x="10192157" y="1863090"/>
            <a:ext cx="331927"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2516537-E3FB-4583-9CFC-58FE2FBD8DA0}" type="TxLink">
              <a:rPr lang="en-US" sz="1100" b="0" i="0" u="none" strike="noStrike">
                <a:solidFill>
                  <a:schemeClr val="bg1"/>
                </a:solidFill>
                <a:latin typeface="Aptos Narrow"/>
              </a:rPr>
              <a:pPr algn="ctr"/>
              <a:t>12</a:t>
            </a:fld>
            <a:endParaRPr lang="ru-RU" sz="1100">
              <a:solidFill>
                <a:schemeClr val="bg1"/>
              </a:solidFill>
            </a:endParaRPr>
          </a:p>
        </xdr:txBody>
      </xdr:sp>
      <xdr:sp macro="" textlink="Processing!M20">
        <xdr:nvSpPr>
          <xdr:cNvPr id="55" name="TextBox 54">
            <a:extLst>
              <a:ext uri="{FF2B5EF4-FFF2-40B4-BE49-F238E27FC236}">
                <a16:creationId xmlns:a16="http://schemas.microsoft.com/office/drawing/2014/main" id="{2A9A9D78-29D5-1559-D891-120ED2ED5F21}"/>
              </a:ext>
            </a:extLst>
          </xdr:cNvPr>
          <xdr:cNvSpPr txBox="1"/>
        </xdr:nvSpPr>
        <xdr:spPr>
          <a:xfrm>
            <a:off x="10522357" y="1863090"/>
            <a:ext cx="331927"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76D20A2-3B17-4419-A0BB-129F95622FC4}" type="TxLink">
              <a:rPr lang="en-US" sz="1100" b="0" i="0" u="none" strike="noStrike">
                <a:solidFill>
                  <a:schemeClr val="bg1"/>
                </a:solidFill>
                <a:latin typeface="Aptos Narrow"/>
              </a:rPr>
              <a:pPr algn="ctr"/>
              <a:t>13</a:t>
            </a:fld>
            <a:endParaRPr lang="ru-RU" sz="1100">
              <a:solidFill>
                <a:schemeClr val="bg1"/>
              </a:solidFill>
            </a:endParaRPr>
          </a:p>
        </xdr:txBody>
      </xdr:sp>
      <xdr:sp macro="" textlink="Processing!N20">
        <xdr:nvSpPr>
          <xdr:cNvPr id="56" name="TextBox 55">
            <a:extLst>
              <a:ext uri="{FF2B5EF4-FFF2-40B4-BE49-F238E27FC236}">
                <a16:creationId xmlns:a16="http://schemas.microsoft.com/office/drawing/2014/main" id="{1CA4C757-EF6A-EA3C-2E20-02854462B002}"/>
              </a:ext>
            </a:extLst>
          </xdr:cNvPr>
          <xdr:cNvSpPr txBox="1"/>
        </xdr:nvSpPr>
        <xdr:spPr>
          <a:xfrm>
            <a:off x="10852557" y="1863090"/>
            <a:ext cx="331927"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2057887-148A-4DA4-9606-3F1365AB6939}" type="TxLink">
              <a:rPr lang="en-US" sz="1100" b="0" i="0" u="none" strike="noStrike">
                <a:solidFill>
                  <a:schemeClr val="bg1"/>
                </a:solidFill>
                <a:latin typeface="Aptos Narrow"/>
              </a:rPr>
              <a:pPr algn="ctr"/>
              <a:t>14</a:t>
            </a:fld>
            <a:endParaRPr lang="ru-RU" sz="1100">
              <a:solidFill>
                <a:schemeClr val="bg1"/>
              </a:solidFill>
            </a:endParaRPr>
          </a:p>
        </xdr:txBody>
      </xdr:sp>
      <xdr:sp macro="" textlink="Processing!O20">
        <xdr:nvSpPr>
          <xdr:cNvPr id="57" name="TextBox 56">
            <a:extLst>
              <a:ext uri="{FF2B5EF4-FFF2-40B4-BE49-F238E27FC236}">
                <a16:creationId xmlns:a16="http://schemas.microsoft.com/office/drawing/2014/main" id="{DC5BC385-013F-F991-D5DF-F985BD84AE3B}"/>
              </a:ext>
            </a:extLst>
          </xdr:cNvPr>
          <xdr:cNvSpPr txBox="1"/>
        </xdr:nvSpPr>
        <xdr:spPr>
          <a:xfrm>
            <a:off x="11182757" y="1863090"/>
            <a:ext cx="331927"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CFDC083-655D-45DE-ABDC-201FA0A374BB}" type="TxLink">
              <a:rPr lang="en-US" sz="1100" b="0" i="0" u="none" strike="noStrike">
                <a:solidFill>
                  <a:schemeClr val="bg1"/>
                </a:solidFill>
                <a:latin typeface="Aptos Narrow"/>
              </a:rPr>
              <a:pPr algn="ctr"/>
              <a:t>15</a:t>
            </a:fld>
            <a:endParaRPr lang="ru-RU" sz="1100">
              <a:solidFill>
                <a:schemeClr val="bg1"/>
              </a:solidFill>
            </a:endParaRPr>
          </a:p>
        </xdr:txBody>
      </xdr:sp>
      <xdr:sp macro="" textlink="Processing!P20">
        <xdr:nvSpPr>
          <xdr:cNvPr id="58" name="TextBox 57">
            <a:extLst>
              <a:ext uri="{FF2B5EF4-FFF2-40B4-BE49-F238E27FC236}">
                <a16:creationId xmlns:a16="http://schemas.microsoft.com/office/drawing/2014/main" id="{8E15D59F-6A4D-44D1-23E6-DAC75C06E571}"/>
              </a:ext>
            </a:extLst>
          </xdr:cNvPr>
          <xdr:cNvSpPr txBox="1"/>
        </xdr:nvSpPr>
        <xdr:spPr>
          <a:xfrm>
            <a:off x="11512957" y="1863090"/>
            <a:ext cx="331927"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7F05786-ECB9-4D56-894B-DEAE253EFB82}" type="TxLink">
              <a:rPr lang="en-US" sz="1100" b="0" i="0" u="none" strike="noStrike">
                <a:solidFill>
                  <a:schemeClr val="bg1"/>
                </a:solidFill>
                <a:latin typeface="Aptos Narrow"/>
              </a:rPr>
              <a:pPr algn="ctr"/>
              <a:t>16</a:t>
            </a:fld>
            <a:endParaRPr lang="ru-RU" sz="1100">
              <a:solidFill>
                <a:schemeClr val="bg1"/>
              </a:solidFill>
            </a:endParaRPr>
          </a:p>
        </xdr:txBody>
      </xdr:sp>
      <xdr:sp macro="" textlink="Processing!Q20">
        <xdr:nvSpPr>
          <xdr:cNvPr id="59" name="TextBox 58">
            <a:extLst>
              <a:ext uri="{FF2B5EF4-FFF2-40B4-BE49-F238E27FC236}">
                <a16:creationId xmlns:a16="http://schemas.microsoft.com/office/drawing/2014/main" id="{698C5B5D-AFA3-C76B-AF46-20C67C073EF2}"/>
              </a:ext>
            </a:extLst>
          </xdr:cNvPr>
          <xdr:cNvSpPr txBox="1"/>
        </xdr:nvSpPr>
        <xdr:spPr>
          <a:xfrm>
            <a:off x="11843157" y="1863090"/>
            <a:ext cx="331927"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0BBCAF6-90AB-44AA-84B2-9314DE957D23}" type="TxLink">
              <a:rPr lang="en-US" sz="1100" b="0" i="0" u="none" strike="noStrike">
                <a:solidFill>
                  <a:schemeClr val="bg1"/>
                </a:solidFill>
                <a:latin typeface="Aptos Narrow"/>
              </a:rPr>
              <a:pPr algn="ctr"/>
              <a:t>17</a:t>
            </a:fld>
            <a:endParaRPr lang="ru-RU" sz="1100">
              <a:solidFill>
                <a:schemeClr val="bg1"/>
              </a:solidFill>
            </a:endParaRPr>
          </a:p>
        </xdr:txBody>
      </xdr:sp>
      <xdr:sp macro="" textlink="Processing!K21">
        <xdr:nvSpPr>
          <xdr:cNvPr id="60" name="TextBox 59">
            <a:extLst>
              <a:ext uri="{FF2B5EF4-FFF2-40B4-BE49-F238E27FC236}">
                <a16:creationId xmlns:a16="http://schemas.microsoft.com/office/drawing/2014/main" id="{A48F85CF-CBC8-711F-93A9-069D850ED6D0}"/>
              </a:ext>
            </a:extLst>
          </xdr:cNvPr>
          <xdr:cNvSpPr txBox="1"/>
        </xdr:nvSpPr>
        <xdr:spPr>
          <a:xfrm>
            <a:off x="9861957" y="2114550"/>
            <a:ext cx="331927"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F60CDE4-322C-40AF-8B58-CAED286107F1}" type="TxLink">
              <a:rPr lang="en-US" sz="1100" b="0" i="0" u="none" strike="noStrike">
                <a:solidFill>
                  <a:schemeClr val="bg1"/>
                </a:solidFill>
                <a:latin typeface="Aptos Narrow"/>
              </a:rPr>
              <a:pPr algn="ctr"/>
              <a:t>18</a:t>
            </a:fld>
            <a:endParaRPr lang="ru-RU" sz="1100">
              <a:solidFill>
                <a:schemeClr val="bg1"/>
              </a:solidFill>
            </a:endParaRPr>
          </a:p>
        </xdr:txBody>
      </xdr:sp>
      <xdr:sp macro="" textlink="Processing!L21">
        <xdr:nvSpPr>
          <xdr:cNvPr id="61" name="TextBox 60">
            <a:extLst>
              <a:ext uri="{FF2B5EF4-FFF2-40B4-BE49-F238E27FC236}">
                <a16:creationId xmlns:a16="http://schemas.microsoft.com/office/drawing/2014/main" id="{A541AFAB-D867-23A1-54C6-036F3B4D0B98}"/>
              </a:ext>
            </a:extLst>
          </xdr:cNvPr>
          <xdr:cNvSpPr txBox="1"/>
        </xdr:nvSpPr>
        <xdr:spPr>
          <a:xfrm>
            <a:off x="10192157" y="2114550"/>
            <a:ext cx="331927"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50F645A-C85B-45BE-BE89-CFB916D180F5}" type="TxLink">
              <a:rPr lang="en-US" sz="1100" b="0" i="0" u="none" strike="noStrike">
                <a:solidFill>
                  <a:schemeClr val="bg1"/>
                </a:solidFill>
                <a:latin typeface="Aptos Narrow"/>
              </a:rPr>
              <a:pPr algn="ctr"/>
              <a:t>19</a:t>
            </a:fld>
            <a:endParaRPr lang="ru-RU" sz="1100">
              <a:solidFill>
                <a:schemeClr val="bg1"/>
              </a:solidFill>
            </a:endParaRPr>
          </a:p>
        </xdr:txBody>
      </xdr:sp>
      <xdr:sp macro="" textlink="Processing!M21">
        <xdr:nvSpPr>
          <xdr:cNvPr id="62" name="TextBox 61">
            <a:extLst>
              <a:ext uri="{FF2B5EF4-FFF2-40B4-BE49-F238E27FC236}">
                <a16:creationId xmlns:a16="http://schemas.microsoft.com/office/drawing/2014/main" id="{45287C01-CDCB-8981-7B5D-EE5D253D4B53}"/>
              </a:ext>
            </a:extLst>
          </xdr:cNvPr>
          <xdr:cNvSpPr txBox="1"/>
        </xdr:nvSpPr>
        <xdr:spPr>
          <a:xfrm>
            <a:off x="10522357" y="2114550"/>
            <a:ext cx="331927"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2D4DE51-B53E-43A7-BF59-7EB4745421B3}" type="TxLink">
              <a:rPr lang="en-US" sz="1100" b="0" i="0" u="none" strike="noStrike">
                <a:solidFill>
                  <a:schemeClr val="bg1"/>
                </a:solidFill>
                <a:latin typeface="Aptos Narrow"/>
              </a:rPr>
              <a:pPr algn="ctr"/>
              <a:t>20</a:t>
            </a:fld>
            <a:endParaRPr lang="ru-RU" sz="1100">
              <a:solidFill>
                <a:schemeClr val="bg1"/>
              </a:solidFill>
            </a:endParaRPr>
          </a:p>
        </xdr:txBody>
      </xdr:sp>
      <xdr:sp macro="" textlink="Processing!N21">
        <xdr:nvSpPr>
          <xdr:cNvPr id="63" name="TextBox 62">
            <a:extLst>
              <a:ext uri="{FF2B5EF4-FFF2-40B4-BE49-F238E27FC236}">
                <a16:creationId xmlns:a16="http://schemas.microsoft.com/office/drawing/2014/main" id="{B6A507D0-27E7-562E-76E9-D4E4AC7E674C}"/>
              </a:ext>
            </a:extLst>
          </xdr:cNvPr>
          <xdr:cNvSpPr txBox="1"/>
        </xdr:nvSpPr>
        <xdr:spPr>
          <a:xfrm>
            <a:off x="10852557" y="2114550"/>
            <a:ext cx="331927"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00A3283-8CA4-4689-B118-D630B42327C5}" type="TxLink">
              <a:rPr lang="en-US" sz="1100" b="0" i="0" u="none" strike="noStrike">
                <a:solidFill>
                  <a:schemeClr val="bg1"/>
                </a:solidFill>
                <a:latin typeface="Aptos Narrow"/>
              </a:rPr>
              <a:pPr algn="ctr"/>
              <a:t>21</a:t>
            </a:fld>
            <a:endParaRPr lang="ru-RU" sz="1100">
              <a:solidFill>
                <a:schemeClr val="bg1"/>
              </a:solidFill>
            </a:endParaRPr>
          </a:p>
        </xdr:txBody>
      </xdr:sp>
      <xdr:sp macro="" textlink="Processing!O21">
        <xdr:nvSpPr>
          <xdr:cNvPr id="64" name="TextBox 63">
            <a:extLst>
              <a:ext uri="{FF2B5EF4-FFF2-40B4-BE49-F238E27FC236}">
                <a16:creationId xmlns:a16="http://schemas.microsoft.com/office/drawing/2014/main" id="{7477E64F-691E-C612-A280-A7ED0FB89E7E}"/>
              </a:ext>
            </a:extLst>
          </xdr:cNvPr>
          <xdr:cNvSpPr txBox="1"/>
        </xdr:nvSpPr>
        <xdr:spPr>
          <a:xfrm>
            <a:off x="11182757" y="2114550"/>
            <a:ext cx="331927"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6813377-304F-4B02-B975-0B14037BE775}" type="TxLink">
              <a:rPr lang="en-US" sz="1100" b="0" i="0" u="none" strike="noStrike">
                <a:solidFill>
                  <a:schemeClr val="bg1"/>
                </a:solidFill>
                <a:latin typeface="Aptos Narrow"/>
              </a:rPr>
              <a:pPr algn="ctr"/>
              <a:t>22</a:t>
            </a:fld>
            <a:endParaRPr lang="ru-RU" sz="1100">
              <a:solidFill>
                <a:schemeClr val="bg1"/>
              </a:solidFill>
            </a:endParaRPr>
          </a:p>
        </xdr:txBody>
      </xdr:sp>
      <xdr:sp macro="" textlink="Processing!P21">
        <xdr:nvSpPr>
          <xdr:cNvPr id="65" name="TextBox 64">
            <a:extLst>
              <a:ext uri="{FF2B5EF4-FFF2-40B4-BE49-F238E27FC236}">
                <a16:creationId xmlns:a16="http://schemas.microsoft.com/office/drawing/2014/main" id="{5AFE0B48-2711-E91D-3FA6-C4D83B6B9920}"/>
              </a:ext>
            </a:extLst>
          </xdr:cNvPr>
          <xdr:cNvSpPr txBox="1"/>
        </xdr:nvSpPr>
        <xdr:spPr>
          <a:xfrm>
            <a:off x="11512957" y="2114550"/>
            <a:ext cx="331927"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197EDCA-3BCF-4D6C-952C-105DC49430B5}" type="TxLink">
              <a:rPr lang="en-US" sz="1100" b="0" i="0" u="none" strike="noStrike">
                <a:solidFill>
                  <a:schemeClr val="bg1"/>
                </a:solidFill>
                <a:latin typeface="Aptos Narrow"/>
              </a:rPr>
              <a:pPr algn="ctr"/>
              <a:t>23</a:t>
            </a:fld>
            <a:endParaRPr lang="ru-RU" sz="1100">
              <a:solidFill>
                <a:schemeClr val="bg1"/>
              </a:solidFill>
            </a:endParaRPr>
          </a:p>
        </xdr:txBody>
      </xdr:sp>
      <xdr:sp macro="" textlink="Processing!Q21">
        <xdr:nvSpPr>
          <xdr:cNvPr id="66" name="TextBox 65">
            <a:extLst>
              <a:ext uri="{FF2B5EF4-FFF2-40B4-BE49-F238E27FC236}">
                <a16:creationId xmlns:a16="http://schemas.microsoft.com/office/drawing/2014/main" id="{9AF80018-6343-F6EB-DA68-C303822612EB}"/>
              </a:ext>
            </a:extLst>
          </xdr:cNvPr>
          <xdr:cNvSpPr txBox="1"/>
        </xdr:nvSpPr>
        <xdr:spPr>
          <a:xfrm>
            <a:off x="11843157" y="2114550"/>
            <a:ext cx="331927"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02C04EE-592A-4139-AD3F-13DE1EDB025B}" type="TxLink">
              <a:rPr lang="en-US" sz="1100" b="0" i="0" u="none" strike="noStrike">
                <a:solidFill>
                  <a:schemeClr val="bg1"/>
                </a:solidFill>
                <a:latin typeface="Aptos Narrow"/>
              </a:rPr>
              <a:pPr algn="ctr"/>
              <a:t>24</a:t>
            </a:fld>
            <a:endParaRPr lang="ru-RU" sz="1100">
              <a:solidFill>
                <a:schemeClr val="bg1"/>
              </a:solidFill>
            </a:endParaRPr>
          </a:p>
        </xdr:txBody>
      </xdr:sp>
      <xdr:sp macro="" textlink="Processing!K22">
        <xdr:nvSpPr>
          <xdr:cNvPr id="67" name="TextBox 66">
            <a:extLst>
              <a:ext uri="{FF2B5EF4-FFF2-40B4-BE49-F238E27FC236}">
                <a16:creationId xmlns:a16="http://schemas.microsoft.com/office/drawing/2014/main" id="{466AE5E6-15A2-E69A-62A0-843D417F9F4B}"/>
              </a:ext>
            </a:extLst>
          </xdr:cNvPr>
          <xdr:cNvSpPr txBox="1"/>
        </xdr:nvSpPr>
        <xdr:spPr>
          <a:xfrm>
            <a:off x="9861957" y="2373630"/>
            <a:ext cx="331927"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3434D46-59CD-48AF-A619-BF930CF101C1}" type="TxLink">
              <a:rPr lang="en-US" sz="1100" b="0" i="0" u="none" strike="noStrike">
                <a:solidFill>
                  <a:schemeClr val="bg1"/>
                </a:solidFill>
                <a:latin typeface="Aptos Narrow"/>
              </a:rPr>
              <a:pPr algn="ctr"/>
              <a:t>25</a:t>
            </a:fld>
            <a:endParaRPr lang="ru-RU" sz="1100">
              <a:solidFill>
                <a:schemeClr val="bg1"/>
              </a:solidFill>
            </a:endParaRPr>
          </a:p>
        </xdr:txBody>
      </xdr:sp>
      <xdr:sp macro="" textlink="Processing!L22">
        <xdr:nvSpPr>
          <xdr:cNvPr id="68" name="TextBox 67">
            <a:extLst>
              <a:ext uri="{FF2B5EF4-FFF2-40B4-BE49-F238E27FC236}">
                <a16:creationId xmlns:a16="http://schemas.microsoft.com/office/drawing/2014/main" id="{CAFD558B-F906-54E4-E8D2-FA8D528908D6}"/>
              </a:ext>
            </a:extLst>
          </xdr:cNvPr>
          <xdr:cNvSpPr txBox="1"/>
        </xdr:nvSpPr>
        <xdr:spPr>
          <a:xfrm>
            <a:off x="10192157" y="2373630"/>
            <a:ext cx="331927"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08C6F43-D2D6-4FDA-97F5-39CC07F013C4}" type="TxLink">
              <a:rPr lang="en-US" sz="1100" b="0" i="0" u="none" strike="noStrike">
                <a:solidFill>
                  <a:schemeClr val="bg1"/>
                </a:solidFill>
                <a:latin typeface="Aptos Narrow"/>
              </a:rPr>
              <a:pPr algn="ctr"/>
              <a:t>26</a:t>
            </a:fld>
            <a:endParaRPr lang="ru-RU" sz="1100">
              <a:solidFill>
                <a:schemeClr val="bg1"/>
              </a:solidFill>
            </a:endParaRPr>
          </a:p>
        </xdr:txBody>
      </xdr:sp>
      <xdr:sp macro="" textlink="Processing!M22">
        <xdr:nvSpPr>
          <xdr:cNvPr id="69" name="TextBox 68">
            <a:extLst>
              <a:ext uri="{FF2B5EF4-FFF2-40B4-BE49-F238E27FC236}">
                <a16:creationId xmlns:a16="http://schemas.microsoft.com/office/drawing/2014/main" id="{AE09D127-8025-1F60-4606-CEA0DE6A819F}"/>
              </a:ext>
            </a:extLst>
          </xdr:cNvPr>
          <xdr:cNvSpPr txBox="1"/>
        </xdr:nvSpPr>
        <xdr:spPr>
          <a:xfrm>
            <a:off x="10522357" y="2373630"/>
            <a:ext cx="331927"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80B591B-3685-4584-BBAD-C0107B433C6F}" type="TxLink">
              <a:rPr lang="en-US" sz="1100" b="0" i="0" u="none" strike="noStrike">
                <a:solidFill>
                  <a:schemeClr val="bg1"/>
                </a:solidFill>
                <a:latin typeface="Aptos Narrow"/>
              </a:rPr>
              <a:pPr algn="ctr"/>
              <a:t>27</a:t>
            </a:fld>
            <a:endParaRPr lang="ru-RU" sz="1100">
              <a:solidFill>
                <a:schemeClr val="bg1"/>
              </a:solidFill>
            </a:endParaRPr>
          </a:p>
        </xdr:txBody>
      </xdr:sp>
      <xdr:sp macro="" textlink="Processing!N22">
        <xdr:nvSpPr>
          <xdr:cNvPr id="70" name="TextBox 69">
            <a:extLst>
              <a:ext uri="{FF2B5EF4-FFF2-40B4-BE49-F238E27FC236}">
                <a16:creationId xmlns:a16="http://schemas.microsoft.com/office/drawing/2014/main" id="{94BFB193-EBAB-91E8-C51C-0D3873423B07}"/>
              </a:ext>
            </a:extLst>
          </xdr:cNvPr>
          <xdr:cNvSpPr txBox="1"/>
        </xdr:nvSpPr>
        <xdr:spPr>
          <a:xfrm>
            <a:off x="10852557" y="2373630"/>
            <a:ext cx="331927"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9151E29-6C8F-4181-B53C-00B141B89A32}" type="TxLink">
              <a:rPr lang="en-US" sz="1100" b="0" i="0" u="none" strike="noStrike">
                <a:solidFill>
                  <a:schemeClr val="bg1"/>
                </a:solidFill>
                <a:latin typeface="Aptos Narrow"/>
              </a:rPr>
              <a:pPr algn="ctr"/>
              <a:t>28</a:t>
            </a:fld>
            <a:endParaRPr lang="ru-RU" sz="1100">
              <a:solidFill>
                <a:schemeClr val="bg1"/>
              </a:solidFill>
            </a:endParaRPr>
          </a:p>
        </xdr:txBody>
      </xdr:sp>
      <xdr:sp macro="" textlink="Processing!O22">
        <xdr:nvSpPr>
          <xdr:cNvPr id="71" name="TextBox 70">
            <a:extLst>
              <a:ext uri="{FF2B5EF4-FFF2-40B4-BE49-F238E27FC236}">
                <a16:creationId xmlns:a16="http://schemas.microsoft.com/office/drawing/2014/main" id="{8AF6A335-558A-4BEC-96E8-7009B59494C3}"/>
              </a:ext>
            </a:extLst>
          </xdr:cNvPr>
          <xdr:cNvSpPr txBox="1"/>
        </xdr:nvSpPr>
        <xdr:spPr>
          <a:xfrm>
            <a:off x="11182757" y="2373630"/>
            <a:ext cx="331927"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8B71AD2-8317-4217-BCD5-0AE664AC41DE}" type="TxLink">
              <a:rPr lang="en-US" sz="1100" b="0" i="0" u="none" strike="noStrike">
                <a:solidFill>
                  <a:schemeClr val="bg1"/>
                </a:solidFill>
                <a:latin typeface="Aptos Narrow"/>
              </a:rPr>
              <a:pPr algn="ctr"/>
              <a:t>29</a:t>
            </a:fld>
            <a:endParaRPr lang="ru-RU" sz="1100">
              <a:solidFill>
                <a:schemeClr val="bg1"/>
              </a:solidFill>
            </a:endParaRPr>
          </a:p>
        </xdr:txBody>
      </xdr:sp>
      <xdr:sp macro="" textlink="Processing!P22">
        <xdr:nvSpPr>
          <xdr:cNvPr id="72" name="TextBox 71">
            <a:extLst>
              <a:ext uri="{FF2B5EF4-FFF2-40B4-BE49-F238E27FC236}">
                <a16:creationId xmlns:a16="http://schemas.microsoft.com/office/drawing/2014/main" id="{CB1F64FE-1909-4A1F-3E29-D573BC5098E8}"/>
              </a:ext>
            </a:extLst>
          </xdr:cNvPr>
          <xdr:cNvSpPr txBox="1"/>
        </xdr:nvSpPr>
        <xdr:spPr>
          <a:xfrm>
            <a:off x="11512957" y="2373630"/>
            <a:ext cx="331927"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3152B50-DF90-4733-A7AC-635DF7B3EE72}" type="TxLink">
              <a:rPr lang="en-US" sz="1100" b="0" i="0" u="none" strike="noStrike">
                <a:solidFill>
                  <a:schemeClr val="bg1"/>
                </a:solidFill>
                <a:latin typeface="Aptos Narrow"/>
              </a:rPr>
              <a:pPr algn="ctr"/>
              <a:t>30</a:t>
            </a:fld>
            <a:endParaRPr lang="ru-RU" sz="1100">
              <a:solidFill>
                <a:schemeClr val="bg1"/>
              </a:solidFill>
            </a:endParaRPr>
          </a:p>
        </xdr:txBody>
      </xdr:sp>
      <xdr:sp macro="" textlink="Processing!Q22">
        <xdr:nvSpPr>
          <xdr:cNvPr id="73" name="TextBox 72">
            <a:extLst>
              <a:ext uri="{FF2B5EF4-FFF2-40B4-BE49-F238E27FC236}">
                <a16:creationId xmlns:a16="http://schemas.microsoft.com/office/drawing/2014/main" id="{70CBBD61-2B01-DA8D-0A7B-62D9BDBFF3F6}"/>
              </a:ext>
            </a:extLst>
          </xdr:cNvPr>
          <xdr:cNvSpPr txBox="1"/>
        </xdr:nvSpPr>
        <xdr:spPr>
          <a:xfrm>
            <a:off x="11843157" y="2373630"/>
            <a:ext cx="331927"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0DD52F1-01A4-4DC0-A191-276895FD2A53}" type="TxLink">
              <a:rPr lang="en-US" sz="1100" b="0" i="0" u="none" strike="noStrike">
                <a:solidFill>
                  <a:schemeClr val="bg1"/>
                </a:solidFill>
                <a:latin typeface="Aptos Narrow"/>
              </a:rPr>
              <a:pPr algn="ctr"/>
              <a:t> </a:t>
            </a:fld>
            <a:endParaRPr lang="ru-RU" sz="1100">
              <a:solidFill>
                <a:schemeClr val="bg1"/>
              </a:solidFill>
            </a:endParaRPr>
          </a:p>
        </xdr:txBody>
      </xdr:sp>
      <xdr:sp macro="" textlink="Processing!K23">
        <xdr:nvSpPr>
          <xdr:cNvPr id="74" name="TextBox 73">
            <a:extLst>
              <a:ext uri="{FF2B5EF4-FFF2-40B4-BE49-F238E27FC236}">
                <a16:creationId xmlns:a16="http://schemas.microsoft.com/office/drawing/2014/main" id="{22866A20-7895-6000-63DD-5DE841B24F52}"/>
              </a:ext>
            </a:extLst>
          </xdr:cNvPr>
          <xdr:cNvSpPr txBox="1"/>
        </xdr:nvSpPr>
        <xdr:spPr>
          <a:xfrm>
            <a:off x="9861957" y="2625090"/>
            <a:ext cx="331927"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2E74728-937F-4954-89A7-B828DA252D8E}" type="TxLink">
              <a:rPr lang="en-US" sz="1100" b="0" i="0" u="none" strike="noStrike">
                <a:solidFill>
                  <a:schemeClr val="bg1"/>
                </a:solidFill>
                <a:latin typeface="Aptos Narrow"/>
              </a:rPr>
              <a:pPr algn="ctr"/>
              <a:t> </a:t>
            </a:fld>
            <a:endParaRPr lang="ru-RU" sz="1100">
              <a:solidFill>
                <a:schemeClr val="bg1"/>
              </a:solidFill>
            </a:endParaRPr>
          </a:p>
        </xdr:txBody>
      </xdr:sp>
      <xdr:sp macro="" textlink="Processing!L23">
        <xdr:nvSpPr>
          <xdr:cNvPr id="75" name="TextBox 74">
            <a:extLst>
              <a:ext uri="{FF2B5EF4-FFF2-40B4-BE49-F238E27FC236}">
                <a16:creationId xmlns:a16="http://schemas.microsoft.com/office/drawing/2014/main" id="{C3DCDE0E-CBBD-0901-07D4-6DD273DE9307}"/>
              </a:ext>
            </a:extLst>
          </xdr:cNvPr>
          <xdr:cNvSpPr txBox="1"/>
        </xdr:nvSpPr>
        <xdr:spPr>
          <a:xfrm>
            <a:off x="10192157" y="2625090"/>
            <a:ext cx="331927"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6566E17-270D-48FD-A911-0D721FAE9D81}" type="TxLink">
              <a:rPr lang="en-US" sz="1100" b="0" i="0" u="none" strike="noStrike">
                <a:solidFill>
                  <a:schemeClr val="bg1"/>
                </a:solidFill>
                <a:latin typeface="Aptos Narrow"/>
              </a:rPr>
              <a:pPr algn="ctr"/>
              <a:t> </a:t>
            </a:fld>
            <a:endParaRPr lang="ru-RU" sz="1100">
              <a:solidFill>
                <a:schemeClr val="bg1"/>
              </a:solidFill>
            </a:endParaRPr>
          </a:p>
        </xdr:txBody>
      </xdr:sp>
      <xdr:sp macro="" textlink="Processing!M23">
        <xdr:nvSpPr>
          <xdr:cNvPr id="76" name="TextBox 75">
            <a:extLst>
              <a:ext uri="{FF2B5EF4-FFF2-40B4-BE49-F238E27FC236}">
                <a16:creationId xmlns:a16="http://schemas.microsoft.com/office/drawing/2014/main" id="{B9120235-2EBE-0F1E-3479-A974A4D6852B}"/>
              </a:ext>
            </a:extLst>
          </xdr:cNvPr>
          <xdr:cNvSpPr txBox="1"/>
        </xdr:nvSpPr>
        <xdr:spPr>
          <a:xfrm>
            <a:off x="10522357" y="2625090"/>
            <a:ext cx="331927"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8107160-E3A7-4ACE-886C-33D4EAAF47DF}" type="TxLink">
              <a:rPr lang="en-US" sz="1100" b="0" i="0" u="none" strike="noStrike">
                <a:solidFill>
                  <a:schemeClr val="bg1"/>
                </a:solidFill>
                <a:latin typeface="Aptos Narrow"/>
              </a:rPr>
              <a:pPr algn="ctr"/>
              <a:t> </a:t>
            </a:fld>
            <a:endParaRPr lang="ru-RU" sz="1100">
              <a:solidFill>
                <a:schemeClr val="bg1"/>
              </a:solidFill>
            </a:endParaRPr>
          </a:p>
        </xdr:txBody>
      </xdr:sp>
      <xdr:sp macro="" textlink="Processing!N23">
        <xdr:nvSpPr>
          <xdr:cNvPr id="77" name="TextBox 76">
            <a:extLst>
              <a:ext uri="{FF2B5EF4-FFF2-40B4-BE49-F238E27FC236}">
                <a16:creationId xmlns:a16="http://schemas.microsoft.com/office/drawing/2014/main" id="{FEA79251-2946-ACDA-CDD8-5D995BF88C25}"/>
              </a:ext>
            </a:extLst>
          </xdr:cNvPr>
          <xdr:cNvSpPr txBox="1"/>
        </xdr:nvSpPr>
        <xdr:spPr>
          <a:xfrm>
            <a:off x="10852557" y="2625090"/>
            <a:ext cx="331927"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8EB2ECB-6F7F-4F10-BE5E-B980037A19FA}" type="TxLink">
              <a:rPr lang="en-US" sz="1100" b="0" i="0" u="none" strike="noStrike">
                <a:solidFill>
                  <a:schemeClr val="bg1"/>
                </a:solidFill>
                <a:latin typeface="Aptos Narrow"/>
              </a:rPr>
              <a:pPr algn="ctr"/>
              <a:t> </a:t>
            </a:fld>
            <a:endParaRPr lang="ru-RU" sz="1100">
              <a:solidFill>
                <a:schemeClr val="bg1"/>
              </a:solidFill>
            </a:endParaRPr>
          </a:p>
        </xdr:txBody>
      </xdr:sp>
      <xdr:sp macro="" textlink="Processing!O23">
        <xdr:nvSpPr>
          <xdr:cNvPr id="78" name="TextBox 77">
            <a:extLst>
              <a:ext uri="{FF2B5EF4-FFF2-40B4-BE49-F238E27FC236}">
                <a16:creationId xmlns:a16="http://schemas.microsoft.com/office/drawing/2014/main" id="{5437C2AE-7E37-7822-7846-DE0922A5F7F2}"/>
              </a:ext>
            </a:extLst>
          </xdr:cNvPr>
          <xdr:cNvSpPr txBox="1"/>
        </xdr:nvSpPr>
        <xdr:spPr>
          <a:xfrm>
            <a:off x="11182757" y="2625090"/>
            <a:ext cx="331927"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45878CA-C1A0-4731-81FB-EF7CE4A076F3}" type="TxLink">
              <a:rPr lang="en-US" sz="1100" b="0" i="0" u="none" strike="noStrike">
                <a:solidFill>
                  <a:schemeClr val="bg1"/>
                </a:solidFill>
                <a:latin typeface="Aptos Narrow"/>
              </a:rPr>
              <a:pPr algn="ctr"/>
              <a:t> </a:t>
            </a:fld>
            <a:endParaRPr lang="ru-RU" sz="1100">
              <a:solidFill>
                <a:schemeClr val="bg1"/>
              </a:solidFill>
            </a:endParaRPr>
          </a:p>
        </xdr:txBody>
      </xdr:sp>
      <xdr:sp macro="" textlink="Processing!P23">
        <xdr:nvSpPr>
          <xdr:cNvPr id="79" name="TextBox 78">
            <a:extLst>
              <a:ext uri="{FF2B5EF4-FFF2-40B4-BE49-F238E27FC236}">
                <a16:creationId xmlns:a16="http://schemas.microsoft.com/office/drawing/2014/main" id="{6876F55F-0C9B-488A-5B1D-6FAEB7D70F7B}"/>
              </a:ext>
            </a:extLst>
          </xdr:cNvPr>
          <xdr:cNvSpPr txBox="1"/>
        </xdr:nvSpPr>
        <xdr:spPr>
          <a:xfrm>
            <a:off x="11512957" y="2625090"/>
            <a:ext cx="331927"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216AF94-6942-426F-9EE2-7466AA9E6F81}" type="TxLink">
              <a:rPr lang="en-US" sz="1100" b="0" i="0" u="none" strike="noStrike">
                <a:solidFill>
                  <a:schemeClr val="bg1"/>
                </a:solidFill>
                <a:latin typeface="Aptos Narrow"/>
              </a:rPr>
              <a:pPr algn="ctr"/>
              <a:t> </a:t>
            </a:fld>
            <a:endParaRPr lang="ru-RU" sz="1100">
              <a:solidFill>
                <a:schemeClr val="bg1"/>
              </a:solidFill>
            </a:endParaRPr>
          </a:p>
        </xdr:txBody>
      </xdr:sp>
      <xdr:sp macro="" textlink="Processing!Q23">
        <xdr:nvSpPr>
          <xdr:cNvPr id="80" name="TextBox 79">
            <a:extLst>
              <a:ext uri="{FF2B5EF4-FFF2-40B4-BE49-F238E27FC236}">
                <a16:creationId xmlns:a16="http://schemas.microsoft.com/office/drawing/2014/main" id="{F3CB7476-1416-9389-166F-267018824EE9}"/>
              </a:ext>
            </a:extLst>
          </xdr:cNvPr>
          <xdr:cNvSpPr txBox="1"/>
        </xdr:nvSpPr>
        <xdr:spPr>
          <a:xfrm>
            <a:off x="11843157" y="2625090"/>
            <a:ext cx="331927"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F8D5031-89A1-4503-AD3B-7EFDD2B20049}" type="TxLink">
              <a:rPr lang="en-US" sz="1100" b="0" i="0" u="none" strike="noStrike">
                <a:solidFill>
                  <a:schemeClr val="bg1"/>
                </a:solidFill>
                <a:latin typeface="Aptos Narrow"/>
              </a:rPr>
              <a:pPr algn="ctr"/>
              <a:t> </a:t>
            </a:fld>
            <a:endParaRPr lang="ru-RU" sz="1100">
              <a:solidFill>
                <a:schemeClr val="bg1"/>
              </a:solidFill>
            </a:endParaRPr>
          </a:p>
        </xdr:txBody>
      </xdr:sp>
    </xdr:grpSp>
    <xdr:clientData/>
  </xdr:twoCellAnchor>
  <xdr:twoCellAnchor>
    <xdr:from>
      <xdr:col>3</xdr:col>
      <xdr:colOff>480060</xdr:colOff>
      <xdr:row>14</xdr:row>
      <xdr:rowOff>40776</xdr:rowOff>
    </xdr:from>
    <xdr:to>
      <xdr:col>4</xdr:col>
      <xdr:colOff>495008</xdr:colOff>
      <xdr:row>15</xdr:row>
      <xdr:rowOff>164965</xdr:rowOff>
    </xdr:to>
    <xdr:sp macro="" textlink="Processing!J3">
      <xdr:nvSpPr>
        <xdr:cNvPr id="81" name="TextBox 80">
          <a:extLst>
            <a:ext uri="{FF2B5EF4-FFF2-40B4-BE49-F238E27FC236}">
              <a16:creationId xmlns:a16="http://schemas.microsoft.com/office/drawing/2014/main" id="{14FBC44F-F076-44E4-BA06-C8A1ECFE0A4F}"/>
            </a:ext>
          </a:extLst>
        </xdr:cNvPr>
        <xdr:cNvSpPr txBox="1"/>
      </xdr:nvSpPr>
      <xdr:spPr>
        <a:xfrm>
          <a:off x="2308860" y="2601096"/>
          <a:ext cx="624548" cy="3070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B651ED33-8F01-41CA-96B5-2480A3CCD5B8}" type="TxLink">
            <a:rPr lang="en-US" sz="900" b="0" i="0" u="none" strike="noStrike">
              <a:solidFill>
                <a:srgbClr val="28BEBA"/>
              </a:solidFill>
              <a:latin typeface="Aptos Narrow"/>
              <a:ea typeface="+mn-ea"/>
              <a:cs typeface="+mn-cs"/>
            </a:rPr>
            <a:pPr marL="0" indent="0" algn="ctr"/>
            <a:t>Target 1</a:t>
          </a:fld>
          <a:endParaRPr lang="ru-RU" sz="1200" b="0" i="0" u="none" strike="noStrike">
            <a:solidFill>
              <a:srgbClr val="28BEBA"/>
            </a:solidFill>
            <a:latin typeface="Aptos Narrow"/>
            <a:ea typeface="+mn-ea"/>
            <a:cs typeface="+mn-cs"/>
          </a:endParaRPr>
        </a:p>
      </xdr:txBody>
    </xdr:sp>
    <xdr:clientData/>
  </xdr:twoCellAnchor>
  <xdr:twoCellAnchor>
    <xdr:from>
      <xdr:col>3</xdr:col>
      <xdr:colOff>480060</xdr:colOff>
      <xdr:row>16</xdr:row>
      <xdr:rowOff>25536</xdr:rowOff>
    </xdr:from>
    <xdr:to>
      <xdr:col>4</xdr:col>
      <xdr:colOff>495008</xdr:colOff>
      <xdr:row>17</xdr:row>
      <xdr:rowOff>149725</xdr:rowOff>
    </xdr:to>
    <xdr:sp macro="" textlink="Processing!J4">
      <xdr:nvSpPr>
        <xdr:cNvPr id="82" name="TextBox 81">
          <a:extLst>
            <a:ext uri="{FF2B5EF4-FFF2-40B4-BE49-F238E27FC236}">
              <a16:creationId xmlns:a16="http://schemas.microsoft.com/office/drawing/2014/main" id="{7B11E201-35F6-407C-A876-D4ACD7F49CF9}"/>
            </a:ext>
          </a:extLst>
        </xdr:cNvPr>
        <xdr:cNvSpPr txBox="1"/>
      </xdr:nvSpPr>
      <xdr:spPr>
        <a:xfrm>
          <a:off x="2308860" y="2951616"/>
          <a:ext cx="624548" cy="3070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61BD5C03-9666-4F95-9C4A-BCF38E0A9883}" type="TxLink">
            <a:rPr lang="en-US" sz="900" b="0" i="0" u="none" strike="noStrike">
              <a:solidFill>
                <a:srgbClr val="3879F2"/>
              </a:solidFill>
              <a:latin typeface="Aptos Narrow"/>
              <a:ea typeface="+mn-ea"/>
              <a:cs typeface="+mn-cs"/>
            </a:rPr>
            <a:pPr marL="0" indent="0" algn="ctr"/>
            <a:t>Target 2</a:t>
          </a:fld>
          <a:endParaRPr lang="ru-RU" sz="1000" b="0" i="0" u="none" strike="noStrike">
            <a:solidFill>
              <a:srgbClr val="3879F2"/>
            </a:solidFill>
            <a:latin typeface="Aptos Narrow"/>
            <a:ea typeface="+mn-ea"/>
            <a:cs typeface="+mn-cs"/>
          </a:endParaRPr>
        </a:p>
      </xdr:txBody>
    </xdr:sp>
    <xdr:clientData/>
  </xdr:twoCellAnchor>
  <xdr:twoCellAnchor>
    <xdr:from>
      <xdr:col>3</xdr:col>
      <xdr:colOff>480060</xdr:colOff>
      <xdr:row>18</xdr:row>
      <xdr:rowOff>10296</xdr:rowOff>
    </xdr:from>
    <xdr:to>
      <xdr:col>4</xdr:col>
      <xdr:colOff>495008</xdr:colOff>
      <xdr:row>19</xdr:row>
      <xdr:rowOff>134485</xdr:rowOff>
    </xdr:to>
    <xdr:sp macro="" textlink="Processing!J5">
      <xdr:nvSpPr>
        <xdr:cNvPr id="83" name="TextBox 82">
          <a:extLst>
            <a:ext uri="{FF2B5EF4-FFF2-40B4-BE49-F238E27FC236}">
              <a16:creationId xmlns:a16="http://schemas.microsoft.com/office/drawing/2014/main" id="{14511BCE-CFA1-4567-A8C3-301AFE3F5291}"/>
            </a:ext>
          </a:extLst>
        </xdr:cNvPr>
        <xdr:cNvSpPr txBox="1"/>
      </xdr:nvSpPr>
      <xdr:spPr>
        <a:xfrm>
          <a:off x="2308860" y="3302136"/>
          <a:ext cx="624548" cy="3070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4D0E215D-3655-4F66-ACFB-977969128424}" type="TxLink">
            <a:rPr lang="en-US" sz="900" b="0" i="0" u="none" strike="noStrike">
              <a:solidFill>
                <a:srgbClr val="FF7684"/>
              </a:solidFill>
              <a:latin typeface="Aptos Narrow"/>
              <a:ea typeface="+mn-ea"/>
              <a:cs typeface="+mn-cs"/>
            </a:rPr>
            <a:pPr marL="0" indent="0" algn="ctr"/>
            <a:t>Target 3</a:t>
          </a:fld>
          <a:endParaRPr lang="ru-RU" sz="1000" b="0" i="0" u="none" strike="noStrike">
            <a:solidFill>
              <a:srgbClr val="FF7684"/>
            </a:solidFill>
            <a:latin typeface="Aptos Narrow"/>
            <a:ea typeface="+mn-ea"/>
            <a:cs typeface="+mn-cs"/>
          </a:endParaRPr>
        </a:p>
      </xdr:txBody>
    </xdr:sp>
    <xdr:clientData/>
  </xdr:twoCellAnchor>
  <xdr:twoCellAnchor>
    <xdr:from>
      <xdr:col>3</xdr:col>
      <xdr:colOff>480060</xdr:colOff>
      <xdr:row>19</xdr:row>
      <xdr:rowOff>177936</xdr:rowOff>
    </xdr:from>
    <xdr:to>
      <xdr:col>4</xdr:col>
      <xdr:colOff>495008</xdr:colOff>
      <xdr:row>21</xdr:row>
      <xdr:rowOff>119245</xdr:rowOff>
    </xdr:to>
    <xdr:sp macro="" textlink="Processing!J6">
      <xdr:nvSpPr>
        <xdr:cNvPr id="84" name="TextBox 83">
          <a:extLst>
            <a:ext uri="{FF2B5EF4-FFF2-40B4-BE49-F238E27FC236}">
              <a16:creationId xmlns:a16="http://schemas.microsoft.com/office/drawing/2014/main" id="{351A0D16-7188-4CA0-AB5C-60A6CABEEE68}"/>
            </a:ext>
          </a:extLst>
        </xdr:cNvPr>
        <xdr:cNvSpPr txBox="1"/>
      </xdr:nvSpPr>
      <xdr:spPr>
        <a:xfrm>
          <a:off x="2308860" y="3652656"/>
          <a:ext cx="624548" cy="3070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D58AA4D8-5D6F-485A-A4E3-857258D4E43D}" type="TxLink">
            <a:rPr lang="en-US" sz="900" b="0" i="0" u="none" strike="noStrike">
              <a:solidFill>
                <a:srgbClr val="00ADD6"/>
              </a:solidFill>
              <a:latin typeface="Aptos Narrow"/>
              <a:ea typeface="+mn-ea"/>
              <a:cs typeface="+mn-cs"/>
            </a:rPr>
            <a:pPr marL="0" indent="0" algn="ctr"/>
            <a:t>Target 4</a:t>
          </a:fld>
          <a:endParaRPr lang="ru-RU" sz="1000" b="0" i="0" u="none" strike="noStrike">
            <a:solidFill>
              <a:srgbClr val="00ADD6"/>
            </a:solidFill>
            <a:latin typeface="Aptos Narrow"/>
            <a:ea typeface="+mn-ea"/>
            <a:cs typeface="+mn-cs"/>
          </a:endParaRPr>
        </a:p>
      </xdr:txBody>
    </xdr:sp>
    <xdr:clientData/>
  </xdr:twoCellAnchor>
  <xdr:twoCellAnchor>
    <xdr:from>
      <xdr:col>3</xdr:col>
      <xdr:colOff>480060</xdr:colOff>
      <xdr:row>21</xdr:row>
      <xdr:rowOff>162696</xdr:rowOff>
    </xdr:from>
    <xdr:to>
      <xdr:col>4</xdr:col>
      <xdr:colOff>495008</xdr:colOff>
      <xdr:row>23</xdr:row>
      <xdr:rowOff>104005</xdr:rowOff>
    </xdr:to>
    <xdr:sp macro="" textlink="Processing!J7">
      <xdr:nvSpPr>
        <xdr:cNvPr id="85" name="TextBox 84">
          <a:extLst>
            <a:ext uri="{FF2B5EF4-FFF2-40B4-BE49-F238E27FC236}">
              <a16:creationId xmlns:a16="http://schemas.microsoft.com/office/drawing/2014/main" id="{DD0A3456-3C87-438B-AEDF-48A3D8868BBC}"/>
            </a:ext>
          </a:extLst>
        </xdr:cNvPr>
        <xdr:cNvSpPr txBox="1"/>
      </xdr:nvSpPr>
      <xdr:spPr>
        <a:xfrm>
          <a:off x="2308860" y="4003176"/>
          <a:ext cx="624548" cy="3070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BBD31B8A-D271-4BDE-984C-859332B009E3}" type="TxLink">
            <a:rPr lang="en-US" sz="900" b="0" i="0" u="none" strike="noStrike">
              <a:solidFill>
                <a:srgbClr val="6978B4"/>
              </a:solidFill>
              <a:latin typeface="Aptos Narrow"/>
              <a:ea typeface="+mn-ea"/>
              <a:cs typeface="+mn-cs"/>
            </a:rPr>
            <a:pPr marL="0" indent="0" algn="ctr"/>
            <a:t>Target 5</a:t>
          </a:fld>
          <a:endParaRPr lang="ru-RU" sz="1000" b="0" i="0" u="none" strike="noStrike">
            <a:solidFill>
              <a:srgbClr val="6978B4"/>
            </a:solidFill>
            <a:latin typeface="Aptos Narrow"/>
            <a:ea typeface="+mn-ea"/>
            <a:cs typeface="+mn-cs"/>
          </a:endParaRPr>
        </a:p>
      </xdr:txBody>
    </xdr:sp>
    <xdr:clientData/>
  </xdr:twoCellAnchor>
  <xdr:twoCellAnchor editAs="oneCell">
    <xdr:from>
      <xdr:col>1</xdr:col>
      <xdr:colOff>0</xdr:colOff>
      <xdr:row>1</xdr:row>
      <xdr:rowOff>0</xdr:rowOff>
    </xdr:from>
    <xdr:to>
      <xdr:col>1</xdr:col>
      <xdr:colOff>274320</xdr:colOff>
      <xdr:row>2</xdr:row>
      <xdr:rowOff>91440</xdr:rowOff>
    </xdr:to>
    <xdr:pic>
      <xdr:nvPicPr>
        <xdr:cNvPr id="87" name="Graphic 86" descr="Sun with solid fill">
          <a:extLst>
            <a:ext uri="{FF2B5EF4-FFF2-40B4-BE49-F238E27FC236}">
              <a16:creationId xmlns:a16="http://schemas.microsoft.com/office/drawing/2014/main" id="{5568A1C5-FDD8-448D-9458-C08E442EF812}"/>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a:off x="609600" y="182880"/>
          <a:ext cx="274320" cy="274320"/>
        </a:xfrm>
        <a:prstGeom prst="rect">
          <a:avLst/>
        </a:prstGeom>
      </xdr:spPr>
    </xdr:pic>
    <xdr:clientData/>
  </xdr:twoCellAnchor>
  <xdr:twoCellAnchor editAs="oneCell">
    <xdr:from>
      <xdr:col>1</xdr:col>
      <xdr:colOff>419100</xdr:colOff>
      <xdr:row>1</xdr:row>
      <xdr:rowOff>0</xdr:rowOff>
    </xdr:from>
    <xdr:to>
      <xdr:col>2</xdr:col>
      <xdr:colOff>83820</xdr:colOff>
      <xdr:row>2</xdr:row>
      <xdr:rowOff>91440</xdr:rowOff>
    </xdr:to>
    <xdr:pic>
      <xdr:nvPicPr>
        <xdr:cNvPr id="88" name="Graphic 87" descr="Moon with solid fill">
          <a:hlinkClick xmlns:r="http://schemas.openxmlformats.org/officeDocument/2006/relationships" r:id="rId17"/>
          <a:extLst>
            <a:ext uri="{FF2B5EF4-FFF2-40B4-BE49-F238E27FC236}">
              <a16:creationId xmlns:a16="http://schemas.microsoft.com/office/drawing/2014/main" id="{C0E4D5D8-92F9-46CE-A554-39969954A8F4}"/>
            </a:ext>
          </a:extLst>
        </xdr:cNvPr>
        <xdr:cNvPicPr>
          <a:picLocks noChangeAspect="1"/>
        </xdr:cNvPicPr>
      </xdr:nvPicPr>
      <xdr:blipFill>
        <a:blip xmlns:r="http://schemas.openxmlformats.org/officeDocument/2006/relationships" r:embed="rId18">
          <a:extLst>
            <a:ext uri="{96DAC541-7B7A-43D3-8B79-37D633B846F1}">
              <asvg:svgBlip xmlns:asvg="http://schemas.microsoft.com/office/drawing/2016/SVG/main" r:embed="rId19"/>
            </a:ext>
          </a:extLst>
        </a:blip>
        <a:stretch>
          <a:fillRect/>
        </a:stretch>
      </xdr:blipFill>
      <xdr:spPr>
        <a:xfrm>
          <a:off x="1028700" y="182880"/>
          <a:ext cx="274320" cy="274320"/>
        </a:xfrm>
        <a:prstGeom prst="rect">
          <a:avLst/>
        </a:prstGeom>
      </xdr:spPr>
    </xdr:pic>
    <xdr:clientData/>
  </xdr:twoCellAnchor>
  <xdr:twoCellAnchor>
    <xdr:from>
      <xdr:col>3</xdr:col>
      <xdr:colOff>411480</xdr:colOff>
      <xdr:row>26</xdr:row>
      <xdr:rowOff>121920</xdr:rowOff>
    </xdr:from>
    <xdr:to>
      <xdr:col>12</xdr:col>
      <xdr:colOff>106680</xdr:colOff>
      <xdr:row>35</xdr:row>
      <xdr:rowOff>0</xdr:rowOff>
    </xdr:to>
    <xdr:sp macro="" textlink="">
      <xdr:nvSpPr>
        <xdr:cNvPr id="89" name="Rectangle: Rounded Corners 88">
          <a:hlinkClick xmlns:r="http://schemas.openxmlformats.org/officeDocument/2006/relationships" r:id="rId20"/>
          <a:extLst>
            <a:ext uri="{FF2B5EF4-FFF2-40B4-BE49-F238E27FC236}">
              <a16:creationId xmlns:a16="http://schemas.microsoft.com/office/drawing/2014/main" id="{375CA963-E0C7-4A20-9487-9343083E3474}"/>
            </a:ext>
          </a:extLst>
        </xdr:cNvPr>
        <xdr:cNvSpPr/>
      </xdr:nvSpPr>
      <xdr:spPr>
        <a:xfrm>
          <a:off x="2240280" y="4876800"/>
          <a:ext cx="5181600" cy="152400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3</xdr:col>
      <xdr:colOff>411480</xdr:colOff>
      <xdr:row>12</xdr:row>
      <xdr:rowOff>114300</xdr:rowOff>
    </xdr:from>
    <xdr:to>
      <xdr:col>12</xdr:col>
      <xdr:colOff>106680</xdr:colOff>
      <xdr:row>25</xdr:row>
      <xdr:rowOff>121920</xdr:rowOff>
    </xdr:to>
    <xdr:sp macro="" textlink="">
      <xdr:nvSpPr>
        <xdr:cNvPr id="90" name="Rectangle: Rounded Corners 89">
          <a:hlinkClick xmlns:r="http://schemas.openxmlformats.org/officeDocument/2006/relationships" r:id="rId21"/>
          <a:extLst>
            <a:ext uri="{FF2B5EF4-FFF2-40B4-BE49-F238E27FC236}">
              <a16:creationId xmlns:a16="http://schemas.microsoft.com/office/drawing/2014/main" id="{1CC1E9B6-C825-4448-9F84-826611BF5872}"/>
            </a:ext>
          </a:extLst>
        </xdr:cNvPr>
        <xdr:cNvSpPr/>
      </xdr:nvSpPr>
      <xdr:spPr>
        <a:xfrm>
          <a:off x="2240280" y="2308860"/>
          <a:ext cx="5181600" cy="238506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16</xdr:col>
      <xdr:colOff>358140</xdr:colOff>
      <xdr:row>17</xdr:row>
      <xdr:rowOff>167640</xdr:rowOff>
    </xdr:from>
    <xdr:to>
      <xdr:col>20</xdr:col>
      <xdr:colOff>205740</xdr:colOff>
      <xdr:row>34</xdr:row>
      <xdr:rowOff>160020</xdr:rowOff>
    </xdr:to>
    <xdr:sp macro="" textlink="">
      <xdr:nvSpPr>
        <xdr:cNvPr id="91" name="Rectangle: Rounded Corners 90">
          <a:hlinkClick xmlns:r="http://schemas.openxmlformats.org/officeDocument/2006/relationships" r:id="rId22"/>
          <a:extLst>
            <a:ext uri="{FF2B5EF4-FFF2-40B4-BE49-F238E27FC236}">
              <a16:creationId xmlns:a16="http://schemas.microsoft.com/office/drawing/2014/main" id="{4BA9CBC5-3AC2-4868-8A9E-5BC5F9861670}"/>
            </a:ext>
          </a:extLst>
        </xdr:cNvPr>
        <xdr:cNvSpPr/>
      </xdr:nvSpPr>
      <xdr:spPr>
        <a:xfrm>
          <a:off x="10111740" y="3276600"/>
          <a:ext cx="2286000" cy="310134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0</xdr:rowOff>
    </xdr:from>
    <xdr:to>
      <xdr:col>25</xdr:col>
      <xdr:colOff>304800</xdr:colOff>
      <xdr:row>45</xdr:row>
      <xdr:rowOff>0</xdr:rowOff>
    </xdr:to>
    <xdr:sp macro="" textlink="">
      <xdr:nvSpPr>
        <xdr:cNvPr id="2" name="Rectangle 1">
          <a:extLst>
            <a:ext uri="{FF2B5EF4-FFF2-40B4-BE49-F238E27FC236}">
              <a16:creationId xmlns:a16="http://schemas.microsoft.com/office/drawing/2014/main" id="{2602D85B-FE22-4D7B-9912-5BA13D35F839}"/>
            </a:ext>
          </a:extLst>
        </xdr:cNvPr>
        <xdr:cNvSpPr/>
      </xdr:nvSpPr>
      <xdr:spPr>
        <a:xfrm>
          <a:off x="0" y="0"/>
          <a:ext cx="15544800" cy="8229600"/>
        </a:xfrm>
        <a:prstGeom prst="rect">
          <a:avLst/>
        </a:prstGeom>
        <a:gradFill flip="none" rotWithShape="1">
          <a:gsLst>
            <a:gs pos="0">
              <a:srgbClr val="3883D4"/>
            </a:gs>
            <a:gs pos="84000">
              <a:srgbClr val="224192"/>
            </a:gs>
          </a:gsLst>
          <a:lin ang="4200000" scaled="0"/>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clientData/>
  </xdr:twoCellAnchor>
  <xdr:twoCellAnchor>
    <xdr:from>
      <xdr:col>3</xdr:col>
      <xdr:colOff>7620</xdr:colOff>
      <xdr:row>2</xdr:row>
      <xdr:rowOff>99060</xdr:rowOff>
    </xdr:from>
    <xdr:to>
      <xdr:col>20</xdr:col>
      <xdr:colOff>586740</xdr:colOff>
      <xdr:row>39</xdr:row>
      <xdr:rowOff>99060</xdr:rowOff>
    </xdr:to>
    <xdr:sp macro="" textlink="">
      <xdr:nvSpPr>
        <xdr:cNvPr id="3" name="Rectangle: Rounded Corners 2">
          <a:extLst>
            <a:ext uri="{FF2B5EF4-FFF2-40B4-BE49-F238E27FC236}">
              <a16:creationId xmlns:a16="http://schemas.microsoft.com/office/drawing/2014/main" id="{30576521-5D55-49DD-AEA0-3A0F110135A5}"/>
            </a:ext>
          </a:extLst>
        </xdr:cNvPr>
        <xdr:cNvSpPr/>
      </xdr:nvSpPr>
      <xdr:spPr>
        <a:xfrm>
          <a:off x="1836420" y="464820"/>
          <a:ext cx="10942320" cy="6766560"/>
        </a:xfrm>
        <a:prstGeom prst="roundRect">
          <a:avLst>
            <a:gd name="adj" fmla="val 4034"/>
          </a:avLst>
        </a:prstGeom>
        <a:gradFill>
          <a:gsLst>
            <a:gs pos="0">
              <a:srgbClr val="21509A"/>
            </a:gs>
            <a:gs pos="52000">
              <a:srgbClr val="0F2453"/>
            </a:gs>
          </a:gsLst>
          <a:lin ang="4200000" scaled="0"/>
        </a:gradFill>
        <a:ln w="9525">
          <a:gradFill>
            <a:gsLst>
              <a:gs pos="50384">
                <a:srgbClr val="BCC6FF"/>
              </a:gs>
              <a:gs pos="0">
                <a:srgbClr val="6494DA"/>
              </a:gs>
              <a:gs pos="94000">
                <a:srgbClr val="2F6EC7"/>
              </a:gs>
            </a:gsLst>
            <a:lin ang="5400000" scaled="1"/>
          </a:gradFill>
        </a:ln>
        <a:effectLst>
          <a:outerShdw blurRad="508000" dist="190500" dir="8100000" algn="tr" rotWithShape="0">
            <a:prstClr val="black">
              <a:alpha val="5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clientData/>
  </xdr:twoCellAnchor>
  <xdr:twoCellAnchor>
    <xdr:from>
      <xdr:col>3</xdr:col>
      <xdr:colOff>426720</xdr:colOff>
      <xdr:row>4</xdr:row>
      <xdr:rowOff>99060</xdr:rowOff>
    </xdr:from>
    <xdr:to>
      <xdr:col>12</xdr:col>
      <xdr:colOff>121920</xdr:colOff>
      <xdr:row>25</xdr:row>
      <xdr:rowOff>111830</xdr:rowOff>
    </xdr:to>
    <xdr:sp macro="" textlink="">
      <xdr:nvSpPr>
        <xdr:cNvPr id="5" name="Rectangle: Rounded Corners 4">
          <a:extLst>
            <a:ext uri="{FF2B5EF4-FFF2-40B4-BE49-F238E27FC236}">
              <a16:creationId xmlns:a16="http://schemas.microsoft.com/office/drawing/2014/main" id="{0D1A7DA2-E10B-4D0C-BFCF-185758ADB3C5}"/>
            </a:ext>
          </a:extLst>
        </xdr:cNvPr>
        <xdr:cNvSpPr/>
      </xdr:nvSpPr>
      <xdr:spPr>
        <a:xfrm>
          <a:off x="2255520" y="830580"/>
          <a:ext cx="5181600" cy="3853250"/>
        </a:xfrm>
        <a:prstGeom prst="roundRect">
          <a:avLst>
            <a:gd name="adj" fmla="val 5410"/>
          </a:avLst>
        </a:prstGeom>
        <a:gradFill flip="none" rotWithShape="1">
          <a:gsLst>
            <a:gs pos="0">
              <a:srgbClr val="1C4285"/>
            </a:gs>
            <a:gs pos="84000">
              <a:srgbClr val="132D64"/>
            </a:gs>
          </a:gsLst>
          <a:lin ang="2700000" scaled="1"/>
          <a:tileRect/>
        </a:gradFill>
        <a:ln w="9525">
          <a:gradFill>
            <a:gsLst>
              <a:gs pos="0">
                <a:srgbClr val="6494DA"/>
              </a:gs>
              <a:gs pos="74000">
                <a:srgbClr val="BCC6FF"/>
              </a:gs>
              <a:gs pos="100000">
                <a:srgbClr val="2F6EC7"/>
              </a:gs>
            </a:gsLst>
            <a:lin ang="5400000" scaled="1"/>
          </a:gradFill>
        </a:ln>
        <a:effectLst>
          <a:outerShdw blurRad="190500" dist="101600" dir="8100000" algn="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clientData/>
  </xdr:twoCellAnchor>
  <xdr:twoCellAnchor>
    <xdr:from>
      <xdr:col>3</xdr:col>
      <xdr:colOff>403860</xdr:colOff>
      <xdr:row>26</xdr:row>
      <xdr:rowOff>109359</xdr:rowOff>
    </xdr:from>
    <xdr:to>
      <xdr:col>12</xdr:col>
      <xdr:colOff>99060</xdr:colOff>
      <xdr:row>37</xdr:row>
      <xdr:rowOff>94982</xdr:rowOff>
    </xdr:to>
    <xdr:sp macro="" textlink="Processing!A16">
      <xdr:nvSpPr>
        <xdr:cNvPr id="6" name="Rectangle: Rounded Corners 5">
          <a:extLst>
            <a:ext uri="{FF2B5EF4-FFF2-40B4-BE49-F238E27FC236}">
              <a16:creationId xmlns:a16="http://schemas.microsoft.com/office/drawing/2014/main" id="{329CEFED-532D-480D-A295-6762FE7A9FCB}"/>
            </a:ext>
          </a:extLst>
        </xdr:cNvPr>
        <xdr:cNvSpPr/>
      </xdr:nvSpPr>
      <xdr:spPr>
        <a:xfrm>
          <a:off x="2232660" y="4864239"/>
          <a:ext cx="5181600" cy="1997303"/>
        </a:xfrm>
        <a:prstGeom prst="roundRect">
          <a:avLst>
            <a:gd name="adj" fmla="val 7756"/>
          </a:avLst>
        </a:prstGeom>
        <a:gradFill flip="none" rotWithShape="1">
          <a:gsLst>
            <a:gs pos="0">
              <a:srgbClr val="15306A"/>
            </a:gs>
            <a:gs pos="60000">
              <a:srgbClr val="13295E"/>
            </a:gs>
          </a:gsLst>
          <a:lin ang="4200000" scaled="0"/>
          <a:tileRect/>
        </a:gradFill>
        <a:ln w="9525">
          <a:gradFill flip="none" rotWithShape="1">
            <a:gsLst>
              <a:gs pos="0">
                <a:srgbClr val="6494DA"/>
              </a:gs>
              <a:gs pos="100000">
                <a:srgbClr val="2F6EC7"/>
              </a:gs>
            </a:gsLst>
            <a:lin ang="8100000" scaled="1"/>
            <a:tileRect/>
          </a:gradFill>
        </a:ln>
        <a:effectLst>
          <a:outerShdw blurRad="190500" dist="101600" dir="8100000" algn="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fld id="{D2D6F0D1-0F7B-4E37-AF29-585FD355E19A}" type="TxLink">
            <a:rPr lang="en-US" sz="1200" b="0" i="0" u="none" strike="noStrike">
              <a:solidFill>
                <a:schemeClr val="tx2">
                  <a:lumMod val="25000"/>
                  <a:lumOff val="75000"/>
                </a:schemeClr>
              </a:solidFill>
              <a:latin typeface="Aptos Narrow"/>
            </a:rPr>
            <a:pPr algn="ctr"/>
            <a:t>Income &amp; Expenses</a:t>
          </a:fld>
          <a:endParaRPr lang="ru-RU" sz="2000">
            <a:solidFill>
              <a:schemeClr val="tx2">
                <a:lumMod val="25000"/>
                <a:lumOff val="75000"/>
              </a:schemeClr>
            </a:solidFill>
          </a:endParaRPr>
        </a:p>
      </xdr:txBody>
    </xdr:sp>
    <xdr:clientData/>
  </xdr:twoCellAnchor>
  <xdr:twoCellAnchor>
    <xdr:from>
      <xdr:col>12</xdr:col>
      <xdr:colOff>314716</xdr:colOff>
      <xdr:row>18</xdr:row>
      <xdr:rowOff>11162</xdr:rowOff>
    </xdr:from>
    <xdr:to>
      <xdr:col>16</xdr:col>
      <xdr:colOff>162316</xdr:colOff>
      <xdr:row>37</xdr:row>
      <xdr:rowOff>102602</xdr:rowOff>
    </xdr:to>
    <xdr:sp macro="" textlink="Processing!A39">
      <xdr:nvSpPr>
        <xdr:cNvPr id="7" name="Rectangle: Rounded Corners 6">
          <a:extLst>
            <a:ext uri="{FF2B5EF4-FFF2-40B4-BE49-F238E27FC236}">
              <a16:creationId xmlns:a16="http://schemas.microsoft.com/office/drawing/2014/main" id="{192E84EE-7F5F-4C2C-875A-911666F97B66}"/>
            </a:ext>
          </a:extLst>
        </xdr:cNvPr>
        <xdr:cNvSpPr/>
      </xdr:nvSpPr>
      <xdr:spPr>
        <a:xfrm>
          <a:off x="7629916" y="3303002"/>
          <a:ext cx="2286000" cy="3566160"/>
        </a:xfrm>
        <a:prstGeom prst="roundRect">
          <a:avLst>
            <a:gd name="adj" fmla="val 6756"/>
          </a:avLst>
        </a:prstGeom>
        <a:gradFill flip="none" rotWithShape="1">
          <a:gsLst>
            <a:gs pos="0">
              <a:srgbClr val="15306A"/>
            </a:gs>
            <a:gs pos="84000">
              <a:srgbClr val="13295E"/>
            </a:gs>
          </a:gsLst>
          <a:lin ang="4200000" scaled="0"/>
          <a:tileRect/>
        </a:gradFill>
        <a:ln w="9525">
          <a:gradFill flip="none" rotWithShape="1">
            <a:gsLst>
              <a:gs pos="0">
                <a:srgbClr val="6494DA"/>
              </a:gs>
              <a:gs pos="62000">
                <a:srgbClr val="4F62B8"/>
              </a:gs>
            </a:gsLst>
            <a:lin ang="8100000" scaled="1"/>
            <a:tileRect/>
          </a:gradFill>
        </a:ln>
        <a:effectLst>
          <a:outerShdw blurRad="190500" dist="101600" dir="8100000" algn="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fld id="{C4FBDBAC-C864-40E9-A360-74884EA78C45}" type="TxLink">
            <a:rPr lang="en-US" sz="1200" b="0" i="0" u="none" strike="noStrike">
              <a:solidFill>
                <a:schemeClr val="tx2">
                  <a:lumMod val="25000"/>
                  <a:lumOff val="75000"/>
                </a:schemeClr>
              </a:solidFill>
              <a:latin typeface="Aptos Narrow"/>
            </a:rPr>
            <a:pPr algn="ctr"/>
            <a:t>Source Rating</a:t>
          </a:fld>
          <a:endParaRPr lang="ru-RU" sz="2400">
            <a:solidFill>
              <a:schemeClr val="tx2">
                <a:lumMod val="25000"/>
                <a:lumOff val="75000"/>
              </a:schemeClr>
            </a:solidFill>
          </a:endParaRPr>
        </a:p>
      </xdr:txBody>
    </xdr:sp>
    <xdr:clientData/>
  </xdr:twoCellAnchor>
  <xdr:twoCellAnchor>
    <xdr:from>
      <xdr:col>12</xdr:col>
      <xdr:colOff>314716</xdr:colOff>
      <xdr:row>4</xdr:row>
      <xdr:rowOff>106680</xdr:rowOff>
    </xdr:from>
    <xdr:to>
      <xdr:col>20</xdr:col>
      <xdr:colOff>192796</xdr:colOff>
      <xdr:row>17</xdr:row>
      <xdr:rowOff>15240</xdr:rowOff>
    </xdr:to>
    <xdr:sp macro="" textlink="">
      <xdr:nvSpPr>
        <xdr:cNvPr id="8" name="Rectangle: Rounded Corners 7">
          <a:extLst>
            <a:ext uri="{FF2B5EF4-FFF2-40B4-BE49-F238E27FC236}">
              <a16:creationId xmlns:a16="http://schemas.microsoft.com/office/drawing/2014/main" id="{72A29722-1531-4764-838F-DF638E01A753}"/>
            </a:ext>
          </a:extLst>
        </xdr:cNvPr>
        <xdr:cNvSpPr/>
      </xdr:nvSpPr>
      <xdr:spPr>
        <a:xfrm>
          <a:off x="7629916" y="838200"/>
          <a:ext cx="4754880" cy="2286000"/>
        </a:xfrm>
        <a:prstGeom prst="roundRect">
          <a:avLst>
            <a:gd name="adj" fmla="val 7756"/>
          </a:avLst>
        </a:prstGeom>
        <a:gradFill flip="none" rotWithShape="1">
          <a:gsLst>
            <a:gs pos="0">
              <a:srgbClr val="1C4285"/>
            </a:gs>
            <a:gs pos="84000">
              <a:srgbClr val="132D64"/>
            </a:gs>
          </a:gsLst>
          <a:lin ang="2700000" scaled="1"/>
          <a:tileRect/>
        </a:gradFill>
        <a:ln w="9525">
          <a:gradFill>
            <a:gsLst>
              <a:gs pos="49000">
                <a:srgbClr val="BCC6FF"/>
              </a:gs>
              <a:gs pos="0">
                <a:srgbClr val="6494DA"/>
              </a:gs>
              <a:gs pos="100000">
                <a:srgbClr val="2F6EC7"/>
              </a:gs>
            </a:gsLst>
            <a:lin ang="5400000" scaled="1"/>
          </a:gradFill>
        </a:ln>
        <a:effectLst>
          <a:outerShdw blurRad="190500" dist="101600" dir="8100000" algn="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clientData/>
  </xdr:twoCellAnchor>
  <xdr:twoCellAnchor>
    <xdr:from>
      <xdr:col>16</xdr:col>
      <xdr:colOff>345196</xdr:colOff>
      <xdr:row>18</xdr:row>
      <xdr:rowOff>11162</xdr:rowOff>
    </xdr:from>
    <xdr:to>
      <xdr:col>20</xdr:col>
      <xdr:colOff>192796</xdr:colOff>
      <xdr:row>37</xdr:row>
      <xdr:rowOff>102602</xdr:rowOff>
    </xdr:to>
    <xdr:sp macro="" textlink="Processing!J50">
      <xdr:nvSpPr>
        <xdr:cNvPr id="9" name="Rectangle: Rounded Corners 8">
          <a:extLst>
            <a:ext uri="{FF2B5EF4-FFF2-40B4-BE49-F238E27FC236}">
              <a16:creationId xmlns:a16="http://schemas.microsoft.com/office/drawing/2014/main" id="{02A54E22-0588-4A16-8329-F44B12D65697}"/>
            </a:ext>
          </a:extLst>
        </xdr:cNvPr>
        <xdr:cNvSpPr/>
      </xdr:nvSpPr>
      <xdr:spPr>
        <a:xfrm>
          <a:off x="10098796" y="3303002"/>
          <a:ext cx="2286000" cy="3566160"/>
        </a:xfrm>
        <a:prstGeom prst="roundRect">
          <a:avLst>
            <a:gd name="adj" fmla="val 6756"/>
          </a:avLst>
        </a:prstGeom>
        <a:gradFill flip="none" rotWithShape="1">
          <a:gsLst>
            <a:gs pos="0">
              <a:srgbClr val="15306A"/>
            </a:gs>
            <a:gs pos="70000">
              <a:srgbClr val="13295E"/>
            </a:gs>
          </a:gsLst>
          <a:lin ang="4200000" scaled="0"/>
          <a:tileRect/>
        </a:gradFill>
        <a:ln w="9525">
          <a:gradFill flip="none" rotWithShape="1">
            <a:gsLst>
              <a:gs pos="0">
                <a:srgbClr val="6494DA"/>
              </a:gs>
              <a:gs pos="59000">
                <a:srgbClr val="4F62B8"/>
              </a:gs>
            </a:gsLst>
            <a:lin ang="8100000" scaled="1"/>
            <a:tileRect/>
          </a:gradFill>
        </a:ln>
        <a:effectLst>
          <a:outerShdw blurRad="190500" dist="101600" dir="8100000" algn="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fld id="{1DE3003E-1F1C-47CB-AEC1-2E414D995FCE}" type="TxLink">
            <a:rPr lang="en-US" sz="1200" b="0" i="0" u="none" strike="noStrike">
              <a:solidFill>
                <a:schemeClr val="tx2">
                  <a:lumMod val="25000"/>
                  <a:lumOff val="75000"/>
                </a:schemeClr>
              </a:solidFill>
              <a:latin typeface="Aptos Narrow"/>
            </a:rPr>
            <a:pPr algn="ctr"/>
            <a:t>Essential Costs</a:t>
          </a:fld>
          <a:endParaRPr lang="ru-RU" sz="2000">
            <a:solidFill>
              <a:schemeClr val="tx2">
                <a:lumMod val="25000"/>
                <a:lumOff val="75000"/>
              </a:schemeClr>
            </a:solidFill>
          </a:endParaRPr>
        </a:p>
      </xdr:txBody>
    </xdr:sp>
    <xdr:clientData/>
  </xdr:twoCellAnchor>
  <xdr:twoCellAnchor>
    <xdr:from>
      <xdr:col>4</xdr:col>
      <xdr:colOff>487680</xdr:colOff>
      <xdr:row>9</xdr:row>
      <xdr:rowOff>106680</xdr:rowOff>
    </xdr:from>
    <xdr:to>
      <xdr:col>11</xdr:col>
      <xdr:colOff>335280</xdr:colOff>
      <xdr:row>23</xdr:row>
      <xdr:rowOff>175260</xdr:rowOff>
    </xdr:to>
    <xdr:sp macro="" textlink="">
      <xdr:nvSpPr>
        <xdr:cNvPr id="11" name="Rectangle: Rounded Corners 10">
          <a:extLst>
            <a:ext uri="{FF2B5EF4-FFF2-40B4-BE49-F238E27FC236}">
              <a16:creationId xmlns:a16="http://schemas.microsoft.com/office/drawing/2014/main" id="{EB88B24C-12BD-4901-9989-848F2B37A5B6}"/>
            </a:ext>
          </a:extLst>
        </xdr:cNvPr>
        <xdr:cNvSpPr/>
      </xdr:nvSpPr>
      <xdr:spPr>
        <a:xfrm>
          <a:off x="2926080" y="1752600"/>
          <a:ext cx="4114800" cy="2628900"/>
        </a:xfrm>
        <a:prstGeom prst="roundRect">
          <a:avLst>
            <a:gd name="adj" fmla="val 3288"/>
          </a:avLst>
        </a:prstGeom>
        <a:solidFill>
          <a:srgbClr val="0F2659"/>
        </a:solidFill>
        <a:effectLst>
          <a:innerShdw blurRad="127000">
            <a:prstClr val="black"/>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4</xdr:col>
      <xdr:colOff>381000</xdr:colOff>
      <xdr:row>9</xdr:row>
      <xdr:rowOff>15240</xdr:rowOff>
    </xdr:from>
    <xdr:to>
      <xdr:col>11</xdr:col>
      <xdr:colOff>457200</xdr:colOff>
      <xdr:row>24</xdr:row>
      <xdr:rowOff>121920</xdr:rowOff>
    </xdr:to>
    <xdr:graphicFrame macro="">
      <xdr:nvGraphicFramePr>
        <xdr:cNvPr id="16" name="Chart 15">
          <a:extLst>
            <a:ext uri="{FF2B5EF4-FFF2-40B4-BE49-F238E27FC236}">
              <a16:creationId xmlns:a16="http://schemas.microsoft.com/office/drawing/2014/main" id="{EDDC5E4B-D66F-4BDD-B792-CA36FAAA370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15240</xdr:colOff>
      <xdr:row>10</xdr:row>
      <xdr:rowOff>144780</xdr:rowOff>
    </xdr:from>
    <xdr:to>
      <xdr:col>11</xdr:col>
      <xdr:colOff>457200</xdr:colOff>
      <xdr:row>24</xdr:row>
      <xdr:rowOff>144780</xdr:rowOff>
    </xdr:to>
    <xdr:graphicFrame macro="">
      <xdr:nvGraphicFramePr>
        <xdr:cNvPr id="17" name="Chart 16">
          <a:extLst>
            <a:ext uri="{FF2B5EF4-FFF2-40B4-BE49-F238E27FC236}">
              <a16:creationId xmlns:a16="http://schemas.microsoft.com/office/drawing/2014/main" id="{A75C9C5B-DACD-4D4C-90E7-67D84B0B356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403860</xdr:colOff>
      <xdr:row>5</xdr:row>
      <xdr:rowOff>53340</xdr:rowOff>
    </xdr:from>
    <xdr:to>
      <xdr:col>15</xdr:col>
      <xdr:colOff>586740</xdr:colOff>
      <xdr:row>16</xdr:row>
      <xdr:rowOff>53340</xdr:rowOff>
    </xdr:to>
    <xdr:graphicFrame macro="">
      <xdr:nvGraphicFramePr>
        <xdr:cNvPr id="18" name="Chart 17">
          <a:extLst>
            <a:ext uri="{FF2B5EF4-FFF2-40B4-BE49-F238E27FC236}">
              <a16:creationId xmlns:a16="http://schemas.microsoft.com/office/drawing/2014/main" id="{B5FF54BC-A7BB-4D72-ABFA-AFDDC020F64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342900</xdr:colOff>
      <xdr:row>9</xdr:row>
      <xdr:rowOff>76200</xdr:rowOff>
    </xdr:from>
    <xdr:to>
      <xdr:col>15</xdr:col>
      <xdr:colOff>38100</xdr:colOff>
      <xdr:row>11</xdr:row>
      <xdr:rowOff>160020</xdr:rowOff>
    </xdr:to>
    <xdr:sp macro="" textlink="Processing!S3">
      <xdr:nvSpPr>
        <xdr:cNvPr id="19" name="TextBox 18">
          <a:extLst>
            <a:ext uri="{FF2B5EF4-FFF2-40B4-BE49-F238E27FC236}">
              <a16:creationId xmlns:a16="http://schemas.microsoft.com/office/drawing/2014/main" id="{A89C7900-7B2C-4873-8009-0D4CF26EEC55}"/>
            </a:ext>
          </a:extLst>
        </xdr:cNvPr>
        <xdr:cNvSpPr txBox="1"/>
      </xdr:nvSpPr>
      <xdr:spPr>
        <a:xfrm>
          <a:off x="8267700" y="1722120"/>
          <a:ext cx="914400" cy="4495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E76BA41-C5AD-4A6D-8F20-94D5DF0D5944}" type="TxLink">
            <a:rPr lang="en-US" sz="2800" b="0" i="0" u="none" strike="noStrike">
              <a:solidFill>
                <a:schemeClr val="bg1"/>
              </a:solidFill>
              <a:latin typeface="Aptos Narrow"/>
            </a:rPr>
            <a:pPr algn="ctr"/>
            <a:t>64%</a:t>
          </a:fld>
          <a:endParaRPr lang="ru-RU" sz="2800">
            <a:solidFill>
              <a:schemeClr val="bg1"/>
            </a:solidFill>
          </a:endParaRPr>
        </a:p>
      </xdr:txBody>
    </xdr:sp>
    <xdr:clientData/>
  </xdr:twoCellAnchor>
  <xdr:twoCellAnchor>
    <xdr:from>
      <xdr:col>13</xdr:col>
      <xdr:colOff>342900</xdr:colOff>
      <xdr:row>10</xdr:row>
      <xdr:rowOff>167640</xdr:rowOff>
    </xdr:from>
    <xdr:to>
      <xdr:col>15</xdr:col>
      <xdr:colOff>38100</xdr:colOff>
      <xdr:row>13</xdr:row>
      <xdr:rowOff>68580</xdr:rowOff>
    </xdr:to>
    <xdr:sp macro="" textlink="Processing!S1">
      <xdr:nvSpPr>
        <xdr:cNvPr id="20" name="TextBox 19">
          <a:extLst>
            <a:ext uri="{FF2B5EF4-FFF2-40B4-BE49-F238E27FC236}">
              <a16:creationId xmlns:a16="http://schemas.microsoft.com/office/drawing/2014/main" id="{8E2C30CA-F028-4203-8AED-C9061B7C1B0E}"/>
            </a:ext>
          </a:extLst>
        </xdr:cNvPr>
        <xdr:cNvSpPr txBox="1"/>
      </xdr:nvSpPr>
      <xdr:spPr>
        <a:xfrm>
          <a:off x="8267700" y="1996440"/>
          <a:ext cx="914400" cy="4495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F56BAA3-B378-48FE-B598-FF2C3B2AC85A}" type="TxLink">
            <a:rPr lang="en-US" sz="1400" b="0" i="0" u="none" strike="noStrike">
              <a:solidFill>
                <a:schemeClr val="tx2">
                  <a:lumMod val="25000"/>
                  <a:lumOff val="75000"/>
                </a:schemeClr>
              </a:solidFill>
              <a:latin typeface="Aptos Narrow"/>
            </a:rPr>
            <a:pPr algn="ctr"/>
            <a:t>Budget</a:t>
          </a:fld>
          <a:endParaRPr lang="ru-RU" sz="3600" b="0">
            <a:solidFill>
              <a:schemeClr val="tx2">
                <a:lumMod val="25000"/>
                <a:lumOff val="75000"/>
              </a:schemeClr>
            </a:solidFill>
          </a:endParaRPr>
        </a:p>
      </xdr:txBody>
    </xdr:sp>
    <xdr:clientData/>
  </xdr:twoCellAnchor>
  <xdr:twoCellAnchor>
    <xdr:from>
      <xdr:col>16</xdr:col>
      <xdr:colOff>0</xdr:colOff>
      <xdr:row>5</xdr:row>
      <xdr:rowOff>22860</xdr:rowOff>
    </xdr:from>
    <xdr:to>
      <xdr:col>20</xdr:col>
      <xdr:colOff>83820</xdr:colOff>
      <xdr:row>16</xdr:row>
      <xdr:rowOff>114300</xdr:rowOff>
    </xdr:to>
    <xdr:sp macro="" textlink="">
      <xdr:nvSpPr>
        <xdr:cNvPr id="21" name="Rectangle: Rounded Corners 20">
          <a:extLst>
            <a:ext uri="{FF2B5EF4-FFF2-40B4-BE49-F238E27FC236}">
              <a16:creationId xmlns:a16="http://schemas.microsoft.com/office/drawing/2014/main" id="{BA5B3DC8-92B6-452A-9395-9C1528A82F8D}"/>
            </a:ext>
          </a:extLst>
        </xdr:cNvPr>
        <xdr:cNvSpPr/>
      </xdr:nvSpPr>
      <xdr:spPr>
        <a:xfrm>
          <a:off x="9753600" y="937260"/>
          <a:ext cx="2522220" cy="2103120"/>
        </a:xfrm>
        <a:prstGeom prst="roundRect">
          <a:avLst>
            <a:gd name="adj" fmla="val 7028"/>
          </a:avLst>
        </a:prstGeom>
        <a:solidFill>
          <a:srgbClr val="00103E"/>
        </a:solidFill>
        <a:ln w="9525">
          <a:solidFill>
            <a:schemeClr val="tx2">
              <a:lumMod val="75000"/>
              <a:lumOff val="25000"/>
            </a:schemeClr>
          </a:solidFill>
        </a:ln>
        <a:effectLst>
          <a:innerShdw blurRad="393700">
            <a:prstClr val="black"/>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16</xdr:col>
      <xdr:colOff>22860</xdr:colOff>
      <xdr:row>6</xdr:row>
      <xdr:rowOff>144780</xdr:rowOff>
    </xdr:from>
    <xdr:to>
      <xdr:col>20</xdr:col>
      <xdr:colOff>53340</xdr:colOff>
      <xdr:row>17</xdr:row>
      <xdr:rowOff>144780</xdr:rowOff>
    </xdr:to>
    <xdr:graphicFrame macro="">
      <xdr:nvGraphicFramePr>
        <xdr:cNvPr id="22" name="Chart 21">
          <a:extLst>
            <a:ext uri="{FF2B5EF4-FFF2-40B4-BE49-F238E27FC236}">
              <a16:creationId xmlns:a16="http://schemas.microsoft.com/office/drawing/2014/main" id="{C0C13FFB-735E-42F8-A45E-649DAAC06B0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16</xdr:col>
      <xdr:colOff>76200</xdr:colOff>
      <xdr:row>5</xdr:row>
      <xdr:rowOff>144780</xdr:rowOff>
    </xdr:from>
    <xdr:to>
      <xdr:col>20</xdr:col>
      <xdr:colOff>22860</xdr:colOff>
      <xdr:row>7</xdr:row>
      <xdr:rowOff>53340</xdr:rowOff>
    </xdr:to>
    <xdr:sp macro="" textlink="">
      <xdr:nvSpPr>
        <xdr:cNvPr id="23" name="TextBox 22">
          <a:extLst>
            <a:ext uri="{FF2B5EF4-FFF2-40B4-BE49-F238E27FC236}">
              <a16:creationId xmlns:a16="http://schemas.microsoft.com/office/drawing/2014/main" id="{18EB74E9-D7C5-4A55-8EBA-82E1A94B8A55}"/>
            </a:ext>
          </a:extLst>
        </xdr:cNvPr>
        <xdr:cNvSpPr txBox="1"/>
      </xdr:nvSpPr>
      <xdr:spPr>
        <a:xfrm>
          <a:off x="9829800" y="1059180"/>
          <a:ext cx="238506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100">
              <a:solidFill>
                <a:srgbClr val="FF6CFF"/>
              </a:solidFill>
            </a:rPr>
            <a:t>SU  </a:t>
          </a:r>
          <a:r>
            <a:rPr lang="en-US" sz="1100">
              <a:solidFill>
                <a:srgbClr val="0062C4"/>
              </a:solidFill>
            </a:rPr>
            <a:t>     MO       TU      WE      TH       FR       </a:t>
          </a:r>
          <a:r>
            <a:rPr lang="en-US" sz="1100">
              <a:solidFill>
                <a:srgbClr val="FF6CFF"/>
              </a:solidFill>
            </a:rPr>
            <a:t>SA</a:t>
          </a:r>
        </a:p>
      </xdr:txBody>
    </xdr:sp>
    <xdr:clientData/>
  </xdr:twoCellAnchor>
  <xdr:twoCellAnchor>
    <xdr:from>
      <xdr:col>3</xdr:col>
      <xdr:colOff>495300</xdr:colOff>
      <xdr:row>28</xdr:row>
      <xdr:rowOff>0</xdr:rowOff>
    </xdr:from>
    <xdr:to>
      <xdr:col>12</xdr:col>
      <xdr:colOff>83820</xdr:colOff>
      <xdr:row>36</xdr:row>
      <xdr:rowOff>91440</xdr:rowOff>
    </xdr:to>
    <xdr:graphicFrame macro="">
      <xdr:nvGraphicFramePr>
        <xdr:cNvPr id="24" name="Chart 23">
          <a:extLst>
            <a:ext uri="{FF2B5EF4-FFF2-40B4-BE49-F238E27FC236}">
              <a16:creationId xmlns:a16="http://schemas.microsoft.com/office/drawing/2014/main" id="{4196338F-F162-4751-9C95-F4E565FCD49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12</xdr:col>
      <xdr:colOff>343967</xdr:colOff>
      <xdr:row>19</xdr:row>
      <xdr:rowOff>91440</xdr:rowOff>
    </xdr:from>
    <xdr:to>
      <xdr:col>16</xdr:col>
      <xdr:colOff>191567</xdr:colOff>
      <xdr:row>28</xdr:row>
      <xdr:rowOff>0</xdr:rowOff>
    </xdr:to>
    <xdr:graphicFrame macro="">
      <xdr:nvGraphicFramePr>
        <xdr:cNvPr id="25" name="Chart 24">
          <a:extLst>
            <a:ext uri="{FF2B5EF4-FFF2-40B4-BE49-F238E27FC236}">
              <a16:creationId xmlns:a16="http://schemas.microsoft.com/office/drawing/2014/main" id="{8B06AE71-D98B-4DE2-B51D-97FA875B350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12</xdr:col>
      <xdr:colOff>320040</xdr:colOff>
      <xdr:row>27</xdr:row>
      <xdr:rowOff>167640</xdr:rowOff>
    </xdr:from>
    <xdr:to>
      <xdr:col>16</xdr:col>
      <xdr:colOff>167640</xdr:colOff>
      <xdr:row>35</xdr:row>
      <xdr:rowOff>76200</xdr:rowOff>
    </xdr:to>
    <xdr:graphicFrame macro="">
      <xdr:nvGraphicFramePr>
        <xdr:cNvPr id="26" name="Chart 25">
          <a:extLst>
            <a:ext uri="{FF2B5EF4-FFF2-40B4-BE49-F238E27FC236}">
              <a16:creationId xmlns:a16="http://schemas.microsoft.com/office/drawing/2014/main" id="{728BD8C5-4EEA-4F61-9F63-1C8B85D16AF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16</xdr:col>
      <xdr:colOff>502920</xdr:colOff>
      <xdr:row>19</xdr:row>
      <xdr:rowOff>76200</xdr:rowOff>
    </xdr:from>
    <xdr:to>
      <xdr:col>20</xdr:col>
      <xdr:colOff>76200</xdr:colOff>
      <xdr:row>30</xdr:row>
      <xdr:rowOff>76200</xdr:rowOff>
    </xdr:to>
    <xdr:grpSp>
      <xdr:nvGrpSpPr>
        <xdr:cNvPr id="27" name="Group 26">
          <a:extLst>
            <a:ext uri="{FF2B5EF4-FFF2-40B4-BE49-F238E27FC236}">
              <a16:creationId xmlns:a16="http://schemas.microsoft.com/office/drawing/2014/main" id="{6CE1B5AA-FF6F-487D-863E-EB1A34B16160}"/>
            </a:ext>
          </a:extLst>
        </xdr:cNvPr>
        <xdr:cNvGrpSpPr/>
      </xdr:nvGrpSpPr>
      <xdr:grpSpPr>
        <a:xfrm>
          <a:off x="10324253" y="3695700"/>
          <a:ext cx="2028614" cy="2095500"/>
          <a:chOff x="10287000" y="3314700"/>
          <a:chExt cx="2011680" cy="2011680"/>
        </a:xfrm>
      </xdr:grpSpPr>
      <xdr:graphicFrame macro="">
        <xdr:nvGraphicFramePr>
          <xdr:cNvPr id="28" name="Chart 27">
            <a:extLst>
              <a:ext uri="{FF2B5EF4-FFF2-40B4-BE49-F238E27FC236}">
                <a16:creationId xmlns:a16="http://schemas.microsoft.com/office/drawing/2014/main" id="{CE0C15D7-BF4B-937A-9F4E-18EE0AC070BB}"/>
              </a:ext>
            </a:extLst>
          </xdr:cNvPr>
          <xdr:cNvGraphicFramePr>
            <a:graphicFrameLocks/>
          </xdr:cNvGraphicFramePr>
        </xdr:nvGraphicFramePr>
        <xdr:xfrm>
          <a:off x="10424160" y="3451860"/>
          <a:ext cx="1737360" cy="1737360"/>
        </xdr:xfrm>
        <a:graphic>
          <a:graphicData uri="http://schemas.openxmlformats.org/drawingml/2006/chart">
            <c:chart xmlns:c="http://schemas.openxmlformats.org/drawingml/2006/chart" xmlns:r="http://schemas.openxmlformats.org/officeDocument/2006/relationships" r:id="rId8"/>
          </a:graphicData>
        </a:graphic>
      </xdr:graphicFrame>
      <xdr:graphicFrame macro="">
        <xdr:nvGraphicFramePr>
          <xdr:cNvPr id="29" name="Chart 28">
            <a:extLst>
              <a:ext uri="{FF2B5EF4-FFF2-40B4-BE49-F238E27FC236}">
                <a16:creationId xmlns:a16="http://schemas.microsoft.com/office/drawing/2014/main" id="{1A68B4A8-9AF7-50F0-D610-34DFDC13C63D}"/>
              </a:ext>
            </a:extLst>
          </xdr:cNvPr>
          <xdr:cNvGraphicFramePr>
            <a:graphicFrameLocks/>
          </xdr:cNvGraphicFramePr>
        </xdr:nvGraphicFramePr>
        <xdr:xfrm>
          <a:off x="10287000" y="3314700"/>
          <a:ext cx="2011680" cy="2011680"/>
        </xdr:xfrm>
        <a:graphic>
          <a:graphicData uri="http://schemas.openxmlformats.org/drawingml/2006/chart">
            <c:chart xmlns:c="http://schemas.openxmlformats.org/drawingml/2006/chart" xmlns:r="http://schemas.openxmlformats.org/officeDocument/2006/relationships" r:id="rId9"/>
          </a:graphicData>
        </a:graphic>
      </xdr:graphicFrame>
    </xdr:grpSp>
    <xdr:clientData/>
  </xdr:twoCellAnchor>
  <xdr:twoCellAnchor>
    <xdr:from>
      <xdr:col>16</xdr:col>
      <xdr:colOff>485018</xdr:colOff>
      <xdr:row>28</xdr:row>
      <xdr:rowOff>152400</xdr:rowOff>
    </xdr:from>
    <xdr:to>
      <xdr:col>20</xdr:col>
      <xdr:colOff>58298</xdr:colOff>
      <xdr:row>35</xdr:row>
      <xdr:rowOff>99060</xdr:rowOff>
    </xdr:to>
    <xdr:graphicFrame macro="">
      <xdr:nvGraphicFramePr>
        <xdr:cNvPr id="30" name="Chart 29">
          <a:extLst>
            <a:ext uri="{FF2B5EF4-FFF2-40B4-BE49-F238E27FC236}">
              <a16:creationId xmlns:a16="http://schemas.microsoft.com/office/drawing/2014/main" id="{201553C4-F704-4F14-8795-3B7EA721AD6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oneCell">
    <xdr:from>
      <xdr:col>12</xdr:col>
      <xdr:colOff>419100</xdr:colOff>
      <xdr:row>35</xdr:row>
      <xdr:rowOff>0</xdr:rowOff>
    </xdr:from>
    <xdr:to>
      <xdr:col>16</xdr:col>
      <xdr:colOff>83820</xdr:colOff>
      <xdr:row>37</xdr:row>
      <xdr:rowOff>64008</xdr:rowOff>
    </xdr:to>
    <mc:AlternateContent xmlns:mc="http://schemas.openxmlformats.org/markup-compatibility/2006" xmlns:a14="http://schemas.microsoft.com/office/drawing/2010/main">
      <mc:Choice Requires="a14">
        <xdr:graphicFrame macro="">
          <xdr:nvGraphicFramePr>
            <xdr:cNvPr id="33" name="Year 1">
              <a:extLst>
                <a:ext uri="{FF2B5EF4-FFF2-40B4-BE49-F238E27FC236}">
                  <a16:creationId xmlns:a16="http://schemas.microsoft.com/office/drawing/2014/main" id="{51C5DD8F-E140-4CED-9ED6-A8F68296F01B}"/>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7734300" y="6400800"/>
              <a:ext cx="2103120" cy="429768"/>
            </a:xfrm>
            <a:prstGeom prst="rect">
              <a:avLst/>
            </a:prstGeom>
            <a:solidFill>
              <a:prstClr val="white"/>
            </a:solidFill>
            <a:ln w="1">
              <a:solidFill>
                <a:prstClr val="green"/>
              </a:solidFill>
            </a:ln>
          </xdr:spPr>
          <xdr:txBody>
            <a:bodyPr vertOverflow="clip" horzOverflow="clip"/>
            <a:lstStyle/>
            <a:p>
              <a:r>
                <a:rPr lang="ru-R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236220</xdr:colOff>
      <xdr:row>35</xdr:row>
      <xdr:rowOff>0</xdr:rowOff>
    </xdr:from>
    <xdr:to>
      <xdr:col>12</xdr:col>
      <xdr:colOff>22860</xdr:colOff>
      <xdr:row>37</xdr:row>
      <xdr:rowOff>64008</xdr:rowOff>
    </xdr:to>
    <mc:AlternateContent xmlns:mc="http://schemas.openxmlformats.org/markup-compatibility/2006" xmlns:a14="http://schemas.microsoft.com/office/drawing/2010/main">
      <mc:Choice Requires="a14">
        <xdr:graphicFrame macro="">
          <xdr:nvGraphicFramePr>
            <xdr:cNvPr id="34" name="Month 1">
              <a:extLst>
                <a:ext uri="{FF2B5EF4-FFF2-40B4-BE49-F238E27FC236}">
                  <a16:creationId xmlns:a16="http://schemas.microsoft.com/office/drawing/2014/main" id="{4D83E905-6936-405D-A78C-74EAE1F4AE16}"/>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mlns="">
        <xdr:sp macro="" textlink="">
          <xdr:nvSpPr>
            <xdr:cNvPr id="0" name=""/>
            <xdr:cNvSpPr>
              <a:spLocks noTextEdit="1"/>
            </xdr:cNvSpPr>
          </xdr:nvSpPr>
          <xdr:spPr>
            <a:xfrm>
              <a:off x="2674620" y="6400800"/>
              <a:ext cx="4663440" cy="429768"/>
            </a:xfrm>
            <a:prstGeom prst="rect">
              <a:avLst/>
            </a:prstGeom>
            <a:solidFill>
              <a:prstClr val="white"/>
            </a:solidFill>
            <a:ln w="1">
              <a:solidFill>
                <a:prstClr val="green"/>
              </a:solidFill>
            </a:ln>
          </xdr:spPr>
          <xdr:txBody>
            <a:bodyPr vertOverflow="clip" horzOverflow="clip"/>
            <a:lstStyle/>
            <a:p>
              <a:r>
                <a:rPr lang="ru-R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500638</xdr:colOff>
      <xdr:row>27</xdr:row>
      <xdr:rowOff>2758</xdr:rowOff>
    </xdr:from>
    <xdr:to>
      <xdr:col>10</xdr:col>
      <xdr:colOff>108963</xdr:colOff>
      <xdr:row>28</xdr:row>
      <xdr:rowOff>50583</xdr:rowOff>
    </xdr:to>
    <xdr:sp macro="" textlink="Processing!F30">
      <xdr:nvSpPr>
        <xdr:cNvPr id="35" name="TextBox 34">
          <a:extLst>
            <a:ext uri="{FF2B5EF4-FFF2-40B4-BE49-F238E27FC236}">
              <a16:creationId xmlns:a16="http://schemas.microsoft.com/office/drawing/2014/main" id="{537C211A-8FF5-4C36-B323-6B4528595626}"/>
            </a:ext>
          </a:extLst>
        </xdr:cNvPr>
        <xdr:cNvSpPr txBox="1"/>
      </xdr:nvSpPr>
      <xdr:spPr>
        <a:xfrm>
          <a:off x="5377438" y="4940518"/>
          <a:ext cx="827525" cy="2307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F39BE783-B392-4D7C-8C2A-EEB34489B994}" type="TxLink">
            <a:rPr lang="en-US" sz="1200" b="0" i="0" u="none" strike="noStrike">
              <a:solidFill>
                <a:schemeClr val="accent5">
                  <a:lumMod val="40000"/>
                  <a:lumOff val="60000"/>
                </a:schemeClr>
              </a:solidFill>
              <a:latin typeface="Aptos Narrow"/>
              <a:ea typeface="+mn-ea"/>
              <a:cs typeface="+mn-cs"/>
            </a:rPr>
            <a:pPr marL="0" indent="0" algn="l"/>
            <a:t> $10,302 </a:t>
          </a:fld>
          <a:endParaRPr lang="ru-RU" sz="2000" b="0" i="0" u="none" strike="noStrike">
            <a:solidFill>
              <a:schemeClr val="accent5">
                <a:lumMod val="40000"/>
                <a:lumOff val="60000"/>
              </a:schemeClr>
            </a:solidFill>
            <a:latin typeface="Aptos Narrow"/>
            <a:ea typeface="+mn-ea"/>
            <a:cs typeface="+mn-cs"/>
          </a:endParaRPr>
        </a:p>
      </xdr:txBody>
    </xdr:sp>
    <xdr:clientData/>
  </xdr:twoCellAnchor>
  <xdr:twoCellAnchor>
    <xdr:from>
      <xdr:col>5</xdr:col>
      <xdr:colOff>348238</xdr:colOff>
      <xdr:row>27</xdr:row>
      <xdr:rowOff>2758</xdr:rowOff>
    </xdr:from>
    <xdr:to>
      <xdr:col>6</xdr:col>
      <xdr:colOff>566163</xdr:colOff>
      <xdr:row>28</xdr:row>
      <xdr:rowOff>50583</xdr:rowOff>
    </xdr:to>
    <xdr:sp macro="" textlink="Processing!E30">
      <xdr:nvSpPr>
        <xdr:cNvPr id="36" name="TextBox 35">
          <a:extLst>
            <a:ext uri="{FF2B5EF4-FFF2-40B4-BE49-F238E27FC236}">
              <a16:creationId xmlns:a16="http://schemas.microsoft.com/office/drawing/2014/main" id="{1F41EB85-9767-4977-A3FD-0F78907454DF}"/>
            </a:ext>
          </a:extLst>
        </xdr:cNvPr>
        <xdr:cNvSpPr txBox="1"/>
      </xdr:nvSpPr>
      <xdr:spPr>
        <a:xfrm>
          <a:off x="3396238" y="4940518"/>
          <a:ext cx="827525" cy="2307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6228063D-045F-42D2-9E29-4ADE8D5D219F}" type="TxLink">
            <a:rPr lang="en-US" sz="1200" b="0" i="0" u="none" strike="noStrike">
              <a:solidFill>
                <a:srgbClr val="00B0F0"/>
              </a:solidFill>
              <a:latin typeface="Aptos Narrow"/>
              <a:ea typeface="+mn-ea"/>
              <a:cs typeface="+mn-cs"/>
            </a:rPr>
            <a:pPr marL="0" indent="0" algn="r"/>
            <a:t> $12,533 </a:t>
          </a:fld>
          <a:endParaRPr lang="ru-RU" sz="2400" b="0" i="0" u="none" strike="noStrike">
            <a:solidFill>
              <a:srgbClr val="00B0F0"/>
            </a:solidFill>
            <a:latin typeface="Aptos Narrow"/>
            <a:ea typeface="+mn-ea"/>
            <a:cs typeface="+mn-cs"/>
          </a:endParaRPr>
        </a:p>
      </xdr:txBody>
    </xdr:sp>
    <xdr:clientData/>
  </xdr:twoCellAnchor>
  <xdr:twoCellAnchor editAs="oneCell">
    <xdr:from>
      <xdr:col>16</xdr:col>
      <xdr:colOff>530738</xdr:colOff>
      <xdr:row>35</xdr:row>
      <xdr:rowOff>0</xdr:rowOff>
    </xdr:from>
    <xdr:to>
      <xdr:col>20</xdr:col>
      <xdr:colOff>12578</xdr:colOff>
      <xdr:row>37</xdr:row>
      <xdr:rowOff>64008</xdr:rowOff>
    </xdr:to>
    <mc:AlternateContent xmlns:mc="http://schemas.openxmlformats.org/markup-compatibility/2006" xmlns:a14="http://schemas.microsoft.com/office/drawing/2010/main">
      <mc:Choice Requires="a14">
        <xdr:graphicFrame macro="">
          <xdr:nvGraphicFramePr>
            <xdr:cNvPr id="37" name="Buttons 1">
              <a:extLst>
                <a:ext uri="{FF2B5EF4-FFF2-40B4-BE49-F238E27FC236}">
                  <a16:creationId xmlns:a16="http://schemas.microsoft.com/office/drawing/2014/main" id="{F73B706B-377D-41EA-8764-3D9CCBAF78A9}"/>
                </a:ext>
              </a:extLst>
            </xdr:cNvPr>
            <xdr:cNvGraphicFramePr/>
          </xdr:nvGraphicFramePr>
          <xdr:xfrm>
            <a:off x="0" y="0"/>
            <a:ext cx="0" cy="0"/>
          </xdr:xfrm>
          <a:graphic>
            <a:graphicData uri="http://schemas.microsoft.com/office/drawing/2010/slicer">
              <sle:slicer xmlns:sle="http://schemas.microsoft.com/office/drawing/2010/slicer" name="Buttons 1"/>
            </a:graphicData>
          </a:graphic>
        </xdr:graphicFrame>
      </mc:Choice>
      <mc:Fallback xmlns="">
        <xdr:sp macro="" textlink="">
          <xdr:nvSpPr>
            <xdr:cNvPr id="0" name=""/>
            <xdr:cNvSpPr>
              <a:spLocks noTextEdit="1"/>
            </xdr:cNvSpPr>
          </xdr:nvSpPr>
          <xdr:spPr>
            <a:xfrm>
              <a:off x="10284338" y="6400800"/>
              <a:ext cx="1920240" cy="429768"/>
            </a:xfrm>
            <a:prstGeom prst="rect">
              <a:avLst/>
            </a:prstGeom>
            <a:solidFill>
              <a:prstClr val="white"/>
            </a:solidFill>
            <a:ln w="1">
              <a:solidFill>
                <a:prstClr val="green"/>
              </a:solidFill>
            </a:ln>
          </xdr:spPr>
          <xdr:txBody>
            <a:bodyPr vertOverflow="clip" horzOverflow="clip"/>
            <a:lstStyle/>
            <a:p>
              <a:r>
                <a:rPr lang="ru-R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16</xdr:col>
      <xdr:colOff>108357</xdr:colOff>
      <xdr:row>7</xdr:row>
      <xdr:rowOff>72390</xdr:rowOff>
    </xdr:from>
    <xdr:to>
      <xdr:col>19</xdr:col>
      <xdr:colOff>592684</xdr:colOff>
      <xdr:row>15</xdr:row>
      <xdr:rowOff>156210</xdr:rowOff>
    </xdr:to>
    <xdr:grpSp>
      <xdr:nvGrpSpPr>
        <xdr:cNvPr id="38" name="Group 37">
          <a:extLst>
            <a:ext uri="{FF2B5EF4-FFF2-40B4-BE49-F238E27FC236}">
              <a16:creationId xmlns:a16="http://schemas.microsoft.com/office/drawing/2014/main" id="{5357EBBC-B231-457E-BF24-946D5CEA65A0}"/>
            </a:ext>
          </a:extLst>
        </xdr:cNvPr>
        <xdr:cNvGrpSpPr/>
      </xdr:nvGrpSpPr>
      <xdr:grpSpPr>
        <a:xfrm>
          <a:off x="9929690" y="1405890"/>
          <a:ext cx="2325827" cy="1607820"/>
          <a:chOff x="9861957" y="1352550"/>
          <a:chExt cx="2313127" cy="1546860"/>
        </a:xfrm>
      </xdr:grpSpPr>
      <xdr:sp macro="" textlink="Processing!K18">
        <xdr:nvSpPr>
          <xdr:cNvPr id="39" name="TextBox 38">
            <a:extLst>
              <a:ext uri="{FF2B5EF4-FFF2-40B4-BE49-F238E27FC236}">
                <a16:creationId xmlns:a16="http://schemas.microsoft.com/office/drawing/2014/main" id="{500A5E1D-D6E6-4485-0796-D1E465EA0833}"/>
              </a:ext>
            </a:extLst>
          </xdr:cNvPr>
          <xdr:cNvSpPr txBox="1"/>
        </xdr:nvSpPr>
        <xdr:spPr>
          <a:xfrm>
            <a:off x="9890760" y="1352550"/>
            <a:ext cx="27432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D3E7255-CADA-4230-BD23-D54321216D7F}" type="TxLink">
              <a:rPr lang="en-US" sz="1100" b="0" i="0" u="none" strike="noStrike">
                <a:solidFill>
                  <a:schemeClr val="bg1"/>
                </a:solidFill>
                <a:latin typeface="Aptos Narrow"/>
              </a:rPr>
              <a:pPr algn="ctr"/>
              <a:t> </a:t>
            </a:fld>
            <a:endParaRPr lang="ru-RU" sz="1100">
              <a:solidFill>
                <a:schemeClr val="bg1"/>
              </a:solidFill>
            </a:endParaRPr>
          </a:p>
        </xdr:txBody>
      </xdr:sp>
      <xdr:sp macro="" textlink="Processing!L18">
        <xdr:nvSpPr>
          <xdr:cNvPr id="40" name="TextBox 39">
            <a:extLst>
              <a:ext uri="{FF2B5EF4-FFF2-40B4-BE49-F238E27FC236}">
                <a16:creationId xmlns:a16="http://schemas.microsoft.com/office/drawing/2014/main" id="{B94D11E4-5A28-6EB8-2F78-F06CDD832C8D}"/>
              </a:ext>
            </a:extLst>
          </xdr:cNvPr>
          <xdr:cNvSpPr txBox="1"/>
        </xdr:nvSpPr>
        <xdr:spPr>
          <a:xfrm>
            <a:off x="10220960" y="1352550"/>
            <a:ext cx="27432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1C6F21F-FDF9-4379-8CF8-B6BD162D0F3A}" type="TxLink">
              <a:rPr lang="en-US" sz="1100" b="0" i="0" u="none" strike="noStrike">
                <a:solidFill>
                  <a:schemeClr val="bg1"/>
                </a:solidFill>
                <a:latin typeface="Aptos Narrow"/>
              </a:rPr>
              <a:pPr algn="ctr"/>
              <a:t> </a:t>
            </a:fld>
            <a:endParaRPr lang="ru-RU" sz="1100">
              <a:solidFill>
                <a:schemeClr val="bg1"/>
              </a:solidFill>
            </a:endParaRPr>
          </a:p>
        </xdr:txBody>
      </xdr:sp>
      <xdr:sp macro="" textlink="Processing!M18">
        <xdr:nvSpPr>
          <xdr:cNvPr id="41" name="TextBox 40">
            <a:extLst>
              <a:ext uri="{FF2B5EF4-FFF2-40B4-BE49-F238E27FC236}">
                <a16:creationId xmlns:a16="http://schemas.microsoft.com/office/drawing/2014/main" id="{7DD5586C-CD23-F477-604A-99EDB1572851}"/>
              </a:ext>
            </a:extLst>
          </xdr:cNvPr>
          <xdr:cNvSpPr txBox="1"/>
        </xdr:nvSpPr>
        <xdr:spPr>
          <a:xfrm>
            <a:off x="10551160" y="1352550"/>
            <a:ext cx="27432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1610ED9-FE00-40BD-8F7F-81F57958080E}" type="TxLink">
              <a:rPr lang="en-US" sz="1100" b="0" i="0" u="none" strike="noStrike">
                <a:solidFill>
                  <a:schemeClr val="bg1"/>
                </a:solidFill>
                <a:latin typeface="Aptos Narrow"/>
              </a:rPr>
              <a:pPr algn="ctr"/>
              <a:t> </a:t>
            </a:fld>
            <a:endParaRPr lang="ru-RU" sz="1100">
              <a:solidFill>
                <a:schemeClr val="bg1"/>
              </a:solidFill>
            </a:endParaRPr>
          </a:p>
        </xdr:txBody>
      </xdr:sp>
      <xdr:sp macro="" textlink="Processing!N18">
        <xdr:nvSpPr>
          <xdr:cNvPr id="42" name="TextBox 41">
            <a:extLst>
              <a:ext uri="{FF2B5EF4-FFF2-40B4-BE49-F238E27FC236}">
                <a16:creationId xmlns:a16="http://schemas.microsoft.com/office/drawing/2014/main" id="{88504748-FB6A-AEF3-9E3C-6AF31E8E4BDE}"/>
              </a:ext>
            </a:extLst>
          </xdr:cNvPr>
          <xdr:cNvSpPr txBox="1"/>
        </xdr:nvSpPr>
        <xdr:spPr>
          <a:xfrm>
            <a:off x="10881360" y="1352550"/>
            <a:ext cx="27432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0821B4C-4BAA-44F2-AE44-CF18588BA78E}" type="TxLink">
              <a:rPr lang="en-US" sz="1100" b="0" i="0" u="none" strike="noStrike">
                <a:solidFill>
                  <a:schemeClr val="bg1"/>
                </a:solidFill>
                <a:latin typeface="Aptos Narrow"/>
              </a:rPr>
              <a:pPr algn="ctr"/>
              <a:t> </a:t>
            </a:fld>
            <a:endParaRPr lang="ru-RU" sz="1100">
              <a:solidFill>
                <a:schemeClr val="bg1"/>
              </a:solidFill>
            </a:endParaRPr>
          </a:p>
        </xdr:txBody>
      </xdr:sp>
      <xdr:sp macro="" textlink="Processing!O18">
        <xdr:nvSpPr>
          <xdr:cNvPr id="43" name="TextBox 42">
            <a:extLst>
              <a:ext uri="{FF2B5EF4-FFF2-40B4-BE49-F238E27FC236}">
                <a16:creationId xmlns:a16="http://schemas.microsoft.com/office/drawing/2014/main" id="{15ECC87E-9134-A311-E36E-BAE72DAF1F64}"/>
              </a:ext>
            </a:extLst>
          </xdr:cNvPr>
          <xdr:cNvSpPr txBox="1"/>
        </xdr:nvSpPr>
        <xdr:spPr>
          <a:xfrm>
            <a:off x="11211560" y="1352550"/>
            <a:ext cx="27432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3900FCD-5EFC-4A56-8CED-011582CB3E1E}" type="TxLink">
              <a:rPr lang="en-US" sz="1100" b="0" i="0" u="none" strike="noStrike">
                <a:solidFill>
                  <a:schemeClr val="bg1"/>
                </a:solidFill>
                <a:latin typeface="Aptos Narrow"/>
              </a:rPr>
              <a:pPr algn="ctr"/>
              <a:t>1</a:t>
            </a:fld>
            <a:endParaRPr lang="ru-RU" sz="1100">
              <a:solidFill>
                <a:schemeClr val="bg1"/>
              </a:solidFill>
            </a:endParaRPr>
          </a:p>
        </xdr:txBody>
      </xdr:sp>
      <xdr:sp macro="" textlink="Processing!P18">
        <xdr:nvSpPr>
          <xdr:cNvPr id="44" name="TextBox 43">
            <a:extLst>
              <a:ext uri="{FF2B5EF4-FFF2-40B4-BE49-F238E27FC236}">
                <a16:creationId xmlns:a16="http://schemas.microsoft.com/office/drawing/2014/main" id="{44CAD8BC-5813-9AB6-66FB-AF9A89FAE36F}"/>
              </a:ext>
            </a:extLst>
          </xdr:cNvPr>
          <xdr:cNvSpPr txBox="1"/>
        </xdr:nvSpPr>
        <xdr:spPr>
          <a:xfrm>
            <a:off x="11541760" y="1352550"/>
            <a:ext cx="27432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1C9B50A-1F2B-470C-A2CD-50A82C48B554}" type="TxLink">
              <a:rPr lang="en-US" sz="1100" b="0" i="0" u="none" strike="noStrike">
                <a:solidFill>
                  <a:schemeClr val="bg1"/>
                </a:solidFill>
                <a:latin typeface="Aptos Narrow"/>
              </a:rPr>
              <a:pPr algn="ctr"/>
              <a:t>2</a:t>
            </a:fld>
            <a:endParaRPr lang="ru-RU" sz="1100">
              <a:solidFill>
                <a:schemeClr val="bg1"/>
              </a:solidFill>
            </a:endParaRPr>
          </a:p>
        </xdr:txBody>
      </xdr:sp>
      <xdr:sp macro="" textlink="Processing!Q18">
        <xdr:nvSpPr>
          <xdr:cNvPr id="45" name="TextBox 44">
            <a:extLst>
              <a:ext uri="{FF2B5EF4-FFF2-40B4-BE49-F238E27FC236}">
                <a16:creationId xmlns:a16="http://schemas.microsoft.com/office/drawing/2014/main" id="{6C68EA77-E578-A662-BBEB-F7A3F858A1D7}"/>
              </a:ext>
            </a:extLst>
          </xdr:cNvPr>
          <xdr:cNvSpPr txBox="1"/>
        </xdr:nvSpPr>
        <xdr:spPr>
          <a:xfrm>
            <a:off x="11871960" y="1352550"/>
            <a:ext cx="27432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2B7511D-7E23-4379-9E06-0EFB29477EA3}" type="TxLink">
              <a:rPr lang="en-US" sz="1100" b="0" i="0" u="none" strike="noStrike">
                <a:solidFill>
                  <a:schemeClr val="bg1"/>
                </a:solidFill>
                <a:latin typeface="Aptos Narrow"/>
              </a:rPr>
              <a:pPr algn="ctr"/>
              <a:t>3</a:t>
            </a:fld>
            <a:endParaRPr lang="ru-RU" sz="1100">
              <a:solidFill>
                <a:schemeClr val="bg1"/>
              </a:solidFill>
            </a:endParaRPr>
          </a:p>
        </xdr:txBody>
      </xdr:sp>
      <xdr:sp macro="" textlink="Processing!K19">
        <xdr:nvSpPr>
          <xdr:cNvPr id="46" name="TextBox 45">
            <a:extLst>
              <a:ext uri="{FF2B5EF4-FFF2-40B4-BE49-F238E27FC236}">
                <a16:creationId xmlns:a16="http://schemas.microsoft.com/office/drawing/2014/main" id="{9FAD3599-A8AA-10AF-08B1-57D7304F98E0}"/>
              </a:ext>
            </a:extLst>
          </xdr:cNvPr>
          <xdr:cNvSpPr txBox="1"/>
        </xdr:nvSpPr>
        <xdr:spPr>
          <a:xfrm>
            <a:off x="9890760" y="1604010"/>
            <a:ext cx="27432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734A8F3-B214-4719-B067-7A5649E0BED0}" type="TxLink">
              <a:rPr lang="en-US" sz="1100" b="0" i="0" u="none" strike="noStrike">
                <a:solidFill>
                  <a:schemeClr val="bg1"/>
                </a:solidFill>
                <a:latin typeface="Aptos Narrow"/>
              </a:rPr>
              <a:pPr algn="ctr"/>
              <a:t>4</a:t>
            </a:fld>
            <a:endParaRPr lang="ru-RU" sz="1100">
              <a:solidFill>
                <a:schemeClr val="bg1"/>
              </a:solidFill>
            </a:endParaRPr>
          </a:p>
        </xdr:txBody>
      </xdr:sp>
      <xdr:sp macro="" textlink="Processing!L19">
        <xdr:nvSpPr>
          <xdr:cNvPr id="47" name="TextBox 46">
            <a:extLst>
              <a:ext uri="{FF2B5EF4-FFF2-40B4-BE49-F238E27FC236}">
                <a16:creationId xmlns:a16="http://schemas.microsoft.com/office/drawing/2014/main" id="{E5A65834-DAD9-AB8D-BC0F-F8F84FBAE4B3}"/>
              </a:ext>
            </a:extLst>
          </xdr:cNvPr>
          <xdr:cNvSpPr txBox="1"/>
        </xdr:nvSpPr>
        <xdr:spPr>
          <a:xfrm>
            <a:off x="10220960" y="1604010"/>
            <a:ext cx="27432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F7073B0-31DA-4010-92B7-F7156DB1F6CD}" type="TxLink">
              <a:rPr lang="en-US" sz="1100" b="0" i="0" u="none" strike="noStrike">
                <a:solidFill>
                  <a:schemeClr val="bg1"/>
                </a:solidFill>
                <a:latin typeface="Aptos Narrow"/>
              </a:rPr>
              <a:pPr algn="ctr"/>
              <a:t>5</a:t>
            </a:fld>
            <a:endParaRPr lang="ru-RU" sz="1100">
              <a:solidFill>
                <a:schemeClr val="bg1"/>
              </a:solidFill>
            </a:endParaRPr>
          </a:p>
        </xdr:txBody>
      </xdr:sp>
      <xdr:sp macro="" textlink="Processing!M19">
        <xdr:nvSpPr>
          <xdr:cNvPr id="48" name="TextBox 47">
            <a:extLst>
              <a:ext uri="{FF2B5EF4-FFF2-40B4-BE49-F238E27FC236}">
                <a16:creationId xmlns:a16="http://schemas.microsoft.com/office/drawing/2014/main" id="{0D150CE5-DFE4-27D4-02A3-43F248AB380A}"/>
              </a:ext>
            </a:extLst>
          </xdr:cNvPr>
          <xdr:cNvSpPr txBox="1"/>
        </xdr:nvSpPr>
        <xdr:spPr>
          <a:xfrm>
            <a:off x="10551160" y="1604010"/>
            <a:ext cx="27432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E4519E0-88CC-4A87-BEC0-C59796ABFC34}" type="TxLink">
              <a:rPr lang="en-US" sz="1100" b="0" i="0" u="none" strike="noStrike">
                <a:solidFill>
                  <a:schemeClr val="bg1"/>
                </a:solidFill>
                <a:latin typeface="Aptos Narrow"/>
              </a:rPr>
              <a:pPr algn="ctr"/>
              <a:t>6</a:t>
            </a:fld>
            <a:endParaRPr lang="ru-RU" sz="1100">
              <a:solidFill>
                <a:schemeClr val="bg1"/>
              </a:solidFill>
            </a:endParaRPr>
          </a:p>
        </xdr:txBody>
      </xdr:sp>
      <xdr:sp macro="" textlink="Processing!N19">
        <xdr:nvSpPr>
          <xdr:cNvPr id="49" name="TextBox 48">
            <a:extLst>
              <a:ext uri="{FF2B5EF4-FFF2-40B4-BE49-F238E27FC236}">
                <a16:creationId xmlns:a16="http://schemas.microsoft.com/office/drawing/2014/main" id="{C39F1B16-9CED-ED70-381B-F2E08BB69EB0}"/>
              </a:ext>
            </a:extLst>
          </xdr:cNvPr>
          <xdr:cNvSpPr txBox="1"/>
        </xdr:nvSpPr>
        <xdr:spPr>
          <a:xfrm>
            <a:off x="10881360" y="1604010"/>
            <a:ext cx="27432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4851FCB-C615-4FE3-9319-CD60603925D0}" type="TxLink">
              <a:rPr lang="en-US" sz="1100" b="0" i="0" u="none" strike="noStrike">
                <a:solidFill>
                  <a:schemeClr val="bg1"/>
                </a:solidFill>
                <a:latin typeface="Aptos Narrow"/>
              </a:rPr>
              <a:pPr algn="ctr"/>
              <a:t>7</a:t>
            </a:fld>
            <a:endParaRPr lang="ru-RU" sz="1100">
              <a:solidFill>
                <a:schemeClr val="bg1"/>
              </a:solidFill>
            </a:endParaRPr>
          </a:p>
        </xdr:txBody>
      </xdr:sp>
      <xdr:sp macro="" textlink="Processing!O19">
        <xdr:nvSpPr>
          <xdr:cNvPr id="50" name="TextBox 49">
            <a:extLst>
              <a:ext uri="{FF2B5EF4-FFF2-40B4-BE49-F238E27FC236}">
                <a16:creationId xmlns:a16="http://schemas.microsoft.com/office/drawing/2014/main" id="{97DCB47A-5EF7-E8AE-F15A-01CA340A7964}"/>
              </a:ext>
            </a:extLst>
          </xdr:cNvPr>
          <xdr:cNvSpPr txBox="1"/>
        </xdr:nvSpPr>
        <xdr:spPr>
          <a:xfrm>
            <a:off x="11211560" y="1604010"/>
            <a:ext cx="27432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FD928CD-492E-48F0-AAD1-A041DAEAA5E6}" type="TxLink">
              <a:rPr lang="en-US" sz="1100" b="0" i="0" u="none" strike="noStrike">
                <a:solidFill>
                  <a:schemeClr val="bg1"/>
                </a:solidFill>
                <a:latin typeface="Aptos Narrow"/>
              </a:rPr>
              <a:pPr algn="ctr"/>
              <a:t>8</a:t>
            </a:fld>
            <a:endParaRPr lang="ru-RU" sz="1100">
              <a:solidFill>
                <a:schemeClr val="bg1"/>
              </a:solidFill>
            </a:endParaRPr>
          </a:p>
        </xdr:txBody>
      </xdr:sp>
      <xdr:sp macro="" textlink="Processing!P19">
        <xdr:nvSpPr>
          <xdr:cNvPr id="51" name="TextBox 50">
            <a:extLst>
              <a:ext uri="{FF2B5EF4-FFF2-40B4-BE49-F238E27FC236}">
                <a16:creationId xmlns:a16="http://schemas.microsoft.com/office/drawing/2014/main" id="{89167076-33BF-8C03-3624-E85611C8E267}"/>
              </a:ext>
            </a:extLst>
          </xdr:cNvPr>
          <xdr:cNvSpPr txBox="1"/>
        </xdr:nvSpPr>
        <xdr:spPr>
          <a:xfrm>
            <a:off x="11541760" y="1604010"/>
            <a:ext cx="27432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ADF5C92-B1EA-4B23-93A4-EDF486955967}" type="TxLink">
              <a:rPr lang="en-US" sz="1100" b="0" i="0" u="none" strike="noStrike">
                <a:solidFill>
                  <a:schemeClr val="bg1"/>
                </a:solidFill>
                <a:latin typeface="Aptos Narrow"/>
              </a:rPr>
              <a:pPr algn="ctr"/>
              <a:t>9</a:t>
            </a:fld>
            <a:endParaRPr lang="ru-RU" sz="1100">
              <a:solidFill>
                <a:schemeClr val="bg1"/>
              </a:solidFill>
            </a:endParaRPr>
          </a:p>
        </xdr:txBody>
      </xdr:sp>
      <xdr:sp macro="" textlink="Processing!Q19">
        <xdr:nvSpPr>
          <xdr:cNvPr id="52" name="TextBox 51">
            <a:extLst>
              <a:ext uri="{FF2B5EF4-FFF2-40B4-BE49-F238E27FC236}">
                <a16:creationId xmlns:a16="http://schemas.microsoft.com/office/drawing/2014/main" id="{70DF6F26-5370-EC56-7E99-6E5E97A46817}"/>
              </a:ext>
            </a:extLst>
          </xdr:cNvPr>
          <xdr:cNvSpPr txBox="1"/>
        </xdr:nvSpPr>
        <xdr:spPr>
          <a:xfrm>
            <a:off x="11871960" y="1604010"/>
            <a:ext cx="27432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F13E9FE-F125-434D-BD7E-0614FC50A4FA}" type="TxLink">
              <a:rPr lang="en-US" sz="1100" b="0" i="0" u="none" strike="noStrike">
                <a:solidFill>
                  <a:schemeClr val="bg1"/>
                </a:solidFill>
                <a:latin typeface="Aptos Narrow"/>
              </a:rPr>
              <a:pPr algn="ctr"/>
              <a:t>10</a:t>
            </a:fld>
            <a:endParaRPr lang="ru-RU" sz="1100">
              <a:solidFill>
                <a:schemeClr val="bg1"/>
              </a:solidFill>
            </a:endParaRPr>
          </a:p>
        </xdr:txBody>
      </xdr:sp>
      <xdr:sp macro="" textlink="Processing!K20">
        <xdr:nvSpPr>
          <xdr:cNvPr id="53" name="TextBox 52">
            <a:extLst>
              <a:ext uri="{FF2B5EF4-FFF2-40B4-BE49-F238E27FC236}">
                <a16:creationId xmlns:a16="http://schemas.microsoft.com/office/drawing/2014/main" id="{98EC679E-3F2C-54AF-2A3A-486CB2DF902C}"/>
              </a:ext>
            </a:extLst>
          </xdr:cNvPr>
          <xdr:cNvSpPr txBox="1"/>
        </xdr:nvSpPr>
        <xdr:spPr>
          <a:xfrm>
            <a:off x="9861957" y="1863090"/>
            <a:ext cx="331927"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93D72D5-7AC8-45DD-8439-FB93AFA960DC}" type="TxLink">
              <a:rPr lang="en-US" sz="1100" b="0" i="0" u="none" strike="noStrike">
                <a:solidFill>
                  <a:schemeClr val="bg1"/>
                </a:solidFill>
                <a:latin typeface="Aptos Narrow"/>
              </a:rPr>
              <a:pPr algn="ctr"/>
              <a:t>11</a:t>
            </a:fld>
            <a:endParaRPr lang="ru-RU" sz="1100">
              <a:solidFill>
                <a:schemeClr val="bg1"/>
              </a:solidFill>
            </a:endParaRPr>
          </a:p>
        </xdr:txBody>
      </xdr:sp>
      <xdr:sp macro="" textlink="Processing!L20">
        <xdr:nvSpPr>
          <xdr:cNvPr id="54" name="TextBox 53">
            <a:extLst>
              <a:ext uri="{FF2B5EF4-FFF2-40B4-BE49-F238E27FC236}">
                <a16:creationId xmlns:a16="http://schemas.microsoft.com/office/drawing/2014/main" id="{C7D0EEB9-7294-4B9C-011B-79F4DEA982D3}"/>
              </a:ext>
            </a:extLst>
          </xdr:cNvPr>
          <xdr:cNvSpPr txBox="1"/>
        </xdr:nvSpPr>
        <xdr:spPr>
          <a:xfrm>
            <a:off x="10192157" y="1863090"/>
            <a:ext cx="331927"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2516537-E3FB-4583-9CFC-58FE2FBD8DA0}" type="TxLink">
              <a:rPr lang="en-US" sz="1100" b="0" i="0" u="none" strike="noStrike">
                <a:solidFill>
                  <a:schemeClr val="bg1"/>
                </a:solidFill>
                <a:latin typeface="Aptos Narrow"/>
              </a:rPr>
              <a:pPr algn="ctr"/>
              <a:t>12</a:t>
            </a:fld>
            <a:endParaRPr lang="ru-RU" sz="1100">
              <a:solidFill>
                <a:schemeClr val="bg1"/>
              </a:solidFill>
            </a:endParaRPr>
          </a:p>
        </xdr:txBody>
      </xdr:sp>
      <xdr:sp macro="" textlink="Processing!M20">
        <xdr:nvSpPr>
          <xdr:cNvPr id="55" name="TextBox 54">
            <a:extLst>
              <a:ext uri="{FF2B5EF4-FFF2-40B4-BE49-F238E27FC236}">
                <a16:creationId xmlns:a16="http://schemas.microsoft.com/office/drawing/2014/main" id="{6535AE17-D2FE-3F02-3474-C778FDD643E4}"/>
              </a:ext>
            </a:extLst>
          </xdr:cNvPr>
          <xdr:cNvSpPr txBox="1"/>
        </xdr:nvSpPr>
        <xdr:spPr>
          <a:xfrm>
            <a:off x="10522357" y="1863090"/>
            <a:ext cx="331927"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76D20A2-3B17-4419-A0BB-129F95622FC4}" type="TxLink">
              <a:rPr lang="en-US" sz="1100" b="0" i="0" u="none" strike="noStrike">
                <a:solidFill>
                  <a:schemeClr val="bg1"/>
                </a:solidFill>
                <a:latin typeface="Aptos Narrow"/>
              </a:rPr>
              <a:pPr algn="ctr"/>
              <a:t>13</a:t>
            </a:fld>
            <a:endParaRPr lang="ru-RU" sz="1100">
              <a:solidFill>
                <a:schemeClr val="bg1"/>
              </a:solidFill>
            </a:endParaRPr>
          </a:p>
        </xdr:txBody>
      </xdr:sp>
      <xdr:sp macro="" textlink="Processing!N20">
        <xdr:nvSpPr>
          <xdr:cNvPr id="56" name="TextBox 55">
            <a:extLst>
              <a:ext uri="{FF2B5EF4-FFF2-40B4-BE49-F238E27FC236}">
                <a16:creationId xmlns:a16="http://schemas.microsoft.com/office/drawing/2014/main" id="{1D97C1E3-F37B-E266-783F-C6E83DE49E94}"/>
              </a:ext>
            </a:extLst>
          </xdr:cNvPr>
          <xdr:cNvSpPr txBox="1"/>
        </xdr:nvSpPr>
        <xdr:spPr>
          <a:xfrm>
            <a:off x="10852557" y="1863090"/>
            <a:ext cx="331927"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2057887-148A-4DA4-9606-3F1365AB6939}" type="TxLink">
              <a:rPr lang="en-US" sz="1100" b="0" i="0" u="none" strike="noStrike">
                <a:solidFill>
                  <a:schemeClr val="bg1"/>
                </a:solidFill>
                <a:latin typeface="Aptos Narrow"/>
              </a:rPr>
              <a:pPr algn="ctr"/>
              <a:t>14</a:t>
            </a:fld>
            <a:endParaRPr lang="ru-RU" sz="1100">
              <a:solidFill>
                <a:schemeClr val="bg1"/>
              </a:solidFill>
            </a:endParaRPr>
          </a:p>
        </xdr:txBody>
      </xdr:sp>
      <xdr:sp macro="" textlink="Processing!O20">
        <xdr:nvSpPr>
          <xdr:cNvPr id="57" name="TextBox 56">
            <a:extLst>
              <a:ext uri="{FF2B5EF4-FFF2-40B4-BE49-F238E27FC236}">
                <a16:creationId xmlns:a16="http://schemas.microsoft.com/office/drawing/2014/main" id="{4A7F6939-4FCE-DAF4-8261-54FBCC5969C9}"/>
              </a:ext>
            </a:extLst>
          </xdr:cNvPr>
          <xdr:cNvSpPr txBox="1"/>
        </xdr:nvSpPr>
        <xdr:spPr>
          <a:xfrm>
            <a:off x="11182757" y="1863090"/>
            <a:ext cx="331927"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CFDC083-655D-45DE-ABDC-201FA0A374BB}" type="TxLink">
              <a:rPr lang="en-US" sz="1100" b="0" i="0" u="none" strike="noStrike">
                <a:solidFill>
                  <a:schemeClr val="bg1"/>
                </a:solidFill>
                <a:latin typeface="Aptos Narrow"/>
              </a:rPr>
              <a:pPr algn="ctr"/>
              <a:t>15</a:t>
            </a:fld>
            <a:endParaRPr lang="ru-RU" sz="1100">
              <a:solidFill>
                <a:schemeClr val="bg1"/>
              </a:solidFill>
            </a:endParaRPr>
          </a:p>
        </xdr:txBody>
      </xdr:sp>
      <xdr:sp macro="" textlink="Processing!P20">
        <xdr:nvSpPr>
          <xdr:cNvPr id="58" name="TextBox 57">
            <a:extLst>
              <a:ext uri="{FF2B5EF4-FFF2-40B4-BE49-F238E27FC236}">
                <a16:creationId xmlns:a16="http://schemas.microsoft.com/office/drawing/2014/main" id="{217852B9-9723-0EE3-9BF8-D57FFA3C0989}"/>
              </a:ext>
            </a:extLst>
          </xdr:cNvPr>
          <xdr:cNvSpPr txBox="1"/>
        </xdr:nvSpPr>
        <xdr:spPr>
          <a:xfrm>
            <a:off x="11512957" y="1863090"/>
            <a:ext cx="331927"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7F05786-ECB9-4D56-894B-DEAE253EFB82}" type="TxLink">
              <a:rPr lang="en-US" sz="1100" b="0" i="0" u="none" strike="noStrike">
                <a:solidFill>
                  <a:schemeClr val="bg1"/>
                </a:solidFill>
                <a:latin typeface="Aptos Narrow"/>
              </a:rPr>
              <a:pPr algn="ctr"/>
              <a:t>16</a:t>
            </a:fld>
            <a:endParaRPr lang="ru-RU" sz="1100">
              <a:solidFill>
                <a:schemeClr val="bg1"/>
              </a:solidFill>
            </a:endParaRPr>
          </a:p>
        </xdr:txBody>
      </xdr:sp>
      <xdr:sp macro="" textlink="Processing!Q20">
        <xdr:nvSpPr>
          <xdr:cNvPr id="59" name="TextBox 58">
            <a:extLst>
              <a:ext uri="{FF2B5EF4-FFF2-40B4-BE49-F238E27FC236}">
                <a16:creationId xmlns:a16="http://schemas.microsoft.com/office/drawing/2014/main" id="{96BF1C7C-23C3-F620-A44A-6FEA667C35D6}"/>
              </a:ext>
            </a:extLst>
          </xdr:cNvPr>
          <xdr:cNvSpPr txBox="1"/>
        </xdr:nvSpPr>
        <xdr:spPr>
          <a:xfrm>
            <a:off x="11843157" y="1863090"/>
            <a:ext cx="331927"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0BBCAF6-90AB-44AA-84B2-9314DE957D23}" type="TxLink">
              <a:rPr lang="en-US" sz="1100" b="0" i="0" u="none" strike="noStrike">
                <a:solidFill>
                  <a:schemeClr val="bg1"/>
                </a:solidFill>
                <a:latin typeface="Aptos Narrow"/>
              </a:rPr>
              <a:pPr algn="ctr"/>
              <a:t>17</a:t>
            </a:fld>
            <a:endParaRPr lang="ru-RU" sz="1100">
              <a:solidFill>
                <a:schemeClr val="bg1"/>
              </a:solidFill>
            </a:endParaRPr>
          </a:p>
        </xdr:txBody>
      </xdr:sp>
      <xdr:sp macro="" textlink="Processing!K21">
        <xdr:nvSpPr>
          <xdr:cNvPr id="60" name="TextBox 59">
            <a:extLst>
              <a:ext uri="{FF2B5EF4-FFF2-40B4-BE49-F238E27FC236}">
                <a16:creationId xmlns:a16="http://schemas.microsoft.com/office/drawing/2014/main" id="{28F8D572-227E-B93B-8B63-11E8BABD2454}"/>
              </a:ext>
            </a:extLst>
          </xdr:cNvPr>
          <xdr:cNvSpPr txBox="1"/>
        </xdr:nvSpPr>
        <xdr:spPr>
          <a:xfrm>
            <a:off x="9861957" y="2114550"/>
            <a:ext cx="331927"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F60CDE4-322C-40AF-8B58-CAED286107F1}" type="TxLink">
              <a:rPr lang="en-US" sz="1100" b="0" i="0" u="none" strike="noStrike">
                <a:solidFill>
                  <a:schemeClr val="bg1"/>
                </a:solidFill>
                <a:latin typeface="Aptos Narrow"/>
              </a:rPr>
              <a:pPr algn="ctr"/>
              <a:t>18</a:t>
            </a:fld>
            <a:endParaRPr lang="ru-RU" sz="1100">
              <a:solidFill>
                <a:schemeClr val="bg1"/>
              </a:solidFill>
            </a:endParaRPr>
          </a:p>
        </xdr:txBody>
      </xdr:sp>
      <xdr:sp macro="" textlink="Processing!L21">
        <xdr:nvSpPr>
          <xdr:cNvPr id="61" name="TextBox 60">
            <a:extLst>
              <a:ext uri="{FF2B5EF4-FFF2-40B4-BE49-F238E27FC236}">
                <a16:creationId xmlns:a16="http://schemas.microsoft.com/office/drawing/2014/main" id="{19DBCD8F-2926-30A7-9531-B816CBCE5F75}"/>
              </a:ext>
            </a:extLst>
          </xdr:cNvPr>
          <xdr:cNvSpPr txBox="1"/>
        </xdr:nvSpPr>
        <xdr:spPr>
          <a:xfrm>
            <a:off x="10192157" y="2114550"/>
            <a:ext cx="331927"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50F645A-C85B-45BE-BE89-CFB916D180F5}" type="TxLink">
              <a:rPr lang="en-US" sz="1100" b="0" i="0" u="none" strike="noStrike">
                <a:solidFill>
                  <a:schemeClr val="bg1"/>
                </a:solidFill>
                <a:latin typeface="Aptos Narrow"/>
              </a:rPr>
              <a:pPr algn="ctr"/>
              <a:t>19</a:t>
            </a:fld>
            <a:endParaRPr lang="ru-RU" sz="1100">
              <a:solidFill>
                <a:schemeClr val="bg1"/>
              </a:solidFill>
            </a:endParaRPr>
          </a:p>
        </xdr:txBody>
      </xdr:sp>
      <xdr:sp macro="" textlink="Processing!M21">
        <xdr:nvSpPr>
          <xdr:cNvPr id="62" name="TextBox 61">
            <a:extLst>
              <a:ext uri="{FF2B5EF4-FFF2-40B4-BE49-F238E27FC236}">
                <a16:creationId xmlns:a16="http://schemas.microsoft.com/office/drawing/2014/main" id="{FDC8D1CD-54DF-8738-67E0-53CE17D571C4}"/>
              </a:ext>
            </a:extLst>
          </xdr:cNvPr>
          <xdr:cNvSpPr txBox="1"/>
        </xdr:nvSpPr>
        <xdr:spPr>
          <a:xfrm>
            <a:off x="10522357" y="2114550"/>
            <a:ext cx="331927"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2D4DE51-B53E-43A7-BF59-7EB4745421B3}" type="TxLink">
              <a:rPr lang="en-US" sz="1100" b="0" i="0" u="none" strike="noStrike">
                <a:solidFill>
                  <a:schemeClr val="bg1"/>
                </a:solidFill>
                <a:latin typeface="Aptos Narrow"/>
              </a:rPr>
              <a:pPr algn="ctr"/>
              <a:t>20</a:t>
            </a:fld>
            <a:endParaRPr lang="ru-RU" sz="1100">
              <a:solidFill>
                <a:schemeClr val="bg1"/>
              </a:solidFill>
            </a:endParaRPr>
          </a:p>
        </xdr:txBody>
      </xdr:sp>
      <xdr:sp macro="" textlink="Processing!N21">
        <xdr:nvSpPr>
          <xdr:cNvPr id="63" name="TextBox 62">
            <a:extLst>
              <a:ext uri="{FF2B5EF4-FFF2-40B4-BE49-F238E27FC236}">
                <a16:creationId xmlns:a16="http://schemas.microsoft.com/office/drawing/2014/main" id="{31185DBF-4A38-23FC-AE42-C018D78CDBDE}"/>
              </a:ext>
            </a:extLst>
          </xdr:cNvPr>
          <xdr:cNvSpPr txBox="1"/>
        </xdr:nvSpPr>
        <xdr:spPr>
          <a:xfrm>
            <a:off x="10852557" y="2114550"/>
            <a:ext cx="331927"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00A3283-8CA4-4689-B118-D630B42327C5}" type="TxLink">
              <a:rPr lang="en-US" sz="1100" b="0" i="0" u="none" strike="noStrike">
                <a:solidFill>
                  <a:schemeClr val="bg1"/>
                </a:solidFill>
                <a:latin typeface="Aptos Narrow"/>
              </a:rPr>
              <a:pPr algn="ctr"/>
              <a:t>21</a:t>
            </a:fld>
            <a:endParaRPr lang="ru-RU" sz="1100">
              <a:solidFill>
                <a:schemeClr val="bg1"/>
              </a:solidFill>
            </a:endParaRPr>
          </a:p>
        </xdr:txBody>
      </xdr:sp>
      <xdr:sp macro="" textlink="Processing!O21">
        <xdr:nvSpPr>
          <xdr:cNvPr id="64" name="TextBox 63">
            <a:extLst>
              <a:ext uri="{FF2B5EF4-FFF2-40B4-BE49-F238E27FC236}">
                <a16:creationId xmlns:a16="http://schemas.microsoft.com/office/drawing/2014/main" id="{A1778715-BFA7-86C2-800F-7513BCE66D31}"/>
              </a:ext>
            </a:extLst>
          </xdr:cNvPr>
          <xdr:cNvSpPr txBox="1"/>
        </xdr:nvSpPr>
        <xdr:spPr>
          <a:xfrm>
            <a:off x="11182757" y="2114550"/>
            <a:ext cx="331927"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6813377-304F-4B02-B975-0B14037BE775}" type="TxLink">
              <a:rPr lang="en-US" sz="1100" b="0" i="0" u="none" strike="noStrike">
                <a:solidFill>
                  <a:schemeClr val="bg1"/>
                </a:solidFill>
                <a:latin typeface="Aptos Narrow"/>
              </a:rPr>
              <a:pPr algn="ctr"/>
              <a:t>22</a:t>
            </a:fld>
            <a:endParaRPr lang="ru-RU" sz="1100">
              <a:solidFill>
                <a:schemeClr val="bg1"/>
              </a:solidFill>
            </a:endParaRPr>
          </a:p>
        </xdr:txBody>
      </xdr:sp>
      <xdr:sp macro="" textlink="Processing!P21">
        <xdr:nvSpPr>
          <xdr:cNvPr id="65" name="TextBox 64">
            <a:extLst>
              <a:ext uri="{FF2B5EF4-FFF2-40B4-BE49-F238E27FC236}">
                <a16:creationId xmlns:a16="http://schemas.microsoft.com/office/drawing/2014/main" id="{3D034EC7-8524-9B9D-0123-7DBD7B52889F}"/>
              </a:ext>
            </a:extLst>
          </xdr:cNvPr>
          <xdr:cNvSpPr txBox="1"/>
        </xdr:nvSpPr>
        <xdr:spPr>
          <a:xfrm>
            <a:off x="11512957" y="2114550"/>
            <a:ext cx="331927"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197EDCA-3BCF-4D6C-952C-105DC49430B5}" type="TxLink">
              <a:rPr lang="en-US" sz="1100" b="0" i="0" u="none" strike="noStrike">
                <a:solidFill>
                  <a:schemeClr val="bg1"/>
                </a:solidFill>
                <a:latin typeface="Aptos Narrow"/>
              </a:rPr>
              <a:pPr algn="ctr"/>
              <a:t>23</a:t>
            </a:fld>
            <a:endParaRPr lang="ru-RU" sz="1100">
              <a:solidFill>
                <a:schemeClr val="bg1"/>
              </a:solidFill>
            </a:endParaRPr>
          </a:p>
        </xdr:txBody>
      </xdr:sp>
      <xdr:sp macro="" textlink="Processing!Q21">
        <xdr:nvSpPr>
          <xdr:cNvPr id="66" name="TextBox 65">
            <a:extLst>
              <a:ext uri="{FF2B5EF4-FFF2-40B4-BE49-F238E27FC236}">
                <a16:creationId xmlns:a16="http://schemas.microsoft.com/office/drawing/2014/main" id="{220092A1-4138-41B2-2923-87B7CCE1298A}"/>
              </a:ext>
            </a:extLst>
          </xdr:cNvPr>
          <xdr:cNvSpPr txBox="1"/>
        </xdr:nvSpPr>
        <xdr:spPr>
          <a:xfrm>
            <a:off x="11843157" y="2114550"/>
            <a:ext cx="331927"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02C04EE-592A-4139-AD3F-13DE1EDB025B}" type="TxLink">
              <a:rPr lang="en-US" sz="1100" b="0" i="0" u="none" strike="noStrike">
                <a:solidFill>
                  <a:schemeClr val="bg1"/>
                </a:solidFill>
                <a:latin typeface="Aptos Narrow"/>
              </a:rPr>
              <a:pPr algn="ctr"/>
              <a:t>24</a:t>
            </a:fld>
            <a:endParaRPr lang="ru-RU" sz="1100">
              <a:solidFill>
                <a:schemeClr val="bg1"/>
              </a:solidFill>
            </a:endParaRPr>
          </a:p>
        </xdr:txBody>
      </xdr:sp>
      <xdr:sp macro="" textlink="Processing!K22">
        <xdr:nvSpPr>
          <xdr:cNvPr id="67" name="TextBox 66">
            <a:extLst>
              <a:ext uri="{FF2B5EF4-FFF2-40B4-BE49-F238E27FC236}">
                <a16:creationId xmlns:a16="http://schemas.microsoft.com/office/drawing/2014/main" id="{90EFBBD9-7B2E-C413-9198-E59FBD92DEE0}"/>
              </a:ext>
            </a:extLst>
          </xdr:cNvPr>
          <xdr:cNvSpPr txBox="1"/>
        </xdr:nvSpPr>
        <xdr:spPr>
          <a:xfrm>
            <a:off x="9861957" y="2373630"/>
            <a:ext cx="331927"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3434D46-59CD-48AF-A619-BF930CF101C1}" type="TxLink">
              <a:rPr lang="en-US" sz="1100" b="0" i="0" u="none" strike="noStrike">
                <a:solidFill>
                  <a:schemeClr val="bg1"/>
                </a:solidFill>
                <a:latin typeface="Aptos Narrow"/>
              </a:rPr>
              <a:pPr algn="ctr"/>
              <a:t>25</a:t>
            </a:fld>
            <a:endParaRPr lang="ru-RU" sz="1100">
              <a:solidFill>
                <a:schemeClr val="bg1"/>
              </a:solidFill>
            </a:endParaRPr>
          </a:p>
        </xdr:txBody>
      </xdr:sp>
      <xdr:sp macro="" textlink="Processing!L22">
        <xdr:nvSpPr>
          <xdr:cNvPr id="68" name="TextBox 67">
            <a:extLst>
              <a:ext uri="{FF2B5EF4-FFF2-40B4-BE49-F238E27FC236}">
                <a16:creationId xmlns:a16="http://schemas.microsoft.com/office/drawing/2014/main" id="{4EC299E2-A53A-B4AE-B29D-65264DF390CB}"/>
              </a:ext>
            </a:extLst>
          </xdr:cNvPr>
          <xdr:cNvSpPr txBox="1"/>
        </xdr:nvSpPr>
        <xdr:spPr>
          <a:xfrm>
            <a:off x="10192157" y="2373630"/>
            <a:ext cx="331927"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08C6F43-D2D6-4FDA-97F5-39CC07F013C4}" type="TxLink">
              <a:rPr lang="en-US" sz="1100" b="0" i="0" u="none" strike="noStrike">
                <a:solidFill>
                  <a:schemeClr val="bg1"/>
                </a:solidFill>
                <a:latin typeface="Aptos Narrow"/>
              </a:rPr>
              <a:pPr algn="ctr"/>
              <a:t>26</a:t>
            </a:fld>
            <a:endParaRPr lang="ru-RU" sz="1100">
              <a:solidFill>
                <a:schemeClr val="bg1"/>
              </a:solidFill>
            </a:endParaRPr>
          </a:p>
        </xdr:txBody>
      </xdr:sp>
      <xdr:sp macro="" textlink="Processing!M22">
        <xdr:nvSpPr>
          <xdr:cNvPr id="69" name="TextBox 68">
            <a:extLst>
              <a:ext uri="{FF2B5EF4-FFF2-40B4-BE49-F238E27FC236}">
                <a16:creationId xmlns:a16="http://schemas.microsoft.com/office/drawing/2014/main" id="{26740D53-E461-BF68-ADFA-A7355A4CDF9C}"/>
              </a:ext>
            </a:extLst>
          </xdr:cNvPr>
          <xdr:cNvSpPr txBox="1"/>
        </xdr:nvSpPr>
        <xdr:spPr>
          <a:xfrm>
            <a:off x="10522357" y="2373630"/>
            <a:ext cx="331927"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80B591B-3685-4584-BBAD-C0107B433C6F}" type="TxLink">
              <a:rPr lang="en-US" sz="1100" b="0" i="0" u="none" strike="noStrike">
                <a:solidFill>
                  <a:schemeClr val="bg1"/>
                </a:solidFill>
                <a:latin typeface="Aptos Narrow"/>
              </a:rPr>
              <a:pPr algn="ctr"/>
              <a:t>27</a:t>
            </a:fld>
            <a:endParaRPr lang="ru-RU" sz="1100">
              <a:solidFill>
                <a:schemeClr val="bg1"/>
              </a:solidFill>
            </a:endParaRPr>
          </a:p>
        </xdr:txBody>
      </xdr:sp>
      <xdr:sp macro="" textlink="Processing!N22">
        <xdr:nvSpPr>
          <xdr:cNvPr id="70" name="TextBox 69">
            <a:extLst>
              <a:ext uri="{FF2B5EF4-FFF2-40B4-BE49-F238E27FC236}">
                <a16:creationId xmlns:a16="http://schemas.microsoft.com/office/drawing/2014/main" id="{8A52B17F-CFF0-1FD6-7D6B-E46992BE1367}"/>
              </a:ext>
            </a:extLst>
          </xdr:cNvPr>
          <xdr:cNvSpPr txBox="1"/>
        </xdr:nvSpPr>
        <xdr:spPr>
          <a:xfrm>
            <a:off x="10852557" y="2373630"/>
            <a:ext cx="331927"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9151E29-6C8F-4181-B53C-00B141B89A32}" type="TxLink">
              <a:rPr lang="en-US" sz="1100" b="0" i="0" u="none" strike="noStrike">
                <a:solidFill>
                  <a:schemeClr val="bg1"/>
                </a:solidFill>
                <a:latin typeface="Aptos Narrow"/>
              </a:rPr>
              <a:pPr algn="ctr"/>
              <a:t>28</a:t>
            </a:fld>
            <a:endParaRPr lang="ru-RU" sz="1100">
              <a:solidFill>
                <a:schemeClr val="bg1"/>
              </a:solidFill>
            </a:endParaRPr>
          </a:p>
        </xdr:txBody>
      </xdr:sp>
      <xdr:sp macro="" textlink="Processing!O22">
        <xdr:nvSpPr>
          <xdr:cNvPr id="71" name="TextBox 70">
            <a:extLst>
              <a:ext uri="{FF2B5EF4-FFF2-40B4-BE49-F238E27FC236}">
                <a16:creationId xmlns:a16="http://schemas.microsoft.com/office/drawing/2014/main" id="{ACA33A67-7CA0-EA11-7DEC-3C35342FB567}"/>
              </a:ext>
            </a:extLst>
          </xdr:cNvPr>
          <xdr:cNvSpPr txBox="1"/>
        </xdr:nvSpPr>
        <xdr:spPr>
          <a:xfrm>
            <a:off x="11182757" y="2373630"/>
            <a:ext cx="331927"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8B71AD2-8317-4217-BCD5-0AE664AC41DE}" type="TxLink">
              <a:rPr lang="en-US" sz="1100" b="0" i="0" u="none" strike="noStrike">
                <a:solidFill>
                  <a:schemeClr val="bg1"/>
                </a:solidFill>
                <a:latin typeface="Aptos Narrow"/>
              </a:rPr>
              <a:pPr algn="ctr"/>
              <a:t>29</a:t>
            </a:fld>
            <a:endParaRPr lang="ru-RU" sz="1100">
              <a:solidFill>
                <a:schemeClr val="bg1"/>
              </a:solidFill>
            </a:endParaRPr>
          </a:p>
        </xdr:txBody>
      </xdr:sp>
      <xdr:sp macro="" textlink="Processing!P22">
        <xdr:nvSpPr>
          <xdr:cNvPr id="72" name="TextBox 71">
            <a:extLst>
              <a:ext uri="{FF2B5EF4-FFF2-40B4-BE49-F238E27FC236}">
                <a16:creationId xmlns:a16="http://schemas.microsoft.com/office/drawing/2014/main" id="{15D8B5E1-0C82-FD08-171C-2A25551AE7C6}"/>
              </a:ext>
            </a:extLst>
          </xdr:cNvPr>
          <xdr:cNvSpPr txBox="1"/>
        </xdr:nvSpPr>
        <xdr:spPr>
          <a:xfrm>
            <a:off x="11512957" y="2373630"/>
            <a:ext cx="331927"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3152B50-DF90-4733-A7AC-635DF7B3EE72}" type="TxLink">
              <a:rPr lang="en-US" sz="1100" b="0" i="0" u="none" strike="noStrike">
                <a:solidFill>
                  <a:schemeClr val="bg1"/>
                </a:solidFill>
                <a:latin typeface="Aptos Narrow"/>
              </a:rPr>
              <a:pPr algn="ctr"/>
              <a:t>30</a:t>
            </a:fld>
            <a:endParaRPr lang="ru-RU" sz="1100">
              <a:solidFill>
                <a:schemeClr val="bg1"/>
              </a:solidFill>
            </a:endParaRPr>
          </a:p>
        </xdr:txBody>
      </xdr:sp>
      <xdr:sp macro="" textlink="Processing!Q22">
        <xdr:nvSpPr>
          <xdr:cNvPr id="73" name="TextBox 72">
            <a:extLst>
              <a:ext uri="{FF2B5EF4-FFF2-40B4-BE49-F238E27FC236}">
                <a16:creationId xmlns:a16="http://schemas.microsoft.com/office/drawing/2014/main" id="{7DA06B2F-4B56-C7D9-CF93-0445058EB4A2}"/>
              </a:ext>
            </a:extLst>
          </xdr:cNvPr>
          <xdr:cNvSpPr txBox="1"/>
        </xdr:nvSpPr>
        <xdr:spPr>
          <a:xfrm>
            <a:off x="11843157" y="2373630"/>
            <a:ext cx="331927"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0DD52F1-01A4-4DC0-A191-276895FD2A53}" type="TxLink">
              <a:rPr lang="en-US" sz="1100" b="0" i="0" u="none" strike="noStrike">
                <a:solidFill>
                  <a:schemeClr val="bg1"/>
                </a:solidFill>
                <a:latin typeface="Aptos Narrow"/>
              </a:rPr>
              <a:pPr algn="ctr"/>
              <a:t> </a:t>
            </a:fld>
            <a:endParaRPr lang="ru-RU" sz="1100">
              <a:solidFill>
                <a:schemeClr val="bg1"/>
              </a:solidFill>
            </a:endParaRPr>
          </a:p>
        </xdr:txBody>
      </xdr:sp>
      <xdr:sp macro="" textlink="Processing!K23">
        <xdr:nvSpPr>
          <xdr:cNvPr id="74" name="TextBox 73">
            <a:extLst>
              <a:ext uri="{FF2B5EF4-FFF2-40B4-BE49-F238E27FC236}">
                <a16:creationId xmlns:a16="http://schemas.microsoft.com/office/drawing/2014/main" id="{12A74394-3925-421B-32D0-D334FA36C282}"/>
              </a:ext>
            </a:extLst>
          </xdr:cNvPr>
          <xdr:cNvSpPr txBox="1"/>
        </xdr:nvSpPr>
        <xdr:spPr>
          <a:xfrm>
            <a:off x="9861957" y="2625090"/>
            <a:ext cx="331927"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2E74728-937F-4954-89A7-B828DA252D8E}" type="TxLink">
              <a:rPr lang="en-US" sz="1100" b="0" i="0" u="none" strike="noStrike">
                <a:solidFill>
                  <a:schemeClr val="bg1"/>
                </a:solidFill>
                <a:latin typeface="Aptos Narrow"/>
              </a:rPr>
              <a:pPr algn="ctr"/>
              <a:t> </a:t>
            </a:fld>
            <a:endParaRPr lang="ru-RU" sz="1100">
              <a:solidFill>
                <a:schemeClr val="bg1"/>
              </a:solidFill>
            </a:endParaRPr>
          </a:p>
        </xdr:txBody>
      </xdr:sp>
      <xdr:sp macro="" textlink="Processing!L23">
        <xdr:nvSpPr>
          <xdr:cNvPr id="75" name="TextBox 74">
            <a:extLst>
              <a:ext uri="{FF2B5EF4-FFF2-40B4-BE49-F238E27FC236}">
                <a16:creationId xmlns:a16="http://schemas.microsoft.com/office/drawing/2014/main" id="{43F9A6F0-C10A-CDBD-E305-117912125135}"/>
              </a:ext>
            </a:extLst>
          </xdr:cNvPr>
          <xdr:cNvSpPr txBox="1"/>
        </xdr:nvSpPr>
        <xdr:spPr>
          <a:xfrm>
            <a:off x="10192157" y="2625090"/>
            <a:ext cx="331927"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6566E17-270D-48FD-A911-0D721FAE9D81}" type="TxLink">
              <a:rPr lang="en-US" sz="1100" b="0" i="0" u="none" strike="noStrike">
                <a:solidFill>
                  <a:schemeClr val="bg1"/>
                </a:solidFill>
                <a:latin typeface="Aptos Narrow"/>
              </a:rPr>
              <a:pPr algn="ctr"/>
              <a:t> </a:t>
            </a:fld>
            <a:endParaRPr lang="ru-RU" sz="1100">
              <a:solidFill>
                <a:schemeClr val="bg1"/>
              </a:solidFill>
            </a:endParaRPr>
          </a:p>
        </xdr:txBody>
      </xdr:sp>
      <xdr:sp macro="" textlink="Processing!M23">
        <xdr:nvSpPr>
          <xdr:cNvPr id="76" name="TextBox 75">
            <a:extLst>
              <a:ext uri="{FF2B5EF4-FFF2-40B4-BE49-F238E27FC236}">
                <a16:creationId xmlns:a16="http://schemas.microsoft.com/office/drawing/2014/main" id="{883D8B27-B56C-1AF7-0E5C-3657DEB3C138}"/>
              </a:ext>
            </a:extLst>
          </xdr:cNvPr>
          <xdr:cNvSpPr txBox="1"/>
        </xdr:nvSpPr>
        <xdr:spPr>
          <a:xfrm>
            <a:off x="10522357" y="2625090"/>
            <a:ext cx="331927"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8107160-E3A7-4ACE-886C-33D4EAAF47DF}" type="TxLink">
              <a:rPr lang="en-US" sz="1100" b="0" i="0" u="none" strike="noStrike">
                <a:solidFill>
                  <a:schemeClr val="bg1"/>
                </a:solidFill>
                <a:latin typeface="Aptos Narrow"/>
              </a:rPr>
              <a:pPr algn="ctr"/>
              <a:t> </a:t>
            </a:fld>
            <a:endParaRPr lang="ru-RU" sz="1100">
              <a:solidFill>
                <a:schemeClr val="bg1"/>
              </a:solidFill>
            </a:endParaRPr>
          </a:p>
        </xdr:txBody>
      </xdr:sp>
      <xdr:sp macro="" textlink="Processing!N23">
        <xdr:nvSpPr>
          <xdr:cNvPr id="77" name="TextBox 76">
            <a:extLst>
              <a:ext uri="{FF2B5EF4-FFF2-40B4-BE49-F238E27FC236}">
                <a16:creationId xmlns:a16="http://schemas.microsoft.com/office/drawing/2014/main" id="{645040A2-D793-CF0D-A54A-295E07E07BE6}"/>
              </a:ext>
            </a:extLst>
          </xdr:cNvPr>
          <xdr:cNvSpPr txBox="1"/>
        </xdr:nvSpPr>
        <xdr:spPr>
          <a:xfrm>
            <a:off x="10852557" y="2625090"/>
            <a:ext cx="331927"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8EB2ECB-6F7F-4F10-BE5E-B980037A19FA}" type="TxLink">
              <a:rPr lang="en-US" sz="1100" b="0" i="0" u="none" strike="noStrike">
                <a:solidFill>
                  <a:schemeClr val="bg1"/>
                </a:solidFill>
                <a:latin typeface="Aptos Narrow"/>
              </a:rPr>
              <a:pPr algn="ctr"/>
              <a:t> </a:t>
            </a:fld>
            <a:endParaRPr lang="ru-RU" sz="1100">
              <a:solidFill>
                <a:schemeClr val="bg1"/>
              </a:solidFill>
            </a:endParaRPr>
          </a:p>
        </xdr:txBody>
      </xdr:sp>
      <xdr:sp macro="" textlink="Processing!O23">
        <xdr:nvSpPr>
          <xdr:cNvPr id="78" name="TextBox 77">
            <a:extLst>
              <a:ext uri="{FF2B5EF4-FFF2-40B4-BE49-F238E27FC236}">
                <a16:creationId xmlns:a16="http://schemas.microsoft.com/office/drawing/2014/main" id="{EDAD8212-B02A-C64D-61F1-9AEE945E9E63}"/>
              </a:ext>
            </a:extLst>
          </xdr:cNvPr>
          <xdr:cNvSpPr txBox="1"/>
        </xdr:nvSpPr>
        <xdr:spPr>
          <a:xfrm>
            <a:off x="11182757" y="2625090"/>
            <a:ext cx="331927"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45878CA-C1A0-4731-81FB-EF7CE4A076F3}" type="TxLink">
              <a:rPr lang="en-US" sz="1100" b="0" i="0" u="none" strike="noStrike">
                <a:solidFill>
                  <a:schemeClr val="bg1"/>
                </a:solidFill>
                <a:latin typeface="Aptos Narrow"/>
              </a:rPr>
              <a:pPr algn="ctr"/>
              <a:t> </a:t>
            </a:fld>
            <a:endParaRPr lang="ru-RU" sz="1100">
              <a:solidFill>
                <a:schemeClr val="bg1"/>
              </a:solidFill>
            </a:endParaRPr>
          </a:p>
        </xdr:txBody>
      </xdr:sp>
      <xdr:sp macro="" textlink="Processing!P23">
        <xdr:nvSpPr>
          <xdr:cNvPr id="79" name="TextBox 78">
            <a:extLst>
              <a:ext uri="{FF2B5EF4-FFF2-40B4-BE49-F238E27FC236}">
                <a16:creationId xmlns:a16="http://schemas.microsoft.com/office/drawing/2014/main" id="{EE36CA0B-9E74-C19E-32EC-3C91C2B130D0}"/>
              </a:ext>
            </a:extLst>
          </xdr:cNvPr>
          <xdr:cNvSpPr txBox="1"/>
        </xdr:nvSpPr>
        <xdr:spPr>
          <a:xfrm>
            <a:off x="11512957" y="2625090"/>
            <a:ext cx="331927"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216AF94-6942-426F-9EE2-7466AA9E6F81}" type="TxLink">
              <a:rPr lang="en-US" sz="1100" b="0" i="0" u="none" strike="noStrike">
                <a:solidFill>
                  <a:schemeClr val="bg1"/>
                </a:solidFill>
                <a:latin typeface="Aptos Narrow"/>
              </a:rPr>
              <a:pPr algn="ctr"/>
              <a:t> </a:t>
            </a:fld>
            <a:endParaRPr lang="ru-RU" sz="1100">
              <a:solidFill>
                <a:schemeClr val="bg1"/>
              </a:solidFill>
            </a:endParaRPr>
          </a:p>
        </xdr:txBody>
      </xdr:sp>
      <xdr:sp macro="" textlink="Processing!Q23">
        <xdr:nvSpPr>
          <xdr:cNvPr id="80" name="TextBox 79">
            <a:extLst>
              <a:ext uri="{FF2B5EF4-FFF2-40B4-BE49-F238E27FC236}">
                <a16:creationId xmlns:a16="http://schemas.microsoft.com/office/drawing/2014/main" id="{C4DB6AC8-61BC-5393-8FF6-EECE495FDEB6}"/>
              </a:ext>
            </a:extLst>
          </xdr:cNvPr>
          <xdr:cNvSpPr txBox="1"/>
        </xdr:nvSpPr>
        <xdr:spPr>
          <a:xfrm>
            <a:off x="11843157" y="2625090"/>
            <a:ext cx="331927"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F8D5031-89A1-4503-AD3B-7EFDD2B20049}" type="TxLink">
              <a:rPr lang="en-US" sz="1100" b="0" i="0" u="none" strike="noStrike">
                <a:solidFill>
                  <a:schemeClr val="bg1"/>
                </a:solidFill>
                <a:latin typeface="Aptos Narrow"/>
              </a:rPr>
              <a:pPr algn="ctr"/>
              <a:t> </a:t>
            </a:fld>
            <a:endParaRPr lang="ru-RU" sz="1100">
              <a:solidFill>
                <a:schemeClr val="bg1"/>
              </a:solidFill>
            </a:endParaRPr>
          </a:p>
        </xdr:txBody>
      </xdr:sp>
    </xdr:grpSp>
    <xdr:clientData/>
  </xdr:twoCellAnchor>
  <xdr:twoCellAnchor>
    <xdr:from>
      <xdr:col>3</xdr:col>
      <xdr:colOff>487680</xdr:colOff>
      <xdr:row>10</xdr:row>
      <xdr:rowOff>167640</xdr:rowOff>
    </xdr:from>
    <xdr:to>
      <xdr:col>4</xdr:col>
      <xdr:colOff>502628</xdr:colOff>
      <xdr:row>12</xdr:row>
      <xdr:rowOff>108949</xdr:rowOff>
    </xdr:to>
    <xdr:sp macro="" textlink="Processing!J3">
      <xdr:nvSpPr>
        <xdr:cNvPr id="81" name="TextBox 80">
          <a:extLst>
            <a:ext uri="{FF2B5EF4-FFF2-40B4-BE49-F238E27FC236}">
              <a16:creationId xmlns:a16="http://schemas.microsoft.com/office/drawing/2014/main" id="{77030DF5-B75C-452E-A11E-406C4376D53C}"/>
            </a:ext>
          </a:extLst>
        </xdr:cNvPr>
        <xdr:cNvSpPr txBox="1"/>
      </xdr:nvSpPr>
      <xdr:spPr>
        <a:xfrm>
          <a:off x="2316480" y="1996440"/>
          <a:ext cx="624548" cy="3070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B651ED33-8F01-41CA-96B5-2480A3CCD5B8}" type="TxLink">
            <a:rPr lang="en-US" sz="900" b="0" i="0" u="none" strike="noStrike">
              <a:solidFill>
                <a:srgbClr val="28BEBA"/>
              </a:solidFill>
              <a:latin typeface="Aptos Narrow"/>
              <a:ea typeface="+mn-ea"/>
              <a:cs typeface="+mn-cs"/>
            </a:rPr>
            <a:pPr marL="0" indent="0" algn="ctr"/>
            <a:t>Target 1</a:t>
          </a:fld>
          <a:endParaRPr lang="ru-RU" sz="1200" b="0" i="0" u="none" strike="noStrike">
            <a:solidFill>
              <a:srgbClr val="28BEBA"/>
            </a:solidFill>
            <a:latin typeface="Aptos Narrow"/>
            <a:ea typeface="+mn-ea"/>
            <a:cs typeface="+mn-cs"/>
          </a:endParaRPr>
        </a:p>
      </xdr:txBody>
    </xdr:sp>
    <xdr:clientData/>
  </xdr:twoCellAnchor>
  <xdr:twoCellAnchor>
    <xdr:from>
      <xdr:col>3</xdr:col>
      <xdr:colOff>487680</xdr:colOff>
      <xdr:row>13</xdr:row>
      <xdr:rowOff>66675</xdr:rowOff>
    </xdr:from>
    <xdr:to>
      <xdr:col>4</xdr:col>
      <xdr:colOff>502628</xdr:colOff>
      <xdr:row>15</xdr:row>
      <xdr:rowOff>7984</xdr:rowOff>
    </xdr:to>
    <xdr:sp macro="" textlink="Processing!J4">
      <xdr:nvSpPr>
        <xdr:cNvPr id="82" name="TextBox 81">
          <a:extLst>
            <a:ext uri="{FF2B5EF4-FFF2-40B4-BE49-F238E27FC236}">
              <a16:creationId xmlns:a16="http://schemas.microsoft.com/office/drawing/2014/main" id="{8DCC1EE8-AE8B-44B9-8811-F881341FF482}"/>
            </a:ext>
          </a:extLst>
        </xdr:cNvPr>
        <xdr:cNvSpPr txBox="1"/>
      </xdr:nvSpPr>
      <xdr:spPr>
        <a:xfrm>
          <a:off x="2316480" y="2444115"/>
          <a:ext cx="624548" cy="3070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61BD5C03-9666-4F95-9C4A-BCF38E0A9883}" type="TxLink">
            <a:rPr lang="en-US" sz="900" b="0" i="0" u="none" strike="noStrike">
              <a:solidFill>
                <a:srgbClr val="3879F2"/>
              </a:solidFill>
              <a:latin typeface="Aptos Narrow"/>
              <a:ea typeface="+mn-ea"/>
              <a:cs typeface="+mn-cs"/>
            </a:rPr>
            <a:pPr marL="0" indent="0" algn="ctr"/>
            <a:t>Target 2</a:t>
          </a:fld>
          <a:endParaRPr lang="ru-RU" sz="1000" b="0" i="0" u="none" strike="noStrike">
            <a:solidFill>
              <a:srgbClr val="3879F2"/>
            </a:solidFill>
            <a:latin typeface="Aptos Narrow"/>
            <a:ea typeface="+mn-ea"/>
            <a:cs typeface="+mn-cs"/>
          </a:endParaRPr>
        </a:p>
      </xdr:txBody>
    </xdr:sp>
    <xdr:clientData/>
  </xdr:twoCellAnchor>
  <xdr:twoCellAnchor>
    <xdr:from>
      <xdr:col>3</xdr:col>
      <xdr:colOff>487680</xdr:colOff>
      <xdr:row>15</xdr:row>
      <xdr:rowOff>148590</xdr:rowOff>
    </xdr:from>
    <xdr:to>
      <xdr:col>4</xdr:col>
      <xdr:colOff>502628</xdr:colOff>
      <xdr:row>17</xdr:row>
      <xdr:rowOff>89899</xdr:rowOff>
    </xdr:to>
    <xdr:sp macro="" textlink="Processing!J5">
      <xdr:nvSpPr>
        <xdr:cNvPr id="83" name="TextBox 82">
          <a:extLst>
            <a:ext uri="{FF2B5EF4-FFF2-40B4-BE49-F238E27FC236}">
              <a16:creationId xmlns:a16="http://schemas.microsoft.com/office/drawing/2014/main" id="{7EF6E982-8975-4A8E-ABD4-46BAE92C5EAF}"/>
            </a:ext>
          </a:extLst>
        </xdr:cNvPr>
        <xdr:cNvSpPr txBox="1"/>
      </xdr:nvSpPr>
      <xdr:spPr>
        <a:xfrm>
          <a:off x="2316480" y="2891790"/>
          <a:ext cx="624548" cy="3070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4D0E215D-3655-4F66-ACFB-977969128424}" type="TxLink">
            <a:rPr lang="en-US" sz="900" b="0" i="0" u="none" strike="noStrike">
              <a:solidFill>
                <a:srgbClr val="FF7684"/>
              </a:solidFill>
              <a:latin typeface="Aptos Narrow"/>
              <a:ea typeface="+mn-ea"/>
              <a:cs typeface="+mn-cs"/>
            </a:rPr>
            <a:pPr marL="0" indent="0" algn="ctr"/>
            <a:t>Target 3</a:t>
          </a:fld>
          <a:endParaRPr lang="ru-RU" sz="1000" b="0" i="0" u="none" strike="noStrike">
            <a:solidFill>
              <a:srgbClr val="FF7684"/>
            </a:solidFill>
            <a:latin typeface="Aptos Narrow"/>
            <a:ea typeface="+mn-ea"/>
            <a:cs typeface="+mn-cs"/>
          </a:endParaRPr>
        </a:p>
      </xdr:txBody>
    </xdr:sp>
    <xdr:clientData/>
  </xdr:twoCellAnchor>
  <xdr:twoCellAnchor>
    <xdr:from>
      <xdr:col>3</xdr:col>
      <xdr:colOff>487680</xdr:colOff>
      <xdr:row>18</xdr:row>
      <xdr:rowOff>47625</xdr:rowOff>
    </xdr:from>
    <xdr:to>
      <xdr:col>4</xdr:col>
      <xdr:colOff>502628</xdr:colOff>
      <xdr:row>19</xdr:row>
      <xdr:rowOff>171814</xdr:rowOff>
    </xdr:to>
    <xdr:sp macro="" textlink="Processing!J6">
      <xdr:nvSpPr>
        <xdr:cNvPr id="84" name="TextBox 83">
          <a:extLst>
            <a:ext uri="{FF2B5EF4-FFF2-40B4-BE49-F238E27FC236}">
              <a16:creationId xmlns:a16="http://schemas.microsoft.com/office/drawing/2014/main" id="{284CC1A0-C108-473F-B02A-A99323CC0141}"/>
            </a:ext>
          </a:extLst>
        </xdr:cNvPr>
        <xdr:cNvSpPr txBox="1"/>
      </xdr:nvSpPr>
      <xdr:spPr>
        <a:xfrm>
          <a:off x="2316480" y="3339465"/>
          <a:ext cx="624548" cy="3070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D58AA4D8-5D6F-485A-A4E3-857258D4E43D}" type="TxLink">
            <a:rPr lang="en-US" sz="900" b="0" i="0" u="none" strike="noStrike">
              <a:solidFill>
                <a:srgbClr val="00ADD6"/>
              </a:solidFill>
              <a:latin typeface="Aptos Narrow"/>
              <a:ea typeface="+mn-ea"/>
              <a:cs typeface="+mn-cs"/>
            </a:rPr>
            <a:pPr marL="0" indent="0" algn="ctr"/>
            <a:t>Target 4</a:t>
          </a:fld>
          <a:endParaRPr lang="ru-RU" sz="1000" b="0" i="0" u="none" strike="noStrike">
            <a:solidFill>
              <a:srgbClr val="00ADD6"/>
            </a:solidFill>
            <a:latin typeface="Aptos Narrow"/>
            <a:ea typeface="+mn-ea"/>
            <a:cs typeface="+mn-cs"/>
          </a:endParaRPr>
        </a:p>
      </xdr:txBody>
    </xdr:sp>
    <xdr:clientData/>
  </xdr:twoCellAnchor>
  <xdr:twoCellAnchor>
    <xdr:from>
      <xdr:col>3</xdr:col>
      <xdr:colOff>487680</xdr:colOff>
      <xdr:row>20</xdr:row>
      <xdr:rowOff>129540</xdr:rowOff>
    </xdr:from>
    <xdr:to>
      <xdr:col>4</xdr:col>
      <xdr:colOff>502628</xdr:colOff>
      <xdr:row>22</xdr:row>
      <xdr:rowOff>70849</xdr:rowOff>
    </xdr:to>
    <xdr:sp macro="" textlink="Processing!J7">
      <xdr:nvSpPr>
        <xdr:cNvPr id="85" name="TextBox 84">
          <a:extLst>
            <a:ext uri="{FF2B5EF4-FFF2-40B4-BE49-F238E27FC236}">
              <a16:creationId xmlns:a16="http://schemas.microsoft.com/office/drawing/2014/main" id="{108F352D-D030-4595-B0F4-1F74263F1831}"/>
            </a:ext>
          </a:extLst>
        </xdr:cNvPr>
        <xdr:cNvSpPr txBox="1"/>
      </xdr:nvSpPr>
      <xdr:spPr>
        <a:xfrm>
          <a:off x="2316480" y="3787140"/>
          <a:ext cx="624548" cy="3070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BBD31B8A-D271-4BDE-984C-859332B009E3}" type="TxLink">
            <a:rPr lang="en-US" sz="900" b="0" i="0" u="none" strike="noStrike">
              <a:solidFill>
                <a:srgbClr val="6978B4"/>
              </a:solidFill>
              <a:latin typeface="Aptos Narrow"/>
              <a:ea typeface="+mn-ea"/>
              <a:cs typeface="+mn-cs"/>
            </a:rPr>
            <a:pPr marL="0" indent="0" algn="ctr"/>
            <a:t>Target 5</a:t>
          </a:fld>
          <a:endParaRPr lang="ru-RU" sz="1000" b="0" i="0" u="none" strike="noStrike">
            <a:solidFill>
              <a:srgbClr val="6978B4"/>
            </a:solidFill>
            <a:latin typeface="Aptos Narrow"/>
            <a:ea typeface="+mn-ea"/>
            <a:cs typeface="+mn-cs"/>
          </a:endParaRPr>
        </a:p>
      </xdr:txBody>
    </xdr:sp>
    <xdr:clientData/>
  </xdr:twoCellAnchor>
  <xdr:twoCellAnchor>
    <xdr:from>
      <xdr:col>4</xdr:col>
      <xdr:colOff>518160</xdr:colOff>
      <xdr:row>10</xdr:row>
      <xdr:rowOff>11430</xdr:rowOff>
    </xdr:from>
    <xdr:to>
      <xdr:col>11</xdr:col>
      <xdr:colOff>464820</xdr:colOff>
      <xdr:row>11</xdr:row>
      <xdr:rowOff>99060</xdr:rowOff>
    </xdr:to>
    <xdr:sp macro="" textlink="Processing!I7">
      <xdr:nvSpPr>
        <xdr:cNvPr id="86" name="TextBox 85">
          <a:extLst>
            <a:ext uri="{FF2B5EF4-FFF2-40B4-BE49-F238E27FC236}">
              <a16:creationId xmlns:a16="http://schemas.microsoft.com/office/drawing/2014/main" id="{C90FA857-914C-B82B-56FE-B71AFC02C632}"/>
            </a:ext>
          </a:extLst>
        </xdr:cNvPr>
        <xdr:cNvSpPr txBox="1"/>
      </xdr:nvSpPr>
      <xdr:spPr>
        <a:xfrm>
          <a:off x="2956560" y="1840230"/>
          <a:ext cx="4213860" cy="2705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16C9E64-80DC-41B8-976C-CB9A5E47524F}" type="TxLink">
            <a:rPr lang="en-US" sz="900" b="0" i="0" u="none" strike="noStrike">
              <a:solidFill>
                <a:schemeClr val="tx2">
                  <a:lumMod val="25000"/>
                  <a:lumOff val="75000"/>
                </a:schemeClr>
              </a:solidFill>
              <a:latin typeface="Aptos Narrow"/>
            </a:rPr>
            <a:pPr/>
            <a:t>JAN       FEB       MAR       APR       MAY       JUN       JUL       AUG       SEP       OCT       NOV       DEC</a:t>
          </a:fld>
          <a:endParaRPr lang="ru-RU" sz="900">
            <a:solidFill>
              <a:schemeClr val="tx2">
                <a:lumMod val="25000"/>
                <a:lumOff val="75000"/>
              </a:schemeClr>
            </a:solidFill>
          </a:endParaRPr>
        </a:p>
      </xdr:txBody>
    </xdr:sp>
    <xdr:clientData/>
  </xdr:twoCellAnchor>
  <xdr:twoCellAnchor>
    <xdr:from>
      <xdr:col>3</xdr:col>
      <xdr:colOff>571500</xdr:colOff>
      <xdr:row>5</xdr:row>
      <xdr:rowOff>83820</xdr:rowOff>
    </xdr:from>
    <xdr:to>
      <xdr:col>6</xdr:col>
      <xdr:colOff>91440</xdr:colOff>
      <xdr:row>7</xdr:row>
      <xdr:rowOff>25129</xdr:rowOff>
    </xdr:to>
    <xdr:sp macro="" textlink="Processing!A15">
      <xdr:nvSpPr>
        <xdr:cNvPr id="4" name="TextBox 3">
          <a:extLst>
            <a:ext uri="{FF2B5EF4-FFF2-40B4-BE49-F238E27FC236}">
              <a16:creationId xmlns:a16="http://schemas.microsoft.com/office/drawing/2014/main" id="{53440F48-12FB-4FE1-19F0-7FB2CFAFA45D}"/>
            </a:ext>
          </a:extLst>
        </xdr:cNvPr>
        <xdr:cNvSpPr txBox="1"/>
      </xdr:nvSpPr>
      <xdr:spPr>
        <a:xfrm>
          <a:off x="2400300" y="998220"/>
          <a:ext cx="1348740" cy="3070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8BA7641B-5241-4B72-9658-E9FFA1BE068F}" type="TxLink">
            <a:rPr lang="en-US" sz="1400" b="0" i="0" u="none" strike="noStrike">
              <a:solidFill>
                <a:schemeClr val="tx2">
                  <a:lumMod val="25000"/>
                  <a:lumOff val="75000"/>
                </a:schemeClr>
              </a:solidFill>
              <a:latin typeface="Aptos Narrow"/>
              <a:ea typeface="+mn-ea"/>
              <a:cs typeface="+mn-cs"/>
            </a:rPr>
            <a:pPr marL="0" indent="0" algn="r"/>
            <a:t>Financial Goals</a:t>
          </a:fld>
          <a:endParaRPr lang="ru-RU" sz="1100" b="0" i="0" u="none" strike="noStrike">
            <a:solidFill>
              <a:schemeClr val="tx2">
                <a:lumMod val="25000"/>
                <a:lumOff val="75000"/>
              </a:schemeClr>
            </a:solidFill>
            <a:latin typeface="Aptos Narrow"/>
            <a:ea typeface="+mn-ea"/>
            <a:cs typeface="+mn-cs"/>
          </a:endParaRPr>
        </a:p>
      </xdr:txBody>
    </xdr:sp>
    <xdr:clientData/>
  </xdr:twoCellAnchor>
  <xdr:twoCellAnchor>
    <xdr:from>
      <xdr:col>10</xdr:col>
      <xdr:colOff>203993</xdr:colOff>
      <xdr:row>4</xdr:row>
      <xdr:rowOff>157213</xdr:rowOff>
    </xdr:from>
    <xdr:to>
      <xdr:col>11</xdr:col>
      <xdr:colOff>417353</xdr:colOff>
      <xdr:row>9</xdr:row>
      <xdr:rowOff>65773</xdr:rowOff>
    </xdr:to>
    <xdr:graphicFrame macro="">
      <xdr:nvGraphicFramePr>
        <xdr:cNvPr id="10" name="Chart 9">
          <a:extLst>
            <a:ext uri="{FF2B5EF4-FFF2-40B4-BE49-F238E27FC236}">
              <a16:creationId xmlns:a16="http://schemas.microsoft.com/office/drawing/2014/main" id="{0253A14F-BC89-4844-8223-1F367900479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10</xdr:col>
      <xdr:colOff>276431</xdr:colOff>
      <xdr:row>6</xdr:row>
      <xdr:rowOff>45720</xdr:rowOff>
    </xdr:from>
    <xdr:to>
      <xdr:col>11</xdr:col>
      <xdr:colOff>348410</xdr:colOff>
      <xdr:row>7</xdr:row>
      <xdr:rowOff>169909</xdr:rowOff>
    </xdr:to>
    <xdr:sp macro="" textlink="Processing!E15">
      <xdr:nvSpPr>
        <xdr:cNvPr id="12" name="TextBox 11">
          <a:extLst>
            <a:ext uri="{FF2B5EF4-FFF2-40B4-BE49-F238E27FC236}">
              <a16:creationId xmlns:a16="http://schemas.microsoft.com/office/drawing/2014/main" id="{A2567787-E56E-C0C7-A6CC-231589215AA0}"/>
            </a:ext>
          </a:extLst>
        </xdr:cNvPr>
        <xdr:cNvSpPr txBox="1"/>
      </xdr:nvSpPr>
      <xdr:spPr>
        <a:xfrm>
          <a:off x="6372431" y="1143000"/>
          <a:ext cx="681579" cy="3070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9A9B9565-BBFC-46A7-A67D-00B9BECDDD49}" type="TxLink">
            <a:rPr lang="en-US" sz="1100" b="0" i="0" u="none" strike="noStrike">
              <a:solidFill>
                <a:schemeClr val="bg1"/>
              </a:solidFill>
              <a:latin typeface="Aptos Narrow"/>
              <a:ea typeface="+mn-ea"/>
              <a:cs typeface="+mn-cs"/>
            </a:rPr>
            <a:pPr marL="0" indent="0" algn="ctr"/>
            <a:t>65%</a:t>
          </a:fld>
          <a:endParaRPr lang="ru-RU" sz="1100" b="0" i="0" u="none" strike="noStrike">
            <a:solidFill>
              <a:schemeClr val="bg1"/>
            </a:solidFill>
            <a:latin typeface="Aptos Narrow"/>
            <a:ea typeface="+mn-ea"/>
            <a:cs typeface="+mn-cs"/>
          </a:endParaRPr>
        </a:p>
      </xdr:txBody>
    </xdr:sp>
    <xdr:clientData/>
  </xdr:twoCellAnchor>
  <xdr:twoCellAnchor>
    <xdr:from>
      <xdr:col>6</xdr:col>
      <xdr:colOff>30480</xdr:colOff>
      <xdr:row>5</xdr:row>
      <xdr:rowOff>83820</xdr:rowOff>
    </xdr:from>
    <xdr:to>
      <xdr:col>7</xdr:col>
      <xdr:colOff>480060</xdr:colOff>
      <xdr:row>7</xdr:row>
      <xdr:rowOff>25129</xdr:rowOff>
    </xdr:to>
    <xdr:sp macro="" textlink="Processing!B15">
      <xdr:nvSpPr>
        <xdr:cNvPr id="13" name="TextBox 12">
          <a:extLst>
            <a:ext uri="{FF2B5EF4-FFF2-40B4-BE49-F238E27FC236}">
              <a16:creationId xmlns:a16="http://schemas.microsoft.com/office/drawing/2014/main" id="{FD7EC3EB-77AB-7D17-9CD2-EE97475AC7AD}"/>
            </a:ext>
          </a:extLst>
        </xdr:cNvPr>
        <xdr:cNvSpPr txBox="1"/>
      </xdr:nvSpPr>
      <xdr:spPr>
        <a:xfrm>
          <a:off x="3688080" y="998220"/>
          <a:ext cx="1059180" cy="3070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C3128F88-1E2A-46DE-B230-EAB89FAE28DC}" type="TxLink">
            <a:rPr lang="en-US" sz="1800" b="0" i="0" u="none" strike="noStrike">
              <a:solidFill>
                <a:schemeClr val="tx2">
                  <a:lumMod val="25000"/>
                  <a:lumOff val="75000"/>
                </a:schemeClr>
              </a:solidFill>
              <a:latin typeface="Aptos Narrow"/>
              <a:ea typeface="+mn-ea"/>
              <a:cs typeface="+mn-cs"/>
            </a:rPr>
            <a:pPr marL="0" indent="0" algn="r"/>
            <a:t>$ 7 200</a:t>
          </a:fld>
          <a:endParaRPr lang="ru-RU" sz="3200" b="0" i="0" u="none" strike="noStrike">
            <a:solidFill>
              <a:schemeClr val="tx2">
                <a:lumMod val="25000"/>
                <a:lumOff val="75000"/>
              </a:schemeClr>
            </a:solidFill>
            <a:latin typeface="Aptos Narrow"/>
            <a:ea typeface="+mn-ea"/>
            <a:cs typeface="+mn-cs"/>
          </a:endParaRPr>
        </a:p>
      </xdr:txBody>
    </xdr:sp>
    <xdr:clientData/>
  </xdr:twoCellAnchor>
  <xdr:twoCellAnchor>
    <xdr:from>
      <xdr:col>8</xdr:col>
      <xdr:colOff>457200</xdr:colOff>
      <xdr:row>7</xdr:row>
      <xdr:rowOff>19050</xdr:rowOff>
    </xdr:from>
    <xdr:to>
      <xdr:col>10</xdr:col>
      <xdr:colOff>182880</xdr:colOff>
      <xdr:row>8</xdr:row>
      <xdr:rowOff>143239</xdr:rowOff>
    </xdr:to>
    <xdr:sp macro="" textlink="Processing!D15">
      <xdr:nvSpPr>
        <xdr:cNvPr id="14" name="TextBox 13">
          <a:extLst>
            <a:ext uri="{FF2B5EF4-FFF2-40B4-BE49-F238E27FC236}">
              <a16:creationId xmlns:a16="http://schemas.microsoft.com/office/drawing/2014/main" id="{8D6554CA-3C8A-4396-4BF3-70A8281FE8E3}"/>
            </a:ext>
          </a:extLst>
        </xdr:cNvPr>
        <xdr:cNvSpPr txBox="1"/>
      </xdr:nvSpPr>
      <xdr:spPr>
        <a:xfrm>
          <a:off x="5334000" y="1299210"/>
          <a:ext cx="944880" cy="3070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C7249DB0-3A9D-42CF-B4B5-436F1FD19524}" type="TxLink">
            <a:rPr lang="en-US" sz="1800" b="0" i="0" u="none" strike="noStrike">
              <a:solidFill>
                <a:schemeClr val="bg1"/>
              </a:solidFill>
              <a:latin typeface="Aptos Narrow"/>
              <a:ea typeface="+mn-ea"/>
              <a:cs typeface="+mn-cs"/>
            </a:rPr>
            <a:pPr marL="0" indent="0" algn="r"/>
            <a:t>$ 4 700</a:t>
          </a:fld>
          <a:endParaRPr lang="ru-RU" sz="3200" b="0" i="0" u="none" strike="noStrike">
            <a:solidFill>
              <a:schemeClr val="bg1"/>
            </a:solidFill>
            <a:latin typeface="Aptos Narrow"/>
            <a:ea typeface="+mn-ea"/>
            <a:cs typeface="+mn-cs"/>
          </a:endParaRPr>
        </a:p>
      </xdr:txBody>
    </xdr:sp>
    <xdr:clientData/>
  </xdr:twoCellAnchor>
  <xdr:twoCellAnchor>
    <xdr:from>
      <xdr:col>8</xdr:col>
      <xdr:colOff>110322</xdr:colOff>
      <xdr:row>5</xdr:row>
      <xdr:rowOff>83820</xdr:rowOff>
    </xdr:from>
    <xdr:to>
      <xdr:col>10</xdr:col>
      <xdr:colOff>148758</xdr:colOff>
      <xdr:row>7</xdr:row>
      <xdr:rowOff>25129</xdr:rowOff>
    </xdr:to>
    <xdr:sp macro="" textlink="Processing!C15">
      <xdr:nvSpPr>
        <xdr:cNvPr id="15" name="TextBox 14">
          <a:extLst>
            <a:ext uri="{FF2B5EF4-FFF2-40B4-BE49-F238E27FC236}">
              <a16:creationId xmlns:a16="http://schemas.microsoft.com/office/drawing/2014/main" id="{86BE0433-CE18-74F6-7410-F2D44F48EF36}"/>
            </a:ext>
          </a:extLst>
        </xdr:cNvPr>
        <xdr:cNvSpPr txBox="1"/>
      </xdr:nvSpPr>
      <xdr:spPr>
        <a:xfrm>
          <a:off x="4987122" y="998220"/>
          <a:ext cx="1257636" cy="3070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A71A3913-BF8B-42DC-AC1C-64182C8DA1E7}" type="TxLink">
            <a:rPr lang="en-US" sz="1400" b="0" i="0" u="none" strike="noStrike">
              <a:solidFill>
                <a:schemeClr val="tx2">
                  <a:lumMod val="25000"/>
                  <a:lumOff val="75000"/>
                </a:schemeClr>
              </a:solidFill>
              <a:latin typeface="Aptos Narrow"/>
              <a:ea typeface="+mn-ea"/>
              <a:cs typeface="+mn-cs"/>
            </a:rPr>
            <a:pPr marL="0" indent="0" algn="r"/>
            <a:t>Total Progress</a:t>
          </a:fld>
          <a:endParaRPr lang="ru-RU" sz="1400" b="0" i="0" u="none" strike="noStrike">
            <a:solidFill>
              <a:schemeClr val="tx2">
                <a:lumMod val="25000"/>
                <a:lumOff val="75000"/>
              </a:schemeClr>
            </a:solidFill>
            <a:latin typeface="Aptos Narrow"/>
            <a:ea typeface="+mn-ea"/>
            <a:cs typeface="+mn-cs"/>
          </a:endParaRPr>
        </a:p>
      </xdr:txBody>
    </xdr:sp>
    <xdr:clientData/>
  </xdr:twoCellAnchor>
  <xdr:twoCellAnchor>
    <xdr:from>
      <xdr:col>4</xdr:col>
      <xdr:colOff>259080</xdr:colOff>
      <xdr:row>7</xdr:row>
      <xdr:rowOff>19050</xdr:rowOff>
    </xdr:from>
    <xdr:to>
      <xdr:col>6</xdr:col>
      <xdr:colOff>91440</xdr:colOff>
      <xdr:row>8</xdr:row>
      <xdr:rowOff>143239</xdr:rowOff>
    </xdr:to>
    <xdr:sp macro="" textlink="Processing!G15">
      <xdr:nvSpPr>
        <xdr:cNvPr id="31" name="TextBox 30">
          <a:extLst>
            <a:ext uri="{FF2B5EF4-FFF2-40B4-BE49-F238E27FC236}">
              <a16:creationId xmlns:a16="http://schemas.microsoft.com/office/drawing/2014/main" id="{AB18CF9C-536A-22D6-2B88-E1EA5C932CA5}"/>
            </a:ext>
          </a:extLst>
        </xdr:cNvPr>
        <xdr:cNvSpPr txBox="1"/>
      </xdr:nvSpPr>
      <xdr:spPr>
        <a:xfrm>
          <a:off x="2697480" y="1299210"/>
          <a:ext cx="1051560" cy="3070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0E3D2E3A-BAB8-46C6-BA51-F42DD15F3702}" type="TxLink">
            <a:rPr lang="en-US" sz="1400" b="0" i="0" u="none" strike="noStrike">
              <a:solidFill>
                <a:schemeClr val="tx2">
                  <a:lumMod val="25000"/>
                  <a:lumOff val="75000"/>
                </a:schemeClr>
              </a:solidFill>
              <a:latin typeface="Aptos Narrow"/>
              <a:ea typeface="+mn-ea"/>
              <a:cs typeface="+mn-cs"/>
            </a:rPr>
            <a:pPr marL="0" indent="0" algn="r"/>
            <a:t>Current</a:t>
          </a:fld>
          <a:endParaRPr lang="ru-RU" sz="1400" b="0" i="0" u="none" strike="noStrike">
            <a:solidFill>
              <a:schemeClr val="tx2">
                <a:lumMod val="25000"/>
                <a:lumOff val="75000"/>
              </a:schemeClr>
            </a:solidFill>
            <a:latin typeface="Aptos Narrow"/>
            <a:ea typeface="+mn-ea"/>
            <a:cs typeface="+mn-cs"/>
          </a:endParaRPr>
        </a:p>
      </xdr:txBody>
    </xdr:sp>
    <xdr:clientData/>
  </xdr:twoCellAnchor>
  <xdr:twoCellAnchor>
    <xdr:from>
      <xdr:col>6</xdr:col>
      <xdr:colOff>144780</xdr:colOff>
      <xdr:row>7</xdr:row>
      <xdr:rowOff>19050</xdr:rowOff>
    </xdr:from>
    <xdr:to>
      <xdr:col>7</xdr:col>
      <xdr:colOff>480060</xdr:colOff>
      <xdr:row>8</xdr:row>
      <xdr:rowOff>143239</xdr:rowOff>
    </xdr:to>
    <xdr:sp macro="" textlink="Processing!H15">
      <xdr:nvSpPr>
        <xdr:cNvPr id="32" name="TextBox 31">
          <a:extLst>
            <a:ext uri="{FF2B5EF4-FFF2-40B4-BE49-F238E27FC236}">
              <a16:creationId xmlns:a16="http://schemas.microsoft.com/office/drawing/2014/main" id="{BAABB84D-ADED-7BAB-53C6-56084F1C1100}"/>
            </a:ext>
          </a:extLst>
        </xdr:cNvPr>
        <xdr:cNvSpPr txBox="1"/>
      </xdr:nvSpPr>
      <xdr:spPr>
        <a:xfrm>
          <a:off x="3802380" y="1299210"/>
          <a:ext cx="944880" cy="3070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7DD48265-55C6-49F0-B061-7C10CA1AAB61}" type="TxLink">
            <a:rPr lang="en-US" sz="1800" b="0" i="0" u="none" strike="noStrike">
              <a:solidFill>
                <a:schemeClr val="bg1"/>
              </a:solidFill>
              <a:latin typeface="Aptos Narrow"/>
              <a:ea typeface="+mn-ea"/>
              <a:cs typeface="+mn-cs"/>
            </a:rPr>
            <a:pPr marL="0" indent="0" algn="r"/>
            <a:t>$ 2 900</a:t>
          </a:fld>
          <a:endParaRPr lang="ru-RU" sz="1800" b="0" i="0" u="none" strike="noStrike">
            <a:solidFill>
              <a:schemeClr val="bg1"/>
            </a:solidFill>
            <a:latin typeface="Aptos Narrow"/>
            <a:ea typeface="+mn-ea"/>
            <a:cs typeface="+mn-cs"/>
          </a:endParaRPr>
        </a:p>
      </xdr:txBody>
    </xdr:sp>
    <xdr:clientData/>
  </xdr:twoCellAnchor>
  <xdr:twoCellAnchor editAs="oneCell">
    <xdr:from>
      <xdr:col>1</xdr:col>
      <xdr:colOff>0</xdr:colOff>
      <xdr:row>1</xdr:row>
      <xdr:rowOff>0</xdr:rowOff>
    </xdr:from>
    <xdr:to>
      <xdr:col>1</xdr:col>
      <xdr:colOff>274320</xdr:colOff>
      <xdr:row>2</xdr:row>
      <xdr:rowOff>91440</xdr:rowOff>
    </xdr:to>
    <xdr:pic>
      <xdr:nvPicPr>
        <xdr:cNvPr id="87" name="Graphic 86" descr="Sun with solid fill">
          <a:hlinkClick xmlns:r="http://schemas.openxmlformats.org/officeDocument/2006/relationships" r:id="rId12"/>
          <a:extLst>
            <a:ext uri="{FF2B5EF4-FFF2-40B4-BE49-F238E27FC236}">
              <a16:creationId xmlns:a16="http://schemas.microsoft.com/office/drawing/2014/main" id="{5A32B048-8258-4138-B3BC-0044D0B8FDF8}"/>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609600" y="182880"/>
          <a:ext cx="274320" cy="274320"/>
        </a:xfrm>
        <a:prstGeom prst="rect">
          <a:avLst/>
        </a:prstGeom>
      </xdr:spPr>
    </xdr:pic>
    <xdr:clientData/>
  </xdr:twoCellAnchor>
  <xdr:twoCellAnchor editAs="oneCell">
    <xdr:from>
      <xdr:col>1</xdr:col>
      <xdr:colOff>419100</xdr:colOff>
      <xdr:row>1</xdr:row>
      <xdr:rowOff>0</xdr:rowOff>
    </xdr:from>
    <xdr:to>
      <xdr:col>2</xdr:col>
      <xdr:colOff>83820</xdr:colOff>
      <xdr:row>2</xdr:row>
      <xdr:rowOff>91440</xdr:rowOff>
    </xdr:to>
    <xdr:pic>
      <xdr:nvPicPr>
        <xdr:cNvPr id="88" name="Graphic 87" descr="Moon with solid fill">
          <a:extLst>
            <a:ext uri="{FF2B5EF4-FFF2-40B4-BE49-F238E27FC236}">
              <a16:creationId xmlns:a16="http://schemas.microsoft.com/office/drawing/2014/main" id="{5B4B8308-146D-4F74-AB6E-450C39FF6B1A}"/>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a:off x="1028700" y="182880"/>
          <a:ext cx="274320" cy="274320"/>
        </a:xfrm>
        <a:prstGeom prst="rect">
          <a:avLst/>
        </a:prstGeom>
      </xdr:spPr>
    </xdr:pic>
    <xdr:clientData/>
  </xdr:twoCellAnchor>
  <xdr:twoCellAnchor>
    <xdr:from>
      <xdr:col>3</xdr:col>
      <xdr:colOff>419100</xdr:colOff>
      <xdr:row>26</xdr:row>
      <xdr:rowOff>121920</xdr:rowOff>
    </xdr:from>
    <xdr:to>
      <xdr:col>12</xdr:col>
      <xdr:colOff>114300</xdr:colOff>
      <xdr:row>34</xdr:row>
      <xdr:rowOff>175260</xdr:rowOff>
    </xdr:to>
    <xdr:sp macro="" textlink="">
      <xdr:nvSpPr>
        <xdr:cNvPr id="89" name="Rectangle: Rounded Corners 88">
          <a:hlinkClick xmlns:r="http://schemas.openxmlformats.org/officeDocument/2006/relationships" r:id="rId17"/>
          <a:extLst>
            <a:ext uri="{FF2B5EF4-FFF2-40B4-BE49-F238E27FC236}">
              <a16:creationId xmlns:a16="http://schemas.microsoft.com/office/drawing/2014/main" id="{2ADB3035-37EA-4574-AAC1-BAC29552B9D3}"/>
            </a:ext>
          </a:extLst>
        </xdr:cNvPr>
        <xdr:cNvSpPr/>
      </xdr:nvSpPr>
      <xdr:spPr>
        <a:xfrm>
          <a:off x="2247900" y="4876800"/>
          <a:ext cx="5181600" cy="151638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16</xdr:col>
      <xdr:colOff>365760</xdr:colOff>
      <xdr:row>17</xdr:row>
      <xdr:rowOff>167640</xdr:rowOff>
    </xdr:from>
    <xdr:to>
      <xdr:col>20</xdr:col>
      <xdr:colOff>213360</xdr:colOff>
      <xdr:row>34</xdr:row>
      <xdr:rowOff>175260</xdr:rowOff>
    </xdr:to>
    <xdr:sp macro="" textlink="">
      <xdr:nvSpPr>
        <xdr:cNvPr id="91" name="Rectangle: Rounded Corners 90">
          <a:hlinkClick xmlns:r="http://schemas.openxmlformats.org/officeDocument/2006/relationships" r:id="rId18"/>
          <a:extLst>
            <a:ext uri="{FF2B5EF4-FFF2-40B4-BE49-F238E27FC236}">
              <a16:creationId xmlns:a16="http://schemas.microsoft.com/office/drawing/2014/main" id="{F64AB087-5D3C-4BEB-9758-7FCD09AAA025}"/>
            </a:ext>
          </a:extLst>
        </xdr:cNvPr>
        <xdr:cNvSpPr/>
      </xdr:nvSpPr>
      <xdr:spPr>
        <a:xfrm>
          <a:off x="10119360" y="3276600"/>
          <a:ext cx="2286000" cy="311658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editAs="oneCell">
    <xdr:from>
      <xdr:col>0</xdr:col>
      <xdr:colOff>76200</xdr:colOff>
      <xdr:row>1</xdr:row>
      <xdr:rowOff>0</xdr:rowOff>
    </xdr:from>
    <xdr:to>
      <xdr:col>0</xdr:col>
      <xdr:colOff>350520</xdr:colOff>
      <xdr:row>2</xdr:row>
      <xdr:rowOff>91440</xdr:rowOff>
    </xdr:to>
    <xdr:pic>
      <xdr:nvPicPr>
        <xdr:cNvPr id="92" name="Graphic 91" descr="Home with solid fill">
          <a:hlinkClick xmlns:r="http://schemas.openxmlformats.org/officeDocument/2006/relationships" r:id="rId19"/>
          <a:extLst>
            <a:ext uri="{FF2B5EF4-FFF2-40B4-BE49-F238E27FC236}">
              <a16:creationId xmlns:a16="http://schemas.microsoft.com/office/drawing/2014/main" id="{351C4466-CBC5-4CDD-8E3E-389DBB2EBFA5}"/>
            </a:ext>
          </a:extLst>
        </xdr:cNvPr>
        <xdr:cNvPicPr>
          <a:picLocks noChangeAspect="1"/>
        </xdr:cNvPicPr>
      </xdr:nvPicPr>
      <xdr:blipFill>
        <a:blip xmlns:r="http://schemas.openxmlformats.org/officeDocument/2006/relationships" r:embed="rId20">
          <a:extLst>
            <a:ext uri="{96DAC541-7B7A-43D3-8B79-37D633B846F1}">
              <asvg:svgBlip xmlns:asvg="http://schemas.microsoft.com/office/drawing/2016/SVG/main" r:embed="rId21"/>
            </a:ext>
          </a:extLst>
        </a:blip>
        <a:stretch>
          <a:fillRect/>
        </a:stretch>
      </xdr:blipFill>
      <xdr:spPr>
        <a:xfrm>
          <a:off x="76200" y="182880"/>
          <a:ext cx="274320" cy="27432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0</xdr:row>
      <xdr:rowOff>0</xdr:rowOff>
    </xdr:from>
    <xdr:to>
      <xdr:col>24</xdr:col>
      <xdr:colOff>0</xdr:colOff>
      <xdr:row>45</xdr:row>
      <xdr:rowOff>0</xdr:rowOff>
    </xdr:to>
    <xdr:sp macro="" textlink="">
      <xdr:nvSpPr>
        <xdr:cNvPr id="87" name="Rectangle 86">
          <a:extLst>
            <a:ext uri="{FF2B5EF4-FFF2-40B4-BE49-F238E27FC236}">
              <a16:creationId xmlns:a16="http://schemas.microsoft.com/office/drawing/2014/main" id="{01033A3D-0537-4410-9208-F0C976DE42A8}"/>
            </a:ext>
          </a:extLst>
        </xdr:cNvPr>
        <xdr:cNvSpPr/>
      </xdr:nvSpPr>
      <xdr:spPr>
        <a:xfrm>
          <a:off x="0" y="0"/>
          <a:ext cx="14630400" cy="8229600"/>
        </a:xfrm>
        <a:prstGeom prst="rect">
          <a:avLst/>
        </a:prstGeom>
        <a:gradFill flip="none" rotWithShape="1">
          <a:gsLst>
            <a:gs pos="84000">
              <a:srgbClr val="3173C7"/>
            </a:gs>
            <a:gs pos="8000">
              <a:srgbClr val="92C1E4"/>
            </a:gs>
            <a:gs pos="100000">
              <a:srgbClr val="1655B7"/>
            </a:gs>
          </a:gsLst>
          <a:path path="circle">
            <a:fillToRect l="100000" t="100000"/>
          </a:path>
          <a:tileRect r="-100000" b="-100000"/>
        </a:gra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clientData/>
  </xdr:twoCellAnchor>
  <xdr:twoCellAnchor>
    <xdr:from>
      <xdr:col>3</xdr:col>
      <xdr:colOff>7620</xdr:colOff>
      <xdr:row>2</xdr:row>
      <xdr:rowOff>99060</xdr:rowOff>
    </xdr:from>
    <xdr:to>
      <xdr:col>20</xdr:col>
      <xdr:colOff>586740</xdr:colOff>
      <xdr:row>39</xdr:row>
      <xdr:rowOff>99060</xdr:rowOff>
    </xdr:to>
    <xdr:sp macro="" textlink="">
      <xdr:nvSpPr>
        <xdr:cNvPr id="3" name="Rectangle: Rounded Corners 2">
          <a:extLst>
            <a:ext uri="{FF2B5EF4-FFF2-40B4-BE49-F238E27FC236}">
              <a16:creationId xmlns:a16="http://schemas.microsoft.com/office/drawing/2014/main" id="{8E7463F5-20BD-454B-9D4E-33C760F2174B}"/>
            </a:ext>
          </a:extLst>
        </xdr:cNvPr>
        <xdr:cNvSpPr/>
      </xdr:nvSpPr>
      <xdr:spPr>
        <a:xfrm>
          <a:off x="1836420" y="464820"/>
          <a:ext cx="10942320" cy="6766560"/>
        </a:xfrm>
        <a:prstGeom prst="roundRect">
          <a:avLst>
            <a:gd name="adj" fmla="val 4034"/>
          </a:avLst>
        </a:prstGeom>
        <a:solidFill>
          <a:schemeClr val="bg1"/>
        </a:solidFill>
        <a:ln w="12700">
          <a:noFill/>
        </a:ln>
        <a:effectLst>
          <a:outerShdw blurRad="571500" dist="190500" dir="8100000" algn="tr" rotWithShape="0">
            <a:srgbClr val="0D328D">
              <a:alpha val="6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l" defTabSz="914400" rtl="0" eaLnBrk="1" latinLnBrk="0" hangingPunct="1"/>
          <a:endParaRPr lang="ru-RU" sz="1100" kern="1200">
            <a:solidFill>
              <a:schemeClr val="lt1"/>
            </a:solidFill>
            <a:latin typeface="+mn-lt"/>
            <a:ea typeface="+mn-ea"/>
            <a:cs typeface="+mn-cs"/>
          </a:endParaRPr>
        </a:p>
      </xdr:txBody>
    </xdr:sp>
    <xdr:clientData/>
  </xdr:twoCellAnchor>
  <xdr:twoCellAnchor>
    <xdr:from>
      <xdr:col>3</xdr:col>
      <xdr:colOff>426720</xdr:colOff>
      <xdr:row>4</xdr:row>
      <xdr:rowOff>99060</xdr:rowOff>
    </xdr:from>
    <xdr:to>
      <xdr:col>12</xdr:col>
      <xdr:colOff>121920</xdr:colOff>
      <xdr:row>25</xdr:row>
      <xdr:rowOff>111830</xdr:rowOff>
    </xdr:to>
    <xdr:sp macro="" textlink="">
      <xdr:nvSpPr>
        <xdr:cNvPr id="4" name="Rectangle: Rounded Corners 3">
          <a:extLst>
            <a:ext uri="{FF2B5EF4-FFF2-40B4-BE49-F238E27FC236}">
              <a16:creationId xmlns:a16="http://schemas.microsoft.com/office/drawing/2014/main" id="{2B728DD4-5F26-4FEE-927C-BC310E7CB701}"/>
            </a:ext>
          </a:extLst>
        </xdr:cNvPr>
        <xdr:cNvSpPr/>
      </xdr:nvSpPr>
      <xdr:spPr>
        <a:xfrm>
          <a:off x="2255520" y="830580"/>
          <a:ext cx="5181600" cy="3853250"/>
        </a:xfrm>
        <a:prstGeom prst="roundRect">
          <a:avLst>
            <a:gd name="adj" fmla="val 5410"/>
          </a:avLst>
        </a:prstGeom>
        <a:solidFill>
          <a:schemeClr val="bg1"/>
        </a:solidFill>
        <a:ln w="9525">
          <a:solidFill>
            <a:schemeClr val="bg1"/>
          </a:solidFill>
        </a:ln>
        <a:effectLst>
          <a:outerShdw blurRad="254000" dist="101600" dir="8100000" algn="tr" rotWithShape="0">
            <a:srgbClr val="0D328D">
              <a:alpha val="4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200" kern="1200">
            <a:solidFill>
              <a:srgbClr val="455177"/>
            </a:solidFill>
            <a:latin typeface="+mn-lt"/>
            <a:ea typeface="+mn-ea"/>
            <a:cs typeface="+mn-cs"/>
          </a:endParaRPr>
        </a:p>
      </xdr:txBody>
    </xdr:sp>
    <xdr:clientData/>
  </xdr:twoCellAnchor>
  <xdr:twoCellAnchor>
    <xdr:from>
      <xdr:col>3</xdr:col>
      <xdr:colOff>403860</xdr:colOff>
      <xdr:row>26</xdr:row>
      <xdr:rowOff>109359</xdr:rowOff>
    </xdr:from>
    <xdr:to>
      <xdr:col>12</xdr:col>
      <xdr:colOff>99060</xdr:colOff>
      <xdr:row>37</xdr:row>
      <xdr:rowOff>94982</xdr:rowOff>
    </xdr:to>
    <xdr:sp macro="" textlink="Processing!A16">
      <xdr:nvSpPr>
        <xdr:cNvPr id="5" name="Rectangle: Rounded Corners 4">
          <a:extLst>
            <a:ext uri="{FF2B5EF4-FFF2-40B4-BE49-F238E27FC236}">
              <a16:creationId xmlns:a16="http://schemas.microsoft.com/office/drawing/2014/main" id="{FF42E1CF-886C-48A3-BAF6-A67BF4A2AE88}"/>
            </a:ext>
          </a:extLst>
        </xdr:cNvPr>
        <xdr:cNvSpPr/>
      </xdr:nvSpPr>
      <xdr:spPr>
        <a:xfrm>
          <a:off x="2232660" y="4864239"/>
          <a:ext cx="5181600" cy="1997303"/>
        </a:xfrm>
        <a:prstGeom prst="roundRect">
          <a:avLst>
            <a:gd name="adj" fmla="val 7756"/>
          </a:avLst>
        </a:prstGeom>
        <a:solidFill>
          <a:schemeClr val="bg1"/>
        </a:solidFill>
        <a:ln w="9525">
          <a:solidFill>
            <a:schemeClr val="bg1"/>
          </a:solidFill>
        </a:ln>
        <a:effectLst>
          <a:outerShdw blurRad="254000" dist="101600" dir="8100000" algn="tr" rotWithShape="0">
            <a:srgbClr val="0D328D">
              <a:alpha val="4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fld id="{D2D6F0D1-0F7B-4E37-AF29-585FD355E19A}" type="TxLink">
            <a:rPr lang="en-US" sz="1200" kern="1200">
              <a:solidFill>
                <a:srgbClr val="455177"/>
              </a:solidFill>
              <a:latin typeface="+mn-lt"/>
              <a:ea typeface="+mn-ea"/>
              <a:cs typeface="+mn-cs"/>
            </a:rPr>
            <a:pPr marL="0" indent="0" algn="ctr" defTabSz="914400" rtl="0" eaLnBrk="1" latinLnBrk="0" hangingPunct="1"/>
            <a:t>Income &amp; Expenses</a:t>
          </a:fld>
          <a:endParaRPr lang="ru-RU" sz="1200" kern="1200">
            <a:solidFill>
              <a:srgbClr val="455177"/>
            </a:solidFill>
            <a:latin typeface="+mn-lt"/>
            <a:ea typeface="+mn-ea"/>
            <a:cs typeface="+mn-cs"/>
          </a:endParaRPr>
        </a:p>
      </xdr:txBody>
    </xdr:sp>
    <xdr:clientData/>
  </xdr:twoCellAnchor>
  <xdr:twoCellAnchor>
    <xdr:from>
      <xdr:col>12</xdr:col>
      <xdr:colOff>314716</xdr:colOff>
      <xdr:row>18</xdr:row>
      <xdr:rowOff>11162</xdr:rowOff>
    </xdr:from>
    <xdr:to>
      <xdr:col>16</xdr:col>
      <xdr:colOff>162316</xdr:colOff>
      <xdr:row>37</xdr:row>
      <xdr:rowOff>102602</xdr:rowOff>
    </xdr:to>
    <xdr:sp macro="" textlink="Processing!A39">
      <xdr:nvSpPr>
        <xdr:cNvPr id="6" name="Rectangle: Rounded Corners 5">
          <a:extLst>
            <a:ext uri="{FF2B5EF4-FFF2-40B4-BE49-F238E27FC236}">
              <a16:creationId xmlns:a16="http://schemas.microsoft.com/office/drawing/2014/main" id="{11C7C47B-DA18-4FC1-A0E2-64B0959BA291}"/>
            </a:ext>
          </a:extLst>
        </xdr:cNvPr>
        <xdr:cNvSpPr/>
      </xdr:nvSpPr>
      <xdr:spPr>
        <a:xfrm>
          <a:off x="7629916" y="3303002"/>
          <a:ext cx="2286000" cy="3566160"/>
        </a:xfrm>
        <a:prstGeom prst="roundRect">
          <a:avLst>
            <a:gd name="adj" fmla="val 6756"/>
          </a:avLst>
        </a:prstGeom>
        <a:solidFill>
          <a:schemeClr val="bg1"/>
        </a:solidFill>
        <a:ln w="9525">
          <a:solidFill>
            <a:schemeClr val="bg1"/>
          </a:solidFill>
        </a:ln>
        <a:effectLst>
          <a:outerShdw blurRad="254000" dist="101600" dir="8100000" algn="tr" rotWithShape="0">
            <a:srgbClr val="0D328D">
              <a:alpha val="4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fld id="{C4FBDBAC-C864-40E9-A360-74884EA78C45}" type="TxLink">
            <a:rPr lang="en-US" sz="1200" kern="1200">
              <a:solidFill>
                <a:srgbClr val="455177"/>
              </a:solidFill>
              <a:latin typeface="+mn-lt"/>
              <a:ea typeface="+mn-ea"/>
              <a:cs typeface="+mn-cs"/>
            </a:rPr>
            <a:pPr marL="0" indent="0" algn="ctr" defTabSz="914400" rtl="0" eaLnBrk="1" latinLnBrk="0" hangingPunct="1"/>
            <a:t>Source Rating</a:t>
          </a:fld>
          <a:endParaRPr lang="ru-RU" sz="1200" kern="1200">
            <a:solidFill>
              <a:srgbClr val="455177"/>
            </a:solidFill>
            <a:latin typeface="+mn-lt"/>
            <a:ea typeface="+mn-ea"/>
            <a:cs typeface="+mn-cs"/>
          </a:endParaRPr>
        </a:p>
      </xdr:txBody>
    </xdr:sp>
    <xdr:clientData/>
  </xdr:twoCellAnchor>
  <xdr:twoCellAnchor>
    <xdr:from>
      <xdr:col>12</xdr:col>
      <xdr:colOff>314716</xdr:colOff>
      <xdr:row>4</xdr:row>
      <xdr:rowOff>106680</xdr:rowOff>
    </xdr:from>
    <xdr:to>
      <xdr:col>20</xdr:col>
      <xdr:colOff>192796</xdr:colOff>
      <xdr:row>17</xdr:row>
      <xdr:rowOff>15240</xdr:rowOff>
    </xdr:to>
    <xdr:sp macro="" textlink="">
      <xdr:nvSpPr>
        <xdr:cNvPr id="7" name="Rectangle: Rounded Corners 6">
          <a:extLst>
            <a:ext uri="{FF2B5EF4-FFF2-40B4-BE49-F238E27FC236}">
              <a16:creationId xmlns:a16="http://schemas.microsoft.com/office/drawing/2014/main" id="{B3C52A6E-BA95-4628-B231-636EDB9AB2A9}"/>
            </a:ext>
          </a:extLst>
        </xdr:cNvPr>
        <xdr:cNvSpPr/>
      </xdr:nvSpPr>
      <xdr:spPr>
        <a:xfrm>
          <a:off x="7629916" y="838200"/>
          <a:ext cx="4754880" cy="2286000"/>
        </a:xfrm>
        <a:prstGeom prst="roundRect">
          <a:avLst>
            <a:gd name="adj" fmla="val 7756"/>
          </a:avLst>
        </a:prstGeom>
        <a:solidFill>
          <a:schemeClr val="bg1"/>
        </a:solidFill>
        <a:ln w="9525">
          <a:solidFill>
            <a:schemeClr val="bg1"/>
          </a:solidFill>
        </a:ln>
        <a:effectLst>
          <a:outerShdw blurRad="254000" dist="101600" dir="8100000" algn="tr" rotWithShape="0">
            <a:srgbClr val="0D328D">
              <a:alpha val="4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200" kern="1200">
            <a:solidFill>
              <a:srgbClr val="455177"/>
            </a:solidFill>
            <a:latin typeface="+mn-lt"/>
            <a:ea typeface="+mn-ea"/>
            <a:cs typeface="+mn-cs"/>
          </a:endParaRPr>
        </a:p>
      </xdr:txBody>
    </xdr:sp>
    <xdr:clientData/>
  </xdr:twoCellAnchor>
  <xdr:twoCellAnchor>
    <xdr:from>
      <xdr:col>16</xdr:col>
      <xdr:colOff>345196</xdr:colOff>
      <xdr:row>18</xdr:row>
      <xdr:rowOff>11162</xdr:rowOff>
    </xdr:from>
    <xdr:to>
      <xdr:col>20</xdr:col>
      <xdr:colOff>192796</xdr:colOff>
      <xdr:row>37</xdr:row>
      <xdr:rowOff>102602</xdr:rowOff>
    </xdr:to>
    <xdr:sp macro="" textlink="Processing!J50">
      <xdr:nvSpPr>
        <xdr:cNvPr id="8" name="Rectangle: Rounded Corners 7">
          <a:extLst>
            <a:ext uri="{FF2B5EF4-FFF2-40B4-BE49-F238E27FC236}">
              <a16:creationId xmlns:a16="http://schemas.microsoft.com/office/drawing/2014/main" id="{F6B77304-C4BD-4C6E-9B53-BDBC41916291}"/>
            </a:ext>
          </a:extLst>
        </xdr:cNvPr>
        <xdr:cNvSpPr/>
      </xdr:nvSpPr>
      <xdr:spPr>
        <a:xfrm>
          <a:off x="10098796" y="3303002"/>
          <a:ext cx="2286000" cy="3566160"/>
        </a:xfrm>
        <a:prstGeom prst="roundRect">
          <a:avLst>
            <a:gd name="adj" fmla="val 6756"/>
          </a:avLst>
        </a:prstGeom>
        <a:solidFill>
          <a:schemeClr val="bg1"/>
        </a:solidFill>
        <a:ln w="9525">
          <a:solidFill>
            <a:schemeClr val="bg1"/>
          </a:solidFill>
        </a:ln>
        <a:effectLst>
          <a:outerShdw blurRad="254000" dist="101600" dir="8100000" algn="tr" rotWithShape="0">
            <a:srgbClr val="0D328D">
              <a:alpha val="4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fld id="{1DE3003E-1F1C-47CB-AEC1-2E414D995FCE}" type="TxLink">
            <a:rPr lang="en-US" sz="1200" kern="1200">
              <a:solidFill>
                <a:srgbClr val="455177"/>
              </a:solidFill>
              <a:latin typeface="+mn-lt"/>
              <a:ea typeface="+mn-ea"/>
              <a:cs typeface="+mn-cs"/>
            </a:rPr>
            <a:pPr marL="0" indent="0" algn="ctr" defTabSz="914400" rtl="0" eaLnBrk="1" latinLnBrk="0" hangingPunct="1"/>
            <a:t>Essential Costs</a:t>
          </a:fld>
          <a:endParaRPr lang="ru-RU" sz="1200" kern="1200">
            <a:solidFill>
              <a:srgbClr val="455177"/>
            </a:solidFill>
            <a:latin typeface="+mn-lt"/>
            <a:ea typeface="+mn-ea"/>
            <a:cs typeface="+mn-cs"/>
          </a:endParaRPr>
        </a:p>
      </xdr:txBody>
    </xdr:sp>
    <xdr:clientData/>
  </xdr:twoCellAnchor>
  <xdr:twoCellAnchor>
    <xdr:from>
      <xdr:col>4</xdr:col>
      <xdr:colOff>487680</xdr:colOff>
      <xdr:row>9</xdr:row>
      <xdr:rowOff>106680</xdr:rowOff>
    </xdr:from>
    <xdr:to>
      <xdr:col>11</xdr:col>
      <xdr:colOff>335280</xdr:colOff>
      <xdr:row>23</xdr:row>
      <xdr:rowOff>175260</xdr:rowOff>
    </xdr:to>
    <xdr:sp macro="" textlink="">
      <xdr:nvSpPr>
        <xdr:cNvPr id="9" name="Rectangle: Rounded Corners 8">
          <a:extLst>
            <a:ext uri="{FF2B5EF4-FFF2-40B4-BE49-F238E27FC236}">
              <a16:creationId xmlns:a16="http://schemas.microsoft.com/office/drawing/2014/main" id="{C6DD2833-CEB5-43BE-BE49-9D837C40AD3C}"/>
            </a:ext>
          </a:extLst>
        </xdr:cNvPr>
        <xdr:cNvSpPr/>
      </xdr:nvSpPr>
      <xdr:spPr>
        <a:xfrm>
          <a:off x="2926080" y="1752600"/>
          <a:ext cx="4114800" cy="2628900"/>
        </a:xfrm>
        <a:prstGeom prst="roundRect">
          <a:avLst>
            <a:gd name="adj" fmla="val 3288"/>
          </a:avLst>
        </a:prstGeom>
        <a:solidFill>
          <a:schemeClr val="bg1"/>
        </a:solidFill>
        <a:ln>
          <a:noFill/>
        </a:ln>
        <a:effectLst>
          <a:innerShdw blurRad="381000">
            <a:srgbClr val="004A82">
              <a:alpha val="60000"/>
            </a:srgbClr>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ru-RU" sz="1100">
            <a:solidFill>
              <a:schemeClr val="lt1"/>
            </a:solidFill>
            <a:latin typeface="+mn-lt"/>
            <a:ea typeface="+mn-ea"/>
            <a:cs typeface="+mn-cs"/>
          </a:endParaRPr>
        </a:p>
      </xdr:txBody>
    </xdr:sp>
    <xdr:clientData/>
  </xdr:twoCellAnchor>
  <xdr:twoCellAnchor>
    <xdr:from>
      <xdr:col>4</xdr:col>
      <xdr:colOff>365760</xdr:colOff>
      <xdr:row>8</xdr:row>
      <xdr:rowOff>175260</xdr:rowOff>
    </xdr:from>
    <xdr:to>
      <xdr:col>11</xdr:col>
      <xdr:colOff>441960</xdr:colOff>
      <xdr:row>24</xdr:row>
      <xdr:rowOff>129540</xdr:rowOff>
    </xdr:to>
    <xdr:graphicFrame macro="">
      <xdr:nvGraphicFramePr>
        <xdr:cNvPr id="10" name="Chart 9">
          <a:extLst>
            <a:ext uri="{FF2B5EF4-FFF2-40B4-BE49-F238E27FC236}">
              <a16:creationId xmlns:a16="http://schemas.microsoft.com/office/drawing/2014/main" id="{2050A9A2-0192-461E-97A9-606A76730AA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601980</xdr:colOff>
      <xdr:row>10</xdr:row>
      <xdr:rowOff>144780</xdr:rowOff>
    </xdr:from>
    <xdr:to>
      <xdr:col>11</xdr:col>
      <xdr:colOff>434340</xdr:colOff>
      <xdr:row>24</xdr:row>
      <xdr:rowOff>144780</xdr:rowOff>
    </xdr:to>
    <xdr:graphicFrame macro="">
      <xdr:nvGraphicFramePr>
        <xdr:cNvPr id="11" name="Chart 10">
          <a:extLst>
            <a:ext uri="{FF2B5EF4-FFF2-40B4-BE49-F238E27FC236}">
              <a16:creationId xmlns:a16="http://schemas.microsoft.com/office/drawing/2014/main" id="{C960FDEF-CE10-4896-8A69-E33829DCA6A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403860</xdr:colOff>
      <xdr:row>5</xdr:row>
      <xdr:rowOff>53340</xdr:rowOff>
    </xdr:from>
    <xdr:to>
      <xdr:col>15</xdr:col>
      <xdr:colOff>586740</xdr:colOff>
      <xdr:row>16</xdr:row>
      <xdr:rowOff>53340</xdr:rowOff>
    </xdr:to>
    <xdr:graphicFrame macro="">
      <xdr:nvGraphicFramePr>
        <xdr:cNvPr id="12" name="Chart 11">
          <a:extLst>
            <a:ext uri="{FF2B5EF4-FFF2-40B4-BE49-F238E27FC236}">
              <a16:creationId xmlns:a16="http://schemas.microsoft.com/office/drawing/2014/main" id="{8DC6179E-08B2-480D-B99D-6C14E2ED6FE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342900</xdr:colOff>
      <xdr:row>9</xdr:row>
      <xdr:rowOff>76200</xdr:rowOff>
    </xdr:from>
    <xdr:to>
      <xdr:col>15</xdr:col>
      <xdr:colOff>38100</xdr:colOff>
      <xdr:row>11</xdr:row>
      <xdr:rowOff>160020</xdr:rowOff>
    </xdr:to>
    <xdr:sp macro="" textlink="Processing!S3">
      <xdr:nvSpPr>
        <xdr:cNvPr id="13" name="TextBox 12">
          <a:extLst>
            <a:ext uri="{FF2B5EF4-FFF2-40B4-BE49-F238E27FC236}">
              <a16:creationId xmlns:a16="http://schemas.microsoft.com/office/drawing/2014/main" id="{733B3A91-98BD-4868-B8A4-F0CB099A2297}"/>
            </a:ext>
          </a:extLst>
        </xdr:cNvPr>
        <xdr:cNvSpPr txBox="1"/>
      </xdr:nvSpPr>
      <xdr:spPr>
        <a:xfrm>
          <a:off x="8267700" y="1722120"/>
          <a:ext cx="914400" cy="4495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E76BA41-C5AD-4A6D-8F20-94D5DF0D5944}" type="TxLink">
            <a:rPr lang="en-US" sz="2800" b="0" i="0" u="none" strike="noStrike">
              <a:solidFill>
                <a:srgbClr val="455177"/>
              </a:solidFill>
              <a:latin typeface="Aptos Narrow"/>
            </a:rPr>
            <a:pPr algn="ctr"/>
            <a:t>64%</a:t>
          </a:fld>
          <a:endParaRPr lang="ru-RU" sz="2800">
            <a:solidFill>
              <a:srgbClr val="455177"/>
            </a:solidFill>
          </a:endParaRPr>
        </a:p>
      </xdr:txBody>
    </xdr:sp>
    <xdr:clientData/>
  </xdr:twoCellAnchor>
  <xdr:twoCellAnchor>
    <xdr:from>
      <xdr:col>13</xdr:col>
      <xdr:colOff>342900</xdr:colOff>
      <xdr:row>10</xdr:row>
      <xdr:rowOff>167640</xdr:rowOff>
    </xdr:from>
    <xdr:to>
      <xdr:col>15</xdr:col>
      <xdr:colOff>38100</xdr:colOff>
      <xdr:row>13</xdr:row>
      <xdr:rowOff>68580</xdr:rowOff>
    </xdr:to>
    <xdr:sp macro="" textlink="Processing!S1">
      <xdr:nvSpPr>
        <xdr:cNvPr id="14" name="TextBox 13">
          <a:extLst>
            <a:ext uri="{FF2B5EF4-FFF2-40B4-BE49-F238E27FC236}">
              <a16:creationId xmlns:a16="http://schemas.microsoft.com/office/drawing/2014/main" id="{B8F34C80-D7F7-49D9-96E5-3D426554913F}"/>
            </a:ext>
          </a:extLst>
        </xdr:cNvPr>
        <xdr:cNvSpPr txBox="1"/>
      </xdr:nvSpPr>
      <xdr:spPr>
        <a:xfrm>
          <a:off x="8267700" y="1996440"/>
          <a:ext cx="914400" cy="4495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F56BAA3-B378-48FE-B598-FF2C3B2AC85A}" type="TxLink">
            <a:rPr lang="en-US" sz="1400" b="0" i="0" u="none" strike="noStrike">
              <a:solidFill>
                <a:srgbClr val="455177"/>
              </a:solidFill>
              <a:latin typeface="Aptos Narrow"/>
            </a:rPr>
            <a:pPr algn="ctr"/>
            <a:t>Budget</a:t>
          </a:fld>
          <a:endParaRPr lang="ru-RU" sz="3600" b="0">
            <a:solidFill>
              <a:srgbClr val="455177"/>
            </a:solidFill>
          </a:endParaRPr>
        </a:p>
      </xdr:txBody>
    </xdr:sp>
    <xdr:clientData/>
  </xdr:twoCellAnchor>
  <xdr:twoCellAnchor>
    <xdr:from>
      <xdr:col>16</xdr:col>
      <xdr:colOff>0</xdr:colOff>
      <xdr:row>5</xdr:row>
      <xdr:rowOff>22860</xdr:rowOff>
    </xdr:from>
    <xdr:to>
      <xdr:col>20</xdr:col>
      <xdr:colOff>83820</xdr:colOff>
      <xdr:row>16</xdr:row>
      <xdr:rowOff>114300</xdr:rowOff>
    </xdr:to>
    <xdr:sp macro="" textlink="">
      <xdr:nvSpPr>
        <xdr:cNvPr id="15" name="Rectangle: Rounded Corners 14">
          <a:extLst>
            <a:ext uri="{FF2B5EF4-FFF2-40B4-BE49-F238E27FC236}">
              <a16:creationId xmlns:a16="http://schemas.microsoft.com/office/drawing/2014/main" id="{2D44BFF7-E6EF-41B9-AB8D-92C6F48339B4}"/>
            </a:ext>
          </a:extLst>
        </xdr:cNvPr>
        <xdr:cNvSpPr/>
      </xdr:nvSpPr>
      <xdr:spPr>
        <a:xfrm>
          <a:off x="9753600" y="937260"/>
          <a:ext cx="2522220" cy="2103120"/>
        </a:xfrm>
        <a:prstGeom prst="roundRect">
          <a:avLst>
            <a:gd name="adj" fmla="val 7028"/>
          </a:avLst>
        </a:prstGeom>
        <a:solidFill>
          <a:srgbClr val="F0F4FE"/>
        </a:solidFill>
        <a:ln w="9525">
          <a:noFill/>
        </a:ln>
        <a:effectLst>
          <a:innerShdw blurRad="381000">
            <a:srgbClr val="159BFF">
              <a:alpha val="30000"/>
            </a:srgbClr>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ru-RU" sz="1100">
            <a:solidFill>
              <a:schemeClr val="lt1"/>
            </a:solidFill>
            <a:latin typeface="+mn-lt"/>
            <a:ea typeface="+mn-ea"/>
            <a:cs typeface="+mn-cs"/>
          </a:endParaRPr>
        </a:p>
      </xdr:txBody>
    </xdr:sp>
    <xdr:clientData/>
  </xdr:twoCellAnchor>
  <xdr:twoCellAnchor>
    <xdr:from>
      <xdr:col>16</xdr:col>
      <xdr:colOff>22860</xdr:colOff>
      <xdr:row>6</xdr:row>
      <xdr:rowOff>144780</xdr:rowOff>
    </xdr:from>
    <xdr:to>
      <xdr:col>20</xdr:col>
      <xdr:colOff>53340</xdr:colOff>
      <xdr:row>17</xdr:row>
      <xdr:rowOff>144780</xdr:rowOff>
    </xdr:to>
    <xdr:graphicFrame macro="">
      <xdr:nvGraphicFramePr>
        <xdr:cNvPr id="16" name="Chart 15">
          <a:extLst>
            <a:ext uri="{FF2B5EF4-FFF2-40B4-BE49-F238E27FC236}">
              <a16:creationId xmlns:a16="http://schemas.microsoft.com/office/drawing/2014/main" id="{7660C8BE-EFC2-4735-BB45-27ED15DE142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16</xdr:col>
      <xdr:colOff>76200</xdr:colOff>
      <xdr:row>5</xdr:row>
      <xdr:rowOff>144780</xdr:rowOff>
    </xdr:from>
    <xdr:to>
      <xdr:col>20</xdr:col>
      <xdr:colOff>22860</xdr:colOff>
      <xdr:row>7</xdr:row>
      <xdr:rowOff>53340</xdr:rowOff>
    </xdr:to>
    <xdr:sp macro="" textlink="">
      <xdr:nvSpPr>
        <xdr:cNvPr id="17" name="TextBox 16">
          <a:extLst>
            <a:ext uri="{FF2B5EF4-FFF2-40B4-BE49-F238E27FC236}">
              <a16:creationId xmlns:a16="http://schemas.microsoft.com/office/drawing/2014/main" id="{A4631A0D-EBF3-40D2-8122-16D77BFE1D89}"/>
            </a:ext>
          </a:extLst>
        </xdr:cNvPr>
        <xdr:cNvSpPr txBox="1"/>
      </xdr:nvSpPr>
      <xdr:spPr>
        <a:xfrm>
          <a:off x="9829800" y="1059180"/>
          <a:ext cx="238506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100">
              <a:solidFill>
                <a:srgbClr val="FF6CFF"/>
              </a:solidFill>
            </a:rPr>
            <a:t>SU  </a:t>
          </a:r>
          <a:r>
            <a:rPr lang="en-US" sz="1100">
              <a:solidFill>
                <a:srgbClr val="0062C4"/>
              </a:solidFill>
            </a:rPr>
            <a:t>     MO       TU      WE      TH       FR       </a:t>
          </a:r>
          <a:r>
            <a:rPr lang="en-US" sz="1100">
              <a:solidFill>
                <a:srgbClr val="FF6CFF"/>
              </a:solidFill>
            </a:rPr>
            <a:t>SA</a:t>
          </a:r>
        </a:p>
      </xdr:txBody>
    </xdr:sp>
    <xdr:clientData/>
  </xdr:twoCellAnchor>
  <xdr:twoCellAnchor>
    <xdr:from>
      <xdr:col>3</xdr:col>
      <xdr:colOff>495300</xdr:colOff>
      <xdr:row>28</xdr:row>
      <xdr:rowOff>0</xdr:rowOff>
    </xdr:from>
    <xdr:to>
      <xdr:col>12</xdr:col>
      <xdr:colOff>83820</xdr:colOff>
      <xdr:row>36</xdr:row>
      <xdr:rowOff>91440</xdr:rowOff>
    </xdr:to>
    <xdr:graphicFrame macro="">
      <xdr:nvGraphicFramePr>
        <xdr:cNvPr id="18" name="Chart 17">
          <a:extLst>
            <a:ext uri="{FF2B5EF4-FFF2-40B4-BE49-F238E27FC236}">
              <a16:creationId xmlns:a16="http://schemas.microsoft.com/office/drawing/2014/main" id="{8279AD67-1FB9-4C1D-B3F6-9A8DF7BB714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12</xdr:col>
      <xdr:colOff>343967</xdr:colOff>
      <xdr:row>19</xdr:row>
      <xdr:rowOff>91440</xdr:rowOff>
    </xdr:from>
    <xdr:to>
      <xdr:col>16</xdr:col>
      <xdr:colOff>191567</xdr:colOff>
      <xdr:row>28</xdr:row>
      <xdr:rowOff>0</xdr:rowOff>
    </xdr:to>
    <xdr:graphicFrame macro="">
      <xdr:nvGraphicFramePr>
        <xdr:cNvPr id="19" name="Chart 18">
          <a:extLst>
            <a:ext uri="{FF2B5EF4-FFF2-40B4-BE49-F238E27FC236}">
              <a16:creationId xmlns:a16="http://schemas.microsoft.com/office/drawing/2014/main" id="{CA2F003C-334E-4902-880E-323E1804F41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12</xdr:col>
      <xdr:colOff>320040</xdr:colOff>
      <xdr:row>27</xdr:row>
      <xdr:rowOff>167640</xdr:rowOff>
    </xdr:from>
    <xdr:to>
      <xdr:col>16</xdr:col>
      <xdr:colOff>167640</xdr:colOff>
      <xdr:row>35</xdr:row>
      <xdr:rowOff>76200</xdr:rowOff>
    </xdr:to>
    <xdr:graphicFrame macro="">
      <xdr:nvGraphicFramePr>
        <xdr:cNvPr id="20" name="Chart 19">
          <a:extLst>
            <a:ext uri="{FF2B5EF4-FFF2-40B4-BE49-F238E27FC236}">
              <a16:creationId xmlns:a16="http://schemas.microsoft.com/office/drawing/2014/main" id="{1B0C9DDE-6226-4F50-B9D4-F031B49A3FB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16</xdr:col>
      <xdr:colOff>502920</xdr:colOff>
      <xdr:row>19</xdr:row>
      <xdr:rowOff>76200</xdr:rowOff>
    </xdr:from>
    <xdr:to>
      <xdr:col>20</xdr:col>
      <xdr:colOff>76200</xdr:colOff>
      <xdr:row>30</xdr:row>
      <xdr:rowOff>76200</xdr:rowOff>
    </xdr:to>
    <xdr:grpSp>
      <xdr:nvGrpSpPr>
        <xdr:cNvPr id="21" name="Group 20">
          <a:extLst>
            <a:ext uri="{FF2B5EF4-FFF2-40B4-BE49-F238E27FC236}">
              <a16:creationId xmlns:a16="http://schemas.microsoft.com/office/drawing/2014/main" id="{428CE7CA-F5D5-483E-814A-F6596CE19921}"/>
            </a:ext>
          </a:extLst>
        </xdr:cNvPr>
        <xdr:cNvGrpSpPr/>
      </xdr:nvGrpSpPr>
      <xdr:grpSpPr>
        <a:xfrm>
          <a:off x="10324253" y="3695700"/>
          <a:ext cx="2028614" cy="2095500"/>
          <a:chOff x="10287000" y="3314700"/>
          <a:chExt cx="2011680" cy="2011680"/>
        </a:xfrm>
      </xdr:grpSpPr>
      <xdr:graphicFrame macro="">
        <xdr:nvGraphicFramePr>
          <xdr:cNvPr id="22" name="Chart 21">
            <a:extLst>
              <a:ext uri="{FF2B5EF4-FFF2-40B4-BE49-F238E27FC236}">
                <a16:creationId xmlns:a16="http://schemas.microsoft.com/office/drawing/2014/main" id="{F6F883A6-3A32-E1FA-F8E0-1AAC391C56F2}"/>
              </a:ext>
            </a:extLst>
          </xdr:cNvPr>
          <xdr:cNvGraphicFramePr>
            <a:graphicFrameLocks/>
          </xdr:cNvGraphicFramePr>
        </xdr:nvGraphicFramePr>
        <xdr:xfrm>
          <a:off x="10424160" y="3451860"/>
          <a:ext cx="1737360" cy="1737360"/>
        </xdr:xfrm>
        <a:graphic>
          <a:graphicData uri="http://schemas.openxmlformats.org/drawingml/2006/chart">
            <c:chart xmlns:c="http://schemas.openxmlformats.org/drawingml/2006/chart" xmlns:r="http://schemas.openxmlformats.org/officeDocument/2006/relationships" r:id="rId8"/>
          </a:graphicData>
        </a:graphic>
      </xdr:graphicFrame>
      <xdr:graphicFrame macro="">
        <xdr:nvGraphicFramePr>
          <xdr:cNvPr id="23" name="Chart 22">
            <a:extLst>
              <a:ext uri="{FF2B5EF4-FFF2-40B4-BE49-F238E27FC236}">
                <a16:creationId xmlns:a16="http://schemas.microsoft.com/office/drawing/2014/main" id="{AA8675F1-D049-C7D8-1E97-93DFB5A79F7A}"/>
              </a:ext>
            </a:extLst>
          </xdr:cNvPr>
          <xdr:cNvGraphicFramePr>
            <a:graphicFrameLocks/>
          </xdr:cNvGraphicFramePr>
        </xdr:nvGraphicFramePr>
        <xdr:xfrm>
          <a:off x="10287000" y="3314700"/>
          <a:ext cx="2011680" cy="2011680"/>
        </xdr:xfrm>
        <a:graphic>
          <a:graphicData uri="http://schemas.openxmlformats.org/drawingml/2006/chart">
            <c:chart xmlns:c="http://schemas.openxmlformats.org/drawingml/2006/chart" xmlns:r="http://schemas.openxmlformats.org/officeDocument/2006/relationships" r:id="rId9"/>
          </a:graphicData>
        </a:graphic>
      </xdr:graphicFrame>
    </xdr:grpSp>
    <xdr:clientData/>
  </xdr:twoCellAnchor>
  <xdr:twoCellAnchor>
    <xdr:from>
      <xdr:col>16</xdr:col>
      <xdr:colOff>485018</xdr:colOff>
      <xdr:row>28</xdr:row>
      <xdr:rowOff>152400</xdr:rowOff>
    </xdr:from>
    <xdr:to>
      <xdr:col>20</xdr:col>
      <xdr:colOff>58298</xdr:colOff>
      <xdr:row>35</xdr:row>
      <xdr:rowOff>99060</xdr:rowOff>
    </xdr:to>
    <xdr:graphicFrame macro="">
      <xdr:nvGraphicFramePr>
        <xdr:cNvPr id="24" name="Chart 23">
          <a:extLst>
            <a:ext uri="{FF2B5EF4-FFF2-40B4-BE49-F238E27FC236}">
              <a16:creationId xmlns:a16="http://schemas.microsoft.com/office/drawing/2014/main" id="{0EAF9379-953D-4685-9F85-0BA7ABBBE1F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oneCell">
    <xdr:from>
      <xdr:col>12</xdr:col>
      <xdr:colOff>419100</xdr:colOff>
      <xdr:row>35</xdr:row>
      <xdr:rowOff>0</xdr:rowOff>
    </xdr:from>
    <xdr:to>
      <xdr:col>16</xdr:col>
      <xdr:colOff>83820</xdr:colOff>
      <xdr:row>37</xdr:row>
      <xdr:rowOff>64008</xdr:rowOff>
    </xdr:to>
    <mc:AlternateContent xmlns:mc="http://schemas.openxmlformats.org/markup-compatibility/2006" xmlns:a14="http://schemas.microsoft.com/office/drawing/2010/main">
      <mc:Choice Requires="a14">
        <xdr:graphicFrame macro="">
          <xdr:nvGraphicFramePr>
            <xdr:cNvPr id="25" name="Year 4">
              <a:extLst>
                <a:ext uri="{FF2B5EF4-FFF2-40B4-BE49-F238E27FC236}">
                  <a16:creationId xmlns:a16="http://schemas.microsoft.com/office/drawing/2014/main" id="{696CA70E-6DCD-4913-8B33-339A17DEB12D}"/>
                </a:ext>
              </a:extLst>
            </xdr:cNvPr>
            <xdr:cNvGraphicFramePr/>
          </xdr:nvGraphicFramePr>
          <xdr:xfrm>
            <a:off x="0" y="0"/>
            <a:ext cx="0" cy="0"/>
          </xdr:xfrm>
          <a:graphic>
            <a:graphicData uri="http://schemas.microsoft.com/office/drawing/2010/slicer">
              <sle:slicer xmlns:sle="http://schemas.microsoft.com/office/drawing/2010/slicer" name="Year 4"/>
            </a:graphicData>
          </a:graphic>
        </xdr:graphicFrame>
      </mc:Choice>
      <mc:Fallback xmlns="">
        <xdr:sp macro="" textlink="">
          <xdr:nvSpPr>
            <xdr:cNvPr id="0" name=""/>
            <xdr:cNvSpPr>
              <a:spLocks noTextEdit="1"/>
            </xdr:cNvSpPr>
          </xdr:nvSpPr>
          <xdr:spPr>
            <a:xfrm>
              <a:off x="7734300" y="6400800"/>
              <a:ext cx="2103120" cy="429768"/>
            </a:xfrm>
            <a:prstGeom prst="rect">
              <a:avLst/>
            </a:prstGeom>
            <a:solidFill>
              <a:prstClr val="white"/>
            </a:solidFill>
            <a:ln w="1">
              <a:solidFill>
                <a:prstClr val="green"/>
              </a:solidFill>
            </a:ln>
          </xdr:spPr>
          <xdr:txBody>
            <a:bodyPr vertOverflow="clip" horzOverflow="clip"/>
            <a:lstStyle/>
            <a:p>
              <a:r>
                <a:rPr lang="ru-R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236220</xdr:colOff>
      <xdr:row>35</xdr:row>
      <xdr:rowOff>0</xdr:rowOff>
    </xdr:from>
    <xdr:to>
      <xdr:col>12</xdr:col>
      <xdr:colOff>22860</xdr:colOff>
      <xdr:row>37</xdr:row>
      <xdr:rowOff>64008</xdr:rowOff>
    </xdr:to>
    <mc:AlternateContent xmlns:mc="http://schemas.openxmlformats.org/markup-compatibility/2006" xmlns:a14="http://schemas.microsoft.com/office/drawing/2010/main">
      <mc:Choice Requires="a14">
        <xdr:graphicFrame macro="">
          <xdr:nvGraphicFramePr>
            <xdr:cNvPr id="26" name="Month 4">
              <a:extLst>
                <a:ext uri="{FF2B5EF4-FFF2-40B4-BE49-F238E27FC236}">
                  <a16:creationId xmlns:a16="http://schemas.microsoft.com/office/drawing/2014/main" id="{20640E71-A63E-4367-81B5-8BA51BBAC551}"/>
                </a:ext>
              </a:extLst>
            </xdr:cNvPr>
            <xdr:cNvGraphicFramePr/>
          </xdr:nvGraphicFramePr>
          <xdr:xfrm>
            <a:off x="0" y="0"/>
            <a:ext cx="0" cy="0"/>
          </xdr:xfrm>
          <a:graphic>
            <a:graphicData uri="http://schemas.microsoft.com/office/drawing/2010/slicer">
              <sle:slicer xmlns:sle="http://schemas.microsoft.com/office/drawing/2010/slicer" name="Month 4"/>
            </a:graphicData>
          </a:graphic>
        </xdr:graphicFrame>
      </mc:Choice>
      <mc:Fallback xmlns="">
        <xdr:sp macro="" textlink="">
          <xdr:nvSpPr>
            <xdr:cNvPr id="0" name=""/>
            <xdr:cNvSpPr>
              <a:spLocks noTextEdit="1"/>
            </xdr:cNvSpPr>
          </xdr:nvSpPr>
          <xdr:spPr>
            <a:xfrm>
              <a:off x="2674620" y="6400800"/>
              <a:ext cx="4663440" cy="429768"/>
            </a:xfrm>
            <a:prstGeom prst="rect">
              <a:avLst/>
            </a:prstGeom>
            <a:solidFill>
              <a:prstClr val="white"/>
            </a:solidFill>
            <a:ln w="1">
              <a:solidFill>
                <a:prstClr val="green"/>
              </a:solidFill>
            </a:ln>
          </xdr:spPr>
          <xdr:txBody>
            <a:bodyPr vertOverflow="clip" horzOverflow="clip"/>
            <a:lstStyle/>
            <a:p>
              <a:r>
                <a:rPr lang="ru-R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500638</xdr:colOff>
      <xdr:row>27</xdr:row>
      <xdr:rowOff>2758</xdr:rowOff>
    </xdr:from>
    <xdr:to>
      <xdr:col>10</xdr:col>
      <xdr:colOff>108963</xdr:colOff>
      <xdr:row>28</xdr:row>
      <xdr:rowOff>50583</xdr:rowOff>
    </xdr:to>
    <xdr:sp macro="" textlink="Processing!F30">
      <xdr:nvSpPr>
        <xdr:cNvPr id="27" name="TextBox 26">
          <a:extLst>
            <a:ext uri="{FF2B5EF4-FFF2-40B4-BE49-F238E27FC236}">
              <a16:creationId xmlns:a16="http://schemas.microsoft.com/office/drawing/2014/main" id="{91CB7DD1-6B52-47AE-9919-7D8B487AB8ED}"/>
            </a:ext>
          </a:extLst>
        </xdr:cNvPr>
        <xdr:cNvSpPr txBox="1"/>
      </xdr:nvSpPr>
      <xdr:spPr>
        <a:xfrm>
          <a:off x="5377438" y="4940518"/>
          <a:ext cx="827525" cy="2307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F39BE783-B392-4D7C-8C2A-EEB34489B994}" type="TxLink">
            <a:rPr lang="en-US" sz="1200" b="0" i="0" u="none" strike="noStrike">
              <a:solidFill>
                <a:srgbClr val="FF00FF"/>
              </a:solidFill>
              <a:latin typeface="Aptos Narrow"/>
              <a:ea typeface="+mn-ea"/>
              <a:cs typeface="+mn-cs"/>
            </a:rPr>
            <a:pPr marL="0" indent="0" algn="l"/>
            <a:t> $10,302 </a:t>
          </a:fld>
          <a:endParaRPr lang="ru-RU" sz="2000" b="0" i="0" u="none" strike="noStrike">
            <a:solidFill>
              <a:srgbClr val="FF00FF"/>
            </a:solidFill>
            <a:latin typeface="Aptos Narrow"/>
            <a:ea typeface="+mn-ea"/>
            <a:cs typeface="+mn-cs"/>
          </a:endParaRPr>
        </a:p>
      </xdr:txBody>
    </xdr:sp>
    <xdr:clientData/>
  </xdr:twoCellAnchor>
  <xdr:twoCellAnchor>
    <xdr:from>
      <xdr:col>5</xdr:col>
      <xdr:colOff>348238</xdr:colOff>
      <xdr:row>27</xdr:row>
      <xdr:rowOff>2758</xdr:rowOff>
    </xdr:from>
    <xdr:to>
      <xdr:col>6</xdr:col>
      <xdr:colOff>566163</xdr:colOff>
      <xdr:row>28</xdr:row>
      <xdr:rowOff>50583</xdr:rowOff>
    </xdr:to>
    <xdr:sp macro="" textlink="Processing!E30">
      <xdr:nvSpPr>
        <xdr:cNvPr id="28" name="TextBox 27">
          <a:extLst>
            <a:ext uri="{FF2B5EF4-FFF2-40B4-BE49-F238E27FC236}">
              <a16:creationId xmlns:a16="http://schemas.microsoft.com/office/drawing/2014/main" id="{D0503265-0474-4443-85C8-E14F0104AC85}"/>
            </a:ext>
          </a:extLst>
        </xdr:cNvPr>
        <xdr:cNvSpPr txBox="1"/>
      </xdr:nvSpPr>
      <xdr:spPr>
        <a:xfrm>
          <a:off x="3396238" y="4940518"/>
          <a:ext cx="827525" cy="2307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6228063D-045F-42D2-9E29-4ADE8D5D219F}" type="TxLink">
            <a:rPr lang="en-US" sz="1200" b="0" i="0" u="none" strike="noStrike">
              <a:solidFill>
                <a:srgbClr val="178BFF"/>
              </a:solidFill>
              <a:latin typeface="Aptos Narrow"/>
              <a:ea typeface="+mn-ea"/>
              <a:cs typeface="+mn-cs"/>
            </a:rPr>
            <a:pPr marL="0" indent="0" algn="r"/>
            <a:t> $12,533 </a:t>
          </a:fld>
          <a:endParaRPr lang="ru-RU" sz="2400" b="0" i="0" u="none" strike="noStrike">
            <a:solidFill>
              <a:srgbClr val="178BFF"/>
            </a:solidFill>
            <a:latin typeface="Aptos Narrow"/>
            <a:ea typeface="+mn-ea"/>
            <a:cs typeface="+mn-cs"/>
          </a:endParaRPr>
        </a:p>
      </xdr:txBody>
    </xdr:sp>
    <xdr:clientData/>
  </xdr:twoCellAnchor>
  <xdr:twoCellAnchor editAs="oneCell">
    <xdr:from>
      <xdr:col>16</xdr:col>
      <xdr:colOff>530738</xdr:colOff>
      <xdr:row>35</xdr:row>
      <xdr:rowOff>0</xdr:rowOff>
    </xdr:from>
    <xdr:to>
      <xdr:col>20</xdr:col>
      <xdr:colOff>12578</xdr:colOff>
      <xdr:row>37</xdr:row>
      <xdr:rowOff>64008</xdr:rowOff>
    </xdr:to>
    <mc:AlternateContent xmlns:mc="http://schemas.openxmlformats.org/markup-compatibility/2006" xmlns:a14="http://schemas.microsoft.com/office/drawing/2010/main">
      <mc:Choice Requires="a14">
        <xdr:graphicFrame macro="">
          <xdr:nvGraphicFramePr>
            <xdr:cNvPr id="29" name="Buttons 5">
              <a:extLst>
                <a:ext uri="{FF2B5EF4-FFF2-40B4-BE49-F238E27FC236}">
                  <a16:creationId xmlns:a16="http://schemas.microsoft.com/office/drawing/2014/main" id="{6DE20800-29A7-4C8F-B413-E12354EBE949}"/>
                </a:ext>
              </a:extLst>
            </xdr:cNvPr>
            <xdr:cNvGraphicFramePr/>
          </xdr:nvGraphicFramePr>
          <xdr:xfrm>
            <a:off x="0" y="0"/>
            <a:ext cx="0" cy="0"/>
          </xdr:xfrm>
          <a:graphic>
            <a:graphicData uri="http://schemas.microsoft.com/office/drawing/2010/slicer">
              <sle:slicer xmlns:sle="http://schemas.microsoft.com/office/drawing/2010/slicer" name="Buttons 5"/>
            </a:graphicData>
          </a:graphic>
        </xdr:graphicFrame>
      </mc:Choice>
      <mc:Fallback xmlns="">
        <xdr:sp macro="" textlink="">
          <xdr:nvSpPr>
            <xdr:cNvPr id="0" name=""/>
            <xdr:cNvSpPr>
              <a:spLocks noTextEdit="1"/>
            </xdr:cNvSpPr>
          </xdr:nvSpPr>
          <xdr:spPr>
            <a:xfrm>
              <a:off x="10284338" y="6400800"/>
              <a:ext cx="1920240" cy="429768"/>
            </a:xfrm>
            <a:prstGeom prst="rect">
              <a:avLst/>
            </a:prstGeom>
            <a:solidFill>
              <a:prstClr val="white"/>
            </a:solidFill>
            <a:ln w="1">
              <a:solidFill>
                <a:prstClr val="green"/>
              </a:solidFill>
            </a:ln>
          </xdr:spPr>
          <xdr:txBody>
            <a:bodyPr vertOverflow="clip" horzOverflow="clip"/>
            <a:lstStyle/>
            <a:p>
              <a:r>
                <a:rPr lang="ru-R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16</xdr:col>
      <xdr:colOff>108357</xdr:colOff>
      <xdr:row>7</xdr:row>
      <xdr:rowOff>72390</xdr:rowOff>
    </xdr:from>
    <xdr:to>
      <xdr:col>19</xdr:col>
      <xdr:colOff>592684</xdr:colOff>
      <xdr:row>15</xdr:row>
      <xdr:rowOff>156210</xdr:rowOff>
    </xdr:to>
    <xdr:grpSp>
      <xdr:nvGrpSpPr>
        <xdr:cNvPr id="30" name="Group 29">
          <a:extLst>
            <a:ext uri="{FF2B5EF4-FFF2-40B4-BE49-F238E27FC236}">
              <a16:creationId xmlns:a16="http://schemas.microsoft.com/office/drawing/2014/main" id="{D3846562-2B23-423E-850E-ED39333755F4}"/>
            </a:ext>
          </a:extLst>
        </xdr:cNvPr>
        <xdr:cNvGrpSpPr/>
      </xdr:nvGrpSpPr>
      <xdr:grpSpPr>
        <a:xfrm>
          <a:off x="9929690" y="1405890"/>
          <a:ext cx="2325827" cy="1607820"/>
          <a:chOff x="9861957" y="1352550"/>
          <a:chExt cx="2313127" cy="1546860"/>
        </a:xfrm>
      </xdr:grpSpPr>
      <xdr:sp macro="" textlink="Processing!K18">
        <xdr:nvSpPr>
          <xdr:cNvPr id="31" name="TextBox 30">
            <a:extLst>
              <a:ext uri="{FF2B5EF4-FFF2-40B4-BE49-F238E27FC236}">
                <a16:creationId xmlns:a16="http://schemas.microsoft.com/office/drawing/2014/main" id="{2D015271-CD9E-C74F-9334-AEDDBDA060E6}"/>
              </a:ext>
            </a:extLst>
          </xdr:cNvPr>
          <xdr:cNvSpPr txBox="1"/>
        </xdr:nvSpPr>
        <xdr:spPr>
          <a:xfrm>
            <a:off x="9890760" y="1352550"/>
            <a:ext cx="27432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D3E7255-CADA-4230-BD23-D54321216D7F}" type="TxLink">
              <a:rPr lang="en-US" sz="1100" b="0" i="0" u="none" strike="noStrike">
                <a:solidFill>
                  <a:schemeClr val="bg1"/>
                </a:solidFill>
                <a:latin typeface="Aptos Narrow"/>
              </a:rPr>
              <a:pPr algn="ctr"/>
              <a:t> </a:t>
            </a:fld>
            <a:endParaRPr lang="ru-RU" sz="1100">
              <a:solidFill>
                <a:schemeClr val="bg1"/>
              </a:solidFill>
            </a:endParaRPr>
          </a:p>
        </xdr:txBody>
      </xdr:sp>
      <xdr:sp macro="" textlink="Processing!L18">
        <xdr:nvSpPr>
          <xdr:cNvPr id="32" name="TextBox 31">
            <a:extLst>
              <a:ext uri="{FF2B5EF4-FFF2-40B4-BE49-F238E27FC236}">
                <a16:creationId xmlns:a16="http://schemas.microsoft.com/office/drawing/2014/main" id="{C4387222-DDA3-BAAC-7619-B24FE2C7A1A7}"/>
              </a:ext>
            </a:extLst>
          </xdr:cNvPr>
          <xdr:cNvSpPr txBox="1"/>
        </xdr:nvSpPr>
        <xdr:spPr>
          <a:xfrm>
            <a:off x="10220960" y="1352550"/>
            <a:ext cx="27432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1C6F21F-FDF9-4379-8CF8-B6BD162D0F3A}" type="TxLink">
              <a:rPr lang="en-US" sz="1100" b="0" i="0" u="none" strike="noStrike">
                <a:solidFill>
                  <a:schemeClr val="bg1"/>
                </a:solidFill>
                <a:latin typeface="Aptos Narrow"/>
              </a:rPr>
              <a:pPr algn="ctr"/>
              <a:t> </a:t>
            </a:fld>
            <a:endParaRPr lang="ru-RU" sz="1100">
              <a:solidFill>
                <a:schemeClr val="bg1"/>
              </a:solidFill>
            </a:endParaRPr>
          </a:p>
        </xdr:txBody>
      </xdr:sp>
      <xdr:sp macro="" textlink="Processing!M18">
        <xdr:nvSpPr>
          <xdr:cNvPr id="33" name="TextBox 32">
            <a:extLst>
              <a:ext uri="{FF2B5EF4-FFF2-40B4-BE49-F238E27FC236}">
                <a16:creationId xmlns:a16="http://schemas.microsoft.com/office/drawing/2014/main" id="{7E84BF24-A0AC-7292-3F3C-9D75941DF3F6}"/>
              </a:ext>
            </a:extLst>
          </xdr:cNvPr>
          <xdr:cNvSpPr txBox="1"/>
        </xdr:nvSpPr>
        <xdr:spPr>
          <a:xfrm>
            <a:off x="10551160" y="1352550"/>
            <a:ext cx="27432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1610ED9-FE00-40BD-8F7F-81F57958080E}" type="TxLink">
              <a:rPr lang="en-US" sz="1100" b="0" i="0" u="none" strike="noStrike">
                <a:solidFill>
                  <a:schemeClr val="bg1"/>
                </a:solidFill>
                <a:latin typeface="Aptos Narrow"/>
              </a:rPr>
              <a:pPr algn="ctr"/>
              <a:t> </a:t>
            </a:fld>
            <a:endParaRPr lang="ru-RU" sz="1100">
              <a:solidFill>
                <a:schemeClr val="bg1"/>
              </a:solidFill>
            </a:endParaRPr>
          </a:p>
        </xdr:txBody>
      </xdr:sp>
      <xdr:sp macro="" textlink="Processing!N18">
        <xdr:nvSpPr>
          <xdr:cNvPr id="34" name="TextBox 33">
            <a:extLst>
              <a:ext uri="{FF2B5EF4-FFF2-40B4-BE49-F238E27FC236}">
                <a16:creationId xmlns:a16="http://schemas.microsoft.com/office/drawing/2014/main" id="{24080A5D-DA0C-6E0B-53D7-408A050649ED}"/>
              </a:ext>
            </a:extLst>
          </xdr:cNvPr>
          <xdr:cNvSpPr txBox="1"/>
        </xdr:nvSpPr>
        <xdr:spPr>
          <a:xfrm>
            <a:off x="10881360" y="1352550"/>
            <a:ext cx="27432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0821B4C-4BAA-44F2-AE44-CF18588BA78E}" type="TxLink">
              <a:rPr lang="en-US" sz="1100" b="0" i="0" u="none" strike="noStrike">
                <a:solidFill>
                  <a:schemeClr val="bg1"/>
                </a:solidFill>
                <a:latin typeface="Aptos Narrow"/>
              </a:rPr>
              <a:pPr algn="ctr"/>
              <a:t> </a:t>
            </a:fld>
            <a:endParaRPr lang="ru-RU" sz="1100">
              <a:solidFill>
                <a:schemeClr val="bg1"/>
              </a:solidFill>
            </a:endParaRPr>
          </a:p>
        </xdr:txBody>
      </xdr:sp>
      <xdr:sp macro="" textlink="Processing!O18">
        <xdr:nvSpPr>
          <xdr:cNvPr id="35" name="TextBox 34">
            <a:extLst>
              <a:ext uri="{FF2B5EF4-FFF2-40B4-BE49-F238E27FC236}">
                <a16:creationId xmlns:a16="http://schemas.microsoft.com/office/drawing/2014/main" id="{D620A141-113B-B272-0B52-6C0610CB3000}"/>
              </a:ext>
            </a:extLst>
          </xdr:cNvPr>
          <xdr:cNvSpPr txBox="1"/>
        </xdr:nvSpPr>
        <xdr:spPr>
          <a:xfrm>
            <a:off x="11211560" y="1352550"/>
            <a:ext cx="27432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3900FCD-5EFC-4A56-8CED-011582CB3E1E}" type="TxLink">
              <a:rPr lang="en-US" sz="1100" b="0" i="0" u="none" strike="noStrike">
                <a:solidFill>
                  <a:schemeClr val="bg1"/>
                </a:solidFill>
                <a:latin typeface="Aptos Narrow"/>
              </a:rPr>
              <a:pPr algn="ctr"/>
              <a:t>1</a:t>
            </a:fld>
            <a:endParaRPr lang="ru-RU" sz="1100">
              <a:solidFill>
                <a:schemeClr val="bg1"/>
              </a:solidFill>
            </a:endParaRPr>
          </a:p>
        </xdr:txBody>
      </xdr:sp>
      <xdr:sp macro="" textlink="Processing!P18">
        <xdr:nvSpPr>
          <xdr:cNvPr id="36" name="TextBox 35">
            <a:extLst>
              <a:ext uri="{FF2B5EF4-FFF2-40B4-BE49-F238E27FC236}">
                <a16:creationId xmlns:a16="http://schemas.microsoft.com/office/drawing/2014/main" id="{FE8F54C6-2E89-1747-92ED-5F3A285943CD}"/>
              </a:ext>
            </a:extLst>
          </xdr:cNvPr>
          <xdr:cNvSpPr txBox="1"/>
        </xdr:nvSpPr>
        <xdr:spPr>
          <a:xfrm>
            <a:off x="11541760" y="1352550"/>
            <a:ext cx="27432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1C9B50A-1F2B-470C-A2CD-50A82C48B554}" type="TxLink">
              <a:rPr lang="en-US" sz="1100" b="0" i="0" u="none" strike="noStrike">
                <a:solidFill>
                  <a:schemeClr val="bg1"/>
                </a:solidFill>
                <a:latin typeface="Aptos Narrow"/>
              </a:rPr>
              <a:pPr algn="ctr"/>
              <a:t>2</a:t>
            </a:fld>
            <a:endParaRPr lang="ru-RU" sz="1100">
              <a:solidFill>
                <a:schemeClr val="bg1"/>
              </a:solidFill>
            </a:endParaRPr>
          </a:p>
        </xdr:txBody>
      </xdr:sp>
      <xdr:sp macro="" textlink="Processing!Q18">
        <xdr:nvSpPr>
          <xdr:cNvPr id="37" name="TextBox 36">
            <a:extLst>
              <a:ext uri="{FF2B5EF4-FFF2-40B4-BE49-F238E27FC236}">
                <a16:creationId xmlns:a16="http://schemas.microsoft.com/office/drawing/2014/main" id="{3335590A-D13F-6E96-D3F9-86E8183257E3}"/>
              </a:ext>
            </a:extLst>
          </xdr:cNvPr>
          <xdr:cNvSpPr txBox="1"/>
        </xdr:nvSpPr>
        <xdr:spPr>
          <a:xfrm>
            <a:off x="11871960" y="1352550"/>
            <a:ext cx="27432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2B7511D-7E23-4379-9E06-0EFB29477EA3}" type="TxLink">
              <a:rPr lang="en-US" sz="1100" b="0" i="0" u="none" strike="noStrike">
                <a:solidFill>
                  <a:schemeClr val="bg1"/>
                </a:solidFill>
                <a:latin typeface="Aptos Narrow"/>
              </a:rPr>
              <a:pPr algn="ctr"/>
              <a:t>3</a:t>
            </a:fld>
            <a:endParaRPr lang="ru-RU" sz="1100">
              <a:solidFill>
                <a:schemeClr val="bg1"/>
              </a:solidFill>
            </a:endParaRPr>
          </a:p>
        </xdr:txBody>
      </xdr:sp>
      <xdr:sp macro="" textlink="Processing!K19">
        <xdr:nvSpPr>
          <xdr:cNvPr id="38" name="TextBox 37">
            <a:extLst>
              <a:ext uri="{FF2B5EF4-FFF2-40B4-BE49-F238E27FC236}">
                <a16:creationId xmlns:a16="http://schemas.microsoft.com/office/drawing/2014/main" id="{E9FE3660-2462-F7E8-ADA7-41BD827B497D}"/>
              </a:ext>
            </a:extLst>
          </xdr:cNvPr>
          <xdr:cNvSpPr txBox="1"/>
        </xdr:nvSpPr>
        <xdr:spPr>
          <a:xfrm>
            <a:off x="9890760" y="1604010"/>
            <a:ext cx="27432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734A8F3-B214-4719-B067-7A5649E0BED0}" type="TxLink">
              <a:rPr lang="en-US" sz="1100" b="0" i="0" u="none" strike="noStrike">
                <a:solidFill>
                  <a:schemeClr val="bg1"/>
                </a:solidFill>
                <a:latin typeface="Aptos Narrow"/>
              </a:rPr>
              <a:pPr algn="ctr"/>
              <a:t>4</a:t>
            </a:fld>
            <a:endParaRPr lang="ru-RU" sz="1100">
              <a:solidFill>
                <a:schemeClr val="bg1"/>
              </a:solidFill>
            </a:endParaRPr>
          </a:p>
        </xdr:txBody>
      </xdr:sp>
      <xdr:sp macro="" textlink="Processing!L19">
        <xdr:nvSpPr>
          <xdr:cNvPr id="39" name="TextBox 38">
            <a:extLst>
              <a:ext uri="{FF2B5EF4-FFF2-40B4-BE49-F238E27FC236}">
                <a16:creationId xmlns:a16="http://schemas.microsoft.com/office/drawing/2014/main" id="{3213C2E3-72EF-EAEC-51F0-69B9FEDA7794}"/>
              </a:ext>
            </a:extLst>
          </xdr:cNvPr>
          <xdr:cNvSpPr txBox="1"/>
        </xdr:nvSpPr>
        <xdr:spPr>
          <a:xfrm>
            <a:off x="10220960" y="1604010"/>
            <a:ext cx="27432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F7073B0-31DA-4010-92B7-F7156DB1F6CD}" type="TxLink">
              <a:rPr lang="en-US" sz="1100" b="0" i="0" u="none" strike="noStrike">
                <a:solidFill>
                  <a:schemeClr val="bg1"/>
                </a:solidFill>
                <a:latin typeface="Aptos Narrow"/>
              </a:rPr>
              <a:pPr algn="ctr"/>
              <a:t>5</a:t>
            </a:fld>
            <a:endParaRPr lang="ru-RU" sz="1100">
              <a:solidFill>
                <a:schemeClr val="bg1"/>
              </a:solidFill>
            </a:endParaRPr>
          </a:p>
        </xdr:txBody>
      </xdr:sp>
      <xdr:sp macro="" textlink="Processing!M19">
        <xdr:nvSpPr>
          <xdr:cNvPr id="40" name="TextBox 39">
            <a:extLst>
              <a:ext uri="{FF2B5EF4-FFF2-40B4-BE49-F238E27FC236}">
                <a16:creationId xmlns:a16="http://schemas.microsoft.com/office/drawing/2014/main" id="{70F6C347-66BF-450F-FF83-C1F050F88A5A}"/>
              </a:ext>
            </a:extLst>
          </xdr:cNvPr>
          <xdr:cNvSpPr txBox="1"/>
        </xdr:nvSpPr>
        <xdr:spPr>
          <a:xfrm>
            <a:off x="10551160" y="1604010"/>
            <a:ext cx="27432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E4519E0-88CC-4A87-BEC0-C59796ABFC34}" type="TxLink">
              <a:rPr lang="en-US" sz="1100" b="0" i="0" u="none" strike="noStrike">
                <a:solidFill>
                  <a:schemeClr val="bg1"/>
                </a:solidFill>
                <a:latin typeface="Aptos Narrow"/>
              </a:rPr>
              <a:pPr algn="ctr"/>
              <a:t>6</a:t>
            </a:fld>
            <a:endParaRPr lang="ru-RU" sz="1100">
              <a:solidFill>
                <a:schemeClr val="bg1"/>
              </a:solidFill>
            </a:endParaRPr>
          </a:p>
        </xdr:txBody>
      </xdr:sp>
      <xdr:sp macro="" textlink="Processing!N19">
        <xdr:nvSpPr>
          <xdr:cNvPr id="41" name="TextBox 40">
            <a:extLst>
              <a:ext uri="{FF2B5EF4-FFF2-40B4-BE49-F238E27FC236}">
                <a16:creationId xmlns:a16="http://schemas.microsoft.com/office/drawing/2014/main" id="{245BB55B-C69A-1E7D-53C0-88A422708A1F}"/>
              </a:ext>
            </a:extLst>
          </xdr:cNvPr>
          <xdr:cNvSpPr txBox="1"/>
        </xdr:nvSpPr>
        <xdr:spPr>
          <a:xfrm>
            <a:off x="10881360" y="1604010"/>
            <a:ext cx="27432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4851FCB-C615-4FE3-9319-CD60603925D0}" type="TxLink">
              <a:rPr lang="en-US" sz="1100" b="0" i="0" u="none" strike="noStrike">
                <a:solidFill>
                  <a:schemeClr val="bg1"/>
                </a:solidFill>
                <a:latin typeface="Aptos Narrow"/>
              </a:rPr>
              <a:pPr algn="ctr"/>
              <a:t>7</a:t>
            </a:fld>
            <a:endParaRPr lang="ru-RU" sz="1100">
              <a:solidFill>
                <a:schemeClr val="bg1"/>
              </a:solidFill>
            </a:endParaRPr>
          </a:p>
        </xdr:txBody>
      </xdr:sp>
      <xdr:sp macro="" textlink="Processing!O19">
        <xdr:nvSpPr>
          <xdr:cNvPr id="42" name="TextBox 41">
            <a:extLst>
              <a:ext uri="{FF2B5EF4-FFF2-40B4-BE49-F238E27FC236}">
                <a16:creationId xmlns:a16="http://schemas.microsoft.com/office/drawing/2014/main" id="{B792CE4C-25C4-0315-9E73-955AA88797C2}"/>
              </a:ext>
            </a:extLst>
          </xdr:cNvPr>
          <xdr:cNvSpPr txBox="1"/>
        </xdr:nvSpPr>
        <xdr:spPr>
          <a:xfrm>
            <a:off x="11211560" y="1604010"/>
            <a:ext cx="27432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FD928CD-492E-48F0-AAD1-A041DAEAA5E6}" type="TxLink">
              <a:rPr lang="en-US" sz="1100" b="0" i="0" u="none" strike="noStrike">
                <a:solidFill>
                  <a:schemeClr val="bg1"/>
                </a:solidFill>
                <a:latin typeface="Aptos Narrow"/>
              </a:rPr>
              <a:pPr algn="ctr"/>
              <a:t>8</a:t>
            </a:fld>
            <a:endParaRPr lang="ru-RU" sz="1100">
              <a:solidFill>
                <a:schemeClr val="bg1"/>
              </a:solidFill>
            </a:endParaRPr>
          </a:p>
        </xdr:txBody>
      </xdr:sp>
      <xdr:sp macro="" textlink="Processing!P19">
        <xdr:nvSpPr>
          <xdr:cNvPr id="43" name="TextBox 42">
            <a:extLst>
              <a:ext uri="{FF2B5EF4-FFF2-40B4-BE49-F238E27FC236}">
                <a16:creationId xmlns:a16="http://schemas.microsoft.com/office/drawing/2014/main" id="{DCE35E89-8A42-5E20-425C-3631AF5E21FC}"/>
              </a:ext>
            </a:extLst>
          </xdr:cNvPr>
          <xdr:cNvSpPr txBox="1"/>
        </xdr:nvSpPr>
        <xdr:spPr>
          <a:xfrm>
            <a:off x="11541760" y="1604010"/>
            <a:ext cx="27432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ADF5C92-B1EA-4B23-93A4-EDF486955967}" type="TxLink">
              <a:rPr lang="en-US" sz="1100" b="0" i="0" u="none" strike="noStrike">
                <a:solidFill>
                  <a:schemeClr val="bg1"/>
                </a:solidFill>
                <a:latin typeface="Aptos Narrow"/>
              </a:rPr>
              <a:pPr algn="ctr"/>
              <a:t>9</a:t>
            </a:fld>
            <a:endParaRPr lang="ru-RU" sz="1100">
              <a:solidFill>
                <a:schemeClr val="bg1"/>
              </a:solidFill>
            </a:endParaRPr>
          </a:p>
        </xdr:txBody>
      </xdr:sp>
      <xdr:sp macro="" textlink="Processing!Q19">
        <xdr:nvSpPr>
          <xdr:cNvPr id="44" name="TextBox 43">
            <a:extLst>
              <a:ext uri="{FF2B5EF4-FFF2-40B4-BE49-F238E27FC236}">
                <a16:creationId xmlns:a16="http://schemas.microsoft.com/office/drawing/2014/main" id="{45CBE542-45FC-9536-9EA8-FB0A137FA88A}"/>
              </a:ext>
            </a:extLst>
          </xdr:cNvPr>
          <xdr:cNvSpPr txBox="1"/>
        </xdr:nvSpPr>
        <xdr:spPr>
          <a:xfrm>
            <a:off x="11871960" y="1604010"/>
            <a:ext cx="27432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F13E9FE-F125-434D-BD7E-0614FC50A4FA}" type="TxLink">
              <a:rPr lang="en-US" sz="1100" b="0" i="0" u="none" strike="noStrike">
                <a:solidFill>
                  <a:schemeClr val="bg1"/>
                </a:solidFill>
                <a:latin typeface="Aptos Narrow"/>
              </a:rPr>
              <a:pPr algn="ctr"/>
              <a:t>10</a:t>
            </a:fld>
            <a:endParaRPr lang="ru-RU" sz="1100">
              <a:solidFill>
                <a:schemeClr val="bg1"/>
              </a:solidFill>
            </a:endParaRPr>
          </a:p>
        </xdr:txBody>
      </xdr:sp>
      <xdr:sp macro="" textlink="Processing!K20">
        <xdr:nvSpPr>
          <xdr:cNvPr id="45" name="TextBox 44">
            <a:extLst>
              <a:ext uri="{FF2B5EF4-FFF2-40B4-BE49-F238E27FC236}">
                <a16:creationId xmlns:a16="http://schemas.microsoft.com/office/drawing/2014/main" id="{94CD1CF2-B338-A52C-6D4A-801097713353}"/>
              </a:ext>
            </a:extLst>
          </xdr:cNvPr>
          <xdr:cNvSpPr txBox="1"/>
        </xdr:nvSpPr>
        <xdr:spPr>
          <a:xfrm>
            <a:off x="9861957" y="1863090"/>
            <a:ext cx="331927"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93D72D5-7AC8-45DD-8439-FB93AFA960DC}" type="TxLink">
              <a:rPr lang="en-US" sz="1100" b="0" i="0" u="none" strike="noStrike">
                <a:solidFill>
                  <a:schemeClr val="bg1"/>
                </a:solidFill>
                <a:latin typeface="Aptos Narrow"/>
              </a:rPr>
              <a:pPr algn="ctr"/>
              <a:t>11</a:t>
            </a:fld>
            <a:endParaRPr lang="ru-RU" sz="1100">
              <a:solidFill>
                <a:schemeClr val="bg1"/>
              </a:solidFill>
            </a:endParaRPr>
          </a:p>
        </xdr:txBody>
      </xdr:sp>
      <xdr:sp macro="" textlink="Processing!L20">
        <xdr:nvSpPr>
          <xdr:cNvPr id="46" name="TextBox 45">
            <a:extLst>
              <a:ext uri="{FF2B5EF4-FFF2-40B4-BE49-F238E27FC236}">
                <a16:creationId xmlns:a16="http://schemas.microsoft.com/office/drawing/2014/main" id="{B5137057-D899-AB85-E7AB-51D8F968555B}"/>
              </a:ext>
            </a:extLst>
          </xdr:cNvPr>
          <xdr:cNvSpPr txBox="1"/>
        </xdr:nvSpPr>
        <xdr:spPr>
          <a:xfrm>
            <a:off x="10192157" y="1863090"/>
            <a:ext cx="331927"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2516537-E3FB-4583-9CFC-58FE2FBD8DA0}" type="TxLink">
              <a:rPr lang="en-US" sz="1100" b="0" i="0" u="none" strike="noStrike">
                <a:solidFill>
                  <a:schemeClr val="bg1"/>
                </a:solidFill>
                <a:latin typeface="Aptos Narrow"/>
              </a:rPr>
              <a:pPr algn="ctr"/>
              <a:t>12</a:t>
            </a:fld>
            <a:endParaRPr lang="ru-RU" sz="1100">
              <a:solidFill>
                <a:schemeClr val="bg1"/>
              </a:solidFill>
            </a:endParaRPr>
          </a:p>
        </xdr:txBody>
      </xdr:sp>
      <xdr:sp macro="" textlink="Processing!M20">
        <xdr:nvSpPr>
          <xdr:cNvPr id="47" name="TextBox 46">
            <a:extLst>
              <a:ext uri="{FF2B5EF4-FFF2-40B4-BE49-F238E27FC236}">
                <a16:creationId xmlns:a16="http://schemas.microsoft.com/office/drawing/2014/main" id="{ECB74135-CB03-7059-E1B0-586E4FAC71F3}"/>
              </a:ext>
            </a:extLst>
          </xdr:cNvPr>
          <xdr:cNvSpPr txBox="1"/>
        </xdr:nvSpPr>
        <xdr:spPr>
          <a:xfrm>
            <a:off x="10522357" y="1863090"/>
            <a:ext cx="331927"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76D20A2-3B17-4419-A0BB-129F95622FC4}" type="TxLink">
              <a:rPr lang="en-US" sz="1100" b="0" i="0" u="none" strike="noStrike">
                <a:solidFill>
                  <a:schemeClr val="bg1"/>
                </a:solidFill>
                <a:latin typeface="Aptos Narrow"/>
              </a:rPr>
              <a:pPr algn="ctr"/>
              <a:t>13</a:t>
            </a:fld>
            <a:endParaRPr lang="ru-RU" sz="1100">
              <a:solidFill>
                <a:schemeClr val="bg1"/>
              </a:solidFill>
            </a:endParaRPr>
          </a:p>
        </xdr:txBody>
      </xdr:sp>
      <xdr:sp macro="" textlink="Processing!N20">
        <xdr:nvSpPr>
          <xdr:cNvPr id="48" name="TextBox 47">
            <a:extLst>
              <a:ext uri="{FF2B5EF4-FFF2-40B4-BE49-F238E27FC236}">
                <a16:creationId xmlns:a16="http://schemas.microsoft.com/office/drawing/2014/main" id="{B0296658-5DEA-B1B0-73B4-AB32307AE282}"/>
              </a:ext>
            </a:extLst>
          </xdr:cNvPr>
          <xdr:cNvSpPr txBox="1"/>
        </xdr:nvSpPr>
        <xdr:spPr>
          <a:xfrm>
            <a:off x="10852557" y="1863090"/>
            <a:ext cx="331927"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2057887-148A-4DA4-9606-3F1365AB6939}" type="TxLink">
              <a:rPr lang="en-US" sz="1100" b="0" i="0" u="none" strike="noStrike">
                <a:solidFill>
                  <a:schemeClr val="bg1"/>
                </a:solidFill>
                <a:latin typeface="Aptos Narrow"/>
              </a:rPr>
              <a:pPr algn="ctr"/>
              <a:t>14</a:t>
            </a:fld>
            <a:endParaRPr lang="ru-RU" sz="1100">
              <a:solidFill>
                <a:schemeClr val="bg1"/>
              </a:solidFill>
            </a:endParaRPr>
          </a:p>
        </xdr:txBody>
      </xdr:sp>
      <xdr:sp macro="" textlink="Processing!O20">
        <xdr:nvSpPr>
          <xdr:cNvPr id="49" name="TextBox 48">
            <a:extLst>
              <a:ext uri="{FF2B5EF4-FFF2-40B4-BE49-F238E27FC236}">
                <a16:creationId xmlns:a16="http://schemas.microsoft.com/office/drawing/2014/main" id="{3E86E6DE-DA39-8588-0B9E-4967558FD32F}"/>
              </a:ext>
            </a:extLst>
          </xdr:cNvPr>
          <xdr:cNvSpPr txBox="1"/>
        </xdr:nvSpPr>
        <xdr:spPr>
          <a:xfrm>
            <a:off x="11182757" y="1863090"/>
            <a:ext cx="331927"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CFDC083-655D-45DE-ABDC-201FA0A374BB}" type="TxLink">
              <a:rPr lang="en-US" sz="1100" b="0" i="0" u="none" strike="noStrike">
                <a:solidFill>
                  <a:schemeClr val="bg1"/>
                </a:solidFill>
                <a:latin typeface="Aptos Narrow"/>
              </a:rPr>
              <a:pPr algn="ctr"/>
              <a:t>15</a:t>
            </a:fld>
            <a:endParaRPr lang="ru-RU" sz="1100">
              <a:solidFill>
                <a:schemeClr val="bg1"/>
              </a:solidFill>
            </a:endParaRPr>
          </a:p>
        </xdr:txBody>
      </xdr:sp>
      <xdr:sp macro="" textlink="Processing!P20">
        <xdr:nvSpPr>
          <xdr:cNvPr id="50" name="TextBox 49">
            <a:extLst>
              <a:ext uri="{FF2B5EF4-FFF2-40B4-BE49-F238E27FC236}">
                <a16:creationId xmlns:a16="http://schemas.microsoft.com/office/drawing/2014/main" id="{CEFC7FDA-36DE-4C7E-5A9B-2AD74EB9FA6A}"/>
              </a:ext>
            </a:extLst>
          </xdr:cNvPr>
          <xdr:cNvSpPr txBox="1"/>
        </xdr:nvSpPr>
        <xdr:spPr>
          <a:xfrm>
            <a:off x="11512957" y="1863090"/>
            <a:ext cx="331927"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7F05786-ECB9-4D56-894B-DEAE253EFB82}" type="TxLink">
              <a:rPr lang="en-US" sz="1100" b="0" i="0" u="none" strike="noStrike">
                <a:solidFill>
                  <a:schemeClr val="bg1"/>
                </a:solidFill>
                <a:latin typeface="Aptos Narrow"/>
              </a:rPr>
              <a:pPr algn="ctr"/>
              <a:t>16</a:t>
            </a:fld>
            <a:endParaRPr lang="ru-RU" sz="1100">
              <a:solidFill>
                <a:schemeClr val="bg1"/>
              </a:solidFill>
            </a:endParaRPr>
          </a:p>
        </xdr:txBody>
      </xdr:sp>
      <xdr:sp macro="" textlink="Processing!Q20">
        <xdr:nvSpPr>
          <xdr:cNvPr id="51" name="TextBox 50">
            <a:extLst>
              <a:ext uri="{FF2B5EF4-FFF2-40B4-BE49-F238E27FC236}">
                <a16:creationId xmlns:a16="http://schemas.microsoft.com/office/drawing/2014/main" id="{9D0CCB00-4FB3-7835-FCF5-C8AF7A11DFE2}"/>
              </a:ext>
            </a:extLst>
          </xdr:cNvPr>
          <xdr:cNvSpPr txBox="1"/>
        </xdr:nvSpPr>
        <xdr:spPr>
          <a:xfrm>
            <a:off x="11843157" y="1863090"/>
            <a:ext cx="331927"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0BBCAF6-90AB-44AA-84B2-9314DE957D23}" type="TxLink">
              <a:rPr lang="en-US" sz="1100" b="0" i="0" u="none" strike="noStrike">
                <a:solidFill>
                  <a:schemeClr val="bg1"/>
                </a:solidFill>
                <a:latin typeface="Aptos Narrow"/>
              </a:rPr>
              <a:pPr algn="ctr"/>
              <a:t>17</a:t>
            </a:fld>
            <a:endParaRPr lang="ru-RU" sz="1100">
              <a:solidFill>
                <a:schemeClr val="bg1"/>
              </a:solidFill>
            </a:endParaRPr>
          </a:p>
        </xdr:txBody>
      </xdr:sp>
      <xdr:sp macro="" textlink="Processing!K21">
        <xdr:nvSpPr>
          <xdr:cNvPr id="52" name="TextBox 51">
            <a:extLst>
              <a:ext uri="{FF2B5EF4-FFF2-40B4-BE49-F238E27FC236}">
                <a16:creationId xmlns:a16="http://schemas.microsoft.com/office/drawing/2014/main" id="{7793A686-41EF-05CC-292C-9FEB07F5CB0E}"/>
              </a:ext>
            </a:extLst>
          </xdr:cNvPr>
          <xdr:cNvSpPr txBox="1"/>
        </xdr:nvSpPr>
        <xdr:spPr>
          <a:xfrm>
            <a:off x="9861957" y="2114550"/>
            <a:ext cx="331927"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F60CDE4-322C-40AF-8B58-CAED286107F1}" type="TxLink">
              <a:rPr lang="en-US" sz="1100" b="0" i="0" u="none" strike="noStrike">
                <a:solidFill>
                  <a:schemeClr val="bg1"/>
                </a:solidFill>
                <a:latin typeface="Aptos Narrow"/>
              </a:rPr>
              <a:pPr algn="ctr"/>
              <a:t>18</a:t>
            </a:fld>
            <a:endParaRPr lang="ru-RU" sz="1100">
              <a:solidFill>
                <a:schemeClr val="bg1"/>
              </a:solidFill>
            </a:endParaRPr>
          </a:p>
        </xdr:txBody>
      </xdr:sp>
      <xdr:sp macro="" textlink="Processing!L21">
        <xdr:nvSpPr>
          <xdr:cNvPr id="53" name="TextBox 52">
            <a:extLst>
              <a:ext uri="{FF2B5EF4-FFF2-40B4-BE49-F238E27FC236}">
                <a16:creationId xmlns:a16="http://schemas.microsoft.com/office/drawing/2014/main" id="{F31BA7A8-5D10-D515-664A-B7EC7A16ED6B}"/>
              </a:ext>
            </a:extLst>
          </xdr:cNvPr>
          <xdr:cNvSpPr txBox="1"/>
        </xdr:nvSpPr>
        <xdr:spPr>
          <a:xfrm>
            <a:off x="10192157" y="2114550"/>
            <a:ext cx="331927"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50F645A-C85B-45BE-BE89-CFB916D180F5}" type="TxLink">
              <a:rPr lang="en-US" sz="1100" b="0" i="0" u="none" strike="noStrike">
                <a:solidFill>
                  <a:schemeClr val="bg1"/>
                </a:solidFill>
                <a:latin typeface="Aptos Narrow"/>
              </a:rPr>
              <a:pPr algn="ctr"/>
              <a:t>19</a:t>
            </a:fld>
            <a:endParaRPr lang="ru-RU" sz="1100">
              <a:solidFill>
                <a:schemeClr val="bg1"/>
              </a:solidFill>
            </a:endParaRPr>
          </a:p>
        </xdr:txBody>
      </xdr:sp>
      <xdr:sp macro="" textlink="Processing!M21">
        <xdr:nvSpPr>
          <xdr:cNvPr id="54" name="TextBox 53">
            <a:extLst>
              <a:ext uri="{FF2B5EF4-FFF2-40B4-BE49-F238E27FC236}">
                <a16:creationId xmlns:a16="http://schemas.microsoft.com/office/drawing/2014/main" id="{C79AD7AF-30A5-9F3B-B66D-633AA52E9A19}"/>
              </a:ext>
            </a:extLst>
          </xdr:cNvPr>
          <xdr:cNvSpPr txBox="1"/>
        </xdr:nvSpPr>
        <xdr:spPr>
          <a:xfrm>
            <a:off x="10522357" y="2114550"/>
            <a:ext cx="331927"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2D4DE51-B53E-43A7-BF59-7EB4745421B3}" type="TxLink">
              <a:rPr lang="en-US" sz="1100" b="0" i="0" u="none" strike="noStrike">
                <a:solidFill>
                  <a:schemeClr val="bg1"/>
                </a:solidFill>
                <a:latin typeface="Aptos Narrow"/>
              </a:rPr>
              <a:pPr algn="ctr"/>
              <a:t>20</a:t>
            </a:fld>
            <a:endParaRPr lang="ru-RU" sz="1100">
              <a:solidFill>
                <a:schemeClr val="bg1"/>
              </a:solidFill>
            </a:endParaRPr>
          </a:p>
        </xdr:txBody>
      </xdr:sp>
      <xdr:sp macro="" textlink="Processing!N21">
        <xdr:nvSpPr>
          <xdr:cNvPr id="55" name="TextBox 54">
            <a:extLst>
              <a:ext uri="{FF2B5EF4-FFF2-40B4-BE49-F238E27FC236}">
                <a16:creationId xmlns:a16="http://schemas.microsoft.com/office/drawing/2014/main" id="{18865A2A-BE56-592B-8B71-256714B4F85E}"/>
              </a:ext>
            </a:extLst>
          </xdr:cNvPr>
          <xdr:cNvSpPr txBox="1"/>
        </xdr:nvSpPr>
        <xdr:spPr>
          <a:xfrm>
            <a:off x="10852557" y="2114550"/>
            <a:ext cx="331927"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00A3283-8CA4-4689-B118-D630B42327C5}" type="TxLink">
              <a:rPr lang="en-US" sz="1100" b="0" i="0" u="none" strike="noStrike">
                <a:solidFill>
                  <a:schemeClr val="bg1"/>
                </a:solidFill>
                <a:latin typeface="Aptos Narrow"/>
              </a:rPr>
              <a:pPr algn="ctr"/>
              <a:t>21</a:t>
            </a:fld>
            <a:endParaRPr lang="ru-RU" sz="1100">
              <a:solidFill>
                <a:schemeClr val="bg1"/>
              </a:solidFill>
            </a:endParaRPr>
          </a:p>
        </xdr:txBody>
      </xdr:sp>
      <xdr:sp macro="" textlink="Processing!O21">
        <xdr:nvSpPr>
          <xdr:cNvPr id="56" name="TextBox 55">
            <a:extLst>
              <a:ext uri="{FF2B5EF4-FFF2-40B4-BE49-F238E27FC236}">
                <a16:creationId xmlns:a16="http://schemas.microsoft.com/office/drawing/2014/main" id="{4631C639-76EF-C2B2-662E-FE64B1B63D3E}"/>
              </a:ext>
            </a:extLst>
          </xdr:cNvPr>
          <xdr:cNvSpPr txBox="1"/>
        </xdr:nvSpPr>
        <xdr:spPr>
          <a:xfrm>
            <a:off x="11182757" y="2114550"/>
            <a:ext cx="331927"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6813377-304F-4B02-B975-0B14037BE775}" type="TxLink">
              <a:rPr lang="en-US" sz="1100" b="0" i="0" u="none" strike="noStrike">
                <a:solidFill>
                  <a:schemeClr val="bg1"/>
                </a:solidFill>
                <a:latin typeface="Aptos Narrow"/>
              </a:rPr>
              <a:pPr algn="ctr"/>
              <a:t>22</a:t>
            </a:fld>
            <a:endParaRPr lang="ru-RU" sz="1100">
              <a:solidFill>
                <a:schemeClr val="bg1"/>
              </a:solidFill>
            </a:endParaRPr>
          </a:p>
        </xdr:txBody>
      </xdr:sp>
      <xdr:sp macro="" textlink="Processing!P21">
        <xdr:nvSpPr>
          <xdr:cNvPr id="57" name="TextBox 56">
            <a:extLst>
              <a:ext uri="{FF2B5EF4-FFF2-40B4-BE49-F238E27FC236}">
                <a16:creationId xmlns:a16="http://schemas.microsoft.com/office/drawing/2014/main" id="{02BAA0A7-28F1-9163-9074-40AD4B71099F}"/>
              </a:ext>
            </a:extLst>
          </xdr:cNvPr>
          <xdr:cNvSpPr txBox="1"/>
        </xdr:nvSpPr>
        <xdr:spPr>
          <a:xfrm>
            <a:off x="11512957" y="2114550"/>
            <a:ext cx="331927"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197EDCA-3BCF-4D6C-952C-105DC49430B5}" type="TxLink">
              <a:rPr lang="en-US" sz="1100" b="0" i="0" u="none" strike="noStrike">
                <a:solidFill>
                  <a:schemeClr val="bg1"/>
                </a:solidFill>
                <a:latin typeface="Aptos Narrow"/>
              </a:rPr>
              <a:pPr algn="ctr"/>
              <a:t>23</a:t>
            </a:fld>
            <a:endParaRPr lang="ru-RU" sz="1100">
              <a:solidFill>
                <a:schemeClr val="bg1"/>
              </a:solidFill>
            </a:endParaRPr>
          </a:p>
        </xdr:txBody>
      </xdr:sp>
      <xdr:sp macro="" textlink="Processing!Q21">
        <xdr:nvSpPr>
          <xdr:cNvPr id="58" name="TextBox 57">
            <a:extLst>
              <a:ext uri="{FF2B5EF4-FFF2-40B4-BE49-F238E27FC236}">
                <a16:creationId xmlns:a16="http://schemas.microsoft.com/office/drawing/2014/main" id="{BD62BEF9-DF95-739B-605E-ECEAEF891E25}"/>
              </a:ext>
            </a:extLst>
          </xdr:cNvPr>
          <xdr:cNvSpPr txBox="1"/>
        </xdr:nvSpPr>
        <xdr:spPr>
          <a:xfrm>
            <a:off x="11843157" y="2114550"/>
            <a:ext cx="331927"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02C04EE-592A-4139-AD3F-13DE1EDB025B}" type="TxLink">
              <a:rPr lang="en-US" sz="1100" b="0" i="0" u="none" strike="noStrike">
                <a:solidFill>
                  <a:schemeClr val="bg1"/>
                </a:solidFill>
                <a:latin typeface="Aptos Narrow"/>
              </a:rPr>
              <a:pPr algn="ctr"/>
              <a:t>24</a:t>
            </a:fld>
            <a:endParaRPr lang="ru-RU" sz="1100">
              <a:solidFill>
                <a:schemeClr val="bg1"/>
              </a:solidFill>
            </a:endParaRPr>
          </a:p>
        </xdr:txBody>
      </xdr:sp>
      <xdr:sp macro="" textlink="Processing!K22">
        <xdr:nvSpPr>
          <xdr:cNvPr id="59" name="TextBox 58">
            <a:extLst>
              <a:ext uri="{FF2B5EF4-FFF2-40B4-BE49-F238E27FC236}">
                <a16:creationId xmlns:a16="http://schemas.microsoft.com/office/drawing/2014/main" id="{AE003DF6-D146-13BC-C49E-81D4E3CB4B83}"/>
              </a:ext>
            </a:extLst>
          </xdr:cNvPr>
          <xdr:cNvSpPr txBox="1"/>
        </xdr:nvSpPr>
        <xdr:spPr>
          <a:xfrm>
            <a:off x="9861957" y="2373630"/>
            <a:ext cx="331927"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3434D46-59CD-48AF-A619-BF930CF101C1}" type="TxLink">
              <a:rPr lang="en-US" sz="1100" b="0" i="0" u="none" strike="noStrike">
                <a:solidFill>
                  <a:schemeClr val="bg1"/>
                </a:solidFill>
                <a:latin typeface="Aptos Narrow"/>
              </a:rPr>
              <a:pPr algn="ctr"/>
              <a:t>25</a:t>
            </a:fld>
            <a:endParaRPr lang="ru-RU" sz="1100">
              <a:solidFill>
                <a:schemeClr val="bg1"/>
              </a:solidFill>
            </a:endParaRPr>
          </a:p>
        </xdr:txBody>
      </xdr:sp>
      <xdr:sp macro="" textlink="Processing!L22">
        <xdr:nvSpPr>
          <xdr:cNvPr id="60" name="TextBox 59">
            <a:extLst>
              <a:ext uri="{FF2B5EF4-FFF2-40B4-BE49-F238E27FC236}">
                <a16:creationId xmlns:a16="http://schemas.microsoft.com/office/drawing/2014/main" id="{F9295A61-636F-C8C6-72E2-BED4B142FFD7}"/>
              </a:ext>
            </a:extLst>
          </xdr:cNvPr>
          <xdr:cNvSpPr txBox="1"/>
        </xdr:nvSpPr>
        <xdr:spPr>
          <a:xfrm>
            <a:off x="10192157" y="2373630"/>
            <a:ext cx="331927"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08C6F43-D2D6-4FDA-97F5-39CC07F013C4}" type="TxLink">
              <a:rPr lang="en-US" sz="1100" b="0" i="0" u="none" strike="noStrike">
                <a:solidFill>
                  <a:schemeClr val="bg1"/>
                </a:solidFill>
                <a:latin typeface="Aptos Narrow"/>
              </a:rPr>
              <a:pPr algn="ctr"/>
              <a:t>26</a:t>
            </a:fld>
            <a:endParaRPr lang="ru-RU" sz="1100">
              <a:solidFill>
                <a:schemeClr val="bg1"/>
              </a:solidFill>
            </a:endParaRPr>
          </a:p>
        </xdr:txBody>
      </xdr:sp>
      <xdr:sp macro="" textlink="Processing!M22">
        <xdr:nvSpPr>
          <xdr:cNvPr id="61" name="TextBox 60">
            <a:extLst>
              <a:ext uri="{FF2B5EF4-FFF2-40B4-BE49-F238E27FC236}">
                <a16:creationId xmlns:a16="http://schemas.microsoft.com/office/drawing/2014/main" id="{8B38D44E-D07F-5CA5-0575-AF7A7C14AA55}"/>
              </a:ext>
            </a:extLst>
          </xdr:cNvPr>
          <xdr:cNvSpPr txBox="1"/>
        </xdr:nvSpPr>
        <xdr:spPr>
          <a:xfrm>
            <a:off x="10522357" y="2373630"/>
            <a:ext cx="331927"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80B591B-3685-4584-BBAD-C0107B433C6F}" type="TxLink">
              <a:rPr lang="en-US" sz="1100" b="0" i="0" u="none" strike="noStrike">
                <a:solidFill>
                  <a:schemeClr val="bg1"/>
                </a:solidFill>
                <a:latin typeface="Aptos Narrow"/>
              </a:rPr>
              <a:pPr algn="ctr"/>
              <a:t>27</a:t>
            </a:fld>
            <a:endParaRPr lang="ru-RU" sz="1100">
              <a:solidFill>
                <a:schemeClr val="bg1"/>
              </a:solidFill>
            </a:endParaRPr>
          </a:p>
        </xdr:txBody>
      </xdr:sp>
      <xdr:sp macro="" textlink="Processing!N22">
        <xdr:nvSpPr>
          <xdr:cNvPr id="62" name="TextBox 61">
            <a:extLst>
              <a:ext uri="{FF2B5EF4-FFF2-40B4-BE49-F238E27FC236}">
                <a16:creationId xmlns:a16="http://schemas.microsoft.com/office/drawing/2014/main" id="{F16666BA-BF97-F26F-A621-C0F4DF0B5430}"/>
              </a:ext>
            </a:extLst>
          </xdr:cNvPr>
          <xdr:cNvSpPr txBox="1"/>
        </xdr:nvSpPr>
        <xdr:spPr>
          <a:xfrm>
            <a:off x="10852557" y="2373630"/>
            <a:ext cx="331927"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9151E29-6C8F-4181-B53C-00B141B89A32}" type="TxLink">
              <a:rPr lang="en-US" sz="1100" b="0" i="0" u="none" strike="noStrike">
                <a:solidFill>
                  <a:schemeClr val="bg1"/>
                </a:solidFill>
                <a:latin typeface="Aptos Narrow"/>
              </a:rPr>
              <a:pPr algn="ctr"/>
              <a:t>28</a:t>
            </a:fld>
            <a:endParaRPr lang="ru-RU" sz="1100">
              <a:solidFill>
                <a:schemeClr val="bg1"/>
              </a:solidFill>
            </a:endParaRPr>
          </a:p>
        </xdr:txBody>
      </xdr:sp>
      <xdr:sp macro="" textlink="Processing!O22">
        <xdr:nvSpPr>
          <xdr:cNvPr id="63" name="TextBox 62">
            <a:extLst>
              <a:ext uri="{FF2B5EF4-FFF2-40B4-BE49-F238E27FC236}">
                <a16:creationId xmlns:a16="http://schemas.microsoft.com/office/drawing/2014/main" id="{04EB079D-F1F2-22ED-BD4E-084512124956}"/>
              </a:ext>
            </a:extLst>
          </xdr:cNvPr>
          <xdr:cNvSpPr txBox="1"/>
        </xdr:nvSpPr>
        <xdr:spPr>
          <a:xfrm>
            <a:off x="11182757" y="2373630"/>
            <a:ext cx="331927"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8B71AD2-8317-4217-BCD5-0AE664AC41DE}" type="TxLink">
              <a:rPr lang="en-US" sz="1100" b="0" i="0" u="none" strike="noStrike">
                <a:solidFill>
                  <a:schemeClr val="bg1"/>
                </a:solidFill>
                <a:latin typeface="Aptos Narrow"/>
              </a:rPr>
              <a:pPr algn="ctr"/>
              <a:t>29</a:t>
            </a:fld>
            <a:endParaRPr lang="ru-RU" sz="1100">
              <a:solidFill>
                <a:schemeClr val="bg1"/>
              </a:solidFill>
            </a:endParaRPr>
          </a:p>
        </xdr:txBody>
      </xdr:sp>
      <xdr:sp macro="" textlink="Processing!P22">
        <xdr:nvSpPr>
          <xdr:cNvPr id="64" name="TextBox 63">
            <a:extLst>
              <a:ext uri="{FF2B5EF4-FFF2-40B4-BE49-F238E27FC236}">
                <a16:creationId xmlns:a16="http://schemas.microsoft.com/office/drawing/2014/main" id="{182B0504-67A8-0F25-8A5F-F5C1F61ED8DD}"/>
              </a:ext>
            </a:extLst>
          </xdr:cNvPr>
          <xdr:cNvSpPr txBox="1"/>
        </xdr:nvSpPr>
        <xdr:spPr>
          <a:xfrm>
            <a:off x="11512957" y="2373630"/>
            <a:ext cx="331927"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3152B50-DF90-4733-A7AC-635DF7B3EE72}" type="TxLink">
              <a:rPr lang="en-US" sz="1100" b="0" i="0" u="none" strike="noStrike">
                <a:solidFill>
                  <a:schemeClr val="bg1"/>
                </a:solidFill>
                <a:latin typeface="Aptos Narrow"/>
              </a:rPr>
              <a:pPr algn="ctr"/>
              <a:t>30</a:t>
            </a:fld>
            <a:endParaRPr lang="ru-RU" sz="1100">
              <a:solidFill>
                <a:schemeClr val="bg1"/>
              </a:solidFill>
            </a:endParaRPr>
          </a:p>
        </xdr:txBody>
      </xdr:sp>
      <xdr:sp macro="" textlink="Processing!Q22">
        <xdr:nvSpPr>
          <xdr:cNvPr id="65" name="TextBox 64">
            <a:extLst>
              <a:ext uri="{FF2B5EF4-FFF2-40B4-BE49-F238E27FC236}">
                <a16:creationId xmlns:a16="http://schemas.microsoft.com/office/drawing/2014/main" id="{EF299B8E-F18F-00B7-4E91-BCBB95041B88}"/>
              </a:ext>
            </a:extLst>
          </xdr:cNvPr>
          <xdr:cNvSpPr txBox="1"/>
        </xdr:nvSpPr>
        <xdr:spPr>
          <a:xfrm>
            <a:off x="11843157" y="2373630"/>
            <a:ext cx="331927"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0DD52F1-01A4-4DC0-A191-276895FD2A53}" type="TxLink">
              <a:rPr lang="en-US" sz="1100" b="0" i="0" u="none" strike="noStrike">
                <a:solidFill>
                  <a:schemeClr val="bg1"/>
                </a:solidFill>
                <a:latin typeface="Aptos Narrow"/>
              </a:rPr>
              <a:pPr algn="ctr"/>
              <a:t> </a:t>
            </a:fld>
            <a:endParaRPr lang="ru-RU" sz="1100">
              <a:solidFill>
                <a:schemeClr val="bg1"/>
              </a:solidFill>
            </a:endParaRPr>
          </a:p>
        </xdr:txBody>
      </xdr:sp>
      <xdr:sp macro="" textlink="Processing!K23">
        <xdr:nvSpPr>
          <xdr:cNvPr id="66" name="TextBox 65">
            <a:extLst>
              <a:ext uri="{FF2B5EF4-FFF2-40B4-BE49-F238E27FC236}">
                <a16:creationId xmlns:a16="http://schemas.microsoft.com/office/drawing/2014/main" id="{F8A59F65-0A0C-B974-AC0A-B8ACE1FF6EC8}"/>
              </a:ext>
            </a:extLst>
          </xdr:cNvPr>
          <xdr:cNvSpPr txBox="1"/>
        </xdr:nvSpPr>
        <xdr:spPr>
          <a:xfrm>
            <a:off x="9861957" y="2625090"/>
            <a:ext cx="331927"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2E74728-937F-4954-89A7-B828DA252D8E}" type="TxLink">
              <a:rPr lang="en-US" sz="1100" b="0" i="0" u="none" strike="noStrike">
                <a:solidFill>
                  <a:schemeClr val="bg1"/>
                </a:solidFill>
                <a:latin typeface="Aptos Narrow"/>
              </a:rPr>
              <a:pPr algn="ctr"/>
              <a:t> </a:t>
            </a:fld>
            <a:endParaRPr lang="ru-RU" sz="1100">
              <a:solidFill>
                <a:schemeClr val="bg1"/>
              </a:solidFill>
            </a:endParaRPr>
          </a:p>
        </xdr:txBody>
      </xdr:sp>
      <xdr:sp macro="" textlink="Processing!L23">
        <xdr:nvSpPr>
          <xdr:cNvPr id="67" name="TextBox 66">
            <a:extLst>
              <a:ext uri="{FF2B5EF4-FFF2-40B4-BE49-F238E27FC236}">
                <a16:creationId xmlns:a16="http://schemas.microsoft.com/office/drawing/2014/main" id="{104FDD72-0582-5AF6-FAE1-7FDCFB62F09B}"/>
              </a:ext>
            </a:extLst>
          </xdr:cNvPr>
          <xdr:cNvSpPr txBox="1"/>
        </xdr:nvSpPr>
        <xdr:spPr>
          <a:xfrm>
            <a:off x="10192157" y="2625090"/>
            <a:ext cx="331927"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6566E17-270D-48FD-A911-0D721FAE9D81}" type="TxLink">
              <a:rPr lang="en-US" sz="1100" b="0" i="0" u="none" strike="noStrike">
                <a:solidFill>
                  <a:schemeClr val="bg1"/>
                </a:solidFill>
                <a:latin typeface="Aptos Narrow"/>
              </a:rPr>
              <a:pPr algn="ctr"/>
              <a:t> </a:t>
            </a:fld>
            <a:endParaRPr lang="ru-RU" sz="1100">
              <a:solidFill>
                <a:schemeClr val="bg1"/>
              </a:solidFill>
            </a:endParaRPr>
          </a:p>
        </xdr:txBody>
      </xdr:sp>
      <xdr:sp macro="" textlink="Processing!M23">
        <xdr:nvSpPr>
          <xdr:cNvPr id="68" name="TextBox 67">
            <a:extLst>
              <a:ext uri="{FF2B5EF4-FFF2-40B4-BE49-F238E27FC236}">
                <a16:creationId xmlns:a16="http://schemas.microsoft.com/office/drawing/2014/main" id="{6631AC52-F8DF-EEEA-E7F0-DEC79493C969}"/>
              </a:ext>
            </a:extLst>
          </xdr:cNvPr>
          <xdr:cNvSpPr txBox="1"/>
        </xdr:nvSpPr>
        <xdr:spPr>
          <a:xfrm>
            <a:off x="10522357" y="2625090"/>
            <a:ext cx="331927"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8107160-E3A7-4ACE-886C-33D4EAAF47DF}" type="TxLink">
              <a:rPr lang="en-US" sz="1100" b="0" i="0" u="none" strike="noStrike">
                <a:solidFill>
                  <a:schemeClr val="bg1"/>
                </a:solidFill>
                <a:latin typeface="Aptos Narrow"/>
              </a:rPr>
              <a:pPr algn="ctr"/>
              <a:t> </a:t>
            </a:fld>
            <a:endParaRPr lang="ru-RU" sz="1100">
              <a:solidFill>
                <a:schemeClr val="bg1"/>
              </a:solidFill>
            </a:endParaRPr>
          </a:p>
        </xdr:txBody>
      </xdr:sp>
      <xdr:sp macro="" textlink="Processing!N23">
        <xdr:nvSpPr>
          <xdr:cNvPr id="69" name="TextBox 68">
            <a:extLst>
              <a:ext uri="{FF2B5EF4-FFF2-40B4-BE49-F238E27FC236}">
                <a16:creationId xmlns:a16="http://schemas.microsoft.com/office/drawing/2014/main" id="{78CAC712-F92D-FA35-77FF-411F8EC1A5A9}"/>
              </a:ext>
            </a:extLst>
          </xdr:cNvPr>
          <xdr:cNvSpPr txBox="1"/>
        </xdr:nvSpPr>
        <xdr:spPr>
          <a:xfrm>
            <a:off x="10852557" y="2625090"/>
            <a:ext cx="331927"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8EB2ECB-6F7F-4F10-BE5E-B980037A19FA}" type="TxLink">
              <a:rPr lang="en-US" sz="1100" b="0" i="0" u="none" strike="noStrike">
                <a:solidFill>
                  <a:schemeClr val="bg1"/>
                </a:solidFill>
                <a:latin typeface="Aptos Narrow"/>
              </a:rPr>
              <a:pPr algn="ctr"/>
              <a:t> </a:t>
            </a:fld>
            <a:endParaRPr lang="ru-RU" sz="1100">
              <a:solidFill>
                <a:schemeClr val="bg1"/>
              </a:solidFill>
            </a:endParaRPr>
          </a:p>
        </xdr:txBody>
      </xdr:sp>
      <xdr:sp macro="" textlink="Processing!O23">
        <xdr:nvSpPr>
          <xdr:cNvPr id="70" name="TextBox 69">
            <a:extLst>
              <a:ext uri="{FF2B5EF4-FFF2-40B4-BE49-F238E27FC236}">
                <a16:creationId xmlns:a16="http://schemas.microsoft.com/office/drawing/2014/main" id="{133F142D-2BA2-7950-4861-59528FC8401E}"/>
              </a:ext>
            </a:extLst>
          </xdr:cNvPr>
          <xdr:cNvSpPr txBox="1"/>
        </xdr:nvSpPr>
        <xdr:spPr>
          <a:xfrm>
            <a:off x="11182757" y="2625090"/>
            <a:ext cx="331927"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45878CA-C1A0-4731-81FB-EF7CE4A076F3}" type="TxLink">
              <a:rPr lang="en-US" sz="1100" b="0" i="0" u="none" strike="noStrike">
                <a:solidFill>
                  <a:schemeClr val="bg1"/>
                </a:solidFill>
                <a:latin typeface="Aptos Narrow"/>
              </a:rPr>
              <a:pPr algn="ctr"/>
              <a:t> </a:t>
            </a:fld>
            <a:endParaRPr lang="ru-RU" sz="1100">
              <a:solidFill>
                <a:schemeClr val="bg1"/>
              </a:solidFill>
            </a:endParaRPr>
          </a:p>
        </xdr:txBody>
      </xdr:sp>
      <xdr:sp macro="" textlink="Processing!P23">
        <xdr:nvSpPr>
          <xdr:cNvPr id="71" name="TextBox 70">
            <a:extLst>
              <a:ext uri="{FF2B5EF4-FFF2-40B4-BE49-F238E27FC236}">
                <a16:creationId xmlns:a16="http://schemas.microsoft.com/office/drawing/2014/main" id="{0F37D821-4DC8-73B5-696D-5F5F5D5B9D52}"/>
              </a:ext>
            </a:extLst>
          </xdr:cNvPr>
          <xdr:cNvSpPr txBox="1"/>
        </xdr:nvSpPr>
        <xdr:spPr>
          <a:xfrm>
            <a:off x="11512957" y="2625090"/>
            <a:ext cx="331927"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216AF94-6942-426F-9EE2-7466AA9E6F81}" type="TxLink">
              <a:rPr lang="en-US" sz="1100" b="0" i="0" u="none" strike="noStrike">
                <a:solidFill>
                  <a:schemeClr val="bg1"/>
                </a:solidFill>
                <a:latin typeface="Aptos Narrow"/>
              </a:rPr>
              <a:pPr algn="ctr"/>
              <a:t> </a:t>
            </a:fld>
            <a:endParaRPr lang="ru-RU" sz="1100">
              <a:solidFill>
                <a:schemeClr val="bg1"/>
              </a:solidFill>
            </a:endParaRPr>
          </a:p>
        </xdr:txBody>
      </xdr:sp>
      <xdr:sp macro="" textlink="Processing!Q23">
        <xdr:nvSpPr>
          <xdr:cNvPr id="72" name="TextBox 71">
            <a:extLst>
              <a:ext uri="{FF2B5EF4-FFF2-40B4-BE49-F238E27FC236}">
                <a16:creationId xmlns:a16="http://schemas.microsoft.com/office/drawing/2014/main" id="{2CB3EA0E-CC1C-3803-4B12-A981ACFF7D27}"/>
              </a:ext>
            </a:extLst>
          </xdr:cNvPr>
          <xdr:cNvSpPr txBox="1"/>
        </xdr:nvSpPr>
        <xdr:spPr>
          <a:xfrm>
            <a:off x="11843157" y="2625090"/>
            <a:ext cx="331927"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F8D5031-89A1-4503-AD3B-7EFDD2B20049}" type="TxLink">
              <a:rPr lang="en-US" sz="1100" b="0" i="0" u="none" strike="noStrike">
                <a:solidFill>
                  <a:schemeClr val="bg1"/>
                </a:solidFill>
                <a:latin typeface="Aptos Narrow"/>
              </a:rPr>
              <a:pPr algn="ctr"/>
              <a:t> </a:t>
            </a:fld>
            <a:endParaRPr lang="ru-RU" sz="1100">
              <a:solidFill>
                <a:schemeClr val="bg1"/>
              </a:solidFill>
            </a:endParaRPr>
          </a:p>
        </xdr:txBody>
      </xdr:sp>
    </xdr:grpSp>
    <xdr:clientData/>
  </xdr:twoCellAnchor>
  <xdr:twoCellAnchor>
    <xdr:from>
      <xdr:col>3</xdr:col>
      <xdr:colOff>487680</xdr:colOff>
      <xdr:row>10</xdr:row>
      <xdr:rowOff>167640</xdr:rowOff>
    </xdr:from>
    <xdr:to>
      <xdr:col>4</xdr:col>
      <xdr:colOff>502628</xdr:colOff>
      <xdr:row>12</xdr:row>
      <xdr:rowOff>108949</xdr:rowOff>
    </xdr:to>
    <xdr:sp macro="" textlink="Processing!J3">
      <xdr:nvSpPr>
        <xdr:cNvPr id="73" name="TextBox 72">
          <a:extLst>
            <a:ext uri="{FF2B5EF4-FFF2-40B4-BE49-F238E27FC236}">
              <a16:creationId xmlns:a16="http://schemas.microsoft.com/office/drawing/2014/main" id="{0A93CE61-4001-4491-B1A1-FC668CBEBBFF}"/>
            </a:ext>
          </a:extLst>
        </xdr:cNvPr>
        <xdr:cNvSpPr txBox="1"/>
      </xdr:nvSpPr>
      <xdr:spPr>
        <a:xfrm>
          <a:off x="2316480" y="1996440"/>
          <a:ext cx="624548" cy="3070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B651ED33-8F01-41CA-96B5-2480A3CCD5B8}" type="TxLink">
            <a:rPr lang="en-US" sz="900" b="0" i="0" u="none" strike="noStrike">
              <a:solidFill>
                <a:srgbClr val="28BEBA"/>
              </a:solidFill>
              <a:latin typeface="Aptos Narrow"/>
              <a:ea typeface="+mn-ea"/>
              <a:cs typeface="+mn-cs"/>
            </a:rPr>
            <a:pPr marL="0" indent="0" algn="ctr"/>
            <a:t>Target 1</a:t>
          </a:fld>
          <a:endParaRPr lang="ru-RU" sz="1200" b="0" i="0" u="none" strike="noStrike">
            <a:solidFill>
              <a:srgbClr val="28BEBA"/>
            </a:solidFill>
            <a:latin typeface="Aptos Narrow"/>
            <a:ea typeface="+mn-ea"/>
            <a:cs typeface="+mn-cs"/>
          </a:endParaRPr>
        </a:p>
      </xdr:txBody>
    </xdr:sp>
    <xdr:clientData/>
  </xdr:twoCellAnchor>
  <xdr:twoCellAnchor>
    <xdr:from>
      <xdr:col>3</xdr:col>
      <xdr:colOff>487680</xdr:colOff>
      <xdr:row>13</xdr:row>
      <xdr:rowOff>66675</xdr:rowOff>
    </xdr:from>
    <xdr:to>
      <xdr:col>4</xdr:col>
      <xdr:colOff>502628</xdr:colOff>
      <xdr:row>15</xdr:row>
      <xdr:rowOff>7984</xdr:rowOff>
    </xdr:to>
    <xdr:sp macro="" textlink="Processing!J4">
      <xdr:nvSpPr>
        <xdr:cNvPr id="74" name="TextBox 73">
          <a:extLst>
            <a:ext uri="{FF2B5EF4-FFF2-40B4-BE49-F238E27FC236}">
              <a16:creationId xmlns:a16="http://schemas.microsoft.com/office/drawing/2014/main" id="{DB4A8046-83DF-4A57-BB66-F83C3DBF68D3}"/>
            </a:ext>
          </a:extLst>
        </xdr:cNvPr>
        <xdr:cNvSpPr txBox="1"/>
      </xdr:nvSpPr>
      <xdr:spPr>
        <a:xfrm>
          <a:off x="2316480" y="2444115"/>
          <a:ext cx="624548" cy="3070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61BD5C03-9666-4F95-9C4A-BCF38E0A9883}" type="TxLink">
            <a:rPr lang="en-US" sz="900" b="0" i="0" u="none" strike="noStrike">
              <a:solidFill>
                <a:srgbClr val="3879F2"/>
              </a:solidFill>
              <a:latin typeface="Aptos Narrow"/>
              <a:ea typeface="+mn-ea"/>
              <a:cs typeface="+mn-cs"/>
            </a:rPr>
            <a:pPr marL="0" indent="0" algn="ctr"/>
            <a:t>Target 2</a:t>
          </a:fld>
          <a:endParaRPr lang="ru-RU" sz="1000" b="0" i="0" u="none" strike="noStrike">
            <a:solidFill>
              <a:srgbClr val="3879F2"/>
            </a:solidFill>
            <a:latin typeface="Aptos Narrow"/>
            <a:ea typeface="+mn-ea"/>
            <a:cs typeface="+mn-cs"/>
          </a:endParaRPr>
        </a:p>
      </xdr:txBody>
    </xdr:sp>
    <xdr:clientData/>
  </xdr:twoCellAnchor>
  <xdr:twoCellAnchor>
    <xdr:from>
      <xdr:col>3</xdr:col>
      <xdr:colOff>487680</xdr:colOff>
      <xdr:row>15</xdr:row>
      <xdr:rowOff>148590</xdr:rowOff>
    </xdr:from>
    <xdr:to>
      <xdr:col>4</xdr:col>
      <xdr:colOff>502628</xdr:colOff>
      <xdr:row>17</xdr:row>
      <xdr:rowOff>89899</xdr:rowOff>
    </xdr:to>
    <xdr:sp macro="" textlink="Processing!J5">
      <xdr:nvSpPr>
        <xdr:cNvPr id="75" name="TextBox 74">
          <a:extLst>
            <a:ext uri="{FF2B5EF4-FFF2-40B4-BE49-F238E27FC236}">
              <a16:creationId xmlns:a16="http://schemas.microsoft.com/office/drawing/2014/main" id="{8F51141C-DA15-428A-A52F-F9566011D80F}"/>
            </a:ext>
          </a:extLst>
        </xdr:cNvPr>
        <xdr:cNvSpPr txBox="1"/>
      </xdr:nvSpPr>
      <xdr:spPr>
        <a:xfrm>
          <a:off x="2316480" y="2891790"/>
          <a:ext cx="624548" cy="3070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4D0E215D-3655-4F66-ACFB-977969128424}" type="TxLink">
            <a:rPr lang="en-US" sz="900" b="0" i="0" u="none" strike="noStrike">
              <a:solidFill>
                <a:srgbClr val="FF7684"/>
              </a:solidFill>
              <a:latin typeface="Aptos Narrow"/>
              <a:ea typeface="+mn-ea"/>
              <a:cs typeface="+mn-cs"/>
            </a:rPr>
            <a:pPr marL="0" indent="0" algn="ctr"/>
            <a:t>Target 3</a:t>
          </a:fld>
          <a:endParaRPr lang="ru-RU" sz="1000" b="0" i="0" u="none" strike="noStrike">
            <a:solidFill>
              <a:srgbClr val="FF7684"/>
            </a:solidFill>
            <a:latin typeface="Aptos Narrow"/>
            <a:ea typeface="+mn-ea"/>
            <a:cs typeface="+mn-cs"/>
          </a:endParaRPr>
        </a:p>
      </xdr:txBody>
    </xdr:sp>
    <xdr:clientData/>
  </xdr:twoCellAnchor>
  <xdr:twoCellAnchor>
    <xdr:from>
      <xdr:col>3</xdr:col>
      <xdr:colOff>487680</xdr:colOff>
      <xdr:row>18</xdr:row>
      <xdr:rowOff>47625</xdr:rowOff>
    </xdr:from>
    <xdr:to>
      <xdr:col>4</xdr:col>
      <xdr:colOff>502628</xdr:colOff>
      <xdr:row>19</xdr:row>
      <xdr:rowOff>171814</xdr:rowOff>
    </xdr:to>
    <xdr:sp macro="" textlink="Processing!J6">
      <xdr:nvSpPr>
        <xdr:cNvPr id="76" name="TextBox 75">
          <a:extLst>
            <a:ext uri="{FF2B5EF4-FFF2-40B4-BE49-F238E27FC236}">
              <a16:creationId xmlns:a16="http://schemas.microsoft.com/office/drawing/2014/main" id="{64AE8776-D7EE-46AF-83B5-1A55390A0BD8}"/>
            </a:ext>
          </a:extLst>
        </xdr:cNvPr>
        <xdr:cNvSpPr txBox="1"/>
      </xdr:nvSpPr>
      <xdr:spPr>
        <a:xfrm>
          <a:off x="2316480" y="3339465"/>
          <a:ext cx="624548" cy="3070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D58AA4D8-5D6F-485A-A4E3-857258D4E43D}" type="TxLink">
            <a:rPr lang="en-US" sz="900" b="0" i="0" u="none" strike="noStrike">
              <a:solidFill>
                <a:srgbClr val="00ADD6"/>
              </a:solidFill>
              <a:latin typeface="Aptos Narrow"/>
              <a:ea typeface="+mn-ea"/>
              <a:cs typeface="+mn-cs"/>
            </a:rPr>
            <a:pPr marL="0" indent="0" algn="ctr"/>
            <a:t>Target 4</a:t>
          </a:fld>
          <a:endParaRPr lang="ru-RU" sz="1000" b="0" i="0" u="none" strike="noStrike">
            <a:solidFill>
              <a:srgbClr val="00ADD6"/>
            </a:solidFill>
            <a:latin typeface="Aptos Narrow"/>
            <a:ea typeface="+mn-ea"/>
            <a:cs typeface="+mn-cs"/>
          </a:endParaRPr>
        </a:p>
      </xdr:txBody>
    </xdr:sp>
    <xdr:clientData/>
  </xdr:twoCellAnchor>
  <xdr:twoCellAnchor>
    <xdr:from>
      <xdr:col>3</xdr:col>
      <xdr:colOff>487680</xdr:colOff>
      <xdr:row>20</xdr:row>
      <xdr:rowOff>129540</xdr:rowOff>
    </xdr:from>
    <xdr:to>
      <xdr:col>4</xdr:col>
      <xdr:colOff>502628</xdr:colOff>
      <xdr:row>22</xdr:row>
      <xdr:rowOff>70849</xdr:rowOff>
    </xdr:to>
    <xdr:sp macro="" textlink="Processing!J7">
      <xdr:nvSpPr>
        <xdr:cNvPr id="77" name="TextBox 76">
          <a:extLst>
            <a:ext uri="{FF2B5EF4-FFF2-40B4-BE49-F238E27FC236}">
              <a16:creationId xmlns:a16="http://schemas.microsoft.com/office/drawing/2014/main" id="{ED2C2C10-49F4-492F-9A29-CD58200772D7}"/>
            </a:ext>
          </a:extLst>
        </xdr:cNvPr>
        <xdr:cNvSpPr txBox="1"/>
      </xdr:nvSpPr>
      <xdr:spPr>
        <a:xfrm>
          <a:off x="2316480" y="3787140"/>
          <a:ext cx="624548" cy="3070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BBD31B8A-D271-4BDE-984C-859332B009E3}" type="TxLink">
            <a:rPr lang="en-US" sz="900" b="0" i="0" u="none" strike="noStrike">
              <a:solidFill>
                <a:srgbClr val="6978B4"/>
              </a:solidFill>
              <a:latin typeface="Aptos Narrow"/>
              <a:ea typeface="+mn-ea"/>
              <a:cs typeface="+mn-cs"/>
            </a:rPr>
            <a:pPr marL="0" indent="0" algn="ctr"/>
            <a:t>Target 5</a:t>
          </a:fld>
          <a:endParaRPr lang="ru-RU" sz="1000" b="0" i="0" u="none" strike="noStrike">
            <a:solidFill>
              <a:srgbClr val="6978B4"/>
            </a:solidFill>
            <a:latin typeface="Aptos Narrow"/>
            <a:ea typeface="+mn-ea"/>
            <a:cs typeface="+mn-cs"/>
          </a:endParaRPr>
        </a:p>
      </xdr:txBody>
    </xdr:sp>
    <xdr:clientData/>
  </xdr:twoCellAnchor>
  <xdr:twoCellAnchor>
    <xdr:from>
      <xdr:col>4</xdr:col>
      <xdr:colOff>502920</xdr:colOff>
      <xdr:row>10</xdr:row>
      <xdr:rowOff>11430</xdr:rowOff>
    </xdr:from>
    <xdr:to>
      <xdr:col>11</xdr:col>
      <xdr:colOff>449580</xdr:colOff>
      <xdr:row>11</xdr:row>
      <xdr:rowOff>99060</xdr:rowOff>
    </xdr:to>
    <xdr:sp macro="" textlink="Processing!I7">
      <xdr:nvSpPr>
        <xdr:cNvPr id="78" name="TextBox 77">
          <a:extLst>
            <a:ext uri="{FF2B5EF4-FFF2-40B4-BE49-F238E27FC236}">
              <a16:creationId xmlns:a16="http://schemas.microsoft.com/office/drawing/2014/main" id="{37C98F70-13A2-414F-9E97-8DE32EA272F8}"/>
            </a:ext>
          </a:extLst>
        </xdr:cNvPr>
        <xdr:cNvSpPr txBox="1"/>
      </xdr:nvSpPr>
      <xdr:spPr>
        <a:xfrm>
          <a:off x="2941320" y="1840230"/>
          <a:ext cx="4213860" cy="2705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16C9E64-80DC-41B8-976C-CB9A5E47524F}" type="TxLink">
            <a:rPr lang="en-US" sz="900" b="0" i="0" u="none" strike="noStrike">
              <a:solidFill>
                <a:srgbClr val="455177"/>
              </a:solidFill>
              <a:latin typeface="Aptos Narrow"/>
            </a:rPr>
            <a:pPr/>
            <a:t>JAN       FEB       MAR       APR       MAY       JUN       JUL       AUG       SEP       OCT       NOV       DEC</a:t>
          </a:fld>
          <a:endParaRPr lang="ru-RU" sz="900">
            <a:solidFill>
              <a:srgbClr val="455177"/>
            </a:solidFill>
          </a:endParaRPr>
        </a:p>
      </xdr:txBody>
    </xdr:sp>
    <xdr:clientData/>
  </xdr:twoCellAnchor>
  <xdr:twoCellAnchor>
    <xdr:from>
      <xdr:col>3</xdr:col>
      <xdr:colOff>571500</xdr:colOff>
      <xdr:row>5</xdr:row>
      <xdr:rowOff>83820</xdr:rowOff>
    </xdr:from>
    <xdr:to>
      <xdr:col>6</xdr:col>
      <xdr:colOff>91440</xdr:colOff>
      <xdr:row>7</xdr:row>
      <xdr:rowOff>25129</xdr:rowOff>
    </xdr:to>
    <xdr:sp macro="" textlink="Processing!A15">
      <xdr:nvSpPr>
        <xdr:cNvPr id="79" name="TextBox 78">
          <a:extLst>
            <a:ext uri="{FF2B5EF4-FFF2-40B4-BE49-F238E27FC236}">
              <a16:creationId xmlns:a16="http://schemas.microsoft.com/office/drawing/2014/main" id="{B6D10983-9AF0-4BCB-8D83-277A3912B274}"/>
            </a:ext>
          </a:extLst>
        </xdr:cNvPr>
        <xdr:cNvSpPr txBox="1"/>
      </xdr:nvSpPr>
      <xdr:spPr>
        <a:xfrm>
          <a:off x="2400300" y="998220"/>
          <a:ext cx="1348740" cy="3070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8BA7641B-5241-4B72-9658-E9FFA1BE068F}" type="TxLink">
            <a:rPr lang="en-US" sz="1400" b="0" i="0" u="none" strike="noStrike">
              <a:solidFill>
                <a:srgbClr val="455177"/>
              </a:solidFill>
              <a:latin typeface="Aptos Narrow"/>
              <a:ea typeface="+mn-ea"/>
              <a:cs typeface="+mn-cs"/>
            </a:rPr>
            <a:pPr marL="0" indent="0" algn="r"/>
            <a:t>Financial Goals</a:t>
          </a:fld>
          <a:endParaRPr lang="ru-RU" sz="1100" b="0" i="0" u="none" strike="noStrike">
            <a:solidFill>
              <a:srgbClr val="455177"/>
            </a:solidFill>
            <a:latin typeface="Aptos Narrow"/>
            <a:ea typeface="+mn-ea"/>
            <a:cs typeface="+mn-cs"/>
          </a:endParaRPr>
        </a:p>
      </xdr:txBody>
    </xdr:sp>
    <xdr:clientData/>
  </xdr:twoCellAnchor>
  <xdr:twoCellAnchor>
    <xdr:from>
      <xdr:col>10</xdr:col>
      <xdr:colOff>203993</xdr:colOff>
      <xdr:row>4</xdr:row>
      <xdr:rowOff>157213</xdr:rowOff>
    </xdr:from>
    <xdr:to>
      <xdr:col>11</xdr:col>
      <xdr:colOff>417353</xdr:colOff>
      <xdr:row>9</xdr:row>
      <xdr:rowOff>65773</xdr:rowOff>
    </xdr:to>
    <xdr:graphicFrame macro="">
      <xdr:nvGraphicFramePr>
        <xdr:cNvPr id="80" name="Chart 79">
          <a:extLst>
            <a:ext uri="{FF2B5EF4-FFF2-40B4-BE49-F238E27FC236}">
              <a16:creationId xmlns:a16="http://schemas.microsoft.com/office/drawing/2014/main" id="{C7E4BBD6-B55A-4964-BA71-EB7E3B95919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10</xdr:col>
      <xdr:colOff>276431</xdr:colOff>
      <xdr:row>6</xdr:row>
      <xdr:rowOff>45720</xdr:rowOff>
    </xdr:from>
    <xdr:to>
      <xdr:col>11</xdr:col>
      <xdr:colOff>348410</xdr:colOff>
      <xdr:row>7</xdr:row>
      <xdr:rowOff>169909</xdr:rowOff>
    </xdr:to>
    <xdr:sp macro="" textlink="Processing!E15">
      <xdr:nvSpPr>
        <xdr:cNvPr id="81" name="TextBox 80">
          <a:extLst>
            <a:ext uri="{FF2B5EF4-FFF2-40B4-BE49-F238E27FC236}">
              <a16:creationId xmlns:a16="http://schemas.microsoft.com/office/drawing/2014/main" id="{2196C6C6-4F54-416F-9426-F17AB1F9A8FA}"/>
            </a:ext>
          </a:extLst>
        </xdr:cNvPr>
        <xdr:cNvSpPr txBox="1"/>
      </xdr:nvSpPr>
      <xdr:spPr>
        <a:xfrm>
          <a:off x="6372431" y="1143000"/>
          <a:ext cx="681579" cy="3070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9A9B9565-BBFC-46A7-A67D-00B9BECDDD49}" type="TxLink">
            <a:rPr lang="en-US" sz="1100" b="0" i="0" u="none" strike="noStrike">
              <a:solidFill>
                <a:srgbClr val="455177"/>
              </a:solidFill>
              <a:latin typeface="Aptos Narrow"/>
              <a:ea typeface="+mn-ea"/>
              <a:cs typeface="+mn-cs"/>
            </a:rPr>
            <a:pPr marL="0" indent="0" algn="ctr"/>
            <a:t>65%</a:t>
          </a:fld>
          <a:endParaRPr lang="ru-RU" sz="1100" b="0" i="0" u="none" strike="noStrike">
            <a:solidFill>
              <a:srgbClr val="455177"/>
            </a:solidFill>
            <a:latin typeface="Aptos Narrow"/>
            <a:ea typeface="+mn-ea"/>
            <a:cs typeface="+mn-cs"/>
          </a:endParaRPr>
        </a:p>
      </xdr:txBody>
    </xdr:sp>
    <xdr:clientData/>
  </xdr:twoCellAnchor>
  <xdr:twoCellAnchor>
    <xdr:from>
      <xdr:col>6</xdr:col>
      <xdr:colOff>30480</xdr:colOff>
      <xdr:row>5</xdr:row>
      <xdr:rowOff>83820</xdr:rowOff>
    </xdr:from>
    <xdr:to>
      <xdr:col>7</xdr:col>
      <xdr:colOff>480060</xdr:colOff>
      <xdr:row>7</xdr:row>
      <xdr:rowOff>25129</xdr:rowOff>
    </xdr:to>
    <xdr:sp macro="" textlink="Processing!B15">
      <xdr:nvSpPr>
        <xdr:cNvPr id="82" name="TextBox 81">
          <a:extLst>
            <a:ext uri="{FF2B5EF4-FFF2-40B4-BE49-F238E27FC236}">
              <a16:creationId xmlns:a16="http://schemas.microsoft.com/office/drawing/2014/main" id="{F2D73AF7-E2E8-425C-A947-108DE900D1B6}"/>
            </a:ext>
          </a:extLst>
        </xdr:cNvPr>
        <xdr:cNvSpPr txBox="1"/>
      </xdr:nvSpPr>
      <xdr:spPr>
        <a:xfrm>
          <a:off x="3688080" y="998220"/>
          <a:ext cx="1059180" cy="3070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C3128F88-1E2A-46DE-B230-EAB89FAE28DC}" type="TxLink">
            <a:rPr lang="en-US" sz="1800" b="0" i="0" u="none" strike="noStrike">
              <a:solidFill>
                <a:srgbClr val="455177"/>
              </a:solidFill>
              <a:latin typeface="Aptos Narrow"/>
              <a:ea typeface="+mn-ea"/>
              <a:cs typeface="+mn-cs"/>
            </a:rPr>
            <a:pPr marL="0" indent="0" algn="r"/>
            <a:t>$ 7 200</a:t>
          </a:fld>
          <a:endParaRPr lang="ru-RU" sz="3200" b="0" i="0" u="none" strike="noStrike">
            <a:solidFill>
              <a:srgbClr val="455177"/>
            </a:solidFill>
            <a:latin typeface="Aptos Narrow"/>
            <a:ea typeface="+mn-ea"/>
            <a:cs typeface="+mn-cs"/>
          </a:endParaRPr>
        </a:p>
      </xdr:txBody>
    </xdr:sp>
    <xdr:clientData/>
  </xdr:twoCellAnchor>
  <xdr:twoCellAnchor>
    <xdr:from>
      <xdr:col>8</xdr:col>
      <xdr:colOff>457200</xdr:colOff>
      <xdr:row>7</xdr:row>
      <xdr:rowOff>19050</xdr:rowOff>
    </xdr:from>
    <xdr:to>
      <xdr:col>10</xdr:col>
      <xdr:colOff>182880</xdr:colOff>
      <xdr:row>8</xdr:row>
      <xdr:rowOff>143239</xdr:rowOff>
    </xdr:to>
    <xdr:sp macro="" textlink="Processing!D15">
      <xdr:nvSpPr>
        <xdr:cNvPr id="83" name="TextBox 82">
          <a:extLst>
            <a:ext uri="{FF2B5EF4-FFF2-40B4-BE49-F238E27FC236}">
              <a16:creationId xmlns:a16="http://schemas.microsoft.com/office/drawing/2014/main" id="{B637664C-B1A1-4F6A-8ADD-20DBF74DBE11}"/>
            </a:ext>
          </a:extLst>
        </xdr:cNvPr>
        <xdr:cNvSpPr txBox="1"/>
      </xdr:nvSpPr>
      <xdr:spPr>
        <a:xfrm>
          <a:off x="5334000" y="1299210"/>
          <a:ext cx="944880" cy="3070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C7249DB0-3A9D-42CF-B4B5-436F1FD19524}" type="TxLink">
            <a:rPr lang="en-US" sz="1800" b="0" i="0" u="none" strike="noStrike">
              <a:solidFill>
                <a:srgbClr val="455177"/>
              </a:solidFill>
              <a:latin typeface="Aptos Narrow"/>
              <a:ea typeface="+mn-ea"/>
              <a:cs typeface="+mn-cs"/>
            </a:rPr>
            <a:pPr marL="0" indent="0" algn="r"/>
            <a:t>$ 4 700</a:t>
          </a:fld>
          <a:endParaRPr lang="ru-RU" sz="3200" b="0" i="0" u="none" strike="noStrike">
            <a:solidFill>
              <a:srgbClr val="455177"/>
            </a:solidFill>
            <a:latin typeface="Aptos Narrow"/>
            <a:ea typeface="+mn-ea"/>
            <a:cs typeface="+mn-cs"/>
          </a:endParaRPr>
        </a:p>
      </xdr:txBody>
    </xdr:sp>
    <xdr:clientData/>
  </xdr:twoCellAnchor>
  <xdr:twoCellAnchor>
    <xdr:from>
      <xdr:col>8</xdr:col>
      <xdr:colOff>110322</xdr:colOff>
      <xdr:row>5</xdr:row>
      <xdr:rowOff>83820</xdr:rowOff>
    </xdr:from>
    <xdr:to>
      <xdr:col>10</xdr:col>
      <xdr:colOff>148758</xdr:colOff>
      <xdr:row>7</xdr:row>
      <xdr:rowOff>25129</xdr:rowOff>
    </xdr:to>
    <xdr:sp macro="" textlink="Processing!C15">
      <xdr:nvSpPr>
        <xdr:cNvPr id="84" name="TextBox 83">
          <a:extLst>
            <a:ext uri="{FF2B5EF4-FFF2-40B4-BE49-F238E27FC236}">
              <a16:creationId xmlns:a16="http://schemas.microsoft.com/office/drawing/2014/main" id="{2A1305D2-9447-407D-B815-5780D1E08890}"/>
            </a:ext>
          </a:extLst>
        </xdr:cNvPr>
        <xdr:cNvSpPr txBox="1"/>
      </xdr:nvSpPr>
      <xdr:spPr>
        <a:xfrm>
          <a:off x="4987122" y="998220"/>
          <a:ext cx="1257636" cy="3070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A71A3913-BF8B-42DC-AC1C-64182C8DA1E7}" type="TxLink">
            <a:rPr lang="en-US" sz="1400" b="0" i="0" u="none" strike="noStrike">
              <a:solidFill>
                <a:srgbClr val="455177"/>
              </a:solidFill>
              <a:latin typeface="Aptos Narrow"/>
              <a:ea typeface="+mn-ea"/>
              <a:cs typeface="+mn-cs"/>
            </a:rPr>
            <a:pPr marL="0" indent="0" algn="r"/>
            <a:t>Total Progress</a:t>
          </a:fld>
          <a:endParaRPr lang="ru-RU" sz="1400" b="0" i="0" u="none" strike="noStrike">
            <a:solidFill>
              <a:srgbClr val="455177"/>
            </a:solidFill>
            <a:latin typeface="Aptos Narrow"/>
            <a:ea typeface="+mn-ea"/>
            <a:cs typeface="+mn-cs"/>
          </a:endParaRPr>
        </a:p>
      </xdr:txBody>
    </xdr:sp>
    <xdr:clientData/>
  </xdr:twoCellAnchor>
  <xdr:twoCellAnchor>
    <xdr:from>
      <xdr:col>4</xdr:col>
      <xdr:colOff>259080</xdr:colOff>
      <xdr:row>7</xdr:row>
      <xdr:rowOff>19050</xdr:rowOff>
    </xdr:from>
    <xdr:to>
      <xdr:col>6</xdr:col>
      <xdr:colOff>91440</xdr:colOff>
      <xdr:row>8</xdr:row>
      <xdr:rowOff>143239</xdr:rowOff>
    </xdr:to>
    <xdr:sp macro="" textlink="Processing!G15">
      <xdr:nvSpPr>
        <xdr:cNvPr id="85" name="TextBox 84">
          <a:extLst>
            <a:ext uri="{FF2B5EF4-FFF2-40B4-BE49-F238E27FC236}">
              <a16:creationId xmlns:a16="http://schemas.microsoft.com/office/drawing/2014/main" id="{B6AA8843-5E79-42AD-BD74-D0AE2DC675E7}"/>
            </a:ext>
          </a:extLst>
        </xdr:cNvPr>
        <xdr:cNvSpPr txBox="1"/>
      </xdr:nvSpPr>
      <xdr:spPr>
        <a:xfrm>
          <a:off x="2697480" y="1299210"/>
          <a:ext cx="1051560" cy="3070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0E3D2E3A-BAB8-46C6-BA51-F42DD15F3702}" type="TxLink">
            <a:rPr lang="en-US" sz="1400" b="0" i="0" u="none" strike="noStrike">
              <a:solidFill>
                <a:srgbClr val="455177"/>
              </a:solidFill>
              <a:latin typeface="Aptos Narrow"/>
              <a:ea typeface="+mn-ea"/>
              <a:cs typeface="+mn-cs"/>
            </a:rPr>
            <a:pPr marL="0" indent="0" algn="r"/>
            <a:t>Current</a:t>
          </a:fld>
          <a:endParaRPr lang="ru-RU" sz="1400" b="0" i="0" u="none" strike="noStrike">
            <a:solidFill>
              <a:srgbClr val="455177"/>
            </a:solidFill>
            <a:latin typeface="Aptos Narrow"/>
            <a:ea typeface="+mn-ea"/>
            <a:cs typeface="+mn-cs"/>
          </a:endParaRPr>
        </a:p>
      </xdr:txBody>
    </xdr:sp>
    <xdr:clientData/>
  </xdr:twoCellAnchor>
  <xdr:twoCellAnchor>
    <xdr:from>
      <xdr:col>6</xdr:col>
      <xdr:colOff>144780</xdr:colOff>
      <xdr:row>7</xdr:row>
      <xdr:rowOff>19050</xdr:rowOff>
    </xdr:from>
    <xdr:to>
      <xdr:col>7</xdr:col>
      <xdr:colOff>480060</xdr:colOff>
      <xdr:row>8</xdr:row>
      <xdr:rowOff>143239</xdr:rowOff>
    </xdr:to>
    <xdr:sp macro="" textlink="Processing!H15">
      <xdr:nvSpPr>
        <xdr:cNvPr id="86" name="TextBox 85">
          <a:extLst>
            <a:ext uri="{FF2B5EF4-FFF2-40B4-BE49-F238E27FC236}">
              <a16:creationId xmlns:a16="http://schemas.microsoft.com/office/drawing/2014/main" id="{03D389FE-C1DF-47A5-B399-C0B38C022AEA}"/>
            </a:ext>
          </a:extLst>
        </xdr:cNvPr>
        <xdr:cNvSpPr txBox="1"/>
      </xdr:nvSpPr>
      <xdr:spPr>
        <a:xfrm>
          <a:off x="3802380" y="1299210"/>
          <a:ext cx="944880" cy="3070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7DD48265-55C6-49F0-B061-7C10CA1AAB61}" type="TxLink">
            <a:rPr lang="en-US" sz="1800" b="0" i="0" u="none" strike="noStrike">
              <a:solidFill>
                <a:srgbClr val="455177"/>
              </a:solidFill>
              <a:latin typeface="Aptos Narrow"/>
              <a:ea typeface="+mn-ea"/>
              <a:cs typeface="+mn-cs"/>
            </a:rPr>
            <a:pPr marL="0" indent="0" algn="r"/>
            <a:t>$ 2 900</a:t>
          </a:fld>
          <a:endParaRPr lang="ru-RU" sz="1800" b="0" i="0" u="none" strike="noStrike">
            <a:solidFill>
              <a:srgbClr val="455177"/>
            </a:solidFill>
            <a:latin typeface="Aptos Narrow"/>
            <a:ea typeface="+mn-ea"/>
            <a:cs typeface="+mn-cs"/>
          </a:endParaRPr>
        </a:p>
      </xdr:txBody>
    </xdr:sp>
    <xdr:clientData/>
  </xdr:twoCellAnchor>
  <xdr:twoCellAnchor editAs="oneCell">
    <xdr:from>
      <xdr:col>1</xdr:col>
      <xdr:colOff>0</xdr:colOff>
      <xdr:row>1</xdr:row>
      <xdr:rowOff>0</xdr:rowOff>
    </xdr:from>
    <xdr:to>
      <xdr:col>1</xdr:col>
      <xdr:colOff>274320</xdr:colOff>
      <xdr:row>2</xdr:row>
      <xdr:rowOff>91440</xdr:rowOff>
    </xdr:to>
    <xdr:pic>
      <xdr:nvPicPr>
        <xdr:cNvPr id="88" name="Graphic 87" descr="Sun with solid fill">
          <a:extLst>
            <a:ext uri="{FF2B5EF4-FFF2-40B4-BE49-F238E27FC236}">
              <a16:creationId xmlns:a16="http://schemas.microsoft.com/office/drawing/2014/main" id="{C6752BC4-2E5E-4CA4-BCEB-07622DFA1CFC}"/>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609600" y="182880"/>
          <a:ext cx="274320" cy="274320"/>
        </a:xfrm>
        <a:prstGeom prst="rect">
          <a:avLst/>
        </a:prstGeom>
      </xdr:spPr>
    </xdr:pic>
    <xdr:clientData/>
  </xdr:twoCellAnchor>
  <xdr:twoCellAnchor editAs="oneCell">
    <xdr:from>
      <xdr:col>1</xdr:col>
      <xdr:colOff>419100</xdr:colOff>
      <xdr:row>1</xdr:row>
      <xdr:rowOff>0</xdr:rowOff>
    </xdr:from>
    <xdr:to>
      <xdr:col>2</xdr:col>
      <xdr:colOff>83820</xdr:colOff>
      <xdr:row>2</xdr:row>
      <xdr:rowOff>91440</xdr:rowOff>
    </xdr:to>
    <xdr:pic>
      <xdr:nvPicPr>
        <xdr:cNvPr id="89" name="Graphic 88" descr="Moon with solid fill">
          <a:hlinkClick xmlns:r="http://schemas.openxmlformats.org/officeDocument/2006/relationships" r:id="rId14"/>
          <a:extLst>
            <a:ext uri="{FF2B5EF4-FFF2-40B4-BE49-F238E27FC236}">
              <a16:creationId xmlns:a16="http://schemas.microsoft.com/office/drawing/2014/main" id="{2F32F6B5-65F4-4A49-9F8C-2359DECB99BA}"/>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a:off x="1028700" y="182880"/>
          <a:ext cx="274320" cy="274320"/>
        </a:xfrm>
        <a:prstGeom prst="rect">
          <a:avLst/>
        </a:prstGeom>
      </xdr:spPr>
    </xdr:pic>
    <xdr:clientData/>
  </xdr:twoCellAnchor>
  <xdr:twoCellAnchor>
    <xdr:from>
      <xdr:col>3</xdr:col>
      <xdr:colOff>396240</xdr:colOff>
      <xdr:row>26</xdr:row>
      <xdr:rowOff>129540</xdr:rowOff>
    </xdr:from>
    <xdr:to>
      <xdr:col>12</xdr:col>
      <xdr:colOff>91440</xdr:colOff>
      <xdr:row>34</xdr:row>
      <xdr:rowOff>175260</xdr:rowOff>
    </xdr:to>
    <xdr:sp macro="" textlink="">
      <xdr:nvSpPr>
        <xdr:cNvPr id="90" name="Rectangle: Rounded Corners 89">
          <a:hlinkClick xmlns:r="http://schemas.openxmlformats.org/officeDocument/2006/relationships" r:id="rId17"/>
          <a:extLst>
            <a:ext uri="{FF2B5EF4-FFF2-40B4-BE49-F238E27FC236}">
              <a16:creationId xmlns:a16="http://schemas.microsoft.com/office/drawing/2014/main" id="{9DA8720B-4EBE-4470-B30F-021901400499}"/>
            </a:ext>
          </a:extLst>
        </xdr:cNvPr>
        <xdr:cNvSpPr/>
      </xdr:nvSpPr>
      <xdr:spPr>
        <a:xfrm>
          <a:off x="2225040" y="4884420"/>
          <a:ext cx="5181600" cy="150876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16</xdr:col>
      <xdr:colOff>342900</xdr:colOff>
      <xdr:row>17</xdr:row>
      <xdr:rowOff>175260</xdr:rowOff>
    </xdr:from>
    <xdr:to>
      <xdr:col>20</xdr:col>
      <xdr:colOff>190500</xdr:colOff>
      <xdr:row>35</xdr:row>
      <xdr:rowOff>7620</xdr:rowOff>
    </xdr:to>
    <xdr:sp macro="" textlink="">
      <xdr:nvSpPr>
        <xdr:cNvPr id="92" name="Rectangle: Rounded Corners 91">
          <a:hlinkClick xmlns:r="http://schemas.openxmlformats.org/officeDocument/2006/relationships" r:id="rId18"/>
          <a:extLst>
            <a:ext uri="{FF2B5EF4-FFF2-40B4-BE49-F238E27FC236}">
              <a16:creationId xmlns:a16="http://schemas.microsoft.com/office/drawing/2014/main" id="{B5E2423C-DE75-4FA9-9243-7C8E85F19DA9}"/>
            </a:ext>
          </a:extLst>
        </xdr:cNvPr>
        <xdr:cNvSpPr/>
      </xdr:nvSpPr>
      <xdr:spPr>
        <a:xfrm>
          <a:off x="10096500" y="3284220"/>
          <a:ext cx="2286000" cy="312420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editAs="oneCell">
    <xdr:from>
      <xdr:col>0</xdr:col>
      <xdr:colOff>76200</xdr:colOff>
      <xdr:row>1</xdr:row>
      <xdr:rowOff>0</xdr:rowOff>
    </xdr:from>
    <xdr:to>
      <xdr:col>0</xdr:col>
      <xdr:colOff>350520</xdr:colOff>
      <xdr:row>2</xdr:row>
      <xdr:rowOff>91440</xdr:rowOff>
    </xdr:to>
    <xdr:pic>
      <xdr:nvPicPr>
        <xdr:cNvPr id="93" name="Graphic 92" descr="Home with solid fill">
          <a:hlinkClick xmlns:r="http://schemas.openxmlformats.org/officeDocument/2006/relationships" r:id="rId19"/>
          <a:extLst>
            <a:ext uri="{FF2B5EF4-FFF2-40B4-BE49-F238E27FC236}">
              <a16:creationId xmlns:a16="http://schemas.microsoft.com/office/drawing/2014/main" id="{1F5BBA3B-84E2-40D8-9C99-A97C8638D23C}"/>
            </a:ext>
          </a:extLst>
        </xdr:cNvPr>
        <xdr:cNvPicPr>
          <a:picLocks noChangeAspect="1"/>
        </xdr:cNvPicPr>
      </xdr:nvPicPr>
      <xdr:blipFill>
        <a:blip xmlns:r="http://schemas.openxmlformats.org/officeDocument/2006/relationships" r:embed="rId20">
          <a:extLst>
            <a:ext uri="{96DAC541-7B7A-43D3-8B79-37D633B846F1}">
              <asvg:svgBlip xmlns:asvg="http://schemas.microsoft.com/office/drawing/2016/SVG/main" r:embed="rId21"/>
            </a:ext>
          </a:extLst>
        </a:blip>
        <a:stretch>
          <a:fillRect/>
        </a:stretch>
      </xdr:blipFill>
      <xdr:spPr>
        <a:xfrm>
          <a:off x="76200" y="182880"/>
          <a:ext cx="274320" cy="27432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0</xdr:row>
      <xdr:rowOff>0</xdr:rowOff>
    </xdr:from>
    <xdr:to>
      <xdr:col>25</xdr:col>
      <xdr:colOff>304800</xdr:colOff>
      <xdr:row>45</xdr:row>
      <xdr:rowOff>0</xdr:rowOff>
    </xdr:to>
    <xdr:sp macro="" textlink="">
      <xdr:nvSpPr>
        <xdr:cNvPr id="2" name="Rectangle 1">
          <a:extLst>
            <a:ext uri="{FF2B5EF4-FFF2-40B4-BE49-F238E27FC236}">
              <a16:creationId xmlns:a16="http://schemas.microsoft.com/office/drawing/2014/main" id="{077CF7E8-015D-467B-9456-8C817584A094}"/>
            </a:ext>
          </a:extLst>
        </xdr:cNvPr>
        <xdr:cNvSpPr/>
      </xdr:nvSpPr>
      <xdr:spPr>
        <a:xfrm>
          <a:off x="0" y="0"/>
          <a:ext cx="15544800" cy="8229600"/>
        </a:xfrm>
        <a:prstGeom prst="rect">
          <a:avLst/>
        </a:prstGeom>
        <a:gradFill flip="none" rotWithShape="1">
          <a:gsLst>
            <a:gs pos="0">
              <a:srgbClr val="3883D4"/>
            </a:gs>
            <a:gs pos="84000">
              <a:srgbClr val="224192"/>
            </a:gs>
          </a:gsLst>
          <a:lin ang="4200000" scaled="0"/>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clientData/>
  </xdr:twoCellAnchor>
  <xdr:twoCellAnchor>
    <xdr:from>
      <xdr:col>3</xdr:col>
      <xdr:colOff>7620</xdr:colOff>
      <xdr:row>2</xdr:row>
      <xdr:rowOff>99060</xdr:rowOff>
    </xdr:from>
    <xdr:to>
      <xdr:col>20</xdr:col>
      <xdr:colOff>586740</xdr:colOff>
      <xdr:row>39</xdr:row>
      <xdr:rowOff>99060</xdr:rowOff>
    </xdr:to>
    <xdr:sp macro="" textlink="">
      <xdr:nvSpPr>
        <xdr:cNvPr id="3" name="Rectangle: Rounded Corners 2">
          <a:extLst>
            <a:ext uri="{FF2B5EF4-FFF2-40B4-BE49-F238E27FC236}">
              <a16:creationId xmlns:a16="http://schemas.microsoft.com/office/drawing/2014/main" id="{B6AA9D0C-0A1F-4A17-B497-F9C40E427E7B}"/>
            </a:ext>
          </a:extLst>
        </xdr:cNvPr>
        <xdr:cNvSpPr/>
      </xdr:nvSpPr>
      <xdr:spPr>
        <a:xfrm>
          <a:off x="1836420" y="464820"/>
          <a:ext cx="10942320" cy="6766560"/>
        </a:xfrm>
        <a:prstGeom prst="roundRect">
          <a:avLst>
            <a:gd name="adj" fmla="val 4034"/>
          </a:avLst>
        </a:prstGeom>
        <a:gradFill>
          <a:gsLst>
            <a:gs pos="0">
              <a:srgbClr val="21509A"/>
            </a:gs>
            <a:gs pos="52000">
              <a:srgbClr val="0F2453"/>
            </a:gs>
          </a:gsLst>
          <a:lin ang="4200000" scaled="0"/>
        </a:gradFill>
        <a:ln w="9525">
          <a:gradFill>
            <a:gsLst>
              <a:gs pos="50384">
                <a:srgbClr val="BCC6FF"/>
              </a:gs>
              <a:gs pos="0">
                <a:srgbClr val="6494DA"/>
              </a:gs>
              <a:gs pos="94000">
                <a:srgbClr val="2F6EC7"/>
              </a:gs>
            </a:gsLst>
            <a:lin ang="5400000" scaled="1"/>
          </a:gradFill>
        </a:ln>
        <a:effectLst>
          <a:outerShdw blurRad="508000" dist="190500" dir="8100000" algn="tr" rotWithShape="0">
            <a:prstClr val="black">
              <a:alpha val="5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clientData/>
  </xdr:twoCellAnchor>
  <xdr:twoCellAnchor>
    <xdr:from>
      <xdr:col>3</xdr:col>
      <xdr:colOff>426720</xdr:colOff>
      <xdr:row>4</xdr:row>
      <xdr:rowOff>99060</xdr:rowOff>
    </xdr:from>
    <xdr:to>
      <xdr:col>12</xdr:col>
      <xdr:colOff>121920</xdr:colOff>
      <xdr:row>23</xdr:row>
      <xdr:rowOff>99060</xdr:rowOff>
    </xdr:to>
    <xdr:sp macro="" textlink="">
      <xdr:nvSpPr>
        <xdr:cNvPr id="4" name="Rectangle: Rounded Corners 3">
          <a:extLst>
            <a:ext uri="{FF2B5EF4-FFF2-40B4-BE49-F238E27FC236}">
              <a16:creationId xmlns:a16="http://schemas.microsoft.com/office/drawing/2014/main" id="{D4788FEE-0E2C-4E51-A8AB-9271D57AF24F}"/>
            </a:ext>
          </a:extLst>
        </xdr:cNvPr>
        <xdr:cNvSpPr/>
      </xdr:nvSpPr>
      <xdr:spPr>
        <a:xfrm>
          <a:off x="2255520" y="830580"/>
          <a:ext cx="5181600" cy="3474720"/>
        </a:xfrm>
        <a:prstGeom prst="roundRect">
          <a:avLst>
            <a:gd name="adj" fmla="val 5410"/>
          </a:avLst>
        </a:prstGeom>
        <a:gradFill flip="none" rotWithShape="1">
          <a:gsLst>
            <a:gs pos="18000">
              <a:srgbClr val="1C4285"/>
            </a:gs>
            <a:gs pos="74000">
              <a:srgbClr val="13295E"/>
            </a:gs>
          </a:gsLst>
          <a:lin ang="4800000" scaled="0"/>
          <a:tileRect/>
        </a:gradFill>
        <a:ln w="9525">
          <a:gradFill>
            <a:gsLst>
              <a:gs pos="0">
                <a:srgbClr val="6494DA"/>
              </a:gs>
              <a:gs pos="74000">
                <a:srgbClr val="BCC6FF"/>
              </a:gs>
              <a:gs pos="100000">
                <a:srgbClr val="2F6EC7"/>
              </a:gs>
            </a:gsLst>
            <a:lin ang="5400000" scaled="1"/>
          </a:gradFill>
        </a:ln>
        <a:effectLst>
          <a:outerShdw blurRad="190500" dist="101600" dir="8100000" algn="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clientData/>
  </xdr:twoCellAnchor>
  <xdr:twoCellAnchor>
    <xdr:from>
      <xdr:col>3</xdr:col>
      <xdr:colOff>403860</xdr:colOff>
      <xdr:row>24</xdr:row>
      <xdr:rowOff>102602</xdr:rowOff>
    </xdr:from>
    <xdr:to>
      <xdr:col>12</xdr:col>
      <xdr:colOff>99060</xdr:colOff>
      <xdr:row>37</xdr:row>
      <xdr:rowOff>102602</xdr:rowOff>
    </xdr:to>
    <xdr:sp macro="" textlink="Processing!A16">
      <xdr:nvSpPr>
        <xdr:cNvPr id="5" name="Rectangle: Rounded Corners 4">
          <a:extLst>
            <a:ext uri="{FF2B5EF4-FFF2-40B4-BE49-F238E27FC236}">
              <a16:creationId xmlns:a16="http://schemas.microsoft.com/office/drawing/2014/main" id="{1246CB9A-5968-4EE6-B9F9-5AAE60203310}"/>
            </a:ext>
          </a:extLst>
        </xdr:cNvPr>
        <xdr:cNvSpPr/>
      </xdr:nvSpPr>
      <xdr:spPr>
        <a:xfrm>
          <a:off x="2232660" y="4491722"/>
          <a:ext cx="5181600" cy="2377440"/>
        </a:xfrm>
        <a:prstGeom prst="roundRect">
          <a:avLst>
            <a:gd name="adj" fmla="val 7756"/>
          </a:avLst>
        </a:prstGeom>
        <a:gradFill flip="none" rotWithShape="1">
          <a:gsLst>
            <a:gs pos="0">
              <a:srgbClr val="15306A"/>
            </a:gs>
            <a:gs pos="60000">
              <a:srgbClr val="13295E"/>
            </a:gs>
          </a:gsLst>
          <a:lin ang="4200000" scaled="0"/>
          <a:tileRect/>
        </a:gradFill>
        <a:ln w="9525">
          <a:gradFill flip="none" rotWithShape="1">
            <a:gsLst>
              <a:gs pos="0">
                <a:srgbClr val="6494DA"/>
              </a:gs>
              <a:gs pos="100000">
                <a:srgbClr val="2F6EC7"/>
              </a:gs>
            </a:gsLst>
            <a:lin ang="8100000" scaled="1"/>
            <a:tileRect/>
          </a:gradFill>
        </a:ln>
        <a:effectLst>
          <a:outerShdw blurRad="190500" dist="101600" dir="8100000" algn="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sz="2000">
            <a:solidFill>
              <a:schemeClr val="tx2">
                <a:lumMod val="25000"/>
                <a:lumOff val="75000"/>
              </a:schemeClr>
            </a:solidFill>
          </a:endParaRPr>
        </a:p>
      </xdr:txBody>
    </xdr:sp>
    <xdr:clientData/>
  </xdr:twoCellAnchor>
  <xdr:twoCellAnchor>
    <xdr:from>
      <xdr:col>12</xdr:col>
      <xdr:colOff>314716</xdr:colOff>
      <xdr:row>18</xdr:row>
      <xdr:rowOff>11162</xdr:rowOff>
    </xdr:from>
    <xdr:to>
      <xdr:col>16</xdr:col>
      <xdr:colOff>162316</xdr:colOff>
      <xdr:row>37</xdr:row>
      <xdr:rowOff>102602</xdr:rowOff>
    </xdr:to>
    <xdr:sp macro="" textlink="Processing!A39">
      <xdr:nvSpPr>
        <xdr:cNvPr id="6" name="Rectangle: Rounded Corners 5">
          <a:extLst>
            <a:ext uri="{FF2B5EF4-FFF2-40B4-BE49-F238E27FC236}">
              <a16:creationId xmlns:a16="http://schemas.microsoft.com/office/drawing/2014/main" id="{D3871395-C6C8-44DB-80E9-28D555E3B97D}"/>
            </a:ext>
          </a:extLst>
        </xdr:cNvPr>
        <xdr:cNvSpPr/>
      </xdr:nvSpPr>
      <xdr:spPr>
        <a:xfrm>
          <a:off x="7629916" y="3303002"/>
          <a:ext cx="2286000" cy="3566160"/>
        </a:xfrm>
        <a:prstGeom prst="roundRect">
          <a:avLst>
            <a:gd name="adj" fmla="val 6756"/>
          </a:avLst>
        </a:prstGeom>
        <a:gradFill flip="none" rotWithShape="1">
          <a:gsLst>
            <a:gs pos="0">
              <a:srgbClr val="15306A"/>
            </a:gs>
            <a:gs pos="84000">
              <a:srgbClr val="13295E"/>
            </a:gs>
          </a:gsLst>
          <a:lin ang="4200000" scaled="0"/>
          <a:tileRect/>
        </a:gradFill>
        <a:ln w="9525">
          <a:gradFill flip="none" rotWithShape="1">
            <a:gsLst>
              <a:gs pos="0">
                <a:srgbClr val="6494DA"/>
              </a:gs>
              <a:gs pos="62000">
                <a:srgbClr val="4F62B8"/>
              </a:gs>
            </a:gsLst>
            <a:lin ang="8100000" scaled="1"/>
            <a:tileRect/>
          </a:gradFill>
        </a:ln>
        <a:effectLst>
          <a:outerShdw blurRad="190500" dist="101600" dir="8100000" algn="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fld id="{C4FBDBAC-C864-40E9-A360-74884EA78C45}" type="TxLink">
            <a:rPr lang="en-US" sz="1200" b="0" i="0" u="none" strike="noStrike">
              <a:solidFill>
                <a:schemeClr val="tx2">
                  <a:lumMod val="25000"/>
                  <a:lumOff val="75000"/>
                </a:schemeClr>
              </a:solidFill>
              <a:latin typeface="Aptos Narrow"/>
            </a:rPr>
            <a:pPr algn="ctr"/>
            <a:t>Source Rating</a:t>
          </a:fld>
          <a:endParaRPr lang="ru-RU" sz="2400">
            <a:solidFill>
              <a:schemeClr val="tx2">
                <a:lumMod val="25000"/>
                <a:lumOff val="75000"/>
              </a:schemeClr>
            </a:solidFill>
          </a:endParaRPr>
        </a:p>
      </xdr:txBody>
    </xdr:sp>
    <xdr:clientData/>
  </xdr:twoCellAnchor>
  <xdr:twoCellAnchor>
    <xdr:from>
      <xdr:col>12</xdr:col>
      <xdr:colOff>314716</xdr:colOff>
      <xdr:row>4</xdr:row>
      <xdr:rowOff>106680</xdr:rowOff>
    </xdr:from>
    <xdr:to>
      <xdr:col>20</xdr:col>
      <xdr:colOff>192796</xdr:colOff>
      <xdr:row>17</xdr:row>
      <xdr:rowOff>15240</xdr:rowOff>
    </xdr:to>
    <xdr:sp macro="" textlink="">
      <xdr:nvSpPr>
        <xdr:cNvPr id="7" name="Rectangle: Rounded Corners 6">
          <a:extLst>
            <a:ext uri="{FF2B5EF4-FFF2-40B4-BE49-F238E27FC236}">
              <a16:creationId xmlns:a16="http://schemas.microsoft.com/office/drawing/2014/main" id="{12B3700D-1F09-40A3-BBCA-66135FACAACE}"/>
            </a:ext>
          </a:extLst>
        </xdr:cNvPr>
        <xdr:cNvSpPr/>
      </xdr:nvSpPr>
      <xdr:spPr>
        <a:xfrm>
          <a:off x="7629916" y="838200"/>
          <a:ext cx="4754880" cy="2286000"/>
        </a:xfrm>
        <a:prstGeom prst="roundRect">
          <a:avLst>
            <a:gd name="adj" fmla="val 7756"/>
          </a:avLst>
        </a:prstGeom>
        <a:gradFill flip="none" rotWithShape="1">
          <a:gsLst>
            <a:gs pos="0">
              <a:srgbClr val="1C4285"/>
            </a:gs>
            <a:gs pos="84000">
              <a:srgbClr val="132D64"/>
            </a:gs>
          </a:gsLst>
          <a:lin ang="2700000" scaled="1"/>
          <a:tileRect/>
        </a:gradFill>
        <a:ln w="9525">
          <a:gradFill>
            <a:gsLst>
              <a:gs pos="49000">
                <a:srgbClr val="BCC6FF"/>
              </a:gs>
              <a:gs pos="0">
                <a:srgbClr val="6494DA"/>
              </a:gs>
              <a:gs pos="100000">
                <a:srgbClr val="2F6EC7"/>
              </a:gs>
            </a:gsLst>
            <a:lin ang="5400000" scaled="1"/>
          </a:gradFill>
        </a:ln>
        <a:effectLst>
          <a:outerShdw blurRad="190500" dist="101600" dir="8100000" algn="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clientData/>
  </xdr:twoCellAnchor>
  <xdr:twoCellAnchor>
    <xdr:from>
      <xdr:col>16</xdr:col>
      <xdr:colOff>345196</xdr:colOff>
      <xdr:row>18</xdr:row>
      <xdr:rowOff>11162</xdr:rowOff>
    </xdr:from>
    <xdr:to>
      <xdr:col>20</xdr:col>
      <xdr:colOff>192796</xdr:colOff>
      <xdr:row>37</xdr:row>
      <xdr:rowOff>102602</xdr:rowOff>
    </xdr:to>
    <xdr:sp macro="" textlink="Processing!J50">
      <xdr:nvSpPr>
        <xdr:cNvPr id="8" name="Rectangle: Rounded Corners 7">
          <a:extLst>
            <a:ext uri="{FF2B5EF4-FFF2-40B4-BE49-F238E27FC236}">
              <a16:creationId xmlns:a16="http://schemas.microsoft.com/office/drawing/2014/main" id="{F720F0A4-3EAE-4F43-B66A-8C46430BB69B}"/>
            </a:ext>
          </a:extLst>
        </xdr:cNvPr>
        <xdr:cNvSpPr/>
      </xdr:nvSpPr>
      <xdr:spPr>
        <a:xfrm>
          <a:off x="10098796" y="3303002"/>
          <a:ext cx="2286000" cy="3566160"/>
        </a:xfrm>
        <a:prstGeom prst="roundRect">
          <a:avLst>
            <a:gd name="adj" fmla="val 6756"/>
          </a:avLst>
        </a:prstGeom>
        <a:gradFill flip="none" rotWithShape="1">
          <a:gsLst>
            <a:gs pos="0">
              <a:srgbClr val="15306A"/>
            </a:gs>
            <a:gs pos="70000">
              <a:srgbClr val="13295E"/>
            </a:gs>
          </a:gsLst>
          <a:lin ang="4200000" scaled="0"/>
          <a:tileRect/>
        </a:gradFill>
        <a:ln w="9525">
          <a:gradFill flip="none" rotWithShape="1">
            <a:gsLst>
              <a:gs pos="0">
                <a:srgbClr val="6494DA"/>
              </a:gs>
              <a:gs pos="59000">
                <a:srgbClr val="4F62B8"/>
              </a:gs>
            </a:gsLst>
            <a:lin ang="8100000" scaled="1"/>
            <a:tileRect/>
          </a:gradFill>
        </a:ln>
        <a:effectLst>
          <a:outerShdw blurRad="190500" dist="101600" dir="8100000" algn="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fld id="{1DE3003E-1F1C-47CB-AEC1-2E414D995FCE}" type="TxLink">
            <a:rPr lang="en-US" sz="1200" b="0" i="0" u="none" strike="noStrike">
              <a:solidFill>
                <a:schemeClr val="tx2">
                  <a:lumMod val="25000"/>
                  <a:lumOff val="75000"/>
                </a:schemeClr>
              </a:solidFill>
              <a:latin typeface="Aptos Narrow"/>
            </a:rPr>
            <a:pPr algn="ctr"/>
            <a:t>Essential Costs</a:t>
          </a:fld>
          <a:endParaRPr lang="ru-RU" sz="2000">
            <a:solidFill>
              <a:schemeClr val="tx2">
                <a:lumMod val="25000"/>
                <a:lumOff val="75000"/>
              </a:schemeClr>
            </a:solidFill>
          </a:endParaRPr>
        </a:p>
      </xdr:txBody>
    </xdr:sp>
    <xdr:clientData/>
  </xdr:twoCellAnchor>
  <xdr:twoCellAnchor>
    <xdr:from>
      <xdr:col>12</xdr:col>
      <xdr:colOff>403860</xdr:colOff>
      <xdr:row>5</xdr:row>
      <xdr:rowOff>53340</xdr:rowOff>
    </xdr:from>
    <xdr:to>
      <xdr:col>15</xdr:col>
      <xdr:colOff>586740</xdr:colOff>
      <xdr:row>16</xdr:row>
      <xdr:rowOff>53340</xdr:rowOff>
    </xdr:to>
    <xdr:graphicFrame macro="">
      <xdr:nvGraphicFramePr>
        <xdr:cNvPr id="12" name="Chart 11">
          <a:extLst>
            <a:ext uri="{FF2B5EF4-FFF2-40B4-BE49-F238E27FC236}">
              <a16:creationId xmlns:a16="http://schemas.microsoft.com/office/drawing/2014/main" id="{C02E1264-AEC6-49D0-A24B-E6868F90DEF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342900</xdr:colOff>
      <xdr:row>9</xdr:row>
      <xdr:rowOff>76200</xdr:rowOff>
    </xdr:from>
    <xdr:to>
      <xdr:col>15</xdr:col>
      <xdr:colOff>38100</xdr:colOff>
      <xdr:row>11</xdr:row>
      <xdr:rowOff>160020</xdr:rowOff>
    </xdr:to>
    <xdr:sp macro="" textlink="Processing!S3">
      <xdr:nvSpPr>
        <xdr:cNvPr id="13" name="TextBox 12">
          <a:extLst>
            <a:ext uri="{FF2B5EF4-FFF2-40B4-BE49-F238E27FC236}">
              <a16:creationId xmlns:a16="http://schemas.microsoft.com/office/drawing/2014/main" id="{3937AABD-12C7-4AF2-A525-C628A60FAF2D}"/>
            </a:ext>
          </a:extLst>
        </xdr:cNvPr>
        <xdr:cNvSpPr txBox="1"/>
      </xdr:nvSpPr>
      <xdr:spPr>
        <a:xfrm>
          <a:off x="8267700" y="1722120"/>
          <a:ext cx="914400" cy="4495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E76BA41-C5AD-4A6D-8F20-94D5DF0D5944}" type="TxLink">
            <a:rPr lang="en-US" sz="2800" b="0" i="0" u="none" strike="noStrike">
              <a:solidFill>
                <a:schemeClr val="bg1"/>
              </a:solidFill>
              <a:latin typeface="Aptos Narrow"/>
            </a:rPr>
            <a:pPr algn="ctr"/>
            <a:t>64%</a:t>
          </a:fld>
          <a:endParaRPr lang="ru-RU" sz="2800">
            <a:solidFill>
              <a:schemeClr val="bg1"/>
            </a:solidFill>
          </a:endParaRPr>
        </a:p>
      </xdr:txBody>
    </xdr:sp>
    <xdr:clientData/>
  </xdr:twoCellAnchor>
  <xdr:twoCellAnchor>
    <xdr:from>
      <xdr:col>13</xdr:col>
      <xdr:colOff>342900</xdr:colOff>
      <xdr:row>10</xdr:row>
      <xdr:rowOff>167640</xdr:rowOff>
    </xdr:from>
    <xdr:to>
      <xdr:col>15</xdr:col>
      <xdr:colOff>38100</xdr:colOff>
      <xdr:row>13</xdr:row>
      <xdr:rowOff>68580</xdr:rowOff>
    </xdr:to>
    <xdr:sp macro="" textlink="Processing!S1">
      <xdr:nvSpPr>
        <xdr:cNvPr id="14" name="TextBox 13">
          <a:extLst>
            <a:ext uri="{FF2B5EF4-FFF2-40B4-BE49-F238E27FC236}">
              <a16:creationId xmlns:a16="http://schemas.microsoft.com/office/drawing/2014/main" id="{348E8687-2DD7-4BA7-BBB5-607219B05CE4}"/>
            </a:ext>
          </a:extLst>
        </xdr:cNvPr>
        <xdr:cNvSpPr txBox="1"/>
      </xdr:nvSpPr>
      <xdr:spPr>
        <a:xfrm>
          <a:off x="8267700" y="1996440"/>
          <a:ext cx="914400" cy="4495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F56BAA3-B378-48FE-B598-FF2C3B2AC85A}" type="TxLink">
            <a:rPr lang="en-US" sz="1400" b="0" i="0" u="none" strike="noStrike">
              <a:solidFill>
                <a:schemeClr val="tx2">
                  <a:lumMod val="25000"/>
                  <a:lumOff val="75000"/>
                </a:schemeClr>
              </a:solidFill>
              <a:latin typeface="Aptos Narrow"/>
            </a:rPr>
            <a:pPr algn="ctr"/>
            <a:t>Budget</a:t>
          </a:fld>
          <a:endParaRPr lang="ru-RU" sz="3600" b="0">
            <a:solidFill>
              <a:schemeClr val="tx2">
                <a:lumMod val="25000"/>
                <a:lumOff val="75000"/>
              </a:schemeClr>
            </a:solidFill>
          </a:endParaRPr>
        </a:p>
      </xdr:txBody>
    </xdr:sp>
    <xdr:clientData/>
  </xdr:twoCellAnchor>
  <xdr:twoCellAnchor>
    <xdr:from>
      <xdr:col>16</xdr:col>
      <xdr:colOff>0</xdr:colOff>
      <xdr:row>5</xdr:row>
      <xdr:rowOff>22860</xdr:rowOff>
    </xdr:from>
    <xdr:to>
      <xdr:col>20</xdr:col>
      <xdr:colOff>83820</xdr:colOff>
      <xdr:row>16</xdr:row>
      <xdr:rowOff>114300</xdr:rowOff>
    </xdr:to>
    <xdr:sp macro="" textlink="">
      <xdr:nvSpPr>
        <xdr:cNvPr id="15" name="Rectangle: Rounded Corners 14">
          <a:extLst>
            <a:ext uri="{FF2B5EF4-FFF2-40B4-BE49-F238E27FC236}">
              <a16:creationId xmlns:a16="http://schemas.microsoft.com/office/drawing/2014/main" id="{194CE9B7-5C08-44E6-91AD-6E0ECF9CD7CE}"/>
            </a:ext>
          </a:extLst>
        </xdr:cNvPr>
        <xdr:cNvSpPr/>
      </xdr:nvSpPr>
      <xdr:spPr>
        <a:xfrm>
          <a:off x="9753600" y="937260"/>
          <a:ext cx="2522220" cy="2103120"/>
        </a:xfrm>
        <a:prstGeom prst="roundRect">
          <a:avLst>
            <a:gd name="adj" fmla="val 7028"/>
          </a:avLst>
        </a:prstGeom>
        <a:solidFill>
          <a:srgbClr val="00103E"/>
        </a:solidFill>
        <a:ln w="9525">
          <a:solidFill>
            <a:schemeClr val="tx2">
              <a:lumMod val="75000"/>
              <a:lumOff val="25000"/>
            </a:schemeClr>
          </a:solidFill>
        </a:ln>
        <a:effectLst>
          <a:innerShdw blurRad="393700">
            <a:prstClr val="black"/>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16</xdr:col>
      <xdr:colOff>22860</xdr:colOff>
      <xdr:row>6</xdr:row>
      <xdr:rowOff>144780</xdr:rowOff>
    </xdr:from>
    <xdr:to>
      <xdr:col>20</xdr:col>
      <xdr:colOff>53340</xdr:colOff>
      <xdr:row>17</xdr:row>
      <xdr:rowOff>144780</xdr:rowOff>
    </xdr:to>
    <xdr:graphicFrame macro="">
      <xdr:nvGraphicFramePr>
        <xdr:cNvPr id="16" name="Chart 15">
          <a:extLst>
            <a:ext uri="{FF2B5EF4-FFF2-40B4-BE49-F238E27FC236}">
              <a16:creationId xmlns:a16="http://schemas.microsoft.com/office/drawing/2014/main" id="{4B49CDDC-658E-4CCE-939D-EB97E18404D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76200</xdr:colOff>
      <xdr:row>5</xdr:row>
      <xdr:rowOff>144780</xdr:rowOff>
    </xdr:from>
    <xdr:to>
      <xdr:col>20</xdr:col>
      <xdr:colOff>22860</xdr:colOff>
      <xdr:row>7</xdr:row>
      <xdr:rowOff>53340</xdr:rowOff>
    </xdr:to>
    <xdr:sp macro="" textlink="">
      <xdr:nvSpPr>
        <xdr:cNvPr id="17" name="TextBox 16">
          <a:extLst>
            <a:ext uri="{FF2B5EF4-FFF2-40B4-BE49-F238E27FC236}">
              <a16:creationId xmlns:a16="http://schemas.microsoft.com/office/drawing/2014/main" id="{8F3E2A58-B286-4573-8178-9F196A59B9A4}"/>
            </a:ext>
          </a:extLst>
        </xdr:cNvPr>
        <xdr:cNvSpPr txBox="1"/>
      </xdr:nvSpPr>
      <xdr:spPr>
        <a:xfrm>
          <a:off x="9829800" y="1059180"/>
          <a:ext cx="238506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100">
              <a:solidFill>
                <a:srgbClr val="FF6CFF"/>
              </a:solidFill>
            </a:rPr>
            <a:t>SU  </a:t>
          </a:r>
          <a:r>
            <a:rPr lang="en-US" sz="1100">
              <a:solidFill>
                <a:srgbClr val="0062C4"/>
              </a:solidFill>
            </a:rPr>
            <a:t>     MO       TU      WE      TH       FR       </a:t>
          </a:r>
          <a:r>
            <a:rPr lang="en-US" sz="1100">
              <a:solidFill>
                <a:srgbClr val="FF6CFF"/>
              </a:solidFill>
            </a:rPr>
            <a:t>SA</a:t>
          </a:r>
        </a:p>
      </xdr:txBody>
    </xdr:sp>
    <xdr:clientData/>
  </xdr:twoCellAnchor>
  <xdr:twoCellAnchor>
    <xdr:from>
      <xdr:col>3</xdr:col>
      <xdr:colOff>495300</xdr:colOff>
      <xdr:row>10</xdr:row>
      <xdr:rowOff>76200</xdr:rowOff>
    </xdr:from>
    <xdr:to>
      <xdr:col>12</xdr:col>
      <xdr:colOff>83820</xdr:colOff>
      <xdr:row>22</xdr:row>
      <xdr:rowOff>76200</xdr:rowOff>
    </xdr:to>
    <xdr:graphicFrame macro="">
      <xdr:nvGraphicFramePr>
        <xdr:cNvPr id="18" name="Chart 17">
          <a:extLst>
            <a:ext uri="{FF2B5EF4-FFF2-40B4-BE49-F238E27FC236}">
              <a16:creationId xmlns:a16="http://schemas.microsoft.com/office/drawing/2014/main" id="{BDC03DD2-646B-426A-ACD8-B1D95D63128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343967</xdr:colOff>
      <xdr:row>19</xdr:row>
      <xdr:rowOff>91440</xdr:rowOff>
    </xdr:from>
    <xdr:to>
      <xdr:col>16</xdr:col>
      <xdr:colOff>191567</xdr:colOff>
      <xdr:row>28</xdr:row>
      <xdr:rowOff>0</xdr:rowOff>
    </xdr:to>
    <xdr:graphicFrame macro="">
      <xdr:nvGraphicFramePr>
        <xdr:cNvPr id="19" name="Chart 18">
          <a:extLst>
            <a:ext uri="{FF2B5EF4-FFF2-40B4-BE49-F238E27FC236}">
              <a16:creationId xmlns:a16="http://schemas.microsoft.com/office/drawing/2014/main" id="{0740E791-1EAD-49A7-9154-089CFBA4E48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320040</xdr:colOff>
      <xdr:row>27</xdr:row>
      <xdr:rowOff>167640</xdr:rowOff>
    </xdr:from>
    <xdr:to>
      <xdr:col>16</xdr:col>
      <xdr:colOff>167640</xdr:colOff>
      <xdr:row>35</xdr:row>
      <xdr:rowOff>76200</xdr:rowOff>
    </xdr:to>
    <xdr:graphicFrame macro="">
      <xdr:nvGraphicFramePr>
        <xdr:cNvPr id="20" name="Chart 19">
          <a:extLst>
            <a:ext uri="{FF2B5EF4-FFF2-40B4-BE49-F238E27FC236}">
              <a16:creationId xmlns:a16="http://schemas.microsoft.com/office/drawing/2014/main" id="{2865318D-2A78-4FA2-BBD6-A9386A7FE0E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16</xdr:col>
      <xdr:colOff>502920</xdr:colOff>
      <xdr:row>19</xdr:row>
      <xdr:rowOff>76200</xdr:rowOff>
    </xdr:from>
    <xdr:to>
      <xdr:col>20</xdr:col>
      <xdr:colOff>76200</xdr:colOff>
      <xdr:row>30</xdr:row>
      <xdr:rowOff>76200</xdr:rowOff>
    </xdr:to>
    <xdr:grpSp>
      <xdr:nvGrpSpPr>
        <xdr:cNvPr id="21" name="Group 20">
          <a:extLst>
            <a:ext uri="{FF2B5EF4-FFF2-40B4-BE49-F238E27FC236}">
              <a16:creationId xmlns:a16="http://schemas.microsoft.com/office/drawing/2014/main" id="{AD6E1B2C-5333-48AC-B341-A1582AF0E4B7}"/>
            </a:ext>
          </a:extLst>
        </xdr:cNvPr>
        <xdr:cNvGrpSpPr/>
      </xdr:nvGrpSpPr>
      <xdr:grpSpPr>
        <a:xfrm>
          <a:off x="10324253" y="3695700"/>
          <a:ext cx="2028614" cy="2095500"/>
          <a:chOff x="10287000" y="3314700"/>
          <a:chExt cx="2011680" cy="2011680"/>
        </a:xfrm>
      </xdr:grpSpPr>
      <xdr:graphicFrame macro="">
        <xdr:nvGraphicFramePr>
          <xdr:cNvPr id="22" name="Chart 21">
            <a:extLst>
              <a:ext uri="{FF2B5EF4-FFF2-40B4-BE49-F238E27FC236}">
                <a16:creationId xmlns:a16="http://schemas.microsoft.com/office/drawing/2014/main" id="{55AD6F68-234B-A289-92A7-3286903325EC}"/>
              </a:ext>
            </a:extLst>
          </xdr:cNvPr>
          <xdr:cNvGraphicFramePr>
            <a:graphicFrameLocks/>
          </xdr:cNvGraphicFramePr>
        </xdr:nvGraphicFramePr>
        <xdr:xfrm>
          <a:off x="10424160" y="3451860"/>
          <a:ext cx="1737360" cy="1737360"/>
        </xdr:xfrm>
        <a:graphic>
          <a:graphicData uri="http://schemas.openxmlformats.org/drawingml/2006/chart">
            <c:chart xmlns:c="http://schemas.openxmlformats.org/drawingml/2006/chart" xmlns:r="http://schemas.openxmlformats.org/officeDocument/2006/relationships" r:id="rId6"/>
          </a:graphicData>
        </a:graphic>
      </xdr:graphicFrame>
      <xdr:graphicFrame macro="">
        <xdr:nvGraphicFramePr>
          <xdr:cNvPr id="23" name="Chart 22">
            <a:extLst>
              <a:ext uri="{FF2B5EF4-FFF2-40B4-BE49-F238E27FC236}">
                <a16:creationId xmlns:a16="http://schemas.microsoft.com/office/drawing/2014/main" id="{9EB974FA-B6F0-D166-D166-5DF1B6E0B4FB}"/>
              </a:ext>
            </a:extLst>
          </xdr:cNvPr>
          <xdr:cNvGraphicFramePr>
            <a:graphicFrameLocks/>
          </xdr:cNvGraphicFramePr>
        </xdr:nvGraphicFramePr>
        <xdr:xfrm>
          <a:off x="10287000" y="3314700"/>
          <a:ext cx="2011680" cy="2011680"/>
        </xdr:xfrm>
        <a:graphic>
          <a:graphicData uri="http://schemas.openxmlformats.org/drawingml/2006/chart">
            <c:chart xmlns:c="http://schemas.openxmlformats.org/drawingml/2006/chart" xmlns:r="http://schemas.openxmlformats.org/officeDocument/2006/relationships" r:id="rId7"/>
          </a:graphicData>
        </a:graphic>
      </xdr:graphicFrame>
    </xdr:grpSp>
    <xdr:clientData/>
  </xdr:twoCellAnchor>
  <xdr:twoCellAnchor>
    <xdr:from>
      <xdr:col>16</xdr:col>
      <xdr:colOff>485018</xdr:colOff>
      <xdr:row>28</xdr:row>
      <xdr:rowOff>152400</xdr:rowOff>
    </xdr:from>
    <xdr:to>
      <xdr:col>20</xdr:col>
      <xdr:colOff>58298</xdr:colOff>
      <xdr:row>35</xdr:row>
      <xdr:rowOff>99060</xdr:rowOff>
    </xdr:to>
    <xdr:graphicFrame macro="">
      <xdr:nvGraphicFramePr>
        <xdr:cNvPr id="24" name="Chart 23">
          <a:extLst>
            <a:ext uri="{FF2B5EF4-FFF2-40B4-BE49-F238E27FC236}">
              <a16:creationId xmlns:a16="http://schemas.microsoft.com/office/drawing/2014/main" id="{085A7113-C3B4-45B8-A552-19E390B8171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12</xdr:col>
      <xdr:colOff>419100</xdr:colOff>
      <xdr:row>35</xdr:row>
      <xdr:rowOff>0</xdr:rowOff>
    </xdr:from>
    <xdr:to>
      <xdr:col>16</xdr:col>
      <xdr:colOff>83820</xdr:colOff>
      <xdr:row>37</xdr:row>
      <xdr:rowOff>64008</xdr:rowOff>
    </xdr:to>
    <mc:AlternateContent xmlns:mc="http://schemas.openxmlformats.org/markup-compatibility/2006" xmlns:a14="http://schemas.microsoft.com/office/drawing/2010/main">
      <mc:Choice Requires="a14">
        <xdr:graphicFrame macro="">
          <xdr:nvGraphicFramePr>
            <xdr:cNvPr id="25" name="Year 2">
              <a:extLst>
                <a:ext uri="{FF2B5EF4-FFF2-40B4-BE49-F238E27FC236}">
                  <a16:creationId xmlns:a16="http://schemas.microsoft.com/office/drawing/2014/main" id="{2D1728F2-D0D3-4E5B-B50B-E26CEDAB3EBF}"/>
                </a:ext>
              </a:extLst>
            </xdr:cNvPr>
            <xdr:cNvGraphicFramePr/>
          </xdr:nvGraphicFramePr>
          <xdr:xfrm>
            <a:off x="0" y="0"/>
            <a:ext cx="0" cy="0"/>
          </xdr:xfrm>
          <a:graphic>
            <a:graphicData uri="http://schemas.microsoft.com/office/drawing/2010/slicer">
              <sle:slicer xmlns:sle="http://schemas.microsoft.com/office/drawing/2010/slicer" name="Year 2"/>
            </a:graphicData>
          </a:graphic>
        </xdr:graphicFrame>
      </mc:Choice>
      <mc:Fallback xmlns="">
        <xdr:sp macro="" textlink="">
          <xdr:nvSpPr>
            <xdr:cNvPr id="0" name=""/>
            <xdr:cNvSpPr>
              <a:spLocks noTextEdit="1"/>
            </xdr:cNvSpPr>
          </xdr:nvSpPr>
          <xdr:spPr>
            <a:xfrm>
              <a:off x="7734300" y="6400800"/>
              <a:ext cx="2103120" cy="429768"/>
            </a:xfrm>
            <a:prstGeom prst="rect">
              <a:avLst/>
            </a:prstGeom>
            <a:solidFill>
              <a:prstClr val="white"/>
            </a:solidFill>
            <a:ln w="1">
              <a:solidFill>
                <a:prstClr val="green"/>
              </a:solidFill>
            </a:ln>
          </xdr:spPr>
          <xdr:txBody>
            <a:bodyPr vertOverflow="clip" horzOverflow="clip"/>
            <a:lstStyle/>
            <a:p>
              <a:r>
                <a:rPr lang="ru-R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236220</xdr:colOff>
      <xdr:row>20</xdr:row>
      <xdr:rowOff>144780</xdr:rowOff>
    </xdr:from>
    <xdr:to>
      <xdr:col>12</xdr:col>
      <xdr:colOff>22860</xdr:colOff>
      <xdr:row>23</xdr:row>
      <xdr:rowOff>25908</xdr:rowOff>
    </xdr:to>
    <mc:AlternateContent xmlns:mc="http://schemas.openxmlformats.org/markup-compatibility/2006" xmlns:a14="http://schemas.microsoft.com/office/drawing/2010/main">
      <mc:Choice Requires="a14">
        <xdr:graphicFrame macro="">
          <xdr:nvGraphicFramePr>
            <xdr:cNvPr id="26" name="Month 2">
              <a:extLst>
                <a:ext uri="{FF2B5EF4-FFF2-40B4-BE49-F238E27FC236}">
                  <a16:creationId xmlns:a16="http://schemas.microsoft.com/office/drawing/2014/main" id="{7E9CA8EE-2FE4-4AFB-9E51-0A14107007B5}"/>
                </a:ext>
              </a:extLst>
            </xdr:cNvPr>
            <xdr:cNvGraphicFramePr/>
          </xdr:nvGraphicFramePr>
          <xdr:xfrm>
            <a:off x="0" y="0"/>
            <a:ext cx="0" cy="0"/>
          </xdr:xfrm>
          <a:graphic>
            <a:graphicData uri="http://schemas.microsoft.com/office/drawing/2010/slicer">
              <sle:slicer xmlns:sle="http://schemas.microsoft.com/office/drawing/2010/slicer" name="Month 2"/>
            </a:graphicData>
          </a:graphic>
        </xdr:graphicFrame>
      </mc:Choice>
      <mc:Fallback xmlns="">
        <xdr:sp macro="" textlink="">
          <xdr:nvSpPr>
            <xdr:cNvPr id="0" name=""/>
            <xdr:cNvSpPr>
              <a:spLocks noTextEdit="1"/>
            </xdr:cNvSpPr>
          </xdr:nvSpPr>
          <xdr:spPr>
            <a:xfrm>
              <a:off x="2674620" y="3802380"/>
              <a:ext cx="4663440" cy="429768"/>
            </a:xfrm>
            <a:prstGeom prst="rect">
              <a:avLst/>
            </a:prstGeom>
            <a:solidFill>
              <a:prstClr val="white"/>
            </a:solidFill>
            <a:ln w="1">
              <a:solidFill>
                <a:prstClr val="green"/>
              </a:solidFill>
            </a:ln>
          </xdr:spPr>
          <xdr:txBody>
            <a:bodyPr vertOverflow="clip" horzOverflow="clip"/>
            <a:lstStyle/>
            <a:p>
              <a:r>
                <a:rPr lang="ru-R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325582</xdr:colOff>
      <xdr:row>7</xdr:row>
      <xdr:rowOff>90282</xdr:rowOff>
    </xdr:from>
    <xdr:to>
      <xdr:col>10</xdr:col>
      <xdr:colOff>207819</xdr:colOff>
      <xdr:row>8</xdr:row>
      <xdr:rowOff>161178</xdr:rowOff>
    </xdr:to>
    <xdr:sp macro="" textlink="Processing!F30">
      <xdr:nvSpPr>
        <xdr:cNvPr id="27" name="TextBox 26">
          <a:extLst>
            <a:ext uri="{FF2B5EF4-FFF2-40B4-BE49-F238E27FC236}">
              <a16:creationId xmlns:a16="http://schemas.microsoft.com/office/drawing/2014/main" id="{41E28A2B-ADD9-4F62-BDA2-38A98AB6E713}"/>
            </a:ext>
          </a:extLst>
        </xdr:cNvPr>
        <xdr:cNvSpPr txBox="1"/>
      </xdr:nvSpPr>
      <xdr:spPr>
        <a:xfrm>
          <a:off x="5202382" y="1370442"/>
          <a:ext cx="1101437" cy="2537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F39BE783-B392-4D7C-8C2A-EEB34489B994}" type="TxLink">
            <a:rPr lang="en-US" sz="1800" b="0" i="0" u="none" strike="noStrike">
              <a:solidFill>
                <a:schemeClr val="accent5">
                  <a:lumMod val="40000"/>
                  <a:lumOff val="60000"/>
                </a:schemeClr>
              </a:solidFill>
              <a:latin typeface="Aptos Narrow"/>
              <a:ea typeface="+mn-ea"/>
              <a:cs typeface="+mn-cs"/>
            </a:rPr>
            <a:pPr marL="0" indent="0" algn="r"/>
            <a:t> $10,302 </a:t>
          </a:fld>
          <a:endParaRPr lang="ru-RU" sz="3200" b="0" i="0" u="none" strike="noStrike">
            <a:solidFill>
              <a:schemeClr val="accent5">
                <a:lumMod val="40000"/>
                <a:lumOff val="60000"/>
              </a:schemeClr>
            </a:solidFill>
            <a:latin typeface="Aptos Narrow"/>
            <a:ea typeface="+mn-ea"/>
            <a:cs typeface="+mn-cs"/>
          </a:endParaRPr>
        </a:p>
      </xdr:txBody>
    </xdr:sp>
    <xdr:clientData/>
  </xdr:twoCellAnchor>
  <xdr:twoCellAnchor>
    <xdr:from>
      <xdr:col>8</xdr:col>
      <xdr:colOff>325582</xdr:colOff>
      <xdr:row>5</xdr:row>
      <xdr:rowOff>105522</xdr:rowOff>
    </xdr:from>
    <xdr:to>
      <xdr:col>10</xdr:col>
      <xdr:colOff>207819</xdr:colOff>
      <xdr:row>6</xdr:row>
      <xdr:rowOff>176418</xdr:rowOff>
    </xdr:to>
    <xdr:sp macro="" textlink="Processing!E30">
      <xdr:nvSpPr>
        <xdr:cNvPr id="28" name="TextBox 27">
          <a:extLst>
            <a:ext uri="{FF2B5EF4-FFF2-40B4-BE49-F238E27FC236}">
              <a16:creationId xmlns:a16="http://schemas.microsoft.com/office/drawing/2014/main" id="{4217D0C4-4804-49F3-AF13-D1C276F64800}"/>
            </a:ext>
          </a:extLst>
        </xdr:cNvPr>
        <xdr:cNvSpPr txBox="1"/>
      </xdr:nvSpPr>
      <xdr:spPr>
        <a:xfrm>
          <a:off x="5202382" y="1019922"/>
          <a:ext cx="1101437" cy="2537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6228063D-045F-42D2-9E29-4ADE8D5D219F}" type="TxLink">
            <a:rPr lang="en-US" sz="1800" b="0" i="0" u="none" strike="noStrike">
              <a:solidFill>
                <a:srgbClr val="00B0F0"/>
              </a:solidFill>
              <a:latin typeface="Aptos Narrow"/>
              <a:ea typeface="+mn-ea"/>
              <a:cs typeface="+mn-cs"/>
            </a:rPr>
            <a:pPr marL="0" indent="0" algn="r"/>
            <a:t> $12,533 </a:t>
          </a:fld>
          <a:endParaRPr lang="ru-RU" sz="3600" b="0" i="0" u="none" strike="noStrike">
            <a:solidFill>
              <a:srgbClr val="00B0F0"/>
            </a:solidFill>
            <a:latin typeface="Aptos Narrow"/>
            <a:ea typeface="+mn-ea"/>
            <a:cs typeface="+mn-cs"/>
          </a:endParaRPr>
        </a:p>
      </xdr:txBody>
    </xdr:sp>
    <xdr:clientData/>
  </xdr:twoCellAnchor>
  <xdr:twoCellAnchor editAs="oneCell">
    <xdr:from>
      <xdr:col>16</xdr:col>
      <xdr:colOff>530738</xdr:colOff>
      <xdr:row>35</xdr:row>
      <xdr:rowOff>0</xdr:rowOff>
    </xdr:from>
    <xdr:to>
      <xdr:col>20</xdr:col>
      <xdr:colOff>12578</xdr:colOff>
      <xdr:row>37</xdr:row>
      <xdr:rowOff>64008</xdr:rowOff>
    </xdr:to>
    <mc:AlternateContent xmlns:mc="http://schemas.openxmlformats.org/markup-compatibility/2006" xmlns:a14="http://schemas.microsoft.com/office/drawing/2010/main">
      <mc:Choice Requires="a14">
        <xdr:graphicFrame macro="">
          <xdr:nvGraphicFramePr>
            <xdr:cNvPr id="29" name="Buttons 2">
              <a:extLst>
                <a:ext uri="{FF2B5EF4-FFF2-40B4-BE49-F238E27FC236}">
                  <a16:creationId xmlns:a16="http://schemas.microsoft.com/office/drawing/2014/main" id="{9EA3CDC4-E368-425C-BEA7-514E6AEF3071}"/>
                </a:ext>
              </a:extLst>
            </xdr:cNvPr>
            <xdr:cNvGraphicFramePr/>
          </xdr:nvGraphicFramePr>
          <xdr:xfrm>
            <a:off x="0" y="0"/>
            <a:ext cx="0" cy="0"/>
          </xdr:xfrm>
          <a:graphic>
            <a:graphicData uri="http://schemas.microsoft.com/office/drawing/2010/slicer">
              <sle:slicer xmlns:sle="http://schemas.microsoft.com/office/drawing/2010/slicer" name="Buttons 2"/>
            </a:graphicData>
          </a:graphic>
        </xdr:graphicFrame>
      </mc:Choice>
      <mc:Fallback xmlns="">
        <xdr:sp macro="" textlink="">
          <xdr:nvSpPr>
            <xdr:cNvPr id="0" name=""/>
            <xdr:cNvSpPr>
              <a:spLocks noTextEdit="1"/>
            </xdr:cNvSpPr>
          </xdr:nvSpPr>
          <xdr:spPr>
            <a:xfrm>
              <a:off x="10284338" y="6400800"/>
              <a:ext cx="1920240" cy="429768"/>
            </a:xfrm>
            <a:prstGeom prst="rect">
              <a:avLst/>
            </a:prstGeom>
            <a:solidFill>
              <a:prstClr val="white"/>
            </a:solidFill>
            <a:ln w="1">
              <a:solidFill>
                <a:prstClr val="green"/>
              </a:solidFill>
            </a:ln>
          </xdr:spPr>
          <xdr:txBody>
            <a:bodyPr vertOverflow="clip" horzOverflow="clip"/>
            <a:lstStyle/>
            <a:p>
              <a:r>
                <a:rPr lang="ru-R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16</xdr:col>
      <xdr:colOff>108357</xdr:colOff>
      <xdr:row>7</xdr:row>
      <xdr:rowOff>72390</xdr:rowOff>
    </xdr:from>
    <xdr:to>
      <xdr:col>19</xdr:col>
      <xdr:colOff>592684</xdr:colOff>
      <xdr:row>15</xdr:row>
      <xdr:rowOff>156210</xdr:rowOff>
    </xdr:to>
    <xdr:grpSp>
      <xdr:nvGrpSpPr>
        <xdr:cNvPr id="30" name="Group 29">
          <a:extLst>
            <a:ext uri="{FF2B5EF4-FFF2-40B4-BE49-F238E27FC236}">
              <a16:creationId xmlns:a16="http://schemas.microsoft.com/office/drawing/2014/main" id="{794D2C20-0F09-4472-8502-517069A58E39}"/>
            </a:ext>
          </a:extLst>
        </xdr:cNvPr>
        <xdr:cNvGrpSpPr/>
      </xdr:nvGrpSpPr>
      <xdr:grpSpPr>
        <a:xfrm>
          <a:off x="9929690" y="1405890"/>
          <a:ext cx="2325827" cy="1607820"/>
          <a:chOff x="9861957" y="1352550"/>
          <a:chExt cx="2313127" cy="1546860"/>
        </a:xfrm>
      </xdr:grpSpPr>
      <xdr:sp macro="" textlink="Processing!K18">
        <xdr:nvSpPr>
          <xdr:cNvPr id="31" name="TextBox 30">
            <a:extLst>
              <a:ext uri="{FF2B5EF4-FFF2-40B4-BE49-F238E27FC236}">
                <a16:creationId xmlns:a16="http://schemas.microsoft.com/office/drawing/2014/main" id="{3F0C65E4-A815-E5A2-68B0-7C1A8D280B15}"/>
              </a:ext>
            </a:extLst>
          </xdr:cNvPr>
          <xdr:cNvSpPr txBox="1"/>
        </xdr:nvSpPr>
        <xdr:spPr>
          <a:xfrm>
            <a:off x="9890760" y="1352550"/>
            <a:ext cx="27432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D3E7255-CADA-4230-BD23-D54321216D7F}" type="TxLink">
              <a:rPr lang="en-US" sz="1100" b="0" i="0" u="none" strike="noStrike">
                <a:solidFill>
                  <a:schemeClr val="bg1"/>
                </a:solidFill>
                <a:latin typeface="Aptos Narrow"/>
              </a:rPr>
              <a:pPr algn="ctr"/>
              <a:t> </a:t>
            </a:fld>
            <a:endParaRPr lang="ru-RU" sz="1100">
              <a:solidFill>
                <a:schemeClr val="bg1"/>
              </a:solidFill>
            </a:endParaRPr>
          </a:p>
        </xdr:txBody>
      </xdr:sp>
      <xdr:sp macro="" textlink="Processing!L18">
        <xdr:nvSpPr>
          <xdr:cNvPr id="32" name="TextBox 31">
            <a:extLst>
              <a:ext uri="{FF2B5EF4-FFF2-40B4-BE49-F238E27FC236}">
                <a16:creationId xmlns:a16="http://schemas.microsoft.com/office/drawing/2014/main" id="{117DEC11-03E3-6527-7D35-F2495A5DFCC3}"/>
              </a:ext>
            </a:extLst>
          </xdr:cNvPr>
          <xdr:cNvSpPr txBox="1"/>
        </xdr:nvSpPr>
        <xdr:spPr>
          <a:xfrm>
            <a:off x="10220960" y="1352550"/>
            <a:ext cx="27432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1C6F21F-FDF9-4379-8CF8-B6BD162D0F3A}" type="TxLink">
              <a:rPr lang="en-US" sz="1100" b="0" i="0" u="none" strike="noStrike">
                <a:solidFill>
                  <a:schemeClr val="bg1"/>
                </a:solidFill>
                <a:latin typeface="Aptos Narrow"/>
              </a:rPr>
              <a:pPr algn="ctr"/>
              <a:t> </a:t>
            </a:fld>
            <a:endParaRPr lang="ru-RU" sz="1100">
              <a:solidFill>
                <a:schemeClr val="bg1"/>
              </a:solidFill>
            </a:endParaRPr>
          </a:p>
        </xdr:txBody>
      </xdr:sp>
      <xdr:sp macro="" textlink="Processing!M18">
        <xdr:nvSpPr>
          <xdr:cNvPr id="33" name="TextBox 32">
            <a:extLst>
              <a:ext uri="{FF2B5EF4-FFF2-40B4-BE49-F238E27FC236}">
                <a16:creationId xmlns:a16="http://schemas.microsoft.com/office/drawing/2014/main" id="{EE852ED4-03CC-F91F-5405-230E0636D240}"/>
              </a:ext>
            </a:extLst>
          </xdr:cNvPr>
          <xdr:cNvSpPr txBox="1"/>
        </xdr:nvSpPr>
        <xdr:spPr>
          <a:xfrm>
            <a:off x="10551160" y="1352550"/>
            <a:ext cx="27432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1610ED9-FE00-40BD-8F7F-81F57958080E}" type="TxLink">
              <a:rPr lang="en-US" sz="1100" b="0" i="0" u="none" strike="noStrike">
                <a:solidFill>
                  <a:schemeClr val="bg1"/>
                </a:solidFill>
                <a:latin typeface="Aptos Narrow"/>
              </a:rPr>
              <a:pPr algn="ctr"/>
              <a:t> </a:t>
            </a:fld>
            <a:endParaRPr lang="ru-RU" sz="1100">
              <a:solidFill>
                <a:schemeClr val="bg1"/>
              </a:solidFill>
            </a:endParaRPr>
          </a:p>
        </xdr:txBody>
      </xdr:sp>
      <xdr:sp macro="" textlink="Processing!N18">
        <xdr:nvSpPr>
          <xdr:cNvPr id="34" name="TextBox 33">
            <a:extLst>
              <a:ext uri="{FF2B5EF4-FFF2-40B4-BE49-F238E27FC236}">
                <a16:creationId xmlns:a16="http://schemas.microsoft.com/office/drawing/2014/main" id="{5FA2DDEE-B5ED-2A4B-75E1-2A8EB8A6E065}"/>
              </a:ext>
            </a:extLst>
          </xdr:cNvPr>
          <xdr:cNvSpPr txBox="1"/>
        </xdr:nvSpPr>
        <xdr:spPr>
          <a:xfrm>
            <a:off x="10881360" y="1352550"/>
            <a:ext cx="27432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0821B4C-4BAA-44F2-AE44-CF18588BA78E}" type="TxLink">
              <a:rPr lang="en-US" sz="1100" b="0" i="0" u="none" strike="noStrike">
                <a:solidFill>
                  <a:schemeClr val="bg1"/>
                </a:solidFill>
                <a:latin typeface="Aptos Narrow"/>
              </a:rPr>
              <a:pPr algn="ctr"/>
              <a:t> </a:t>
            </a:fld>
            <a:endParaRPr lang="ru-RU" sz="1100">
              <a:solidFill>
                <a:schemeClr val="bg1"/>
              </a:solidFill>
            </a:endParaRPr>
          </a:p>
        </xdr:txBody>
      </xdr:sp>
      <xdr:sp macro="" textlink="Processing!O18">
        <xdr:nvSpPr>
          <xdr:cNvPr id="35" name="TextBox 34">
            <a:extLst>
              <a:ext uri="{FF2B5EF4-FFF2-40B4-BE49-F238E27FC236}">
                <a16:creationId xmlns:a16="http://schemas.microsoft.com/office/drawing/2014/main" id="{E37691E9-5382-B214-8953-A9D419CD3B18}"/>
              </a:ext>
            </a:extLst>
          </xdr:cNvPr>
          <xdr:cNvSpPr txBox="1"/>
        </xdr:nvSpPr>
        <xdr:spPr>
          <a:xfrm>
            <a:off x="11211560" y="1352550"/>
            <a:ext cx="27432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3900FCD-5EFC-4A56-8CED-011582CB3E1E}" type="TxLink">
              <a:rPr lang="en-US" sz="1100" b="0" i="0" u="none" strike="noStrike">
                <a:solidFill>
                  <a:schemeClr val="bg1"/>
                </a:solidFill>
                <a:latin typeface="Aptos Narrow"/>
              </a:rPr>
              <a:pPr algn="ctr"/>
              <a:t>1</a:t>
            </a:fld>
            <a:endParaRPr lang="ru-RU" sz="1100">
              <a:solidFill>
                <a:schemeClr val="bg1"/>
              </a:solidFill>
            </a:endParaRPr>
          </a:p>
        </xdr:txBody>
      </xdr:sp>
      <xdr:sp macro="" textlink="Processing!P18">
        <xdr:nvSpPr>
          <xdr:cNvPr id="36" name="TextBox 35">
            <a:extLst>
              <a:ext uri="{FF2B5EF4-FFF2-40B4-BE49-F238E27FC236}">
                <a16:creationId xmlns:a16="http://schemas.microsoft.com/office/drawing/2014/main" id="{B52620FE-5E13-C529-7337-CCBEF26C79AE}"/>
              </a:ext>
            </a:extLst>
          </xdr:cNvPr>
          <xdr:cNvSpPr txBox="1"/>
        </xdr:nvSpPr>
        <xdr:spPr>
          <a:xfrm>
            <a:off x="11541760" y="1352550"/>
            <a:ext cx="27432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1C9B50A-1F2B-470C-A2CD-50A82C48B554}" type="TxLink">
              <a:rPr lang="en-US" sz="1100" b="0" i="0" u="none" strike="noStrike">
                <a:solidFill>
                  <a:schemeClr val="bg1"/>
                </a:solidFill>
                <a:latin typeface="Aptos Narrow"/>
              </a:rPr>
              <a:pPr algn="ctr"/>
              <a:t>2</a:t>
            </a:fld>
            <a:endParaRPr lang="ru-RU" sz="1100">
              <a:solidFill>
                <a:schemeClr val="bg1"/>
              </a:solidFill>
            </a:endParaRPr>
          </a:p>
        </xdr:txBody>
      </xdr:sp>
      <xdr:sp macro="" textlink="Processing!Q18">
        <xdr:nvSpPr>
          <xdr:cNvPr id="37" name="TextBox 36">
            <a:extLst>
              <a:ext uri="{FF2B5EF4-FFF2-40B4-BE49-F238E27FC236}">
                <a16:creationId xmlns:a16="http://schemas.microsoft.com/office/drawing/2014/main" id="{36F4CF7C-FB93-0E20-828B-D84DE574E311}"/>
              </a:ext>
            </a:extLst>
          </xdr:cNvPr>
          <xdr:cNvSpPr txBox="1"/>
        </xdr:nvSpPr>
        <xdr:spPr>
          <a:xfrm>
            <a:off x="11871960" y="1352550"/>
            <a:ext cx="27432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2B7511D-7E23-4379-9E06-0EFB29477EA3}" type="TxLink">
              <a:rPr lang="en-US" sz="1100" b="0" i="0" u="none" strike="noStrike">
                <a:solidFill>
                  <a:schemeClr val="bg1"/>
                </a:solidFill>
                <a:latin typeface="Aptos Narrow"/>
              </a:rPr>
              <a:pPr algn="ctr"/>
              <a:t>3</a:t>
            </a:fld>
            <a:endParaRPr lang="ru-RU" sz="1100">
              <a:solidFill>
                <a:schemeClr val="bg1"/>
              </a:solidFill>
            </a:endParaRPr>
          </a:p>
        </xdr:txBody>
      </xdr:sp>
      <xdr:sp macro="" textlink="Processing!K19">
        <xdr:nvSpPr>
          <xdr:cNvPr id="38" name="TextBox 37">
            <a:extLst>
              <a:ext uri="{FF2B5EF4-FFF2-40B4-BE49-F238E27FC236}">
                <a16:creationId xmlns:a16="http://schemas.microsoft.com/office/drawing/2014/main" id="{E80BDC20-2951-D081-F04A-907D4091BA9C}"/>
              </a:ext>
            </a:extLst>
          </xdr:cNvPr>
          <xdr:cNvSpPr txBox="1"/>
        </xdr:nvSpPr>
        <xdr:spPr>
          <a:xfrm>
            <a:off x="9890760" y="1604010"/>
            <a:ext cx="27432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734A8F3-B214-4719-B067-7A5649E0BED0}" type="TxLink">
              <a:rPr lang="en-US" sz="1100" b="0" i="0" u="none" strike="noStrike">
                <a:solidFill>
                  <a:schemeClr val="bg1"/>
                </a:solidFill>
                <a:latin typeface="Aptos Narrow"/>
              </a:rPr>
              <a:pPr algn="ctr"/>
              <a:t>4</a:t>
            </a:fld>
            <a:endParaRPr lang="ru-RU" sz="1100">
              <a:solidFill>
                <a:schemeClr val="bg1"/>
              </a:solidFill>
            </a:endParaRPr>
          </a:p>
        </xdr:txBody>
      </xdr:sp>
      <xdr:sp macro="" textlink="Processing!L19">
        <xdr:nvSpPr>
          <xdr:cNvPr id="39" name="TextBox 38">
            <a:extLst>
              <a:ext uri="{FF2B5EF4-FFF2-40B4-BE49-F238E27FC236}">
                <a16:creationId xmlns:a16="http://schemas.microsoft.com/office/drawing/2014/main" id="{B391B363-2AC6-FA3B-268C-6C7C9403C248}"/>
              </a:ext>
            </a:extLst>
          </xdr:cNvPr>
          <xdr:cNvSpPr txBox="1"/>
        </xdr:nvSpPr>
        <xdr:spPr>
          <a:xfrm>
            <a:off x="10220960" y="1604010"/>
            <a:ext cx="27432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F7073B0-31DA-4010-92B7-F7156DB1F6CD}" type="TxLink">
              <a:rPr lang="en-US" sz="1100" b="0" i="0" u="none" strike="noStrike">
                <a:solidFill>
                  <a:schemeClr val="bg1"/>
                </a:solidFill>
                <a:latin typeface="Aptos Narrow"/>
              </a:rPr>
              <a:pPr algn="ctr"/>
              <a:t>5</a:t>
            </a:fld>
            <a:endParaRPr lang="ru-RU" sz="1100">
              <a:solidFill>
                <a:schemeClr val="bg1"/>
              </a:solidFill>
            </a:endParaRPr>
          </a:p>
        </xdr:txBody>
      </xdr:sp>
      <xdr:sp macro="" textlink="Processing!M19">
        <xdr:nvSpPr>
          <xdr:cNvPr id="40" name="TextBox 39">
            <a:extLst>
              <a:ext uri="{FF2B5EF4-FFF2-40B4-BE49-F238E27FC236}">
                <a16:creationId xmlns:a16="http://schemas.microsoft.com/office/drawing/2014/main" id="{7A17F376-5ADB-A482-A081-D1F8AAEE8FD4}"/>
              </a:ext>
            </a:extLst>
          </xdr:cNvPr>
          <xdr:cNvSpPr txBox="1"/>
        </xdr:nvSpPr>
        <xdr:spPr>
          <a:xfrm>
            <a:off x="10551160" y="1604010"/>
            <a:ext cx="27432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E4519E0-88CC-4A87-BEC0-C59796ABFC34}" type="TxLink">
              <a:rPr lang="en-US" sz="1100" b="0" i="0" u="none" strike="noStrike">
                <a:solidFill>
                  <a:schemeClr val="bg1"/>
                </a:solidFill>
                <a:latin typeface="Aptos Narrow"/>
              </a:rPr>
              <a:pPr algn="ctr"/>
              <a:t>6</a:t>
            </a:fld>
            <a:endParaRPr lang="ru-RU" sz="1100">
              <a:solidFill>
                <a:schemeClr val="bg1"/>
              </a:solidFill>
            </a:endParaRPr>
          </a:p>
        </xdr:txBody>
      </xdr:sp>
      <xdr:sp macro="" textlink="Processing!N19">
        <xdr:nvSpPr>
          <xdr:cNvPr id="41" name="TextBox 40">
            <a:extLst>
              <a:ext uri="{FF2B5EF4-FFF2-40B4-BE49-F238E27FC236}">
                <a16:creationId xmlns:a16="http://schemas.microsoft.com/office/drawing/2014/main" id="{D908931C-72BC-4B3C-07D2-E8128563CD6B}"/>
              </a:ext>
            </a:extLst>
          </xdr:cNvPr>
          <xdr:cNvSpPr txBox="1"/>
        </xdr:nvSpPr>
        <xdr:spPr>
          <a:xfrm>
            <a:off x="10881360" y="1604010"/>
            <a:ext cx="27432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4851FCB-C615-4FE3-9319-CD60603925D0}" type="TxLink">
              <a:rPr lang="en-US" sz="1100" b="0" i="0" u="none" strike="noStrike">
                <a:solidFill>
                  <a:schemeClr val="bg1"/>
                </a:solidFill>
                <a:latin typeface="Aptos Narrow"/>
              </a:rPr>
              <a:pPr algn="ctr"/>
              <a:t>7</a:t>
            </a:fld>
            <a:endParaRPr lang="ru-RU" sz="1100">
              <a:solidFill>
                <a:schemeClr val="bg1"/>
              </a:solidFill>
            </a:endParaRPr>
          </a:p>
        </xdr:txBody>
      </xdr:sp>
      <xdr:sp macro="" textlink="Processing!O19">
        <xdr:nvSpPr>
          <xdr:cNvPr id="42" name="TextBox 41">
            <a:extLst>
              <a:ext uri="{FF2B5EF4-FFF2-40B4-BE49-F238E27FC236}">
                <a16:creationId xmlns:a16="http://schemas.microsoft.com/office/drawing/2014/main" id="{1443FFEB-EEB9-CBBB-6ED2-CDCEBA29DD29}"/>
              </a:ext>
            </a:extLst>
          </xdr:cNvPr>
          <xdr:cNvSpPr txBox="1"/>
        </xdr:nvSpPr>
        <xdr:spPr>
          <a:xfrm>
            <a:off x="11211560" y="1604010"/>
            <a:ext cx="27432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FD928CD-492E-48F0-AAD1-A041DAEAA5E6}" type="TxLink">
              <a:rPr lang="en-US" sz="1100" b="0" i="0" u="none" strike="noStrike">
                <a:solidFill>
                  <a:schemeClr val="bg1"/>
                </a:solidFill>
                <a:latin typeface="Aptos Narrow"/>
              </a:rPr>
              <a:pPr algn="ctr"/>
              <a:t>8</a:t>
            </a:fld>
            <a:endParaRPr lang="ru-RU" sz="1100">
              <a:solidFill>
                <a:schemeClr val="bg1"/>
              </a:solidFill>
            </a:endParaRPr>
          </a:p>
        </xdr:txBody>
      </xdr:sp>
      <xdr:sp macro="" textlink="Processing!P19">
        <xdr:nvSpPr>
          <xdr:cNvPr id="43" name="TextBox 42">
            <a:extLst>
              <a:ext uri="{FF2B5EF4-FFF2-40B4-BE49-F238E27FC236}">
                <a16:creationId xmlns:a16="http://schemas.microsoft.com/office/drawing/2014/main" id="{D97801E9-0C86-50EF-692A-3436C6933DD6}"/>
              </a:ext>
            </a:extLst>
          </xdr:cNvPr>
          <xdr:cNvSpPr txBox="1"/>
        </xdr:nvSpPr>
        <xdr:spPr>
          <a:xfrm>
            <a:off x="11541760" y="1604010"/>
            <a:ext cx="27432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ADF5C92-B1EA-4B23-93A4-EDF486955967}" type="TxLink">
              <a:rPr lang="en-US" sz="1100" b="0" i="0" u="none" strike="noStrike">
                <a:solidFill>
                  <a:schemeClr val="bg1"/>
                </a:solidFill>
                <a:latin typeface="Aptos Narrow"/>
              </a:rPr>
              <a:pPr algn="ctr"/>
              <a:t>9</a:t>
            </a:fld>
            <a:endParaRPr lang="ru-RU" sz="1100">
              <a:solidFill>
                <a:schemeClr val="bg1"/>
              </a:solidFill>
            </a:endParaRPr>
          </a:p>
        </xdr:txBody>
      </xdr:sp>
      <xdr:sp macro="" textlink="Processing!Q19">
        <xdr:nvSpPr>
          <xdr:cNvPr id="44" name="TextBox 43">
            <a:extLst>
              <a:ext uri="{FF2B5EF4-FFF2-40B4-BE49-F238E27FC236}">
                <a16:creationId xmlns:a16="http://schemas.microsoft.com/office/drawing/2014/main" id="{5893B0A2-D1CA-7C3D-65C8-C5A4B091E808}"/>
              </a:ext>
            </a:extLst>
          </xdr:cNvPr>
          <xdr:cNvSpPr txBox="1"/>
        </xdr:nvSpPr>
        <xdr:spPr>
          <a:xfrm>
            <a:off x="11871960" y="1604010"/>
            <a:ext cx="27432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F13E9FE-F125-434D-BD7E-0614FC50A4FA}" type="TxLink">
              <a:rPr lang="en-US" sz="1100" b="0" i="0" u="none" strike="noStrike">
                <a:solidFill>
                  <a:schemeClr val="bg1"/>
                </a:solidFill>
                <a:latin typeface="Aptos Narrow"/>
              </a:rPr>
              <a:pPr algn="ctr"/>
              <a:t>10</a:t>
            </a:fld>
            <a:endParaRPr lang="ru-RU" sz="1100">
              <a:solidFill>
                <a:schemeClr val="bg1"/>
              </a:solidFill>
            </a:endParaRPr>
          </a:p>
        </xdr:txBody>
      </xdr:sp>
      <xdr:sp macro="" textlink="Processing!K20">
        <xdr:nvSpPr>
          <xdr:cNvPr id="45" name="TextBox 44">
            <a:extLst>
              <a:ext uri="{FF2B5EF4-FFF2-40B4-BE49-F238E27FC236}">
                <a16:creationId xmlns:a16="http://schemas.microsoft.com/office/drawing/2014/main" id="{AED1405C-ECAE-4604-CEB6-0E2DA106B071}"/>
              </a:ext>
            </a:extLst>
          </xdr:cNvPr>
          <xdr:cNvSpPr txBox="1"/>
        </xdr:nvSpPr>
        <xdr:spPr>
          <a:xfrm>
            <a:off x="9861957" y="1863090"/>
            <a:ext cx="331927"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93D72D5-7AC8-45DD-8439-FB93AFA960DC}" type="TxLink">
              <a:rPr lang="en-US" sz="1100" b="0" i="0" u="none" strike="noStrike">
                <a:solidFill>
                  <a:schemeClr val="bg1"/>
                </a:solidFill>
                <a:latin typeface="Aptos Narrow"/>
              </a:rPr>
              <a:pPr algn="ctr"/>
              <a:t>11</a:t>
            </a:fld>
            <a:endParaRPr lang="ru-RU" sz="1100">
              <a:solidFill>
                <a:schemeClr val="bg1"/>
              </a:solidFill>
            </a:endParaRPr>
          </a:p>
        </xdr:txBody>
      </xdr:sp>
      <xdr:sp macro="" textlink="Processing!L20">
        <xdr:nvSpPr>
          <xdr:cNvPr id="46" name="TextBox 45">
            <a:extLst>
              <a:ext uri="{FF2B5EF4-FFF2-40B4-BE49-F238E27FC236}">
                <a16:creationId xmlns:a16="http://schemas.microsoft.com/office/drawing/2014/main" id="{EF4B954E-F3FA-87F8-4BFF-1D344041D7A0}"/>
              </a:ext>
            </a:extLst>
          </xdr:cNvPr>
          <xdr:cNvSpPr txBox="1"/>
        </xdr:nvSpPr>
        <xdr:spPr>
          <a:xfrm>
            <a:off x="10192157" y="1863090"/>
            <a:ext cx="331927"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2516537-E3FB-4583-9CFC-58FE2FBD8DA0}" type="TxLink">
              <a:rPr lang="en-US" sz="1100" b="0" i="0" u="none" strike="noStrike">
                <a:solidFill>
                  <a:schemeClr val="bg1"/>
                </a:solidFill>
                <a:latin typeface="Aptos Narrow"/>
              </a:rPr>
              <a:pPr algn="ctr"/>
              <a:t>12</a:t>
            </a:fld>
            <a:endParaRPr lang="ru-RU" sz="1100">
              <a:solidFill>
                <a:schemeClr val="bg1"/>
              </a:solidFill>
            </a:endParaRPr>
          </a:p>
        </xdr:txBody>
      </xdr:sp>
      <xdr:sp macro="" textlink="Processing!M20">
        <xdr:nvSpPr>
          <xdr:cNvPr id="47" name="TextBox 46">
            <a:extLst>
              <a:ext uri="{FF2B5EF4-FFF2-40B4-BE49-F238E27FC236}">
                <a16:creationId xmlns:a16="http://schemas.microsoft.com/office/drawing/2014/main" id="{B067BF99-1B7F-C10F-A162-8BF05A1A0242}"/>
              </a:ext>
            </a:extLst>
          </xdr:cNvPr>
          <xdr:cNvSpPr txBox="1"/>
        </xdr:nvSpPr>
        <xdr:spPr>
          <a:xfrm>
            <a:off x="10522357" y="1863090"/>
            <a:ext cx="331927"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76D20A2-3B17-4419-A0BB-129F95622FC4}" type="TxLink">
              <a:rPr lang="en-US" sz="1100" b="0" i="0" u="none" strike="noStrike">
                <a:solidFill>
                  <a:schemeClr val="bg1"/>
                </a:solidFill>
                <a:latin typeface="Aptos Narrow"/>
              </a:rPr>
              <a:pPr algn="ctr"/>
              <a:t>13</a:t>
            </a:fld>
            <a:endParaRPr lang="ru-RU" sz="1100">
              <a:solidFill>
                <a:schemeClr val="bg1"/>
              </a:solidFill>
            </a:endParaRPr>
          </a:p>
        </xdr:txBody>
      </xdr:sp>
      <xdr:sp macro="" textlink="Processing!N20">
        <xdr:nvSpPr>
          <xdr:cNvPr id="48" name="TextBox 47">
            <a:extLst>
              <a:ext uri="{FF2B5EF4-FFF2-40B4-BE49-F238E27FC236}">
                <a16:creationId xmlns:a16="http://schemas.microsoft.com/office/drawing/2014/main" id="{80587543-8820-28B0-8B4D-196E11EF5E05}"/>
              </a:ext>
            </a:extLst>
          </xdr:cNvPr>
          <xdr:cNvSpPr txBox="1"/>
        </xdr:nvSpPr>
        <xdr:spPr>
          <a:xfrm>
            <a:off x="10852557" y="1863090"/>
            <a:ext cx="331927"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2057887-148A-4DA4-9606-3F1365AB6939}" type="TxLink">
              <a:rPr lang="en-US" sz="1100" b="0" i="0" u="none" strike="noStrike">
                <a:solidFill>
                  <a:schemeClr val="bg1"/>
                </a:solidFill>
                <a:latin typeface="Aptos Narrow"/>
              </a:rPr>
              <a:pPr algn="ctr"/>
              <a:t>14</a:t>
            </a:fld>
            <a:endParaRPr lang="ru-RU" sz="1100">
              <a:solidFill>
                <a:schemeClr val="bg1"/>
              </a:solidFill>
            </a:endParaRPr>
          </a:p>
        </xdr:txBody>
      </xdr:sp>
      <xdr:sp macro="" textlink="Processing!O20">
        <xdr:nvSpPr>
          <xdr:cNvPr id="49" name="TextBox 48">
            <a:extLst>
              <a:ext uri="{FF2B5EF4-FFF2-40B4-BE49-F238E27FC236}">
                <a16:creationId xmlns:a16="http://schemas.microsoft.com/office/drawing/2014/main" id="{2C8E900E-D61F-030F-DEFD-5E4B9E527A9A}"/>
              </a:ext>
            </a:extLst>
          </xdr:cNvPr>
          <xdr:cNvSpPr txBox="1"/>
        </xdr:nvSpPr>
        <xdr:spPr>
          <a:xfrm>
            <a:off x="11182757" y="1863090"/>
            <a:ext cx="331927"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CFDC083-655D-45DE-ABDC-201FA0A374BB}" type="TxLink">
              <a:rPr lang="en-US" sz="1100" b="0" i="0" u="none" strike="noStrike">
                <a:solidFill>
                  <a:schemeClr val="bg1"/>
                </a:solidFill>
                <a:latin typeface="Aptos Narrow"/>
              </a:rPr>
              <a:pPr algn="ctr"/>
              <a:t>15</a:t>
            </a:fld>
            <a:endParaRPr lang="ru-RU" sz="1100">
              <a:solidFill>
                <a:schemeClr val="bg1"/>
              </a:solidFill>
            </a:endParaRPr>
          </a:p>
        </xdr:txBody>
      </xdr:sp>
      <xdr:sp macro="" textlink="Processing!P20">
        <xdr:nvSpPr>
          <xdr:cNvPr id="50" name="TextBox 49">
            <a:extLst>
              <a:ext uri="{FF2B5EF4-FFF2-40B4-BE49-F238E27FC236}">
                <a16:creationId xmlns:a16="http://schemas.microsoft.com/office/drawing/2014/main" id="{4C335687-91AB-3F67-8764-6587709E4FA2}"/>
              </a:ext>
            </a:extLst>
          </xdr:cNvPr>
          <xdr:cNvSpPr txBox="1"/>
        </xdr:nvSpPr>
        <xdr:spPr>
          <a:xfrm>
            <a:off x="11512957" y="1863090"/>
            <a:ext cx="331927"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7F05786-ECB9-4D56-894B-DEAE253EFB82}" type="TxLink">
              <a:rPr lang="en-US" sz="1100" b="0" i="0" u="none" strike="noStrike">
                <a:solidFill>
                  <a:schemeClr val="bg1"/>
                </a:solidFill>
                <a:latin typeface="Aptos Narrow"/>
              </a:rPr>
              <a:pPr algn="ctr"/>
              <a:t>16</a:t>
            </a:fld>
            <a:endParaRPr lang="ru-RU" sz="1100">
              <a:solidFill>
                <a:schemeClr val="bg1"/>
              </a:solidFill>
            </a:endParaRPr>
          </a:p>
        </xdr:txBody>
      </xdr:sp>
      <xdr:sp macro="" textlink="Processing!Q20">
        <xdr:nvSpPr>
          <xdr:cNvPr id="51" name="TextBox 50">
            <a:extLst>
              <a:ext uri="{FF2B5EF4-FFF2-40B4-BE49-F238E27FC236}">
                <a16:creationId xmlns:a16="http://schemas.microsoft.com/office/drawing/2014/main" id="{F5CFF68F-7610-164A-7420-8D7259EA8B7A}"/>
              </a:ext>
            </a:extLst>
          </xdr:cNvPr>
          <xdr:cNvSpPr txBox="1"/>
        </xdr:nvSpPr>
        <xdr:spPr>
          <a:xfrm>
            <a:off x="11843157" y="1863090"/>
            <a:ext cx="331927"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0BBCAF6-90AB-44AA-84B2-9314DE957D23}" type="TxLink">
              <a:rPr lang="en-US" sz="1100" b="0" i="0" u="none" strike="noStrike">
                <a:solidFill>
                  <a:schemeClr val="bg1"/>
                </a:solidFill>
                <a:latin typeface="Aptos Narrow"/>
              </a:rPr>
              <a:pPr algn="ctr"/>
              <a:t>17</a:t>
            </a:fld>
            <a:endParaRPr lang="ru-RU" sz="1100">
              <a:solidFill>
                <a:schemeClr val="bg1"/>
              </a:solidFill>
            </a:endParaRPr>
          </a:p>
        </xdr:txBody>
      </xdr:sp>
      <xdr:sp macro="" textlink="Processing!K21">
        <xdr:nvSpPr>
          <xdr:cNvPr id="52" name="TextBox 51">
            <a:extLst>
              <a:ext uri="{FF2B5EF4-FFF2-40B4-BE49-F238E27FC236}">
                <a16:creationId xmlns:a16="http://schemas.microsoft.com/office/drawing/2014/main" id="{863EBAD0-2482-5E32-599F-C96D58B482A4}"/>
              </a:ext>
            </a:extLst>
          </xdr:cNvPr>
          <xdr:cNvSpPr txBox="1"/>
        </xdr:nvSpPr>
        <xdr:spPr>
          <a:xfrm>
            <a:off x="9861957" y="2114550"/>
            <a:ext cx="331927"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F60CDE4-322C-40AF-8B58-CAED286107F1}" type="TxLink">
              <a:rPr lang="en-US" sz="1100" b="0" i="0" u="none" strike="noStrike">
                <a:solidFill>
                  <a:schemeClr val="bg1"/>
                </a:solidFill>
                <a:latin typeface="Aptos Narrow"/>
              </a:rPr>
              <a:pPr algn="ctr"/>
              <a:t>18</a:t>
            </a:fld>
            <a:endParaRPr lang="ru-RU" sz="1100">
              <a:solidFill>
                <a:schemeClr val="bg1"/>
              </a:solidFill>
            </a:endParaRPr>
          </a:p>
        </xdr:txBody>
      </xdr:sp>
      <xdr:sp macro="" textlink="Processing!L21">
        <xdr:nvSpPr>
          <xdr:cNvPr id="53" name="TextBox 52">
            <a:extLst>
              <a:ext uri="{FF2B5EF4-FFF2-40B4-BE49-F238E27FC236}">
                <a16:creationId xmlns:a16="http://schemas.microsoft.com/office/drawing/2014/main" id="{78AD38EB-A1EB-EC39-8CF4-ABCF84643D1C}"/>
              </a:ext>
            </a:extLst>
          </xdr:cNvPr>
          <xdr:cNvSpPr txBox="1"/>
        </xdr:nvSpPr>
        <xdr:spPr>
          <a:xfrm>
            <a:off x="10192157" y="2114550"/>
            <a:ext cx="331927"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50F645A-C85B-45BE-BE89-CFB916D180F5}" type="TxLink">
              <a:rPr lang="en-US" sz="1100" b="0" i="0" u="none" strike="noStrike">
                <a:solidFill>
                  <a:schemeClr val="bg1"/>
                </a:solidFill>
                <a:latin typeface="Aptos Narrow"/>
              </a:rPr>
              <a:pPr algn="ctr"/>
              <a:t>19</a:t>
            </a:fld>
            <a:endParaRPr lang="ru-RU" sz="1100">
              <a:solidFill>
                <a:schemeClr val="bg1"/>
              </a:solidFill>
            </a:endParaRPr>
          </a:p>
        </xdr:txBody>
      </xdr:sp>
      <xdr:sp macro="" textlink="Processing!M21">
        <xdr:nvSpPr>
          <xdr:cNvPr id="54" name="TextBox 53">
            <a:extLst>
              <a:ext uri="{FF2B5EF4-FFF2-40B4-BE49-F238E27FC236}">
                <a16:creationId xmlns:a16="http://schemas.microsoft.com/office/drawing/2014/main" id="{022B792E-1B25-9683-6551-752E42C9A868}"/>
              </a:ext>
            </a:extLst>
          </xdr:cNvPr>
          <xdr:cNvSpPr txBox="1"/>
        </xdr:nvSpPr>
        <xdr:spPr>
          <a:xfrm>
            <a:off x="10522357" y="2114550"/>
            <a:ext cx="331927"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2D4DE51-B53E-43A7-BF59-7EB4745421B3}" type="TxLink">
              <a:rPr lang="en-US" sz="1100" b="0" i="0" u="none" strike="noStrike">
                <a:solidFill>
                  <a:schemeClr val="bg1"/>
                </a:solidFill>
                <a:latin typeface="Aptos Narrow"/>
              </a:rPr>
              <a:pPr algn="ctr"/>
              <a:t>20</a:t>
            </a:fld>
            <a:endParaRPr lang="ru-RU" sz="1100">
              <a:solidFill>
                <a:schemeClr val="bg1"/>
              </a:solidFill>
            </a:endParaRPr>
          </a:p>
        </xdr:txBody>
      </xdr:sp>
      <xdr:sp macro="" textlink="Processing!N21">
        <xdr:nvSpPr>
          <xdr:cNvPr id="55" name="TextBox 54">
            <a:extLst>
              <a:ext uri="{FF2B5EF4-FFF2-40B4-BE49-F238E27FC236}">
                <a16:creationId xmlns:a16="http://schemas.microsoft.com/office/drawing/2014/main" id="{104D6A4B-567F-5B5D-D0C4-4FE7F246D547}"/>
              </a:ext>
            </a:extLst>
          </xdr:cNvPr>
          <xdr:cNvSpPr txBox="1"/>
        </xdr:nvSpPr>
        <xdr:spPr>
          <a:xfrm>
            <a:off x="10852557" y="2114550"/>
            <a:ext cx="331927"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00A3283-8CA4-4689-B118-D630B42327C5}" type="TxLink">
              <a:rPr lang="en-US" sz="1100" b="0" i="0" u="none" strike="noStrike">
                <a:solidFill>
                  <a:schemeClr val="bg1"/>
                </a:solidFill>
                <a:latin typeface="Aptos Narrow"/>
              </a:rPr>
              <a:pPr algn="ctr"/>
              <a:t>21</a:t>
            </a:fld>
            <a:endParaRPr lang="ru-RU" sz="1100">
              <a:solidFill>
                <a:schemeClr val="bg1"/>
              </a:solidFill>
            </a:endParaRPr>
          </a:p>
        </xdr:txBody>
      </xdr:sp>
      <xdr:sp macro="" textlink="Processing!O21">
        <xdr:nvSpPr>
          <xdr:cNvPr id="56" name="TextBox 55">
            <a:extLst>
              <a:ext uri="{FF2B5EF4-FFF2-40B4-BE49-F238E27FC236}">
                <a16:creationId xmlns:a16="http://schemas.microsoft.com/office/drawing/2014/main" id="{7EE25AB0-8035-891C-001C-66BC3AF4F7A4}"/>
              </a:ext>
            </a:extLst>
          </xdr:cNvPr>
          <xdr:cNvSpPr txBox="1"/>
        </xdr:nvSpPr>
        <xdr:spPr>
          <a:xfrm>
            <a:off x="11182757" y="2114550"/>
            <a:ext cx="331927"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6813377-304F-4B02-B975-0B14037BE775}" type="TxLink">
              <a:rPr lang="en-US" sz="1100" b="0" i="0" u="none" strike="noStrike">
                <a:solidFill>
                  <a:schemeClr val="bg1"/>
                </a:solidFill>
                <a:latin typeface="Aptos Narrow"/>
              </a:rPr>
              <a:pPr algn="ctr"/>
              <a:t>22</a:t>
            </a:fld>
            <a:endParaRPr lang="ru-RU" sz="1100">
              <a:solidFill>
                <a:schemeClr val="bg1"/>
              </a:solidFill>
            </a:endParaRPr>
          </a:p>
        </xdr:txBody>
      </xdr:sp>
      <xdr:sp macro="" textlink="Processing!P21">
        <xdr:nvSpPr>
          <xdr:cNvPr id="57" name="TextBox 56">
            <a:extLst>
              <a:ext uri="{FF2B5EF4-FFF2-40B4-BE49-F238E27FC236}">
                <a16:creationId xmlns:a16="http://schemas.microsoft.com/office/drawing/2014/main" id="{2F2B84B4-067E-0868-7B6C-DA1183465E8B}"/>
              </a:ext>
            </a:extLst>
          </xdr:cNvPr>
          <xdr:cNvSpPr txBox="1"/>
        </xdr:nvSpPr>
        <xdr:spPr>
          <a:xfrm>
            <a:off x="11512957" y="2114550"/>
            <a:ext cx="331927"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197EDCA-3BCF-4D6C-952C-105DC49430B5}" type="TxLink">
              <a:rPr lang="en-US" sz="1100" b="0" i="0" u="none" strike="noStrike">
                <a:solidFill>
                  <a:schemeClr val="bg1"/>
                </a:solidFill>
                <a:latin typeface="Aptos Narrow"/>
              </a:rPr>
              <a:pPr algn="ctr"/>
              <a:t>23</a:t>
            </a:fld>
            <a:endParaRPr lang="ru-RU" sz="1100">
              <a:solidFill>
                <a:schemeClr val="bg1"/>
              </a:solidFill>
            </a:endParaRPr>
          </a:p>
        </xdr:txBody>
      </xdr:sp>
      <xdr:sp macro="" textlink="Processing!Q21">
        <xdr:nvSpPr>
          <xdr:cNvPr id="58" name="TextBox 57">
            <a:extLst>
              <a:ext uri="{FF2B5EF4-FFF2-40B4-BE49-F238E27FC236}">
                <a16:creationId xmlns:a16="http://schemas.microsoft.com/office/drawing/2014/main" id="{9CF45C66-C208-553E-FAD2-A883351BE61F}"/>
              </a:ext>
            </a:extLst>
          </xdr:cNvPr>
          <xdr:cNvSpPr txBox="1"/>
        </xdr:nvSpPr>
        <xdr:spPr>
          <a:xfrm>
            <a:off x="11843157" y="2114550"/>
            <a:ext cx="331927"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02C04EE-592A-4139-AD3F-13DE1EDB025B}" type="TxLink">
              <a:rPr lang="en-US" sz="1100" b="0" i="0" u="none" strike="noStrike">
                <a:solidFill>
                  <a:schemeClr val="bg1"/>
                </a:solidFill>
                <a:latin typeface="Aptos Narrow"/>
              </a:rPr>
              <a:pPr algn="ctr"/>
              <a:t>24</a:t>
            </a:fld>
            <a:endParaRPr lang="ru-RU" sz="1100">
              <a:solidFill>
                <a:schemeClr val="bg1"/>
              </a:solidFill>
            </a:endParaRPr>
          </a:p>
        </xdr:txBody>
      </xdr:sp>
      <xdr:sp macro="" textlink="Processing!K22">
        <xdr:nvSpPr>
          <xdr:cNvPr id="59" name="TextBox 58">
            <a:extLst>
              <a:ext uri="{FF2B5EF4-FFF2-40B4-BE49-F238E27FC236}">
                <a16:creationId xmlns:a16="http://schemas.microsoft.com/office/drawing/2014/main" id="{4A4929DF-7900-52B1-3985-9D7BC3698B83}"/>
              </a:ext>
            </a:extLst>
          </xdr:cNvPr>
          <xdr:cNvSpPr txBox="1"/>
        </xdr:nvSpPr>
        <xdr:spPr>
          <a:xfrm>
            <a:off x="9861957" y="2373630"/>
            <a:ext cx="331927"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3434D46-59CD-48AF-A619-BF930CF101C1}" type="TxLink">
              <a:rPr lang="en-US" sz="1100" b="0" i="0" u="none" strike="noStrike">
                <a:solidFill>
                  <a:schemeClr val="bg1"/>
                </a:solidFill>
                <a:latin typeface="Aptos Narrow"/>
              </a:rPr>
              <a:pPr algn="ctr"/>
              <a:t>25</a:t>
            </a:fld>
            <a:endParaRPr lang="ru-RU" sz="1100">
              <a:solidFill>
                <a:schemeClr val="bg1"/>
              </a:solidFill>
            </a:endParaRPr>
          </a:p>
        </xdr:txBody>
      </xdr:sp>
      <xdr:sp macro="" textlink="Processing!L22">
        <xdr:nvSpPr>
          <xdr:cNvPr id="60" name="TextBox 59">
            <a:extLst>
              <a:ext uri="{FF2B5EF4-FFF2-40B4-BE49-F238E27FC236}">
                <a16:creationId xmlns:a16="http://schemas.microsoft.com/office/drawing/2014/main" id="{D510CE2F-FA2A-4228-D756-9A1C7C107D2D}"/>
              </a:ext>
            </a:extLst>
          </xdr:cNvPr>
          <xdr:cNvSpPr txBox="1"/>
        </xdr:nvSpPr>
        <xdr:spPr>
          <a:xfrm>
            <a:off x="10192157" y="2373630"/>
            <a:ext cx="331927"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08C6F43-D2D6-4FDA-97F5-39CC07F013C4}" type="TxLink">
              <a:rPr lang="en-US" sz="1100" b="0" i="0" u="none" strike="noStrike">
                <a:solidFill>
                  <a:schemeClr val="bg1"/>
                </a:solidFill>
                <a:latin typeface="Aptos Narrow"/>
              </a:rPr>
              <a:pPr algn="ctr"/>
              <a:t>26</a:t>
            </a:fld>
            <a:endParaRPr lang="ru-RU" sz="1100">
              <a:solidFill>
                <a:schemeClr val="bg1"/>
              </a:solidFill>
            </a:endParaRPr>
          </a:p>
        </xdr:txBody>
      </xdr:sp>
      <xdr:sp macro="" textlink="Processing!M22">
        <xdr:nvSpPr>
          <xdr:cNvPr id="61" name="TextBox 60">
            <a:extLst>
              <a:ext uri="{FF2B5EF4-FFF2-40B4-BE49-F238E27FC236}">
                <a16:creationId xmlns:a16="http://schemas.microsoft.com/office/drawing/2014/main" id="{E9D3C3F6-CA45-4D82-1095-86BAEF75659D}"/>
              </a:ext>
            </a:extLst>
          </xdr:cNvPr>
          <xdr:cNvSpPr txBox="1"/>
        </xdr:nvSpPr>
        <xdr:spPr>
          <a:xfrm>
            <a:off x="10522357" y="2373630"/>
            <a:ext cx="331927"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80B591B-3685-4584-BBAD-C0107B433C6F}" type="TxLink">
              <a:rPr lang="en-US" sz="1100" b="0" i="0" u="none" strike="noStrike">
                <a:solidFill>
                  <a:schemeClr val="bg1"/>
                </a:solidFill>
                <a:latin typeface="Aptos Narrow"/>
              </a:rPr>
              <a:pPr algn="ctr"/>
              <a:t>27</a:t>
            </a:fld>
            <a:endParaRPr lang="ru-RU" sz="1100">
              <a:solidFill>
                <a:schemeClr val="bg1"/>
              </a:solidFill>
            </a:endParaRPr>
          </a:p>
        </xdr:txBody>
      </xdr:sp>
      <xdr:sp macro="" textlink="Processing!N22">
        <xdr:nvSpPr>
          <xdr:cNvPr id="62" name="TextBox 61">
            <a:extLst>
              <a:ext uri="{FF2B5EF4-FFF2-40B4-BE49-F238E27FC236}">
                <a16:creationId xmlns:a16="http://schemas.microsoft.com/office/drawing/2014/main" id="{89E8B31C-BD1D-CC31-01D3-1CE58E44F445}"/>
              </a:ext>
            </a:extLst>
          </xdr:cNvPr>
          <xdr:cNvSpPr txBox="1"/>
        </xdr:nvSpPr>
        <xdr:spPr>
          <a:xfrm>
            <a:off x="10852557" y="2373630"/>
            <a:ext cx="331927"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9151E29-6C8F-4181-B53C-00B141B89A32}" type="TxLink">
              <a:rPr lang="en-US" sz="1100" b="0" i="0" u="none" strike="noStrike">
                <a:solidFill>
                  <a:schemeClr val="bg1"/>
                </a:solidFill>
                <a:latin typeface="Aptos Narrow"/>
              </a:rPr>
              <a:pPr algn="ctr"/>
              <a:t>28</a:t>
            </a:fld>
            <a:endParaRPr lang="ru-RU" sz="1100">
              <a:solidFill>
                <a:schemeClr val="bg1"/>
              </a:solidFill>
            </a:endParaRPr>
          </a:p>
        </xdr:txBody>
      </xdr:sp>
      <xdr:sp macro="" textlink="Processing!O22">
        <xdr:nvSpPr>
          <xdr:cNvPr id="63" name="TextBox 62">
            <a:extLst>
              <a:ext uri="{FF2B5EF4-FFF2-40B4-BE49-F238E27FC236}">
                <a16:creationId xmlns:a16="http://schemas.microsoft.com/office/drawing/2014/main" id="{EF95E872-2366-C2DF-4039-19EDB066CD58}"/>
              </a:ext>
            </a:extLst>
          </xdr:cNvPr>
          <xdr:cNvSpPr txBox="1"/>
        </xdr:nvSpPr>
        <xdr:spPr>
          <a:xfrm>
            <a:off x="11182757" y="2373630"/>
            <a:ext cx="331927"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8B71AD2-8317-4217-BCD5-0AE664AC41DE}" type="TxLink">
              <a:rPr lang="en-US" sz="1100" b="0" i="0" u="none" strike="noStrike">
                <a:solidFill>
                  <a:schemeClr val="bg1"/>
                </a:solidFill>
                <a:latin typeface="Aptos Narrow"/>
              </a:rPr>
              <a:pPr algn="ctr"/>
              <a:t>29</a:t>
            </a:fld>
            <a:endParaRPr lang="ru-RU" sz="1100">
              <a:solidFill>
                <a:schemeClr val="bg1"/>
              </a:solidFill>
            </a:endParaRPr>
          </a:p>
        </xdr:txBody>
      </xdr:sp>
      <xdr:sp macro="" textlink="Processing!P22">
        <xdr:nvSpPr>
          <xdr:cNvPr id="64" name="TextBox 63">
            <a:extLst>
              <a:ext uri="{FF2B5EF4-FFF2-40B4-BE49-F238E27FC236}">
                <a16:creationId xmlns:a16="http://schemas.microsoft.com/office/drawing/2014/main" id="{46425121-2E0C-7296-7F51-BB948C66ACB3}"/>
              </a:ext>
            </a:extLst>
          </xdr:cNvPr>
          <xdr:cNvSpPr txBox="1"/>
        </xdr:nvSpPr>
        <xdr:spPr>
          <a:xfrm>
            <a:off x="11512957" y="2373630"/>
            <a:ext cx="331927"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3152B50-DF90-4733-A7AC-635DF7B3EE72}" type="TxLink">
              <a:rPr lang="en-US" sz="1100" b="0" i="0" u="none" strike="noStrike">
                <a:solidFill>
                  <a:schemeClr val="bg1"/>
                </a:solidFill>
                <a:latin typeface="Aptos Narrow"/>
              </a:rPr>
              <a:pPr algn="ctr"/>
              <a:t>30</a:t>
            </a:fld>
            <a:endParaRPr lang="ru-RU" sz="1100">
              <a:solidFill>
                <a:schemeClr val="bg1"/>
              </a:solidFill>
            </a:endParaRPr>
          </a:p>
        </xdr:txBody>
      </xdr:sp>
      <xdr:sp macro="" textlink="Processing!Q22">
        <xdr:nvSpPr>
          <xdr:cNvPr id="65" name="TextBox 64">
            <a:extLst>
              <a:ext uri="{FF2B5EF4-FFF2-40B4-BE49-F238E27FC236}">
                <a16:creationId xmlns:a16="http://schemas.microsoft.com/office/drawing/2014/main" id="{37F7596E-EC65-2BF3-0B62-C99A37BF6B27}"/>
              </a:ext>
            </a:extLst>
          </xdr:cNvPr>
          <xdr:cNvSpPr txBox="1"/>
        </xdr:nvSpPr>
        <xdr:spPr>
          <a:xfrm>
            <a:off x="11843157" y="2373630"/>
            <a:ext cx="331927"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0DD52F1-01A4-4DC0-A191-276895FD2A53}" type="TxLink">
              <a:rPr lang="en-US" sz="1100" b="0" i="0" u="none" strike="noStrike">
                <a:solidFill>
                  <a:schemeClr val="bg1"/>
                </a:solidFill>
                <a:latin typeface="Aptos Narrow"/>
              </a:rPr>
              <a:pPr algn="ctr"/>
              <a:t> </a:t>
            </a:fld>
            <a:endParaRPr lang="ru-RU" sz="1100">
              <a:solidFill>
                <a:schemeClr val="bg1"/>
              </a:solidFill>
            </a:endParaRPr>
          </a:p>
        </xdr:txBody>
      </xdr:sp>
      <xdr:sp macro="" textlink="Processing!K23">
        <xdr:nvSpPr>
          <xdr:cNvPr id="66" name="TextBox 65">
            <a:extLst>
              <a:ext uri="{FF2B5EF4-FFF2-40B4-BE49-F238E27FC236}">
                <a16:creationId xmlns:a16="http://schemas.microsoft.com/office/drawing/2014/main" id="{4E49A87E-40A6-2E23-7D53-843FCFBF23BB}"/>
              </a:ext>
            </a:extLst>
          </xdr:cNvPr>
          <xdr:cNvSpPr txBox="1"/>
        </xdr:nvSpPr>
        <xdr:spPr>
          <a:xfrm>
            <a:off x="9861957" y="2625090"/>
            <a:ext cx="331927"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2E74728-937F-4954-89A7-B828DA252D8E}" type="TxLink">
              <a:rPr lang="en-US" sz="1100" b="0" i="0" u="none" strike="noStrike">
                <a:solidFill>
                  <a:schemeClr val="bg1"/>
                </a:solidFill>
                <a:latin typeface="Aptos Narrow"/>
              </a:rPr>
              <a:pPr algn="ctr"/>
              <a:t> </a:t>
            </a:fld>
            <a:endParaRPr lang="ru-RU" sz="1100">
              <a:solidFill>
                <a:schemeClr val="bg1"/>
              </a:solidFill>
            </a:endParaRPr>
          </a:p>
        </xdr:txBody>
      </xdr:sp>
      <xdr:sp macro="" textlink="Processing!L23">
        <xdr:nvSpPr>
          <xdr:cNvPr id="67" name="TextBox 66">
            <a:extLst>
              <a:ext uri="{FF2B5EF4-FFF2-40B4-BE49-F238E27FC236}">
                <a16:creationId xmlns:a16="http://schemas.microsoft.com/office/drawing/2014/main" id="{574E06A7-64F8-8C2E-9375-158C17129435}"/>
              </a:ext>
            </a:extLst>
          </xdr:cNvPr>
          <xdr:cNvSpPr txBox="1"/>
        </xdr:nvSpPr>
        <xdr:spPr>
          <a:xfrm>
            <a:off x="10192157" y="2625090"/>
            <a:ext cx="331927"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6566E17-270D-48FD-A911-0D721FAE9D81}" type="TxLink">
              <a:rPr lang="en-US" sz="1100" b="0" i="0" u="none" strike="noStrike">
                <a:solidFill>
                  <a:schemeClr val="bg1"/>
                </a:solidFill>
                <a:latin typeface="Aptos Narrow"/>
              </a:rPr>
              <a:pPr algn="ctr"/>
              <a:t> </a:t>
            </a:fld>
            <a:endParaRPr lang="ru-RU" sz="1100">
              <a:solidFill>
                <a:schemeClr val="bg1"/>
              </a:solidFill>
            </a:endParaRPr>
          </a:p>
        </xdr:txBody>
      </xdr:sp>
      <xdr:sp macro="" textlink="Processing!M23">
        <xdr:nvSpPr>
          <xdr:cNvPr id="68" name="TextBox 67">
            <a:extLst>
              <a:ext uri="{FF2B5EF4-FFF2-40B4-BE49-F238E27FC236}">
                <a16:creationId xmlns:a16="http://schemas.microsoft.com/office/drawing/2014/main" id="{9070841C-5676-BCB1-7222-6AA8ACF34A7F}"/>
              </a:ext>
            </a:extLst>
          </xdr:cNvPr>
          <xdr:cNvSpPr txBox="1"/>
        </xdr:nvSpPr>
        <xdr:spPr>
          <a:xfrm>
            <a:off x="10522357" y="2625090"/>
            <a:ext cx="331927"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8107160-E3A7-4ACE-886C-33D4EAAF47DF}" type="TxLink">
              <a:rPr lang="en-US" sz="1100" b="0" i="0" u="none" strike="noStrike">
                <a:solidFill>
                  <a:schemeClr val="bg1"/>
                </a:solidFill>
                <a:latin typeface="Aptos Narrow"/>
              </a:rPr>
              <a:pPr algn="ctr"/>
              <a:t> </a:t>
            </a:fld>
            <a:endParaRPr lang="ru-RU" sz="1100">
              <a:solidFill>
                <a:schemeClr val="bg1"/>
              </a:solidFill>
            </a:endParaRPr>
          </a:p>
        </xdr:txBody>
      </xdr:sp>
      <xdr:sp macro="" textlink="Processing!N23">
        <xdr:nvSpPr>
          <xdr:cNvPr id="69" name="TextBox 68">
            <a:extLst>
              <a:ext uri="{FF2B5EF4-FFF2-40B4-BE49-F238E27FC236}">
                <a16:creationId xmlns:a16="http://schemas.microsoft.com/office/drawing/2014/main" id="{EAB42E1D-5E90-FB61-0BCC-49F5462D8DCC}"/>
              </a:ext>
            </a:extLst>
          </xdr:cNvPr>
          <xdr:cNvSpPr txBox="1"/>
        </xdr:nvSpPr>
        <xdr:spPr>
          <a:xfrm>
            <a:off x="10852557" y="2625090"/>
            <a:ext cx="331927"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8EB2ECB-6F7F-4F10-BE5E-B980037A19FA}" type="TxLink">
              <a:rPr lang="en-US" sz="1100" b="0" i="0" u="none" strike="noStrike">
                <a:solidFill>
                  <a:schemeClr val="bg1"/>
                </a:solidFill>
                <a:latin typeface="Aptos Narrow"/>
              </a:rPr>
              <a:pPr algn="ctr"/>
              <a:t> </a:t>
            </a:fld>
            <a:endParaRPr lang="ru-RU" sz="1100">
              <a:solidFill>
                <a:schemeClr val="bg1"/>
              </a:solidFill>
            </a:endParaRPr>
          </a:p>
        </xdr:txBody>
      </xdr:sp>
      <xdr:sp macro="" textlink="Processing!O23">
        <xdr:nvSpPr>
          <xdr:cNvPr id="70" name="TextBox 69">
            <a:extLst>
              <a:ext uri="{FF2B5EF4-FFF2-40B4-BE49-F238E27FC236}">
                <a16:creationId xmlns:a16="http://schemas.microsoft.com/office/drawing/2014/main" id="{FBEB5B68-C34B-C417-7541-A22CC01E6EED}"/>
              </a:ext>
            </a:extLst>
          </xdr:cNvPr>
          <xdr:cNvSpPr txBox="1"/>
        </xdr:nvSpPr>
        <xdr:spPr>
          <a:xfrm>
            <a:off x="11182757" y="2625090"/>
            <a:ext cx="331927"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45878CA-C1A0-4731-81FB-EF7CE4A076F3}" type="TxLink">
              <a:rPr lang="en-US" sz="1100" b="0" i="0" u="none" strike="noStrike">
                <a:solidFill>
                  <a:schemeClr val="bg1"/>
                </a:solidFill>
                <a:latin typeface="Aptos Narrow"/>
              </a:rPr>
              <a:pPr algn="ctr"/>
              <a:t> </a:t>
            </a:fld>
            <a:endParaRPr lang="ru-RU" sz="1100">
              <a:solidFill>
                <a:schemeClr val="bg1"/>
              </a:solidFill>
            </a:endParaRPr>
          </a:p>
        </xdr:txBody>
      </xdr:sp>
      <xdr:sp macro="" textlink="Processing!P23">
        <xdr:nvSpPr>
          <xdr:cNvPr id="71" name="TextBox 70">
            <a:extLst>
              <a:ext uri="{FF2B5EF4-FFF2-40B4-BE49-F238E27FC236}">
                <a16:creationId xmlns:a16="http://schemas.microsoft.com/office/drawing/2014/main" id="{ED79CC43-DE32-3891-3B14-B70D40520967}"/>
              </a:ext>
            </a:extLst>
          </xdr:cNvPr>
          <xdr:cNvSpPr txBox="1"/>
        </xdr:nvSpPr>
        <xdr:spPr>
          <a:xfrm>
            <a:off x="11512957" y="2625090"/>
            <a:ext cx="331927"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216AF94-6942-426F-9EE2-7466AA9E6F81}" type="TxLink">
              <a:rPr lang="en-US" sz="1100" b="0" i="0" u="none" strike="noStrike">
                <a:solidFill>
                  <a:schemeClr val="bg1"/>
                </a:solidFill>
                <a:latin typeface="Aptos Narrow"/>
              </a:rPr>
              <a:pPr algn="ctr"/>
              <a:t> </a:t>
            </a:fld>
            <a:endParaRPr lang="ru-RU" sz="1100">
              <a:solidFill>
                <a:schemeClr val="bg1"/>
              </a:solidFill>
            </a:endParaRPr>
          </a:p>
        </xdr:txBody>
      </xdr:sp>
      <xdr:sp macro="" textlink="Processing!Q23">
        <xdr:nvSpPr>
          <xdr:cNvPr id="72" name="TextBox 71">
            <a:extLst>
              <a:ext uri="{FF2B5EF4-FFF2-40B4-BE49-F238E27FC236}">
                <a16:creationId xmlns:a16="http://schemas.microsoft.com/office/drawing/2014/main" id="{ED7E5789-8602-01E0-1809-48DEC6664246}"/>
              </a:ext>
            </a:extLst>
          </xdr:cNvPr>
          <xdr:cNvSpPr txBox="1"/>
        </xdr:nvSpPr>
        <xdr:spPr>
          <a:xfrm>
            <a:off x="11843157" y="2625090"/>
            <a:ext cx="331927"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F8D5031-89A1-4503-AD3B-7EFDD2B20049}" type="TxLink">
              <a:rPr lang="en-US" sz="1100" b="0" i="0" u="none" strike="noStrike">
                <a:solidFill>
                  <a:schemeClr val="bg1"/>
                </a:solidFill>
                <a:latin typeface="Aptos Narrow"/>
              </a:rPr>
              <a:pPr algn="ctr"/>
              <a:t> </a:t>
            </a:fld>
            <a:endParaRPr lang="ru-RU" sz="1100">
              <a:solidFill>
                <a:schemeClr val="bg1"/>
              </a:solidFill>
            </a:endParaRPr>
          </a:p>
        </xdr:txBody>
      </xdr:sp>
    </xdr:grpSp>
    <xdr:clientData/>
  </xdr:twoCellAnchor>
  <xdr:twoCellAnchor>
    <xdr:from>
      <xdr:col>10</xdr:col>
      <xdr:colOff>203993</xdr:colOff>
      <xdr:row>4</xdr:row>
      <xdr:rowOff>157213</xdr:rowOff>
    </xdr:from>
    <xdr:to>
      <xdr:col>11</xdr:col>
      <xdr:colOff>417353</xdr:colOff>
      <xdr:row>9</xdr:row>
      <xdr:rowOff>65773</xdr:rowOff>
    </xdr:to>
    <xdr:graphicFrame macro="">
      <xdr:nvGraphicFramePr>
        <xdr:cNvPr id="80" name="Chart 79">
          <a:extLst>
            <a:ext uri="{FF2B5EF4-FFF2-40B4-BE49-F238E27FC236}">
              <a16:creationId xmlns:a16="http://schemas.microsoft.com/office/drawing/2014/main" id="{B36678F5-A365-403C-9676-B6DCA0DC617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10</xdr:col>
      <xdr:colOff>276431</xdr:colOff>
      <xdr:row>6</xdr:row>
      <xdr:rowOff>45720</xdr:rowOff>
    </xdr:from>
    <xdr:to>
      <xdr:col>11</xdr:col>
      <xdr:colOff>348410</xdr:colOff>
      <xdr:row>7</xdr:row>
      <xdr:rowOff>169909</xdr:rowOff>
    </xdr:to>
    <xdr:sp macro="" textlink="Processing!E15">
      <xdr:nvSpPr>
        <xdr:cNvPr id="81" name="TextBox 80">
          <a:extLst>
            <a:ext uri="{FF2B5EF4-FFF2-40B4-BE49-F238E27FC236}">
              <a16:creationId xmlns:a16="http://schemas.microsoft.com/office/drawing/2014/main" id="{3C6F7F07-4520-4313-9BC0-F8DC3A11E4B3}"/>
            </a:ext>
          </a:extLst>
        </xdr:cNvPr>
        <xdr:cNvSpPr txBox="1"/>
      </xdr:nvSpPr>
      <xdr:spPr>
        <a:xfrm>
          <a:off x="6372431" y="1143000"/>
          <a:ext cx="681579" cy="3070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9A9B9565-BBFC-46A7-A67D-00B9BECDDD49}" type="TxLink">
            <a:rPr lang="en-US" sz="1100" b="0" i="0" u="none" strike="noStrike">
              <a:solidFill>
                <a:schemeClr val="bg1"/>
              </a:solidFill>
              <a:latin typeface="Aptos Narrow"/>
              <a:ea typeface="+mn-ea"/>
              <a:cs typeface="+mn-cs"/>
            </a:rPr>
            <a:pPr marL="0" indent="0" algn="ctr"/>
            <a:t>65%</a:t>
          </a:fld>
          <a:endParaRPr lang="ru-RU" sz="1100" b="0" i="0" u="none" strike="noStrike">
            <a:solidFill>
              <a:schemeClr val="bg1"/>
            </a:solidFill>
            <a:latin typeface="Aptos Narrow"/>
            <a:ea typeface="+mn-ea"/>
            <a:cs typeface="+mn-cs"/>
          </a:endParaRPr>
        </a:p>
      </xdr:txBody>
    </xdr:sp>
    <xdr:clientData/>
  </xdr:twoCellAnchor>
  <xdr:twoCellAnchor>
    <xdr:from>
      <xdr:col>4</xdr:col>
      <xdr:colOff>556114</xdr:colOff>
      <xdr:row>26</xdr:row>
      <xdr:rowOff>91440</xdr:rowOff>
    </xdr:from>
    <xdr:to>
      <xdr:col>11</xdr:col>
      <xdr:colOff>403714</xdr:colOff>
      <xdr:row>36</xdr:row>
      <xdr:rowOff>91440</xdr:rowOff>
    </xdr:to>
    <xdr:sp macro="" textlink="">
      <xdr:nvSpPr>
        <xdr:cNvPr id="87" name="Rectangle: Rounded Corners 86">
          <a:extLst>
            <a:ext uri="{FF2B5EF4-FFF2-40B4-BE49-F238E27FC236}">
              <a16:creationId xmlns:a16="http://schemas.microsoft.com/office/drawing/2014/main" id="{4CE3F49B-1908-4A78-BF74-EF8E17670DC2}"/>
            </a:ext>
          </a:extLst>
        </xdr:cNvPr>
        <xdr:cNvSpPr/>
      </xdr:nvSpPr>
      <xdr:spPr>
        <a:xfrm>
          <a:off x="2994514" y="4846320"/>
          <a:ext cx="4114800" cy="1828800"/>
        </a:xfrm>
        <a:prstGeom prst="roundRect">
          <a:avLst>
            <a:gd name="adj" fmla="val 5788"/>
          </a:avLst>
        </a:prstGeom>
        <a:solidFill>
          <a:srgbClr val="0F2659"/>
        </a:solidFill>
        <a:effectLst>
          <a:innerShdw blurRad="127000">
            <a:prstClr val="black"/>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4</xdr:col>
      <xdr:colOff>464674</xdr:colOff>
      <xdr:row>24</xdr:row>
      <xdr:rowOff>167640</xdr:rowOff>
    </xdr:from>
    <xdr:to>
      <xdr:col>11</xdr:col>
      <xdr:colOff>540874</xdr:colOff>
      <xdr:row>37</xdr:row>
      <xdr:rowOff>30480</xdr:rowOff>
    </xdr:to>
    <xdr:graphicFrame macro="">
      <xdr:nvGraphicFramePr>
        <xdr:cNvPr id="88" name="Chart 87">
          <a:extLst>
            <a:ext uri="{FF2B5EF4-FFF2-40B4-BE49-F238E27FC236}">
              <a16:creationId xmlns:a16="http://schemas.microsoft.com/office/drawing/2014/main" id="{89C1C348-5A5F-44EF-80C4-82C346D34E8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4</xdr:col>
      <xdr:colOff>83674</xdr:colOff>
      <xdr:row>25</xdr:row>
      <xdr:rowOff>152400</xdr:rowOff>
    </xdr:from>
    <xdr:to>
      <xdr:col>11</xdr:col>
      <xdr:colOff>525634</xdr:colOff>
      <xdr:row>37</xdr:row>
      <xdr:rowOff>15240</xdr:rowOff>
    </xdr:to>
    <xdr:graphicFrame macro="">
      <xdr:nvGraphicFramePr>
        <xdr:cNvPr id="89" name="Chart 88">
          <a:extLst>
            <a:ext uri="{FF2B5EF4-FFF2-40B4-BE49-F238E27FC236}">
              <a16:creationId xmlns:a16="http://schemas.microsoft.com/office/drawing/2014/main" id="{A2EEF82D-7A8C-40C4-81B4-BC5A51FC430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3</xdr:col>
      <xdr:colOff>525780</xdr:colOff>
      <xdr:row>25</xdr:row>
      <xdr:rowOff>144780</xdr:rowOff>
    </xdr:from>
    <xdr:to>
      <xdr:col>4</xdr:col>
      <xdr:colOff>540728</xdr:colOff>
      <xdr:row>27</xdr:row>
      <xdr:rowOff>86089</xdr:rowOff>
    </xdr:to>
    <xdr:sp macro="" textlink="Processing!J3">
      <xdr:nvSpPr>
        <xdr:cNvPr id="9" name="TextBox 8">
          <a:extLst>
            <a:ext uri="{FF2B5EF4-FFF2-40B4-BE49-F238E27FC236}">
              <a16:creationId xmlns:a16="http://schemas.microsoft.com/office/drawing/2014/main" id="{C08A9BB7-FE0C-461F-B8CE-6B07907810E4}"/>
            </a:ext>
          </a:extLst>
        </xdr:cNvPr>
        <xdr:cNvSpPr txBox="1"/>
      </xdr:nvSpPr>
      <xdr:spPr>
        <a:xfrm>
          <a:off x="2354580" y="4716780"/>
          <a:ext cx="624548" cy="3070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B651ED33-8F01-41CA-96B5-2480A3CCD5B8}" type="TxLink">
            <a:rPr lang="en-US" sz="900" b="0" i="0" u="none" strike="noStrike">
              <a:solidFill>
                <a:srgbClr val="28BEBA"/>
              </a:solidFill>
              <a:latin typeface="Aptos Narrow"/>
              <a:ea typeface="+mn-ea"/>
              <a:cs typeface="+mn-cs"/>
            </a:rPr>
            <a:pPr marL="0" indent="0" algn="ctr"/>
            <a:t>Target 1</a:t>
          </a:fld>
          <a:endParaRPr lang="ru-RU" sz="1200" b="0" i="0" u="none" strike="noStrike">
            <a:solidFill>
              <a:srgbClr val="28BEBA"/>
            </a:solidFill>
            <a:latin typeface="Aptos Narrow"/>
            <a:ea typeface="+mn-ea"/>
            <a:cs typeface="+mn-cs"/>
          </a:endParaRPr>
        </a:p>
      </xdr:txBody>
    </xdr:sp>
    <xdr:clientData/>
  </xdr:twoCellAnchor>
  <xdr:twoCellAnchor>
    <xdr:from>
      <xdr:col>3</xdr:col>
      <xdr:colOff>525780</xdr:colOff>
      <xdr:row>27</xdr:row>
      <xdr:rowOff>129540</xdr:rowOff>
    </xdr:from>
    <xdr:to>
      <xdr:col>4</xdr:col>
      <xdr:colOff>540728</xdr:colOff>
      <xdr:row>29</xdr:row>
      <xdr:rowOff>70849</xdr:rowOff>
    </xdr:to>
    <xdr:sp macro="" textlink="Processing!J4">
      <xdr:nvSpPr>
        <xdr:cNvPr id="10" name="TextBox 9">
          <a:extLst>
            <a:ext uri="{FF2B5EF4-FFF2-40B4-BE49-F238E27FC236}">
              <a16:creationId xmlns:a16="http://schemas.microsoft.com/office/drawing/2014/main" id="{6D17F658-D59B-4A16-9870-DC16A0382443}"/>
            </a:ext>
          </a:extLst>
        </xdr:cNvPr>
        <xdr:cNvSpPr txBox="1"/>
      </xdr:nvSpPr>
      <xdr:spPr>
        <a:xfrm>
          <a:off x="2354580" y="5067300"/>
          <a:ext cx="624548" cy="3070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61BD5C03-9666-4F95-9C4A-BCF38E0A9883}" type="TxLink">
            <a:rPr lang="en-US" sz="900" b="0" i="0" u="none" strike="noStrike">
              <a:solidFill>
                <a:srgbClr val="3879F2"/>
              </a:solidFill>
              <a:latin typeface="Aptos Narrow"/>
              <a:ea typeface="+mn-ea"/>
              <a:cs typeface="+mn-cs"/>
            </a:rPr>
            <a:pPr marL="0" indent="0" algn="ctr"/>
            <a:t>Target 2</a:t>
          </a:fld>
          <a:endParaRPr lang="ru-RU" sz="1000" b="0" i="0" u="none" strike="noStrike">
            <a:solidFill>
              <a:srgbClr val="3879F2"/>
            </a:solidFill>
            <a:latin typeface="Aptos Narrow"/>
            <a:ea typeface="+mn-ea"/>
            <a:cs typeface="+mn-cs"/>
          </a:endParaRPr>
        </a:p>
      </xdr:txBody>
    </xdr:sp>
    <xdr:clientData/>
  </xdr:twoCellAnchor>
  <xdr:twoCellAnchor>
    <xdr:from>
      <xdr:col>3</xdr:col>
      <xdr:colOff>525780</xdr:colOff>
      <xdr:row>29</xdr:row>
      <xdr:rowOff>114300</xdr:rowOff>
    </xdr:from>
    <xdr:to>
      <xdr:col>4</xdr:col>
      <xdr:colOff>540728</xdr:colOff>
      <xdr:row>31</xdr:row>
      <xdr:rowOff>55609</xdr:rowOff>
    </xdr:to>
    <xdr:sp macro="" textlink="Processing!J5">
      <xdr:nvSpPr>
        <xdr:cNvPr id="11" name="TextBox 10">
          <a:extLst>
            <a:ext uri="{FF2B5EF4-FFF2-40B4-BE49-F238E27FC236}">
              <a16:creationId xmlns:a16="http://schemas.microsoft.com/office/drawing/2014/main" id="{F0D1742C-1329-4E83-B788-A707EE212F65}"/>
            </a:ext>
          </a:extLst>
        </xdr:cNvPr>
        <xdr:cNvSpPr txBox="1"/>
      </xdr:nvSpPr>
      <xdr:spPr>
        <a:xfrm>
          <a:off x="2354580" y="5417820"/>
          <a:ext cx="624548" cy="3070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4D0E215D-3655-4F66-ACFB-977969128424}" type="TxLink">
            <a:rPr lang="en-US" sz="900" b="0" i="0" u="none" strike="noStrike">
              <a:solidFill>
                <a:srgbClr val="FF7684"/>
              </a:solidFill>
              <a:latin typeface="Aptos Narrow"/>
              <a:ea typeface="+mn-ea"/>
              <a:cs typeface="+mn-cs"/>
            </a:rPr>
            <a:pPr marL="0" indent="0" algn="ctr"/>
            <a:t>Target 3</a:t>
          </a:fld>
          <a:endParaRPr lang="ru-RU" sz="1000" b="0" i="0" u="none" strike="noStrike">
            <a:solidFill>
              <a:srgbClr val="FF7684"/>
            </a:solidFill>
            <a:latin typeface="Aptos Narrow"/>
            <a:ea typeface="+mn-ea"/>
            <a:cs typeface="+mn-cs"/>
          </a:endParaRPr>
        </a:p>
      </xdr:txBody>
    </xdr:sp>
    <xdr:clientData/>
  </xdr:twoCellAnchor>
  <xdr:twoCellAnchor>
    <xdr:from>
      <xdr:col>3</xdr:col>
      <xdr:colOff>525780</xdr:colOff>
      <xdr:row>31</xdr:row>
      <xdr:rowOff>99060</xdr:rowOff>
    </xdr:from>
    <xdr:to>
      <xdr:col>4</xdr:col>
      <xdr:colOff>540728</xdr:colOff>
      <xdr:row>33</xdr:row>
      <xdr:rowOff>40369</xdr:rowOff>
    </xdr:to>
    <xdr:sp macro="" textlink="Processing!J6">
      <xdr:nvSpPr>
        <xdr:cNvPr id="73" name="TextBox 72">
          <a:extLst>
            <a:ext uri="{FF2B5EF4-FFF2-40B4-BE49-F238E27FC236}">
              <a16:creationId xmlns:a16="http://schemas.microsoft.com/office/drawing/2014/main" id="{6F02699A-3DE3-4CE0-8C14-9E5A1A6D209F}"/>
            </a:ext>
          </a:extLst>
        </xdr:cNvPr>
        <xdr:cNvSpPr txBox="1"/>
      </xdr:nvSpPr>
      <xdr:spPr>
        <a:xfrm>
          <a:off x="2354580" y="5768340"/>
          <a:ext cx="624548" cy="3070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D58AA4D8-5D6F-485A-A4E3-857258D4E43D}" type="TxLink">
            <a:rPr lang="en-US" sz="900" b="0" i="0" u="none" strike="noStrike">
              <a:solidFill>
                <a:srgbClr val="00ADD6"/>
              </a:solidFill>
              <a:latin typeface="Aptos Narrow"/>
              <a:ea typeface="+mn-ea"/>
              <a:cs typeface="+mn-cs"/>
            </a:rPr>
            <a:pPr marL="0" indent="0" algn="ctr"/>
            <a:t>Target 4</a:t>
          </a:fld>
          <a:endParaRPr lang="ru-RU" sz="1000" b="0" i="0" u="none" strike="noStrike">
            <a:solidFill>
              <a:srgbClr val="00ADD6"/>
            </a:solidFill>
            <a:latin typeface="Aptos Narrow"/>
            <a:ea typeface="+mn-ea"/>
            <a:cs typeface="+mn-cs"/>
          </a:endParaRPr>
        </a:p>
      </xdr:txBody>
    </xdr:sp>
    <xdr:clientData/>
  </xdr:twoCellAnchor>
  <xdr:twoCellAnchor>
    <xdr:from>
      <xdr:col>3</xdr:col>
      <xdr:colOff>525780</xdr:colOff>
      <xdr:row>33</xdr:row>
      <xdr:rowOff>83820</xdr:rowOff>
    </xdr:from>
    <xdr:to>
      <xdr:col>4</xdr:col>
      <xdr:colOff>540728</xdr:colOff>
      <xdr:row>35</xdr:row>
      <xdr:rowOff>25129</xdr:rowOff>
    </xdr:to>
    <xdr:sp macro="" textlink="Processing!J7">
      <xdr:nvSpPr>
        <xdr:cNvPr id="74" name="TextBox 73">
          <a:extLst>
            <a:ext uri="{FF2B5EF4-FFF2-40B4-BE49-F238E27FC236}">
              <a16:creationId xmlns:a16="http://schemas.microsoft.com/office/drawing/2014/main" id="{E9AD7042-BEDE-44BC-B6D7-69E3C9AE5C76}"/>
            </a:ext>
          </a:extLst>
        </xdr:cNvPr>
        <xdr:cNvSpPr txBox="1"/>
      </xdr:nvSpPr>
      <xdr:spPr>
        <a:xfrm>
          <a:off x="2354580" y="6118860"/>
          <a:ext cx="624548" cy="3070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BBD31B8A-D271-4BDE-984C-859332B009E3}" type="TxLink">
            <a:rPr lang="en-US" sz="900" b="0" i="0" u="none" strike="noStrike">
              <a:solidFill>
                <a:srgbClr val="6978B4"/>
              </a:solidFill>
              <a:latin typeface="Aptos Narrow"/>
              <a:ea typeface="+mn-ea"/>
              <a:cs typeface="+mn-cs"/>
            </a:rPr>
            <a:pPr marL="0" indent="0" algn="ctr"/>
            <a:t>Target 5</a:t>
          </a:fld>
          <a:endParaRPr lang="ru-RU" sz="1000" b="0" i="0" u="none" strike="noStrike">
            <a:solidFill>
              <a:srgbClr val="6978B4"/>
            </a:solidFill>
            <a:latin typeface="Aptos Narrow"/>
            <a:ea typeface="+mn-ea"/>
            <a:cs typeface="+mn-cs"/>
          </a:endParaRPr>
        </a:p>
      </xdr:txBody>
    </xdr:sp>
    <xdr:clientData/>
  </xdr:twoCellAnchor>
  <xdr:twoCellAnchor>
    <xdr:from>
      <xdr:col>6</xdr:col>
      <xdr:colOff>569422</xdr:colOff>
      <xdr:row>7</xdr:row>
      <xdr:rowOff>90282</xdr:rowOff>
    </xdr:from>
    <xdr:to>
      <xdr:col>8</xdr:col>
      <xdr:colOff>451659</xdr:colOff>
      <xdr:row>8</xdr:row>
      <xdr:rowOff>161178</xdr:rowOff>
    </xdr:to>
    <xdr:sp macro="" textlink="Processing!F17">
      <xdr:nvSpPr>
        <xdr:cNvPr id="75" name="TextBox 74">
          <a:extLst>
            <a:ext uri="{FF2B5EF4-FFF2-40B4-BE49-F238E27FC236}">
              <a16:creationId xmlns:a16="http://schemas.microsoft.com/office/drawing/2014/main" id="{63D9478D-4A99-BD13-6943-9C9F44F487C2}"/>
            </a:ext>
          </a:extLst>
        </xdr:cNvPr>
        <xdr:cNvSpPr txBox="1"/>
      </xdr:nvSpPr>
      <xdr:spPr>
        <a:xfrm>
          <a:off x="4227022" y="1370442"/>
          <a:ext cx="1101437" cy="2537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FA4373DB-C915-4969-8AA7-57BADA83A520}" type="TxLink">
            <a:rPr lang="en-US" sz="1400" b="0" i="0" u="none" strike="noStrike">
              <a:solidFill>
                <a:schemeClr val="tx2">
                  <a:lumMod val="25000"/>
                  <a:lumOff val="75000"/>
                </a:schemeClr>
              </a:solidFill>
              <a:latin typeface="Aptos Narrow"/>
              <a:ea typeface="+mn-ea"/>
              <a:cs typeface="+mn-cs"/>
            </a:rPr>
            <a:pPr marL="0" indent="0" algn="r"/>
            <a:t>Expenses</a:t>
          </a:fld>
          <a:endParaRPr lang="ru-RU" sz="4000" b="0" i="0" u="none" strike="noStrike">
            <a:solidFill>
              <a:schemeClr val="tx2">
                <a:lumMod val="25000"/>
                <a:lumOff val="75000"/>
              </a:schemeClr>
            </a:solidFill>
            <a:latin typeface="Aptos Narrow"/>
            <a:ea typeface="+mn-ea"/>
            <a:cs typeface="+mn-cs"/>
          </a:endParaRPr>
        </a:p>
      </xdr:txBody>
    </xdr:sp>
    <xdr:clientData/>
  </xdr:twoCellAnchor>
  <xdr:twoCellAnchor>
    <xdr:from>
      <xdr:col>6</xdr:col>
      <xdr:colOff>569422</xdr:colOff>
      <xdr:row>5</xdr:row>
      <xdr:rowOff>105522</xdr:rowOff>
    </xdr:from>
    <xdr:to>
      <xdr:col>8</xdr:col>
      <xdr:colOff>451659</xdr:colOff>
      <xdr:row>6</xdr:row>
      <xdr:rowOff>176418</xdr:rowOff>
    </xdr:to>
    <xdr:sp macro="" textlink="Processing!C17">
      <xdr:nvSpPr>
        <xdr:cNvPr id="76" name="TextBox 75">
          <a:extLst>
            <a:ext uri="{FF2B5EF4-FFF2-40B4-BE49-F238E27FC236}">
              <a16:creationId xmlns:a16="http://schemas.microsoft.com/office/drawing/2014/main" id="{B11D835A-8EAB-0955-4814-81B8A2E88E70}"/>
            </a:ext>
          </a:extLst>
        </xdr:cNvPr>
        <xdr:cNvSpPr txBox="1"/>
      </xdr:nvSpPr>
      <xdr:spPr>
        <a:xfrm>
          <a:off x="4227022" y="1019922"/>
          <a:ext cx="1101437" cy="2537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7FCCC095-4237-47D5-924D-5C0CFE3EFD86}" type="TxLink">
            <a:rPr lang="en-US" sz="1400" b="0" i="0" u="none" strike="noStrike">
              <a:solidFill>
                <a:schemeClr val="tx2">
                  <a:lumMod val="25000"/>
                  <a:lumOff val="75000"/>
                </a:schemeClr>
              </a:solidFill>
              <a:latin typeface="Aptos Narrow"/>
              <a:ea typeface="+mn-ea"/>
              <a:cs typeface="+mn-cs"/>
            </a:rPr>
            <a:pPr marL="0" indent="0" algn="r"/>
            <a:t>Income</a:t>
          </a:fld>
          <a:endParaRPr lang="ru-RU" sz="4400" b="0" i="0" u="none" strike="noStrike">
            <a:solidFill>
              <a:schemeClr val="tx2">
                <a:lumMod val="25000"/>
                <a:lumOff val="75000"/>
              </a:schemeClr>
            </a:solidFill>
            <a:latin typeface="Aptos Narrow"/>
            <a:ea typeface="+mn-ea"/>
            <a:cs typeface="+mn-cs"/>
          </a:endParaRPr>
        </a:p>
      </xdr:txBody>
    </xdr:sp>
    <xdr:clientData/>
  </xdr:twoCellAnchor>
  <xdr:twoCellAnchor>
    <xdr:from>
      <xdr:col>3</xdr:col>
      <xdr:colOff>607522</xdr:colOff>
      <xdr:row>5</xdr:row>
      <xdr:rowOff>105522</xdr:rowOff>
    </xdr:from>
    <xdr:to>
      <xdr:col>6</xdr:col>
      <xdr:colOff>579120</xdr:colOff>
      <xdr:row>6</xdr:row>
      <xdr:rowOff>176418</xdr:rowOff>
    </xdr:to>
    <xdr:sp macro="" textlink="Processing!A16">
      <xdr:nvSpPr>
        <xdr:cNvPr id="77" name="TextBox 76">
          <a:extLst>
            <a:ext uri="{FF2B5EF4-FFF2-40B4-BE49-F238E27FC236}">
              <a16:creationId xmlns:a16="http://schemas.microsoft.com/office/drawing/2014/main" id="{07CD0A5F-4D0A-1E57-4F9F-DA11E5FD6988}"/>
            </a:ext>
          </a:extLst>
        </xdr:cNvPr>
        <xdr:cNvSpPr txBox="1"/>
      </xdr:nvSpPr>
      <xdr:spPr>
        <a:xfrm>
          <a:off x="2436322" y="1019922"/>
          <a:ext cx="1800398" cy="2537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0F38F717-867A-4632-B718-DF2652F91FAA}" type="TxLink">
            <a:rPr lang="en-US" sz="1400" b="0" i="0" u="none" strike="noStrike">
              <a:solidFill>
                <a:schemeClr val="tx2">
                  <a:lumMod val="25000"/>
                  <a:lumOff val="75000"/>
                </a:schemeClr>
              </a:solidFill>
              <a:latin typeface="Aptos Narrow"/>
              <a:ea typeface="+mn-ea"/>
              <a:cs typeface="+mn-cs"/>
            </a:rPr>
            <a:pPr marL="0" indent="0" algn="l"/>
            <a:t>Income &amp; Expenses</a:t>
          </a:fld>
          <a:endParaRPr lang="ru-RU" sz="5400" b="0" i="0" u="none" strike="noStrike">
            <a:solidFill>
              <a:schemeClr val="tx2">
                <a:lumMod val="25000"/>
                <a:lumOff val="75000"/>
              </a:schemeClr>
            </a:solidFill>
            <a:latin typeface="Aptos Narrow"/>
            <a:ea typeface="+mn-ea"/>
            <a:cs typeface="+mn-cs"/>
          </a:endParaRPr>
        </a:p>
      </xdr:txBody>
    </xdr:sp>
    <xdr:clientData/>
  </xdr:twoCellAnchor>
  <xdr:twoCellAnchor editAs="oneCell">
    <xdr:from>
      <xdr:col>1</xdr:col>
      <xdr:colOff>0</xdr:colOff>
      <xdr:row>1</xdr:row>
      <xdr:rowOff>0</xdr:rowOff>
    </xdr:from>
    <xdr:to>
      <xdr:col>1</xdr:col>
      <xdr:colOff>274320</xdr:colOff>
      <xdr:row>2</xdr:row>
      <xdr:rowOff>91440</xdr:rowOff>
    </xdr:to>
    <xdr:pic>
      <xdr:nvPicPr>
        <xdr:cNvPr id="78" name="Graphic 77" descr="Sun with solid fill">
          <a:hlinkClick xmlns:r="http://schemas.openxmlformats.org/officeDocument/2006/relationships" r:id="rId12"/>
          <a:extLst>
            <a:ext uri="{FF2B5EF4-FFF2-40B4-BE49-F238E27FC236}">
              <a16:creationId xmlns:a16="http://schemas.microsoft.com/office/drawing/2014/main" id="{A9F38BBA-021D-4607-82F1-CEA22A867E7C}"/>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609600" y="182880"/>
          <a:ext cx="274320" cy="274320"/>
        </a:xfrm>
        <a:prstGeom prst="rect">
          <a:avLst/>
        </a:prstGeom>
      </xdr:spPr>
    </xdr:pic>
    <xdr:clientData/>
  </xdr:twoCellAnchor>
  <xdr:twoCellAnchor editAs="oneCell">
    <xdr:from>
      <xdr:col>1</xdr:col>
      <xdr:colOff>419100</xdr:colOff>
      <xdr:row>1</xdr:row>
      <xdr:rowOff>0</xdr:rowOff>
    </xdr:from>
    <xdr:to>
      <xdr:col>2</xdr:col>
      <xdr:colOff>83820</xdr:colOff>
      <xdr:row>2</xdr:row>
      <xdr:rowOff>91440</xdr:rowOff>
    </xdr:to>
    <xdr:pic>
      <xdr:nvPicPr>
        <xdr:cNvPr id="95" name="Graphic 94" descr="Moon with solid fill">
          <a:extLst>
            <a:ext uri="{FF2B5EF4-FFF2-40B4-BE49-F238E27FC236}">
              <a16:creationId xmlns:a16="http://schemas.microsoft.com/office/drawing/2014/main" id="{862C17BE-B13F-44EC-8738-8D195569893D}"/>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a:off x="1028700" y="182880"/>
          <a:ext cx="274320" cy="274320"/>
        </a:xfrm>
        <a:prstGeom prst="rect">
          <a:avLst/>
        </a:prstGeom>
      </xdr:spPr>
    </xdr:pic>
    <xdr:clientData/>
  </xdr:twoCellAnchor>
  <xdr:twoCellAnchor>
    <xdr:from>
      <xdr:col>3</xdr:col>
      <xdr:colOff>396240</xdr:colOff>
      <xdr:row>24</xdr:row>
      <xdr:rowOff>106680</xdr:rowOff>
    </xdr:from>
    <xdr:to>
      <xdr:col>12</xdr:col>
      <xdr:colOff>91440</xdr:colOff>
      <xdr:row>37</xdr:row>
      <xdr:rowOff>121920</xdr:rowOff>
    </xdr:to>
    <xdr:sp macro="" textlink="">
      <xdr:nvSpPr>
        <xdr:cNvPr id="96" name="Rectangle: Rounded Corners 95">
          <a:hlinkClick xmlns:r="http://schemas.openxmlformats.org/officeDocument/2006/relationships" r:id="rId17"/>
          <a:extLst>
            <a:ext uri="{FF2B5EF4-FFF2-40B4-BE49-F238E27FC236}">
              <a16:creationId xmlns:a16="http://schemas.microsoft.com/office/drawing/2014/main" id="{6D5BD284-F904-4FDB-A97A-A5D01B8B367C}"/>
            </a:ext>
          </a:extLst>
        </xdr:cNvPr>
        <xdr:cNvSpPr/>
      </xdr:nvSpPr>
      <xdr:spPr>
        <a:xfrm>
          <a:off x="2225040" y="4495800"/>
          <a:ext cx="5181600" cy="239268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16</xdr:col>
      <xdr:colOff>342900</xdr:colOff>
      <xdr:row>18</xdr:row>
      <xdr:rowOff>22860</xdr:rowOff>
    </xdr:from>
    <xdr:to>
      <xdr:col>20</xdr:col>
      <xdr:colOff>190500</xdr:colOff>
      <xdr:row>34</xdr:row>
      <xdr:rowOff>152400</xdr:rowOff>
    </xdr:to>
    <xdr:sp macro="" textlink="">
      <xdr:nvSpPr>
        <xdr:cNvPr id="98" name="Rectangle: Rounded Corners 97">
          <a:hlinkClick xmlns:r="http://schemas.openxmlformats.org/officeDocument/2006/relationships" r:id="rId18"/>
          <a:extLst>
            <a:ext uri="{FF2B5EF4-FFF2-40B4-BE49-F238E27FC236}">
              <a16:creationId xmlns:a16="http://schemas.microsoft.com/office/drawing/2014/main" id="{7D538228-FC6D-4E67-9043-1756C7548DEC}"/>
            </a:ext>
          </a:extLst>
        </xdr:cNvPr>
        <xdr:cNvSpPr/>
      </xdr:nvSpPr>
      <xdr:spPr>
        <a:xfrm>
          <a:off x="10096500" y="3314700"/>
          <a:ext cx="2286000" cy="305562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editAs="oneCell">
    <xdr:from>
      <xdr:col>0</xdr:col>
      <xdr:colOff>76200</xdr:colOff>
      <xdr:row>1</xdr:row>
      <xdr:rowOff>0</xdr:rowOff>
    </xdr:from>
    <xdr:to>
      <xdr:col>0</xdr:col>
      <xdr:colOff>350520</xdr:colOff>
      <xdr:row>2</xdr:row>
      <xdr:rowOff>91440</xdr:rowOff>
    </xdr:to>
    <xdr:pic>
      <xdr:nvPicPr>
        <xdr:cNvPr id="99" name="Graphic 98" descr="Home with solid fill">
          <a:hlinkClick xmlns:r="http://schemas.openxmlformats.org/officeDocument/2006/relationships" r:id="rId19"/>
          <a:extLst>
            <a:ext uri="{FF2B5EF4-FFF2-40B4-BE49-F238E27FC236}">
              <a16:creationId xmlns:a16="http://schemas.microsoft.com/office/drawing/2014/main" id="{11CF2C5C-0605-40A0-BA79-EAA900820463}"/>
            </a:ext>
          </a:extLst>
        </xdr:cNvPr>
        <xdr:cNvPicPr>
          <a:picLocks noChangeAspect="1"/>
        </xdr:cNvPicPr>
      </xdr:nvPicPr>
      <xdr:blipFill>
        <a:blip xmlns:r="http://schemas.openxmlformats.org/officeDocument/2006/relationships" r:embed="rId20">
          <a:extLst>
            <a:ext uri="{96DAC541-7B7A-43D3-8B79-37D633B846F1}">
              <asvg:svgBlip xmlns:asvg="http://schemas.microsoft.com/office/drawing/2016/SVG/main" r:embed="rId21"/>
            </a:ext>
          </a:extLst>
        </a:blip>
        <a:stretch>
          <a:fillRect/>
        </a:stretch>
      </xdr:blipFill>
      <xdr:spPr>
        <a:xfrm>
          <a:off x="76200" y="182880"/>
          <a:ext cx="274320" cy="27432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0</xdr:row>
      <xdr:rowOff>0</xdr:rowOff>
    </xdr:from>
    <xdr:to>
      <xdr:col>24</xdr:col>
      <xdr:colOff>0</xdr:colOff>
      <xdr:row>45</xdr:row>
      <xdr:rowOff>0</xdr:rowOff>
    </xdr:to>
    <xdr:sp macro="" textlink="">
      <xdr:nvSpPr>
        <xdr:cNvPr id="83" name="Rectangle 82">
          <a:extLst>
            <a:ext uri="{FF2B5EF4-FFF2-40B4-BE49-F238E27FC236}">
              <a16:creationId xmlns:a16="http://schemas.microsoft.com/office/drawing/2014/main" id="{D46DC31E-83B7-4978-9422-15F2539EEB9B}"/>
            </a:ext>
          </a:extLst>
        </xdr:cNvPr>
        <xdr:cNvSpPr/>
      </xdr:nvSpPr>
      <xdr:spPr>
        <a:xfrm>
          <a:off x="0" y="0"/>
          <a:ext cx="14630400" cy="8229600"/>
        </a:xfrm>
        <a:prstGeom prst="rect">
          <a:avLst/>
        </a:prstGeom>
        <a:gradFill flip="none" rotWithShape="1">
          <a:gsLst>
            <a:gs pos="84000">
              <a:srgbClr val="3173C7"/>
            </a:gs>
            <a:gs pos="8000">
              <a:srgbClr val="92C1E4"/>
            </a:gs>
            <a:gs pos="100000">
              <a:srgbClr val="1655B7"/>
            </a:gs>
          </a:gsLst>
          <a:path path="circle">
            <a:fillToRect l="100000" t="100000"/>
          </a:path>
          <a:tileRect r="-100000" b="-100000"/>
        </a:gra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clientData/>
  </xdr:twoCellAnchor>
  <xdr:twoCellAnchor>
    <xdr:from>
      <xdr:col>3</xdr:col>
      <xdr:colOff>7620</xdr:colOff>
      <xdr:row>2</xdr:row>
      <xdr:rowOff>99060</xdr:rowOff>
    </xdr:from>
    <xdr:to>
      <xdr:col>20</xdr:col>
      <xdr:colOff>586740</xdr:colOff>
      <xdr:row>39</xdr:row>
      <xdr:rowOff>99060</xdr:rowOff>
    </xdr:to>
    <xdr:sp macro="" textlink="">
      <xdr:nvSpPr>
        <xdr:cNvPr id="3" name="Rectangle: Rounded Corners 2">
          <a:extLst>
            <a:ext uri="{FF2B5EF4-FFF2-40B4-BE49-F238E27FC236}">
              <a16:creationId xmlns:a16="http://schemas.microsoft.com/office/drawing/2014/main" id="{863277EB-E456-4639-B2F7-2F53D1A75B51}"/>
            </a:ext>
          </a:extLst>
        </xdr:cNvPr>
        <xdr:cNvSpPr/>
      </xdr:nvSpPr>
      <xdr:spPr>
        <a:xfrm>
          <a:off x="1836420" y="464820"/>
          <a:ext cx="10942320" cy="6766560"/>
        </a:xfrm>
        <a:prstGeom prst="roundRect">
          <a:avLst>
            <a:gd name="adj" fmla="val 4034"/>
          </a:avLst>
        </a:prstGeom>
        <a:solidFill>
          <a:schemeClr val="bg1"/>
        </a:solidFill>
        <a:ln w="12700">
          <a:noFill/>
        </a:ln>
        <a:effectLst>
          <a:outerShdw blurRad="571500" dist="190500" dir="8100000" algn="tr" rotWithShape="0">
            <a:srgbClr val="0D328D">
              <a:alpha val="6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l" defTabSz="914400" rtl="0" eaLnBrk="1" latinLnBrk="0" hangingPunct="1"/>
          <a:endParaRPr lang="ru-RU" sz="1100" kern="1200">
            <a:solidFill>
              <a:schemeClr val="lt1"/>
            </a:solidFill>
            <a:latin typeface="+mn-lt"/>
            <a:ea typeface="+mn-ea"/>
            <a:cs typeface="+mn-cs"/>
          </a:endParaRPr>
        </a:p>
      </xdr:txBody>
    </xdr:sp>
    <xdr:clientData/>
  </xdr:twoCellAnchor>
  <xdr:twoCellAnchor>
    <xdr:from>
      <xdr:col>3</xdr:col>
      <xdr:colOff>426720</xdr:colOff>
      <xdr:row>4</xdr:row>
      <xdr:rowOff>99060</xdr:rowOff>
    </xdr:from>
    <xdr:to>
      <xdr:col>12</xdr:col>
      <xdr:colOff>121920</xdr:colOff>
      <xdr:row>23</xdr:row>
      <xdr:rowOff>99060</xdr:rowOff>
    </xdr:to>
    <xdr:sp macro="" textlink="">
      <xdr:nvSpPr>
        <xdr:cNvPr id="4" name="Rectangle: Rounded Corners 3">
          <a:extLst>
            <a:ext uri="{FF2B5EF4-FFF2-40B4-BE49-F238E27FC236}">
              <a16:creationId xmlns:a16="http://schemas.microsoft.com/office/drawing/2014/main" id="{88CC3EC9-77CD-4182-80B4-34215A4BB6C6}"/>
            </a:ext>
          </a:extLst>
        </xdr:cNvPr>
        <xdr:cNvSpPr/>
      </xdr:nvSpPr>
      <xdr:spPr>
        <a:xfrm>
          <a:off x="2255520" y="830580"/>
          <a:ext cx="5181600" cy="3474720"/>
        </a:xfrm>
        <a:prstGeom prst="roundRect">
          <a:avLst>
            <a:gd name="adj" fmla="val 5410"/>
          </a:avLst>
        </a:prstGeom>
        <a:solidFill>
          <a:schemeClr val="bg1"/>
        </a:solidFill>
        <a:ln w="9525">
          <a:solidFill>
            <a:schemeClr val="bg1"/>
          </a:solidFill>
        </a:ln>
        <a:effectLst>
          <a:outerShdw blurRad="254000" dist="101600" dir="8100000" algn="tr" rotWithShape="0">
            <a:srgbClr val="0D328D">
              <a:alpha val="4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200" kern="1200">
            <a:solidFill>
              <a:srgbClr val="455177"/>
            </a:solidFill>
            <a:latin typeface="+mn-lt"/>
            <a:ea typeface="+mn-ea"/>
            <a:cs typeface="+mn-cs"/>
          </a:endParaRPr>
        </a:p>
      </xdr:txBody>
    </xdr:sp>
    <xdr:clientData/>
  </xdr:twoCellAnchor>
  <xdr:twoCellAnchor>
    <xdr:from>
      <xdr:col>3</xdr:col>
      <xdr:colOff>403860</xdr:colOff>
      <xdr:row>24</xdr:row>
      <xdr:rowOff>102602</xdr:rowOff>
    </xdr:from>
    <xdr:to>
      <xdr:col>12</xdr:col>
      <xdr:colOff>99060</xdr:colOff>
      <xdr:row>37</xdr:row>
      <xdr:rowOff>102602</xdr:rowOff>
    </xdr:to>
    <xdr:sp macro="" textlink="Processing!A16">
      <xdr:nvSpPr>
        <xdr:cNvPr id="5" name="Rectangle: Rounded Corners 4">
          <a:extLst>
            <a:ext uri="{FF2B5EF4-FFF2-40B4-BE49-F238E27FC236}">
              <a16:creationId xmlns:a16="http://schemas.microsoft.com/office/drawing/2014/main" id="{E438190E-D438-4669-9249-F48818E9C885}"/>
            </a:ext>
          </a:extLst>
        </xdr:cNvPr>
        <xdr:cNvSpPr/>
      </xdr:nvSpPr>
      <xdr:spPr>
        <a:xfrm>
          <a:off x="2232660" y="4491722"/>
          <a:ext cx="5181600" cy="2377440"/>
        </a:xfrm>
        <a:prstGeom prst="roundRect">
          <a:avLst>
            <a:gd name="adj" fmla="val 7756"/>
          </a:avLst>
        </a:prstGeom>
        <a:solidFill>
          <a:schemeClr val="bg1"/>
        </a:solidFill>
        <a:ln w="9525">
          <a:solidFill>
            <a:schemeClr val="bg1"/>
          </a:solidFill>
        </a:ln>
        <a:effectLst>
          <a:outerShdw blurRad="254000" dist="101600" dir="8100000" algn="tr" rotWithShape="0">
            <a:srgbClr val="0D328D">
              <a:alpha val="4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200" kern="1200">
            <a:solidFill>
              <a:srgbClr val="455177"/>
            </a:solidFill>
            <a:latin typeface="+mn-lt"/>
            <a:ea typeface="+mn-ea"/>
            <a:cs typeface="+mn-cs"/>
          </a:endParaRPr>
        </a:p>
      </xdr:txBody>
    </xdr:sp>
    <xdr:clientData/>
  </xdr:twoCellAnchor>
  <xdr:twoCellAnchor>
    <xdr:from>
      <xdr:col>12</xdr:col>
      <xdr:colOff>314716</xdr:colOff>
      <xdr:row>18</xdr:row>
      <xdr:rowOff>11162</xdr:rowOff>
    </xdr:from>
    <xdr:to>
      <xdr:col>16</xdr:col>
      <xdr:colOff>162316</xdr:colOff>
      <xdr:row>37</xdr:row>
      <xdr:rowOff>102602</xdr:rowOff>
    </xdr:to>
    <xdr:sp macro="" textlink="Processing!A39">
      <xdr:nvSpPr>
        <xdr:cNvPr id="6" name="Rectangle: Rounded Corners 5">
          <a:extLst>
            <a:ext uri="{FF2B5EF4-FFF2-40B4-BE49-F238E27FC236}">
              <a16:creationId xmlns:a16="http://schemas.microsoft.com/office/drawing/2014/main" id="{DF2CD961-54AD-4D5F-8BB5-44000E0D818C}"/>
            </a:ext>
          </a:extLst>
        </xdr:cNvPr>
        <xdr:cNvSpPr/>
      </xdr:nvSpPr>
      <xdr:spPr>
        <a:xfrm>
          <a:off x="7629916" y="3303002"/>
          <a:ext cx="2286000" cy="3566160"/>
        </a:xfrm>
        <a:prstGeom prst="roundRect">
          <a:avLst>
            <a:gd name="adj" fmla="val 6756"/>
          </a:avLst>
        </a:prstGeom>
        <a:solidFill>
          <a:schemeClr val="bg1"/>
        </a:solidFill>
        <a:ln w="9525">
          <a:solidFill>
            <a:schemeClr val="bg1"/>
          </a:solidFill>
        </a:ln>
        <a:effectLst>
          <a:outerShdw blurRad="254000" dist="101600" dir="8100000" algn="tr" rotWithShape="0">
            <a:srgbClr val="0D328D">
              <a:alpha val="4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fld id="{C4FBDBAC-C864-40E9-A360-74884EA78C45}" type="TxLink">
            <a:rPr lang="en-US" sz="1200" kern="1200">
              <a:solidFill>
                <a:srgbClr val="455177"/>
              </a:solidFill>
              <a:latin typeface="+mn-lt"/>
              <a:ea typeface="+mn-ea"/>
              <a:cs typeface="+mn-cs"/>
            </a:rPr>
            <a:pPr marL="0" indent="0" algn="ctr" defTabSz="914400" rtl="0" eaLnBrk="1" latinLnBrk="0" hangingPunct="1"/>
            <a:t>Source Rating</a:t>
          </a:fld>
          <a:endParaRPr lang="ru-RU" sz="1200" kern="1200">
            <a:solidFill>
              <a:srgbClr val="455177"/>
            </a:solidFill>
            <a:latin typeface="+mn-lt"/>
            <a:ea typeface="+mn-ea"/>
            <a:cs typeface="+mn-cs"/>
          </a:endParaRPr>
        </a:p>
      </xdr:txBody>
    </xdr:sp>
    <xdr:clientData/>
  </xdr:twoCellAnchor>
  <xdr:twoCellAnchor>
    <xdr:from>
      <xdr:col>12</xdr:col>
      <xdr:colOff>314716</xdr:colOff>
      <xdr:row>4</xdr:row>
      <xdr:rowOff>106680</xdr:rowOff>
    </xdr:from>
    <xdr:to>
      <xdr:col>20</xdr:col>
      <xdr:colOff>192796</xdr:colOff>
      <xdr:row>17</xdr:row>
      <xdr:rowOff>15240</xdr:rowOff>
    </xdr:to>
    <xdr:sp macro="" textlink="">
      <xdr:nvSpPr>
        <xdr:cNvPr id="7" name="Rectangle: Rounded Corners 6">
          <a:extLst>
            <a:ext uri="{FF2B5EF4-FFF2-40B4-BE49-F238E27FC236}">
              <a16:creationId xmlns:a16="http://schemas.microsoft.com/office/drawing/2014/main" id="{DD11D2BF-CE2E-45E8-ACDC-DF191A70FE7E}"/>
            </a:ext>
          </a:extLst>
        </xdr:cNvPr>
        <xdr:cNvSpPr/>
      </xdr:nvSpPr>
      <xdr:spPr>
        <a:xfrm>
          <a:off x="7629916" y="838200"/>
          <a:ext cx="4754880" cy="2286000"/>
        </a:xfrm>
        <a:prstGeom prst="roundRect">
          <a:avLst>
            <a:gd name="adj" fmla="val 7756"/>
          </a:avLst>
        </a:prstGeom>
        <a:solidFill>
          <a:schemeClr val="bg1"/>
        </a:solidFill>
        <a:ln w="9525">
          <a:solidFill>
            <a:schemeClr val="bg1"/>
          </a:solidFill>
        </a:ln>
        <a:effectLst>
          <a:outerShdw blurRad="254000" dist="101600" dir="8100000" algn="tr" rotWithShape="0">
            <a:srgbClr val="0D328D">
              <a:alpha val="4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200" kern="1200">
            <a:solidFill>
              <a:srgbClr val="455177"/>
            </a:solidFill>
            <a:latin typeface="+mn-lt"/>
            <a:ea typeface="+mn-ea"/>
            <a:cs typeface="+mn-cs"/>
          </a:endParaRPr>
        </a:p>
      </xdr:txBody>
    </xdr:sp>
    <xdr:clientData/>
  </xdr:twoCellAnchor>
  <xdr:twoCellAnchor>
    <xdr:from>
      <xdr:col>16</xdr:col>
      <xdr:colOff>345196</xdr:colOff>
      <xdr:row>18</xdr:row>
      <xdr:rowOff>11162</xdr:rowOff>
    </xdr:from>
    <xdr:to>
      <xdr:col>20</xdr:col>
      <xdr:colOff>192796</xdr:colOff>
      <xdr:row>37</xdr:row>
      <xdr:rowOff>102602</xdr:rowOff>
    </xdr:to>
    <xdr:sp macro="" textlink="Processing!J50">
      <xdr:nvSpPr>
        <xdr:cNvPr id="8" name="Rectangle: Rounded Corners 7">
          <a:extLst>
            <a:ext uri="{FF2B5EF4-FFF2-40B4-BE49-F238E27FC236}">
              <a16:creationId xmlns:a16="http://schemas.microsoft.com/office/drawing/2014/main" id="{E66AC410-C42D-4AE3-BBF3-AEBED17F171E}"/>
            </a:ext>
          </a:extLst>
        </xdr:cNvPr>
        <xdr:cNvSpPr/>
      </xdr:nvSpPr>
      <xdr:spPr>
        <a:xfrm>
          <a:off x="10098796" y="3303002"/>
          <a:ext cx="2286000" cy="3566160"/>
        </a:xfrm>
        <a:prstGeom prst="roundRect">
          <a:avLst>
            <a:gd name="adj" fmla="val 6756"/>
          </a:avLst>
        </a:prstGeom>
        <a:solidFill>
          <a:schemeClr val="bg1"/>
        </a:solidFill>
        <a:ln w="9525">
          <a:solidFill>
            <a:schemeClr val="bg1"/>
          </a:solidFill>
        </a:ln>
        <a:effectLst>
          <a:outerShdw blurRad="254000" dist="101600" dir="8100000" algn="tr" rotWithShape="0">
            <a:srgbClr val="0D328D">
              <a:alpha val="4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fld id="{1DE3003E-1F1C-47CB-AEC1-2E414D995FCE}" type="TxLink">
            <a:rPr lang="en-US" sz="1200" kern="1200">
              <a:solidFill>
                <a:srgbClr val="455177"/>
              </a:solidFill>
              <a:latin typeface="+mn-lt"/>
              <a:ea typeface="+mn-ea"/>
              <a:cs typeface="+mn-cs"/>
            </a:rPr>
            <a:pPr marL="0" indent="0" algn="ctr" defTabSz="914400" rtl="0" eaLnBrk="1" latinLnBrk="0" hangingPunct="1"/>
            <a:t>Essential Costs</a:t>
          </a:fld>
          <a:endParaRPr lang="ru-RU" sz="1200" kern="1200">
            <a:solidFill>
              <a:srgbClr val="455177"/>
            </a:solidFill>
            <a:latin typeface="+mn-lt"/>
            <a:ea typeface="+mn-ea"/>
            <a:cs typeface="+mn-cs"/>
          </a:endParaRPr>
        </a:p>
      </xdr:txBody>
    </xdr:sp>
    <xdr:clientData/>
  </xdr:twoCellAnchor>
  <xdr:twoCellAnchor>
    <xdr:from>
      <xdr:col>12</xdr:col>
      <xdr:colOff>403860</xdr:colOff>
      <xdr:row>5</xdr:row>
      <xdr:rowOff>53340</xdr:rowOff>
    </xdr:from>
    <xdr:to>
      <xdr:col>15</xdr:col>
      <xdr:colOff>586740</xdr:colOff>
      <xdr:row>16</xdr:row>
      <xdr:rowOff>53340</xdr:rowOff>
    </xdr:to>
    <xdr:graphicFrame macro="">
      <xdr:nvGraphicFramePr>
        <xdr:cNvPr id="9" name="Chart 8">
          <a:extLst>
            <a:ext uri="{FF2B5EF4-FFF2-40B4-BE49-F238E27FC236}">
              <a16:creationId xmlns:a16="http://schemas.microsoft.com/office/drawing/2014/main" id="{3351C6B5-E8C3-4C8A-8113-58ACB1FDFC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342900</xdr:colOff>
      <xdr:row>9</xdr:row>
      <xdr:rowOff>76200</xdr:rowOff>
    </xdr:from>
    <xdr:to>
      <xdr:col>15</xdr:col>
      <xdr:colOff>38100</xdr:colOff>
      <xdr:row>11</xdr:row>
      <xdr:rowOff>160020</xdr:rowOff>
    </xdr:to>
    <xdr:sp macro="" textlink="Processing!S3">
      <xdr:nvSpPr>
        <xdr:cNvPr id="10" name="TextBox 9">
          <a:extLst>
            <a:ext uri="{FF2B5EF4-FFF2-40B4-BE49-F238E27FC236}">
              <a16:creationId xmlns:a16="http://schemas.microsoft.com/office/drawing/2014/main" id="{9B59618E-7D45-42E8-8CE2-05146F9244FE}"/>
            </a:ext>
          </a:extLst>
        </xdr:cNvPr>
        <xdr:cNvSpPr txBox="1"/>
      </xdr:nvSpPr>
      <xdr:spPr>
        <a:xfrm>
          <a:off x="8267700" y="1722120"/>
          <a:ext cx="914400" cy="4495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E76BA41-C5AD-4A6D-8F20-94D5DF0D5944}" type="TxLink">
            <a:rPr lang="en-US" sz="2800" b="0" i="0" u="none" strike="noStrike">
              <a:solidFill>
                <a:srgbClr val="455177"/>
              </a:solidFill>
              <a:latin typeface="Aptos Narrow"/>
            </a:rPr>
            <a:pPr algn="ctr"/>
            <a:t>64%</a:t>
          </a:fld>
          <a:endParaRPr lang="ru-RU" sz="2800">
            <a:solidFill>
              <a:srgbClr val="455177"/>
            </a:solidFill>
          </a:endParaRPr>
        </a:p>
      </xdr:txBody>
    </xdr:sp>
    <xdr:clientData/>
  </xdr:twoCellAnchor>
  <xdr:twoCellAnchor>
    <xdr:from>
      <xdr:col>13</xdr:col>
      <xdr:colOff>342900</xdr:colOff>
      <xdr:row>10</xdr:row>
      <xdr:rowOff>167640</xdr:rowOff>
    </xdr:from>
    <xdr:to>
      <xdr:col>15</xdr:col>
      <xdr:colOff>38100</xdr:colOff>
      <xdr:row>13</xdr:row>
      <xdr:rowOff>68580</xdr:rowOff>
    </xdr:to>
    <xdr:sp macro="" textlink="Processing!S1">
      <xdr:nvSpPr>
        <xdr:cNvPr id="11" name="TextBox 10">
          <a:extLst>
            <a:ext uri="{FF2B5EF4-FFF2-40B4-BE49-F238E27FC236}">
              <a16:creationId xmlns:a16="http://schemas.microsoft.com/office/drawing/2014/main" id="{A6B7B7E2-9BB6-4CCE-BD3D-F10B84DBE369}"/>
            </a:ext>
          </a:extLst>
        </xdr:cNvPr>
        <xdr:cNvSpPr txBox="1"/>
      </xdr:nvSpPr>
      <xdr:spPr>
        <a:xfrm>
          <a:off x="8267700" y="1996440"/>
          <a:ext cx="914400" cy="4495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F56BAA3-B378-48FE-B598-FF2C3B2AC85A}" type="TxLink">
            <a:rPr lang="en-US" sz="1400" b="0" i="0" u="none" strike="noStrike">
              <a:solidFill>
                <a:srgbClr val="455177"/>
              </a:solidFill>
              <a:latin typeface="Aptos Narrow"/>
            </a:rPr>
            <a:pPr algn="ctr"/>
            <a:t>Budget</a:t>
          </a:fld>
          <a:endParaRPr lang="ru-RU" sz="3600" b="0">
            <a:solidFill>
              <a:srgbClr val="455177"/>
            </a:solidFill>
          </a:endParaRPr>
        </a:p>
      </xdr:txBody>
    </xdr:sp>
    <xdr:clientData/>
  </xdr:twoCellAnchor>
  <xdr:twoCellAnchor>
    <xdr:from>
      <xdr:col>16</xdr:col>
      <xdr:colOff>0</xdr:colOff>
      <xdr:row>5</xdr:row>
      <xdr:rowOff>22860</xdr:rowOff>
    </xdr:from>
    <xdr:to>
      <xdr:col>20</xdr:col>
      <xdr:colOff>83820</xdr:colOff>
      <xdr:row>16</xdr:row>
      <xdr:rowOff>114300</xdr:rowOff>
    </xdr:to>
    <xdr:sp macro="" textlink="">
      <xdr:nvSpPr>
        <xdr:cNvPr id="12" name="Rectangle: Rounded Corners 11">
          <a:extLst>
            <a:ext uri="{FF2B5EF4-FFF2-40B4-BE49-F238E27FC236}">
              <a16:creationId xmlns:a16="http://schemas.microsoft.com/office/drawing/2014/main" id="{0F369BFE-E7E6-4410-8634-59F0E5FBE3F8}"/>
            </a:ext>
          </a:extLst>
        </xdr:cNvPr>
        <xdr:cNvSpPr/>
      </xdr:nvSpPr>
      <xdr:spPr>
        <a:xfrm>
          <a:off x="9753600" y="937260"/>
          <a:ext cx="2522220" cy="2103120"/>
        </a:xfrm>
        <a:prstGeom prst="roundRect">
          <a:avLst>
            <a:gd name="adj" fmla="val 7028"/>
          </a:avLst>
        </a:prstGeom>
        <a:solidFill>
          <a:srgbClr val="F0F4FE"/>
        </a:solidFill>
        <a:ln w="9525">
          <a:noFill/>
        </a:ln>
        <a:effectLst>
          <a:innerShdw blurRad="381000">
            <a:srgbClr val="159BFF">
              <a:alpha val="30000"/>
            </a:srgbClr>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ru-RU" sz="1100">
            <a:solidFill>
              <a:schemeClr val="lt1"/>
            </a:solidFill>
            <a:latin typeface="+mn-lt"/>
            <a:ea typeface="+mn-ea"/>
            <a:cs typeface="+mn-cs"/>
          </a:endParaRPr>
        </a:p>
      </xdr:txBody>
    </xdr:sp>
    <xdr:clientData/>
  </xdr:twoCellAnchor>
  <xdr:twoCellAnchor>
    <xdr:from>
      <xdr:col>16</xdr:col>
      <xdr:colOff>22860</xdr:colOff>
      <xdr:row>6</xdr:row>
      <xdr:rowOff>144780</xdr:rowOff>
    </xdr:from>
    <xdr:to>
      <xdr:col>20</xdr:col>
      <xdr:colOff>53340</xdr:colOff>
      <xdr:row>17</xdr:row>
      <xdr:rowOff>144780</xdr:rowOff>
    </xdr:to>
    <xdr:graphicFrame macro="">
      <xdr:nvGraphicFramePr>
        <xdr:cNvPr id="13" name="Chart 12">
          <a:extLst>
            <a:ext uri="{FF2B5EF4-FFF2-40B4-BE49-F238E27FC236}">
              <a16:creationId xmlns:a16="http://schemas.microsoft.com/office/drawing/2014/main" id="{1E379408-09BA-4C01-BE63-6FF2D15639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76200</xdr:colOff>
      <xdr:row>5</xdr:row>
      <xdr:rowOff>144780</xdr:rowOff>
    </xdr:from>
    <xdr:to>
      <xdr:col>20</xdr:col>
      <xdr:colOff>22860</xdr:colOff>
      <xdr:row>7</xdr:row>
      <xdr:rowOff>53340</xdr:rowOff>
    </xdr:to>
    <xdr:sp macro="" textlink="">
      <xdr:nvSpPr>
        <xdr:cNvPr id="14" name="TextBox 13">
          <a:extLst>
            <a:ext uri="{FF2B5EF4-FFF2-40B4-BE49-F238E27FC236}">
              <a16:creationId xmlns:a16="http://schemas.microsoft.com/office/drawing/2014/main" id="{AF60CA83-E030-433F-8308-3DFE111DE93F}"/>
            </a:ext>
          </a:extLst>
        </xdr:cNvPr>
        <xdr:cNvSpPr txBox="1"/>
      </xdr:nvSpPr>
      <xdr:spPr>
        <a:xfrm>
          <a:off x="9829800" y="1059180"/>
          <a:ext cx="238506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100">
              <a:solidFill>
                <a:srgbClr val="FF6CFF"/>
              </a:solidFill>
            </a:rPr>
            <a:t>SU  </a:t>
          </a:r>
          <a:r>
            <a:rPr lang="en-US" sz="1100">
              <a:solidFill>
                <a:srgbClr val="0062C4"/>
              </a:solidFill>
            </a:rPr>
            <a:t>     MO       TU      WE      TH       FR       </a:t>
          </a:r>
          <a:r>
            <a:rPr lang="en-US" sz="1100">
              <a:solidFill>
                <a:srgbClr val="FF6CFF"/>
              </a:solidFill>
            </a:rPr>
            <a:t>SA</a:t>
          </a:r>
        </a:p>
      </xdr:txBody>
    </xdr:sp>
    <xdr:clientData/>
  </xdr:twoCellAnchor>
  <xdr:twoCellAnchor>
    <xdr:from>
      <xdr:col>3</xdr:col>
      <xdr:colOff>495300</xdr:colOff>
      <xdr:row>10</xdr:row>
      <xdr:rowOff>68580</xdr:rowOff>
    </xdr:from>
    <xdr:to>
      <xdr:col>12</xdr:col>
      <xdr:colOff>83820</xdr:colOff>
      <xdr:row>22</xdr:row>
      <xdr:rowOff>68580</xdr:rowOff>
    </xdr:to>
    <xdr:graphicFrame macro="">
      <xdr:nvGraphicFramePr>
        <xdr:cNvPr id="15" name="Chart 14">
          <a:extLst>
            <a:ext uri="{FF2B5EF4-FFF2-40B4-BE49-F238E27FC236}">
              <a16:creationId xmlns:a16="http://schemas.microsoft.com/office/drawing/2014/main" id="{81C94D47-8231-4701-93C2-3F660471364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343967</xdr:colOff>
      <xdr:row>19</xdr:row>
      <xdr:rowOff>91440</xdr:rowOff>
    </xdr:from>
    <xdr:to>
      <xdr:col>16</xdr:col>
      <xdr:colOff>191567</xdr:colOff>
      <xdr:row>28</xdr:row>
      <xdr:rowOff>0</xdr:rowOff>
    </xdr:to>
    <xdr:graphicFrame macro="">
      <xdr:nvGraphicFramePr>
        <xdr:cNvPr id="16" name="Chart 15">
          <a:extLst>
            <a:ext uri="{FF2B5EF4-FFF2-40B4-BE49-F238E27FC236}">
              <a16:creationId xmlns:a16="http://schemas.microsoft.com/office/drawing/2014/main" id="{9DE0D377-4D04-4CED-92D0-4B8C07884DE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320040</xdr:colOff>
      <xdr:row>27</xdr:row>
      <xdr:rowOff>167640</xdr:rowOff>
    </xdr:from>
    <xdr:to>
      <xdr:col>16</xdr:col>
      <xdr:colOff>167640</xdr:colOff>
      <xdr:row>35</xdr:row>
      <xdr:rowOff>76200</xdr:rowOff>
    </xdr:to>
    <xdr:graphicFrame macro="">
      <xdr:nvGraphicFramePr>
        <xdr:cNvPr id="17" name="Chart 16">
          <a:extLst>
            <a:ext uri="{FF2B5EF4-FFF2-40B4-BE49-F238E27FC236}">
              <a16:creationId xmlns:a16="http://schemas.microsoft.com/office/drawing/2014/main" id="{9D39C18C-5EBE-4EED-BE3F-22FFFA09E94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16</xdr:col>
      <xdr:colOff>502920</xdr:colOff>
      <xdr:row>19</xdr:row>
      <xdr:rowOff>76200</xdr:rowOff>
    </xdr:from>
    <xdr:to>
      <xdr:col>20</xdr:col>
      <xdr:colOff>76200</xdr:colOff>
      <xdr:row>30</xdr:row>
      <xdr:rowOff>76200</xdr:rowOff>
    </xdr:to>
    <xdr:grpSp>
      <xdr:nvGrpSpPr>
        <xdr:cNvPr id="18" name="Group 17">
          <a:extLst>
            <a:ext uri="{FF2B5EF4-FFF2-40B4-BE49-F238E27FC236}">
              <a16:creationId xmlns:a16="http://schemas.microsoft.com/office/drawing/2014/main" id="{B57EC90C-227C-4E2E-9A00-0663CA9A4316}"/>
            </a:ext>
          </a:extLst>
        </xdr:cNvPr>
        <xdr:cNvGrpSpPr/>
      </xdr:nvGrpSpPr>
      <xdr:grpSpPr>
        <a:xfrm>
          <a:off x="10324253" y="3695700"/>
          <a:ext cx="2028614" cy="2095500"/>
          <a:chOff x="10287000" y="3314700"/>
          <a:chExt cx="2011680" cy="2011680"/>
        </a:xfrm>
      </xdr:grpSpPr>
      <xdr:graphicFrame macro="">
        <xdr:nvGraphicFramePr>
          <xdr:cNvPr id="19" name="Chart 18">
            <a:extLst>
              <a:ext uri="{FF2B5EF4-FFF2-40B4-BE49-F238E27FC236}">
                <a16:creationId xmlns:a16="http://schemas.microsoft.com/office/drawing/2014/main" id="{718F41F7-F76A-2B3A-DE77-82A7F52AC9CC}"/>
              </a:ext>
            </a:extLst>
          </xdr:cNvPr>
          <xdr:cNvGraphicFramePr>
            <a:graphicFrameLocks/>
          </xdr:cNvGraphicFramePr>
        </xdr:nvGraphicFramePr>
        <xdr:xfrm>
          <a:off x="10424160" y="3451860"/>
          <a:ext cx="1737360" cy="1737360"/>
        </xdr:xfrm>
        <a:graphic>
          <a:graphicData uri="http://schemas.openxmlformats.org/drawingml/2006/chart">
            <c:chart xmlns:c="http://schemas.openxmlformats.org/drawingml/2006/chart" xmlns:r="http://schemas.openxmlformats.org/officeDocument/2006/relationships" r:id="rId6"/>
          </a:graphicData>
        </a:graphic>
      </xdr:graphicFrame>
      <xdr:graphicFrame macro="">
        <xdr:nvGraphicFramePr>
          <xdr:cNvPr id="20" name="Chart 19">
            <a:extLst>
              <a:ext uri="{FF2B5EF4-FFF2-40B4-BE49-F238E27FC236}">
                <a16:creationId xmlns:a16="http://schemas.microsoft.com/office/drawing/2014/main" id="{A9A3FE56-0093-16F4-B280-1DCBB38AB1E8}"/>
              </a:ext>
            </a:extLst>
          </xdr:cNvPr>
          <xdr:cNvGraphicFramePr>
            <a:graphicFrameLocks/>
          </xdr:cNvGraphicFramePr>
        </xdr:nvGraphicFramePr>
        <xdr:xfrm>
          <a:off x="10287000" y="3314700"/>
          <a:ext cx="2011680" cy="2011680"/>
        </xdr:xfrm>
        <a:graphic>
          <a:graphicData uri="http://schemas.openxmlformats.org/drawingml/2006/chart">
            <c:chart xmlns:c="http://schemas.openxmlformats.org/drawingml/2006/chart" xmlns:r="http://schemas.openxmlformats.org/officeDocument/2006/relationships" r:id="rId7"/>
          </a:graphicData>
        </a:graphic>
      </xdr:graphicFrame>
    </xdr:grpSp>
    <xdr:clientData/>
  </xdr:twoCellAnchor>
  <xdr:twoCellAnchor>
    <xdr:from>
      <xdr:col>16</xdr:col>
      <xdr:colOff>485018</xdr:colOff>
      <xdr:row>28</xdr:row>
      <xdr:rowOff>152400</xdr:rowOff>
    </xdr:from>
    <xdr:to>
      <xdr:col>20</xdr:col>
      <xdr:colOff>58298</xdr:colOff>
      <xdr:row>35</xdr:row>
      <xdr:rowOff>99060</xdr:rowOff>
    </xdr:to>
    <xdr:graphicFrame macro="">
      <xdr:nvGraphicFramePr>
        <xdr:cNvPr id="21" name="Chart 20">
          <a:extLst>
            <a:ext uri="{FF2B5EF4-FFF2-40B4-BE49-F238E27FC236}">
              <a16:creationId xmlns:a16="http://schemas.microsoft.com/office/drawing/2014/main" id="{1B4E861C-4257-4C98-AA34-32FF33899F6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12</xdr:col>
      <xdr:colOff>419100</xdr:colOff>
      <xdr:row>35</xdr:row>
      <xdr:rowOff>0</xdr:rowOff>
    </xdr:from>
    <xdr:to>
      <xdr:col>16</xdr:col>
      <xdr:colOff>83820</xdr:colOff>
      <xdr:row>37</xdr:row>
      <xdr:rowOff>64008</xdr:rowOff>
    </xdr:to>
    <mc:AlternateContent xmlns:mc="http://schemas.openxmlformats.org/markup-compatibility/2006" xmlns:a14="http://schemas.microsoft.com/office/drawing/2010/main">
      <mc:Choice Requires="a14">
        <xdr:graphicFrame macro="">
          <xdr:nvGraphicFramePr>
            <xdr:cNvPr id="22" name="Year 6">
              <a:extLst>
                <a:ext uri="{FF2B5EF4-FFF2-40B4-BE49-F238E27FC236}">
                  <a16:creationId xmlns:a16="http://schemas.microsoft.com/office/drawing/2014/main" id="{95AC51F4-E6E1-4F02-AB49-10E204C87354}"/>
                </a:ext>
              </a:extLst>
            </xdr:cNvPr>
            <xdr:cNvGraphicFramePr/>
          </xdr:nvGraphicFramePr>
          <xdr:xfrm>
            <a:off x="0" y="0"/>
            <a:ext cx="0" cy="0"/>
          </xdr:xfrm>
          <a:graphic>
            <a:graphicData uri="http://schemas.microsoft.com/office/drawing/2010/slicer">
              <sle:slicer xmlns:sle="http://schemas.microsoft.com/office/drawing/2010/slicer" name="Year 6"/>
            </a:graphicData>
          </a:graphic>
        </xdr:graphicFrame>
      </mc:Choice>
      <mc:Fallback xmlns="">
        <xdr:sp macro="" textlink="">
          <xdr:nvSpPr>
            <xdr:cNvPr id="0" name=""/>
            <xdr:cNvSpPr>
              <a:spLocks noTextEdit="1"/>
            </xdr:cNvSpPr>
          </xdr:nvSpPr>
          <xdr:spPr>
            <a:xfrm>
              <a:off x="7734300" y="6400800"/>
              <a:ext cx="2103120" cy="429768"/>
            </a:xfrm>
            <a:prstGeom prst="rect">
              <a:avLst/>
            </a:prstGeom>
            <a:solidFill>
              <a:prstClr val="white"/>
            </a:solidFill>
            <a:ln w="1">
              <a:solidFill>
                <a:prstClr val="green"/>
              </a:solidFill>
            </a:ln>
          </xdr:spPr>
          <xdr:txBody>
            <a:bodyPr vertOverflow="clip" horzOverflow="clip"/>
            <a:lstStyle/>
            <a:p>
              <a:r>
                <a:rPr lang="ru-R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236220</xdr:colOff>
      <xdr:row>20</xdr:row>
      <xdr:rowOff>144780</xdr:rowOff>
    </xdr:from>
    <xdr:to>
      <xdr:col>12</xdr:col>
      <xdr:colOff>22860</xdr:colOff>
      <xdr:row>23</xdr:row>
      <xdr:rowOff>25908</xdr:rowOff>
    </xdr:to>
    <mc:AlternateContent xmlns:mc="http://schemas.openxmlformats.org/markup-compatibility/2006" xmlns:a14="http://schemas.microsoft.com/office/drawing/2010/main">
      <mc:Choice Requires="a14">
        <xdr:graphicFrame macro="">
          <xdr:nvGraphicFramePr>
            <xdr:cNvPr id="23" name="Month 6">
              <a:extLst>
                <a:ext uri="{FF2B5EF4-FFF2-40B4-BE49-F238E27FC236}">
                  <a16:creationId xmlns:a16="http://schemas.microsoft.com/office/drawing/2014/main" id="{E8D89D1B-3777-42ED-A2E9-B4EE50F0543F}"/>
                </a:ext>
              </a:extLst>
            </xdr:cNvPr>
            <xdr:cNvGraphicFramePr/>
          </xdr:nvGraphicFramePr>
          <xdr:xfrm>
            <a:off x="0" y="0"/>
            <a:ext cx="0" cy="0"/>
          </xdr:xfrm>
          <a:graphic>
            <a:graphicData uri="http://schemas.microsoft.com/office/drawing/2010/slicer">
              <sle:slicer xmlns:sle="http://schemas.microsoft.com/office/drawing/2010/slicer" name="Month 6"/>
            </a:graphicData>
          </a:graphic>
        </xdr:graphicFrame>
      </mc:Choice>
      <mc:Fallback xmlns="">
        <xdr:sp macro="" textlink="">
          <xdr:nvSpPr>
            <xdr:cNvPr id="0" name=""/>
            <xdr:cNvSpPr>
              <a:spLocks noTextEdit="1"/>
            </xdr:cNvSpPr>
          </xdr:nvSpPr>
          <xdr:spPr>
            <a:xfrm>
              <a:off x="2674620" y="3802380"/>
              <a:ext cx="4663440" cy="429768"/>
            </a:xfrm>
            <a:prstGeom prst="rect">
              <a:avLst/>
            </a:prstGeom>
            <a:solidFill>
              <a:prstClr val="white"/>
            </a:solidFill>
            <a:ln w="1">
              <a:solidFill>
                <a:prstClr val="green"/>
              </a:solidFill>
            </a:ln>
          </xdr:spPr>
          <xdr:txBody>
            <a:bodyPr vertOverflow="clip" horzOverflow="clip"/>
            <a:lstStyle/>
            <a:p>
              <a:r>
                <a:rPr lang="ru-R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325582</xdr:colOff>
      <xdr:row>7</xdr:row>
      <xdr:rowOff>90282</xdr:rowOff>
    </xdr:from>
    <xdr:to>
      <xdr:col>10</xdr:col>
      <xdr:colOff>207819</xdr:colOff>
      <xdr:row>8</xdr:row>
      <xdr:rowOff>161178</xdr:rowOff>
    </xdr:to>
    <xdr:sp macro="" textlink="Processing!F30">
      <xdr:nvSpPr>
        <xdr:cNvPr id="24" name="TextBox 23">
          <a:extLst>
            <a:ext uri="{FF2B5EF4-FFF2-40B4-BE49-F238E27FC236}">
              <a16:creationId xmlns:a16="http://schemas.microsoft.com/office/drawing/2014/main" id="{042A25FB-5B66-478B-B5DC-07C8562B0B7C}"/>
            </a:ext>
          </a:extLst>
        </xdr:cNvPr>
        <xdr:cNvSpPr txBox="1"/>
      </xdr:nvSpPr>
      <xdr:spPr>
        <a:xfrm>
          <a:off x="5202382" y="1370442"/>
          <a:ext cx="1101437" cy="2537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F39BE783-B392-4D7C-8C2A-EEB34489B994}" type="TxLink">
            <a:rPr lang="en-US" sz="1800" b="0" i="0" u="none" strike="noStrike">
              <a:solidFill>
                <a:srgbClr val="FF00FF"/>
              </a:solidFill>
              <a:latin typeface="Aptos Narrow"/>
              <a:ea typeface="+mn-ea"/>
              <a:cs typeface="+mn-cs"/>
            </a:rPr>
            <a:pPr marL="0" indent="0" algn="r"/>
            <a:t> $10,302 </a:t>
          </a:fld>
          <a:endParaRPr lang="ru-RU" sz="3200" b="0" i="0" u="none" strike="noStrike">
            <a:solidFill>
              <a:srgbClr val="FF00FF"/>
            </a:solidFill>
            <a:latin typeface="Aptos Narrow"/>
            <a:ea typeface="+mn-ea"/>
            <a:cs typeface="+mn-cs"/>
          </a:endParaRPr>
        </a:p>
      </xdr:txBody>
    </xdr:sp>
    <xdr:clientData/>
  </xdr:twoCellAnchor>
  <xdr:twoCellAnchor>
    <xdr:from>
      <xdr:col>8</xdr:col>
      <xdr:colOff>325582</xdr:colOff>
      <xdr:row>5</xdr:row>
      <xdr:rowOff>105522</xdr:rowOff>
    </xdr:from>
    <xdr:to>
      <xdr:col>10</xdr:col>
      <xdr:colOff>207819</xdr:colOff>
      <xdr:row>6</xdr:row>
      <xdr:rowOff>176418</xdr:rowOff>
    </xdr:to>
    <xdr:sp macro="" textlink="Processing!E30">
      <xdr:nvSpPr>
        <xdr:cNvPr id="25" name="TextBox 24">
          <a:extLst>
            <a:ext uri="{FF2B5EF4-FFF2-40B4-BE49-F238E27FC236}">
              <a16:creationId xmlns:a16="http://schemas.microsoft.com/office/drawing/2014/main" id="{9FA6EFB0-E6EB-40FA-86C7-DCF5454D02DC}"/>
            </a:ext>
          </a:extLst>
        </xdr:cNvPr>
        <xdr:cNvSpPr txBox="1"/>
      </xdr:nvSpPr>
      <xdr:spPr>
        <a:xfrm>
          <a:off x="5202382" y="1019922"/>
          <a:ext cx="1101437" cy="2537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6228063D-045F-42D2-9E29-4ADE8D5D219F}" type="TxLink">
            <a:rPr lang="en-US" sz="1800" b="0" i="0" u="none" strike="noStrike">
              <a:solidFill>
                <a:srgbClr val="178BFF"/>
              </a:solidFill>
              <a:latin typeface="Aptos Narrow"/>
              <a:ea typeface="+mn-ea"/>
              <a:cs typeface="+mn-cs"/>
            </a:rPr>
            <a:pPr marL="0" indent="0" algn="r"/>
            <a:t> $12,533 </a:t>
          </a:fld>
          <a:endParaRPr lang="ru-RU" sz="3600" b="0" i="0" u="none" strike="noStrike">
            <a:solidFill>
              <a:srgbClr val="178BFF"/>
            </a:solidFill>
            <a:latin typeface="Aptos Narrow"/>
            <a:ea typeface="+mn-ea"/>
            <a:cs typeface="+mn-cs"/>
          </a:endParaRPr>
        </a:p>
      </xdr:txBody>
    </xdr:sp>
    <xdr:clientData/>
  </xdr:twoCellAnchor>
  <xdr:twoCellAnchor editAs="oneCell">
    <xdr:from>
      <xdr:col>16</xdr:col>
      <xdr:colOff>530738</xdr:colOff>
      <xdr:row>35</xdr:row>
      <xdr:rowOff>0</xdr:rowOff>
    </xdr:from>
    <xdr:to>
      <xdr:col>20</xdr:col>
      <xdr:colOff>12578</xdr:colOff>
      <xdr:row>37</xdr:row>
      <xdr:rowOff>64008</xdr:rowOff>
    </xdr:to>
    <mc:AlternateContent xmlns:mc="http://schemas.openxmlformats.org/markup-compatibility/2006" xmlns:a14="http://schemas.microsoft.com/office/drawing/2010/main">
      <mc:Choice Requires="a14">
        <xdr:graphicFrame macro="">
          <xdr:nvGraphicFramePr>
            <xdr:cNvPr id="26" name="Buttons 7">
              <a:extLst>
                <a:ext uri="{FF2B5EF4-FFF2-40B4-BE49-F238E27FC236}">
                  <a16:creationId xmlns:a16="http://schemas.microsoft.com/office/drawing/2014/main" id="{7FA24134-3068-4ABF-B8BC-A69F73768A21}"/>
                </a:ext>
              </a:extLst>
            </xdr:cNvPr>
            <xdr:cNvGraphicFramePr/>
          </xdr:nvGraphicFramePr>
          <xdr:xfrm>
            <a:off x="0" y="0"/>
            <a:ext cx="0" cy="0"/>
          </xdr:xfrm>
          <a:graphic>
            <a:graphicData uri="http://schemas.microsoft.com/office/drawing/2010/slicer">
              <sle:slicer xmlns:sle="http://schemas.microsoft.com/office/drawing/2010/slicer" name="Buttons 7"/>
            </a:graphicData>
          </a:graphic>
        </xdr:graphicFrame>
      </mc:Choice>
      <mc:Fallback xmlns="">
        <xdr:sp macro="" textlink="">
          <xdr:nvSpPr>
            <xdr:cNvPr id="0" name=""/>
            <xdr:cNvSpPr>
              <a:spLocks noTextEdit="1"/>
            </xdr:cNvSpPr>
          </xdr:nvSpPr>
          <xdr:spPr>
            <a:xfrm>
              <a:off x="10284338" y="6400800"/>
              <a:ext cx="1920240" cy="429768"/>
            </a:xfrm>
            <a:prstGeom prst="rect">
              <a:avLst/>
            </a:prstGeom>
            <a:solidFill>
              <a:prstClr val="white"/>
            </a:solidFill>
            <a:ln w="1">
              <a:solidFill>
                <a:prstClr val="green"/>
              </a:solidFill>
            </a:ln>
          </xdr:spPr>
          <xdr:txBody>
            <a:bodyPr vertOverflow="clip" horzOverflow="clip"/>
            <a:lstStyle/>
            <a:p>
              <a:r>
                <a:rPr lang="ru-R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16</xdr:col>
      <xdr:colOff>108357</xdr:colOff>
      <xdr:row>7</xdr:row>
      <xdr:rowOff>72390</xdr:rowOff>
    </xdr:from>
    <xdr:to>
      <xdr:col>19</xdr:col>
      <xdr:colOff>592684</xdr:colOff>
      <xdr:row>15</xdr:row>
      <xdr:rowOff>156210</xdr:rowOff>
    </xdr:to>
    <xdr:grpSp>
      <xdr:nvGrpSpPr>
        <xdr:cNvPr id="27" name="Group 26">
          <a:extLst>
            <a:ext uri="{FF2B5EF4-FFF2-40B4-BE49-F238E27FC236}">
              <a16:creationId xmlns:a16="http://schemas.microsoft.com/office/drawing/2014/main" id="{07D273F3-28C3-40F3-BB58-6C248FF95B7C}"/>
            </a:ext>
          </a:extLst>
        </xdr:cNvPr>
        <xdr:cNvGrpSpPr/>
      </xdr:nvGrpSpPr>
      <xdr:grpSpPr>
        <a:xfrm>
          <a:off x="9929690" y="1405890"/>
          <a:ext cx="2325827" cy="1607820"/>
          <a:chOff x="9861957" y="1352550"/>
          <a:chExt cx="2313127" cy="1546860"/>
        </a:xfrm>
      </xdr:grpSpPr>
      <xdr:sp macro="" textlink="Processing!K18">
        <xdr:nvSpPr>
          <xdr:cNvPr id="28" name="TextBox 27">
            <a:extLst>
              <a:ext uri="{FF2B5EF4-FFF2-40B4-BE49-F238E27FC236}">
                <a16:creationId xmlns:a16="http://schemas.microsoft.com/office/drawing/2014/main" id="{864BDB75-A88F-E7D6-0D50-8E5A2D2E991C}"/>
              </a:ext>
            </a:extLst>
          </xdr:cNvPr>
          <xdr:cNvSpPr txBox="1"/>
        </xdr:nvSpPr>
        <xdr:spPr>
          <a:xfrm>
            <a:off x="9890760" y="1352550"/>
            <a:ext cx="27432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D3E7255-CADA-4230-BD23-D54321216D7F}" type="TxLink">
              <a:rPr lang="en-US" sz="1100" b="0" i="0" u="none" strike="noStrike">
                <a:solidFill>
                  <a:schemeClr val="bg1"/>
                </a:solidFill>
                <a:latin typeface="Aptos Narrow"/>
              </a:rPr>
              <a:pPr algn="ctr"/>
              <a:t> </a:t>
            </a:fld>
            <a:endParaRPr lang="ru-RU" sz="1100">
              <a:solidFill>
                <a:schemeClr val="bg1"/>
              </a:solidFill>
            </a:endParaRPr>
          </a:p>
        </xdr:txBody>
      </xdr:sp>
      <xdr:sp macro="" textlink="Processing!L18">
        <xdr:nvSpPr>
          <xdr:cNvPr id="29" name="TextBox 28">
            <a:extLst>
              <a:ext uri="{FF2B5EF4-FFF2-40B4-BE49-F238E27FC236}">
                <a16:creationId xmlns:a16="http://schemas.microsoft.com/office/drawing/2014/main" id="{B35FCF3E-1F89-7800-2FC6-3C4818057424}"/>
              </a:ext>
            </a:extLst>
          </xdr:cNvPr>
          <xdr:cNvSpPr txBox="1"/>
        </xdr:nvSpPr>
        <xdr:spPr>
          <a:xfrm>
            <a:off x="10220960" y="1352550"/>
            <a:ext cx="27432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1C6F21F-FDF9-4379-8CF8-B6BD162D0F3A}" type="TxLink">
              <a:rPr lang="en-US" sz="1100" b="0" i="0" u="none" strike="noStrike">
                <a:solidFill>
                  <a:schemeClr val="bg1"/>
                </a:solidFill>
                <a:latin typeface="Aptos Narrow"/>
              </a:rPr>
              <a:pPr algn="ctr"/>
              <a:t> </a:t>
            </a:fld>
            <a:endParaRPr lang="ru-RU" sz="1100">
              <a:solidFill>
                <a:schemeClr val="bg1"/>
              </a:solidFill>
            </a:endParaRPr>
          </a:p>
        </xdr:txBody>
      </xdr:sp>
      <xdr:sp macro="" textlink="Processing!M18">
        <xdr:nvSpPr>
          <xdr:cNvPr id="30" name="TextBox 29">
            <a:extLst>
              <a:ext uri="{FF2B5EF4-FFF2-40B4-BE49-F238E27FC236}">
                <a16:creationId xmlns:a16="http://schemas.microsoft.com/office/drawing/2014/main" id="{0779EA7A-D7ED-6D26-B276-974141A4E3FF}"/>
              </a:ext>
            </a:extLst>
          </xdr:cNvPr>
          <xdr:cNvSpPr txBox="1"/>
        </xdr:nvSpPr>
        <xdr:spPr>
          <a:xfrm>
            <a:off x="10551160" y="1352550"/>
            <a:ext cx="27432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1610ED9-FE00-40BD-8F7F-81F57958080E}" type="TxLink">
              <a:rPr lang="en-US" sz="1100" b="0" i="0" u="none" strike="noStrike">
                <a:solidFill>
                  <a:schemeClr val="bg1"/>
                </a:solidFill>
                <a:latin typeface="Aptos Narrow"/>
              </a:rPr>
              <a:pPr algn="ctr"/>
              <a:t> </a:t>
            </a:fld>
            <a:endParaRPr lang="ru-RU" sz="1100">
              <a:solidFill>
                <a:schemeClr val="bg1"/>
              </a:solidFill>
            </a:endParaRPr>
          </a:p>
        </xdr:txBody>
      </xdr:sp>
      <xdr:sp macro="" textlink="Processing!N18">
        <xdr:nvSpPr>
          <xdr:cNvPr id="31" name="TextBox 30">
            <a:extLst>
              <a:ext uri="{FF2B5EF4-FFF2-40B4-BE49-F238E27FC236}">
                <a16:creationId xmlns:a16="http://schemas.microsoft.com/office/drawing/2014/main" id="{3135D92F-6CB4-8E70-6124-C33A0EDF3AFA}"/>
              </a:ext>
            </a:extLst>
          </xdr:cNvPr>
          <xdr:cNvSpPr txBox="1"/>
        </xdr:nvSpPr>
        <xdr:spPr>
          <a:xfrm>
            <a:off x="10881360" y="1352550"/>
            <a:ext cx="27432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0821B4C-4BAA-44F2-AE44-CF18588BA78E}" type="TxLink">
              <a:rPr lang="en-US" sz="1100" b="0" i="0" u="none" strike="noStrike">
                <a:solidFill>
                  <a:schemeClr val="bg1"/>
                </a:solidFill>
                <a:latin typeface="Aptos Narrow"/>
              </a:rPr>
              <a:pPr algn="ctr"/>
              <a:t> </a:t>
            </a:fld>
            <a:endParaRPr lang="ru-RU" sz="1100">
              <a:solidFill>
                <a:schemeClr val="bg1"/>
              </a:solidFill>
            </a:endParaRPr>
          </a:p>
        </xdr:txBody>
      </xdr:sp>
      <xdr:sp macro="" textlink="Processing!O18">
        <xdr:nvSpPr>
          <xdr:cNvPr id="32" name="TextBox 31">
            <a:extLst>
              <a:ext uri="{FF2B5EF4-FFF2-40B4-BE49-F238E27FC236}">
                <a16:creationId xmlns:a16="http://schemas.microsoft.com/office/drawing/2014/main" id="{FF688CE6-7541-E752-AD9E-B41F11BB1288}"/>
              </a:ext>
            </a:extLst>
          </xdr:cNvPr>
          <xdr:cNvSpPr txBox="1"/>
        </xdr:nvSpPr>
        <xdr:spPr>
          <a:xfrm>
            <a:off x="11211560" y="1352550"/>
            <a:ext cx="27432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3900FCD-5EFC-4A56-8CED-011582CB3E1E}" type="TxLink">
              <a:rPr lang="en-US" sz="1100" b="0" i="0" u="none" strike="noStrike">
                <a:solidFill>
                  <a:schemeClr val="bg1"/>
                </a:solidFill>
                <a:latin typeface="Aptos Narrow"/>
              </a:rPr>
              <a:pPr algn="ctr"/>
              <a:t>1</a:t>
            </a:fld>
            <a:endParaRPr lang="ru-RU" sz="1100">
              <a:solidFill>
                <a:schemeClr val="bg1"/>
              </a:solidFill>
            </a:endParaRPr>
          </a:p>
        </xdr:txBody>
      </xdr:sp>
      <xdr:sp macro="" textlink="Processing!P18">
        <xdr:nvSpPr>
          <xdr:cNvPr id="33" name="TextBox 32">
            <a:extLst>
              <a:ext uri="{FF2B5EF4-FFF2-40B4-BE49-F238E27FC236}">
                <a16:creationId xmlns:a16="http://schemas.microsoft.com/office/drawing/2014/main" id="{2E7A5147-365A-4C0F-8A75-5BA58E9E376C}"/>
              </a:ext>
            </a:extLst>
          </xdr:cNvPr>
          <xdr:cNvSpPr txBox="1"/>
        </xdr:nvSpPr>
        <xdr:spPr>
          <a:xfrm>
            <a:off x="11541760" y="1352550"/>
            <a:ext cx="27432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1C9B50A-1F2B-470C-A2CD-50A82C48B554}" type="TxLink">
              <a:rPr lang="en-US" sz="1100" b="0" i="0" u="none" strike="noStrike">
                <a:solidFill>
                  <a:schemeClr val="bg1"/>
                </a:solidFill>
                <a:latin typeface="Aptos Narrow"/>
              </a:rPr>
              <a:pPr algn="ctr"/>
              <a:t>2</a:t>
            </a:fld>
            <a:endParaRPr lang="ru-RU" sz="1100">
              <a:solidFill>
                <a:schemeClr val="bg1"/>
              </a:solidFill>
            </a:endParaRPr>
          </a:p>
        </xdr:txBody>
      </xdr:sp>
      <xdr:sp macro="" textlink="Processing!Q18">
        <xdr:nvSpPr>
          <xdr:cNvPr id="34" name="TextBox 33">
            <a:extLst>
              <a:ext uri="{FF2B5EF4-FFF2-40B4-BE49-F238E27FC236}">
                <a16:creationId xmlns:a16="http://schemas.microsoft.com/office/drawing/2014/main" id="{B2F62CED-CBDD-D08C-A15D-F2C2E2CCC5AA}"/>
              </a:ext>
            </a:extLst>
          </xdr:cNvPr>
          <xdr:cNvSpPr txBox="1"/>
        </xdr:nvSpPr>
        <xdr:spPr>
          <a:xfrm>
            <a:off x="11871960" y="1352550"/>
            <a:ext cx="27432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2B7511D-7E23-4379-9E06-0EFB29477EA3}" type="TxLink">
              <a:rPr lang="en-US" sz="1100" b="0" i="0" u="none" strike="noStrike">
                <a:solidFill>
                  <a:schemeClr val="bg1"/>
                </a:solidFill>
                <a:latin typeface="Aptos Narrow"/>
              </a:rPr>
              <a:pPr algn="ctr"/>
              <a:t>3</a:t>
            </a:fld>
            <a:endParaRPr lang="ru-RU" sz="1100">
              <a:solidFill>
                <a:schemeClr val="bg1"/>
              </a:solidFill>
            </a:endParaRPr>
          </a:p>
        </xdr:txBody>
      </xdr:sp>
      <xdr:sp macro="" textlink="Processing!K19">
        <xdr:nvSpPr>
          <xdr:cNvPr id="35" name="TextBox 34">
            <a:extLst>
              <a:ext uri="{FF2B5EF4-FFF2-40B4-BE49-F238E27FC236}">
                <a16:creationId xmlns:a16="http://schemas.microsoft.com/office/drawing/2014/main" id="{BDAD69DD-4495-BE1D-3914-7DE24D6773E4}"/>
              </a:ext>
            </a:extLst>
          </xdr:cNvPr>
          <xdr:cNvSpPr txBox="1"/>
        </xdr:nvSpPr>
        <xdr:spPr>
          <a:xfrm>
            <a:off x="9890760" y="1604010"/>
            <a:ext cx="27432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734A8F3-B214-4719-B067-7A5649E0BED0}" type="TxLink">
              <a:rPr lang="en-US" sz="1100" b="0" i="0" u="none" strike="noStrike">
                <a:solidFill>
                  <a:schemeClr val="bg1"/>
                </a:solidFill>
                <a:latin typeface="Aptos Narrow"/>
              </a:rPr>
              <a:pPr algn="ctr"/>
              <a:t>4</a:t>
            </a:fld>
            <a:endParaRPr lang="ru-RU" sz="1100">
              <a:solidFill>
                <a:schemeClr val="bg1"/>
              </a:solidFill>
            </a:endParaRPr>
          </a:p>
        </xdr:txBody>
      </xdr:sp>
      <xdr:sp macro="" textlink="Processing!L19">
        <xdr:nvSpPr>
          <xdr:cNvPr id="36" name="TextBox 35">
            <a:extLst>
              <a:ext uri="{FF2B5EF4-FFF2-40B4-BE49-F238E27FC236}">
                <a16:creationId xmlns:a16="http://schemas.microsoft.com/office/drawing/2014/main" id="{0105BA18-5022-2F6D-D287-D8B3C32D4335}"/>
              </a:ext>
            </a:extLst>
          </xdr:cNvPr>
          <xdr:cNvSpPr txBox="1"/>
        </xdr:nvSpPr>
        <xdr:spPr>
          <a:xfrm>
            <a:off x="10220960" y="1604010"/>
            <a:ext cx="27432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F7073B0-31DA-4010-92B7-F7156DB1F6CD}" type="TxLink">
              <a:rPr lang="en-US" sz="1100" b="0" i="0" u="none" strike="noStrike">
                <a:solidFill>
                  <a:schemeClr val="bg1"/>
                </a:solidFill>
                <a:latin typeface="Aptos Narrow"/>
              </a:rPr>
              <a:pPr algn="ctr"/>
              <a:t>5</a:t>
            </a:fld>
            <a:endParaRPr lang="ru-RU" sz="1100">
              <a:solidFill>
                <a:schemeClr val="bg1"/>
              </a:solidFill>
            </a:endParaRPr>
          </a:p>
        </xdr:txBody>
      </xdr:sp>
      <xdr:sp macro="" textlink="Processing!M19">
        <xdr:nvSpPr>
          <xdr:cNvPr id="37" name="TextBox 36">
            <a:extLst>
              <a:ext uri="{FF2B5EF4-FFF2-40B4-BE49-F238E27FC236}">
                <a16:creationId xmlns:a16="http://schemas.microsoft.com/office/drawing/2014/main" id="{97A366D8-F3E3-B240-2181-2E6DDE010CAB}"/>
              </a:ext>
            </a:extLst>
          </xdr:cNvPr>
          <xdr:cNvSpPr txBox="1"/>
        </xdr:nvSpPr>
        <xdr:spPr>
          <a:xfrm>
            <a:off x="10551160" y="1604010"/>
            <a:ext cx="27432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E4519E0-88CC-4A87-BEC0-C59796ABFC34}" type="TxLink">
              <a:rPr lang="en-US" sz="1100" b="0" i="0" u="none" strike="noStrike">
                <a:solidFill>
                  <a:schemeClr val="bg1"/>
                </a:solidFill>
                <a:latin typeface="Aptos Narrow"/>
              </a:rPr>
              <a:pPr algn="ctr"/>
              <a:t>6</a:t>
            </a:fld>
            <a:endParaRPr lang="ru-RU" sz="1100">
              <a:solidFill>
                <a:schemeClr val="bg1"/>
              </a:solidFill>
            </a:endParaRPr>
          </a:p>
        </xdr:txBody>
      </xdr:sp>
      <xdr:sp macro="" textlink="Processing!N19">
        <xdr:nvSpPr>
          <xdr:cNvPr id="38" name="TextBox 37">
            <a:extLst>
              <a:ext uri="{FF2B5EF4-FFF2-40B4-BE49-F238E27FC236}">
                <a16:creationId xmlns:a16="http://schemas.microsoft.com/office/drawing/2014/main" id="{026A3EA1-8F93-89A1-8C8C-EBB3B9D59DD3}"/>
              </a:ext>
            </a:extLst>
          </xdr:cNvPr>
          <xdr:cNvSpPr txBox="1"/>
        </xdr:nvSpPr>
        <xdr:spPr>
          <a:xfrm>
            <a:off x="10881360" y="1604010"/>
            <a:ext cx="27432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4851FCB-C615-4FE3-9319-CD60603925D0}" type="TxLink">
              <a:rPr lang="en-US" sz="1100" b="0" i="0" u="none" strike="noStrike">
                <a:solidFill>
                  <a:schemeClr val="bg1"/>
                </a:solidFill>
                <a:latin typeface="Aptos Narrow"/>
              </a:rPr>
              <a:pPr algn="ctr"/>
              <a:t>7</a:t>
            </a:fld>
            <a:endParaRPr lang="ru-RU" sz="1100">
              <a:solidFill>
                <a:schemeClr val="bg1"/>
              </a:solidFill>
            </a:endParaRPr>
          </a:p>
        </xdr:txBody>
      </xdr:sp>
      <xdr:sp macro="" textlink="Processing!O19">
        <xdr:nvSpPr>
          <xdr:cNvPr id="39" name="TextBox 38">
            <a:extLst>
              <a:ext uri="{FF2B5EF4-FFF2-40B4-BE49-F238E27FC236}">
                <a16:creationId xmlns:a16="http://schemas.microsoft.com/office/drawing/2014/main" id="{BDC3BF9B-B575-CFDF-3368-C7CE3D90C364}"/>
              </a:ext>
            </a:extLst>
          </xdr:cNvPr>
          <xdr:cNvSpPr txBox="1"/>
        </xdr:nvSpPr>
        <xdr:spPr>
          <a:xfrm>
            <a:off x="11211560" y="1604010"/>
            <a:ext cx="27432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FD928CD-492E-48F0-AAD1-A041DAEAA5E6}" type="TxLink">
              <a:rPr lang="en-US" sz="1100" b="0" i="0" u="none" strike="noStrike">
                <a:solidFill>
                  <a:schemeClr val="bg1"/>
                </a:solidFill>
                <a:latin typeface="Aptos Narrow"/>
              </a:rPr>
              <a:pPr algn="ctr"/>
              <a:t>8</a:t>
            </a:fld>
            <a:endParaRPr lang="ru-RU" sz="1100">
              <a:solidFill>
                <a:schemeClr val="bg1"/>
              </a:solidFill>
            </a:endParaRPr>
          </a:p>
        </xdr:txBody>
      </xdr:sp>
      <xdr:sp macro="" textlink="Processing!P19">
        <xdr:nvSpPr>
          <xdr:cNvPr id="40" name="TextBox 39">
            <a:extLst>
              <a:ext uri="{FF2B5EF4-FFF2-40B4-BE49-F238E27FC236}">
                <a16:creationId xmlns:a16="http://schemas.microsoft.com/office/drawing/2014/main" id="{D65209E1-1B18-4B32-3343-7F24380F855D}"/>
              </a:ext>
            </a:extLst>
          </xdr:cNvPr>
          <xdr:cNvSpPr txBox="1"/>
        </xdr:nvSpPr>
        <xdr:spPr>
          <a:xfrm>
            <a:off x="11541760" y="1604010"/>
            <a:ext cx="27432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ADF5C92-B1EA-4B23-93A4-EDF486955967}" type="TxLink">
              <a:rPr lang="en-US" sz="1100" b="0" i="0" u="none" strike="noStrike">
                <a:solidFill>
                  <a:schemeClr val="bg1"/>
                </a:solidFill>
                <a:latin typeface="Aptos Narrow"/>
              </a:rPr>
              <a:pPr algn="ctr"/>
              <a:t>9</a:t>
            </a:fld>
            <a:endParaRPr lang="ru-RU" sz="1100">
              <a:solidFill>
                <a:schemeClr val="bg1"/>
              </a:solidFill>
            </a:endParaRPr>
          </a:p>
        </xdr:txBody>
      </xdr:sp>
      <xdr:sp macro="" textlink="Processing!Q19">
        <xdr:nvSpPr>
          <xdr:cNvPr id="41" name="TextBox 40">
            <a:extLst>
              <a:ext uri="{FF2B5EF4-FFF2-40B4-BE49-F238E27FC236}">
                <a16:creationId xmlns:a16="http://schemas.microsoft.com/office/drawing/2014/main" id="{7BA0CD30-3AAC-42BC-AA48-166F951AB07E}"/>
              </a:ext>
            </a:extLst>
          </xdr:cNvPr>
          <xdr:cNvSpPr txBox="1"/>
        </xdr:nvSpPr>
        <xdr:spPr>
          <a:xfrm>
            <a:off x="11871960" y="1604010"/>
            <a:ext cx="27432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F13E9FE-F125-434D-BD7E-0614FC50A4FA}" type="TxLink">
              <a:rPr lang="en-US" sz="1100" b="0" i="0" u="none" strike="noStrike">
                <a:solidFill>
                  <a:schemeClr val="bg1"/>
                </a:solidFill>
                <a:latin typeface="Aptos Narrow"/>
              </a:rPr>
              <a:pPr algn="ctr"/>
              <a:t>10</a:t>
            </a:fld>
            <a:endParaRPr lang="ru-RU" sz="1100">
              <a:solidFill>
                <a:schemeClr val="bg1"/>
              </a:solidFill>
            </a:endParaRPr>
          </a:p>
        </xdr:txBody>
      </xdr:sp>
      <xdr:sp macro="" textlink="Processing!K20">
        <xdr:nvSpPr>
          <xdr:cNvPr id="42" name="TextBox 41">
            <a:extLst>
              <a:ext uri="{FF2B5EF4-FFF2-40B4-BE49-F238E27FC236}">
                <a16:creationId xmlns:a16="http://schemas.microsoft.com/office/drawing/2014/main" id="{9B46DA5A-AC0D-C5C8-6867-7B8F784806DE}"/>
              </a:ext>
            </a:extLst>
          </xdr:cNvPr>
          <xdr:cNvSpPr txBox="1"/>
        </xdr:nvSpPr>
        <xdr:spPr>
          <a:xfrm>
            <a:off x="9861957" y="1863090"/>
            <a:ext cx="331927"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93D72D5-7AC8-45DD-8439-FB93AFA960DC}" type="TxLink">
              <a:rPr lang="en-US" sz="1100" b="0" i="0" u="none" strike="noStrike">
                <a:solidFill>
                  <a:schemeClr val="bg1"/>
                </a:solidFill>
                <a:latin typeface="Aptos Narrow"/>
              </a:rPr>
              <a:pPr algn="ctr"/>
              <a:t>11</a:t>
            </a:fld>
            <a:endParaRPr lang="ru-RU" sz="1100">
              <a:solidFill>
                <a:schemeClr val="bg1"/>
              </a:solidFill>
            </a:endParaRPr>
          </a:p>
        </xdr:txBody>
      </xdr:sp>
      <xdr:sp macro="" textlink="Processing!L20">
        <xdr:nvSpPr>
          <xdr:cNvPr id="43" name="TextBox 42">
            <a:extLst>
              <a:ext uri="{FF2B5EF4-FFF2-40B4-BE49-F238E27FC236}">
                <a16:creationId xmlns:a16="http://schemas.microsoft.com/office/drawing/2014/main" id="{812074CF-DBE3-0CE7-0735-A4F122CEE3BF}"/>
              </a:ext>
            </a:extLst>
          </xdr:cNvPr>
          <xdr:cNvSpPr txBox="1"/>
        </xdr:nvSpPr>
        <xdr:spPr>
          <a:xfrm>
            <a:off x="10192157" y="1863090"/>
            <a:ext cx="331927"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2516537-E3FB-4583-9CFC-58FE2FBD8DA0}" type="TxLink">
              <a:rPr lang="en-US" sz="1100" b="0" i="0" u="none" strike="noStrike">
                <a:solidFill>
                  <a:schemeClr val="bg1"/>
                </a:solidFill>
                <a:latin typeface="Aptos Narrow"/>
              </a:rPr>
              <a:pPr algn="ctr"/>
              <a:t>12</a:t>
            </a:fld>
            <a:endParaRPr lang="ru-RU" sz="1100">
              <a:solidFill>
                <a:schemeClr val="bg1"/>
              </a:solidFill>
            </a:endParaRPr>
          </a:p>
        </xdr:txBody>
      </xdr:sp>
      <xdr:sp macro="" textlink="Processing!M20">
        <xdr:nvSpPr>
          <xdr:cNvPr id="44" name="TextBox 43">
            <a:extLst>
              <a:ext uri="{FF2B5EF4-FFF2-40B4-BE49-F238E27FC236}">
                <a16:creationId xmlns:a16="http://schemas.microsoft.com/office/drawing/2014/main" id="{7B991102-83AC-433B-18C1-348DC83C5036}"/>
              </a:ext>
            </a:extLst>
          </xdr:cNvPr>
          <xdr:cNvSpPr txBox="1"/>
        </xdr:nvSpPr>
        <xdr:spPr>
          <a:xfrm>
            <a:off x="10522357" y="1863090"/>
            <a:ext cx="331927"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76D20A2-3B17-4419-A0BB-129F95622FC4}" type="TxLink">
              <a:rPr lang="en-US" sz="1100" b="0" i="0" u="none" strike="noStrike">
                <a:solidFill>
                  <a:schemeClr val="bg1"/>
                </a:solidFill>
                <a:latin typeface="Aptos Narrow"/>
              </a:rPr>
              <a:pPr algn="ctr"/>
              <a:t>13</a:t>
            </a:fld>
            <a:endParaRPr lang="ru-RU" sz="1100">
              <a:solidFill>
                <a:schemeClr val="bg1"/>
              </a:solidFill>
            </a:endParaRPr>
          </a:p>
        </xdr:txBody>
      </xdr:sp>
      <xdr:sp macro="" textlink="Processing!N20">
        <xdr:nvSpPr>
          <xdr:cNvPr id="45" name="TextBox 44">
            <a:extLst>
              <a:ext uri="{FF2B5EF4-FFF2-40B4-BE49-F238E27FC236}">
                <a16:creationId xmlns:a16="http://schemas.microsoft.com/office/drawing/2014/main" id="{EF5AF78C-FE05-6326-DC2D-0C98DC63CB42}"/>
              </a:ext>
            </a:extLst>
          </xdr:cNvPr>
          <xdr:cNvSpPr txBox="1"/>
        </xdr:nvSpPr>
        <xdr:spPr>
          <a:xfrm>
            <a:off x="10852557" y="1863090"/>
            <a:ext cx="331927"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2057887-148A-4DA4-9606-3F1365AB6939}" type="TxLink">
              <a:rPr lang="en-US" sz="1100" b="0" i="0" u="none" strike="noStrike">
                <a:solidFill>
                  <a:schemeClr val="bg1"/>
                </a:solidFill>
                <a:latin typeface="Aptos Narrow"/>
              </a:rPr>
              <a:pPr algn="ctr"/>
              <a:t>14</a:t>
            </a:fld>
            <a:endParaRPr lang="ru-RU" sz="1100">
              <a:solidFill>
                <a:schemeClr val="bg1"/>
              </a:solidFill>
            </a:endParaRPr>
          </a:p>
        </xdr:txBody>
      </xdr:sp>
      <xdr:sp macro="" textlink="Processing!O20">
        <xdr:nvSpPr>
          <xdr:cNvPr id="46" name="TextBox 45">
            <a:extLst>
              <a:ext uri="{FF2B5EF4-FFF2-40B4-BE49-F238E27FC236}">
                <a16:creationId xmlns:a16="http://schemas.microsoft.com/office/drawing/2014/main" id="{D2AFAD89-4C39-C1C9-5A5C-FA3B3E676599}"/>
              </a:ext>
            </a:extLst>
          </xdr:cNvPr>
          <xdr:cNvSpPr txBox="1"/>
        </xdr:nvSpPr>
        <xdr:spPr>
          <a:xfrm>
            <a:off x="11182757" y="1863090"/>
            <a:ext cx="331927"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CFDC083-655D-45DE-ABDC-201FA0A374BB}" type="TxLink">
              <a:rPr lang="en-US" sz="1100" b="0" i="0" u="none" strike="noStrike">
                <a:solidFill>
                  <a:schemeClr val="bg1"/>
                </a:solidFill>
                <a:latin typeface="Aptos Narrow"/>
              </a:rPr>
              <a:pPr algn="ctr"/>
              <a:t>15</a:t>
            </a:fld>
            <a:endParaRPr lang="ru-RU" sz="1100">
              <a:solidFill>
                <a:schemeClr val="bg1"/>
              </a:solidFill>
            </a:endParaRPr>
          </a:p>
        </xdr:txBody>
      </xdr:sp>
      <xdr:sp macro="" textlink="Processing!P20">
        <xdr:nvSpPr>
          <xdr:cNvPr id="47" name="TextBox 46">
            <a:extLst>
              <a:ext uri="{FF2B5EF4-FFF2-40B4-BE49-F238E27FC236}">
                <a16:creationId xmlns:a16="http://schemas.microsoft.com/office/drawing/2014/main" id="{F33FA58F-E56F-E002-4145-06366B4E9C09}"/>
              </a:ext>
            </a:extLst>
          </xdr:cNvPr>
          <xdr:cNvSpPr txBox="1"/>
        </xdr:nvSpPr>
        <xdr:spPr>
          <a:xfrm>
            <a:off x="11512957" y="1863090"/>
            <a:ext cx="331927"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7F05786-ECB9-4D56-894B-DEAE253EFB82}" type="TxLink">
              <a:rPr lang="en-US" sz="1100" b="0" i="0" u="none" strike="noStrike">
                <a:solidFill>
                  <a:schemeClr val="bg1"/>
                </a:solidFill>
                <a:latin typeface="Aptos Narrow"/>
              </a:rPr>
              <a:pPr algn="ctr"/>
              <a:t>16</a:t>
            </a:fld>
            <a:endParaRPr lang="ru-RU" sz="1100">
              <a:solidFill>
                <a:schemeClr val="bg1"/>
              </a:solidFill>
            </a:endParaRPr>
          </a:p>
        </xdr:txBody>
      </xdr:sp>
      <xdr:sp macro="" textlink="Processing!Q20">
        <xdr:nvSpPr>
          <xdr:cNvPr id="48" name="TextBox 47">
            <a:extLst>
              <a:ext uri="{FF2B5EF4-FFF2-40B4-BE49-F238E27FC236}">
                <a16:creationId xmlns:a16="http://schemas.microsoft.com/office/drawing/2014/main" id="{D833565C-17CE-C4AA-B0B7-20C81BB2DE0D}"/>
              </a:ext>
            </a:extLst>
          </xdr:cNvPr>
          <xdr:cNvSpPr txBox="1"/>
        </xdr:nvSpPr>
        <xdr:spPr>
          <a:xfrm>
            <a:off x="11843157" y="1863090"/>
            <a:ext cx="331927"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0BBCAF6-90AB-44AA-84B2-9314DE957D23}" type="TxLink">
              <a:rPr lang="en-US" sz="1100" b="0" i="0" u="none" strike="noStrike">
                <a:solidFill>
                  <a:schemeClr val="bg1"/>
                </a:solidFill>
                <a:latin typeface="Aptos Narrow"/>
              </a:rPr>
              <a:pPr algn="ctr"/>
              <a:t>17</a:t>
            </a:fld>
            <a:endParaRPr lang="ru-RU" sz="1100">
              <a:solidFill>
                <a:schemeClr val="bg1"/>
              </a:solidFill>
            </a:endParaRPr>
          </a:p>
        </xdr:txBody>
      </xdr:sp>
      <xdr:sp macro="" textlink="Processing!K21">
        <xdr:nvSpPr>
          <xdr:cNvPr id="49" name="TextBox 48">
            <a:extLst>
              <a:ext uri="{FF2B5EF4-FFF2-40B4-BE49-F238E27FC236}">
                <a16:creationId xmlns:a16="http://schemas.microsoft.com/office/drawing/2014/main" id="{FF2A67BA-3738-1566-4197-5FF975A99C36}"/>
              </a:ext>
            </a:extLst>
          </xdr:cNvPr>
          <xdr:cNvSpPr txBox="1"/>
        </xdr:nvSpPr>
        <xdr:spPr>
          <a:xfrm>
            <a:off x="9861957" y="2114550"/>
            <a:ext cx="331927"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F60CDE4-322C-40AF-8B58-CAED286107F1}" type="TxLink">
              <a:rPr lang="en-US" sz="1100" b="0" i="0" u="none" strike="noStrike">
                <a:solidFill>
                  <a:schemeClr val="bg1"/>
                </a:solidFill>
                <a:latin typeface="Aptos Narrow"/>
              </a:rPr>
              <a:pPr algn="ctr"/>
              <a:t>18</a:t>
            </a:fld>
            <a:endParaRPr lang="ru-RU" sz="1100">
              <a:solidFill>
                <a:schemeClr val="bg1"/>
              </a:solidFill>
            </a:endParaRPr>
          </a:p>
        </xdr:txBody>
      </xdr:sp>
      <xdr:sp macro="" textlink="Processing!L21">
        <xdr:nvSpPr>
          <xdr:cNvPr id="50" name="TextBox 49">
            <a:extLst>
              <a:ext uri="{FF2B5EF4-FFF2-40B4-BE49-F238E27FC236}">
                <a16:creationId xmlns:a16="http://schemas.microsoft.com/office/drawing/2014/main" id="{0754DA8C-E8CD-0E96-6657-84AEDB0D7F59}"/>
              </a:ext>
            </a:extLst>
          </xdr:cNvPr>
          <xdr:cNvSpPr txBox="1"/>
        </xdr:nvSpPr>
        <xdr:spPr>
          <a:xfrm>
            <a:off x="10192157" y="2114550"/>
            <a:ext cx="331927"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50F645A-C85B-45BE-BE89-CFB916D180F5}" type="TxLink">
              <a:rPr lang="en-US" sz="1100" b="0" i="0" u="none" strike="noStrike">
                <a:solidFill>
                  <a:schemeClr val="bg1"/>
                </a:solidFill>
                <a:latin typeface="Aptos Narrow"/>
              </a:rPr>
              <a:pPr algn="ctr"/>
              <a:t>19</a:t>
            </a:fld>
            <a:endParaRPr lang="ru-RU" sz="1100">
              <a:solidFill>
                <a:schemeClr val="bg1"/>
              </a:solidFill>
            </a:endParaRPr>
          </a:p>
        </xdr:txBody>
      </xdr:sp>
      <xdr:sp macro="" textlink="Processing!M21">
        <xdr:nvSpPr>
          <xdr:cNvPr id="51" name="TextBox 50">
            <a:extLst>
              <a:ext uri="{FF2B5EF4-FFF2-40B4-BE49-F238E27FC236}">
                <a16:creationId xmlns:a16="http://schemas.microsoft.com/office/drawing/2014/main" id="{AE7B4F33-8E84-60CA-E2B1-85C505C1384F}"/>
              </a:ext>
            </a:extLst>
          </xdr:cNvPr>
          <xdr:cNvSpPr txBox="1"/>
        </xdr:nvSpPr>
        <xdr:spPr>
          <a:xfrm>
            <a:off x="10522357" y="2114550"/>
            <a:ext cx="331927"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2D4DE51-B53E-43A7-BF59-7EB4745421B3}" type="TxLink">
              <a:rPr lang="en-US" sz="1100" b="0" i="0" u="none" strike="noStrike">
                <a:solidFill>
                  <a:schemeClr val="bg1"/>
                </a:solidFill>
                <a:latin typeface="Aptos Narrow"/>
              </a:rPr>
              <a:pPr algn="ctr"/>
              <a:t>20</a:t>
            </a:fld>
            <a:endParaRPr lang="ru-RU" sz="1100">
              <a:solidFill>
                <a:schemeClr val="bg1"/>
              </a:solidFill>
            </a:endParaRPr>
          </a:p>
        </xdr:txBody>
      </xdr:sp>
      <xdr:sp macro="" textlink="Processing!N21">
        <xdr:nvSpPr>
          <xdr:cNvPr id="52" name="TextBox 51">
            <a:extLst>
              <a:ext uri="{FF2B5EF4-FFF2-40B4-BE49-F238E27FC236}">
                <a16:creationId xmlns:a16="http://schemas.microsoft.com/office/drawing/2014/main" id="{916BB0DC-18B1-C244-6F08-F070397E997D}"/>
              </a:ext>
            </a:extLst>
          </xdr:cNvPr>
          <xdr:cNvSpPr txBox="1"/>
        </xdr:nvSpPr>
        <xdr:spPr>
          <a:xfrm>
            <a:off x="10852557" y="2114550"/>
            <a:ext cx="331927"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00A3283-8CA4-4689-B118-D630B42327C5}" type="TxLink">
              <a:rPr lang="en-US" sz="1100" b="0" i="0" u="none" strike="noStrike">
                <a:solidFill>
                  <a:schemeClr val="bg1"/>
                </a:solidFill>
                <a:latin typeface="Aptos Narrow"/>
              </a:rPr>
              <a:pPr algn="ctr"/>
              <a:t>21</a:t>
            </a:fld>
            <a:endParaRPr lang="ru-RU" sz="1100">
              <a:solidFill>
                <a:schemeClr val="bg1"/>
              </a:solidFill>
            </a:endParaRPr>
          </a:p>
        </xdr:txBody>
      </xdr:sp>
      <xdr:sp macro="" textlink="Processing!O21">
        <xdr:nvSpPr>
          <xdr:cNvPr id="53" name="TextBox 52">
            <a:extLst>
              <a:ext uri="{FF2B5EF4-FFF2-40B4-BE49-F238E27FC236}">
                <a16:creationId xmlns:a16="http://schemas.microsoft.com/office/drawing/2014/main" id="{3931E233-FB91-DCE6-87B0-7208752E35AA}"/>
              </a:ext>
            </a:extLst>
          </xdr:cNvPr>
          <xdr:cNvSpPr txBox="1"/>
        </xdr:nvSpPr>
        <xdr:spPr>
          <a:xfrm>
            <a:off x="11182757" y="2114550"/>
            <a:ext cx="331927"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6813377-304F-4B02-B975-0B14037BE775}" type="TxLink">
              <a:rPr lang="en-US" sz="1100" b="0" i="0" u="none" strike="noStrike">
                <a:solidFill>
                  <a:schemeClr val="bg1"/>
                </a:solidFill>
                <a:latin typeface="Aptos Narrow"/>
              </a:rPr>
              <a:pPr algn="ctr"/>
              <a:t>22</a:t>
            </a:fld>
            <a:endParaRPr lang="ru-RU" sz="1100">
              <a:solidFill>
                <a:schemeClr val="bg1"/>
              </a:solidFill>
            </a:endParaRPr>
          </a:p>
        </xdr:txBody>
      </xdr:sp>
      <xdr:sp macro="" textlink="Processing!P21">
        <xdr:nvSpPr>
          <xdr:cNvPr id="54" name="TextBox 53">
            <a:extLst>
              <a:ext uri="{FF2B5EF4-FFF2-40B4-BE49-F238E27FC236}">
                <a16:creationId xmlns:a16="http://schemas.microsoft.com/office/drawing/2014/main" id="{B45B9520-CD70-336C-28CA-542D4EF06654}"/>
              </a:ext>
            </a:extLst>
          </xdr:cNvPr>
          <xdr:cNvSpPr txBox="1"/>
        </xdr:nvSpPr>
        <xdr:spPr>
          <a:xfrm>
            <a:off x="11512957" y="2114550"/>
            <a:ext cx="331927"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197EDCA-3BCF-4D6C-952C-105DC49430B5}" type="TxLink">
              <a:rPr lang="en-US" sz="1100" b="0" i="0" u="none" strike="noStrike">
                <a:solidFill>
                  <a:schemeClr val="bg1"/>
                </a:solidFill>
                <a:latin typeface="Aptos Narrow"/>
              </a:rPr>
              <a:pPr algn="ctr"/>
              <a:t>23</a:t>
            </a:fld>
            <a:endParaRPr lang="ru-RU" sz="1100">
              <a:solidFill>
                <a:schemeClr val="bg1"/>
              </a:solidFill>
            </a:endParaRPr>
          </a:p>
        </xdr:txBody>
      </xdr:sp>
      <xdr:sp macro="" textlink="Processing!Q21">
        <xdr:nvSpPr>
          <xdr:cNvPr id="55" name="TextBox 54">
            <a:extLst>
              <a:ext uri="{FF2B5EF4-FFF2-40B4-BE49-F238E27FC236}">
                <a16:creationId xmlns:a16="http://schemas.microsoft.com/office/drawing/2014/main" id="{327866E3-598B-A018-3A75-84FA799D27EA}"/>
              </a:ext>
            </a:extLst>
          </xdr:cNvPr>
          <xdr:cNvSpPr txBox="1"/>
        </xdr:nvSpPr>
        <xdr:spPr>
          <a:xfrm>
            <a:off x="11843157" y="2114550"/>
            <a:ext cx="331927"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02C04EE-592A-4139-AD3F-13DE1EDB025B}" type="TxLink">
              <a:rPr lang="en-US" sz="1100" b="0" i="0" u="none" strike="noStrike">
                <a:solidFill>
                  <a:schemeClr val="bg1"/>
                </a:solidFill>
                <a:latin typeface="Aptos Narrow"/>
              </a:rPr>
              <a:pPr algn="ctr"/>
              <a:t>24</a:t>
            </a:fld>
            <a:endParaRPr lang="ru-RU" sz="1100">
              <a:solidFill>
                <a:schemeClr val="bg1"/>
              </a:solidFill>
            </a:endParaRPr>
          </a:p>
        </xdr:txBody>
      </xdr:sp>
      <xdr:sp macro="" textlink="Processing!K22">
        <xdr:nvSpPr>
          <xdr:cNvPr id="56" name="TextBox 55">
            <a:extLst>
              <a:ext uri="{FF2B5EF4-FFF2-40B4-BE49-F238E27FC236}">
                <a16:creationId xmlns:a16="http://schemas.microsoft.com/office/drawing/2014/main" id="{A4B61982-29D2-84BA-8446-9A42C3F68278}"/>
              </a:ext>
            </a:extLst>
          </xdr:cNvPr>
          <xdr:cNvSpPr txBox="1"/>
        </xdr:nvSpPr>
        <xdr:spPr>
          <a:xfrm>
            <a:off x="9861957" y="2373630"/>
            <a:ext cx="331927"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3434D46-59CD-48AF-A619-BF930CF101C1}" type="TxLink">
              <a:rPr lang="en-US" sz="1100" b="0" i="0" u="none" strike="noStrike">
                <a:solidFill>
                  <a:schemeClr val="bg1"/>
                </a:solidFill>
                <a:latin typeface="Aptos Narrow"/>
              </a:rPr>
              <a:pPr algn="ctr"/>
              <a:t>25</a:t>
            </a:fld>
            <a:endParaRPr lang="ru-RU" sz="1100">
              <a:solidFill>
                <a:schemeClr val="bg1"/>
              </a:solidFill>
            </a:endParaRPr>
          </a:p>
        </xdr:txBody>
      </xdr:sp>
      <xdr:sp macro="" textlink="Processing!L22">
        <xdr:nvSpPr>
          <xdr:cNvPr id="57" name="TextBox 56">
            <a:extLst>
              <a:ext uri="{FF2B5EF4-FFF2-40B4-BE49-F238E27FC236}">
                <a16:creationId xmlns:a16="http://schemas.microsoft.com/office/drawing/2014/main" id="{BA0210C5-7614-82DD-4AE9-1C45FF3EADB0}"/>
              </a:ext>
            </a:extLst>
          </xdr:cNvPr>
          <xdr:cNvSpPr txBox="1"/>
        </xdr:nvSpPr>
        <xdr:spPr>
          <a:xfrm>
            <a:off x="10192157" y="2373630"/>
            <a:ext cx="331927"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08C6F43-D2D6-4FDA-97F5-39CC07F013C4}" type="TxLink">
              <a:rPr lang="en-US" sz="1100" b="0" i="0" u="none" strike="noStrike">
                <a:solidFill>
                  <a:schemeClr val="bg1"/>
                </a:solidFill>
                <a:latin typeface="Aptos Narrow"/>
              </a:rPr>
              <a:pPr algn="ctr"/>
              <a:t>26</a:t>
            </a:fld>
            <a:endParaRPr lang="ru-RU" sz="1100">
              <a:solidFill>
                <a:schemeClr val="bg1"/>
              </a:solidFill>
            </a:endParaRPr>
          </a:p>
        </xdr:txBody>
      </xdr:sp>
      <xdr:sp macro="" textlink="Processing!M22">
        <xdr:nvSpPr>
          <xdr:cNvPr id="58" name="TextBox 57">
            <a:extLst>
              <a:ext uri="{FF2B5EF4-FFF2-40B4-BE49-F238E27FC236}">
                <a16:creationId xmlns:a16="http://schemas.microsoft.com/office/drawing/2014/main" id="{F9BD72C6-ACC0-DD9B-E71D-9CB3E376EC55}"/>
              </a:ext>
            </a:extLst>
          </xdr:cNvPr>
          <xdr:cNvSpPr txBox="1"/>
        </xdr:nvSpPr>
        <xdr:spPr>
          <a:xfrm>
            <a:off x="10522357" y="2373630"/>
            <a:ext cx="331927"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80B591B-3685-4584-BBAD-C0107B433C6F}" type="TxLink">
              <a:rPr lang="en-US" sz="1100" b="0" i="0" u="none" strike="noStrike">
                <a:solidFill>
                  <a:schemeClr val="bg1"/>
                </a:solidFill>
                <a:latin typeface="Aptos Narrow"/>
              </a:rPr>
              <a:pPr algn="ctr"/>
              <a:t>27</a:t>
            </a:fld>
            <a:endParaRPr lang="ru-RU" sz="1100">
              <a:solidFill>
                <a:schemeClr val="bg1"/>
              </a:solidFill>
            </a:endParaRPr>
          </a:p>
        </xdr:txBody>
      </xdr:sp>
      <xdr:sp macro="" textlink="Processing!N22">
        <xdr:nvSpPr>
          <xdr:cNvPr id="59" name="TextBox 58">
            <a:extLst>
              <a:ext uri="{FF2B5EF4-FFF2-40B4-BE49-F238E27FC236}">
                <a16:creationId xmlns:a16="http://schemas.microsoft.com/office/drawing/2014/main" id="{7269F6B6-F47B-FEDA-DA6E-1E102E672C1E}"/>
              </a:ext>
            </a:extLst>
          </xdr:cNvPr>
          <xdr:cNvSpPr txBox="1"/>
        </xdr:nvSpPr>
        <xdr:spPr>
          <a:xfrm>
            <a:off x="10852557" y="2373630"/>
            <a:ext cx="331927"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9151E29-6C8F-4181-B53C-00B141B89A32}" type="TxLink">
              <a:rPr lang="en-US" sz="1100" b="0" i="0" u="none" strike="noStrike">
                <a:solidFill>
                  <a:schemeClr val="bg1"/>
                </a:solidFill>
                <a:latin typeface="Aptos Narrow"/>
              </a:rPr>
              <a:pPr algn="ctr"/>
              <a:t>28</a:t>
            </a:fld>
            <a:endParaRPr lang="ru-RU" sz="1100">
              <a:solidFill>
                <a:schemeClr val="bg1"/>
              </a:solidFill>
            </a:endParaRPr>
          </a:p>
        </xdr:txBody>
      </xdr:sp>
      <xdr:sp macro="" textlink="Processing!O22">
        <xdr:nvSpPr>
          <xdr:cNvPr id="60" name="TextBox 59">
            <a:extLst>
              <a:ext uri="{FF2B5EF4-FFF2-40B4-BE49-F238E27FC236}">
                <a16:creationId xmlns:a16="http://schemas.microsoft.com/office/drawing/2014/main" id="{2EA1E2DC-045A-8A14-3E66-24E55BCCFFAE}"/>
              </a:ext>
            </a:extLst>
          </xdr:cNvPr>
          <xdr:cNvSpPr txBox="1"/>
        </xdr:nvSpPr>
        <xdr:spPr>
          <a:xfrm>
            <a:off x="11182757" y="2373630"/>
            <a:ext cx="331927"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8B71AD2-8317-4217-BCD5-0AE664AC41DE}" type="TxLink">
              <a:rPr lang="en-US" sz="1100" b="0" i="0" u="none" strike="noStrike">
                <a:solidFill>
                  <a:schemeClr val="bg1"/>
                </a:solidFill>
                <a:latin typeface="Aptos Narrow"/>
              </a:rPr>
              <a:pPr algn="ctr"/>
              <a:t>29</a:t>
            </a:fld>
            <a:endParaRPr lang="ru-RU" sz="1100">
              <a:solidFill>
                <a:schemeClr val="bg1"/>
              </a:solidFill>
            </a:endParaRPr>
          </a:p>
        </xdr:txBody>
      </xdr:sp>
      <xdr:sp macro="" textlink="Processing!P22">
        <xdr:nvSpPr>
          <xdr:cNvPr id="61" name="TextBox 60">
            <a:extLst>
              <a:ext uri="{FF2B5EF4-FFF2-40B4-BE49-F238E27FC236}">
                <a16:creationId xmlns:a16="http://schemas.microsoft.com/office/drawing/2014/main" id="{EB8321FC-62F5-6A06-2DF0-532210A80A52}"/>
              </a:ext>
            </a:extLst>
          </xdr:cNvPr>
          <xdr:cNvSpPr txBox="1"/>
        </xdr:nvSpPr>
        <xdr:spPr>
          <a:xfrm>
            <a:off x="11512957" y="2373630"/>
            <a:ext cx="331927"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3152B50-DF90-4733-A7AC-635DF7B3EE72}" type="TxLink">
              <a:rPr lang="en-US" sz="1100" b="0" i="0" u="none" strike="noStrike">
                <a:solidFill>
                  <a:schemeClr val="bg1"/>
                </a:solidFill>
                <a:latin typeface="Aptos Narrow"/>
              </a:rPr>
              <a:pPr algn="ctr"/>
              <a:t>30</a:t>
            </a:fld>
            <a:endParaRPr lang="ru-RU" sz="1100">
              <a:solidFill>
                <a:schemeClr val="bg1"/>
              </a:solidFill>
            </a:endParaRPr>
          </a:p>
        </xdr:txBody>
      </xdr:sp>
      <xdr:sp macro="" textlink="Processing!Q22">
        <xdr:nvSpPr>
          <xdr:cNvPr id="62" name="TextBox 61">
            <a:extLst>
              <a:ext uri="{FF2B5EF4-FFF2-40B4-BE49-F238E27FC236}">
                <a16:creationId xmlns:a16="http://schemas.microsoft.com/office/drawing/2014/main" id="{EAEEAD99-B46F-3D76-4E35-A4C489D562F5}"/>
              </a:ext>
            </a:extLst>
          </xdr:cNvPr>
          <xdr:cNvSpPr txBox="1"/>
        </xdr:nvSpPr>
        <xdr:spPr>
          <a:xfrm>
            <a:off x="11843157" y="2373630"/>
            <a:ext cx="331927"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0DD52F1-01A4-4DC0-A191-276895FD2A53}" type="TxLink">
              <a:rPr lang="en-US" sz="1100" b="0" i="0" u="none" strike="noStrike">
                <a:solidFill>
                  <a:schemeClr val="bg1"/>
                </a:solidFill>
                <a:latin typeface="Aptos Narrow"/>
              </a:rPr>
              <a:pPr algn="ctr"/>
              <a:t> </a:t>
            </a:fld>
            <a:endParaRPr lang="ru-RU" sz="1100">
              <a:solidFill>
                <a:schemeClr val="bg1"/>
              </a:solidFill>
            </a:endParaRPr>
          </a:p>
        </xdr:txBody>
      </xdr:sp>
      <xdr:sp macro="" textlink="Processing!K23">
        <xdr:nvSpPr>
          <xdr:cNvPr id="63" name="TextBox 62">
            <a:extLst>
              <a:ext uri="{FF2B5EF4-FFF2-40B4-BE49-F238E27FC236}">
                <a16:creationId xmlns:a16="http://schemas.microsoft.com/office/drawing/2014/main" id="{1105D3F7-3734-7C4B-A4EE-3C0806C6DA7E}"/>
              </a:ext>
            </a:extLst>
          </xdr:cNvPr>
          <xdr:cNvSpPr txBox="1"/>
        </xdr:nvSpPr>
        <xdr:spPr>
          <a:xfrm>
            <a:off x="9861957" y="2625090"/>
            <a:ext cx="331927"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2E74728-937F-4954-89A7-B828DA252D8E}" type="TxLink">
              <a:rPr lang="en-US" sz="1100" b="0" i="0" u="none" strike="noStrike">
                <a:solidFill>
                  <a:schemeClr val="bg1"/>
                </a:solidFill>
                <a:latin typeface="Aptos Narrow"/>
              </a:rPr>
              <a:pPr algn="ctr"/>
              <a:t> </a:t>
            </a:fld>
            <a:endParaRPr lang="ru-RU" sz="1100">
              <a:solidFill>
                <a:schemeClr val="bg1"/>
              </a:solidFill>
            </a:endParaRPr>
          </a:p>
        </xdr:txBody>
      </xdr:sp>
      <xdr:sp macro="" textlink="Processing!L23">
        <xdr:nvSpPr>
          <xdr:cNvPr id="64" name="TextBox 63">
            <a:extLst>
              <a:ext uri="{FF2B5EF4-FFF2-40B4-BE49-F238E27FC236}">
                <a16:creationId xmlns:a16="http://schemas.microsoft.com/office/drawing/2014/main" id="{C410DA95-7DE5-364A-8464-D8CA9AC3B7C3}"/>
              </a:ext>
            </a:extLst>
          </xdr:cNvPr>
          <xdr:cNvSpPr txBox="1"/>
        </xdr:nvSpPr>
        <xdr:spPr>
          <a:xfrm>
            <a:off x="10192157" y="2625090"/>
            <a:ext cx="331927"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6566E17-270D-48FD-A911-0D721FAE9D81}" type="TxLink">
              <a:rPr lang="en-US" sz="1100" b="0" i="0" u="none" strike="noStrike">
                <a:solidFill>
                  <a:schemeClr val="bg1"/>
                </a:solidFill>
                <a:latin typeface="Aptos Narrow"/>
              </a:rPr>
              <a:pPr algn="ctr"/>
              <a:t> </a:t>
            </a:fld>
            <a:endParaRPr lang="ru-RU" sz="1100">
              <a:solidFill>
                <a:schemeClr val="bg1"/>
              </a:solidFill>
            </a:endParaRPr>
          </a:p>
        </xdr:txBody>
      </xdr:sp>
      <xdr:sp macro="" textlink="Processing!M23">
        <xdr:nvSpPr>
          <xdr:cNvPr id="65" name="TextBox 64">
            <a:extLst>
              <a:ext uri="{FF2B5EF4-FFF2-40B4-BE49-F238E27FC236}">
                <a16:creationId xmlns:a16="http://schemas.microsoft.com/office/drawing/2014/main" id="{72CF3400-D89F-4D0A-7D73-B67DEE1DAEBE}"/>
              </a:ext>
            </a:extLst>
          </xdr:cNvPr>
          <xdr:cNvSpPr txBox="1"/>
        </xdr:nvSpPr>
        <xdr:spPr>
          <a:xfrm>
            <a:off x="10522357" y="2625090"/>
            <a:ext cx="331927"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8107160-E3A7-4ACE-886C-33D4EAAF47DF}" type="TxLink">
              <a:rPr lang="en-US" sz="1100" b="0" i="0" u="none" strike="noStrike">
                <a:solidFill>
                  <a:schemeClr val="bg1"/>
                </a:solidFill>
                <a:latin typeface="Aptos Narrow"/>
              </a:rPr>
              <a:pPr algn="ctr"/>
              <a:t> </a:t>
            </a:fld>
            <a:endParaRPr lang="ru-RU" sz="1100">
              <a:solidFill>
                <a:schemeClr val="bg1"/>
              </a:solidFill>
            </a:endParaRPr>
          </a:p>
        </xdr:txBody>
      </xdr:sp>
      <xdr:sp macro="" textlink="Processing!N23">
        <xdr:nvSpPr>
          <xdr:cNvPr id="66" name="TextBox 65">
            <a:extLst>
              <a:ext uri="{FF2B5EF4-FFF2-40B4-BE49-F238E27FC236}">
                <a16:creationId xmlns:a16="http://schemas.microsoft.com/office/drawing/2014/main" id="{589FED51-980C-2A58-E268-4EAC699DD1B9}"/>
              </a:ext>
            </a:extLst>
          </xdr:cNvPr>
          <xdr:cNvSpPr txBox="1"/>
        </xdr:nvSpPr>
        <xdr:spPr>
          <a:xfrm>
            <a:off x="10852557" y="2625090"/>
            <a:ext cx="331927"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8EB2ECB-6F7F-4F10-BE5E-B980037A19FA}" type="TxLink">
              <a:rPr lang="en-US" sz="1100" b="0" i="0" u="none" strike="noStrike">
                <a:solidFill>
                  <a:schemeClr val="bg1"/>
                </a:solidFill>
                <a:latin typeface="Aptos Narrow"/>
              </a:rPr>
              <a:pPr algn="ctr"/>
              <a:t> </a:t>
            </a:fld>
            <a:endParaRPr lang="ru-RU" sz="1100">
              <a:solidFill>
                <a:schemeClr val="bg1"/>
              </a:solidFill>
            </a:endParaRPr>
          </a:p>
        </xdr:txBody>
      </xdr:sp>
      <xdr:sp macro="" textlink="Processing!O23">
        <xdr:nvSpPr>
          <xdr:cNvPr id="67" name="TextBox 66">
            <a:extLst>
              <a:ext uri="{FF2B5EF4-FFF2-40B4-BE49-F238E27FC236}">
                <a16:creationId xmlns:a16="http://schemas.microsoft.com/office/drawing/2014/main" id="{2EE2B91C-6FF0-A772-40D5-74AA729041D9}"/>
              </a:ext>
            </a:extLst>
          </xdr:cNvPr>
          <xdr:cNvSpPr txBox="1"/>
        </xdr:nvSpPr>
        <xdr:spPr>
          <a:xfrm>
            <a:off x="11182757" y="2625090"/>
            <a:ext cx="331927"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45878CA-C1A0-4731-81FB-EF7CE4A076F3}" type="TxLink">
              <a:rPr lang="en-US" sz="1100" b="0" i="0" u="none" strike="noStrike">
                <a:solidFill>
                  <a:schemeClr val="bg1"/>
                </a:solidFill>
                <a:latin typeface="Aptos Narrow"/>
              </a:rPr>
              <a:pPr algn="ctr"/>
              <a:t> </a:t>
            </a:fld>
            <a:endParaRPr lang="ru-RU" sz="1100">
              <a:solidFill>
                <a:schemeClr val="bg1"/>
              </a:solidFill>
            </a:endParaRPr>
          </a:p>
        </xdr:txBody>
      </xdr:sp>
      <xdr:sp macro="" textlink="Processing!P23">
        <xdr:nvSpPr>
          <xdr:cNvPr id="68" name="TextBox 67">
            <a:extLst>
              <a:ext uri="{FF2B5EF4-FFF2-40B4-BE49-F238E27FC236}">
                <a16:creationId xmlns:a16="http://schemas.microsoft.com/office/drawing/2014/main" id="{4C99A768-3E70-E4EC-D8D4-77FD5010D109}"/>
              </a:ext>
            </a:extLst>
          </xdr:cNvPr>
          <xdr:cNvSpPr txBox="1"/>
        </xdr:nvSpPr>
        <xdr:spPr>
          <a:xfrm>
            <a:off x="11512957" y="2625090"/>
            <a:ext cx="331927"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216AF94-6942-426F-9EE2-7466AA9E6F81}" type="TxLink">
              <a:rPr lang="en-US" sz="1100" b="0" i="0" u="none" strike="noStrike">
                <a:solidFill>
                  <a:schemeClr val="bg1"/>
                </a:solidFill>
                <a:latin typeface="Aptos Narrow"/>
              </a:rPr>
              <a:pPr algn="ctr"/>
              <a:t> </a:t>
            </a:fld>
            <a:endParaRPr lang="ru-RU" sz="1100">
              <a:solidFill>
                <a:schemeClr val="bg1"/>
              </a:solidFill>
            </a:endParaRPr>
          </a:p>
        </xdr:txBody>
      </xdr:sp>
      <xdr:sp macro="" textlink="Processing!Q23">
        <xdr:nvSpPr>
          <xdr:cNvPr id="69" name="TextBox 68">
            <a:extLst>
              <a:ext uri="{FF2B5EF4-FFF2-40B4-BE49-F238E27FC236}">
                <a16:creationId xmlns:a16="http://schemas.microsoft.com/office/drawing/2014/main" id="{07A231BC-8A17-BCDA-08E9-A688852500CA}"/>
              </a:ext>
            </a:extLst>
          </xdr:cNvPr>
          <xdr:cNvSpPr txBox="1"/>
        </xdr:nvSpPr>
        <xdr:spPr>
          <a:xfrm>
            <a:off x="11843157" y="2625090"/>
            <a:ext cx="331927"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F8D5031-89A1-4503-AD3B-7EFDD2B20049}" type="TxLink">
              <a:rPr lang="en-US" sz="1100" b="0" i="0" u="none" strike="noStrike">
                <a:solidFill>
                  <a:schemeClr val="bg1"/>
                </a:solidFill>
                <a:latin typeface="Aptos Narrow"/>
              </a:rPr>
              <a:pPr algn="ctr"/>
              <a:t> </a:t>
            </a:fld>
            <a:endParaRPr lang="ru-RU" sz="1100">
              <a:solidFill>
                <a:schemeClr val="bg1"/>
              </a:solidFill>
            </a:endParaRPr>
          </a:p>
        </xdr:txBody>
      </xdr:sp>
    </xdr:grpSp>
    <xdr:clientData/>
  </xdr:twoCellAnchor>
  <xdr:twoCellAnchor>
    <xdr:from>
      <xdr:col>10</xdr:col>
      <xdr:colOff>203993</xdr:colOff>
      <xdr:row>4</xdr:row>
      <xdr:rowOff>157213</xdr:rowOff>
    </xdr:from>
    <xdr:to>
      <xdr:col>11</xdr:col>
      <xdr:colOff>417353</xdr:colOff>
      <xdr:row>9</xdr:row>
      <xdr:rowOff>65773</xdr:rowOff>
    </xdr:to>
    <xdr:graphicFrame macro="">
      <xdr:nvGraphicFramePr>
        <xdr:cNvPr id="70" name="Chart 69">
          <a:extLst>
            <a:ext uri="{FF2B5EF4-FFF2-40B4-BE49-F238E27FC236}">
              <a16:creationId xmlns:a16="http://schemas.microsoft.com/office/drawing/2014/main" id="{9A87F9CF-630D-4018-9000-EA3D8B47443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10</xdr:col>
      <xdr:colOff>276431</xdr:colOff>
      <xdr:row>6</xdr:row>
      <xdr:rowOff>45720</xdr:rowOff>
    </xdr:from>
    <xdr:to>
      <xdr:col>11</xdr:col>
      <xdr:colOff>348410</xdr:colOff>
      <xdr:row>7</xdr:row>
      <xdr:rowOff>169909</xdr:rowOff>
    </xdr:to>
    <xdr:sp macro="" textlink="Processing!E15">
      <xdr:nvSpPr>
        <xdr:cNvPr id="71" name="TextBox 70">
          <a:extLst>
            <a:ext uri="{FF2B5EF4-FFF2-40B4-BE49-F238E27FC236}">
              <a16:creationId xmlns:a16="http://schemas.microsoft.com/office/drawing/2014/main" id="{E5DB7F7A-7EFA-4FCD-8DAC-423218632286}"/>
            </a:ext>
          </a:extLst>
        </xdr:cNvPr>
        <xdr:cNvSpPr txBox="1"/>
      </xdr:nvSpPr>
      <xdr:spPr>
        <a:xfrm>
          <a:off x="6372431" y="1143000"/>
          <a:ext cx="681579" cy="3070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9A9B9565-BBFC-46A7-A67D-00B9BECDDD49}" type="TxLink">
            <a:rPr lang="en-US" sz="1100" b="0" i="0" u="none" strike="noStrike">
              <a:solidFill>
                <a:srgbClr val="455177"/>
              </a:solidFill>
              <a:latin typeface="Aptos Narrow"/>
              <a:ea typeface="+mn-ea"/>
              <a:cs typeface="+mn-cs"/>
            </a:rPr>
            <a:pPr marL="0" indent="0" algn="ctr"/>
            <a:t>65%</a:t>
          </a:fld>
          <a:endParaRPr lang="ru-RU" sz="1100" b="0" i="0" u="none" strike="noStrike">
            <a:solidFill>
              <a:srgbClr val="455177"/>
            </a:solidFill>
            <a:latin typeface="Aptos Narrow"/>
            <a:ea typeface="+mn-ea"/>
            <a:cs typeface="+mn-cs"/>
          </a:endParaRPr>
        </a:p>
      </xdr:txBody>
    </xdr:sp>
    <xdr:clientData/>
  </xdr:twoCellAnchor>
  <xdr:twoCellAnchor>
    <xdr:from>
      <xdr:col>4</xdr:col>
      <xdr:colOff>556114</xdr:colOff>
      <xdr:row>26</xdr:row>
      <xdr:rowOff>91440</xdr:rowOff>
    </xdr:from>
    <xdr:to>
      <xdr:col>11</xdr:col>
      <xdr:colOff>403714</xdr:colOff>
      <xdr:row>36</xdr:row>
      <xdr:rowOff>91440</xdr:rowOff>
    </xdr:to>
    <xdr:sp macro="" textlink="">
      <xdr:nvSpPr>
        <xdr:cNvPr id="72" name="Rectangle: Rounded Corners 71">
          <a:extLst>
            <a:ext uri="{FF2B5EF4-FFF2-40B4-BE49-F238E27FC236}">
              <a16:creationId xmlns:a16="http://schemas.microsoft.com/office/drawing/2014/main" id="{8420400B-AEC9-4AD3-9F06-26549E5263C5}"/>
            </a:ext>
          </a:extLst>
        </xdr:cNvPr>
        <xdr:cNvSpPr/>
      </xdr:nvSpPr>
      <xdr:spPr>
        <a:xfrm>
          <a:off x="2994514" y="4846320"/>
          <a:ext cx="4114800" cy="1828800"/>
        </a:xfrm>
        <a:prstGeom prst="roundRect">
          <a:avLst>
            <a:gd name="adj" fmla="val 5788"/>
          </a:avLst>
        </a:prstGeom>
        <a:solidFill>
          <a:schemeClr val="bg1"/>
        </a:solidFill>
        <a:ln>
          <a:noFill/>
        </a:ln>
        <a:effectLst>
          <a:innerShdw blurRad="381000">
            <a:srgbClr val="004A82">
              <a:alpha val="60000"/>
            </a:srgbClr>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ru-RU" sz="1100">
            <a:solidFill>
              <a:schemeClr val="lt1"/>
            </a:solidFill>
            <a:latin typeface="+mn-lt"/>
            <a:ea typeface="+mn-ea"/>
            <a:cs typeface="+mn-cs"/>
          </a:endParaRPr>
        </a:p>
      </xdr:txBody>
    </xdr:sp>
    <xdr:clientData/>
  </xdr:twoCellAnchor>
  <xdr:twoCellAnchor>
    <xdr:from>
      <xdr:col>4</xdr:col>
      <xdr:colOff>464674</xdr:colOff>
      <xdr:row>24</xdr:row>
      <xdr:rowOff>160020</xdr:rowOff>
    </xdr:from>
    <xdr:to>
      <xdr:col>11</xdr:col>
      <xdr:colOff>540874</xdr:colOff>
      <xdr:row>37</xdr:row>
      <xdr:rowOff>22860</xdr:rowOff>
    </xdr:to>
    <xdr:graphicFrame macro="">
      <xdr:nvGraphicFramePr>
        <xdr:cNvPr id="73" name="Chart 72">
          <a:extLst>
            <a:ext uri="{FF2B5EF4-FFF2-40B4-BE49-F238E27FC236}">
              <a16:creationId xmlns:a16="http://schemas.microsoft.com/office/drawing/2014/main" id="{0EB8383F-C18C-422B-A51B-8D597C3012B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4</xdr:col>
      <xdr:colOff>68434</xdr:colOff>
      <xdr:row>25</xdr:row>
      <xdr:rowOff>152400</xdr:rowOff>
    </xdr:from>
    <xdr:to>
      <xdr:col>11</xdr:col>
      <xdr:colOff>510394</xdr:colOff>
      <xdr:row>37</xdr:row>
      <xdr:rowOff>15240</xdr:rowOff>
    </xdr:to>
    <xdr:graphicFrame macro="">
      <xdr:nvGraphicFramePr>
        <xdr:cNvPr id="74" name="Chart 73">
          <a:extLst>
            <a:ext uri="{FF2B5EF4-FFF2-40B4-BE49-F238E27FC236}">
              <a16:creationId xmlns:a16="http://schemas.microsoft.com/office/drawing/2014/main" id="{35865483-97C7-4F27-B069-3A6A2CEDDD3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3</xdr:col>
      <xdr:colOff>525780</xdr:colOff>
      <xdr:row>25</xdr:row>
      <xdr:rowOff>144780</xdr:rowOff>
    </xdr:from>
    <xdr:to>
      <xdr:col>4</xdr:col>
      <xdr:colOff>540728</xdr:colOff>
      <xdr:row>27</xdr:row>
      <xdr:rowOff>86089</xdr:rowOff>
    </xdr:to>
    <xdr:sp macro="" textlink="Processing!J3">
      <xdr:nvSpPr>
        <xdr:cNvPr id="75" name="TextBox 74">
          <a:extLst>
            <a:ext uri="{FF2B5EF4-FFF2-40B4-BE49-F238E27FC236}">
              <a16:creationId xmlns:a16="http://schemas.microsoft.com/office/drawing/2014/main" id="{134AD8D5-1BCE-4A99-8EE6-784E36F64347}"/>
            </a:ext>
          </a:extLst>
        </xdr:cNvPr>
        <xdr:cNvSpPr txBox="1"/>
      </xdr:nvSpPr>
      <xdr:spPr>
        <a:xfrm>
          <a:off x="2354580" y="4716780"/>
          <a:ext cx="624548" cy="3070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B651ED33-8F01-41CA-96B5-2480A3CCD5B8}" type="TxLink">
            <a:rPr lang="en-US" sz="900" b="0" i="0" u="none" strike="noStrike">
              <a:solidFill>
                <a:srgbClr val="28BEBA"/>
              </a:solidFill>
              <a:latin typeface="Aptos Narrow"/>
              <a:ea typeface="+mn-ea"/>
              <a:cs typeface="+mn-cs"/>
            </a:rPr>
            <a:pPr marL="0" indent="0" algn="ctr"/>
            <a:t>Target 1</a:t>
          </a:fld>
          <a:endParaRPr lang="ru-RU" sz="1200" b="0" i="0" u="none" strike="noStrike">
            <a:solidFill>
              <a:srgbClr val="28BEBA"/>
            </a:solidFill>
            <a:latin typeface="Aptos Narrow"/>
            <a:ea typeface="+mn-ea"/>
            <a:cs typeface="+mn-cs"/>
          </a:endParaRPr>
        </a:p>
      </xdr:txBody>
    </xdr:sp>
    <xdr:clientData/>
  </xdr:twoCellAnchor>
  <xdr:twoCellAnchor>
    <xdr:from>
      <xdr:col>3</xdr:col>
      <xdr:colOff>525780</xdr:colOff>
      <xdr:row>27</xdr:row>
      <xdr:rowOff>129540</xdr:rowOff>
    </xdr:from>
    <xdr:to>
      <xdr:col>4</xdr:col>
      <xdr:colOff>540728</xdr:colOff>
      <xdr:row>29</xdr:row>
      <xdr:rowOff>70849</xdr:rowOff>
    </xdr:to>
    <xdr:sp macro="" textlink="Processing!J4">
      <xdr:nvSpPr>
        <xdr:cNvPr id="76" name="TextBox 75">
          <a:extLst>
            <a:ext uri="{FF2B5EF4-FFF2-40B4-BE49-F238E27FC236}">
              <a16:creationId xmlns:a16="http://schemas.microsoft.com/office/drawing/2014/main" id="{6B3D18B7-7426-4D11-9E18-E9D9ACFA8821}"/>
            </a:ext>
          </a:extLst>
        </xdr:cNvPr>
        <xdr:cNvSpPr txBox="1"/>
      </xdr:nvSpPr>
      <xdr:spPr>
        <a:xfrm>
          <a:off x="2354580" y="5067300"/>
          <a:ext cx="624548" cy="3070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61BD5C03-9666-4F95-9C4A-BCF38E0A9883}" type="TxLink">
            <a:rPr lang="en-US" sz="900" b="0" i="0" u="none" strike="noStrike">
              <a:solidFill>
                <a:srgbClr val="3879F2"/>
              </a:solidFill>
              <a:latin typeface="Aptos Narrow"/>
              <a:ea typeface="+mn-ea"/>
              <a:cs typeface="+mn-cs"/>
            </a:rPr>
            <a:pPr marL="0" indent="0" algn="ctr"/>
            <a:t>Target 2</a:t>
          </a:fld>
          <a:endParaRPr lang="ru-RU" sz="1000" b="0" i="0" u="none" strike="noStrike">
            <a:solidFill>
              <a:srgbClr val="3879F2"/>
            </a:solidFill>
            <a:latin typeface="Aptos Narrow"/>
            <a:ea typeface="+mn-ea"/>
            <a:cs typeface="+mn-cs"/>
          </a:endParaRPr>
        </a:p>
      </xdr:txBody>
    </xdr:sp>
    <xdr:clientData/>
  </xdr:twoCellAnchor>
  <xdr:twoCellAnchor>
    <xdr:from>
      <xdr:col>3</xdr:col>
      <xdr:colOff>525780</xdr:colOff>
      <xdr:row>29</xdr:row>
      <xdr:rowOff>114300</xdr:rowOff>
    </xdr:from>
    <xdr:to>
      <xdr:col>4</xdr:col>
      <xdr:colOff>540728</xdr:colOff>
      <xdr:row>31</xdr:row>
      <xdr:rowOff>55609</xdr:rowOff>
    </xdr:to>
    <xdr:sp macro="" textlink="Processing!J5">
      <xdr:nvSpPr>
        <xdr:cNvPr id="77" name="TextBox 76">
          <a:extLst>
            <a:ext uri="{FF2B5EF4-FFF2-40B4-BE49-F238E27FC236}">
              <a16:creationId xmlns:a16="http://schemas.microsoft.com/office/drawing/2014/main" id="{9A78739F-AA27-4D9F-BCD9-B3EC57DE7E09}"/>
            </a:ext>
          </a:extLst>
        </xdr:cNvPr>
        <xdr:cNvSpPr txBox="1"/>
      </xdr:nvSpPr>
      <xdr:spPr>
        <a:xfrm>
          <a:off x="2354580" y="5417820"/>
          <a:ext cx="624548" cy="3070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4D0E215D-3655-4F66-ACFB-977969128424}" type="TxLink">
            <a:rPr lang="en-US" sz="900" b="0" i="0" u="none" strike="noStrike">
              <a:solidFill>
                <a:srgbClr val="FF7684"/>
              </a:solidFill>
              <a:latin typeface="Aptos Narrow"/>
              <a:ea typeface="+mn-ea"/>
              <a:cs typeface="+mn-cs"/>
            </a:rPr>
            <a:pPr marL="0" indent="0" algn="ctr"/>
            <a:t>Target 3</a:t>
          </a:fld>
          <a:endParaRPr lang="ru-RU" sz="1000" b="0" i="0" u="none" strike="noStrike">
            <a:solidFill>
              <a:srgbClr val="FF7684"/>
            </a:solidFill>
            <a:latin typeface="Aptos Narrow"/>
            <a:ea typeface="+mn-ea"/>
            <a:cs typeface="+mn-cs"/>
          </a:endParaRPr>
        </a:p>
      </xdr:txBody>
    </xdr:sp>
    <xdr:clientData/>
  </xdr:twoCellAnchor>
  <xdr:twoCellAnchor>
    <xdr:from>
      <xdr:col>3</xdr:col>
      <xdr:colOff>525780</xdr:colOff>
      <xdr:row>31</xdr:row>
      <xdr:rowOff>99060</xdr:rowOff>
    </xdr:from>
    <xdr:to>
      <xdr:col>4</xdr:col>
      <xdr:colOff>540728</xdr:colOff>
      <xdr:row>33</xdr:row>
      <xdr:rowOff>40369</xdr:rowOff>
    </xdr:to>
    <xdr:sp macro="" textlink="Processing!J6">
      <xdr:nvSpPr>
        <xdr:cNvPr id="78" name="TextBox 77">
          <a:extLst>
            <a:ext uri="{FF2B5EF4-FFF2-40B4-BE49-F238E27FC236}">
              <a16:creationId xmlns:a16="http://schemas.microsoft.com/office/drawing/2014/main" id="{2484B5E7-C34E-4EAC-8E25-4F209E9AC114}"/>
            </a:ext>
          </a:extLst>
        </xdr:cNvPr>
        <xdr:cNvSpPr txBox="1"/>
      </xdr:nvSpPr>
      <xdr:spPr>
        <a:xfrm>
          <a:off x="2354580" y="5768340"/>
          <a:ext cx="624548" cy="3070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D58AA4D8-5D6F-485A-A4E3-857258D4E43D}" type="TxLink">
            <a:rPr lang="en-US" sz="900" b="0" i="0" u="none" strike="noStrike">
              <a:solidFill>
                <a:srgbClr val="00ADD6"/>
              </a:solidFill>
              <a:latin typeface="Aptos Narrow"/>
              <a:ea typeface="+mn-ea"/>
              <a:cs typeface="+mn-cs"/>
            </a:rPr>
            <a:pPr marL="0" indent="0" algn="ctr"/>
            <a:t>Target 4</a:t>
          </a:fld>
          <a:endParaRPr lang="ru-RU" sz="1000" b="0" i="0" u="none" strike="noStrike">
            <a:solidFill>
              <a:srgbClr val="00ADD6"/>
            </a:solidFill>
            <a:latin typeface="Aptos Narrow"/>
            <a:ea typeface="+mn-ea"/>
            <a:cs typeface="+mn-cs"/>
          </a:endParaRPr>
        </a:p>
      </xdr:txBody>
    </xdr:sp>
    <xdr:clientData/>
  </xdr:twoCellAnchor>
  <xdr:twoCellAnchor>
    <xdr:from>
      <xdr:col>3</xdr:col>
      <xdr:colOff>525780</xdr:colOff>
      <xdr:row>33</xdr:row>
      <xdr:rowOff>83820</xdr:rowOff>
    </xdr:from>
    <xdr:to>
      <xdr:col>4</xdr:col>
      <xdr:colOff>540728</xdr:colOff>
      <xdr:row>35</xdr:row>
      <xdr:rowOff>25129</xdr:rowOff>
    </xdr:to>
    <xdr:sp macro="" textlink="Processing!J7">
      <xdr:nvSpPr>
        <xdr:cNvPr id="79" name="TextBox 78">
          <a:extLst>
            <a:ext uri="{FF2B5EF4-FFF2-40B4-BE49-F238E27FC236}">
              <a16:creationId xmlns:a16="http://schemas.microsoft.com/office/drawing/2014/main" id="{3825DA5E-F95B-4198-98D3-78FC30B915A5}"/>
            </a:ext>
          </a:extLst>
        </xdr:cNvPr>
        <xdr:cNvSpPr txBox="1"/>
      </xdr:nvSpPr>
      <xdr:spPr>
        <a:xfrm>
          <a:off x="2354580" y="6118860"/>
          <a:ext cx="624548" cy="3070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BBD31B8A-D271-4BDE-984C-859332B009E3}" type="TxLink">
            <a:rPr lang="en-US" sz="900" b="0" i="0" u="none" strike="noStrike">
              <a:solidFill>
                <a:srgbClr val="6978B4"/>
              </a:solidFill>
              <a:latin typeface="Aptos Narrow"/>
              <a:ea typeface="+mn-ea"/>
              <a:cs typeface="+mn-cs"/>
            </a:rPr>
            <a:pPr marL="0" indent="0" algn="ctr"/>
            <a:t>Target 5</a:t>
          </a:fld>
          <a:endParaRPr lang="ru-RU" sz="1000" b="0" i="0" u="none" strike="noStrike">
            <a:solidFill>
              <a:srgbClr val="6978B4"/>
            </a:solidFill>
            <a:latin typeface="Aptos Narrow"/>
            <a:ea typeface="+mn-ea"/>
            <a:cs typeface="+mn-cs"/>
          </a:endParaRPr>
        </a:p>
      </xdr:txBody>
    </xdr:sp>
    <xdr:clientData/>
  </xdr:twoCellAnchor>
  <xdr:twoCellAnchor>
    <xdr:from>
      <xdr:col>6</xdr:col>
      <xdr:colOff>569422</xdr:colOff>
      <xdr:row>7</xdr:row>
      <xdr:rowOff>90282</xdr:rowOff>
    </xdr:from>
    <xdr:to>
      <xdr:col>8</xdr:col>
      <xdr:colOff>451659</xdr:colOff>
      <xdr:row>8</xdr:row>
      <xdr:rowOff>161178</xdr:rowOff>
    </xdr:to>
    <xdr:sp macro="" textlink="Processing!F17">
      <xdr:nvSpPr>
        <xdr:cNvPr id="80" name="TextBox 79">
          <a:extLst>
            <a:ext uri="{FF2B5EF4-FFF2-40B4-BE49-F238E27FC236}">
              <a16:creationId xmlns:a16="http://schemas.microsoft.com/office/drawing/2014/main" id="{6C0DA4B4-CEC6-4CFC-8731-3238842DC296}"/>
            </a:ext>
          </a:extLst>
        </xdr:cNvPr>
        <xdr:cNvSpPr txBox="1"/>
      </xdr:nvSpPr>
      <xdr:spPr>
        <a:xfrm>
          <a:off x="4227022" y="1370442"/>
          <a:ext cx="1101437" cy="2537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FA4373DB-C915-4969-8AA7-57BADA83A520}" type="TxLink">
            <a:rPr lang="en-US" sz="1400" b="0" i="0" u="none" strike="noStrike">
              <a:solidFill>
                <a:srgbClr val="455177"/>
              </a:solidFill>
              <a:latin typeface="Aptos Narrow"/>
              <a:ea typeface="+mn-ea"/>
              <a:cs typeface="+mn-cs"/>
            </a:rPr>
            <a:pPr marL="0" indent="0" algn="r"/>
            <a:t>Expenses</a:t>
          </a:fld>
          <a:endParaRPr lang="ru-RU" sz="4000" b="0" i="0" u="none" strike="noStrike">
            <a:solidFill>
              <a:srgbClr val="455177"/>
            </a:solidFill>
            <a:latin typeface="Aptos Narrow"/>
            <a:ea typeface="+mn-ea"/>
            <a:cs typeface="+mn-cs"/>
          </a:endParaRPr>
        </a:p>
      </xdr:txBody>
    </xdr:sp>
    <xdr:clientData/>
  </xdr:twoCellAnchor>
  <xdr:twoCellAnchor>
    <xdr:from>
      <xdr:col>6</xdr:col>
      <xdr:colOff>569422</xdr:colOff>
      <xdr:row>5</xdr:row>
      <xdr:rowOff>105522</xdr:rowOff>
    </xdr:from>
    <xdr:to>
      <xdr:col>8</xdr:col>
      <xdr:colOff>451659</xdr:colOff>
      <xdr:row>6</xdr:row>
      <xdr:rowOff>176418</xdr:rowOff>
    </xdr:to>
    <xdr:sp macro="" textlink="Processing!C17">
      <xdr:nvSpPr>
        <xdr:cNvPr id="81" name="TextBox 80">
          <a:extLst>
            <a:ext uri="{FF2B5EF4-FFF2-40B4-BE49-F238E27FC236}">
              <a16:creationId xmlns:a16="http://schemas.microsoft.com/office/drawing/2014/main" id="{452485DF-6C9C-42A8-90B2-03E0D4C522E4}"/>
            </a:ext>
          </a:extLst>
        </xdr:cNvPr>
        <xdr:cNvSpPr txBox="1"/>
      </xdr:nvSpPr>
      <xdr:spPr>
        <a:xfrm>
          <a:off x="4227022" y="1019922"/>
          <a:ext cx="1101437" cy="2537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7FCCC095-4237-47D5-924D-5C0CFE3EFD86}" type="TxLink">
            <a:rPr lang="en-US" sz="1400" b="0" i="0" u="none" strike="noStrike">
              <a:solidFill>
                <a:srgbClr val="455177"/>
              </a:solidFill>
              <a:latin typeface="Aptos Narrow"/>
              <a:ea typeface="+mn-ea"/>
              <a:cs typeface="+mn-cs"/>
            </a:rPr>
            <a:pPr marL="0" indent="0" algn="r"/>
            <a:t>Income</a:t>
          </a:fld>
          <a:endParaRPr lang="ru-RU" sz="4400" b="0" i="0" u="none" strike="noStrike">
            <a:solidFill>
              <a:srgbClr val="455177"/>
            </a:solidFill>
            <a:latin typeface="Aptos Narrow"/>
            <a:ea typeface="+mn-ea"/>
            <a:cs typeface="+mn-cs"/>
          </a:endParaRPr>
        </a:p>
      </xdr:txBody>
    </xdr:sp>
    <xdr:clientData/>
  </xdr:twoCellAnchor>
  <xdr:twoCellAnchor>
    <xdr:from>
      <xdr:col>3</xdr:col>
      <xdr:colOff>607522</xdr:colOff>
      <xdr:row>5</xdr:row>
      <xdr:rowOff>105522</xdr:rowOff>
    </xdr:from>
    <xdr:to>
      <xdr:col>6</xdr:col>
      <xdr:colOff>579120</xdr:colOff>
      <xdr:row>6</xdr:row>
      <xdr:rowOff>176418</xdr:rowOff>
    </xdr:to>
    <xdr:sp macro="" textlink="Processing!A16">
      <xdr:nvSpPr>
        <xdr:cNvPr id="82" name="TextBox 81">
          <a:extLst>
            <a:ext uri="{FF2B5EF4-FFF2-40B4-BE49-F238E27FC236}">
              <a16:creationId xmlns:a16="http://schemas.microsoft.com/office/drawing/2014/main" id="{ADB3DAC8-A254-4C38-9870-EEF16FA3EFE8}"/>
            </a:ext>
          </a:extLst>
        </xdr:cNvPr>
        <xdr:cNvSpPr txBox="1"/>
      </xdr:nvSpPr>
      <xdr:spPr>
        <a:xfrm>
          <a:off x="2436322" y="1019922"/>
          <a:ext cx="1800398" cy="2537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0F38F717-867A-4632-B718-DF2652F91FAA}" type="TxLink">
            <a:rPr lang="en-US" sz="1400" b="0" i="0" u="none" strike="noStrike">
              <a:solidFill>
                <a:srgbClr val="455177"/>
              </a:solidFill>
              <a:latin typeface="Aptos Narrow"/>
              <a:ea typeface="+mn-ea"/>
              <a:cs typeface="+mn-cs"/>
            </a:rPr>
            <a:pPr marL="0" indent="0" algn="l"/>
            <a:t>Income &amp; Expenses</a:t>
          </a:fld>
          <a:endParaRPr lang="ru-RU" sz="5400" b="0" i="0" u="none" strike="noStrike">
            <a:solidFill>
              <a:srgbClr val="455177"/>
            </a:solidFill>
            <a:latin typeface="Aptos Narrow"/>
            <a:ea typeface="+mn-ea"/>
            <a:cs typeface="+mn-cs"/>
          </a:endParaRPr>
        </a:p>
      </xdr:txBody>
    </xdr:sp>
    <xdr:clientData/>
  </xdr:twoCellAnchor>
  <xdr:twoCellAnchor editAs="oneCell">
    <xdr:from>
      <xdr:col>1</xdr:col>
      <xdr:colOff>0</xdr:colOff>
      <xdr:row>1</xdr:row>
      <xdr:rowOff>0</xdr:rowOff>
    </xdr:from>
    <xdr:to>
      <xdr:col>1</xdr:col>
      <xdr:colOff>274320</xdr:colOff>
      <xdr:row>2</xdr:row>
      <xdr:rowOff>91440</xdr:rowOff>
    </xdr:to>
    <xdr:pic>
      <xdr:nvPicPr>
        <xdr:cNvPr id="84" name="Graphic 83" descr="Sun with solid fill">
          <a:extLst>
            <a:ext uri="{FF2B5EF4-FFF2-40B4-BE49-F238E27FC236}">
              <a16:creationId xmlns:a16="http://schemas.microsoft.com/office/drawing/2014/main" id="{401A2800-7C2B-4C8A-9A77-A8517D60216C}"/>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609600" y="182880"/>
          <a:ext cx="274320" cy="274320"/>
        </a:xfrm>
        <a:prstGeom prst="rect">
          <a:avLst/>
        </a:prstGeom>
      </xdr:spPr>
    </xdr:pic>
    <xdr:clientData/>
  </xdr:twoCellAnchor>
  <xdr:twoCellAnchor editAs="oneCell">
    <xdr:from>
      <xdr:col>1</xdr:col>
      <xdr:colOff>419100</xdr:colOff>
      <xdr:row>1</xdr:row>
      <xdr:rowOff>0</xdr:rowOff>
    </xdr:from>
    <xdr:to>
      <xdr:col>2</xdr:col>
      <xdr:colOff>83820</xdr:colOff>
      <xdr:row>2</xdr:row>
      <xdr:rowOff>91440</xdr:rowOff>
    </xdr:to>
    <xdr:pic>
      <xdr:nvPicPr>
        <xdr:cNvPr id="85" name="Graphic 84" descr="Moon with solid fill">
          <a:hlinkClick xmlns:r="http://schemas.openxmlformats.org/officeDocument/2006/relationships" r:id="rId14"/>
          <a:extLst>
            <a:ext uri="{FF2B5EF4-FFF2-40B4-BE49-F238E27FC236}">
              <a16:creationId xmlns:a16="http://schemas.microsoft.com/office/drawing/2014/main" id="{CF57CA25-6FB4-4D81-A158-A46BA92E7DEC}"/>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a:off x="1028700" y="182880"/>
          <a:ext cx="274320" cy="274320"/>
        </a:xfrm>
        <a:prstGeom prst="rect">
          <a:avLst/>
        </a:prstGeom>
      </xdr:spPr>
    </xdr:pic>
    <xdr:clientData/>
  </xdr:twoCellAnchor>
  <xdr:twoCellAnchor>
    <xdr:from>
      <xdr:col>3</xdr:col>
      <xdr:colOff>411480</xdr:colOff>
      <xdr:row>24</xdr:row>
      <xdr:rowOff>114300</xdr:rowOff>
    </xdr:from>
    <xdr:to>
      <xdr:col>12</xdr:col>
      <xdr:colOff>106680</xdr:colOff>
      <xdr:row>37</xdr:row>
      <xdr:rowOff>114300</xdr:rowOff>
    </xdr:to>
    <xdr:sp macro="" textlink="">
      <xdr:nvSpPr>
        <xdr:cNvPr id="86" name="Rectangle: Rounded Corners 85">
          <a:hlinkClick xmlns:r="http://schemas.openxmlformats.org/officeDocument/2006/relationships" r:id="rId17"/>
          <a:extLst>
            <a:ext uri="{FF2B5EF4-FFF2-40B4-BE49-F238E27FC236}">
              <a16:creationId xmlns:a16="http://schemas.microsoft.com/office/drawing/2014/main" id="{6EB31D9D-40E5-4DF3-A03D-CCC0427D0CB9}"/>
            </a:ext>
          </a:extLst>
        </xdr:cNvPr>
        <xdr:cNvSpPr/>
      </xdr:nvSpPr>
      <xdr:spPr>
        <a:xfrm>
          <a:off x="2240280" y="4503420"/>
          <a:ext cx="5181600" cy="237744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16</xdr:col>
      <xdr:colOff>358140</xdr:colOff>
      <xdr:row>18</xdr:row>
      <xdr:rowOff>15240</xdr:rowOff>
    </xdr:from>
    <xdr:to>
      <xdr:col>20</xdr:col>
      <xdr:colOff>205740</xdr:colOff>
      <xdr:row>35</xdr:row>
      <xdr:rowOff>0</xdr:rowOff>
    </xdr:to>
    <xdr:sp macro="" textlink="">
      <xdr:nvSpPr>
        <xdr:cNvPr id="88" name="Rectangle: Rounded Corners 87">
          <a:hlinkClick xmlns:r="http://schemas.openxmlformats.org/officeDocument/2006/relationships" r:id="rId18"/>
          <a:extLst>
            <a:ext uri="{FF2B5EF4-FFF2-40B4-BE49-F238E27FC236}">
              <a16:creationId xmlns:a16="http://schemas.microsoft.com/office/drawing/2014/main" id="{6CCE499A-1663-4A24-B29D-2C90216289C6}"/>
            </a:ext>
          </a:extLst>
        </xdr:cNvPr>
        <xdr:cNvSpPr/>
      </xdr:nvSpPr>
      <xdr:spPr>
        <a:xfrm>
          <a:off x="10111740" y="3307080"/>
          <a:ext cx="2286000" cy="309372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editAs="oneCell">
    <xdr:from>
      <xdr:col>0</xdr:col>
      <xdr:colOff>76200</xdr:colOff>
      <xdr:row>1</xdr:row>
      <xdr:rowOff>0</xdr:rowOff>
    </xdr:from>
    <xdr:to>
      <xdr:col>0</xdr:col>
      <xdr:colOff>350520</xdr:colOff>
      <xdr:row>2</xdr:row>
      <xdr:rowOff>91440</xdr:rowOff>
    </xdr:to>
    <xdr:pic>
      <xdr:nvPicPr>
        <xdr:cNvPr id="89" name="Graphic 88" descr="Home with solid fill">
          <a:hlinkClick xmlns:r="http://schemas.openxmlformats.org/officeDocument/2006/relationships" r:id="rId19"/>
          <a:extLst>
            <a:ext uri="{FF2B5EF4-FFF2-40B4-BE49-F238E27FC236}">
              <a16:creationId xmlns:a16="http://schemas.microsoft.com/office/drawing/2014/main" id="{CA212461-4BC0-412D-9F38-5AE8C2BC2F4D}"/>
            </a:ext>
          </a:extLst>
        </xdr:cNvPr>
        <xdr:cNvPicPr>
          <a:picLocks noChangeAspect="1"/>
        </xdr:cNvPicPr>
      </xdr:nvPicPr>
      <xdr:blipFill>
        <a:blip xmlns:r="http://schemas.openxmlformats.org/officeDocument/2006/relationships" r:embed="rId20">
          <a:extLst>
            <a:ext uri="{96DAC541-7B7A-43D3-8B79-37D633B846F1}">
              <asvg:svgBlip xmlns:asvg="http://schemas.microsoft.com/office/drawing/2016/SVG/main" r:embed="rId21"/>
            </a:ext>
          </a:extLst>
        </a:blip>
        <a:stretch>
          <a:fillRect/>
        </a:stretch>
      </xdr:blipFill>
      <xdr:spPr>
        <a:xfrm>
          <a:off x="76200" y="182880"/>
          <a:ext cx="274320" cy="27432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0</xdr:col>
      <xdr:colOff>0</xdr:colOff>
      <xdr:row>0</xdr:row>
      <xdr:rowOff>0</xdr:rowOff>
    </xdr:from>
    <xdr:to>
      <xdr:col>25</xdr:col>
      <xdr:colOff>304800</xdr:colOff>
      <xdr:row>45</xdr:row>
      <xdr:rowOff>0</xdr:rowOff>
    </xdr:to>
    <xdr:sp macro="" textlink="">
      <xdr:nvSpPr>
        <xdr:cNvPr id="2" name="Rectangle 1">
          <a:extLst>
            <a:ext uri="{FF2B5EF4-FFF2-40B4-BE49-F238E27FC236}">
              <a16:creationId xmlns:a16="http://schemas.microsoft.com/office/drawing/2014/main" id="{ECE862C2-517D-4CC3-87C9-9F55C91F4B9D}"/>
            </a:ext>
          </a:extLst>
        </xdr:cNvPr>
        <xdr:cNvSpPr/>
      </xdr:nvSpPr>
      <xdr:spPr>
        <a:xfrm>
          <a:off x="0" y="0"/>
          <a:ext cx="15544800" cy="8229600"/>
        </a:xfrm>
        <a:prstGeom prst="rect">
          <a:avLst/>
        </a:prstGeom>
        <a:gradFill flip="none" rotWithShape="1">
          <a:gsLst>
            <a:gs pos="0">
              <a:srgbClr val="3883D4"/>
            </a:gs>
            <a:gs pos="84000">
              <a:srgbClr val="224192"/>
            </a:gs>
          </a:gsLst>
          <a:lin ang="4200000" scaled="0"/>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clientData/>
  </xdr:twoCellAnchor>
  <xdr:twoCellAnchor>
    <xdr:from>
      <xdr:col>3</xdr:col>
      <xdr:colOff>7620</xdr:colOff>
      <xdr:row>2</xdr:row>
      <xdr:rowOff>99060</xdr:rowOff>
    </xdr:from>
    <xdr:to>
      <xdr:col>20</xdr:col>
      <xdr:colOff>586740</xdr:colOff>
      <xdr:row>39</xdr:row>
      <xdr:rowOff>99060</xdr:rowOff>
    </xdr:to>
    <xdr:sp macro="" textlink="">
      <xdr:nvSpPr>
        <xdr:cNvPr id="3" name="Rectangle: Rounded Corners 2">
          <a:extLst>
            <a:ext uri="{FF2B5EF4-FFF2-40B4-BE49-F238E27FC236}">
              <a16:creationId xmlns:a16="http://schemas.microsoft.com/office/drawing/2014/main" id="{2C34BFDC-983D-4155-BABB-9C8599374F6E}"/>
            </a:ext>
          </a:extLst>
        </xdr:cNvPr>
        <xdr:cNvSpPr/>
      </xdr:nvSpPr>
      <xdr:spPr>
        <a:xfrm>
          <a:off x="1836420" y="464820"/>
          <a:ext cx="10942320" cy="6766560"/>
        </a:xfrm>
        <a:prstGeom prst="roundRect">
          <a:avLst>
            <a:gd name="adj" fmla="val 4034"/>
          </a:avLst>
        </a:prstGeom>
        <a:gradFill>
          <a:gsLst>
            <a:gs pos="0">
              <a:srgbClr val="21509A"/>
            </a:gs>
            <a:gs pos="52000">
              <a:srgbClr val="0F2453"/>
            </a:gs>
          </a:gsLst>
          <a:lin ang="4200000" scaled="0"/>
        </a:gradFill>
        <a:ln w="9525">
          <a:gradFill>
            <a:gsLst>
              <a:gs pos="50384">
                <a:srgbClr val="BCC6FF"/>
              </a:gs>
              <a:gs pos="0">
                <a:srgbClr val="6494DA"/>
              </a:gs>
              <a:gs pos="94000">
                <a:srgbClr val="2F6EC7"/>
              </a:gs>
            </a:gsLst>
            <a:lin ang="5400000" scaled="1"/>
          </a:gradFill>
        </a:ln>
        <a:effectLst>
          <a:outerShdw blurRad="508000" dist="190500" dir="8100000" algn="tr" rotWithShape="0">
            <a:prstClr val="black">
              <a:alpha val="5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clientData/>
  </xdr:twoCellAnchor>
  <xdr:twoCellAnchor>
    <xdr:from>
      <xdr:col>3</xdr:col>
      <xdr:colOff>426720</xdr:colOff>
      <xdr:row>12</xdr:row>
      <xdr:rowOff>111830</xdr:rowOff>
    </xdr:from>
    <xdr:to>
      <xdr:col>12</xdr:col>
      <xdr:colOff>121920</xdr:colOff>
      <xdr:row>25</xdr:row>
      <xdr:rowOff>111830</xdr:rowOff>
    </xdr:to>
    <xdr:sp macro="" textlink="">
      <xdr:nvSpPr>
        <xdr:cNvPr id="5" name="Rectangle: Rounded Corners 4">
          <a:extLst>
            <a:ext uri="{FF2B5EF4-FFF2-40B4-BE49-F238E27FC236}">
              <a16:creationId xmlns:a16="http://schemas.microsoft.com/office/drawing/2014/main" id="{657BACF3-8FDA-4A37-AB6D-99870B9C6485}"/>
            </a:ext>
          </a:extLst>
        </xdr:cNvPr>
        <xdr:cNvSpPr/>
      </xdr:nvSpPr>
      <xdr:spPr>
        <a:xfrm>
          <a:off x="2255520" y="2306390"/>
          <a:ext cx="5181600" cy="2377440"/>
        </a:xfrm>
        <a:prstGeom prst="roundRect">
          <a:avLst>
            <a:gd name="adj" fmla="val 6794"/>
          </a:avLst>
        </a:prstGeom>
        <a:gradFill flip="none" rotWithShape="1">
          <a:gsLst>
            <a:gs pos="0">
              <a:srgbClr val="1C4285"/>
            </a:gs>
            <a:gs pos="84000">
              <a:srgbClr val="132D64"/>
            </a:gs>
          </a:gsLst>
          <a:lin ang="2700000" scaled="1"/>
          <a:tileRect/>
        </a:gradFill>
        <a:ln w="9525">
          <a:gradFill>
            <a:gsLst>
              <a:gs pos="0">
                <a:srgbClr val="6494DA"/>
              </a:gs>
              <a:gs pos="74000">
                <a:srgbClr val="BCC6FF"/>
              </a:gs>
              <a:gs pos="100000">
                <a:srgbClr val="2F6EC7"/>
              </a:gs>
            </a:gsLst>
            <a:lin ang="5400000" scaled="1"/>
          </a:gradFill>
        </a:ln>
        <a:effectLst>
          <a:outerShdw blurRad="190500" dist="101600" dir="8100000" algn="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clientData/>
  </xdr:twoCellAnchor>
  <xdr:twoCellAnchor>
    <xdr:from>
      <xdr:col>3</xdr:col>
      <xdr:colOff>403860</xdr:colOff>
      <xdr:row>26</xdr:row>
      <xdr:rowOff>109359</xdr:rowOff>
    </xdr:from>
    <xdr:to>
      <xdr:col>12</xdr:col>
      <xdr:colOff>99060</xdr:colOff>
      <xdr:row>37</xdr:row>
      <xdr:rowOff>94982</xdr:rowOff>
    </xdr:to>
    <xdr:sp macro="" textlink="Processing!A16">
      <xdr:nvSpPr>
        <xdr:cNvPr id="6" name="Rectangle: Rounded Corners 5">
          <a:extLst>
            <a:ext uri="{FF2B5EF4-FFF2-40B4-BE49-F238E27FC236}">
              <a16:creationId xmlns:a16="http://schemas.microsoft.com/office/drawing/2014/main" id="{52255A55-4366-439F-879B-06E005D2B172}"/>
            </a:ext>
          </a:extLst>
        </xdr:cNvPr>
        <xdr:cNvSpPr/>
      </xdr:nvSpPr>
      <xdr:spPr>
        <a:xfrm>
          <a:off x="2232660" y="4864239"/>
          <a:ext cx="5181600" cy="1997303"/>
        </a:xfrm>
        <a:prstGeom prst="roundRect">
          <a:avLst>
            <a:gd name="adj" fmla="val 7756"/>
          </a:avLst>
        </a:prstGeom>
        <a:gradFill flip="none" rotWithShape="1">
          <a:gsLst>
            <a:gs pos="0">
              <a:srgbClr val="15306A"/>
            </a:gs>
            <a:gs pos="60000">
              <a:srgbClr val="13295E"/>
            </a:gs>
          </a:gsLst>
          <a:lin ang="4200000" scaled="0"/>
          <a:tileRect/>
        </a:gradFill>
        <a:ln w="9525">
          <a:gradFill flip="none" rotWithShape="1">
            <a:gsLst>
              <a:gs pos="0">
                <a:srgbClr val="6494DA"/>
              </a:gs>
              <a:gs pos="100000">
                <a:srgbClr val="2F6EC7"/>
              </a:gs>
            </a:gsLst>
            <a:lin ang="8100000" scaled="1"/>
            <a:tileRect/>
          </a:gradFill>
        </a:ln>
        <a:effectLst>
          <a:outerShdw blurRad="190500" dist="101600" dir="8100000" algn="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fld id="{D2D6F0D1-0F7B-4E37-AF29-585FD355E19A}" type="TxLink">
            <a:rPr lang="en-US" sz="1200" b="0" i="0" u="none" strike="noStrike">
              <a:solidFill>
                <a:schemeClr val="tx2">
                  <a:lumMod val="25000"/>
                  <a:lumOff val="75000"/>
                </a:schemeClr>
              </a:solidFill>
              <a:latin typeface="Aptos Narrow"/>
            </a:rPr>
            <a:pPr algn="ctr"/>
            <a:t>Income &amp; Expenses</a:t>
          </a:fld>
          <a:endParaRPr lang="ru-RU" sz="2000">
            <a:solidFill>
              <a:schemeClr val="tx2">
                <a:lumMod val="25000"/>
                <a:lumOff val="75000"/>
              </a:schemeClr>
            </a:solidFill>
          </a:endParaRPr>
        </a:p>
      </xdr:txBody>
    </xdr:sp>
    <xdr:clientData/>
  </xdr:twoCellAnchor>
  <xdr:twoCellAnchor>
    <xdr:from>
      <xdr:col>12</xdr:col>
      <xdr:colOff>314716</xdr:colOff>
      <xdr:row>4</xdr:row>
      <xdr:rowOff>106680</xdr:rowOff>
    </xdr:from>
    <xdr:to>
      <xdr:col>20</xdr:col>
      <xdr:colOff>192796</xdr:colOff>
      <xdr:row>17</xdr:row>
      <xdr:rowOff>15240</xdr:rowOff>
    </xdr:to>
    <xdr:sp macro="" textlink="">
      <xdr:nvSpPr>
        <xdr:cNvPr id="8" name="Rectangle: Rounded Corners 7">
          <a:extLst>
            <a:ext uri="{FF2B5EF4-FFF2-40B4-BE49-F238E27FC236}">
              <a16:creationId xmlns:a16="http://schemas.microsoft.com/office/drawing/2014/main" id="{EB0517DB-FA50-4C29-A399-C45C05A66C3B}"/>
            </a:ext>
          </a:extLst>
        </xdr:cNvPr>
        <xdr:cNvSpPr/>
      </xdr:nvSpPr>
      <xdr:spPr>
        <a:xfrm>
          <a:off x="7629916" y="838200"/>
          <a:ext cx="4754880" cy="2286000"/>
        </a:xfrm>
        <a:prstGeom prst="roundRect">
          <a:avLst>
            <a:gd name="adj" fmla="val 7756"/>
          </a:avLst>
        </a:prstGeom>
        <a:gradFill flip="none" rotWithShape="1">
          <a:gsLst>
            <a:gs pos="0">
              <a:srgbClr val="1C4285"/>
            </a:gs>
            <a:gs pos="84000">
              <a:srgbClr val="132D64"/>
            </a:gs>
          </a:gsLst>
          <a:lin ang="2700000" scaled="1"/>
          <a:tileRect/>
        </a:gradFill>
        <a:ln w="9525">
          <a:gradFill>
            <a:gsLst>
              <a:gs pos="49000">
                <a:srgbClr val="BCC6FF"/>
              </a:gs>
              <a:gs pos="0">
                <a:srgbClr val="6494DA"/>
              </a:gs>
              <a:gs pos="100000">
                <a:srgbClr val="2F6EC7"/>
              </a:gs>
            </a:gsLst>
            <a:lin ang="5400000" scaled="1"/>
          </a:gradFill>
        </a:ln>
        <a:effectLst>
          <a:outerShdw blurRad="190500" dist="101600" dir="8100000" algn="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clientData/>
  </xdr:twoCellAnchor>
  <xdr:twoCellAnchor>
    <xdr:from>
      <xdr:col>12</xdr:col>
      <xdr:colOff>314716</xdr:colOff>
      <xdr:row>18</xdr:row>
      <xdr:rowOff>11162</xdr:rowOff>
    </xdr:from>
    <xdr:to>
      <xdr:col>20</xdr:col>
      <xdr:colOff>192796</xdr:colOff>
      <xdr:row>37</xdr:row>
      <xdr:rowOff>102602</xdr:rowOff>
    </xdr:to>
    <xdr:sp macro="" textlink="">
      <xdr:nvSpPr>
        <xdr:cNvPr id="9" name="Rectangle: Rounded Corners 8">
          <a:extLst>
            <a:ext uri="{FF2B5EF4-FFF2-40B4-BE49-F238E27FC236}">
              <a16:creationId xmlns:a16="http://schemas.microsoft.com/office/drawing/2014/main" id="{625D4C91-EC22-4CD3-8E1A-BD35026AE9C8}"/>
            </a:ext>
          </a:extLst>
        </xdr:cNvPr>
        <xdr:cNvSpPr/>
      </xdr:nvSpPr>
      <xdr:spPr>
        <a:xfrm>
          <a:off x="7629916" y="3303002"/>
          <a:ext cx="4754880" cy="3566160"/>
        </a:xfrm>
        <a:prstGeom prst="roundRect">
          <a:avLst>
            <a:gd name="adj" fmla="val 5047"/>
          </a:avLst>
        </a:prstGeom>
        <a:gradFill flip="none" rotWithShape="1">
          <a:gsLst>
            <a:gs pos="0">
              <a:srgbClr val="15306A"/>
            </a:gs>
            <a:gs pos="70000">
              <a:srgbClr val="13295E"/>
            </a:gs>
          </a:gsLst>
          <a:lin ang="4200000" scaled="0"/>
          <a:tileRect/>
        </a:gradFill>
        <a:ln w="9525">
          <a:gradFill flip="none" rotWithShape="1">
            <a:gsLst>
              <a:gs pos="0">
                <a:srgbClr val="6494DA"/>
              </a:gs>
              <a:gs pos="59000">
                <a:srgbClr val="4F62B8"/>
              </a:gs>
            </a:gsLst>
            <a:lin ang="8100000" scaled="1"/>
            <a:tileRect/>
          </a:gradFill>
        </a:ln>
        <a:effectLst>
          <a:outerShdw blurRad="190500" dist="101600" dir="8100000" algn="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p>
          <a:pPr algn="r"/>
          <a:endParaRPr lang="en-US" sz="1100" b="0" i="0" u="none" strike="noStrike">
            <a:solidFill>
              <a:schemeClr val="tx2">
                <a:lumMod val="25000"/>
                <a:lumOff val="75000"/>
              </a:schemeClr>
            </a:solidFill>
            <a:latin typeface="Aptos Narrow"/>
          </a:endParaRPr>
        </a:p>
      </xdr:txBody>
    </xdr:sp>
    <xdr:clientData/>
  </xdr:twoCellAnchor>
  <xdr:twoCellAnchor>
    <xdr:from>
      <xdr:col>4</xdr:col>
      <xdr:colOff>487680</xdr:colOff>
      <xdr:row>14</xdr:row>
      <xdr:rowOff>160020</xdr:rowOff>
    </xdr:from>
    <xdr:to>
      <xdr:col>11</xdr:col>
      <xdr:colOff>335280</xdr:colOff>
      <xdr:row>24</xdr:row>
      <xdr:rowOff>160020</xdr:rowOff>
    </xdr:to>
    <xdr:sp macro="" textlink="">
      <xdr:nvSpPr>
        <xdr:cNvPr id="11" name="Rectangle: Rounded Corners 10">
          <a:extLst>
            <a:ext uri="{FF2B5EF4-FFF2-40B4-BE49-F238E27FC236}">
              <a16:creationId xmlns:a16="http://schemas.microsoft.com/office/drawing/2014/main" id="{4A99361E-FD2D-436F-8693-EB0CF169655C}"/>
            </a:ext>
          </a:extLst>
        </xdr:cNvPr>
        <xdr:cNvSpPr/>
      </xdr:nvSpPr>
      <xdr:spPr>
        <a:xfrm>
          <a:off x="2926080" y="2720340"/>
          <a:ext cx="4114800" cy="1828800"/>
        </a:xfrm>
        <a:prstGeom prst="roundRect">
          <a:avLst>
            <a:gd name="adj" fmla="val 5788"/>
          </a:avLst>
        </a:prstGeom>
        <a:solidFill>
          <a:srgbClr val="0F2659"/>
        </a:solidFill>
        <a:effectLst>
          <a:innerShdw blurRad="127000">
            <a:prstClr val="black"/>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4</xdr:col>
      <xdr:colOff>396240</xdr:colOff>
      <xdr:row>13</xdr:row>
      <xdr:rowOff>53340</xdr:rowOff>
    </xdr:from>
    <xdr:to>
      <xdr:col>11</xdr:col>
      <xdr:colOff>472440</xdr:colOff>
      <xdr:row>25</xdr:row>
      <xdr:rowOff>99060</xdr:rowOff>
    </xdr:to>
    <xdr:graphicFrame macro="">
      <xdr:nvGraphicFramePr>
        <xdr:cNvPr id="16" name="Chart 15">
          <a:extLst>
            <a:ext uri="{FF2B5EF4-FFF2-40B4-BE49-F238E27FC236}">
              <a16:creationId xmlns:a16="http://schemas.microsoft.com/office/drawing/2014/main" id="{80B1A38A-7D83-4AE9-BF99-3475370DF90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15240</xdr:colOff>
      <xdr:row>14</xdr:row>
      <xdr:rowOff>38100</xdr:rowOff>
    </xdr:from>
    <xdr:to>
      <xdr:col>11</xdr:col>
      <xdr:colOff>457200</xdr:colOff>
      <xdr:row>25</xdr:row>
      <xdr:rowOff>83820</xdr:rowOff>
    </xdr:to>
    <xdr:graphicFrame macro="">
      <xdr:nvGraphicFramePr>
        <xdr:cNvPr id="17" name="Chart 16">
          <a:extLst>
            <a:ext uri="{FF2B5EF4-FFF2-40B4-BE49-F238E27FC236}">
              <a16:creationId xmlns:a16="http://schemas.microsoft.com/office/drawing/2014/main" id="{6D41234C-CCE4-42B9-BFD9-4E3B443960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403860</xdr:colOff>
      <xdr:row>5</xdr:row>
      <xdr:rowOff>53340</xdr:rowOff>
    </xdr:from>
    <xdr:to>
      <xdr:col>15</xdr:col>
      <xdr:colOff>586740</xdr:colOff>
      <xdr:row>16</xdr:row>
      <xdr:rowOff>53340</xdr:rowOff>
    </xdr:to>
    <xdr:graphicFrame macro="">
      <xdr:nvGraphicFramePr>
        <xdr:cNvPr id="18" name="Chart 17">
          <a:extLst>
            <a:ext uri="{FF2B5EF4-FFF2-40B4-BE49-F238E27FC236}">
              <a16:creationId xmlns:a16="http://schemas.microsoft.com/office/drawing/2014/main" id="{46BAE456-1ED8-4142-9C78-59ECC3BBD21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342900</xdr:colOff>
      <xdr:row>9</xdr:row>
      <xdr:rowOff>76200</xdr:rowOff>
    </xdr:from>
    <xdr:to>
      <xdr:col>15</xdr:col>
      <xdr:colOff>38100</xdr:colOff>
      <xdr:row>11</xdr:row>
      <xdr:rowOff>160020</xdr:rowOff>
    </xdr:to>
    <xdr:sp macro="" textlink="Processing!S3">
      <xdr:nvSpPr>
        <xdr:cNvPr id="19" name="TextBox 18">
          <a:extLst>
            <a:ext uri="{FF2B5EF4-FFF2-40B4-BE49-F238E27FC236}">
              <a16:creationId xmlns:a16="http://schemas.microsoft.com/office/drawing/2014/main" id="{3DE09363-9DC3-48BD-B5A2-075AE6D5F0C7}"/>
            </a:ext>
          </a:extLst>
        </xdr:cNvPr>
        <xdr:cNvSpPr txBox="1"/>
      </xdr:nvSpPr>
      <xdr:spPr>
        <a:xfrm>
          <a:off x="8267700" y="1722120"/>
          <a:ext cx="914400" cy="4495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E76BA41-C5AD-4A6D-8F20-94D5DF0D5944}" type="TxLink">
            <a:rPr lang="en-US" sz="2800" b="0" i="0" u="none" strike="noStrike">
              <a:solidFill>
                <a:schemeClr val="bg1"/>
              </a:solidFill>
              <a:latin typeface="Aptos Narrow"/>
            </a:rPr>
            <a:pPr algn="ctr"/>
            <a:t>64%</a:t>
          </a:fld>
          <a:endParaRPr lang="ru-RU" sz="2800">
            <a:solidFill>
              <a:schemeClr val="bg1"/>
            </a:solidFill>
          </a:endParaRPr>
        </a:p>
      </xdr:txBody>
    </xdr:sp>
    <xdr:clientData/>
  </xdr:twoCellAnchor>
  <xdr:twoCellAnchor>
    <xdr:from>
      <xdr:col>13</xdr:col>
      <xdr:colOff>342900</xdr:colOff>
      <xdr:row>10</xdr:row>
      <xdr:rowOff>167640</xdr:rowOff>
    </xdr:from>
    <xdr:to>
      <xdr:col>15</xdr:col>
      <xdr:colOff>38100</xdr:colOff>
      <xdr:row>13</xdr:row>
      <xdr:rowOff>68580</xdr:rowOff>
    </xdr:to>
    <xdr:sp macro="" textlink="Processing!S1">
      <xdr:nvSpPr>
        <xdr:cNvPr id="20" name="TextBox 19">
          <a:extLst>
            <a:ext uri="{FF2B5EF4-FFF2-40B4-BE49-F238E27FC236}">
              <a16:creationId xmlns:a16="http://schemas.microsoft.com/office/drawing/2014/main" id="{0A245B7C-AD9E-4E96-BE77-C470930E696C}"/>
            </a:ext>
          </a:extLst>
        </xdr:cNvPr>
        <xdr:cNvSpPr txBox="1"/>
      </xdr:nvSpPr>
      <xdr:spPr>
        <a:xfrm>
          <a:off x="8267700" y="1996440"/>
          <a:ext cx="914400" cy="4495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F56BAA3-B378-48FE-B598-FF2C3B2AC85A}" type="TxLink">
            <a:rPr lang="en-US" sz="1400" b="0" i="0" u="none" strike="noStrike">
              <a:solidFill>
                <a:schemeClr val="tx2">
                  <a:lumMod val="25000"/>
                  <a:lumOff val="75000"/>
                </a:schemeClr>
              </a:solidFill>
              <a:latin typeface="Aptos Narrow"/>
            </a:rPr>
            <a:pPr algn="ctr"/>
            <a:t>Budget</a:t>
          </a:fld>
          <a:endParaRPr lang="ru-RU" sz="3600" b="0">
            <a:solidFill>
              <a:schemeClr val="tx2">
                <a:lumMod val="25000"/>
                <a:lumOff val="75000"/>
              </a:schemeClr>
            </a:solidFill>
          </a:endParaRPr>
        </a:p>
      </xdr:txBody>
    </xdr:sp>
    <xdr:clientData/>
  </xdr:twoCellAnchor>
  <xdr:twoCellAnchor>
    <xdr:from>
      <xdr:col>16</xdr:col>
      <xdr:colOff>0</xdr:colOff>
      <xdr:row>5</xdr:row>
      <xdr:rowOff>22860</xdr:rowOff>
    </xdr:from>
    <xdr:to>
      <xdr:col>20</xdr:col>
      <xdr:colOff>83820</xdr:colOff>
      <xdr:row>16</xdr:row>
      <xdr:rowOff>114300</xdr:rowOff>
    </xdr:to>
    <xdr:sp macro="" textlink="">
      <xdr:nvSpPr>
        <xdr:cNvPr id="21" name="Rectangle: Rounded Corners 20">
          <a:extLst>
            <a:ext uri="{FF2B5EF4-FFF2-40B4-BE49-F238E27FC236}">
              <a16:creationId xmlns:a16="http://schemas.microsoft.com/office/drawing/2014/main" id="{58B53FB2-7C09-4E43-9930-211483AD2920}"/>
            </a:ext>
          </a:extLst>
        </xdr:cNvPr>
        <xdr:cNvSpPr/>
      </xdr:nvSpPr>
      <xdr:spPr>
        <a:xfrm>
          <a:off x="9753600" y="937260"/>
          <a:ext cx="2522220" cy="2103120"/>
        </a:xfrm>
        <a:prstGeom prst="roundRect">
          <a:avLst>
            <a:gd name="adj" fmla="val 7028"/>
          </a:avLst>
        </a:prstGeom>
        <a:solidFill>
          <a:srgbClr val="00103E"/>
        </a:solidFill>
        <a:ln w="9525">
          <a:solidFill>
            <a:schemeClr val="tx2">
              <a:lumMod val="75000"/>
              <a:lumOff val="25000"/>
            </a:schemeClr>
          </a:solidFill>
        </a:ln>
        <a:effectLst>
          <a:innerShdw blurRad="393700">
            <a:prstClr val="black"/>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16</xdr:col>
      <xdr:colOff>22860</xdr:colOff>
      <xdr:row>6</xdr:row>
      <xdr:rowOff>144780</xdr:rowOff>
    </xdr:from>
    <xdr:to>
      <xdr:col>20</xdr:col>
      <xdr:colOff>53340</xdr:colOff>
      <xdr:row>17</xdr:row>
      <xdr:rowOff>144780</xdr:rowOff>
    </xdr:to>
    <xdr:graphicFrame macro="">
      <xdr:nvGraphicFramePr>
        <xdr:cNvPr id="22" name="Chart 21">
          <a:extLst>
            <a:ext uri="{FF2B5EF4-FFF2-40B4-BE49-F238E27FC236}">
              <a16:creationId xmlns:a16="http://schemas.microsoft.com/office/drawing/2014/main" id="{0D64CACE-00FB-4AAB-84C4-35D5C83BAE3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16</xdr:col>
      <xdr:colOff>76200</xdr:colOff>
      <xdr:row>5</xdr:row>
      <xdr:rowOff>144780</xdr:rowOff>
    </xdr:from>
    <xdr:to>
      <xdr:col>20</xdr:col>
      <xdr:colOff>22860</xdr:colOff>
      <xdr:row>7</xdr:row>
      <xdr:rowOff>53340</xdr:rowOff>
    </xdr:to>
    <xdr:sp macro="" textlink="">
      <xdr:nvSpPr>
        <xdr:cNvPr id="23" name="TextBox 22">
          <a:extLst>
            <a:ext uri="{FF2B5EF4-FFF2-40B4-BE49-F238E27FC236}">
              <a16:creationId xmlns:a16="http://schemas.microsoft.com/office/drawing/2014/main" id="{5E5A2D9B-E930-4A55-86D7-D3B222097575}"/>
            </a:ext>
          </a:extLst>
        </xdr:cNvPr>
        <xdr:cNvSpPr txBox="1"/>
      </xdr:nvSpPr>
      <xdr:spPr>
        <a:xfrm>
          <a:off x="9829800" y="1059180"/>
          <a:ext cx="238506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100">
              <a:solidFill>
                <a:srgbClr val="FF6CFF"/>
              </a:solidFill>
            </a:rPr>
            <a:t>SU  </a:t>
          </a:r>
          <a:r>
            <a:rPr lang="en-US" sz="1100">
              <a:solidFill>
                <a:srgbClr val="0062C4"/>
              </a:solidFill>
            </a:rPr>
            <a:t>     MO       TU      WE      TH       FR       </a:t>
          </a:r>
          <a:r>
            <a:rPr lang="en-US" sz="1100">
              <a:solidFill>
                <a:srgbClr val="FF6CFF"/>
              </a:solidFill>
            </a:rPr>
            <a:t>SA</a:t>
          </a:r>
        </a:p>
      </xdr:txBody>
    </xdr:sp>
    <xdr:clientData/>
  </xdr:twoCellAnchor>
  <xdr:twoCellAnchor>
    <xdr:from>
      <xdr:col>3</xdr:col>
      <xdr:colOff>495300</xdr:colOff>
      <xdr:row>28</xdr:row>
      <xdr:rowOff>0</xdr:rowOff>
    </xdr:from>
    <xdr:to>
      <xdr:col>12</xdr:col>
      <xdr:colOff>83820</xdr:colOff>
      <xdr:row>36</xdr:row>
      <xdr:rowOff>91440</xdr:rowOff>
    </xdr:to>
    <xdr:graphicFrame macro="">
      <xdr:nvGraphicFramePr>
        <xdr:cNvPr id="24" name="Chart 23">
          <a:extLst>
            <a:ext uri="{FF2B5EF4-FFF2-40B4-BE49-F238E27FC236}">
              <a16:creationId xmlns:a16="http://schemas.microsoft.com/office/drawing/2014/main" id="{B4ADAF31-5E1E-43BA-ADD1-BF3B58359FA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12</xdr:col>
      <xdr:colOff>174951</xdr:colOff>
      <xdr:row>18</xdr:row>
      <xdr:rowOff>178308</xdr:rowOff>
    </xdr:from>
    <xdr:to>
      <xdr:col>18</xdr:col>
      <xdr:colOff>221290</xdr:colOff>
      <xdr:row>34</xdr:row>
      <xdr:rowOff>35052</xdr:rowOff>
    </xdr:to>
    <xdr:grpSp>
      <xdr:nvGrpSpPr>
        <xdr:cNvPr id="27" name="Group 26">
          <a:extLst>
            <a:ext uri="{FF2B5EF4-FFF2-40B4-BE49-F238E27FC236}">
              <a16:creationId xmlns:a16="http://schemas.microsoft.com/office/drawing/2014/main" id="{4A2A4DD6-89FC-4CFC-836D-D2F9118FD35C}"/>
            </a:ext>
          </a:extLst>
        </xdr:cNvPr>
        <xdr:cNvGrpSpPr/>
      </xdr:nvGrpSpPr>
      <xdr:grpSpPr>
        <a:xfrm>
          <a:off x="7540951" y="3607308"/>
          <a:ext cx="3729339" cy="2904744"/>
          <a:chOff x="9820190" y="3214116"/>
          <a:chExt cx="2945301" cy="2212848"/>
        </a:xfrm>
      </xdr:grpSpPr>
      <xdr:graphicFrame macro="">
        <xdr:nvGraphicFramePr>
          <xdr:cNvPr id="28" name="Chart 27">
            <a:extLst>
              <a:ext uri="{FF2B5EF4-FFF2-40B4-BE49-F238E27FC236}">
                <a16:creationId xmlns:a16="http://schemas.microsoft.com/office/drawing/2014/main" id="{E0063A5C-319E-4B6C-958A-5A7D2B8B2E86}"/>
              </a:ext>
            </a:extLst>
          </xdr:cNvPr>
          <xdr:cNvGraphicFramePr>
            <a:graphicFrameLocks/>
          </xdr:cNvGraphicFramePr>
        </xdr:nvGraphicFramePr>
        <xdr:xfrm>
          <a:off x="10424160" y="3451860"/>
          <a:ext cx="1737360" cy="1737360"/>
        </xdr:xfrm>
        <a:graphic>
          <a:graphicData uri="http://schemas.openxmlformats.org/drawingml/2006/chart">
            <c:chart xmlns:c="http://schemas.openxmlformats.org/drawingml/2006/chart" xmlns:r="http://schemas.openxmlformats.org/officeDocument/2006/relationships" r:id="rId6"/>
          </a:graphicData>
        </a:graphic>
      </xdr:graphicFrame>
      <xdr:graphicFrame macro="">
        <xdr:nvGraphicFramePr>
          <xdr:cNvPr id="29" name="Chart 28">
            <a:extLst>
              <a:ext uri="{FF2B5EF4-FFF2-40B4-BE49-F238E27FC236}">
                <a16:creationId xmlns:a16="http://schemas.microsoft.com/office/drawing/2014/main" id="{F9AAA4B0-C831-FB21-1108-7A3108A2F2BB}"/>
              </a:ext>
            </a:extLst>
          </xdr:cNvPr>
          <xdr:cNvGraphicFramePr>
            <a:graphicFrameLocks/>
          </xdr:cNvGraphicFramePr>
        </xdr:nvGraphicFramePr>
        <xdr:xfrm>
          <a:off x="9820190" y="3214116"/>
          <a:ext cx="2945301" cy="2212848"/>
        </xdr:xfrm>
        <a:graphic>
          <a:graphicData uri="http://schemas.openxmlformats.org/drawingml/2006/chart">
            <c:chart xmlns:c="http://schemas.openxmlformats.org/drawingml/2006/chart" xmlns:r="http://schemas.openxmlformats.org/officeDocument/2006/relationships" r:id="rId7"/>
          </a:graphicData>
        </a:graphic>
      </xdr:graphicFrame>
    </xdr:grpSp>
    <xdr:clientData/>
  </xdr:twoCellAnchor>
  <xdr:twoCellAnchor>
    <xdr:from>
      <xdr:col>17</xdr:col>
      <xdr:colOff>236220</xdr:colOff>
      <xdr:row>27</xdr:row>
      <xdr:rowOff>152400</xdr:rowOff>
    </xdr:from>
    <xdr:to>
      <xdr:col>20</xdr:col>
      <xdr:colOff>134498</xdr:colOff>
      <xdr:row>35</xdr:row>
      <xdr:rowOff>144780</xdr:rowOff>
    </xdr:to>
    <xdr:graphicFrame macro="">
      <xdr:nvGraphicFramePr>
        <xdr:cNvPr id="30" name="Chart 29">
          <a:extLst>
            <a:ext uri="{FF2B5EF4-FFF2-40B4-BE49-F238E27FC236}">
              <a16:creationId xmlns:a16="http://schemas.microsoft.com/office/drawing/2014/main" id="{33FAE0AA-AC7D-4C22-8164-BED6546CCF7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4</xdr:col>
      <xdr:colOff>236220</xdr:colOff>
      <xdr:row>35</xdr:row>
      <xdr:rowOff>0</xdr:rowOff>
    </xdr:from>
    <xdr:to>
      <xdr:col>12</xdr:col>
      <xdr:colOff>22860</xdr:colOff>
      <xdr:row>37</xdr:row>
      <xdr:rowOff>64008</xdr:rowOff>
    </xdr:to>
    <mc:AlternateContent xmlns:mc="http://schemas.openxmlformats.org/markup-compatibility/2006" xmlns:a14="http://schemas.microsoft.com/office/drawing/2010/main">
      <mc:Choice Requires="a14">
        <xdr:graphicFrame macro="">
          <xdr:nvGraphicFramePr>
            <xdr:cNvPr id="34" name="Month 3">
              <a:extLst>
                <a:ext uri="{FF2B5EF4-FFF2-40B4-BE49-F238E27FC236}">
                  <a16:creationId xmlns:a16="http://schemas.microsoft.com/office/drawing/2014/main" id="{D828558B-303D-421A-9358-D50B49F6AFC8}"/>
                </a:ext>
              </a:extLst>
            </xdr:cNvPr>
            <xdr:cNvGraphicFramePr/>
          </xdr:nvGraphicFramePr>
          <xdr:xfrm>
            <a:off x="0" y="0"/>
            <a:ext cx="0" cy="0"/>
          </xdr:xfrm>
          <a:graphic>
            <a:graphicData uri="http://schemas.microsoft.com/office/drawing/2010/slicer">
              <sle:slicer xmlns:sle="http://schemas.microsoft.com/office/drawing/2010/slicer" name="Month 3"/>
            </a:graphicData>
          </a:graphic>
        </xdr:graphicFrame>
      </mc:Choice>
      <mc:Fallback xmlns="">
        <xdr:sp macro="" textlink="">
          <xdr:nvSpPr>
            <xdr:cNvPr id="0" name=""/>
            <xdr:cNvSpPr>
              <a:spLocks noTextEdit="1"/>
            </xdr:cNvSpPr>
          </xdr:nvSpPr>
          <xdr:spPr>
            <a:xfrm>
              <a:off x="2674620" y="6400800"/>
              <a:ext cx="4663440" cy="429768"/>
            </a:xfrm>
            <a:prstGeom prst="rect">
              <a:avLst/>
            </a:prstGeom>
            <a:solidFill>
              <a:prstClr val="white"/>
            </a:solidFill>
            <a:ln w="1">
              <a:solidFill>
                <a:prstClr val="green"/>
              </a:solidFill>
            </a:ln>
          </xdr:spPr>
          <xdr:txBody>
            <a:bodyPr vertOverflow="clip" horzOverflow="clip"/>
            <a:lstStyle/>
            <a:p>
              <a:r>
                <a:rPr lang="ru-R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500638</xdr:colOff>
      <xdr:row>27</xdr:row>
      <xdr:rowOff>2758</xdr:rowOff>
    </xdr:from>
    <xdr:to>
      <xdr:col>10</xdr:col>
      <xdr:colOff>108963</xdr:colOff>
      <xdr:row>28</xdr:row>
      <xdr:rowOff>50583</xdr:rowOff>
    </xdr:to>
    <xdr:sp macro="" textlink="Processing!F30">
      <xdr:nvSpPr>
        <xdr:cNvPr id="35" name="TextBox 34">
          <a:extLst>
            <a:ext uri="{FF2B5EF4-FFF2-40B4-BE49-F238E27FC236}">
              <a16:creationId xmlns:a16="http://schemas.microsoft.com/office/drawing/2014/main" id="{C3003B08-A347-43F7-842E-AF3C01780188}"/>
            </a:ext>
          </a:extLst>
        </xdr:cNvPr>
        <xdr:cNvSpPr txBox="1"/>
      </xdr:nvSpPr>
      <xdr:spPr>
        <a:xfrm>
          <a:off x="5377438" y="4940518"/>
          <a:ext cx="827525" cy="2307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F39BE783-B392-4D7C-8C2A-EEB34489B994}" type="TxLink">
            <a:rPr lang="en-US" sz="1200" b="0" i="0" u="none" strike="noStrike">
              <a:solidFill>
                <a:schemeClr val="accent5">
                  <a:lumMod val="40000"/>
                  <a:lumOff val="60000"/>
                </a:schemeClr>
              </a:solidFill>
              <a:latin typeface="Aptos Narrow"/>
              <a:ea typeface="+mn-ea"/>
              <a:cs typeface="+mn-cs"/>
            </a:rPr>
            <a:pPr marL="0" indent="0" algn="l"/>
            <a:t> $10,302 </a:t>
          </a:fld>
          <a:endParaRPr lang="ru-RU" sz="2000" b="0" i="0" u="none" strike="noStrike">
            <a:solidFill>
              <a:schemeClr val="accent5">
                <a:lumMod val="40000"/>
                <a:lumOff val="60000"/>
              </a:schemeClr>
            </a:solidFill>
            <a:latin typeface="Aptos Narrow"/>
            <a:ea typeface="+mn-ea"/>
            <a:cs typeface="+mn-cs"/>
          </a:endParaRPr>
        </a:p>
      </xdr:txBody>
    </xdr:sp>
    <xdr:clientData/>
  </xdr:twoCellAnchor>
  <xdr:twoCellAnchor>
    <xdr:from>
      <xdr:col>5</xdr:col>
      <xdr:colOff>348238</xdr:colOff>
      <xdr:row>27</xdr:row>
      <xdr:rowOff>2758</xdr:rowOff>
    </xdr:from>
    <xdr:to>
      <xdr:col>6</xdr:col>
      <xdr:colOff>566163</xdr:colOff>
      <xdr:row>28</xdr:row>
      <xdr:rowOff>50583</xdr:rowOff>
    </xdr:to>
    <xdr:sp macro="" textlink="Processing!E30">
      <xdr:nvSpPr>
        <xdr:cNvPr id="36" name="TextBox 35">
          <a:extLst>
            <a:ext uri="{FF2B5EF4-FFF2-40B4-BE49-F238E27FC236}">
              <a16:creationId xmlns:a16="http://schemas.microsoft.com/office/drawing/2014/main" id="{02DF4C15-B525-4707-8C8E-3FABE9B69F8B}"/>
            </a:ext>
          </a:extLst>
        </xdr:cNvPr>
        <xdr:cNvSpPr txBox="1"/>
      </xdr:nvSpPr>
      <xdr:spPr>
        <a:xfrm>
          <a:off x="3396238" y="4940518"/>
          <a:ext cx="827525" cy="2307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6228063D-045F-42D2-9E29-4ADE8D5D219F}" type="TxLink">
            <a:rPr lang="en-US" sz="1200" b="0" i="0" u="none" strike="noStrike">
              <a:solidFill>
                <a:srgbClr val="00B0F0"/>
              </a:solidFill>
              <a:latin typeface="Aptos Narrow"/>
              <a:ea typeface="+mn-ea"/>
              <a:cs typeface="+mn-cs"/>
            </a:rPr>
            <a:pPr marL="0" indent="0" algn="r"/>
            <a:t> $12,533 </a:t>
          </a:fld>
          <a:endParaRPr lang="ru-RU" sz="2400" b="0" i="0" u="none" strike="noStrike">
            <a:solidFill>
              <a:srgbClr val="00B0F0"/>
            </a:solidFill>
            <a:latin typeface="Aptos Narrow"/>
            <a:ea typeface="+mn-ea"/>
            <a:cs typeface="+mn-cs"/>
          </a:endParaRPr>
        </a:p>
      </xdr:txBody>
    </xdr:sp>
    <xdr:clientData/>
  </xdr:twoCellAnchor>
  <xdr:twoCellAnchor editAs="oneCell">
    <xdr:from>
      <xdr:col>17</xdr:col>
      <xdr:colOff>332618</xdr:colOff>
      <xdr:row>35</xdr:row>
      <xdr:rowOff>0</xdr:rowOff>
    </xdr:from>
    <xdr:to>
      <xdr:col>20</xdr:col>
      <xdr:colOff>58298</xdr:colOff>
      <xdr:row>37</xdr:row>
      <xdr:rowOff>64008</xdr:rowOff>
    </xdr:to>
    <mc:AlternateContent xmlns:mc="http://schemas.openxmlformats.org/markup-compatibility/2006" xmlns:a14="http://schemas.microsoft.com/office/drawing/2010/main">
      <mc:Choice Requires="a14">
        <xdr:graphicFrame macro="">
          <xdr:nvGraphicFramePr>
            <xdr:cNvPr id="37" name="Buttons 3">
              <a:extLst>
                <a:ext uri="{FF2B5EF4-FFF2-40B4-BE49-F238E27FC236}">
                  <a16:creationId xmlns:a16="http://schemas.microsoft.com/office/drawing/2014/main" id="{16E2B242-D199-4B09-B7C9-9593E87609CD}"/>
                </a:ext>
              </a:extLst>
            </xdr:cNvPr>
            <xdr:cNvGraphicFramePr/>
          </xdr:nvGraphicFramePr>
          <xdr:xfrm>
            <a:off x="0" y="0"/>
            <a:ext cx="0" cy="0"/>
          </xdr:xfrm>
          <a:graphic>
            <a:graphicData uri="http://schemas.microsoft.com/office/drawing/2010/slicer">
              <sle:slicer xmlns:sle="http://schemas.microsoft.com/office/drawing/2010/slicer" name="Buttons 3"/>
            </a:graphicData>
          </a:graphic>
        </xdr:graphicFrame>
      </mc:Choice>
      <mc:Fallback xmlns="">
        <xdr:sp macro="" textlink="">
          <xdr:nvSpPr>
            <xdr:cNvPr id="0" name=""/>
            <xdr:cNvSpPr>
              <a:spLocks noTextEdit="1"/>
            </xdr:cNvSpPr>
          </xdr:nvSpPr>
          <xdr:spPr>
            <a:xfrm>
              <a:off x="10695818" y="6400800"/>
              <a:ext cx="1554480" cy="429768"/>
            </a:xfrm>
            <a:prstGeom prst="rect">
              <a:avLst/>
            </a:prstGeom>
            <a:solidFill>
              <a:prstClr val="white"/>
            </a:solidFill>
            <a:ln w="1">
              <a:solidFill>
                <a:prstClr val="green"/>
              </a:solidFill>
            </a:ln>
          </xdr:spPr>
          <xdr:txBody>
            <a:bodyPr vertOverflow="clip" horzOverflow="clip"/>
            <a:lstStyle/>
            <a:p>
              <a:r>
                <a:rPr lang="ru-R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16</xdr:col>
      <xdr:colOff>108357</xdr:colOff>
      <xdr:row>7</xdr:row>
      <xdr:rowOff>72390</xdr:rowOff>
    </xdr:from>
    <xdr:to>
      <xdr:col>19</xdr:col>
      <xdr:colOff>592684</xdr:colOff>
      <xdr:row>15</xdr:row>
      <xdr:rowOff>156210</xdr:rowOff>
    </xdr:to>
    <xdr:grpSp>
      <xdr:nvGrpSpPr>
        <xdr:cNvPr id="38" name="Group 37">
          <a:extLst>
            <a:ext uri="{FF2B5EF4-FFF2-40B4-BE49-F238E27FC236}">
              <a16:creationId xmlns:a16="http://schemas.microsoft.com/office/drawing/2014/main" id="{38752098-BA51-48DE-91C3-503AF6AA8F84}"/>
            </a:ext>
          </a:extLst>
        </xdr:cNvPr>
        <xdr:cNvGrpSpPr/>
      </xdr:nvGrpSpPr>
      <xdr:grpSpPr>
        <a:xfrm>
          <a:off x="9929690" y="1405890"/>
          <a:ext cx="2325827" cy="1607820"/>
          <a:chOff x="9861957" y="1352550"/>
          <a:chExt cx="2313127" cy="1546860"/>
        </a:xfrm>
      </xdr:grpSpPr>
      <xdr:sp macro="" textlink="Processing!K18">
        <xdr:nvSpPr>
          <xdr:cNvPr id="39" name="TextBox 38">
            <a:extLst>
              <a:ext uri="{FF2B5EF4-FFF2-40B4-BE49-F238E27FC236}">
                <a16:creationId xmlns:a16="http://schemas.microsoft.com/office/drawing/2014/main" id="{0AF62CF2-D887-4743-E406-C0B980BBBA4E}"/>
              </a:ext>
            </a:extLst>
          </xdr:cNvPr>
          <xdr:cNvSpPr txBox="1"/>
        </xdr:nvSpPr>
        <xdr:spPr>
          <a:xfrm>
            <a:off x="9890760" y="1352550"/>
            <a:ext cx="27432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D3E7255-CADA-4230-BD23-D54321216D7F}" type="TxLink">
              <a:rPr lang="en-US" sz="1100" b="0" i="0" u="none" strike="noStrike">
                <a:solidFill>
                  <a:schemeClr val="bg1"/>
                </a:solidFill>
                <a:latin typeface="Aptos Narrow"/>
              </a:rPr>
              <a:pPr algn="ctr"/>
              <a:t> </a:t>
            </a:fld>
            <a:endParaRPr lang="ru-RU" sz="1100">
              <a:solidFill>
                <a:schemeClr val="bg1"/>
              </a:solidFill>
            </a:endParaRPr>
          </a:p>
        </xdr:txBody>
      </xdr:sp>
      <xdr:sp macro="" textlink="Processing!L18">
        <xdr:nvSpPr>
          <xdr:cNvPr id="40" name="TextBox 39">
            <a:extLst>
              <a:ext uri="{FF2B5EF4-FFF2-40B4-BE49-F238E27FC236}">
                <a16:creationId xmlns:a16="http://schemas.microsoft.com/office/drawing/2014/main" id="{41A381BE-A734-C837-6781-55FD3C078F30}"/>
              </a:ext>
            </a:extLst>
          </xdr:cNvPr>
          <xdr:cNvSpPr txBox="1"/>
        </xdr:nvSpPr>
        <xdr:spPr>
          <a:xfrm>
            <a:off x="10220960" y="1352550"/>
            <a:ext cx="27432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1C6F21F-FDF9-4379-8CF8-B6BD162D0F3A}" type="TxLink">
              <a:rPr lang="en-US" sz="1100" b="0" i="0" u="none" strike="noStrike">
                <a:solidFill>
                  <a:schemeClr val="bg1"/>
                </a:solidFill>
                <a:latin typeface="Aptos Narrow"/>
              </a:rPr>
              <a:pPr algn="ctr"/>
              <a:t> </a:t>
            </a:fld>
            <a:endParaRPr lang="ru-RU" sz="1100">
              <a:solidFill>
                <a:schemeClr val="bg1"/>
              </a:solidFill>
            </a:endParaRPr>
          </a:p>
        </xdr:txBody>
      </xdr:sp>
      <xdr:sp macro="" textlink="Processing!M18">
        <xdr:nvSpPr>
          <xdr:cNvPr id="41" name="TextBox 40">
            <a:extLst>
              <a:ext uri="{FF2B5EF4-FFF2-40B4-BE49-F238E27FC236}">
                <a16:creationId xmlns:a16="http://schemas.microsoft.com/office/drawing/2014/main" id="{D393781E-DEA7-9320-6B4C-4AC821F51185}"/>
              </a:ext>
            </a:extLst>
          </xdr:cNvPr>
          <xdr:cNvSpPr txBox="1"/>
        </xdr:nvSpPr>
        <xdr:spPr>
          <a:xfrm>
            <a:off x="10551160" y="1352550"/>
            <a:ext cx="27432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1610ED9-FE00-40BD-8F7F-81F57958080E}" type="TxLink">
              <a:rPr lang="en-US" sz="1100" b="0" i="0" u="none" strike="noStrike">
                <a:solidFill>
                  <a:schemeClr val="bg1"/>
                </a:solidFill>
                <a:latin typeface="Aptos Narrow"/>
              </a:rPr>
              <a:pPr algn="ctr"/>
              <a:t> </a:t>
            </a:fld>
            <a:endParaRPr lang="ru-RU" sz="1100">
              <a:solidFill>
                <a:schemeClr val="bg1"/>
              </a:solidFill>
            </a:endParaRPr>
          </a:p>
        </xdr:txBody>
      </xdr:sp>
      <xdr:sp macro="" textlink="Processing!N18">
        <xdr:nvSpPr>
          <xdr:cNvPr id="42" name="TextBox 41">
            <a:extLst>
              <a:ext uri="{FF2B5EF4-FFF2-40B4-BE49-F238E27FC236}">
                <a16:creationId xmlns:a16="http://schemas.microsoft.com/office/drawing/2014/main" id="{811D504D-F454-49D8-B0C3-D338A87E9715}"/>
              </a:ext>
            </a:extLst>
          </xdr:cNvPr>
          <xdr:cNvSpPr txBox="1"/>
        </xdr:nvSpPr>
        <xdr:spPr>
          <a:xfrm>
            <a:off x="10881360" y="1352550"/>
            <a:ext cx="27432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0821B4C-4BAA-44F2-AE44-CF18588BA78E}" type="TxLink">
              <a:rPr lang="en-US" sz="1100" b="0" i="0" u="none" strike="noStrike">
                <a:solidFill>
                  <a:schemeClr val="bg1"/>
                </a:solidFill>
                <a:latin typeface="Aptos Narrow"/>
              </a:rPr>
              <a:pPr algn="ctr"/>
              <a:t> </a:t>
            </a:fld>
            <a:endParaRPr lang="ru-RU" sz="1100">
              <a:solidFill>
                <a:schemeClr val="bg1"/>
              </a:solidFill>
            </a:endParaRPr>
          </a:p>
        </xdr:txBody>
      </xdr:sp>
      <xdr:sp macro="" textlink="Processing!O18">
        <xdr:nvSpPr>
          <xdr:cNvPr id="43" name="TextBox 42">
            <a:extLst>
              <a:ext uri="{FF2B5EF4-FFF2-40B4-BE49-F238E27FC236}">
                <a16:creationId xmlns:a16="http://schemas.microsoft.com/office/drawing/2014/main" id="{01F38D09-AB6D-3BC7-A4B1-8F0ED47F8853}"/>
              </a:ext>
            </a:extLst>
          </xdr:cNvPr>
          <xdr:cNvSpPr txBox="1"/>
        </xdr:nvSpPr>
        <xdr:spPr>
          <a:xfrm>
            <a:off x="11211560" y="1352550"/>
            <a:ext cx="27432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3900FCD-5EFC-4A56-8CED-011582CB3E1E}" type="TxLink">
              <a:rPr lang="en-US" sz="1100" b="0" i="0" u="none" strike="noStrike">
                <a:solidFill>
                  <a:schemeClr val="bg1"/>
                </a:solidFill>
                <a:latin typeface="Aptos Narrow"/>
              </a:rPr>
              <a:pPr algn="ctr"/>
              <a:t>1</a:t>
            </a:fld>
            <a:endParaRPr lang="ru-RU" sz="1100">
              <a:solidFill>
                <a:schemeClr val="bg1"/>
              </a:solidFill>
            </a:endParaRPr>
          </a:p>
        </xdr:txBody>
      </xdr:sp>
      <xdr:sp macro="" textlink="Processing!P18">
        <xdr:nvSpPr>
          <xdr:cNvPr id="44" name="TextBox 43">
            <a:extLst>
              <a:ext uri="{FF2B5EF4-FFF2-40B4-BE49-F238E27FC236}">
                <a16:creationId xmlns:a16="http://schemas.microsoft.com/office/drawing/2014/main" id="{C5D0777A-E304-1442-011A-BCC176AA80C8}"/>
              </a:ext>
            </a:extLst>
          </xdr:cNvPr>
          <xdr:cNvSpPr txBox="1"/>
        </xdr:nvSpPr>
        <xdr:spPr>
          <a:xfrm>
            <a:off x="11541760" y="1352550"/>
            <a:ext cx="27432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1C9B50A-1F2B-470C-A2CD-50A82C48B554}" type="TxLink">
              <a:rPr lang="en-US" sz="1100" b="0" i="0" u="none" strike="noStrike">
                <a:solidFill>
                  <a:schemeClr val="bg1"/>
                </a:solidFill>
                <a:latin typeface="Aptos Narrow"/>
              </a:rPr>
              <a:pPr algn="ctr"/>
              <a:t>2</a:t>
            </a:fld>
            <a:endParaRPr lang="ru-RU" sz="1100">
              <a:solidFill>
                <a:schemeClr val="bg1"/>
              </a:solidFill>
            </a:endParaRPr>
          </a:p>
        </xdr:txBody>
      </xdr:sp>
      <xdr:sp macro="" textlink="Processing!Q18">
        <xdr:nvSpPr>
          <xdr:cNvPr id="45" name="TextBox 44">
            <a:extLst>
              <a:ext uri="{FF2B5EF4-FFF2-40B4-BE49-F238E27FC236}">
                <a16:creationId xmlns:a16="http://schemas.microsoft.com/office/drawing/2014/main" id="{4A3C95DC-49BF-8837-132F-2E9891D07384}"/>
              </a:ext>
            </a:extLst>
          </xdr:cNvPr>
          <xdr:cNvSpPr txBox="1"/>
        </xdr:nvSpPr>
        <xdr:spPr>
          <a:xfrm>
            <a:off x="11871960" y="1352550"/>
            <a:ext cx="27432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2B7511D-7E23-4379-9E06-0EFB29477EA3}" type="TxLink">
              <a:rPr lang="en-US" sz="1100" b="0" i="0" u="none" strike="noStrike">
                <a:solidFill>
                  <a:schemeClr val="bg1"/>
                </a:solidFill>
                <a:latin typeface="Aptos Narrow"/>
              </a:rPr>
              <a:pPr algn="ctr"/>
              <a:t>3</a:t>
            </a:fld>
            <a:endParaRPr lang="ru-RU" sz="1100">
              <a:solidFill>
                <a:schemeClr val="bg1"/>
              </a:solidFill>
            </a:endParaRPr>
          </a:p>
        </xdr:txBody>
      </xdr:sp>
      <xdr:sp macro="" textlink="Processing!K19">
        <xdr:nvSpPr>
          <xdr:cNvPr id="46" name="TextBox 45">
            <a:extLst>
              <a:ext uri="{FF2B5EF4-FFF2-40B4-BE49-F238E27FC236}">
                <a16:creationId xmlns:a16="http://schemas.microsoft.com/office/drawing/2014/main" id="{7D0D9FA2-A1E3-B145-B3FF-4B1A1BE8EF53}"/>
              </a:ext>
            </a:extLst>
          </xdr:cNvPr>
          <xdr:cNvSpPr txBox="1"/>
        </xdr:nvSpPr>
        <xdr:spPr>
          <a:xfrm>
            <a:off x="9890760" y="1604010"/>
            <a:ext cx="27432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734A8F3-B214-4719-B067-7A5649E0BED0}" type="TxLink">
              <a:rPr lang="en-US" sz="1100" b="0" i="0" u="none" strike="noStrike">
                <a:solidFill>
                  <a:schemeClr val="bg1"/>
                </a:solidFill>
                <a:latin typeface="Aptos Narrow"/>
              </a:rPr>
              <a:pPr algn="ctr"/>
              <a:t>4</a:t>
            </a:fld>
            <a:endParaRPr lang="ru-RU" sz="1100">
              <a:solidFill>
                <a:schemeClr val="bg1"/>
              </a:solidFill>
            </a:endParaRPr>
          </a:p>
        </xdr:txBody>
      </xdr:sp>
      <xdr:sp macro="" textlink="Processing!L19">
        <xdr:nvSpPr>
          <xdr:cNvPr id="47" name="TextBox 46">
            <a:extLst>
              <a:ext uri="{FF2B5EF4-FFF2-40B4-BE49-F238E27FC236}">
                <a16:creationId xmlns:a16="http://schemas.microsoft.com/office/drawing/2014/main" id="{29634ACD-26C8-6270-A314-DB29896A11A3}"/>
              </a:ext>
            </a:extLst>
          </xdr:cNvPr>
          <xdr:cNvSpPr txBox="1"/>
        </xdr:nvSpPr>
        <xdr:spPr>
          <a:xfrm>
            <a:off x="10220960" y="1604010"/>
            <a:ext cx="27432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F7073B0-31DA-4010-92B7-F7156DB1F6CD}" type="TxLink">
              <a:rPr lang="en-US" sz="1100" b="0" i="0" u="none" strike="noStrike">
                <a:solidFill>
                  <a:schemeClr val="bg1"/>
                </a:solidFill>
                <a:latin typeface="Aptos Narrow"/>
              </a:rPr>
              <a:pPr algn="ctr"/>
              <a:t>5</a:t>
            </a:fld>
            <a:endParaRPr lang="ru-RU" sz="1100">
              <a:solidFill>
                <a:schemeClr val="bg1"/>
              </a:solidFill>
            </a:endParaRPr>
          </a:p>
        </xdr:txBody>
      </xdr:sp>
      <xdr:sp macro="" textlink="Processing!M19">
        <xdr:nvSpPr>
          <xdr:cNvPr id="48" name="TextBox 47">
            <a:extLst>
              <a:ext uri="{FF2B5EF4-FFF2-40B4-BE49-F238E27FC236}">
                <a16:creationId xmlns:a16="http://schemas.microsoft.com/office/drawing/2014/main" id="{94E6C1D2-3354-0D34-FE22-A2F4A8C5C947}"/>
              </a:ext>
            </a:extLst>
          </xdr:cNvPr>
          <xdr:cNvSpPr txBox="1"/>
        </xdr:nvSpPr>
        <xdr:spPr>
          <a:xfrm>
            <a:off x="10551160" y="1604010"/>
            <a:ext cx="27432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E4519E0-88CC-4A87-BEC0-C59796ABFC34}" type="TxLink">
              <a:rPr lang="en-US" sz="1100" b="0" i="0" u="none" strike="noStrike">
                <a:solidFill>
                  <a:schemeClr val="bg1"/>
                </a:solidFill>
                <a:latin typeface="Aptos Narrow"/>
              </a:rPr>
              <a:pPr algn="ctr"/>
              <a:t>6</a:t>
            </a:fld>
            <a:endParaRPr lang="ru-RU" sz="1100">
              <a:solidFill>
                <a:schemeClr val="bg1"/>
              </a:solidFill>
            </a:endParaRPr>
          </a:p>
        </xdr:txBody>
      </xdr:sp>
      <xdr:sp macro="" textlink="Processing!N19">
        <xdr:nvSpPr>
          <xdr:cNvPr id="49" name="TextBox 48">
            <a:extLst>
              <a:ext uri="{FF2B5EF4-FFF2-40B4-BE49-F238E27FC236}">
                <a16:creationId xmlns:a16="http://schemas.microsoft.com/office/drawing/2014/main" id="{998F2DAF-06D7-3E87-12AD-6603A93A2F9F}"/>
              </a:ext>
            </a:extLst>
          </xdr:cNvPr>
          <xdr:cNvSpPr txBox="1"/>
        </xdr:nvSpPr>
        <xdr:spPr>
          <a:xfrm>
            <a:off x="10881360" y="1604010"/>
            <a:ext cx="27432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4851FCB-C615-4FE3-9319-CD60603925D0}" type="TxLink">
              <a:rPr lang="en-US" sz="1100" b="0" i="0" u="none" strike="noStrike">
                <a:solidFill>
                  <a:schemeClr val="bg1"/>
                </a:solidFill>
                <a:latin typeface="Aptos Narrow"/>
              </a:rPr>
              <a:pPr algn="ctr"/>
              <a:t>7</a:t>
            </a:fld>
            <a:endParaRPr lang="ru-RU" sz="1100">
              <a:solidFill>
                <a:schemeClr val="bg1"/>
              </a:solidFill>
            </a:endParaRPr>
          </a:p>
        </xdr:txBody>
      </xdr:sp>
      <xdr:sp macro="" textlink="Processing!O19">
        <xdr:nvSpPr>
          <xdr:cNvPr id="50" name="TextBox 49">
            <a:extLst>
              <a:ext uri="{FF2B5EF4-FFF2-40B4-BE49-F238E27FC236}">
                <a16:creationId xmlns:a16="http://schemas.microsoft.com/office/drawing/2014/main" id="{EE1928D0-28A5-24AB-EAC6-0672ED86E3AE}"/>
              </a:ext>
            </a:extLst>
          </xdr:cNvPr>
          <xdr:cNvSpPr txBox="1"/>
        </xdr:nvSpPr>
        <xdr:spPr>
          <a:xfrm>
            <a:off x="11211560" y="1604010"/>
            <a:ext cx="27432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FD928CD-492E-48F0-AAD1-A041DAEAA5E6}" type="TxLink">
              <a:rPr lang="en-US" sz="1100" b="0" i="0" u="none" strike="noStrike">
                <a:solidFill>
                  <a:schemeClr val="bg1"/>
                </a:solidFill>
                <a:latin typeface="Aptos Narrow"/>
              </a:rPr>
              <a:pPr algn="ctr"/>
              <a:t>8</a:t>
            </a:fld>
            <a:endParaRPr lang="ru-RU" sz="1100">
              <a:solidFill>
                <a:schemeClr val="bg1"/>
              </a:solidFill>
            </a:endParaRPr>
          </a:p>
        </xdr:txBody>
      </xdr:sp>
      <xdr:sp macro="" textlink="Processing!P19">
        <xdr:nvSpPr>
          <xdr:cNvPr id="51" name="TextBox 50">
            <a:extLst>
              <a:ext uri="{FF2B5EF4-FFF2-40B4-BE49-F238E27FC236}">
                <a16:creationId xmlns:a16="http://schemas.microsoft.com/office/drawing/2014/main" id="{7714D106-490F-EF94-6C6D-8E9C98D88ACA}"/>
              </a:ext>
            </a:extLst>
          </xdr:cNvPr>
          <xdr:cNvSpPr txBox="1"/>
        </xdr:nvSpPr>
        <xdr:spPr>
          <a:xfrm>
            <a:off x="11541760" y="1604010"/>
            <a:ext cx="27432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ADF5C92-B1EA-4B23-93A4-EDF486955967}" type="TxLink">
              <a:rPr lang="en-US" sz="1100" b="0" i="0" u="none" strike="noStrike">
                <a:solidFill>
                  <a:schemeClr val="bg1"/>
                </a:solidFill>
                <a:latin typeface="Aptos Narrow"/>
              </a:rPr>
              <a:pPr algn="ctr"/>
              <a:t>9</a:t>
            </a:fld>
            <a:endParaRPr lang="ru-RU" sz="1100">
              <a:solidFill>
                <a:schemeClr val="bg1"/>
              </a:solidFill>
            </a:endParaRPr>
          </a:p>
        </xdr:txBody>
      </xdr:sp>
      <xdr:sp macro="" textlink="Processing!Q19">
        <xdr:nvSpPr>
          <xdr:cNvPr id="52" name="TextBox 51">
            <a:extLst>
              <a:ext uri="{FF2B5EF4-FFF2-40B4-BE49-F238E27FC236}">
                <a16:creationId xmlns:a16="http://schemas.microsoft.com/office/drawing/2014/main" id="{1881A6D1-E280-6E99-31B0-EE6F81F654F4}"/>
              </a:ext>
            </a:extLst>
          </xdr:cNvPr>
          <xdr:cNvSpPr txBox="1"/>
        </xdr:nvSpPr>
        <xdr:spPr>
          <a:xfrm>
            <a:off x="11871960" y="1604010"/>
            <a:ext cx="27432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F13E9FE-F125-434D-BD7E-0614FC50A4FA}" type="TxLink">
              <a:rPr lang="en-US" sz="1100" b="0" i="0" u="none" strike="noStrike">
                <a:solidFill>
                  <a:schemeClr val="bg1"/>
                </a:solidFill>
                <a:latin typeface="Aptos Narrow"/>
              </a:rPr>
              <a:pPr algn="ctr"/>
              <a:t>10</a:t>
            </a:fld>
            <a:endParaRPr lang="ru-RU" sz="1100">
              <a:solidFill>
                <a:schemeClr val="bg1"/>
              </a:solidFill>
            </a:endParaRPr>
          </a:p>
        </xdr:txBody>
      </xdr:sp>
      <xdr:sp macro="" textlink="Processing!K20">
        <xdr:nvSpPr>
          <xdr:cNvPr id="53" name="TextBox 52">
            <a:extLst>
              <a:ext uri="{FF2B5EF4-FFF2-40B4-BE49-F238E27FC236}">
                <a16:creationId xmlns:a16="http://schemas.microsoft.com/office/drawing/2014/main" id="{C5772F17-40C8-832C-5C5E-A3101807428E}"/>
              </a:ext>
            </a:extLst>
          </xdr:cNvPr>
          <xdr:cNvSpPr txBox="1"/>
        </xdr:nvSpPr>
        <xdr:spPr>
          <a:xfrm>
            <a:off x="9861957" y="1863090"/>
            <a:ext cx="331927"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93D72D5-7AC8-45DD-8439-FB93AFA960DC}" type="TxLink">
              <a:rPr lang="en-US" sz="1100" b="0" i="0" u="none" strike="noStrike">
                <a:solidFill>
                  <a:schemeClr val="bg1"/>
                </a:solidFill>
                <a:latin typeface="Aptos Narrow"/>
              </a:rPr>
              <a:pPr algn="ctr"/>
              <a:t>11</a:t>
            </a:fld>
            <a:endParaRPr lang="ru-RU" sz="1100">
              <a:solidFill>
                <a:schemeClr val="bg1"/>
              </a:solidFill>
            </a:endParaRPr>
          </a:p>
        </xdr:txBody>
      </xdr:sp>
      <xdr:sp macro="" textlink="Processing!L20">
        <xdr:nvSpPr>
          <xdr:cNvPr id="54" name="TextBox 53">
            <a:extLst>
              <a:ext uri="{FF2B5EF4-FFF2-40B4-BE49-F238E27FC236}">
                <a16:creationId xmlns:a16="http://schemas.microsoft.com/office/drawing/2014/main" id="{1D9203BE-7592-3180-DD0C-95C308B6A091}"/>
              </a:ext>
            </a:extLst>
          </xdr:cNvPr>
          <xdr:cNvSpPr txBox="1"/>
        </xdr:nvSpPr>
        <xdr:spPr>
          <a:xfrm>
            <a:off x="10192157" y="1863090"/>
            <a:ext cx="331927"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2516537-E3FB-4583-9CFC-58FE2FBD8DA0}" type="TxLink">
              <a:rPr lang="en-US" sz="1100" b="0" i="0" u="none" strike="noStrike">
                <a:solidFill>
                  <a:schemeClr val="bg1"/>
                </a:solidFill>
                <a:latin typeface="Aptos Narrow"/>
              </a:rPr>
              <a:pPr algn="ctr"/>
              <a:t>12</a:t>
            </a:fld>
            <a:endParaRPr lang="ru-RU" sz="1100">
              <a:solidFill>
                <a:schemeClr val="bg1"/>
              </a:solidFill>
            </a:endParaRPr>
          </a:p>
        </xdr:txBody>
      </xdr:sp>
      <xdr:sp macro="" textlink="Processing!M20">
        <xdr:nvSpPr>
          <xdr:cNvPr id="55" name="TextBox 54">
            <a:extLst>
              <a:ext uri="{FF2B5EF4-FFF2-40B4-BE49-F238E27FC236}">
                <a16:creationId xmlns:a16="http://schemas.microsoft.com/office/drawing/2014/main" id="{A64A6284-A673-B463-E7E0-3BAB908B2EB7}"/>
              </a:ext>
            </a:extLst>
          </xdr:cNvPr>
          <xdr:cNvSpPr txBox="1"/>
        </xdr:nvSpPr>
        <xdr:spPr>
          <a:xfrm>
            <a:off x="10522357" y="1863090"/>
            <a:ext cx="331927"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76D20A2-3B17-4419-A0BB-129F95622FC4}" type="TxLink">
              <a:rPr lang="en-US" sz="1100" b="0" i="0" u="none" strike="noStrike">
                <a:solidFill>
                  <a:schemeClr val="bg1"/>
                </a:solidFill>
                <a:latin typeface="Aptos Narrow"/>
              </a:rPr>
              <a:pPr algn="ctr"/>
              <a:t>13</a:t>
            </a:fld>
            <a:endParaRPr lang="ru-RU" sz="1100">
              <a:solidFill>
                <a:schemeClr val="bg1"/>
              </a:solidFill>
            </a:endParaRPr>
          </a:p>
        </xdr:txBody>
      </xdr:sp>
      <xdr:sp macro="" textlink="Processing!N20">
        <xdr:nvSpPr>
          <xdr:cNvPr id="56" name="TextBox 55">
            <a:extLst>
              <a:ext uri="{FF2B5EF4-FFF2-40B4-BE49-F238E27FC236}">
                <a16:creationId xmlns:a16="http://schemas.microsoft.com/office/drawing/2014/main" id="{0F7B0C41-2249-D808-3A21-DA5EF27931F4}"/>
              </a:ext>
            </a:extLst>
          </xdr:cNvPr>
          <xdr:cNvSpPr txBox="1"/>
        </xdr:nvSpPr>
        <xdr:spPr>
          <a:xfrm>
            <a:off x="10852557" y="1863090"/>
            <a:ext cx="331927"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2057887-148A-4DA4-9606-3F1365AB6939}" type="TxLink">
              <a:rPr lang="en-US" sz="1100" b="0" i="0" u="none" strike="noStrike">
                <a:solidFill>
                  <a:schemeClr val="bg1"/>
                </a:solidFill>
                <a:latin typeface="Aptos Narrow"/>
              </a:rPr>
              <a:pPr algn="ctr"/>
              <a:t>14</a:t>
            </a:fld>
            <a:endParaRPr lang="ru-RU" sz="1100">
              <a:solidFill>
                <a:schemeClr val="bg1"/>
              </a:solidFill>
            </a:endParaRPr>
          </a:p>
        </xdr:txBody>
      </xdr:sp>
      <xdr:sp macro="" textlink="Processing!O20">
        <xdr:nvSpPr>
          <xdr:cNvPr id="57" name="TextBox 56">
            <a:extLst>
              <a:ext uri="{FF2B5EF4-FFF2-40B4-BE49-F238E27FC236}">
                <a16:creationId xmlns:a16="http://schemas.microsoft.com/office/drawing/2014/main" id="{355BDC8A-2F50-DE67-D2A7-57EF15ED3B93}"/>
              </a:ext>
            </a:extLst>
          </xdr:cNvPr>
          <xdr:cNvSpPr txBox="1"/>
        </xdr:nvSpPr>
        <xdr:spPr>
          <a:xfrm>
            <a:off x="11182757" y="1863090"/>
            <a:ext cx="331927"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CFDC083-655D-45DE-ABDC-201FA0A374BB}" type="TxLink">
              <a:rPr lang="en-US" sz="1100" b="0" i="0" u="none" strike="noStrike">
                <a:solidFill>
                  <a:schemeClr val="bg1"/>
                </a:solidFill>
                <a:latin typeface="Aptos Narrow"/>
              </a:rPr>
              <a:pPr algn="ctr"/>
              <a:t>15</a:t>
            </a:fld>
            <a:endParaRPr lang="ru-RU" sz="1100">
              <a:solidFill>
                <a:schemeClr val="bg1"/>
              </a:solidFill>
            </a:endParaRPr>
          </a:p>
        </xdr:txBody>
      </xdr:sp>
      <xdr:sp macro="" textlink="Processing!P20">
        <xdr:nvSpPr>
          <xdr:cNvPr id="58" name="TextBox 57">
            <a:extLst>
              <a:ext uri="{FF2B5EF4-FFF2-40B4-BE49-F238E27FC236}">
                <a16:creationId xmlns:a16="http://schemas.microsoft.com/office/drawing/2014/main" id="{457A93DD-A0F8-8058-41FA-0172095D172C}"/>
              </a:ext>
            </a:extLst>
          </xdr:cNvPr>
          <xdr:cNvSpPr txBox="1"/>
        </xdr:nvSpPr>
        <xdr:spPr>
          <a:xfrm>
            <a:off x="11512957" y="1863090"/>
            <a:ext cx="331927"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7F05786-ECB9-4D56-894B-DEAE253EFB82}" type="TxLink">
              <a:rPr lang="en-US" sz="1100" b="0" i="0" u="none" strike="noStrike">
                <a:solidFill>
                  <a:schemeClr val="bg1"/>
                </a:solidFill>
                <a:latin typeface="Aptos Narrow"/>
              </a:rPr>
              <a:pPr algn="ctr"/>
              <a:t>16</a:t>
            </a:fld>
            <a:endParaRPr lang="ru-RU" sz="1100">
              <a:solidFill>
                <a:schemeClr val="bg1"/>
              </a:solidFill>
            </a:endParaRPr>
          </a:p>
        </xdr:txBody>
      </xdr:sp>
      <xdr:sp macro="" textlink="Processing!Q20">
        <xdr:nvSpPr>
          <xdr:cNvPr id="59" name="TextBox 58">
            <a:extLst>
              <a:ext uri="{FF2B5EF4-FFF2-40B4-BE49-F238E27FC236}">
                <a16:creationId xmlns:a16="http://schemas.microsoft.com/office/drawing/2014/main" id="{43DEDC40-A077-3641-ECAA-5F062513F2B0}"/>
              </a:ext>
            </a:extLst>
          </xdr:cNvPr>
          <xdr:cNvSpPr txBox="1"/>
        </xdr:nvSpPr>
        <xdr:spPr>
          <a:xfrm>
            <a:off x="11843157" y="1863090"/>
            <a:ext cx="331927"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0BBCAF6-90AB-44AA-84B2-9314DE957D23}" type="TxLink">
              <a:rPr lang="en-US" sz="1100" b="0" i="0" u="none" strike="noStrike">
                <a:solidFill>
                  <a:schemeClr val="bg1"/>
                </a:solidFill>
                <a:latin typeface="Aptos Narrow"/>
              </a:rPr>
              <a:pPr algn="ctr"/>
              <a:t>17</a:t>
            </a:fld>
            <a:endParaRPr lang="ru-RU" sz="1100">
              <a:solidFill>
                <a:schemeClr val="bg1"/>
              </a:solidFill>
            </a:endParaRPr>
          </a:p>
        </xdr:txBody>
      </xdr:sp>
      <xdr:sp macro="" textlink="Processing!K21">
        <xdr:nvSpPr>
          <xdr:cNvPr id="60" name="TextBox 59">
            <a:extLst>
              <a:ext uri="{FF2B5EF4-FFF2-40B4-BE49-F238E27FC236}">
                <a16:creationId xmlns:a16="http://schemas.microsoft.com/office/drawing/2014/main" id="{567D2CFA-7C18-3365-EEB1-CDBF5E0A240F}"/>
              </a:ext>
            </a:extLst>
          </xdr:cNvPr>
          <xdr:cNvSpPr txBox="1"/>
        </xdr:nvSpPr>
        <xdr:spPr>
          <a:xfrm>
            <a:off x="9861957" y="2114550"/>
            <a:ext cx="331927"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F60CDE4-322C-40AF-8B58-CAED286107F1}" type="TxLink">
              <a:rPr lang="en-US" sz="1100" b="0" i="0" u="none" strike="noStrike">
                <a:solidFill>
                  <a:schemeClr val="bg1"/>
                </a:solidFill>
                <a:latin typeface="Aptos Narrow"/>
              </a:rPr>
              <a:pPr algn="ctr"/>
              <a:t>18</a:t>
            </a:fld>
            <a:endParaRPr lang="ru-RU" sz="1100">
              <a:solidFill>
                <a:schemeClr val="bg1"/>
              </a:solidFill>
            </a:endParaRPr>
          </a:p>
        </xdr:txBody>
      </xdr:sp>
      <xdr:sp macro="" textlink="Processing!L21">
        <xdr:nvSpPr>
          <xdr:cNvPr id="61" name="TextBox 60">
            <a:extLst>
              <a:ext uri="{FF2B5EF4-FFF2-40B4-BE49-F238E27FC236}">
                <a16:creationId xmlns:a16="http://schemas.microsoft.com/office/drawing/2014/main" id="{0634B1CA-D71D-227F-C8BB-B03E518C6658}"/>
              </a:ext>
            </a:extLst>
          </xdr:cNvPr>
          <xdr:cNvSpPr txBox="1"/>
        </xdr:nvSpPr>
        <xdr:spPr>
          <a:xfrm>
            <a:off x="10192157" y="2114550"/>
            <a:ext cx="331927"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50F645A-C85B-45BE-BE89-CFB916D180F5}" type="TxLink">
              <a:rPr lang="en-US" sz="1100" b="0" i="0" u="none" strike="noStrike">
                <a:solidFill>
                  <a:schemeClr val="bg1"/>
                </a:solidFill>
                <a:latin typeface="Aptos Narrow"/>
              </a:rPr>
              <a:pPr algn="ctr"/>
              <a:t>19</a:t>
            </a:fld>
            <a:endParaRPr lang="ru-RU" sz="1100">
              <a:solidFill>
                <a:schemeClr val="bg1"/>
              </a:solidFill>
            </a:endParaRPr>
          </a:p>
        </xdr:txBody>
      </xdr:sp>
      <xdr:sp macro="" textlink="Processing!M21">
        <xdr:nvSpPr>
          <xdr:cNvPr id="62" name="TextBox 61">
            <a:extLst>
              <a:ext uri="{FF2B5EF4-FFF2-40B4-BE49-F238E27FC236}">
                <a16:creationId xmlns:a16="http://schemas.microsoft.com/office/drawing/2014/main" id="{877739B9-E8B6-150B-7F65-AE22C5055540}"/>
              </a:ext>
            </a:extLst>
          </xdr:cNvPr>
          <xdr:cNvSpPr txBox="1"/>
        </xdr:nvSpPr>
        <xdr:spPr>
          <a:xfrm>
            <a:off x="10522357" y="2114550"/>
            <a:ext cx="331927"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2D4DE51-B53E-43A7-BF59-7EB4745421B3}" type="TxLink">
              <a:rPr lang="en-US" sz="1100" b="0" i="0" u="none" strike="noStrike">
                <a:solidFill>
                  <a:schemeClr val="bg1"/>
                </a:solidFill>
                <a:latin typeface="Aptos Narrow"/>
              </a:rPr>
              <a:pPr algn="ctr"/>
              <a:t>20</a:t>
            </a:fld>
            <a:endParaRPr lang="ru-RU" sz="1100">
              <a:solidFill>
                <a:schemeClr val="bg1"/>
              </a:solidFill>
            </a:endParaRPr>
          </a:p>
        </xdr:txBody>
      </xdr:sp>
      <xdr:sp macro="" textlink="Processing!N21">
        <xdr:nvSpPr>
          <xdr:cNvPr id="63" name="TextBox 62">
            <a:extLst>
              <a:ext uri="{FF2B5EF4-FFF2-40B4-BE49-F238E27FC236}">
                <a16:creationId xmlns:a16="http://schemas.microsoft.com/office/drawing/2014/main" id="{592CA2E7-6312-4CB0-CCFF-69413087723B}"/>
              </a:ext>
            </a:extLst>
          </xdr:cNvPr>
          <xdr:cNvSpPr txBox="1"/>
        </xdr:nvSpPr>
        <xdr:spPr>
          <a:xfrm>
            <a:off x="10852557" y="2114550"/>
            <a:ext cx="331927"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00A3283-8CA4-4689-B118-D630B42327C5}" type="TxLink">
              <a:rPr lang="en-US" sz="1100" b="0" i="0" u="none" strike="noStrike">
                <a:solidFill>
                  <a:schemeClr val="bg1"/>
                </a:solidFill>
                <a:latin typeface="Aptos Narrow"/>
              </a:rPr>
              <a:pPr algn="ctr"/>
              <a:t>21</a:t>
            </a:fld>
            <a:endParaRPr lang="ru-RU" sz="1100">
              <a:solidFill>
                <a:schemeClr val="bg1"/>
              </a:solidFill>
            </a:endParaRPr>
          </a:p>
        </xdr:txBody>
      </xdr:sp>
      <xdr:sp macro="" textlink="Processing!O21">
        <xdr:nvSpPr>
          <xdr:cNvPr id="64" name="TextBox 63">
            <a:extLst>
              <a:ext uri="{FF2B5EF4-FFF2-40B4-BE49-F238E27FC236}">
                <a16:creationId xmlns:a16="http://schemas.microsoft.com/office/drawing/2014/main" id="{80661EC5-EC75-5356-6B38-79D378B46E59}"/>
              </a:ext>
            </a:extLst>
          </xdr:cNvPr>
          <xdr:cNvSpPr txBox="1"/>
        </xdr:nvSpPr>
        <xdr:spPr>
          <a:xfrm>
            <a:off x="11182757" y="2114550"/>
            <a:ext cx="331927"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6813377-304F-4B02-B975-0B14037BE775}" type="TxLink">
              <a:rPr lang="en-US" sz="1100" b="0" i="0" u="none" strike="noStrike">
                <a:solidFill>
                  <a:schemeClr val="bg1"/>
                </a:solidFill>
                <a:latin typeface="Aptos Narrow"/>
              </a:rPr>
              <a:pPr algn="ctr"/>
              <a:t>22</a:t>
            </a:fld>
            <a:endParaRPr lang="ru-RU" sz="1100">
              <a:solidFill>
                <a:schemeClr val="bg1"/>
              </a:solidFill>
            </a:endParaRPr>
          </a:p>
        </xdr:txBody>
      </xdr:sp>
      <xdr:sp macro="" textlink="Processing!P21">
        <xdr:nvSpPr>
          <xdr:cNvPr id="65" name="TextBox 64">
            <a:extLst>
              <a:ext uri="{FF2B5EF4-FFF2-40B4-BE49-F238E27FC236}">
                <a16:creationId xmlns:a16="http://schemas.microsoft.com/office/drawing/2014/main" id="{AC47ED58-88ED-33DC-8880-2A4A819B6E8D}"/>
              </a:ext>
            </a:extLst>
          </xdr:cNvPr>
          <xdr:cNvSpPr txBox="1"/>
        </xdr:nvSpPr>
        <xdr:spPr>
          <a:xfrm>
            <a:off x="11512957" y="2114550"/>
            <a:ext cx="331927"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197EDCA-3BCF-4D6C-952C-105DC49430B5}" type="TxLink">
              <a:rPr lang="en-US" sz="1100" b="0" i="0" u="none" strike="noStrike">
                <a:solidFill>
                  <a:schemeClr val="bg1"/>
                </a:solidFill>
                <a:latin typeface="Aptos Narrow"/>
              </a:rPr>
              <a:pPr algn="ctr"/>
              <a:t>23</a:t>
            </a:fld>
            <a:endParaRPr lang="ru-RU" sz="1100">
              <a:solidFill>
                <a:schemeClr val="bg1"/>
              </a:solidFill>
            </a:endParaRPr>
          </a:p>
        </xdr:txBody>
      </xdr:sp>
      <xdr:sp macro="" textlink="Processing!Q21">
        <xdr:nvSpPr>
          <xdr:cNvPr id="66" name="TextBox 65">
            <a:extLst>
              <a:ext uri="{FF2B5EF4-FFF2-40B4-BE49-F238E27FC236}">
                <a16:creationId xmlns:a16="http://schemas.microsoft.com/office/drawing/2014/main" id="{83686784-F075-CC03-559E-D3BB0D72C0CE}"/>
              </a:ext>
            </a:extLst>
          </xdr:cNvPr>
          <xdr:cNvSpPr txBox="1"/>
        </xdr:nvSpPr>
        <xdr:spPr>
          <a:xfrm>
            <a:off x="11843157" y="2114550"/>
            <a:ext cx="331927"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02C04EE-592A-4139-AD3F-13DE1EDB025B}" type="TxLink">
              <a:rPr lang="en-US" sz="1100" b="0" i="0" u="none" strike="noStrike">
                <a:solidFill>
                  <a:schemeClr val="bg1"/>
                </a:solidFill>
                <a:latin typeface="Aptos Narrow"/>
              </a:rPr>
              <a:pPr algn="ctr"/>
              <a:t>24</a:t>
            </a:fld>
            <a:endParaRPr lang="ru-RU" sz="1100">
              <a:solidFill>
                <a:schemeClr val="bg1"/>
              </a:solidFill>
            </a:endParaRPr>
          </a:p>
        </xdr:txBody>
      </xdr:sp>
      <xdr:sp macro="" textlink="Processing!K22">
        <xdr:nvSpPr>
          <xdr:cNvPr id="67" name="TextBox 66">
            <a:extLst>
              <a:ext uri="{FF2B5EF4-FFF2-40B4-BE49-F238E27FC236}">
                <a16:creationId xmlns:a16="http://schemas.microsoft.com/office/drawing/2014/main" id="{F3C505CA-E17C-2375-3481-F5FEFDD93C7F}"/>
              </a:ext>
            </a:extLst>
          </xdr:cNvPr>
          <xdr:cNvSpPr txBox="1"/>
        </xdr:nvSpPr>
        <xdr:spPr>
          <a:xfrm>
            <a:off x="9861957" y="2373630"/>
            <a:ext cx="331927"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3434D46-59CD-48AF-A619-BF930CF101C1}" type="TxLink">
              <a:rPr lang="en-US" sz="1100" b="0" i="0" u="none" strike="noStrike">
                <a:solidFill>
                  <a:schemeClr val="bg1"/>
                </a:solidFill>
                <a:latin typeface="Aptos Narrow"/>
              </a:rPr>
              <a:pPr algn="ctr"/>
              <a:t>25</a:t>
            </a:fld>
            <a:endParaRPr lang="ru-RU" sz="1100">
              <a:solidFill>
                <a:schemeClr val="bg1"/>
              </a:solidFill>
            </a:endParaRPr>
          </a:p>
        </xdr:txBody>
      </xdr:sp>
      <xdr:sp macro="" textlink="Processing!L22">
        <xdr:nvSpPr>
          <xdr:cNvPr id="68" name="TextBox 67">
            <a:extLst>
              <a:ext uri="{FF2B5EF4-FFF2-40B4-BE49-F238E27FC236}">
                <a16:creationId xmlns:a16="http://schemas.microsoft.com/office/drawing/2014/main" id="{24E0098B-FEFA-68A1-E954-E1E942E21F3B}"/>
              </a:ext>
            </a:extLst>
          </xdr:cNvPr>
          <xdr:cNvSpPr txBox="1"/>
        </xdr:nvSpPr>
        <xdr:spPr>
          <a:xfrm>
            <a:off x="10192157" y="2373630"/>
            <a:ext cx="331927"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08C6F43-D2D6-4FDA-97F5-39CC07F013C4}" type="TxLink">
              <a:rPr lang="en-US" sz="1100" b="0" i="0" u="none" strike="noStrike">
                <a:solidFill>
                  <a:schemeClr val="bg1"/>
                </a:solidFill>
                <a:latin typeface="Aptos Narrow"/>
              </a:rPr>
              <a:pPr algn="ctr"/>
              <a:t>26</a:t>
            </a:fld>
            <a:endParaRPr lang="ru-RU" sz="1100">
              <a:solidFill>
                <a:schemeClr val="bg1"/>
              </a:solidFill>
            </a:endParaRPr>
          </a:p>
        </xdr:txBody>
      </xdr:sp>
      <xdr:sp macro="" textlink="Processing!M22">
        <xdr:nvSpPr>
          <xdr:cNvPr id="69" name="TextBox 68">
            <a:extLst>
              <a:ext uri="{FF2B5EF4-FFF2-40B4-BE49-F238E27FC236}">
                <a16:creationId xmlns:a16="http://schemas.microsoft.com/office/drawing/2014/main" id="{3953B3B8-766F-1BAE-8424-FE7501EDBC0F}"/>
              </a:ext>
            </a:extLst>
          </xdr:cNvPr>
          <xdr:cNvSpPr txBox="1"/>
        </xdr:nvSpPr>
        <xdr:spPr>
          <a:xfrm>
            <a:off x="10522357" y="2373630"/>
            <a:ext cx="331927"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80B591B-3685-4584-BBAD-C0107B433C6F}" type="TxLink">
              <a:rPr lang="en-US" sz="1100" b="0" i="0" u="none" strike="noStrike">
                <a:solidFill>
                  <a:schemeClr val="bg1"/>
                </a:solidFill>
                <a:latin typeface="Aptos Narrow"/>
              </a:rPr>
              <a:pPr algn="ctr"/>
              <a:t>27</a:t>
            </a:fld>
            <a:endParaRPr lang="ru-RU" sz="1100">
              <a:solidFill>
                <a:schemeClr val="bg1"/>
              </a:solidFill>
            </a:endParaRPr>
          </a:p>
        </xdr:txBody>
      </xdr:sp>
      <xdr:sp macro="" textlink="Processing!N22">
        <xdr:nvSpPr>
          <xdr:cNvPr id="70" name="TextBox 69">
            <a:extLst>
              <a:ext uri="{FF2B5EF4-FFF2-40B4-BE49-F238E27FC236}">
                <a16:creationId xmlns:a16="http://schemas.microsoft.com/office/drawing/2014/main" id="{998E2223-B1C3-932E-4E86-C4DDA5571165}"/>
              </a:ext>
            </a:extLst>
          </xdr:cNvPr>
          <xdr:cNvSpPr txBox="1"/>
        </xdr:nvSpPr>
        <xdr:spPr>
          <a:xfrm>
            <a:off x="10852557" y="2373630"/>
            <a:ext cx="331927"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9151E29-6C8F-4181-B53C-00B141B89A32}" type="TxLink">
              <a:rPr lang="en-US" sz="1100" b="0" i="0" u="none" strike="noStrike">
                <a:solidFill>
                  <a:schemeClr val="bg1"/>
                </a:solidFill>
                <a:latin typeface="Aptos Narrow"/>
              </a:rPr>
              <a:pPr algn="ctr"/>
              <a:t>28</a:t>
            </a:fld>
            <a:endParaRPr lang="ru-RU" sz="1100">
              <a:solidFill>
                <a:schemeClr val="bg1"/>
              </a:solidFill>
            </a:endParaRPr>
          </a:p>
        </xdr:txBody>
      </xdr:sp>
      <xdr:sp macro="" textlink="Processing!O22">
        <xdr:nvSpPr>
          <xdr:cNvPr id="71" name="TextBox 70">
            <a:extLst>
              <a:ext uri="{FF2B5EF4-FFF2-40B4-BE49-F238E27FC236}">
                <a16:creationId xmlns:a16="http://schemas.microsoft.com/office/drawing/2014/main" id="{8C43BF76-669D-D8D1-1006-15DEFA82904E}"/>
              </a:ext>
            </a:extLst>
          </xdr:cNvPr>
          <xdr:cNvSpPr txBox="1"/>
        </xdr:nvSpPr>
        <xdr:spPr>
          <a:xfrm>
            <a:off x="11182757" y="2373630"/>
            <a:ext cx="331927"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8B71AD2-8317-4217-BCD5-0AE664AC41DE}" type="TxLink">
              <a:rPr lang="en-US" sz="1100" b="0" i="0" u="none" strike="noStrike">
                <a:solidFill>
                  <a:schemeClr val="bg1"/>
                </a:solidFill>
                <a:latin typeface="Aptos Narrow"/>
              </a:rPr>
              <a:pPr algn="ctr"/>
              <a:t>29</a:t>
            </a:fld>
            <a:endParaRPr lang="ru-RU" sz="1100">
              <a:solidFill>
                <a:schemeClr val="bg1"/>
              </a:solidFill>
            </a:endParaRPr>
          </a:p>
        </xdr:txBody>
      </xdr:sp>
      <xdr:sp macro="" textlink="Processing!P22">
        <xdr:nvSpPr>
          <xdr:cNvPr id="72" name="TextBox 71">
            <a:extLst>
              <a:ext uri="{FF2B5EF4-FFF2-40B4-BE49-F238E27FC236}">
                <a16:creationId xmlns:a16="http://schemas.microsoft.com/office/drawing/2014/main" id="{DF622DAC-DA02-FA87-1EC9-4E8D0491D152}"/>
              </a:ext>
            </a:extLst>
          </xdr:cNvPr>
          <xdr:cNvSpPr txBox="1"/>
        </xdr:nvSpPr>
        <xdr:spPr>
          <a:xfrm>
            <a:off x="11512957" y="2373630"/>
            <a:ext cx="331927"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3152B50-DF90-4733-A7AC-635DF7B3EE72}" type="TxLink">
              <a:rPr lang="en-US" sz="1100" b="0" i="0" u="none" strike="noStrike">
                <a:solidFill>
                  <a:schemeClr val="bg1"/>
                </a:solidFill>
                <a:latin typeface="Aptos Narrow"/>
              </a:rPr>
              <a:pPr algn="ctr"/>
              <a:t>30</a:t>
            </a:fld>
            <a:endParaRPr lang="ru-RU" sz="1100">
              <a:solidFill>
                <a:schemeClr val="bg1"/>
              </a:solidFill>
            </a:endParaRPr>
          </a:p>
        </xdr:txBody>
      </xdr:sp>
      <xdr:sp macro="" textlink="Processing!Q22">
        <xdr:nvSpPr>
          <xdr:cNvPr id="73" name="TextBox 72">
            <a:extLst>
              <a:ext uri="{FF2B5EF4-FFF2-40B4-BE49-F238E27FC236}">
                <a16:creationId xmlns:a16="http://schemas.microsoft.com/office/drawing/2014/main" id="{9D082893-EB17-0E9C-1E94-6E9366AF665B}"/>
              </a:ext>
            </a:extLst>
          </xdr:cNvPr>
          <xdr:cNvSpPr txBox="1"/>
        </xdr:nvSpPr>
        <xdr:spPr>
          <a:xfrm>
            <a:off x="11843157" y="2373630"/>
            <a:ext cx="331927"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0DD52F1-01A4-4DC0-A191-276895FD2A53}" type="TxLink">
              <a:rPr lang="en-US" sz="1100" b="0" i="0" u="none" strike="noStrike">
                <a:solidFill>
                  <a:schemeClr val="bg1"/>
                </a:solidFill>
                <a:latin typeface="Aptos Narrow"/>
              </a:rPr>
              <a:pPr algn="ctr"/>
              <a:t> </a:t>
            </a:fld>
            <a:endParaRPr lang="ru-RU" sz="1100">
              <a:solidFill>
                <a:schemeClr val="bg1"/>
              </a:solidFill>
            </a:endParaRPr>
          </a:p>
        </xdr:txBody>
      </xdr:sp>
      <xdr:sp macro="" textlink="Processing!K23">
        <xdr:nvSpPr>
          <xdr:cNvPr id="74" name="TextBox 73">
            <a:extLst>
              <a:ext uri="{FF2B5EF4-FFF2-40B4-BE49-F238E27FC236}">
                <a16:creationId xmlns:a16="http://schemas.microsoft.com/office/drawing/2014/main" id="{5C6F6D56-8677-D19C-F686-6286BDD4C12B}"/>
              </a:ext>
            </a:extLst>
          </xdr:cNvPr>
          <xdr:cNvSpPr txBox="1"/>
        </xdr:nvSpPr>
        <xdr:spPr>
          <a:xfrm>
            <a:off x="9861957" y="2625090"/>
            <a:ext cx="331927"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2E74728-937F-4954-89A7-B828DA252D8E}" type="TxLink">
              <a:rPr lang="en-US" sz="1100" b="0" i="0" u="none" strike="noStrike">
                <a:solidFill>
                  <a:schemeClr val="bg1"/>
                </a:solidFill>
                <a:latin typeface="Aptos Narrow"/>
              </a:rPr>
              <a:pPr algn="ctr"/>
              <a:t> </a:t>
            </a:fld>
            <a:endParaRPr lang="ru-RU" sz="1100">
              <a:solidFill>
                <a:schemeClr val="bg1"/>
              </a:solidFill>
            </a:endParaRPr>
          </a:p>
        </xdr:txBody>
      </xdr:sp>
      <xdr:sp macro="" textlink="Processing!L23">
        <xdr:nvSpPr>
          <xdr:cNvPr id="75" name="TextBox 74">
            <a:extLst>
              <a:ext uri="{FF2B5EF4-FFF2-40B4-BE49-F238E27FC236}">
                <a16:creationId xmlns:a16="http://schemas.microsoft.com/office/drawing/2014/main" id="{F59DC04C-B35B-0E59-EC4A-02A071FA62F8}"/>
              </a:ext>
            </a:extLst>
          </xdr:cNvPr>
          <xdr:cNvSpPr txBox="1"/>
        </xdr:nvSpPr>
        <xdr:spPr>
          <a:xfrm>
            <a:off x="10192157" y="2625090"/>
            <a:ext cx="331927"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6566E17-270D-48FD-A911-0D721FAE9D81}" type="TxLink">
              <a:rPr lang="en-US" sz="1100" b="0" i="0" u="none" strike="noStrike">
                <a:solidFill>
                  <a:schemeClr val="bg1"/>
                </a:solidFill>
                <a:latin typeface="Aptos Narrow"/>
              </a:rPr>
              <a:pPr algn="ctr"/>
              <a:t> </a:t>
            </a:fld>
            <a:endParaRPr lang="ru-RU" sz="1100">
              <a:solidFill>
                <a:schemeClr val="bg1"/>
              </a:solidFill>
            </a:endParaRPr>
          </a:p>
        </xdr:txBody>
      </xdr:sp>
      <xdr:sp macro="" textlink="Processing!M23">
        <xdr:nvSpPr>
          <xdr:cNvPr id="76" name="TextBox 75">
            <a:extLst>
              <a:ext uri="{FF2B5EF4-FFF2-40B4-BE49-F238E27FC236}">
                <a16:creationId xmlns:a16="http://schemas.microsoft.com/office/drawing/2014/main" id="{CD530902-EF9C-8915-2A14-5B94628A8E43}"/>
              </a:ext>
            </a:extLst>
          </xdr:cNvPr>
          <xdr:cNvSpPr txBox="1"/>
        </xdr:nvSpPr>
        <xdr:spPr>
          <a:xfrm>
            <a:off x="10522357" y="2625090"/>
            <a:ext cx="331927"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8107160-E3A7-4ACE-886C-33D4EAAF47DF}" type="TxLink">
              <a:rPr lang="en-US" sz="1100" b="0" i="0" u="none" strike="noStrike">
                <a:solidFill>
                  <a:schemeClr val="bg1"/>
                </a:solidFill>
                <a:latin typeface="Aptos Narrow"/>
              </a:rPr>
              <a:pPr algn="ctr"/>
              <a:t> </a:t>
            </a:fld>
            <a:endParaRPr lang="ru-RU" sz="1100">
              <a:solidFill>
                <a:schemeClr val="bg1"/>
              </a:solidFill>
            </a:endParaRPr>
          </a:p>
        </xdr:txBody>
      </xdr:sp>
      <xdr:sp macro="" textlink="Processing!N23">
        <xdr:nvSpPr>
          <xdr:cNvPr id="77" name="TextBox 76">
            <a:extLst>
              <a:ext uri="{FF2B5EF4-FFF2-40B4-BE49-F238E27FC236}">
                <a16:creationId xmlns:a16="http://schemas.microsoft.com/office/drawing/2014/main" id="{17E248A4-1A5D-6295-4819-D4EA8B0BF455}"/>
              </a:ext>
            </a:extLst>
          </xdr:cNvPr>
          <xdr:cNvSpPr txBox="1"/>
        </xdr:nvSpPr>
        <xdr:spPr>
          <a:xfrm>
            <a:off x="10852557" y="2625090"/>
            <a:ext cx="331927"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8EB2ECB-6F7F-4F10-BE5E-B980037A19FA}" type="TxLink">
              <a:rPr lang="en-US" sz="1100" b="0" i="0" u="none" strike="noStrike">
                <a:solidFill>
                  <a:schemeClr val="bg1"/>
                </a:solidFill>
                <a:latin typeface="Aptos Narrow"/>
              </a:rPr>
              <a:pPr algn="ctr"/>
              <a:t> </a:t>
            </a:fld>
            <a:endParaRPr lang="ru-RU" sz="1100">
              <a:solidFill>
                <a:schemeClr val="bg1"/>
              </a:solidFill>
            </a:endParaRPr>
          </a:p>
        </xdr:txBody>
      </xdr:sp>
      <xdr:sp macro="" textlink="Processing!O23">
        <xdr:nvSpPr>
          <xdr:cNvPr id="78" name="TextBox 77">
            <a:extLst>
              <a:ext uri="{FF2B5EF4-FFF2-40B4-BE49-F238E27FC236}">
                <a16:creationId xmlns:a16="http://schemas.microsoft.com/office/drawing/2014/main" id="{6BE858CE-1167-82A0-EF85-CFE981FC4024}"/>
              </a:ext>
            </a:extLst>
          </xdr:cNvPr>
          <xdr:cNvSpPr txBox="1"/>
        </xdr:nvSpPr>
        <xdr:spPr>
          <a:xfrm>
            <a:off x="11182757" y="2625090"/>
            <a:ext cx="331927"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45878CA-C1A0-4731-81FB-EF7CE4A076F3}" type="TxLink">
              <a:rPr lang="en-US" sz="1100" b="0" i="0" u="none" strike="noStrike">
                <a:solidFill>
                  <a:schemeClr val="bg1"/>
                </a:solidFill>
                <a:latin typeface="Aptos Narrow"/>
              </a:rPr>
              <a:pPr algn="ctr"/>
              <a:t> </a:t>
            </a:fld>
            <a:endParaRPr lang="ru-RU" sz="1100">
              <a:solidFill>
                <a:schemeClr val="bg1"/>
              </a:solidFill>
            </a:endParaRPr>
          </a:p>
        </xdr:txBody>
      </xdr:sp>
      <xdr:sp macro="" textlink="Processing!P23">
        <xdr:nvSpPr>
          <xdr:cNvPr id="79" name="TextBox 78">
            <a:extLst>
              <a:ext uri="{FF2B5EF4-FFF2-40B4-BE49-F238E27FC236}">
                <a16:creationId xmlns:a16="http://schemas.microsoft.com/office/drawing/2014/main" id="{B0F683AB-3B17-301F-5808-83D32EA75CDF}"/>
              </a:ext>
            </a:extLst>
          </xdr:cNvPr>
          <xdr:cNvSpPr txBox="1"/>
        </xdr:nvSpPr>
        <xdr:spPr>
          <a:xfrm>
            <a:off x="11512957" y="2625090"/>
            <a:ext cx="331927"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216AF94-6942-426F-9EE2-7466AA9E6F81}" type="TxLink">
              <a:rPr lang="en-US" sz="1100" b="0" i="0" u="none" strike="noStrike">
                <a:solidFill>
                  <a:schemeClr val="bg1"/>
                </a:solidFill>
                <a:latin typeface="Aptos Narrow"/>
              </a:rPr>
              <a:pPr algn="ctr"/>
              <a:t> </a:t>
            </a:fld>
            <a:endParaRPr lang="ru-RU" sz="1100">
              <a:solidFill>
                <a:schemeClr val="bg1"/>
              </a:solidFill>
            </a:endParaRPr>
          </a:p>
        </xdr:txBody>
      </xdr:sp>
      <xdr:sp macro="" textlink="Processing!Q23">
        <xdr:nvSpPr>
          <xdr:cNvPr id="80" name="TextBox 79">
            <a:extLst>
              <a:ext uri="{FF2B5EF4-FFF2-40B4-BE49-F238E27FC236}">
                <a16:creationId xmlns:a16="http://schemas.microsoft.com/office/drawing/2014/main" id="{CCA5CA1D-0CFB-A561-AF09-EE1408AD0E30}"/>
              </a:ext>
            </a:extLst>
          </xdr:cNvPr>
          <xdr:cNvSpPr txBox="1"/>
        </xdr:nvSpPr>
        <xdr:spPr>
          <a:xfrm>
            <a:off x="11843157" y="2625090"/>
            <a:ext cx="331927"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F8D5031-89A1-4503-AD3B-7EFDD2B20049}" type="TxLink">
              <a:rPr lang="en-US" sz="1100" b="0" i="0" u="none" strike="noStrike">
                <a:solidFill>
                  <a:schemeClr val="bg1"/>
                </a:solidFill>
                <a:latin typeface="Aptos Narrow"/>
              </a:rPr>
              <a:pPr algn="ctr"/>
              <a:t> </a:t>
            </a:fld>
            <a:endParaRPr lang="ru-RU" sz="1100">
              <a:solidFill>
                <a:schemeClr val="bg1"/>
              </a:solidFill>
            </a:endParaRPr>
          </a:p>
        </xdr:txBody>
      </xdr:sp>
    </xdr:grpSp>
    <xdr:clientData/>
  </xdr:twoCellAnchor>
  <xdr:twoCellAnchor>
    <xdr:from>
      <xdr:col>3</xdr:col>
      <xdr:colOff>480060</xdr:colOff>
      <xdr:row>14</xdr:row>
      <xdr:rowOff>40776</xdr:rowOff>
    </xdr:from>
    <xdr:to>
      <xdr:col>4</xdr:col>
      <xdr:colOff>495008</xdr:colOff>
      <xdr:row>15</xdr:row>
      <xdr:rowOff>164965</xdr:rowOff>
    </xdr:to>
    <xdr:sp macro="" textlink="Processing!J3">
      <xdr:nvSpPr>
        <xdr:cNvPr id="81" name="TextBox 80">
          <a:extLst>
            <a:ext uri="{FF2B5EF4-FFF2-40B4-BE49-F238E27FC236}">
              <a16:creationId xmlns:a16="http://schemas.microsoft.com/office/drawing/2014/main" id="{92683617-C380-4DFD-9E69-541A75220838}"/>
            </a:ext>
          </a:extLst>
        </xdr:cNvPr>
        <xdr:cNvSpPr txBox="1"/>
      </xdr:nvSpPr>
      <xdr:spPr>
        <a:xfrm>
          <a:off x="2308860" y="2601096"/>
          <a:ext cx="624548" cy="3070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B651ED33-8F01-41CA-96B5-2480A3CCD5B8}" type="TxLink">
            <a:rPr lang="en-US" sz="900" b="0" i="0" u="none" strike="noStrike">
              <a:solidFill>
                <a:srgbClr val="28BEBA"/>
              </a:solidFill>
              <a:latin typeface="Aptos Narrow"/>
              <a:ea typeface="+mn-ea"/>
              <a:cs typeface="+mn-cs"/>
            </a:rPr>
            <a:pPr marL="0" indent="0" algn="ctr"/>
            <a:t>Target 1</a:t>
          </a:fld>
          <a:endParaRPr lang="ru-RU" sz="1200" b="0" i="0" u="none" strike="noStrike">
            <a:solidFill>
              <a:srgbClr val="28BEBA"/>
            </a:solidFill>
            <a:latin typeface="Aptos Narrow"/>
            <a:ea typeface="+mn-ea"/>
            <a:cs typeface="+mn-cs"/>
          </a:endParaRPr>
        </a:p>
      </xdr:txBody>
    </xdr:sp>
    <xdr:clientData/>
  </xdr:twoCellAnchor>
  <xdr:twoCellAnchor>
    <xdr:from>
      <xdr:col>3</xdr:col>
      <xdr:colOff>480060</xdr:colOff>
      <xdr:row>16</xdr:row>
      <xdr:rowOff>25536</xdr:rowOff>
    </xdr:from>
    <xdr:to>
      <xdr:col>4</xdr:col>
      <xdr:colOff>495008</xdr:colOff>
      <xdr:row>17</xdr:row>
      <xdr:rowOff>149725</xdr:rowOff>
    </xdr:to>
    <xdr:sp macro="" textlink="Processing!J4">
      <xdr:nvSpPr>
        <xdr:cNvPr id="82" name="TextBox 81">
          <a:extLst>
            <a:ext uri="{FF2B5EF4-FFF2-40B4-BE49-F238E27FC236}">
              <a16:creationId xmlns:a16="http://schemas.microsoft.com/office/drawing/2014/main" id="{553D77B1-F984-47FB-BDDE-1DC154220470}"/>
            </a:ext>
          </a:extLst>
        </xdr:cNvPr>
        <xdr:cNvSpPr txBox="1"/>
      </xdr:nvSpPr>
      <xdr:spPr>
        <a:xfrm>
          <a:off x="2308860" y="2951616"/>
          <a:ext cx="624548" cy="3070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61BD5C03-9666-4F95-9C4A-BCF38E0A9883}" type="TxLink">
            <a:rPr lang="en-US" sz="900" b="0" i="0" u="none" strike="noStrike">
              <a:solidFill>
                <a:srgbClr val="3879F2"/>
              </a:solidFill>
              <a:latin typeface="Aptos Narrow"/>
              <a:ea typeface="+mn-ea"/>
              <a:cs typeface="+mn-cs"/>
            </a:rPr>
            <a:pPr marL="0" indent="0" algn="ctr"/>
            <a:t>Target 2</a:t>
          </a:fld>
          <a:endParaRPr lang="ru-RU" sz="1000" b="0" i="0" u="none" strike="noStrike">
            <a:solidFill>
              <a:srgbClr val="3879F2"/>
            </a:solidFill>
            <a:latin typeface="Aptos Narrow"/>
            <a:ea typeface="+mn-ea"/>
            <a:cs typeface="+mn-cs"/>
          </a:endParaRPr>
        </a:p>
      </xdr:txBody>
    </xdr:sp>
    <xdr:clientData/>
  </xdr:twoCellAnchor>
  <xdr:twoCellAnchor>
    <xdr:from>
      <xdr:col>3</xdr:col>
      <xdr:colOff>480060</xdr:colOff>
      <xdr:row>18</xdr:row>
      <xdr:rowOff>10296</xdr:rowOff>
    </xdr:from>
    <xdr:to>
      <xdr:col>4</xdr:col>
      <xdr:colOff>495008</xdr:colOff>
      <xdr:row>19</xdr:row>
      <xdr:rowOff>134485</xdr:rowOff>
    </xdr:to>
    <xdr:sp macro="" textlink="Processing!J5">
      <xdr:nvSpPr>
        <xdr:cNvPr id="83" name="TextBox 82">
          <a:extLst>
            <a:ext uri="{FF2B5EF4-FFF2-40B4-BE49-F238E27FC236}">
              <a16:creationId xmlns:a16="http://schemas.microsoft.com/office/drawing/2014/main" id="{690D8977-84F1-43C5-A1C9-5BF8CB13CF79}"/>
            </a:ext>
          </a:extLst>
        </xdr:cNvPr>
        <xdr:cNvSpPr txBox="1"/>
      </xdr:nvSpPr>
      <xdr:spPr>
        <a:xfrm>
          <a:off x="2308860" y="3302136"/>
          <a:ext cx="624548" cy="3070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4D0E215D-3655-4F66-ACFB-977969128424}" type="TxLink">
            <a:rPr lang="en-US" sz="900" b="0" i="0" u="none" strike="noStrike">
              <a:solidFill>
                <a:srgbClr val="FF7684"/>
              </a:solidFill>
              <a:latin typeface="Aptos Narrow"/>
              <a:ea typeface="+mn-ea"/>
              <a:cs typeface="+mn-cs"/>
            </a:rPr>
            <a:pPr marL="0" indent="0" algn="ctr"/>
            <a:t>Target 3</a:t>
          </a:fld>
          <a:endParaRPr lang="ru-RU" sz="1000" b="0" i="0" u="none" strike="noStrike">
            <a:solidFill>
              <a:srgbClr val="FF7684"/>
            </a:solidFill>
            <a:latin typeface="Aptos Narrow"/>
            <a:ea typeface="+mn-ea"/>
            <a:cs typeface="+mn-cs"/>
          </a:endParaRPr>
        </a:p>
      </xdr:txBody>
    </xdr:sp>
    <xdr:clientData/>
  </xdr:twoCellAnchor>
  <xdr:twoCellAnchor>
    <xdr:from>
      <xdr:col>3</xdr:col>
      <xdr:colOff>480060</xdr:colOff>
      <xdr:row>19</xdr:row>
      <xdr:rowOff>177936</xdr:rowOff>
    </xdr:from>
    <xdr:to>
      <xdr:col>4</xdr:col>
      <xdr:colOff>495008</xdr:colOff>
      <xdr:row>21</xdr:row>
      <xdr:rowOff>119245</xdr:rowOff>
    </xdr:to>
    <xdr:sp macro="" textlink="Processing!J6">
      <xdr:nvSpPr>
        <xdr:cNvPr id="84" name="TextBox 83">
          <a:extLst>
            <a:ext uri="{FF2B5EF4-FFF2-40B4-BE49-F238E27FC236}">
              <a16:creationId xmlns:a16="http://schemas.microsoft.com/office/drawing/2014/main" id="{CAD51E3C-2D95-4259-AAE2-8DC6E39BE0FB}"/>
            </a:ext>
          </a:extLst>
        </xdr:cNvPr>
        <xdr:cNvSpPr txBox="1"/>
      </xdr:nvSpPr>
      <xdr:spPr>
        <a:xfrm>
          <a:off x="2308860" y="3652656"/>
          <a:ext cx="624548" cy="3070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D58AA4D8-5D6F-485A-A4E3-857258D4E43D}" type="TxLink">
            <a:rPr lang="en-US" sz="900" b="0" i="0" u="none" strike="noStrike">
              <a:solidFill>
                <a:srgbClr val="00ADD6"/>
              </a:solidFill>
              <a:latin typeface="Aptos Narrow"/>
              <a:ea typeface="+mn-ea"/>
              <a:cs typeface="+mn-cs"/>
            </a:rPr>
            <a:pPr marL="0" indent="0" algn="ctr"/>
            <a:t>Target 4</a:t>
          </a:fld>
          <a:endParaRPr lang="ru-RU" sz="1000" b="0" i="0" u="none" strike="noStrike">
            <a:solidFill>
              <a:srgbClr val="00ADD6"/>
            </a:solidFill>
            <a:latin typeface="Aptos Narrow"/>
            <a:ea typeface="+mn-ea"/>
            <a:cs typeface="+mn-cs"/>
          </a:endParaRPr>
        </a:p>
      </xdr:txBody>
    </xdr:sp>
    <xdr:clientData/>
  </xdr:twoCellAnchor>
  <xdr:twoCellAnchor>
    <xdr:from>
      <xdr:col>3</xdr:col>
      <xdr:colOff>480060</xdr:colOff>
      <xdr:row>21</xdr:row>
      <xdr:rowOff>162696</xdr:rowOff>
    </xdr:from>
    <xdr:to>
      <xdr:col>4</xdr:col>
      <xdr:colOff>495008</xdr:colOff>
      <xdr:row>23</xdr:row>
      <xdr:rowOff>104005</xdr:rowOff>
    </xdr:to>
    <xdr:sp macro="" textlink="Processing!J7">
      <xdr:nvSpPr>
        <xdr:cNvPr id="85" name="TextBox 84">
          <a:extLst>
            <a:ext uri="{FF2B5EF4-FFF2-40B4-BE49-F238E27FC236}">
              <a16:creationId xmlns:a16="http://schemas.microsoft.com/office/drawing/2014/main" id="{C79884D0-77E1-4321-B13F-A15B6F00BD6E}"/>
            </a:ext>
          </a:extLst>
        </xdr:cNvPr>
        <xdr:cNvSpPr txBox="1"/>
      </xdr:nvSpPr>
      <xdr:spPr>
        <a:xfrm>
          <a:off x="2308860" y="4003176"/>
          <a:ext cx="624548" cy="3070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BBD31B8A-D271-4BDE-984C-859332B009E3}" type="TxLink">
            <a:rPr lang="en-US" sz="900" b="0" i="0" u="none" strike="noStrike">
              <a:solidFill>
                <a:srgbClr val="6978B4"/>
              </a:solidFill>
              <a:latin typeface="Aptos Narrow"/>
              <a:ea typeface="+mn-ea"/>
              <a:cs typeface="+mn-cs"/>
            </a:rPr>
            <a:pPr marL="0" indent="0" algn="ctr"/>
            <a:t>Target 5</a:t>
          </a:fld>
          <a:endParaRPr lang="ru-RU" sz="1000" b="0" i="0" u="none" strike="noStrike">
            <a:solidFill>
              <a:srgbClr val="6978B4"/>
            </a:solidFill>
            <a:latin typeface="Aptos Narrow"/>
            <a:ea typeface="+mn-ea"/>
            <a:cs typeface="+mn-cs"/>
          </a:endParaRPr>
        </a:p>
      </xdr:txBody>
    </xdr:sp>
    <xdr:clientData/>
  </xdr:twoCellAnchor>
  <xdr:twoCellAnchor>
    <xdr:from>
      <xdr:col>3</xdr:col>
      <xdr:colOff>426720</xdr:colOff>
      <xdr:row>4</xdr:row>
      <xdr:rowOff>106680</xdr:rowOff>
    </xdr:from>
    <xdr:to>
      <xdr:col>12</xdr:col>
      <xdr:colOff>121920</xdr:colOff>
      <xdr:row>11</xdr:row>
      <xdr:rowOff>106680</xdr:rowOff>
    </xdr:to>
    <xdr:sp macro="" textlink="">
      <xdr:nvSpPr>
        <xdr:cNvPr id="86" name="Rectangle: Rounded Corners 85">
          <a:extLst>
            <a:ext uri="{FF2B5EF4-FFF2-40B4-BE49-F238E27FC236}">
              <a16:creationId xmlns:a16="http://schemas.microsoft.com/office/drawing/2014/main" id="{27969005-9F2C-17DD-C76E-131C92C944BC}"/>
            </a:ext>
          </a:extLst>
        </xdr:cNvPr>
        <xdr:cNvSpPr/>
      </xdr:nvSpPr>
      <xdr:spPr>
        <a:xfrm>
          <a:off x="2255520" y="838200"/>
          <a:ext cx="5181600" cy="1280160"/>
        </a:xfrm>
        <a:prstGeom prst="roundRect">
          <a:avLst>
            <a:gd name="adj" fmla="val 13342"/>
          </a:avLst>
        </a:prstGeom>
        <a:gradFill flip="none" rotWithShape="1">
          <a:gsLst>
            <a:gs pos="0">
              <a:srgbClr val="1C4285"/>
            </a:gs>
            <a:gs pos="55000">
              <a:srgbClr val="13295E"/>
            </a:gs>
          </a:gsLst>
          <a:lin ang="4200000" scaled="0"/>
          <a:tileRect/>
        </a:gradFill>
        <a:ln w="9525">
          <a:gradFill>
            <a:gsLst>
              <a:gs pos="0">
                <a:srgbClr val="6494DA"/>
              </a:gs>
              <a:gs pos="74000">
                <a:srgbClr val="BCC6FF"/>
              </a:gs>
              <a:gs pos="100000">
                <a:srgbClr val="2F6EC7"/>
              </a:gs>
            </a:gsLst>
            <a:lin ang="5400000" scaled="1"/>
          </a:gradFill>
        </a:ln>
        <a:effectLst>
          <a:outerShdw blurRad="190500" dist="101600" dir="8100000" algn="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clientData/>
  </xdr:twoCellAnchor>
  <xdr:twoCellAnchor>
    <xdr:from>
      <xdr:col>4</xdr:col>
      <xdr:colOff>0</xdr:colOff>
      <xdr:row>4</xdr:row>
      <xdr:rowOff>114300</xdr:rowOff>
    </xdr:from>
    <xdr:to>
      <xdr:col>7</xdr:col>
      <xdr:colOff>457200</xdr:colOff>
      <xdr:row>11</xdr:row>
      <xdr:rowOff>129540</xdr:rowOff>
    </xdr:to>
    <xdr:graphicFrame macro="">
      <xdr:nvGraphicFramePr>
        <xdr:cNvPr id="87" name="Chart 86">
          <a:extLst>
            <a:ext uri="{FF2B5EF4-FFF2-40B4-BE49-F238E27FC236}">
              <a16:creationId xmlns:a16="http://schemas.microsoft.com/office/drawing/2014/main" id="{29472E62-808F-4B22-B9EF-5D0917E11DD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8</xdr:col>
      <xdr:colOff>15240</xdr:colOff>
      <xdr:row>5</xdr:row>
      <xdr:rowOff>0</xdr:rowOff>
    </xdr:from>
    <xdr:to>
      <xdr:col>11</xdr:col>
      <xdr:colOff>472440</xdr:colOff>
      <xdr:row>10</xdr:row>
      <xdr:rowOff>152400</xdr:rowOff>
    </xdr:to>
    <xdr:graphicFrame macro="">
      <xdr:nvGraphicFramePr>
        <xdr:cNvPr id="26" name="Chart 25">
          <a:extLst>
            <a:ext uri="{FF2B5EF4-FFF2-40B4-BE49-F238E27FC236}">
              <a16:creationId xmlns:a16="http://schemas.microsoft.com/office/drawing/2014/main" id="{78C1D8F6-86AC-4B45-A7DA-2C140F15A43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oneCell">
    <xdr:from>
      <xdr:col>8</xdr:col>
      <xdr:colOff>129540</xdr:colOff>
      <xdr:row>9</xdr:row>
      <xdr:rowOff>22860</xdr:rowOff>
    </xdr:from>
    <xdr:to>
      <xdr:col>11</xdr:col>
      <xdr:colOff>403860</xdr:colOff>
      <xdr:row>11</xdr:row>
      <xdr:rowOff>86868</xdr:rowOff>
    </xdr:to>
    <mc:AlternateContent xmlns:mc="http://schemas.openxmlformats.org/markup-compatibility/2006" xmlns:a14="http://schemas.microsoft.com/office/drawing/2010/main">
      <mc:Choice Requires="a14">
        <xdr:graphicFrame macro="">
          <xdr:nvGraphicFramePr>
            <xdr:cNvPr id="33" name="Year 3">
              <a:extLst>
                <a:ext uri="{FF2B5EF4-FFF2-40B4-BE49-F238E27FC236}">
                  <a16:creationId xmlns:a16="http://schemas.microsoft.com/office/drawing/2014/main" id="{972D1A15-598A-4624-BB6F-F988B354F8E0}"/>
                </a:ext>
              </a:extLst>
            </xdr:cNvPr>
            <xdr:cNvGraphicFramePr/>
          </xdr:nvGraphicFramePr>
          <xdr:xfrm>
            <a:off x="0" y="0"/>
            <a:ext cx="0" cy="0"/>
          </xdr:xfrm>
          <a:graphic>
            <a:graphicData uri="http://schemas.microsoft.com/office/drawing/2010/slicer">
              <sle:slicer xmlns:sle="http://schemas.microsoft.com/office/drawing/2010/slicer" name="Year 3"/>
            </a:graphicData>
          </a:graphic>
        </xdr:graphicFrame>
      </mc:Choice>
      <mc:Fallback xmlns="">
        <xdr:sp macro="" textlink="">
          <xdr:nvSpPr>
            <xdr:cNvPr id="0" name=""/>
            <xdr:cNvSpPr>
              <a:spLocks noTextEdit="1"/>
            </xdr:cNvSpPr>
          </xdr:nvSpPr>
          <xdr:spPr>
            <a:xfrm>
              <a:off x="5006340" y="1668780"/>
              <a:ext cx="2103120" cy="429768"/>
            </a:xfrm>
            <a:prstGeom prst="rect">
              <a:avLst/>
            </a:prstGeom>
            <a:solidFill>
              <a:prstClr val="white"/>
            </a:solidFill>
            <a:ln w="1">
              <a:solidFill>
                <a:prstClr val="green"/>
              </a:solidFill>
            </a:ln>
          </xdr:spPr>
          <xdr:txBody>
            <a:bodyPr vertOverflow="clip" horzOverflow="clip"/>
            <a:lstStyle/>
            <a:p>
              <a:r>
                <a:rPr lang="ru-R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12</xdr:col>
      <xdr:colOff>213947</xdr:colOff>
      <xdr:row>17</xdr:row>
      <xdr:rowOff>167640</xdr:rowOff>
    </xdr:from>
    <xdr:to>
      <xdr:col>15</xdr:col>
      <xdr:colOff>167054</xdr:colOff>
      <xdr:row>20</xdr:row>
      <xdr:rowOff>68580</xdr:rowOff>
    </xdr:to>
    <xdr:sp macro="" textlink="Processing!J50">
      <xdr:nvSpPr>
        <xdr:cNvPr id="88" name="TextBox 87">
          <a:extLst>
            <a:ext uri="{FF2B5EF4-FFF2-40B4-BE49-F238E27FC236}">
              <a16:creationId xmlns:a16="http://schemas.microsoft.com/office/drawing/2014/main" id="{6E40064D-27A0-D811-55E1-BDCC0F1573B1}"/>
            </a:ext>
          </a:extLst>
        </xdr:cNvPr>
        <xdr:cNvSpPr txBox="1"/>
      </xdr:nvSpPr>
      <xdr:spPr>
        <a:xfrm>
          <a:off x="7529147" y="3276600"/>
          <a:ext cx="1781907" cy="4495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12813B5-DCE5-420D-BC73-1A5D337DC5CB}" type="TxLink">
            <a:rPr lang="en-US" sz="1400" b="0" i="0" u="none" strike="noStrike">
              <a:solidFill>
                <a:schemeClr val="tx2">
                  <a:lumMod val="25000"/>
                  <a:lumOff val="75000"/>
                </a:schemeClr>
              </a:solidFill>
              <a:latin typeface="Aptos Narrow"/>
            </a:rPr>
            <a:pPr algn="ctr"/>
            <a:t>Essential Costs</a:t>
          </a:fld>
          <a:endParaRPr lang="ru-RU" sz="4400" b="0">
            <a:solidFill>
              <a:schemeClr val="tx2">
                <a:lumMod val="25000"/>
                <a:lumOff val="75000"/>
              </a:schemeClr>
            </a:solidFill>
          </a:endParaRPr>
        </a:p>
      </xdr:txBody>
    </xdr:sp>
    <xdr:clientData/>
  </xdr:twoCellAnchor>
  <xdr:twoCellAnchor>
    <xdr:from>
      <xdr:col>17</xdr:col>
      <xdr:colOff>229187</xdr:colOff>
      <xdr:row>19</xdr:row>
      <xdr:rowOff>76200</xdr:rowOff>
    </xdr:from>
    <xdr:to>
      <xdr:col>20</xdr:col>
      <xdr:colOff>182294</xdr:colOff>
      <xdr:row>21</xdr:row>
      <xdr:rowOff>160020</xdr:rowOff>
    </xdr:to>
    <xdr:sp macro="" textlink="Processing!L57">
      <xdr:nvSpPr>
        <xdr:cNvPr id="89" name="TextBox 88">
          <a:extLst>
            <a:ext uri="{FF2B5EF4-FFF2-40B4-BE49-F238E27FC236}">
              <a16:creationId xmlns:a16="http://schemas.microsoft.com/office/drawing/2014/main" id="{6B0172B8-B8DB-6344-0154-0203916F4A2A}"/>
            </a:ext>
          </a:extLst>
        </xdr:cNvPr>
        <xdr:cNvSpPr txBox="1"/>
      </xdr:nvSpPr>
      <xdr:spPr>
        <a:xfrm>
          <a:off x="10592387" y="3550920"/>
          <a:ext cx="1781907" cy="4495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E6FC241-889E-4855-A681-F9BD51DD1C65}" type="TxLink">
            <a:rPr lang="en-US" sz="1800" b="0" i="0" u="none" strike="noStrike">
              <a:solidFill>
                <a:schemeClr val="bg1"/>
              </a:solidFill>
              <a:latin typeface="Aptos Narrow"/>
            </a:rPr>
            <a:pPr algn="ctr"/>
            <a:t>$ 5 929</a:t>
          </a:fld>
          <a:endParaRPr lang="ru-RU" sz="6600" b="0">
            <a:solidFill>
              <a:schemeClr val="bg1"/>
            </a:solidFill>
          </a:endParaRPr>
        </a:p>
      </xdr:txBody>
    </xdr:sp>
    <xdr:clientData/>
  </xdr:twoCellAnchor>
  <xdr:twoCellAnchor>
    <xdr:from>
      <xdr:col>15</xdr:col>
      <xdr:colOff>358140</xdr:colOff>
      <xdr:row>18</xdr:row>
      <xdr:rowOff>139722</xdr:rowOff>
    </xdr:from>
    <xdr:to>
      <xdr:col>17</xdr:col>
      <xdr:colOff>144780</xdr:colOff>
      <xdr:row>20</xdr:row>
      <xdr:rowOff>111738</xdr:rowOff>
    </xdr:to>
    <xdr:sp macro="" textlink="Processing!I52">
      <xdr:nvSpPr>
        <xdr:cNvPr id="90" name="TextBox 89">
          <a:extLst>
            <a:ext uri="{FF2B5EF4-FFF2-40B4-BE49-F238E27FC236}">
              <a16:creationId xmlns:a16="http://schemas.microsoft.com/office/drawing/2014/main" id="{0FA30F11-26DE-7EDD-71D4-40C9DC8A466B}"/>
            </a:ext>
          </a:extLst>
        </xdr:cNvPr>
        <xdr:cNvSpPr txBox="1"/>
      </xdr:nvSpPr>
      <xdr:spPr>
        <a:xfrm>
          <a:off x="9502140" y="3431562"/>
          <a:ext cx="1005840" cy="3377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40E0C301-3FFA-472B-B11F-51077B0ABFF6}" type="TxLink">
            <a:rPr lang="en-US" sz="1200" b="0" i="0" u="none" strike="noStrike">
              <a:solidFill>
                <a:schemeClr val="bg1"/>
              </a:solidFill>
              <a:latin typeface="Aptos Narrow"/>
            </a:rPr>
            <a:pPr algn="l"/>
            <a:t>$ 1 104</a:t>
          </a:fld>
          <a:endParaRPr lang="ru-RU" sz="4400" b="0">
            <a:solidFill>
              <a:schemeClr val="bg1"/>
            </a:solidFill>
          </a:endParaRPr>
        </a:p>
      </xdr:txBody>
    </xdr:sp>
    <xdr:clientData/>
  </xdr:twoCellAnchor>
  <xdr:twoCellAnchor>
    <xdr:from>
      <xdr:col>16</xdr:col>
      <xdr:colOff>586740</xdr:colOff>
      <xdr:row>22</xdr:row>
      <xdr:rowOff>101622</xdr:rowOff>
    </xdr:from>
    <xdr:to>
      <xdr:col>18</xdr:col>
      <xdr:colOff>373380</xdr:colOff>
      <xdr:row>24</xdr:row>
      <xdr:rowOff>73638</xdr:rowOff>
    </xdr:to>
    <xdr:sp macro="" textlink="Processing!I53">
      <xdr:nvSpPr>
        <xdr:cNvPr id="91" name="TextBox 90">
          <a:extLst>
            <a:ext uri="{FF2B5EF4-FFF2-40B4-BE49-F238E27FC236}">
              <a16:creationId xmlns:a16="http://schemas.microsoft.com/office/drawing/2014/main" id="{ED8C30A3-630F-DEB8-E71B-204E5C928396}"/>
            </a:ext>
          </a:extLst>
        </xdr:cNvPr>
        <xdr:cNvSpPr txBox="1"/>
      </xdr:nvSpPr>
      <xdr:spPr>
        <a:xfrm>
          <a:off x="10340340" y="4124982"/>
          <a:ext cx="1005840" cy="3377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7E09F8E9-1EBE-4D44-AB91-66AE9555F3DC}" type="TxLink">
            <a:rPr lang="en-US" sz="1200" b="0" i="0" u="none" strike="noStrike">
              <a:solidFill>
                <a:schemeClr val="bg1"/>
              </a:solidFill>
              <a:latin typeface="Aptos Narrow"/>
            </a:rPr>
            <a:pPr algn="l"/>
            <a:t>$ 1 307</a:t>
          </a:fld>
          <a:endParaRPr lang="en-US" sz="1200" b="0" i="0" u="none" strike="noStrike">
            <a:solidFill>
              <a:schemeClr val="bg1"/>
            </a:solidFill>
            <a:latin typeface="Aptos Narrow"/>
          </a:endParaRPr>
        </a:p>
      </xdr:txBody>
    </xdr:sp>
    <xdr:clientData/>
  </xdr:twoCellAnchor>
  <xdr:twoCellAnchor>
    <xdr:from>
      <xdr:col>12</xdr:col>
      <xdr:colOff>381000</xdr:colOff>
      <xdr:row>22</xdr:row>
      <xdr:rowOff>101622</xdr:rowOff>
    </xdr:from>
    <xdr:to>
      <xdr:col>14</xdr:col>
      <xdr:colOff>167640</xdr:colOff>
      <xdr:row>24</xdr:row>
      <xdr:rowOff>73638</xdr:rowOff>
    </xdr:to>
    <xdr:sp macro="" textlink="Processing!I56">
      <xdr:nvSpPr>
        <xdr:cNvPr id="92" name="TextBox 91">
          <a:extLst>
            <a:ext uri="{FF2B5EF4-FFF2-40B4-BE49-F238E27FC236}">
              <a16:creationId xmlns:a16="http://schemas.microsoft.com/office/drawing/2014/main" id="{CD2E19B0-CBB5-4A52-C0E8-1D5935FEFE05}"/>
            </a:ext>
          </a:extLst>
        </xdr:cNvPr>
        <xdr:cNvSpPr txBox="1"/>
      </xdr:nvSpPr>
      <xdr:spPr>
        <a:xfrm>
          <a:off x="7696200" y="4124982"/>
          <a:ext cx="1005840" cy="3377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79040F99-EE1D-4510-9279-DAE818FC7592}" type="TxLink">
            <a:rPr lang="en-US" sz="1200" b="0" i="0" u="none" strike="noStrike">
              <a:solidFill>
                <a:schemeClr val="bg1"/>
              </a:solidFill>
              <a:latin typeface="Aptos Narrow"/>
            </a:rPr>
            <a:pPr algn="l"/>
            <a:t>$ 1 144</a:t>
          </a:fld>
          <a:endParaRPr lang="en-US" sz="1200" b="0" i="0" u="none" strike="noStrike">
            <a:solidFill>
              <a:schemeClr val="bg1"/>
            </a:solidFill>
            <a:latin typeface="Aptos Narrow"/>
          </a:endParaRPr>
        </a:p>
      </xdr:txBody>
    </xdr:sp>
    <xdr:clientData/>
  </xdr:twoCellAnchor>
  <xdr:twoCellAnchor>
    <xdr:from>
      <xdr:col>13</xdr:col>
      <xdr:colOff>190500</xdr:colOff>
      <xdr:row>32</xdr:row>
      <xdr:rowOff>10182</xdr:rowOff>
    </xdr:from>
    <xdr:to>
      <xdr:col>14</xdr:col>
      <xdr:colOff>586740</xdr:colOff>
      <xdr:row>33</xdr:row>
      <xdr:rowOff>165078</xdr:rowOff>
    </xdr:to>
    <xdr:sp macro="" textlink="Processing!I55">
      <xdr:nvSpPr>
        <xdr:cNvPr id="93" name="TextBox 92">
          <a:extLst>
            <a:ext uri="{FF2B5EF4-FFF2-40B4-BE49-F238E27FC236}">
              <a16:creationId xmlns:a16="http://schemas.microsoft.com/office/drawing/2014/main" id="{17DCB25A-4378-2230-0E95-BC1BEAFFD19A}"/>
            </a:ext>
          </a:extLst>
        </xdr:cNvPr>
        <xdr:cNvSpPr txBox="1"/>
      </xdr:nvSpPr>
      <xdr:spPr>
        <a:xfrm>
          <a:off x="8115300" y="5862342"/>
          <a:ext cx="1005840" cy="3377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8C419D39-2857-4899-9F26-DF67142B4644}" type="TxLink">
            <a:rPr lang="en-US" sz="1200" b="0" i="0" u="none" strike="noStrike">
              <a:solidFill>
                <a:schemeClr val="bg1"/>
              </a:solidFill>
              <a:latin typeface="Aptos Narrow"/>
            </a:rPr>
            <a:pPr algn="l"/>
            <a:t>$ 1 187</a:t>
          </a:fld>
          <a:endParaRPr lang="en-US" sz="1200" b="0" i="0" u="none" strike="noStrike">
            <a:solidFill>
              <a:schemeClr val="bg1"/>
            </a:solidFill>
            <a:latin typeface="Aptos Narrow"/>
          </a:endParaRPr>
        </a:p>
      </xdr:txBody>
    </xdr:sp>
    <xdr:clientData/>
  </xdr:twoCellAnchor>
  <xdr:twoCellAnchor>
    <xdr:from>
      <xdr:col>16</xdr:col>
      <xdr:colOff>175260</xdr:colOff>
      <xdr:row>32</xdr:row>
      <xdr:rowOff>10182</xdr:rowOff>
    </xdr:from>
    <xdr:to>
      <xdr:col>17</xdr:col>
      <xdr:colOff>571500</xdr:colOff>
      <xdr:row>33</xdr:row>
      <xdr:rowOff>165078</xdr:rowOff>
    </xdr:to>
    <xdr:sp macro="" textlink="Processing!I54">
      <xdr:nvSpPr>
        <xdr:cNvPr id="94" name="TextBox 93">
          <a:extLst>
            <a:ext uri="{FF2B5EF4-FFF2-40B4-BE49-F238E27FC236}">
              <a16:creationId xmlns:a16="http://schemas.microsoft.com/office/drawing/2014/main" id="{35C0388D-99E9-EC4D-41F2-A83B5646C97C}"/>
            </a:ext>
          </a:extLst>
        </xdr:cNvPr>
        <xdr:cNvSpPr txBox="1"/>
      </xdr:nvSpPr>
      <xdr:spPr>
        <a:xfrm>
          <a:off x="9928860" y="5862342"/>
          <a:ext cx="1005840" cy="3377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D98A2DD7-6449-4D06-AC13-2C8BD1E09287}" type="TxLink">
            <a:rPr lang="en-US" sz="1200" b="0" i="0" u="none" strike="noStrike">
              <a:solidFill>
                <a:schemeClr val="bg1"/>
              </a:solidFill>
              <a:latin typeface="Aptos Narrow"/>
            </a:rPr>
            <a:pPr algn="l"/>
            <a:t>$ 1 187</a:t>
          </a:fld>
          <a:endParaRPr lang="en-US" sz="1200" b="0" i="0" u="none" strike="noStrike">
            <a:solidFill>
              <a:schemeClr val="bg1"/>
            </a:solidFill>
            <a:latin typeface="Aptos Narrow"/>
          </a:endParaRPr>
        </a:p>
      </xdr:txBody>
    </xdr:sp>
    <xdr:clientData/>
  </xdr:twoCellAnchor>
  <xdr:twoCellAnchor>
    <xdr:from>
      <xdr:col>17</xdr:col>
      <xdr:colOff>183467</xdr:colOff>
      <xdr:row>17</xdr:row>
      <xdr:rowOff>167640</xdr:rowOff>
    </xdr:from>
    <xdr:to>
      <xdr:col>20</xdr:col>
      <xdr:colOff>136574</xdr:colOff>
      <xdr:row>20</xdr:row>
      <xdr:rowOff>68580</xdr:rowOff>
    </xdr:to>
    <xdr:sp macro="" textlink="Processing!J51">
      <xdr:nvSpPr>
        <xdr:cNvPr id="96" name="TextBox 95">
          <a:extLst>
            <a:ext uri="{FF2B5EF4-FFF2-40B4-BE49-F238E27FC236}">
              <a16:creationId xmlns:a16="http://schemas.microsoft.com/office/drawing/2014/main" id="{BED396A3-4572-D7FC-4E21-44C2B60C4699}"/>
            </a:ext>
          </a:extLst>
        </xdr:cNvPr>
        <xdr:cNvSpPr txBox="1"/>
      </xdr:nvSpPr>
      <xdr:spPr>
        <a:xfrm>
          <a:off x="10546667" y="3276600"/>
          <a:ext cx="1781907" cy="4495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4CCC9A55-5017-4BC8-8EA1-91AB019A8C96}" type="TxLink">
            <a:rPr lang="en-US" sz="1400" b="0" i="0" u="none" strike="noStrike">
              <a:solidFill>
                <a:schemeClr val="tx2">
                  <a:lumMod val="25000"/>
                  <a:lumOff val="75000"/>
                </a:schemeClr>
              </a:solidFill>
              <a:latin typeface="Aptos Narrow"/>
              <a:ea typeface="+mn-ea"/>
              <a:cs typeface="+mn-cs"/>
            </a:rPr>
            <a:pPr marL="0" indent="0" algn="ctr"/>
            <a:t>Expense Areas</a:t>
          </a:fld>
          <a:endParaRPr lang="ru-RU" sz="1400" b="0" i="0" u="none" strike="noStrike">
            <a:solidFill>
              <a:schemeClr val="tx2">
                <a:lumMod val="25000"/>
                <a:lumOff val="75000"/>
              </a:schemeClr>
            </a:solidFill>
            <a:latin typeface="Aptos Narrow"/>
            <a:ea typeface="+mn-ea"/>
            <a:cs typeface="+mn-cs"/>
          </a:endParaRPr>
        </a:p>
      </xdr:txBody>
    </xdr:sp>
    <xdr:clientData/>
  </xdr:twoCellAnchor>
  <xdr:twoCellAnchor editAs="oneCell">
    <xdr:from>
      <xdr:col>14</xdr:col>
      <xdr:colOff>83820</xdr:colOff>
      <xdr:row>35</xdr:row>
      <xdr:rowOff>0</xdr:rowOff>
    </xdr:from>
    <xdr:to>
      <xdr:col>16</xdr:col>
      <xdr:colOff>419100</xdr:colOff>
      <xdr:row>37</xdr:row>
      <xdr:rowOff>64008</xdr:rowOff>
    </xdr:to>
    <mc:AlternateContent xmlns:mc="http://schemas.openxmlformats.org/markup-compatibility/2006" xmlns:a14="http://schemas.microsoft.com/office/drawing/2010/main">
      <mc:Choice Requires="a14">
        <xdr:graphicFrame macro="">
          <xdr:nvGraphicFramePr>
            <xdr:cNvPr id="101" name="Buttons 4">
              <a:extLst>
                <a:ext uri="{FF2B5EF4-FFF2-40B4-BE49-F238E27FC236}">
                  <a16:creationId xmlns:a16="http://schemas.microsoft.com/office/drawing/2014/main" id="{4E345393-31B5-4344-8149-C07C81AA508A}"/>
                </a:ext>
              </a:extLst>
            </xdr:cNvPr>
            <xdr:cNvGraphicFramePr/>
          </xdr:nvGraphicFramePr>
          <xdr:xfrm>
            <a:off x="0" y="0"/>
            <a:ext cx="0" cy="0"/>
          </xdr:xfrm>
          <a:graphic>
            <a:graphicData uri="http://schemas.microsoft.com/office/drawing/2010/slicer">
              <sle:slicer xmlns:sle="http://schemas.microsoft.com/office/drawing/2010/slicer" name="Buttons 4"/>
            </a:graphicData>
          </a:graphic>
        </xdr:graphicFrame>
      </mc:Choice>
      <mc:Fallback xmlns="">
        <xdr:sp macro="" textlink="">
          <xdr:nvSpPr>
            <xdr:cNvPr id="0" name=""/>
            <xdr:cNvSpPr>
              <a:spLocks noTextEdit="1"/>
            </xdr:cNvSpPr>
          </xdr:nvSpPr>
          <xdr:spPr>
            <a:xfrm>
              <a:off x="8618220" y="6400800"/>
              <a:ext cx="1554480" cy="429768"/>
            </a:xfrm>
            <a:prstGeom prst="rect">
              <a:avLst/>
            </a:prstGeom>
            <a:solidFill>
              <a:prstClr val="white"/>
            </a:solidFill>
            <a:ln w="1">
              <a:solidFill>
                <a:prstClr val="green"/>
              </a:solidFill>
            </a:ln>
          </xdr:spPr>
          <xdr:txBody>
            <a:bodyPr vertOverflow="clip" horzOverflow="clip"/>
            <a:lstStyle/>
            <a:p>
              <a:r>
                <a:rPr lang="ru-R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13</xdr:col>
      <xdr:colOff>572087</xdr:colOff>
      <xdr:row>33</xdr:row>
      <xdr:rowOff>138553</xdr:rowOff>
    </xdr:from>
    <xdr:to>
      <xdr:col>16</xdr:col>
      <xdr:colOff>525194</xdr:colOff>
      <xdr:row>35</xdr:row>
      <xdr:rowOff>51947</xdr:rowOff>
    </xdr:to>
    <xdr:sp macro="" textlink="Processing!I57">
      <xdr:nvSpPr>
        <xdr:cNvPr id="102" name="TextBox 101">
          <a:extLst>
            <a:ext uri="{FF2B5EF4-FFF2-40B4-BE49-F238E27FC236}">
              <a16:creationId xmlns:a16="http://schemas.microsoft.com/office/drawing/2014/main" id="{75D833AE-E7C0-5E64-CAAF-3BB8AB622441}"/>
            </a:ext>
          </a:extLst>
        </xdr:cNvPr>
        <xdr:cNvSpPr txBox="1"/>
      </xdr:nvSpPr>
      <xdr:spPr>
        <a:xfrm>
          <a:off x="8496887" y="6173593"/>
          <a:ext cx="1781907" cy="2791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58A5A718-6948-47B1-A540-70E0144B9FD8}" type="TxLink">
            <a:rPr lang="en-US" sz="1800" b="0" i="0" u="none" strike="noStrike">
              <a:solidFill>
                <a:schemeClr val="bg1"/>
              </a:solidFill>
              <a:latin typeface="Aptos Narrow"/>
              <a:ea typeface="+mn-ea"/>
              <a:cs typeface="+mn-cs"/>
            </a:rPr>
            <a:pPr marL="0" indent="0" algn="ctr"/>
            <a:t>$ 5 929</a:t>
          </a:fld>
          <a:endParaRPr lang="ru-RU" sz="1800" b="0" i="0" u="none" strike="noStrike">
            <a:solidFill>
              <a:schemeClr val="bg1"/>
            </a:solidFill>
            <a:latin typeface="Aptos Narrow"/>
            <a:ea typeface="+mn-ea"/>
            <a:cs typeface="+mn-cs"/>
          </a:endParaRPr>
        </a:p>
      </xdr:txBody>
    </xdr:sp>
    <xdr:clientData/>
  </xdr:twoCellAnchor>
  <xdr:twoCellAnchor>
    <xdr:from>
      <xdr:col>18</xdr:col>
      <xdr:colOff>160020</xdr:colOff>
      <xdr:row>21</xdr:row>
      <xdr:rowOff>86496</xdr:rowOff>
    </xdr:from>
    <xdr:to>
      <xdr:col>19</xdr:col>
      <xdr:colOff>174968</xdr:colOff>
      <xdr:row>23</xdr:row>
      <xdr:rowOff>27805</xdr:rowOff>
    </xdr:to>
    <xdr:sp macro="" textlink="Processing!J52">
      <xdr:nvSpPr>
        <xdr:cNvPr id="103" name="TextBox 102">
          <a:extLst>
            <a:ext uri="{FF2B5EF4-FFF2-40B4-BE49-F238E27FC236}">
              <a16:creationId xmlns:a16="http://schemas.microsoft.com/office/drawing/2014/main" id="{392058F5-BDA4-4AC2-1429-CC3A98FE6D8C}"/>
            </a:ext>
          </a:extLst>
        </xdr:cNvPr>
        <xdr:cNvSpPr txBox="1"/>
      </xdr:nvSpPr>
      <xdr:spPr>
        <a:xfrm>
          <a:off x="11132820" y="3926976"/>
          <a:ext cx="624548" cy="3070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39637943-0C22-4FE5-93EB-ABF98B249C2C}" type="TxLink">
            <a:rPr lang="en-US" sz="900" b="0" i="0" u="none" strike="noStrike">
              <a:solidFill>
                <a:schemeClr val="tx2">
                  <a:lumMod val="25000"/>
                  <a:lumOff val="75000"/>
                </a:schemeClr>
              </a:solidFill>
              <a:latin typeface="Aptos Narrow"/>
              <a:ea typeface="+mn-ea"/>
              <a:cs typeface="+mn-cs"/>
            </a:rPr>
            <a:pPr marL="0" indent="0" algn="r"/>
            <a:t>Entertainment</a:t>
          </a:fld>
          <a:endParaRPr lang="ru-RU" sz="900" b="0" i="0" u="none" strike="noStrike">
            <a:solidFill>
              <a:schemeClr val="tx2">
                <a:lumMod val="25000"/>
                <a:lumOff val="75000"/>
              </a:schemeClr>
            </a:solidFill>
            <a:latin typeface="Aptos Narrow"/>
            <a:ea typeface="+mn-ea"/>
            <a:cs typeface="+mn-cs"/>
          </a:endParaRPr>
        </a:p>
      </xdr:txBody>
    </xdr:sp>
    <xdr:clientData/>
  </xdr:twoCellAnchor>
  <xdr:twoCellAnchor>
    <xdr:from>
      <xdr:col>18</xdr:col>
      <xdr:colOff>160020</xdr:colOff>
      <xdr:row>22</xdr:row>
      <xdr:rowOff>107451</xdr:rowOff>
    </xdr:from>
    <xdr:to>
      <xdr:col>19</xdr:col>
      <xdr:colOff>174968</xdr:colOff>
      <xdr:row>24</xdr:row>
      <xdr:rowOff>48760</xdr:rowOff>
    </xdr:to>
    <xdr:sp macro="" textlink="Processing!J53">
      <xdr:nvSpPr>
        <xdr:cNvPr id="104" name="TextBox 103">
          <a:extLst>
            <a:ext uri="{FF2B5EF4-FFF2-40B4-BE49-F238E27FC236}">
              <a16:creationId xmlns:a16="http://schemas.microsoft.com/office/drawing/2014/main" id="{CB1F4E4E-9C64-79D0-B612-6E2A5BCE56EA}"/>
            </a:ext>
          </a:extLst>
        </xdr:cNvPr>
        <xdr:cNvSpPr txBox="1"/>
      </xdr:nvSpPr>
      <xdr:spPr>
        <a:xfrm>
          <a:off x="11132820" y="4130811"/>
          <a:ext cx="624548" cy="3070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793BA4B3-F16B-42F8-B506-19426C6AB0B9}" type="TxLink">
            <a:rPr lang="en-US" sz="900" b="0" i="0" u="none" strike="noStrike">
              <a:solidFill>
                <a:schemeClr val="tx2">
                  <a:lumMod val="25000"/>
                  <a:lumOff val="75000"/>
                </a:schemeClr>
              </a:solidFill>
              <a:latin typeface="Aptos Narrow"/>
              <a:ea typeface="+mn-ea"/>
              <a:cs typeface="+mn-cs"/>
            </a:rPr>
            <a:pPr marL="0" indent="0" algn="r"/>
            <a:t>FoodCourt</a:t>
          </a:fld>
          <a:endParaRPr lang="ru-RU" sz="900" b="0" i="0" u="none" strike="noStrike">
            <a:solidFill>
              <a:schemeClr val="tx2">
                <a:lumMod val="25000"/>
                <a:lumOff val="75000"/>
              </a:schemeClr>
            </a:solidFill>
            <a:latin typeface="Aptos Narrow"/>
            <a:ea typeface="+mn-ea"/>
            <a:cs typeface="+mn-cs"/>
          </a:endParaRPr>
        </a:p>
      </xdr:txBody>
    </xdr:sp>
    <xdr:clientData/>
  </xdr:twoCellAnchor>
  <xdr:twoCellAnchor>
    <xdr:from>
      <xdr:col>18</xdr:col>
      <xdr:colOff>160020</xdr:colOff>
      <xdr:row>23</xdr:row>
      <xdr:rowOff>128406</xdr:rowOff>
    </xdr:from>
    <xdr:to>
      <xdr:col>19</xdr:col>
      <xdr:colOff>174968</xdr:colOff>
      <xdr:row>25</xdr:row>
      <xdr:rowOff>69715</xdr:rowOff>
    </xdr:to>
    <xdr:sp macro="" textlink="Processing!J54">
      <xdr:nvSpPr>
        <xdr:cNvPr id="105" name="TextBox 104">
          <a:extLst>
            <a:ext uri="{FF2B5EF4-FFF2-40B4-BE49-F238E27FC236}">
              <a16:creationId xmlns:a16="http://schemas.microsoft.com/office/drawing/2014/main" id="{7090AAE1-459F-E4FB-AA79-0E6736A841F1}"/>
            </a:ext>
          </a:extLst>
        </xdr:cNvPr>
        <xdr:cNvSpPr txBox="1"/>
      </xdr:nvSpPr>
      <xdr:spPr>
        <a:xfrm>
          <a:off x="11132820" y="4334646"/>
          <a:ext cx="624548" cy="3070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865A43BB-0B2B-41E0-B8E5-3E4D9181C655}" type="TxLink">
            <a:rPr lang="en-US" sz="900" b="0" i="0" u="none" strike="noStrike">
              <a:solidFill>
                <a:schemeClr val="tx2">
                  <a:lumMod val="25000"/>
                  <a:lumOff val="75000"/>
                </a:schemeClr>
              </a:solidFill>
              <a:latin typeface="Aptos Narrow"/>
              <a:ea typeface="+mn-ea"/>
              <a:cs typeface="+mn-cs"/>
            </a:rPr>
            <a:pPr marL="0" indent="0" algn="r"/>
            <a:t>Supermarket</a:t>
          </a:fld>
          <a:endParaRPr lang="ru-RU" sz="900" b="0" i="0" u="none" strike="noStrike">
            <a:solidFill>
              <a:schemeClr val="tx2">
                <a:lumMod val="25000"/>
                <a:lumOff val="75000"/>
              </a:schemeClr>
            </a:solidFill>
            <a:latin typeface="Aptos Narrow"/>
            <a:ea typeface="+mn-ea"/>
            <a:cs typeface="+mn-cs"/>
          </a:endParaRPr>
        </a:p>
      </xdr:txBody>
    </xdr:sp>
    <xdr:clientData/>
  </xdr:twoCellAnchor>
  <xdr:twoCellAnchor>
    <xdr:from>
      <xdr:col>18</xdr:col>
      <xdr:colOff>160020</xdr:colOff>
      <xdr:row>24</xdr:row>
      <xdr:rowOff>149361</xdr:rowOff>
    </xdr:from>
    <xdr:to>
      <xdr:col>19</xdr:col>
      <xdr:colOff>174968</xdr:colOff>
      <xdr:row>26</xdr:row>
      <xdr:rowOff>90670</xdr:rowOff>
    </xdr:to>
    <xdr:sp macro="" textlink="Processing!J55">
      <xdr:nvSpPr>
        <xdr:cNvPr id="106" name="TextBox 105">
          <a:extLst>
            <a:ext uri="{FF2B5EF4-FFF2-40B4-BE49-F238E27FC236}">
              <a16:creationId xmlns:a16="http://schemas.microsoft.com/office/drawing/2014/main" id="{45F66639-4D33-7905-6619-A12BF9C43E5A}"/>
            </a:ext>
          </a:extLst>
        </xdr:cNvPr>
        <xdr:cNvSpPr txBox="1"/>
      </xdr:nvSpPr>
      <xdr:spPr>
        <a:xfrm>
          <a:off x="11132820" y="4538481"/>
          <a:ext cx="624548" cy="3070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4909F3BD-8E57-4CE3-8705-2A4607D50E4A}" type="TxLink">
            <a:rPr lang="en-US" sz="900" b="0" i="0" u="none" strike="noStrike">
              <a:solidFill>
                <a:schemeClr val="tx2">
                  <a:lumMod val="25000"/>
                  <a:lumOff val="75000"/>
                </a:schemeClr>
              </a:solidFill>
              <a:latin typeface="Aptos Narrow"/>
              <a:ea typeface="+mn-ea"/>
              <a:cs typeface="+mn-cs"/>
            </a:rPr>
            <a:pPr marL="0" indent="0" algn="r"/>
            <a:t>Travel</a:t>
          </a:fld>
          <a:endParaRPr lang="ru-RU" sz="900" b="0" i="0" u="none" strike="noStrike">
            <a:solidFill>
              <a:schemeClr val="tx2">
                <a:lumMod val="25000"/>
                <a:lumOff val="75000"/>
              </a:schemeClr>
            </a:solidFill>
            <a:latin typeface="Aptos Narrow"/>
            <a:ea typeface="+mn-ea"/>
            <a:cs typeface="+mn-cs"/>
          </a:endParaRPr>
        </a:p>
      </xdr:txBody>
    </xdr:sp>
    <xdr:clientData/>
  </xdr:twoCellAnchor>
  <xdr:twoCellAnchor>
    <xdr:from>
      <xdr:col>18</xdr:col>
      <xdr:colOff>160020</xdr:colOff>
      <xdr:row>25</xdr:row>
      <xdr:rowOff>170316</xdr:rowOff>
    </xdr:from>
    <xdr:to>
      <xdr:col>19</xdr:col>
      <xdr:colOff>174968</xdr:colOff>
      <xdr:row>27</xdr:row>
      <xdr:rowOff>111625</xdr:rowOff>
    </xdr:to>
    <xdr:sp macro="" textlink="Processing!J56">
      <xdr:nvSpPr>
        <xdr:cNvPr id="107" name="TextBox 106">
          <a:extLst>
            <a:ext uri="{FF2B5EF4-FFF2-40B4-BE49-F238E27FC236}">
              <a16:creationId xmlns:a16="http://schemas.microsoft.com/office/drawing/2014/main" id="{55E5584B-D895-5C83-3CF6-03344350F03E}"/>
            </a:ext>
          </a:extLst>
        </xdr:cNvPr>
        <xdr:cNvSpPr txBox="1"/>
      </xdr:nvSpPr>
      <xdr:spPr>
        <a:xfrm>
          <a:off x="11132820" y="4742316"/>
          <a:ext cx="624548" cy="3070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B88992D7-3A43-4EBA-A439-CCA4F3E78D45}" type="TxLink">
            <a:rPr lang="en-US" sz="900" b="0" i="0" u="none" strike="noStrike">
              <a:solidFill>
                <a:schemeClr val="tx2">
                  <a:lumMod val="25000"/>
                  <a:lumOff val="75000"/>
                </a:schemeClr>
              </a:solidFill>
              <a:latin typeface="Aptos Narrow"/>
              <a:ea typeface="+mn-ea"/>
              <a:cs typeface="+mn-cs"/>
            </a:rPr>
            <a:pPr marL="0" indent="0" algn="r"/>
            <a:t>Workplace</a:t>
          </a:fld>
          <a:endParaRPr lang="ru-RU" sz="900" b="0" i="0" u="none" strike="noStrike">
            <a:solidFill>
              <a:schemeClr val="tx2">
                <a:lumMod val="25000"/>
                <a:lumOff val="75000"/>
              </a:schemeClr>
            </a:solidFill>
            <a:latin typeface="Aptos Narrow"/>
            <a:ea typeface="+mn-ea"/>
            <a:cs typeface="+mn-cs"/>
          </a:endParaRPr>
        </a:p>
      </xdr:txBody>
    </xdr:sp>
    <xdr:clientData/>
  </xdr:twoCellAnchor>
  <xdr:twoCellAnchor>
    <xdr:from>
      <xdr:col>19</xdr:col>
      <xdr:colOff>7620</xdr:colOff>
      <xdr:row>21</xdr:row>
      <xdr:rowOff>86496</xdr:rowOff>
    </xdr:from>
    <xdr:to>
      <xdr:col>20</xdr:col>
      <xdr:colOff>129540</xdr:colOff>
      <xdr:row>23</xdr:row>
      <xdr:rowOff>27805</xdr:rowOff>
    </xdr:to>
    <xdr:sp macro="" textlink="Processing!L52">
      <xdr:nvSpPr>
        <xdr:cNvPr id="108" name="TextBox 107">
          <a:extLst>
            <a:ext uri="{FF2B5EF4-FFF2-40B4-BE49-F238E27FC236}">
              <a16:creationId xmlns:a16="http://schemas.microsoft.com/office/drawing/2014/main" id="{97026AA2-80EF-6F9F-990A-A70F544D040E}"/>
            </a:ext>
          </a:extLst>
        </xdr:cNvPr>
        <xdr:cNvSpPr txBox="1"/>
      </xdr:nvSpPr>
      <xdr:spPr>
        <a:xfrm>
          <a:off x="11590020" y="3926976"/>
          <a:ext cx="731520" cy="3070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E8D06E2D-E623-455E-B285-69A004E0449F}" type="TxLink">
            <a:rPr lang="en-US" sz="1100" b="0" i="0" u="none" strike="noStrike">
              <a:solidFill>
                <a:schemeClr val="bg1"/>
              </a:solidFill>
              <a:latin typeface="Aptos Narrow"/>
              <a:ea typeface="+mn-ea"/>
              <a:cs typeface="+mn-cs"/>
            </a:rPr>
            <a:pPr marL="0" indent="0" algn="r"/>
            <a:t> </a:t>
          </a:fld>
          <a:endParaRPr lang="ru-RU" sz="1200" b="0" i="0" u="none" strike="noStrike">
            <a:solidFill>
              <a:schemeClr val="bg1"/>
            </a:solidFill>
            <a:latin typeface="Aptos Narrow"/>
            <a:ea typeface="+mn-ea"/>
            <a:cs typeface="+mn-cs"/>
          </a:endParaRPr>
        </a:p>
      </xdr:txBody>
    </xdr:sp>
    <xdr:clientData/>
  </xdr:twoCellAnchor>
  <xdr:twoCellAnchor>
    <xdr:from>
      <xdr:col>19</xdr:col>
      <xdr:colOff>7620</xdr:colOff>
      <xdr:row>22</xdr:row>
      <xdr:rowOff>107451</xdr:rowOff>
    </xdr:from>
    <xdr:to>
      <xdr:col>20</xdr:col>
      <xdr:colOff>129540</xdr:colOff>
      <xdr:row>24</xdr:row>
      <xdr:rowOff>48760</xdr:rowOff>
    </xdr:to>
    <xdr:sp macro="" textlink="Processing!L53">
      <xdr:nvSpPr>
        <xdr:cNvPr id="109" name="TextBox 108">
          <a:extLst>
            <a:ext uri="{FF2B5EF4-FFF2-40B4-BE49-F238E27FC236}">
              <a16:creationId xmlns:a16="http://schemas.microsoft.com/office/drawing/2014/main" id="{5F07241F-C79C-4072-16A6-38CC2BE2B4F6}"/>
            </a:ext>
          </a:extLst>
        </xdr:cNvPr>
        <xdr:cNvSpPr txBox="1"/>
      </xdr:nvSpPr>
      <xdr:spPr>
        <a:xfrm>
          <a:off x="11590020" y="4130811"/>
          <a:ext cx="731520" cy="3070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C31F7595-13D0-4B08-A6FB-80826FDF828B}" type="TxLink">
            <a:rPr lang="en-US" sz="1100" b="0" i="0" u="none" strike="noStrike">
              <a:solidFill>
                <a:schemeClr val="bg1"/>
              </a:solidFill>
              <a:latin typeface="Aptos Narrow"/>
              <a:ea typeface="+mn-ea"/>
              <a:cs typeface="+mn-cs"/>
            </a:rPr>
            <a:pPr marL="0" indent="0" algn="r"/>
            <a:t>$ 1 595</a:t>
          </a:fld>
          <a:endParaRPr lang="ru-RU" sz="1200" b="0" i="0" u="none" strike="noStrike">
            <a:solidFill>
              <a:schemeClr val="bg1"/>
            </a:solidFill>
            <a:latin typeface="Aptos Narrow"/>
            <a:ea typeface="+mn-ea"/>
            <a:cs typeface="+mn-cs"/>
          </a:endParaRPr>
        </a:p>
      </xdr:txBody>
    </xdr:sp>
    <xdr:clientData/>
  </xdr:twoCellAnchor>
  <xdr:twoCellAnchor>
    <xdr:from>
      <xdr:col>19</xdr:col>
      <xdr:colOff>7620</xdr:colOff>
      <xdr:row>23</xdr:row>
      <xdr:rowOff>128406</xdr:rowOff>
    </xdr:from>
    <xdr:to>
      <xdr:col>20</xdr:col>
      <xdr:colOff>129540</xdr:colOff>
      <xdr:row>25</xdr:row>
      <xdr:rowOff>69715</xdr:rowOff>
    </xdr:to>
    <xdr:sp macro="" textlink="Processing!L54">
      <xdr:nvSpPr>
        <xdr:cNvPr id="110" name="TextBox 109">
          <a:extLst>
            <a:ext uri="{FF2B5EF4-FFF2-40B4-BE49-F238E27FC236}">
              <a16:creationId xmlns:a16="http://schemas.microsoft.com/office/drawing/2014/main" id="{6F3503F5-1426-084E-1E1B-1B971EE8704A}"/>
            </a:ext>
          </a:extLst>
        </xdr:cNvPr>
        <xdr:cNvSpPr txBox="1"/>
      </xdr:nvSpPr>
      <xdr:spPr>
        <a:xfrm>
          <a:off x="11590020" y="4334646"/>
          <a:ext cx="731520" cy="3070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980508DA-6EC0-4801-BD8E-52996BCE09B2}" type="TxLink">
            <a:rPr lang="en-US" sz="1100" b="0" i="0" u="none" strike="noStrike">
              <a:solidFill>
                <a:schemeClr val="bg1"/>
              </a:solidFill>
              <a:latin typeface="Aptos Narrow"/>
              <a:ea typeface="+mn-ea"/>
              <a:cs typeface="+mn-cs"/>
            </a:rPr>
            <a:pPr marL="0" indent="0" algn="r"/>
            <a:t>$ 2 487</a:t>
          </a:fld>
          <a:endParaRPr lang="ru-RU" sz="1200" b="0" i="0" u="none" strike="noStrike">
            <a:solidFill>
              <a:schemeClr val="bg1"/>
            </a:solidFill>
            <a:latin typeface="Aptos Narrow"/>
            <a:ea typeface="+mn-ea"/>
            <a:cs typeface="+mn-cs"/>
          </a:endParaRPr>
        </a:p>
      </xdr:txBody>
    </xdr:sp>
    <xdr:clientData/>
  </xdr:twoCellAnchor>
  <xdr:twoCellAnchor>
    <xdr:from>
      <xdr:col>19</xdr:col>
      <xdr:colOff>7620</xdr:colOff>
      <xdr:row>24</xdr:row>
      <xdr:rowOff>149361</xdr:rowOff>
    </xdr:from>
    <xdr:to>
      <xdr:col>20</xdr:col>
      <xdr:colOff>129540</xdr:colOff>
      <xdr:row>26</xdr:row>
      <xdr:rowOff>90670</xdr:rowOff>
    </xdr:to>
    <xdr:sp macro="" textlink="Processing!L55">
      <xdr:nvSpPr>
        <xdr:cNvPr id="111" name="TextBox 110">
          <a:extLst>
            <a:ext uri="{FF2B5EF4-FFF2-40B4-BE49-F238E27FC236}">
              <a16:creationId xmlns:a16="http://schemas.microsoft.com/office/drawing/2014/main" id="{9D82CAF4-BCA5-2562-3245-8B6A12D0C481}"/>
            </a:ext>
          </a:extLst>
        </xdr:cNvPr>
        <xdr:cNvSpPr txBox="1"/>
      </xdr:nvSpPr>
      <xdr:spPr>
        <a:xfrm>
          <a:off x="11590020" y="4538481"/>
          <a:ext cx="731520" cy="3070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29575E48-B6AA-4840-B061-BD362C260C53}" type="TxLink">
            <a:rPr lang="en-US" sz="1100" b="0" i="0" u="none" strike="noStrike">
              <a:solidFill>
                <a:schemeClr val="bg1"/>
              </a:solidFill>
              <a:latin typeface="Aptos Narrow"/>
              <a:ea typeface="+mn-ea"/>
              <a:cs typeface="+mn-cs"/>
            </a:rPr>
            <a:pPr marL="0" indent="0" algn="r"/>
            <a:t>$ 1 847</a:t>
          </a:fld>
          <a:endParaRPr lang="ru-RU" sz="1200" b="0" i="0" u="none" strike="noStrike">
            <a:solidFill>
              <a:schemeClr val="bg1"/>
            </a:solidFill>
            <a:latin typeface="Aptos Narrow"/>
            <a:ea typeface="+mn-ea"/>
            <a:cs typeface="+mn-cs"/>
          </a:endParaRPr>
        </a:p>
      </xdr:txBody>
    </xdr:sp>
    <xdr:clientData/>
  </xdr:twoCellAnchor>
  <xdr:twoCellAnchor>
    <xdr:from>
      <xdr:col>19</xdr:col>
      <xdr:colOff>7620</xdr:colOff>
      <xdr:row>25</xdr:row>
      <xdr:rowOff>170316</xdr:rowOff>
    </xdr:from>
    <xdr:to>
      <xdr:col>20</xdr:col>
      <xdr:colOff>129540</xdr:colOff>
      <xdr:row>27</xdr:row>
      <xdr:rowOff>111625</xdr:rowOff>
    </xdr:to>
    <xdr:sp macro="" textlink="Processing!L56">
      <xdr:nvSpPr>
        <xdr:cNvPr id="112" name="TextBox 111">
          <a:extLst>
            <a:ext uri="{FF2B5EF4-FFF2-40B4-BE49-F238E27FC236}">
              <a16:creationId xmlns:a16="http://schemas.microsoft.com/office/drawing/2014/main" id="{8B235EF2-36D6-E02D-8FB1-531DB6C06C11}"/>
            </a:ext>
          </a:extLst>
        </xdr:cNvPr>
        <xdr:cNvSpPr txBox="1"/>
      </xdr:nvSpPr>
      <xdr:spPr>
        <a:xfrm>
          <a:off x="11590020" y="4742316"/>
          <a:ext cx="731520" cy="3070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23C7C882-6390-47B8-B18E-E9B7DEDBCE82}" type="TxLink">
            <a:rPr lang="en-US" sz="1100" b="0" i="0" u="none" strike="noStrike">
              <a:solidFill>
                <a:schemeClr val="bg1"/>
              </a:solidFill>
              <a:latin typeface="Aptos Narrow"/>
              <a:ea typeface="+mn-ea"/>
              <a:cs typeface="+mn-cs"/>
            </a:rPr>
            <a:pPr marL="0" indent="0" algn="r"/>
            <a:t> </a:t>
          </a:fld>
          <a:endParaRPr lang="ru-RU" sz="1200" b="0" i="0" u="none" strike="noStrike">
            <a:solidFill>
              <a:schemeClr val="bg1"/>
            </a:solidFill>
            <a:latin typeface="Aptos Narrow"/>
            <a:ea typeface="+mn-ea"/>
            <a:cs typeface="+mn-cs"/>
          </a:endParaRPr>
        </a:p>
      </xdr:txBody>
    </xdr:sp>
    <xdr:clientData/>
  </xdr:twoCellAnchor>
  <xdr:twoCellAnchor>
    <xdr:from>
      <xdr:col>18</xdr:col>
      <xdr:colOff>161071</xdr:colOff>
      <xdr:row>21</xdr:row>
      <xdr:rowOff>86496</xdr:rowOff>
    </xdr:from>
    <xdr:to>
      <xdr:col>19</xdr:col>
      <xdr:colOff>176019</xdr:colOff>
      <xdr:row>23</xdr:row>
      <xdr:rowOff>27805</xdr:rowOff>
    </xdr:to>
    <xdr:sp macro="" textlink="Processing!N52">
      <xdr:nvSpPr>
        <xdr:cNvPr id="128" name="TextBox 127">
          <a:extLst>
            <a:ext uri="{FF2B5EF4-FFF2-40B4-BE49-F238E27FC236}">
              <a16:creationId xmlns:a16="http://schemas.microsoft.com/office/drawing/2014/main" id="{A2AEA11F-C05D-BA0C-85E2-8424D82594AC}"/>
            </a:ext>
          </a:extLst>
        </xdr:cNvPr>
        <xdr:cNvSpPr txBox="1"/>
      </xdr:nvSpPr>
      <xdr:spPr>
        <a:xfrm>
          <a:off x="11133871" y="3949048"/>
          <a:ext cx="624548" cy="3091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64FF71CC-0C1D-4566-9F10-295BA18D0EE5}" type="TxLink">
            <a:rPr lang="en-US" sz="900" b="0" i="0" u="none" strike="noStrike">
              <a:solidFill>
                <a:srgbClr val="00ADD6"/>
              </a:solidFill>
              <a:latin typeface="Aptos Narrow"/>
              <a:ea typeface="+mn-ea"/>
              <a:cs typeface="+mn-cs"/>
            </a:rPr>
            <a:pPr marL="0" indent="0" algn="r"/>
            <a:t> </a:t>
          </a:fld>
          <a:endParaRPr lang="ru-RU" sz="900" b="0" i="0" u="none" strike="noStrike">
            <a:solidFill>
              <a:srgbClr val="00ADD6"/>
            </a:solidFill>
            <a:latin typeface="Aptos Narrow"/>
            <a:ea typeface="+mn-ea"/>
            <a:cs typeface="+mn-cs"/>
          </a:endParaRPr>
        </a:p>
      </xdr:txBody>
    </xdr:sp>
    <xdr:clientData/>
  </xdr:twoCellAnchor>
  <xdr:twoCellAnchor>
    <xdr:from>
      <xdr:col>18</xdr:col>
      <xdr:colOff>161071</xdr:colOff>
      <xdr:row>22</xdr:row>
      <xdr:rowOff>107451</xdr:rowOff>
    </xdr:from>
    <xdr:to>
      <xdr:col>19</xdr:col>
      <xdr:colOff>176019</xdr:colOff>
      <xdr:row>24</xdr:row>
      <xdr:rowOff>48760</xdr:rowOff>
    </xdr:to>
    <xdr:sp macro="" textlink="Processing!N53">
      <xdr:nvSpPr>
        <xdr:cNvPr id="129" name="TextBox 128">
          <a:extLst>
            <a:ext uri="{FF2B5EF4-FFF2-40B4-BE49-F238E27FC236}">
              <a16:creationId xmlns:a16="http://schemas.microsoft.com/office/drawing/2014/main" id="{C8AA2418-8027-4D4C-C61D-1B7291B2BC7A}"/>
            </a:ext>
          </a:extLst>
        </xdr:cNvPr>
        <xdr:cNvSpPr txBox="1"/>
      </xdr:nvSpPr>
      <xdr:spPr>
        <a:xfrm>
          <a:off x="11133871" y="4153934"/>
          <a:ext cx="624548" cy="3091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E090B3CB-C687-47A3-9F6F-7A44C6FCCA74}" type="TxLink">
            <a:rPr lang="en-US" sz="900" b="0" i="0" u="none" strike="noStrike">
              <a:solidFill>
                <a:srgbClr val="3879F2"/>
              </a:solidFill>
              <a:latin typeface="Aptos Narrow"/>
              <a:ea typeface="+mn-ea"/>
              <a:cs typeface="+mn-cs"/>
            </a:rPr>
            <a:pPr marL="0" indent="0" algn="r"/>
            <a:t>FoodCourt</a:t>
          </a:fld>
          <a:endParaRPr lang="ru-RU" sz="900" b="0" i="0" u="none" strike="noStrike">
            <a:solidFill>
              <a:srgbClr val="3879F2"/>
            </a:solidFill>
            <a:latin typeface="Aptos Narrow"/>
            <a:ea typeface="+mn-ea"/>
            <a:cs typeface="+mn-cs"/>
          </a:endParaRPr>
        </a:p>
      </xdr:txBody>
    </xdr:sp>
    <xdr:clientData/>
  </xdr:twoCellAnchor>
  <xdr:twoCellAnchor>
    <xdr:from>
      <xdr:col>18</xdr:col>
      <xdr:colOff>161071</xdr:colOff>
      <xdr:row>23</xdr:row>
      <xdr:rowOff>128406</xdr:rowOff>
    </xdr:from>
    <xdr:to>
      <xdr:col>19</xdr:col>
      <xdr:colOff>176019</xdr:colOff>
      <xdr:row>25</xdr:row>
      <xdr:rowOff>69715</xdr:rowOff>
    </xdr:to>
    <xdr:sp macro="" textlink="Processing!N54">
      <xdr:nvSpPr>
        <xdr:cNvPr id="130" name="TextBox 129">
          <a:extLst>
            <a:ext uri="{FF2B5EF4-FFF2-40B4-BE49-F238E27FC236}">
              <a16:creationId xmlns:a16="http://schemas.microsoft.com/office/drawing/2014/main" id="{D77CDD0B-2E59-6C1C-9983-11AD23CA3C15}"/>
            </a:ext>
          </a:extLst>
        </xdr:cNvPr>
        <xdr:cNvSpPr txBox="1"/>
      </xdr:nvSpPr>
      <xdr:spPr>
        <a:xfrm>
          <a:off x="11133871" y="4358820"/>
          <a:ext cx="624548" cy="3091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05858AF6-F044-4235-AAE4-579A6FDD0660}" type="TxLink">
            <a:rPr lang="en-US" sz="900" b="0" i="0" u="none" strike="noStrike">
              <a:solidFill>
                <a:srgbClr val="FF7684"/>
              </a:solidFill>
              <a:latin typeface="Aptos Narrow"/>
              <a:ea typeface="+mn-ea"/>
              <a:cs typeface="+mn-cs"/>
            </a:rPr>
            <a:pPr marL="0" indent="0" algn="r"/>
            <a:t>Supermarket</a:t>
          </a:fld>
          <a:endParaRPr lang="ru-RU" sz="900" b="0" i="0" u="none" strike="noStrike">
            <a:solidFill>
              <a:srgbClr val="FF7684"/>
            </a:solidFill>
            <a:latin typeface="Aptos Narrow"/>
            <a:ea typeface="+mn-ea"/>
            <a:cs typeface="+mn-cs"/>
          </a:endParaRPr>
        </a:p>
      </xdr:txBody>
    </xdr:sp>
    <xdr:clientData/>
  </xdr:twoCellAnchor>
  <xdr:twoCellAnchor>
    <xdr:from>
      <xdr:col>18</xdr:col>
      <xdr:colOff>161071</xdr:colOff>
      <xdr:row>24</xdr:row>
      <xdr:rowOff>149361</xdr:rowOff>
    </xdr:from>
    <xdr:to>
      <xdr:col>19</xdr:col>
      <xdr:colOff>176019</xdr:colOff>
      <xdr:row>26</xdr:row>
      <xdr:rowOff>90670</xdr:rowOff>
    </xdr:to>
    <xdr:sp macro="" textlink="Processing!N55">
      <xdr:nvSpPr>
        <xdr:cNvPr id="131" name="TextBox 130">
          <a:extLst>
            <a:ext uri="{FF2B5EF4-FFF2-40B4-BE49-F238E27FC236}">
              <a16:creationId xmlns:a16="http://schemas.microsoft.com/office/drawing/2014/main" id="{699C2CC4-EE56-10DB-BBD0-3709DE99F5EE}"/>
            </a:ext>
          </a:extLst>
        </xdr:cNvPr>
        <xdr:cNvSpPr txBox="1"/>
      </xdr:nvSpPr>
      <xdr:spPr>
        <a:xfrm>
          <a:off x="11133871" y="4563706"/>
          <a:ext cx="624548" cy="3091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7D3F27C5-C1EF-47D8-B770-68F89C2AE693}" type="TxLink">
            <a:rPr lang="en-US" sz="900" b="0" i="0" u="none" strike="noStrike">
              <a:solidFill>
                <a:srgbClr val="28BEBA"/>
              </a:solidFill>
              <a:latin typeface="Aptos Narrow"/>
              <a:ea typeface="+mn-ea"/>
              <a:cs typeface="+mn-cs"/>
            </a:rPr>
            <a:pPr marL="0" indent="0" algn="r"/>
            <a:t>Travel</a:t>
          </a:fld>
          <a:endParaRPr lang="ru-RU" sz="900" b="0" i="0" u="none" strike="noStrike">
            <a:solidFill>
              <a:srgbClr val="28BEBA"/>
            </a:solidFill>
            <a:latin typeface="Aptos Narrow"/>
            <a:ea typeface="+mn-ea"/>
            <a:cs typeface="+mn-cs"/>
          </a:endParaRPr>
        </a:p>
      </xdr:txBody>
    </xdr:sp>
    <xdr:clientData/>
  </xdr:twoCellAnchor>
  <xdr:twoCellAnchor>
    <xdr:from>
      <xdr:col>18</xdr:col>
      <xdr:colOff>161071</xdr:colOff>
      <xdr:row>25</xdr:row>
      <xdr:rowOff>170316</xdr:rowOff>
    </xdr:from>
    <xdr:to>
      <xdr:col>19</xdr:col>
      <xdr:colOff>176019</xdr:colOff>
      <xdr:row>27</xdr:row>
      <xdr:rowOff>111625</xdr:rowOff>
    </xdr:to>
    <xdr:sp macro="" textlink="Processing!N56">
      <xdr:nvSpPr>
        <xdr:cNvPr id="132" name="TextBox 131">
          <a:extLst>
            <a:ext uri="{FF2B5EF4-FFF2-40B4-BE49-F238E27FC236}">
              <a16:creationId xmlns:a16="http://schemas.microsoft.com/office/drawing/2014/main" id="{695F1530-3089-772D-F62B-A64DD7B6BC4B}"/>
            </a:ext>
          </a:extLst>
        </xdr:cNvPr>
        <xdr:cNvSpPr txBox="1"/>
      </xdr:nvSpPr>
      <xdr:spPr>
        <a:xfrm>
          <a:off x="11133871" y="4768592"/>
          <a:ext cx="624548" cy="3091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E3830319-55BC-4697-8B4B-4297A7C0F8A7}" type="TxLink">
            <a:rPr lang="en-US" sz="900" b="0" i="0" u="none" strike="noStrike">
              <a:solidFill>
                <a:srgbClr val="6978B4"/>
              </a:solidFill>
              <a:latin typeface="Aptos Narrow"/>
              <a:ea typeface="+mn-ea"/>
              <a:cs typeface="+mn-cs"/>
            </a:rPr>
            <a:pPr marL="0" indent="0" algn="r"/>
            <a:t> </a:t>
          </a:fld>
          <a:endParaRPr lang="ru-RU" sz="900" b="0" i="0" u="none" strike="noStrike">
            <a:solidFill>
              <a:srgbClr val="6978B4"/>
            </a:solidFill>
            <a:latin typeface="Aptos Narrow"/>
            <a:ea typeface="+mn-ea"/>
            <a:cs typeface="+mn-cs"/>
          </a:endParaRPr>
        </a:p>
      </xdr:txBody>
    </xdr:sp>
    <xdr:clientData/>
  </xdr:twoCellAnchor>
  <xdr:twoCellAnchor editAs="oneCell">
    <xdr:from>
      <xdr:col>1</xdr:col>
      <xdr:colOff>0</xdr:colOff>
      <xdr:row>1</xdr:row>
      <xdr:rowOff>0</xdr:rowOff>
    </xdr:from>
    <xdr:to>
      <xdr:col>1</xdr:col>
      <xdr:colOff>274320</xdr:colOff>
      <xdr:row>2</xdr:row>
      <xdr:rowOff>91440</xdr:rowOff>
    </xdr:to>
    <xdr:pic>
      <xdr:nvPicPr>
        <xdr:cNvPr id="133" name="Graphic 132" descr="Sun with solid fill">
          <a:hlinkClick xmlns:r="http://schemas.openxmlformats.org/officeDocument/2006/relationships" r:id="rId11"/>
          <a:extLst>
            <a:ext uri="{FF2B5EF4-FFF2-40B4-BE49-F238E27FC236}">
              <a16:creationId xmlns:a16="http://schemas.microsoft.com/office/drawing/2014/main" id="{489A17EB-43F5-4111-ABE9-ED8411E5624C}"/>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609600" y="182880"/>
          <a:ext cx="274320" cy="274320"/>
        </a:xfrm>
        <a:prstGeom prst="rect">
          <a:avLst/>
        </a:prstGeom>
      </xdr:spPr>
    </xdr:pic>
    <xdr:clientData/>
  </xdr:twoCellAnchor>
  <xdr:twoCellAnchor editAs="oneCell">
    <xdr:from>
      <xdr:col>1</xdr:col>
      <xdr:colOff>419100</xdr:colOff>
      <xdr:row>1</xdr:row>
      <xdr:rowOff>0</xdr:rowOff>
    </xdr:from>
    <xdr:to>
      <xdr:col>2</xdr:col>
      <xdr:colOff>83820</xdr:colOff>
      <xdr:row>2</xdr:row>
      <xdr:rowOff>91440</xdr:rowOff>
    </xdr:to>
    <xdr:pic>
      <xdr:nvPicPr>
        <xdr:cNvPr id="134" name="Graphic 133" descr="Moon with solid fill">
          <a:extLst>
            <a:ext uri="{FF2B5EF4-FFF2-40B4-BE49-F238E27FC236}">
              <a16:creationId xmlns:a16="http://schemas.microsoft.com/office/drawing/2014/main" id="{742B08F4-6EEA-4EA9-9033-E795017DFF66}"/>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1028700" y="182880"/>
          <a:ext cx="274320" cy="274320"/>
        </a:xfrm>
        <a:prstGeom prst="rect">
          <a:avLst/>
        </a:prstGeom>
      </xdr:spPr>
    </xdr:pic>
    <xdr:clientData/>
  </xdr:twoCellAnchor>
  <xdr:twoCellAnchor>
    <xdr:from>
      <xdr:col>3</xdr:col>
      <xdr:colOff>419100</xdr:colOff>
      <xdr:row>26</xdr:row>
      <xdr:rowOff>129540</xdr:rowOff>
    </xdr:from>
    <xdr:to>
      <xdr:col>12</xdr:col>
      <xdr:colOff>114300</xdr:colOff>
      <xdr:row>35</xdr:row>
      <xdr:rowOff>30480</xdr:rowOff>
    </xdr:to>
    <xdr:sp macro="" textlink="">
      <xdr:nvSpPr>
        <xdr:cNvPr id="135" name="Rectangle: Rounded Corners 134">
          <a:hlinkClick xmlns:r="http://schemas.openxmlformats.org/officeDocument/2006/relationships" r:id="rId16"/>
          <a:extLst>
            <a:ext uri="{FF2B5EF4-FFF2-40B4-BE49-F238E27FC236}">
              <a16:creationId xmlns:a16="http://schemas.microsoft.com/office/drawing/2014/main" id="{D50E3B9D-70E5-4B2F-9DE0-68F52CB43CD7}"/>
            </a:ext>
          </a:extLst>
        </xdr:cNvPr>
        <xdr:cNvSpPr/>
      </xdr:nvSpPr>
      <xdr:spPr>
        <a:xfrm>
          <a:off x="2247900" y="4884420"/>
          <a:ext cx="5181600" cy="154686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3</xdr:col>
      <xdr:colOff>419100</xdr:colOff>
      <xdr:row>12</xdr:row>
      <xdr:rowOff>121920</xdr:rowOff>
    </xdr:from>
    <xdr:to>
      <xdr:col>12</xdr:col>
      <xdr:colOff>114300</xdr:colOff>
      <xdr:row>25</xdr:row>
      <xdr:rowOff>129540</xdr:rowOff>
    </xdr:to>
    <xdr:sp macro="" textlink="">
      <xdr:nvSpPr>
        <xdr:cNvPr id="136" name="Rectangle: Rounded Corners 135">
          <a:hlinkClick xmlns:r="http://schemas.openxmlformats.org/officeDocument/2006/relationships" r:id="rId17"/>
          <a:extLst>
            <a:ext uri="{FF2B5EF4-FFF2-40B4-BE49-F238E27FC236}">
              <a16:creationId xmlns:a16="http://schemas.microsoft.com/office/drawing/2014/main" id="{1B4E07C1-C77A-4A16-80C4-FE8306F26767}"/>
            </a:ext>
          </a:extLst>
        </xdr:cNvPr>
        <xdr:cNvSpPr/>
      </xdr:nvSpPr>
      <xdr:spPr>
        <a:xfrm>
          <a:off x="2247900" y="2316480"/>
          <a:ext cx="5181600" cy="238506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editAs="oneCell">
    <xdr:from>
      <xdr:col>0</xdr:col>
      <xdr:colOff>76200</xdr:colOff>
      <xdr:row>1</xdr:row>
      <xdr:rowOff>0</xdr:rowOff>
    </xdr:from>
    <xdr:to>
      <xdr:col>0</xdr:col>
      <xdr:colOff>350520</xdr:colOff>
      <xdr:row>2</xdr:row>
      <xdr:rowOff>91440</xdr:rowOff>
    </xdr:to>
    <xdr:pic>
      <xdr:nvPicPr>
        <xdr:cNvPr id="140" name="Graphic 139" descr="Home with solid fill">
          <a:hlinkClick xmlns:r="http://schemas.openxmlformats.org/officeDocument/2006/relationships" r:id="rId18"/>
          <a:extLst>
            <a:ext uri="{FF2B5EF4-FFF2-40B4-BE49-F238E27FC236}">
              <a16:creationId xmlns:a16="http://schemas.microsoft.com/office/drawing/2014/main" id="{C3E6201A-EA7D-440B-8B6F-C7B89C5AB34B}"/>
            </a:ext>
          </a:extLst>
        </xdr:cNvPr>
        <xdr:cNvPicPr>
          <a:picLocks noChangeAspect="1"/>
        </xdr:cNvPicPr>
      </xdr:nvPicPr>
      <xdr:blipFill>
        <a:blip xmlns:r="http://schemas.openxmlformats.org/officeDocument/2006/relationships" r:embed="rId19">
          <a:extLst>
            <a:ext uri="{96DAC541-7B7A-43D3-8B79-37D633B846F1}">
              <asvg:svgBlip xmlns:asvg="http://schemas.microsoft.com/office/drawing/2016/SVG/main" r:embed="rId20"/>
            </a:ext>
          </a:extLst>
        </a:blip>
        <a:stretch>
          <a:fillRect/>
        </a:stretch>
      </xdr:blipFill>
      <xdr:spPr>
        <a:xfrm>
          <a:off x="76200" y="182880"/>
          <a:ext cx="274320" cy="27432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0</xdr:col>
      <xdr:colOff>0</xdr:colOff>
      <xdr:row>0</xdr:row>
      <xdr:rowOff>0</xdr:rowOff>
    </xdr:from>
    <xdr:to>
      <xdr:col>24</xdr:col>
      <xdr:colOff>0</xdr:colOff>
      <xdr:row>45</xdr:row>
      <xdr:rowOff>0</xdr:rowOff>
    </xdr:to>
    <xdr:sp macro="" textlink="">
      <xdr:nvSpPr>
        <xdr:cNvPr id="103" name="Rectangle 102">
          <a:extLst>
            <a:ext uri="{FF2B5EF4-FFF2-40B4-BE49-F238E27FC236}">
              <a16:creationId xmlns:a16="http://schemas.microsoft.com/office/drawing/2014/main" id="{4164313C-1EDD-43A1-B19C-251B1BF9BAD9}"/>
            </a:ext>
          </a:extLst>
        </xdr:cNvPr>
        <xdr:cNvSpPr/>
      </xdr:nvSpPr>
      <xdr:spPr>
        <a:xfrm>
          <a:off x="0" y="0"/>
          <a:ext cx="14630400" cy="8229600"/>
        </a:xfrm>
        <a:prstGeom prst="rect">
          <a:avLst/>
        </a:prstGeom>
        <a:gradFill flip="none" rotWithShape="1">
          <a:gsLst>
            <a:gs pos="84000">
              <a:srgbClr val="3173C7"/>
            </a:gs>
            <a:gs pos="8000">
              <a:srgbClr val="92C1E4"/>
            </a:gs>
            <a:gs pos="100000">
              <a:srgbClr val="1655B7"/>
            </a:gs>
          </a:gsLst>
          <a:path path="circle">
            <a:fillToRect l="100000" t="100000"/>
          </a:path>
          <a:tileRect r="-100000" b="-100000"/>
        </a:gra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clientData/>
  </xdr:twoCellAnchor>
  <xdr:twoCellAnchor>
    <xdr:from>
      <xdr:col>3</xdr:col>
      <xdr:colOff>7620</xdr:colOff>
      <xdr:row>2</xdr:row>
      <xdr:rowOff>99060</xdr:rowOff>
    </xdr:from>
    <xdr:to>
      <xdr:col>20</xdr:col>
      <xdr:colOff>586740</xdr:colOff>
      <xdr:row>39</xdr:row>
      <xdr:rowOff>99060</xdr:rowOff>
    </xdr:to>
    <xdr:sp macro="" textlink="">
      <xdr:nvSpPr>
        <xdr:cNvPr id="3" name="Rectangle: Rounded Corners 2">
          <a:extLst>
            <a:ext uri="{FF2B5EF4-FFF2-40B4-BE49-F238E27FC236}">
              <a16:creationId xmlns:a16="http://schemas.microsoft.com/office/drawing/2014/main" id="{2A4E1395-C03A-46E8-A462-B3B96A1AE9C8}"/>
            </a:ext>
          </a:extLst>
        </xdr:cNvPr>
        <xdr:cNvSpPr/>
      </xdr:nvSpPr>
      <xdr:spPr>
        <a:xfrm>
          <a:off x="1836420" y="464820"/>
          <a:ext cx="10942320" cy="6766560"/>
        </a:xfrm>
        <a:prstGeom prst="roundRect">
          <a:avLst>
            <a:gd name="adj" fmla="val 4034"/>
          </a:avLst>
        </a:prstGeom>
        <a:solidFill>
          <a:schemeClr val="bg1"/>
        </a:solidFill>
        <a:ln w="12700">
          <a:noFill/>
        </a:ln>
        <a:effectLst>
          <a:outerShdw blurRad="571500" dist="190500" dir="8100000" algn="tr" rotWithShape="0">
            <a:srgbClr val="0D328D">
              <a:alpha val="6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l" defTabSz="914400" rtl="0" eaLnBrk="1" latinLnBrk="0" hangingPunct="1"/>
          <a:endParaRPr lang="ru-RU" sz="1100" kern="1200">
            <a:solidFill>
              <a:schemeClr val="lt1"/>
            </a:solidFill>
            <a:latin typeface="+mn-lt"/>
            <a:ea typeface="+mn-ea"/>
            <a:cs typeface="+mn-cs"/>
          </a:endParaRPr>
        </a:p>
      </xdr:txBody>
    </xdr:sp>
    <xdr:clientData/>
  </xdr:twoCellAnchor>
  <xdr:twoCellAnchor>
    <xdr:from>
      <xdr:col>3</xdr:col>
      <xdr:colOff>426720</xdr:colOff>
      <xdr:row>12</xdr:row>
      <xdr:rowOff>111830</xdr:rowOff>
    </xdr:from>
    <xdr:to>
      <xdr:col>12</xdr:col>
      <xdr:colOff>121920</xdr:colOff>
      <xdr:row>25</xdr:row>
      <xdr:rowOff>111830</xdr:rowOff>
    </xdr:to>
    <xdr:sp macro="" textlink="">
      <xdr:nvSpPr>
        <xdr:cNvPr id="4" name="Rectangle: Rounded Corners 3">
          <a:extLst>
            <a:ext uri="{FF2B5EF4-FFF2-40B4-BE49-F238E27FC236}">
              <a16:creationId xmlns:a16="http://schemas.microsoft.com/office/drawing/2014/main" id="{79EBEFB2-43E1-4020-B058-A283E7CEC677}"/>
            </a:ext>
          </a:extLst>
        </xdr:cNvPr>
        <xdr:cNvSpPr/>
      </xdr:nvSpPr>
      <xdr:spPr>
        <a:xfrm>
          <a:off x="2255520" y="2306390"/>
          <a:ext cx="5181600" cy="2377440"/>
        </a:xfrm>
        <a:prstGeom prst="roundRect">
          <a:avLst>
            <a:gd name="adj" fmla="val 6794"/>
          </a:avLst>
        </a:prstGeom>
        <a:solidFill>
          <a:schemeClr val="bg1"/>
        </a:solidFill>
        <a:ln w="9525">
          <a:solidFill>
            <a:schemeClr val="bg1"/>
          </a:solidFill>
        </a:ln>
        <a:effectLst>
          <a:outerShdw blurRad="254000" dist="101600" dir="8100000" algn="tr" rotWithShape="0">
            <a:srgbClr val="0D328D">
              <a:alpha val="4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200" kern="1200">
            <a:solidFill>
              <a:srgbClr val="455177"/>
            </a:solidFill>
            <a:latin typeface="+mn-lt"/>
            <a:ea typeface="+mn-ea"/>
            <a:cs typeface="+mn-cs"/>
          </a:endParaRPr>
        </a:p>
      </xdr:txBody>
    </xdr:sp>
    <xdr:clientData/>
  </xdr:twoCellAnchor>
  <xdr:twoCellAnchor>
    <xdr:from>
      <xdr:col>3</xdr:col>
      <xdr:colOff>403860</xdr:colOff>
      <xdr:row>26</xdr:row>
      <xdr:rowOff>109359</xdr:rowOff>
    </xdr:from>
    <xdr:to>
      <xdr:col>12</xdr:col>
      <xdr:colOff>99060</xdr:colOff>
      <xdr:row>37</xdr:row>
      <xdr:rowOff>94982</xdr:rowOff>
    </xdr:to>
    <xdr:sp macro="" textlink="Processing!A16">
      <xdr:nvSpPr>
        <xdr:cNvPr id="5" name="Rectangle: Rounded Corners 4">
          <a:extLst>
            <a:ext uri="{FF2B5EF4-FFF2-40B4-BE49-F238E27FC236}">
              <a16:creationId xmlns:a16="http://schemas.microsoft.com/office/drawing/2014/main" id="{F5219618-C0BA-4C00-9829-ACE9E76D1F52}"/>
            </a:ext>
          </a:extLst>
        </xdr:cNvPr>
        <xdr:cNvSpPr/>
      </xdr:nvSpPr>
      <xdr:spPr>
        <a:xfrm>
          <a:off x="2232660" y="4864239"/>
          <a:ext cx="5181600" cy="1997303"/>
        </a:xfrm>
        <a:prstGeom prst="roundRect">
          <a:avLst>
            <a:gd name="adj" fmla="val 7756"/>
          </a:avLst>
        </a:prstGeom>
        <a:solidFill>
          <a:schemeClr val="bg1"/>
        </a:solidFill>
        <a:ln w="9525">
          <a:solidFill>
            <a:schemeClr val="bg1"/>
          </a:solidFill>
        </a:ln>
        <a:effectLst>
          <a:outerShdw blurRad="254000" dist="101600" dir="8100000" algn="tr" rotWithShape="0">
            <a:srgbClr val="0D328D">
              <a:alpha val="4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fld id="{D2D6F0D1-0F7B-4E37-AF29-585FD355E19A}" type="TxLink">
            <a:rPr lang="en-US" sz="1200" kern="1200">
              <a:solidFill>
                <a:srgbClr val="455177"/>
              </a:solidFill>
              <a:latin typeface="+mn-lt"/>
              <a:ea typeface="+mn-ea"/>
              <a:cs typeface="+mn-cs"/>
            </a:rPr>
            <a:pPr marL="0" indent="0" algn="ctr" defTabSz="914400" rtl="0" eaLnBrk="1" latinLnBrk="0" hangingPunct="1"/>
            <a:t>Income &amp; Expenses</a:t>
          </a:fld>
          <a:endParaRPr lang="ru-RU" sz="1200" kern="1200">
            <a:solidFill>
              <a:srgbClr val="455177"/>
            </a:solidFill>
            <a:latin typeface="+mn-lt"/>
            <a:ea typeface="+mn-ea"/>
            <a:cs typeface="+mn-cs"/>
          </a:endParaRPr>
        </a:p>
      </xdr:txBody>
    </xdr:sp>
    <xdr:clientData/>
  </xdr:twoCellAnchor>
  <xdr:twoCellAnchor>
    <xdr:from>
      <xdr:col>12</xdr:col>
      <xdr:colOff>314716</xdr:colOff>
      <xdr:row>4</xdr:row>
      <xdr:rowOff>106680</xdr:rowOff>
    </xdr:from>
    <xdr:to>
      <xdr:col>20</xdr:col>
      <xdr:colOff>192796</xdr:colOff>
      <xdr:row>17</xdr:row>
      <xdr:rowOff>15240</xdr:rowOff>
    </xdr:to>
    <xdr:sp macro="" textlink="">
      <xdr:nvSpPr>
        <xdr:cNvPr id="6" name="Rectangle: Rounded Corners 5">
          <a:extLst>
            <a:ext uri="{FF2B5EF4-FFF2-40B4-BE49-F238E27FC236}">
              <a16:creationId xmlns:a16="http://schemas.microsoft.com/office/drawing/2014/main" id="{FBF52441-34E8-4803-87EA-6840126E1A93}"/>
            </a:ext>
          </a:extLst>
        </xdr:cNvPr>
        <xdr:cNvSpPr/>
      </xdr:nvSpPr>
      <xdr:spPr>
        <a:xfrm>
          <a:off x="7629916" y="838200"/>
          <a:ext cx="4754880" cy="2286000"/>
        </a:xfrm>
        <a:prstGeom prst="roundRect">
          <a:avLst>
            <a:gd name="adj" fmla="val 7756"/>
          </a:avLst>
        </a:prstGeom>
        <a:solidFill>
          <a:schemeClr val="bg1"/>
        </a:solidFill>
        <a:ln w="9525">
          <a:solidFill>
            <a:schemeClr val="bg1"/>
          </a:solidFill>
        </a:ln>
        <a:effectLst>
          <a:outerShdw blurRad="254000" dist="101600" dir="8100000" algn="tr" rotWithShape="0">
            <a:srgbClr val="0D328D">
              <a:alpha val="4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200" kern="1200">
            <a:solidFill>
              <a:srgbClr val="455177"/>
            </a:solidFill>
            <a:latin typeface="+mn-lt"/>
            <a:ea typeface="+mn-ea"/>
            <a:cs typeface="+mn-cs"/>
          </a:endParaRPr>
        </a:p>
      </xdr:txBody>
    </xdr:sp>
    <xdr:clientData/>
  </xdr:twoCellAnchor>
  <xdr:twoCellAnchor>
    <xdr:from>
      <xdr:col>12</xdr:col>
      <xdr:colOff>314716</xdr:colOff>
      <xdr:row>18</xdr:row>
      <xdr:rowOff>11162</xdr:rowOff>
    </xdr:from>
    <xdr:to>
      <xdr:col>20</xdr:col>
      <xdr:colOff>192796</xdr:colOff>
      <xdr:row>37</xdr:row>
      <xdr:rowOff>102602</xdr:rowOff>
    </xdr:to>
    <xdr:sp macro="" textlink="">
      <xdr:nvSpPr>
        <xdr:cNvPr id="7" name="Rectangle: Rounded Corners 6">
          <a:extLst>
            <a:ext uri="{FF2B5EF4-FFF2-40B4-BE49-F238E27FC236}">
              <a16:creationId xmlns:a16="http://schemas.microsoft.com/office/drawing/2014/main" id="{04A3475D-0720-474A-B0B8-7CCC3E1F51CD}"/>
            </a:ext>
          </a:extLst>
        </xdr:cNvPr>
        <xdr:cNvSpPr/>
      </xdr:nvSpPr>
      <xdr:spPr>
        <a:xfrm>
          <a:off x="7629916" y="3303002"/>
          <a:ext cx="4754880" cy="3566160"/>
        </a:xfrm>
        <a:prstGeom prst="roundRect">
          <a:avLst>
            <a:gd name="adj" fmla="val 5047"/>
          </a:avLst>
        </a:prstGeom>
        <a:solidFill>
          <a:schemeClr val="bg1"/>
        </a:solidFill>
        <a:ln w="9525">
          <a:solidFill>
            <a:schemeClr val="bg1"/>
          </a:solidFill>
        </a:ln>
        <a:effectLst>
          <a:outerShdw blurRad="254000" dist="101600" dir="8100000" algn="tr" rotWithShape="0">
            <a:srgbClr val="0D328D">
              <a:alpha val="4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p>
          <a:pPr marL="0" indent="0" algn="ctr" defTabSz="914400" rtl="0" eaLnBrk="1" latinLnBrk="0" hangingPunct="1"/>
          <a:endParaRPr lang="en-US" sz="1200" kern="1200">
            <a:solidFill>
              <a:srgbClr val="455177"/>
            </a:solidFill>
            <a:latin typeface="+mn-lt"/>
            <a:ea typeface="+mn-ea"/>
            <a:cs typeface="+mn-cs"/>
          </a:endParaRPr>
        </a:p>
      </xdr:txBody>
    </xdr:sp>
    <xdr:clientData/>
  </xdr:twoCellAnchor>
  <xdr:twoCellAnchor>
    <xdr:from>
      <xdr:col>4</xdr:col>
      <xdr:colOff>487680</xdr:colOff>
      <xdr:row>14</xdr:row>
      <xdr:rowOff>160020</xdr:rowOff>
    </xdr:from>
    <xdr:to>
      <xdr:col>11</xdr:col>
      <xdr:colOff>335280</xdr:colOff>
      <xdr:row>24</xdr:row>
      <xdr:rowOff>160020</xdr:rowOff>
    </xdr:to>
    <xdr:sp macro="" textlink="">
      <xdr:nvSpPr>
        <xdr:cNvPr id="8" name="Rectangle: Rounded Corners 7">
          <a:extLst>
            <a:ext uri="{FF2B5EF4-FFF2-40B4-BE49-F238E27FC236}">
              <a16:creationId xmlns:a16="http://schemas.microsoft.com/office/drawing/2014/main" id="{F45E8DE9-3827-4FF6-982E-B5C486FD63DE}"/>
            </a:ext>
          </a:extLst>
        </xdr:cNvPr>
        <xdr:cNvSpPr/>
      </xdr:nvSpPr>
      <xdr:spPr>
        <a:xfrm>
          <a:off x="2926080" y="2720340"/>
          <a:ext cx="4114800" cy="1828800"/>
        </a:xfrm>
        <a:prstGeom prst="roundRect">
          <a:avLst>
            <a:gd name="adj" fmla="val 5788"/>
          </a:avLst>
        </a:prstGeom>
        <a:solidFill>
          <a:schemeClr val="bg1"/>
        </a:solidFill>
        <a:ln>
          <a:noFill/>
        </a:ln>
        <a:effectLst>
          <a:innerShdw blurRad="381000">
            <a:srgbClr val="004A82">
              <a:alpha val="60000"/>
            </a:srgbClr>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ru-RU" sz="1100">
            <a:solidFill>
              <a:schemeClr val="lt1"/>
            </a:solidFill>
            <a:latin typeface="+mn-lt"/>
            <a:ea typeface="+mn-ea"/>
            <a:cs typeface="+mn-cs"/>
          </a:endParaRPr>
        </a:p>
      </xdr:txBody>
    </xdr:sp>
    <xdr:clientData/>
  </xdr:twoCellAnchor>
  <xdr:twoCellAnchor>
    <xdr:from>
      <xdr:col>4</xdr:col>
      <xdr:colOff>396240</xdr:colOff>
      <xdr:row>13</xdr:row>
      <xdr:rowOff>38100</xdr:rowOff>
    </xdr:from>
    <xdr:to>
      <xdr:col>11</xdr:col>
      <xdr:colOff>472440</xdr:colOff>
      <xdr:row>25</xdr:row>
      <xdr:rowOff>111252</xdr:rowOff>
    </xdr:to>
    <xdr:graphicFrame macro="">
      <xdr:nvGraphicFramePr>
        <xdr:cNvPr id="9" name="Chart 8">
          <a:extLst>
            <a:ext uri="{FF2B5EF4-FFF2-40B4-BE49-F238E27FC236}">
              <a16:creationId xmlns:a16="http://schemas.microsoft.com/office/drawing/2014/main" id="{CCA68C98-4125-402C-A5DA-A75735961B0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0</xdr:colOff>
      <xdr:row>14</xdr:row>
      <xdr:rowOff>38100</xdr:rowOff>
    </xdr:from>
    <xdr:to>
      <xdr:col>11</xdr:col>
      <xdr:colOff>441960</xdr:colOff>
      <xdr:row>25</xdr:row>
      <xdr:rowOff>83820</xdr:rowOff>
    </xdr:to>
    <xdr:graphicFrame macro="">
      <xdr:nvGraphicFramePr>
        <xdr:cNvPr id="10" name="Chart 9">
          <a:extLst>
            <a:ext uri="{FF2B5EF4-FFF2-40B4-BE49-F238E27FC236}">
              <a16:creationId xmlns:a16="http://schemas.microsoft.com/office/drawing/2014/main" id="{37E58DCB-CF9D-4027-85BC-B592AF00993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403860</xdr:colOff>
      <xdr:row>5</xdr:row>
      <xdr:rowOff>53340</xdr:rowOff>
    </xdr:from>
    <xdr:to>
      <xdr:col>15</xdr:col>
      <xdr:colOff>586740</xdr:colOff>
      <xdr:row>16</xdr:row>
      <xdr:rowOff>53340</xdr:rowOff>
    </xdr:to>
    <xdr:graphicFrame macro="">
      <xdr:nvGraphicFramePr>
        <xdr:cNvPr id="11" name="Chart 10">
          <a:extLst>
            <a:ext uri="{FF2B5EF4-FFF2-40B4-BE49-F238E27FC236}">
              <a16:creationId xmlns:a16="http://schemas.microsoft.com/office/drawing/2014/main" id="{0611C8A0-8A03-40A3-8518-9890AB483B4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342900</xdr:colOff>
      <xdr:row>9</xdr:row>
      <xdr:rowOff>76200</xdr:rowOff>
    </xdr:from>
    <xdr:to>
      <xdr:col>15</xdr:col>
      <xdr:colOff>38100</xdr:colOff>
      <xdr:row>11</xdr:row>
      <xdr:rowOff>160020</xdr:rowOff>
    </xdr:to>
    <xdr:sp macro="" textlink="Processing!S3">
      <xdr:nvSpPr>
        <xdr:cNvPr id="12" name="TextBox 11">
          <a:extLst>
            <a:ext uri="{FF2B5EF4-FFF2-40B4-BE49-F238E27FC236}">
              <a16:creationId xmlns:a16="http://schemas.microsoft.com/office/drawing/2014/main" id="{E556AD9F-7FC0-4529-A4A5-CF92BECDE75B}"/>
            </a:ext>
          </a:extLst>
        </xdr:cNvPr>
        <xdr:cNvSpPr txBox="1"/>
      </xdr:nvSpPr>
      <xdr:spPr>
        <a:xfrm>
          <a:off x="8267700" y="1722120"/>
          <a:ext cx="914400" cy="4495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E76BA41-C5AD-4A6D-8F20-94D5DF0D5944}" type="TxLink">
            <a:rPr lang="en-US" sz="2800" b="0" i="0" u="none" strike="noStrike">
              <a:solidFill>
                <a:srgbClr val="455177"/>
              </a:solidFill>
              <a:latin typeface="Aptos Narrow"/>
            </a:rPr>
            <a:pPr algn="ctr"/>
            <a:t>64%</a:t>
          </a:fld>
          <a:endParaRPr lang="ru-RU" sz="2800">
            <a:solidFill>
              <a:srgbClr val="455177"/>
            </a:solidFill>
          </a:endParaRPr>
        </a:p>
      </xdr:txBody>
    </xdr:sp>
    <xdr:clientData/>
  </xdr:twoCellAnchor>
  <xdr:twoCellAnchor>
    <xdr:from>
      <xdr:col>13</xdr:col>
      <xdr:colOff>342900</xdr:colOff>
      <xdr:row>10</xdr:row>
      <xdr:rowOff>167640</xdr:rowOff>
    </xdr:from>
    <xdr:to>
      <xdr:col>15</xdr:col>
      <xdr:colOff>38100</xdr:colOff>
      <xdr:row>13</xdr:row>
      <xdr:rowOff>68580</xdr:rowOff>
    </xdr:to>
    <xdr:sp macro="" textlink="Processing!S1">
      <xdr:nvSpPr>
        <xdr:cNvPr id="13" name="TextBox 12">
          <a:extLst>
            <a:ext uri="{FF2B5EF4-FFF2-40B4-BE49-F238E27FC236}">
              <a16:creationId xmlns:a16="http://schemas.microsoft.com/office/drawing/2014/main" id="{719B9E3D-1EC9-41FF-BFDA-551D712B8423}"/>
            </a:ext>
          </a:extLst>
        </xdr:cNvPr>
        <xdr:cNvSpPr txBox="1"/>
      </xdr:nvSpPr>
      <xdr:spPr>
        <a:xfrm>
          <a:off x="8267700" y="1996440"/>
          <a:ext cx="914400" cy="4495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F56BAA3-B378-48FE-B598-FF2C3B2AC85A}" type="TxLink">
            <a:rPr lang="en-US" sz="1400" b="0" i="0" u="none" strike="noStrike">
              <a:solidFill>
                <a:srgbClr val="455177"/>
              </a:solidFill>
              <a:latin typeface="Aptos Narrow"/>
            </a:rPr>
            <a:pPr algn="ctr"/>
            <a:t>Budget</a:t>
          </a:fld>
          <a:endParaRPr lang="ru-RU" sz="3600" b="0">
            <a:solidFill>
              <a:srgbClr val="455177"/>
            </a:solidFill>
          </a:endParaRPr>
        </a:p>
      </xdr:txBody>
    </xdr:sp>
    <xdr:clientData/>
  </xdr:twoCellAnchor>
  <xdr:twoCellAnchor>
    <xdr:from>
      <xdr:col>16</xdr:col>
      <xdr:colOff>0</xdr:colOff>
      <xdr:row>5</xdr:row>
      <xdr:rowOff>22860</xdr:rowOff>
    </xdr:from>
    <xdr:to>
      <xdr:col>20</xdr:col>
      <xdr:colOff>83820</xdr:colOff>
      <xdr:row>16</xdr:row>
      <xdr:rowOff>114300</xdr:rowOff>
    </xdr:to>
    <xdr:sp macro="" textlink="">
      <xdr:nvSpPr>
        <xdr:cNvPr id="14" name="Rectangle: Rounded Corners 13">
          <a:extLst>
            <a:ext uri="{FF2B5EF4-FFF2-40B4-BE49-F238E27FC236}">
              <a16:creationId xmlns:a16="http://schemas.microsoft.com/office/drawing/2014/main" id="{0DC8C011-000B-4423-A8F7-6D3E13535347}"/>
            </a:ext>
          </a:extLst>
        </xdr:cNvPr>
        <xdr:cNvSpPr/>
      </xdr:nvSpPr>
      <xdr:spPr>
        <a:xfrm>
          <a:off x="9753600" y="937260"/>
          <a:ext cx="2522220" cy="2103120"/>
        </a:xfrm>
        <a:prstGeom prst="roundRect">
          <a:avLst>
            <a:gd name="adj" fmla="val 7028"/>
          </a:avLst>
        </a:prstGeom>
        <a:solidFill>
          <a:srgbClr val="F0F4FE"/>
        </a:solidFill>
        <a:ln w="9525">
          <a:noFill/>
        </a:ln>
        <a:effectLst>
          <a:innerShdw blurRad="381000">
            <a:srgbClr val="159BFF">
              <a:alpha val="30000"/>
            </a:srgbClr>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ru-RU" sz="1100">
            <a:solidFill>
              <a:schemeClr val="lt1"/>
            </a:solidFill>
            <a:latin typeface="+mn-lt"/>
            <a:ea typeface="+mn-ea"/>
            <a:cs typeface="+mn-cs"/>
          </a:endParaRPr>
        </a:p>
      </xdr:txBody>
    </xdr:sp>
    <xdr:clientData/>
  </xdr:twoCellAnchor>
  <xdr:twoCellAnchor>
    <xdr:from>
      <xdr:col>16</xdr:col>
      <xdr:colOff>22860</xdr:colOff>
      <xdr:row>6</xdr:row>
      <xdr:rowOff>144780</xdr:rowOff>
    </xdr:from>
    <xdr:to>
      <xdr:col>20</xdr:col>
      <xdr:colOff>53340</xdr:colOff>
      <xdr:row>17</xdr:row>
      <xdr:rowOff>144780</xdr:rowOff>
    </xdr:to>
    <xdr:graphicFrame macro="">
      <xdr:nvGraphicFramePr>
        <xdr:cNvPr id="15" name="Chart 14">
          <a:extLst>
            <a:ext uri="{FF2B5EF4-FFF2-40B4-BE49-F238E27FC236}">
              <a16:creationId xmlns:a16="http://schemas.microsoft.com/office/drawing/2014/main" id="{93F480F5-AE8B-42DA-9FCC-DEC20704563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16</xdr:col>
      <xdr:colOff>76200</xdr:colOff>
      <xdr:row>5</xdr:row>
      <xdr:rowOff>144780</xdr:rowOff>
    </xdr:from>
    <xdr:to>
      <xdr:col>20</xdr:col>
      <xdr:colOff>22860</xdr:colOff>
      <xdr:row>7</xdr:row>
      <xdr:rowOff>53340</xdr:rowOff>
    </xdr:to>
    <xdr:sp macro="" textlink="">
      <xdr:nvSpPr>
        <xdr:cNvPr id="16" name="TextBox 15">
          <a:extLst>
            <a:ext uri="{FF2B5EF4-FFF2-40B4-BE49-F238E27FC236}">
              <a16:creationId xmlns:a16="http://schemas.microsoft.com/office/drawing/2014/main" id="{FE709F9F-16D6-41D8-8054-A745F618D2B9}"/>
            </a:ext>
          </a:extLst>
        </xdr:cNvPr>
        <xdr:cNvSpPr txBox="1"/>
      </xdr:nvSpPr>
      <xdr:spPr>
        <a:xfrm>
          <a:off x="9829800" y="1059180"/>
          <a:ext cx="238506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100">
              <a:solidFill>
                <a:srgbClr val="FF6CFF"/>
              </a:solidFill>
            </a:rPr>
            <a:t>SU  </a:t>
          </a:r>
          <a:r>
            <a:rPr lang="en-US" sz="1100">
              <a:solidFill>
                <a:srgbClr val="0062C4"/>
              </a:solidFill>
            </a:rPr>
            <a:t>     MO       TU      WE      TH       FR       </a:t>
          </a:r>
          <a:r>
            <a:rPr lang="en-US" sz="1100">
              <a:solidFill>
                <a:srgbClr val="FF6CFF"/>
              </a:solidFill>
            </a:rPr>
            <a:t>SA</a:t>
          </a:r>
        </a:p>
      </xdr:txBody>
    </xdr:sp>
    <xdr:clientData/>
  </xdr:twoCellAnchor>
  <xdr:twoCellAnchor>
    <xdr:from>
      <xdr:col>3</xdr:col>
      <xdr:colOff>495300</xdr:colOff>
      <xdr:row>28</xdr:row>
      <xdr:rowOff>0</xdr:rowOff>
    </xdr:from>
    <xdr:to>
      <xdr:col>12</xdr:col>
      <xdr:colOff>83820</xdr:colOff>
      <xdr:row>36</xdr:row>
      <xdr:rowOff>91440</xdr:rowOff>
    </xdr:to>
    <xdr:graphicFrame macro="">
      <xdr:nvGraphicFramePr>
        <xdr:cNvPr id="17" name="Chart 16">
          <a:extLst>
            <a:ext uri="{FF2B5EF4-FFF2-40B4-BE49-F238E27FC236}">
              <a16:creationId xmlns:a16="http://schemas.microsoft.com/office/drawing/2014/main" id="{D2ADFB12-A580-4939-BFFB-5B101E927AF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12</xdr:col>
      <xdr:colOff>174951</xdr:colOff>
      <xdr:row>18</xdr:row>
      <xdr:rowOff>178308</xdr:rowOff>
    </xdr:from>
    <xdr:to>
      <xdr:col>18</xdr:col>
      <xdr:colOff>221290</xdr:colOff>
      <xdr:row>34</xdr:row>
      <xdr:rowOff>35052</xdr:rowOff>
    </xdr:to>
    <xdr:grpSp>
      <xdr:nvGrpSpPr>
        <xdr:cNvPr id="18" name="Group 17">
          <a:extLst>
            <a:ext uri="{FF2B5EF4-FFF2-40B4-BE49-F238E27FC236}">
              <a16:creationId xmlns:a16="http://schemas.microsoft.com/office/drawing/2014/main" id="{D6547ACE-A5FC-42AD-AC9D-AF8E0C539C01}"/>
            </a:ext>
          </a:extLst>
        </xdr:cNvPr>
        <xdr:cNvGrpSpPr/>
      </xdr:nvGrpSpPr>
      <xdr:grpSpPr>
        <a:xfrm>
          <a:off x="7540951" y="3607308"/>
          <a:ext cx="3729339" cy="2904744"/>
          <a:chOff x="9820190" y="3214116"/>
          <a:chExt cx="2945301" cy="2212848"/>
        </a:xfrm>
      </xdr:grpSpPr>
      <xdr:graphicFrame macro="">
        <xdr:nvGraphicFramePr>
          <xdr:cNvPr id="19" name="Chart 18">
            <a:extLst>
              <a:ext uri="{FF2B5EF4-FFF2-40B4-BE49-F238E27FC236}">
                <a16:creationId xmlns:a16="http://schemas.microsoft.com/office/drawing/2014/main" id="{BE293C91-CE60-17C3-4555-51C3B924C68C}"/>
              </a:ext>
            </a:extLst>
          </xdr:cNvPr>
          <xdr:cNvGraphicFramePr>
            <a:graphicFrameLocks/>
          </xdr:cNvGraphicFramePr>
        </xdr:nvGraphicFramePr>
        <xdr:xfrm>
          <a:off x="10424160" y="3451860"/>
          <a:ext cx="1737360" cy="1737360"/>
        </xdr:xfrm>
        <a:graphic>
          <a:graphicData uri="http://schemas.openxmlformats.org/drawingml/2006/chart">
            <c:chart xmlns:c="http://schemas.openxmlformats.org/drawingml/2006/chart" xmlns:r="http://schemas.openxmlformats.org/officeDocument/2006/relationships" r:id="rId6"/>
          </a:graphicData>
        </a:graphic>
      </xdr:graphicFrame>
      <xdr:graphicFrame macro="">
        <xdr:nvGraphicFramePr>
          <xdr:cNvPr id="20" name="Chart 19">
            <a:extLst>
              <a:ext uri="{FF2B5EF4-FFF2-40B4-BE49-F238E27FC236}">
                <a16:creationId xmlns:a16="http://schemas.microsoft.com/office/drawing/2014/main" id="{F6567CE4-B3FC-290B-39BC-4C2AE6194869}"/>
              </a:ext>
            </a:extLst>
          </xdr:cNvPr>
          <xdr:cNvGraphicFramePr>
            <a:graphicFrameLocks/>
          </xdr:cNvGraphicFramePr>
        </xdr:nvGraphicFramePr>
        <xdr:xfrm>
          <a:off x="9820190" y="3214116"/>
          <a:ext cx="2945301" cy="2212848"/>
        </xdr:xfrm>
        <a:graphic>
          <a:graphicData uri="http://schemas.openxmlformats.org/drawingml/2006/chart">
            <c:chart xmlns:c="http://schemas.openxmlformats.org/drawingml/2006/chart" xmlns:r="http://schemas.openxmlformats.org/officeDocument/2006/relationships" r:id="rId7"/>
          </a:graphicData>
        </a:graphic>
      </xdr:graphicFrame>
    </xdr:grpSp>
    <xdr:clientData/>
  </xdr:twoCellAnchor>
  <xdr:twoCellAnchor>
    <xdr:from>
      <xdr:col>17</xdr:col>
      <xdr:colOff>236220</xdr:colOff>
      <xdr:row>27</xdr:row>
      <xdr:rowOff>152400</xdr:rowOff>
    </xdr:from>
    <xdr:to>
      <xdr:col>20</xdr:col>
      <xdr:colOff>134498</xdr:colOff>
      <xdr:row>35</xdr:row>
      <xdr:rowOff>144780</xdr:rowOff>
    </xdr:to>
    <xdr:graphicFrame macro="">
      <xdr:nvGraphicFramePr>
        <xdr:cNvPr id="21" name="Chart 20">
          <a:extLst>
            <a:ext uri="{FF2B5EF4-FFF2-40B4-BE49-F238E27FC236}">
              <a16:creationId xmlns:a16="http://schemas.microsoft.com/office/drawing/2014/main" id="{D8AA2DD2-A047-4A82-9B7D-21936B26E7D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4</xdr:col>
      <xdr:colOff>236220</xdr:colOff>
      <xdr:row>35</xdr:row>
      <xdr:rowOff>0</xdr:rowOff>
    </xdr:from>
    <xdr:to>
      <xdr:col>12</xdr:col>
      <xdr:colOff>22860</xdr:colOff>
      <xdr:row>37</xdr:row>
      <xdr:rowOff>64008</xdr:rowOff>
    </xdr:to>
    <mc:AlternateContent xmlns:mc="http://schemas.openxmlformats.org/markup-compatibility/2006" xmlns:a14="http://schemas.microsoft.com/office/drawing/2010/main">
      <mc:Choice Requires="a14">
        <xdr:graphicFrame macro="">
          <xdr:nvGraphicFramePr>
            <xdr:cNvPr id="22" name="Month 7">
              <a:extLst>
                <a:ext uri="{FF2B5EF4-FFF2-40B4-BE49-F238E27FC236}">
                  <a16:creationId xmlns:a16="http://schemas.microsoft.com/office/drawing/2014/main" id="{B420EB3A-20C7-4E71-A9B0-2CA5E0E1A2E9}"/>
                </a:ext>
              </a:extLst>
            </xdr:cNvPr>
            <xdr:cNvGraphicFramePr/>
          </xdr:nvGraphicFramePr>
          <xdr:xfrm>
            <a:off x="0" y="0"/>
            <a:ext cx="0" cy="0"/>
          </xdr:xfrm>
          <a:graphic>
            <a:graphicData uri="http://schemas.microsoft.com/office/drawing/2010/slicer">
              <sle:slicer xmlns:sle="http://schemas.microsoft.com/office/drawing/2010/slicer" name="Month 7"/>
            </a:graphicData>
          </a:graphic>
        </xdr:graphicFrame>
      </mc:Choice>
      <mc:Fallback xmlns="">
        <xdr:sp macro="" textlink="">
          <xdr:nvSpPr>
            <xdr:cNvPr id="0" name=""/>
            <xdr:cNvSpPr>
              <a:spLocks noTextEdit="1"/>
            </xdr:cNvSpPr>
          </xdr:nvSpPr>
          <xdr:spPr>
            <a:xfrm>
              <a:off x="2674620" y="6400800"/>
              <a:ext cx="4663440" cy="429768"/>
            </a:xfrm>
            <a:prstGeom prst="rect">
              <a:avLst/>
            </a:prstGeom>
            <a:solidFill>
              <a:prstClr val="white"/>
            </a:solidFill>
            <a:ln w="1">
              <a:solidFill>
                <a:prstClr val="green"/>
              </a:solidFill>
            </a:ln>
          </xdr:spPr>
          <xdr:txBody>
            <a:bodyPr vertOverflow="clip" horzOverflow="clip"/>
            <a:lstStyle/>
            <a:p>
              <a:r>
                <a:rPr lang="ru-R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500638</xdr:colOff>
      <xdr:row>27</xdr:row>
      <xdr:rowOff>2758</xdr:rowOff>
    </xdr:from>
    <xdr:to>
      <xdr:col>10</xdr:col>
      <xdr:colOff>108963</xdr:colOff>
      <xdr:row>28</xdr:row>
      <xdr:rowOff>50583</xdr:rowOff>
    </xdr:to>
    <xdr:sp macro="" textlink="Processing!F30">
      <xdr:nvSpPr>
        <xdr:cNvPr id="23" name="TextBox 22">
          <a:extLst>
            <a:ext uri="{FF2B5EF4-FFF2-40B4-BE49-F238E27FC236}">
              <a16:creationId xmlns:a16="http://schemas.microsoft.com/office/drawing/2014/main" id="{9CF6A734-CE82-47EA-A38E-F32831892768}"/>
            </a:ext>
          </a:extLst>
        </xdr:cNvPr>
        <xdr:cNvSpPr txBox="1"/>
      </xdr:nvSpPr>
      <xdr:spPr>
        <a:xfrm>
          <a:off x="5377438" y="4940518"/>
          <a:ext cx="827525" cy="2307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F39BE783-B392-4D7C-8C2A-EEB34489B994}" type="TxLink">
            <a:rPr lang="en-US" sz="1200" b="0" i="0" u="none" strike="noStrike">
              <a:solidFill>
                <a:srgbClr val="FF00FF"/>
              </a:solidFill>
              <a:latin typeface="Aptos Narrow"/>
              <a:ea typeface="+mn-ea"/>
              <a:cs typeface="+mn-cs"/>
            </a:rPr>
            <a:pPr marL="0" indent="0" algn="l"/>
            <a:t> $10,302 </a:t>
          </a:fld>
          <a:endParaRPr lang="ru-RU" sz="2000" b="0" i="0" u="none" strike="noStrike">
            <a:solidFill>
              <a:srgbClr val="FF00FF"/>
            </a:solidFill>
            <a:latin typeface="Aptos Narrow"/>
            <a:ea typeface="+mn-ea"/>
            <a:cs typeface="+mn-cs"/>
          </a:endParaRPr>
        </a:p>
      </xdr:txBody>
    </xdr:sp>
    <xdr:clientData/>
  </xdr:twoCellAnchor>
  <xdr:twoCellAnchor>
    <xdr:from>
      <xdr:col>5</xdr:col>
      <xdr:colOff>348238</xdr:colOff>
      <xdr:row>27</xdr:row>
      <xdr:rowOff>2758</xdr:rowOff>
    </xdr:from>
    <xdr:to>
      <xdr:col>6</xdr:col>
      <xdr:colOff>566163</xdr:colOff>
      <xdr:row>28</xdr:row>
      <xdr:rowOff>50583</xdr:rowOff>
    </xdr:to>
    <xdr:sp macro="" textlink="Processing!E30">
      <xdr:nvSpPr>
        <xdr:cNvPr id="24" name="TextBox 23">
          <a:extLst>
            <a:ext uri="{FF2B5EF4-FFF2-40B4-BE49-F238E27FC236}">
              <a16:creationId xmlns:a16="http://schemas.microsoft.com/office/drawing/2014/main" id="{AC6E2BC9-191D-49DA-97AE-CA992E11D76F}"/>
            </a:ext>
          </a:extLst>
        </xdr:cNvPr>
        <xdr:cNvSpPr txBox="1"/>
      </xdr:nvSpPr>
      <xdr:spPr>
        <a:xfrm>
          <a:off x="3396238" y="4940518"/>
          <a:ext cx="827525" cy="2307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6228063D-045F-42D2-9E29-4ADE8D5D219F}" type="TxLink">
            <a:rPr lang="en-US" sz="1200" b="0" i="0" u="none" strike="noStrike">
              <a:solidFill>
                <a:srgbClr val="178BFF"/>
              </a:solidFill>
              <a:latin typeface="Aptos Narrow"/>
              <a:ea typeface="+mn-ea"/>
              <a:cs typeface="+mn-cs"/>
            </a:rPr>
            <a:pPr marL="0" indent="0" algn="r"/>
            <a:t> $12,533 </a:t>
          </a:fld>
          <a:endParaRPr lang="ru-RU" sz="2400" b="0" i="0" u="none" strike="noStrike">
            <a:solidFill>
              <a:srgbClr val="178BFF"/>
            </a:solidFill>
            <a:latin typeface="Aptos Narrow"/>
            <a:ea typeface="+mn-ea"/>
            <a:cs typeface="+mn-cs"/>
          </a:endParaRPr>
        </a:p>
      </xdr:txBody>
    </xdr:sp>
    <xdr:clientData/>
  </xdr:twoCellAnchor>
  <xdr:twoCellAnchor editAs="oneCell">
    <xdr:from>
      <xdr:col>17</xdr:col>
      <xdr:colOff>332618</xdr:colOff>
      <xdr:row>35</xdr:row>
      <xdr:rowOff>0</xdr:rowOff>
    </xdr:from>
    <xdr:to>
      <xdr:col>20</xdr:col>
      <xdr:colOff>58298</xdr:colOff>
      <xdr:row>37</xdr:row>
      <xdr:rowOff>64008</xdr:rowOff>
    </xdr:to>
    <mc:AlternateContent xmlns:mc="http://schemas.openxmlformats.org/markup-compatibility/2006" xmlns:a14="http://schemas.microsoft.com/office/drawing/2010/main">
      <mc:Choice Requires="a14">
        <xdr:graphicFrame macro="">
          <xdr:nvGraphicFramePr>
            <xdr:cNvPr id="25" name="Buttons 8">
              <a:extLst>
                <a:ext uri="{FF2B5EF4-FFF2-40B4-BE49-F238E27FC236}">
                  <a16:creationId xmlns:a16="http://schemas.microsoft.com/office/drawing/2014/main" id="{5C9F1842-D4F0-4773-B025-2E2170AD4E19}"/>
                </a:ext>
              </a:extLst>
            </xdr:cNvPr>
            <xdr:cNvGraphicFramePr/>
          </xdr:nvGraphicFramePr>
          <xdr:xfrm>
            <a:off x="0" y="0"/>
            <a:ext cx="0" cy="0"/>
          </xdr:xfrm>
          <a:graphic>
            <a:graphicData uri="http://schemas.microsoft.com/office/drawing/2010/slicer">
              <sle:slicer xmlns:sle="http://schemas.microsoft.com/office/drawing/2010/slicer" name="Buttons 8"/>
            </a:graphicData>
          </a:graphic>
        </xdr:graphicFrame>
      </mc:Choice>
      <mc:Fallback xmlns="">
        <xdr:sp macro="" textlink="">
          <xdr:nvSpPr>
            <xdr:cNvPr id="0" name=""/>
            <xdr:cNvSpPr>
              <a:spLocks noTextEdit="1"/>
            </xdr:cNvSpPr>
          </xdr:nvSpPr>
          <xdr:spPr>
            <a:xfrm>
              <a:off x="10695818" y="6400800"/>
              <a:ext cx="1554480" cy="429768"/>
            </a:xfrm>
            <a:prstGeom prst="rect">
              <a:avLst/>
            </a:prstGeom>
            <a:solidFill>
              <a:prstClr val="white"/>
            </a:solidFill>
            <a:ln w="1">
              <a:solidFill>
                <a:prstClr val="green"/>
              </a:solidFill>
            </a:ln>
          </xdr:spPr>
          <xdr:txBody>
            <a:bodyPr vertOverflow="clip" horzOverflow="clip"/>
            <a:lstStyle/>
            <a:p>
              <a:r>
                <a:rPr lang="ru-R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16</xdr:col>
      <xdr:colOff>108357</xdr:colOff>
      <xdr:row>7</xdr:row>
      <xdr:rowOff>72390</xdr:rowOff>
    </xdr:from>
    <xdr:to>
      <xdr:col>19</xdr:col>
      <xdr:colOff>592684</xdr:colOff>
      <xdr:row>15</xdr:row>
      <xdr:rowOff>156210</xdr:rowOff>
    </xdr:to>
    <xdr:grpSp>
      <xdr:nvGrpSpPr>
        <xdr:cNvPr id="26" name="Group 25">
          <a:extLst>
            <a:ext uri="{FF2B5EF4-FFF2-40B4-BE49-F238E27FC236}">
              <a16:creationId xmlns:a16="http://schemas.microsoft.com/office/drawing/2014/main" id="{32FD5489-C97F-46C5-A742-3241240B164E}"/>
            </a:ext>
          </a:extLst>
        </xdr:cNvPr>
        <xdr:cNvGrpSpPr/>
      </xdr:nvGrpSpPr>
      <xdr:grpSpPr>
        <a:xfrm>
          <a:off x="9929690" y="1405890"/>
          <a:ext cx="2325827" cy="1607820"/>
          <a:chOff x="9861957" y="1352550"/>
          <a:chExt cx="2313127" cy="1546860"/>
        </a:xfrm>
      </xdr:grpSpPr>
      <xdr:sp macro="" textlink="Processing!K18">
        <xdr:nvSpPr>
          <xdr:cNvPr id="27" name="TextBox 26">
            <a:extLst>
              <a:ext uri="{FF2B5EF4-FFF2-40B4-BE49-F238E27FC236}">
                <a16:creationId xmlns:a16="http://schemas.microsoft.com/office/drawing/2014/main" id="{A066E135-F851-13BF-AC0E-3BCC73F976A9}"/>
              </a:ext>
            </a:extLst>
          </xdr:cNvPr>
          <xdr:cNvSpPr txBox="1"/>
        </xdr:nvSpPr>
        <xdr:spPr>
          <a:xfrm>
            <a:off x="9890760" y="1352550"/>
            <a:ext cx="27432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D3E7255-CADA-4230-BD23-D54321216D7F}" type="TxLink">
              <a:rPr lang="en-US" sz="1100" b="0" i="0" u="none" strike="noStrike">
                <a:solidFill>
                  <a:schemeClr val="bg1"/>
                </a:solidFill>
                <a:latin typeface="Aptos Narrow"/>
              </a:rPr>
              <a:pPr algn="ctr"/>
              <a:t> </a:t>
            </a:fld>
            <a:endParaRPr lang="ru-RU" sz="1100">
              <a:solidFill>
                <a:schemeClr val="bg1"/>
              </a:solidFill>
            </a:endParaRPr>
          </a:p>
        </xdr:txBody>
      </xdr:sp>
      <xdr:sp macro="" textlink="Processing!L18">
        <xdr:nvSpPr>
          <xdr:cNvPr id="28" name="TextBox 27">
            <a:extLst>
              <a:ext uri="{FF2B5EF4-FFF2-40B4-BE49-F238E27FC236}">
                <a16:creationId xmlns:a16="http://schemas.microsoft.com/office/drawing/2014/main" id="{245E92F3-B371-D350-CAC6-AB40F0258688}"/>
              </a:ext>
            </a:extLst>
          </xdr:cNvPr>
          <xdr:cNvSpPr txBox="1"/>
        </xdr:nvSpPr>
        <xdr:spPr>
          <a:xfrm>
            <a:off x="10220960" y="1352550"/>
            <a:ext cx="27432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1C6F21F-FDF9-4379-8CF8-B6BD162D0F3A}" type="TxLink">
              <a:rPr lang="en-US" sz="1100" b="0" i="0" u="none" strike="noStrike">
                <a:solidFill>
                  <a:schemeClr val="bg1"/>
                </a:solidFill>
                <a:latin typeface="Aptos Narrow"/>
              </a:rPr>
              <a:pPr algn="ctr"/>
              <a:t> </a:t>
            </a:fld>
            <a:endParaRPr lang="ru-RU" sz="1100">
              <a:solidFill>
                <a:schemeClr val="bg1"/>
              </a:solidFill>
            </a:endParaRPr>
          </a:p>
        </xdr:txBody>
      </xdr:sp>
      <xdr:sp macro="" textlink="Processing!M18">
        <xdr:nvSpPr>
          <xdr:cNvPr id="29" name="TextBox 28">
            <a:extLst>
              <a:ext uri="{FF2B5EF4-FFF2-40B4-BE49-F238E27FC236}">
                <a16:creationId xmlns:a16="http://schemas.microsoft.com/office/drawing/2014/main" id="{9EC7C292-FF16-70F9-5113-5E543410179F}"/>
              </a:ext>
            </a:extLst>
          </xdr:cNvPr>
          <xdr:cNvSpPr txBox="1"/>
        </xdr:nvSpPr>
        <xdr:spPr>
          <a:xfrm>
            <a:off x="10551160" y="1352550"/>
            <a:ext cx="27432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1610ED9-FE00-40BD-8F7F-81F57958080E}" type="TxLink">
              <a:rPr lang="en-US" sz="1100" b="0" i="0" u="none" strike="noStrike">
                <a:solidFill>
                  <a:schemeClr val="bg1"/>
                </a:solidFill>
                <a:latin typeface="Aptos Narrow"/>
              </a:rPr>
              <a:pPr algn="ctr"/>
              <a:t> </a:t>
            </a:fld>
            <a:endParaRPr lang="ru-RU" sz="1100">
              <a:solidFill>
                <a:schemeClr val="bg1"/>
              </a:solidFill>
            </a:endParaRPr>
          </a:p>
        </xdr:txBody>
      </xdr:sp>
      <xdr:sp macro="" textlink="Processing!N18">
        <xdr:nvSpPr>
          <xdr:cNvPr id="30" name="TextBox 29">
            <a:extLst>
              <a:ext uri="{FF2B5EF4-FFF2-40B4-BE49-F238E27FC236}">
                <a16:creationId xmlns:a16="http://schemas.microsoft.com/office/drawing/2014/main" id="{4D3DFFB6-A976-3505-6E36-438322DEABF7}"/>
              </a:ext>
            </a:extLst>
          </xdr:cNvPr>
          <xdr:cNvSpPr txBox="1"/>
        </xdr:nvSpPr>
        <xdr:spPr>
          <a:xfrm>
            <a:off x="10881360" y="1352550"/>
            <a:ext cx="27432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0821B4C-4BAA-44F2-AE44-CF18588BA78E}" type="TxLink">
              <a:rPr lang="en-US" sz="1100" b="0" i="0" u="none" strike="noStrike">
                <a:solidFill>
                  <a:schemeClr val="bg1"/>
                </a:solidFill>
                <a:latin typeface="Aptos Narrow"/>
              </a:rPr>
              <a:pPr algn="ctr"/>
              <a:t> </a:t>
            </a:fld>
            <a:endParaRPr lang="ru-RU" sz="1100">
              <a:solidFill>
                <a:schemeClr val="bg1"/>
              </a:solidFill>
            </a:endParaRPr>
          </a:p>
        </xdr:txBody>
      </xdr:sp>
      <xdr:sp macro="" textlink="Processing!O18">
        <xdr:nvSpPr>
          <xdr:cNvPr id="31" name="TextBox 30">
            <a:extLst>
              <a:ext uri="{FF2B5EF4-FFF2-40B4-BE49-F238E27FC236}">
                <a16:creationId xmlns:a16="http://schemas.microsoft.com/office/drawing/2014/main" id="{4E73C845-C5FD-8C4F-B3B2-C582CED022B3}"/>
              </a:ext>
            </a:extLst>
          </xdr:cNvPr>
          <xdr:cNvSpPr txBox="1"/>
        </xdr:nvSpPr>
        <xdr:spPr>
          <a:xfrm>
            <a:off x="11211560" y="1352550"/>
            <a:ext cx="27432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3900FCD-5EFC-4A56-8CED-011582CB3E1E}" type="TxLink">
              <a:rPr lang="en-US" sz="1100" b="0" i="0" u="none" strike="noStrike">
                <a:solidFill>
                  <a:schemeClr val="bg1"/>
                </a:solidFill>
                <a:latin typeface="Aptos Narrow"/>
              </a:rPr>
              <a:pPr algn="ctr"/>
              <a:t>1</a:t>
            </a:fld>
            <a:endParaRPr lang="ru-RU" sz="1100">
              <a:solidFill>
                <a:schemeClr val="bg1"/>
              </a:solidFill>
            </a:endParaRPr>
          </a:p>
        </xdr:txBody>
      </xdr:sp>
      <xdr:sp macro="" textlink="Processing!P18">
        <xdr:nvSpPr>
          <xdr:cNvPr id="32" name="TextBox 31">
            <a:extLst>
              <a:ext uri="{FF2B5EF4-FFF2-40B4-BE49-F238E27FC236}">
                <a16:creationId xmlns:a16="http://schemas.microsoft.com/office/drawing/2014/main" id="{A08B4FDD-C337-88A3-28F4-35B26D65BBD9}"/>
              </a:ext>
            </a:extLst>
          </xdr:cNvPr>
          <xdr:cNvSpPr txBox="1"/>
        </xdr:nvSpPr>
        <xdr:spPr>
          <a:xfrm>
            <a:off x="11541760" y="1352550"/>
            <a:ext cx="27432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1C9B50A-1F2B-470C-A2CD-50A82C48B554}" type="TxLink">
              <a:rPr lang="en-US" sz="1100" b="0" i="0" u="none" strike="noStrike">
                <a:solidFill>
                  <a:schemeClr val="bg1"/>
                </a:solidFill>
                <a:latin typeface="Aptos Narrow"/>
              </a:rPr>
              <a:pPr algn="ctr"/>
              <a:t>2</a:t>
            </a:fld>
            <a:endParaRPr lang="ru-RU" sz="1100">
              <a:solidFill>
                <a:schemeClr val="bg1"/>
              </a:solidFill>
            </a:endParaRPr>
          </a:p>
        </xdr:txBody>
      </xdr:sp>
      <xdr:sp macro="" textlink="Processing!Q18">
        <xdr:nvSpPr>
          <xdr:cNvPr id="33" name="TextBox 32">
            <a:extLst>
              <a:ext uri="{FF2B5EF4-FFF2-40B4-BE49-F238E27FC236}">
                <a16:creationId xmlns:a16="http://schemas.microsoft.com/office/drawing/2014/main" id="{1A8B4CCB-8CC9-4B70-2189-B6F52A53E6C1}"/>
              </a:ext>
            </a:extLst>
          </xdr:cNvPr>
          <xdr:cNvSpPr txBox="1"/>
        </xdr:nvSpPr>
        <xdr:spPr>
          <a:xfrm>
            <a:off x="11871960" y="1352550"/>
            <a:ext cx="27432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2B7511D-7E23-4379-9E06-0EFB29477EA3}" type="TxLink">
              <a:rPr lang="en-US" sz="1100" b="0" i="0" u="none" strike="noStrike">
                <a:solidFill>
                  <a:schemeClr val="bg1"/>
                </a:solidFill>
                <a:latin typeface="Aptos Narrow"/>
              </a:rPr>
              <a:pPr algn="ctr"/>
              <a:t>3</a:t>
            </a:fld>
            <a:endParaRPr lang="ru-RU" sz="1100">
              <a:solidFill>
                <a:schemeClr val="bg1"/>
              </a:solidFill>
            </a:endParaRPr>
          </a:p>
        </xdr:txBody>
      </xdr:sp>
      <xdr:sp macro="" textlink="Processing!K19">
        <xdr:nvSpPr>
          <xdr:cNvPr id="34" name="TextBox 33">
            <a:extLst>
              <a:ext uri="{FF2B5EF4-FFF2-40B4-BE49-F238E27FC236}">
                <a16:creationId xmlns:a16="http://schemas.microsoft.com/office/drawing/2014/main" id="{F45A533A-A24C-BA36-BAAF-D2732FEECF0D}"/>
              </a:ext>
            </a:extLst>
          </xdr:cNvPr>
          <xdr:cNvSpPr txBox="1"/>
        </xdr:nvSpPr>
        <xdr:spPr>
          <a:xfrm>
            <a:off x="9890760" y="1604010"/>
            <a:ext cx="27432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734A8F3-B214-4719-B067-7A5649E0BED0}" type="TxLink">
              <a:rPr lang="en-US" sz="1100" b="0" i="0" u="none" strike="noStrike">
                <a:solidFill>
                  <a:schemeClr val="bg1"/>
                </a:solidFill>
                <a:latin typeface="Aptos Narrow"/>
              </a:rPr>
              <a:pPr algn="ctr"/>
              <a:t>4</a:t>
            </a:fld>
            <a:endParaRPr lang="ru-RU" sz="1100">
              <a:solidFill>
                <a:schemeClr val="bg1"/>
              </a:solidFill>
            </a:endParaRPr>
          </a:p>
        </xdr:txBody>
      </xdr:sp>
      <xdr:sp macro="" textlink="Processing!L19">
        <xdr:nvSpPr>
          <xdr:cNvPr id="35" name="TextBox 34">
            <a:extLst>
              <a:ext uri="{FF2B5EF4-FFF2-40B4-BE49-F238E27FC236}">
                <a16:creationId xmlns:a16="http://schemas.microsoft.com/office/drawing/2014/main" id="{ACF1493D-A913-32E8-808F-69B7323EEAEA}"/>
              </a:ext>
            </a:extLst>
          </xdr:cNvPr>
          <xdr:cNvSpPr txBox="1"/>
        </xdr:nvSpPr>
        <xdr:spPr>
          <a:xfrm>
            <a:off x="10220960" y="1604010"/>
            <a:ext cx="27432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F7073B0-31DA-4010-92B7-F7156DB1F6CD}" type="TxLink">
              <a:rPr lang="en-US" sz="1100" b="0" i="0" u="none" strike="noStrike">
                <a:solidFill>
                  <a:schemeClr val="bg1"/>
                </a:solidFill>
                <a:latin typeface="Aptos Narrow"/>
              </a:rPr>
              <a:pPr algn="ctr"/>
              <a:t>5</a:t>
            </a:fld>
            <a:endParaRPr lang="ru-RU" sz="1100">
              <a:solidFill>
                <a:schemeClr val="bg1"/>
              </a:solidFill>
            </a:endParaRPr>
          </a:p>
        </xdr:txBody>
      </xdr:sp>
      <xdr:sp macro="" textlink="Processing!M19">
        <xdr:nvSpPr>
          <xdr:cNvPr id="36" name="TextBox 35">
            <a:extLst>
              <a:ext uri="{FF2B5EF4-FFF2-40B4-BE49-F238E27FC236}">
                <a16:creationId xmlns:a16="http://schemas.microsoft.com/office/drawing/2014/main" id="{B286E0DD-4086-97E4-87D0-9C6EDBFE70D1}"/>
              </a:ext>
            </a:extLst>
          </xdr:cNvPr>
          <xdr:cNvSpPr txBox="1"/>
        </xdr:nvSpPr>
        <xdr:spPr>
          <a:xfrm>
            <a:off x="10551160" y="1604010"/>
            <a:ext cx="27432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E4519E0-88CC-4A87-BEC0-C59796ABFC34}" type="TxLink">
              <a:rPr lang="en-US" sz="1100" b="0" i="0" u="none" strike="noStrike">
                <a:solidFill>
                  <a:schemeClr val="bg1"/>
                </a:solidFill>
                <a:latin typeface="Aptos Narrow"/>
              </a:rPr>
              <a:pPr algn="ctr"/>
              <a:t>6</a:t>
            </a:fld>
            <a:endParaRPr lang="ru-RU" sz="1100">
              <a:solidFill>
                <a:schemeClr val="bg1"/>
              </a:solidFill>
            </a:endParaRPr>
          </a:p>
        </xdr:txBody>
      </xdr:sp>
      <xdr:sp macro="" textlink="Processing!N19">
        <xdr:nvSpPr>
          <xdr:cNvPr id="37" name="TextBox 36">
            <a:extLst>
              <a:ext uri="{FF2B5EF4-FFF2-40B4-BE49-F238E27FC236}">
                <a16:creationId xmlns:a16="http://schemas.microsoft.com/office/drawing/2014/main" id="{6C69AA82-546E-9E6E-A674-1CCB0BE71ABA}"/>
              </a:ext>
            </a:extLst>
          </xdr:cNvPr>
          <xdr:cNvSpPr txBox="1"/>
        </xdr:nvSpPr>
        <xdr:spPr>
          <a:xfrm>
            <a:off x="10881360" y="1604010"/>
            <a:ext cx="27432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4851FCB-C615-4FE3-9319-CD60603925D0}" type="TxLink">
              <a:rPr lang="en-US" sz="1100" b="0" i="0" u="none" strike="noStrike">
                <a:solidFill>
                  <a:schemeClr val="bg1"/>
                </a:solidFill>
                <a:latin typeface="Aptos Narrow"/>
              </a:rPr>
              <a:pPr algn="ctr"/>
              <a:t>7</a:t>
            </a:fld>
            <a:endParaRPr lang="ru-RU" sz="1100">
              <a:solidFill>
                <a:schemeClr val="bg1"/>
              </a:solidFill>
            </a:endParaRPr>
          </a:p>
        </xdr:txBody>
      </xdr:sp>
      <xdr:sp macro="" textlink="Processing!O19">
        <xdr:nvSpPr>
          <xdr:cNvPr id="38" name="TextBox 37">
            <a:extLst>
              <a:ext uri="{FF2B5EF4-FFF2-40B4-BE49-F238E27FC236}">
                <a16:creationId xmlns:a16="http://schemas.microsoft.com/office/drawing/2014/main" id="{C2473A40-02BC-646F-1CBA-543F6A021CAF}"/>
              </a:ext>
            </a:extLst>
          </xdr:cNvPr>
          <xdr:cNvSpPr txBox="1"/>
        </xdr:nvSpPr>
        <xdr:spPr>
          <a:xfrm>
            <a:off x="11211560" y="1604010"/>
            <a:ext cx="27432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FD928CD-492E-48F0-AAD1-A041DAEAA5E6}" type="TxLink">
              <a:rPr lang="en-US" sz="1100" b="0" i="0" u="none" strike="noStrike">
                <a:solidFill>
                  <a:schemeClr val="bg1"/>
                </a:solidFill>
                <a:latin typeface="Aptos Narrow"/>
              </a:rPr>
              <a:pPr algn="ctr"/>
              <a:t>8</a:t>
            </a:fld>
            <a:endParaRPr lang="ru-RU" sz="1100">
              <a:solidFill>
                <a:schemeClr val="bg1"/>
              </a:solidFill>
            </a:endParaRPr>
          </a:p>
        </xdr:txBody>
      </xdr:sp>
      <xdr:sp macro="" textlink="Processing!P19">
        <xdr:nvSpPr>
          <xdr:cNvPr id="39" name="TextBox 38">
            <a:extLst>
              <a:ext uri="{FF2B5EF4-FFF2-40B4-BE49-F238E27FC236}">
                <a16:creationId xmlns:a16="http://schemas.microsoft.com/office/drawing/2014/main" id="{A451EECB-FB8F-C80D-0C41-2707F84359B1}"/>
              </a:ext>
            </a:extLst>
          </xdr:cNvPr>
          <xdr:cNvSpPr txBox="1"/>
        </xdr:nvSpPr>
        <xdr:spPr>
          <a:xfrm>
            <a:off x="11541760" y="1604010"/>
            <a:ext cx="27432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ADF5C92-B1EA-4B23-93A4-EDF486955967}" type="TxLink">
              <a:rPr lang="en-US" sz="1100" b="0" i="0" u="none" strike="noStrike">
                <a:solidFill>
                  <a:schemeClr val="bg1"/>
                </a:solidFill>
                <a:latin typeface="Aptos Narrow"/>
              </a:rPr>
              <a:pPr algn="ctr"/>
              <a:t>9</a:t>
            </a:fld>
            <a:endParaRPr lang="ru-RU" sz="1100">
              <a:solidFill>
                <a:schemeClr val="bg1"/>
              </a:solidFill>
            </a:endParaRPr>
          </a:p>
        </xdr:txBody>
      </xdr:sp>
      <xdr:sp macro="" textlink="Processing!Q19">
        <xdr:nvSpPr>
          <xdr:cNvPr id="40" name="TextBox 39">
            <a:extLst>
              <a:ext uri="{FF2B5EF4-FFF2-40B4-BE49-F238E27FC236}">
                <a16:creationId xmlns:a16="http://schemas.microsoft.com/office/drawing/2014/main" id="{054FD5FF-D37D-224C-80AC-DAE48B38685A}"/>
              </a:ext>
            </a:extLst>
          </xdr:cNvPr>
          <xdr:cNvSpPr txBox="1"/>
        </xdr:nvSpPr>
        <xdr:spPr>
          <a:xfrm>
            <a:off x="11871960" y="1604010"/>
            <a:ext cx="27432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F13E9FE-F125-434D-BD7E-0614FC50A4FA}" type="TxLink">
              <a:rPr lang="en-US" sz="1100" b="0" i="0" u="none" strike="noStrike">
                <a:solidFill>
                  <a:schemeClr val="bg1"/>
                </a:solidFill>
                <a:latin typeface="Aptos Narrow"/>
              </a:rPr>
              <a:pPr algn="ctr"/>
              <a:t>10</a:t>
            </a:fld>
            <a:endParaRPr lang="ru-RU" sz="1100">
              <a:solidFill>
                <a:schemeClr val="bg1"/>
              </a:solidFill>
            </a:endParaRPr>
          </a:p>
        </xdr:txBody>
      </xdr:sp>
      <xdr:sp macro="" textlink="Processing!K20">
        <xdr:nvSpPr>
          <xdr:cNvPr id="41" name="TextBox 40">
            <a:extLst>
              <a:ext uri="{FF2B5EF4-FFF2-40B4-BE49-F238E27FC236}">
                <a16:creationId xmlns:a16="http://schemas.microsoft.com/office/drawing/2014/main" id="{B4760D84-76F9-614E-F3CD-901BDBE0C820}"/>
              </a:ext>
            </a:extLst>
          </xdr:cNvPr>
          <xdr:cNvSpPr txBox="1"/>
        </xdr:nvSpPr>
        <xdr:spPr>
          <a:xfrm>
            <a:off x="9861957" y="1863090"/>
            <a:ext cx="331927"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93D72D5-7AC8-45DD-8439-FB93AFA960DC}" type="TxLink">
              <a:rPr lang="en-US" sz="1100" b="0" i="0" u="none" strike="noStrike">
                <a:solidFill>
                  <a:schemeClr val="bg1"/>
                </a:solidFill>
                <a:latin typeface="Aptos Narrow"/>
              </a:rPr>
              <a:pPr algn="ctr"/>
              <a:t>11</a:t>
            </a:fld>
            <a:endParaRPr lang="ru-RU" sz="1100">
              <a:solidFill>
                <a:schemeClr val="bg1"/>
              </a:solidFill>
            </a:endParaRPr>
          </a:p>
        </xdr:txBody>
      </xdr:sp>
      <xdr:sp macro="" textlink="Processing!L20">
        <xdr:nvSpPr>
          <xdr:cNvPr id="42" name="TextBox 41">
            <a:extLst>
              <a:ext uri="{FF2B5EF4-FFF2-40B4-BE49-F238E27FC236}">
                <a16:creationId xmlns:a16="http://schemas.microsoft.com/office/drawing/2014/main" id="{D6DAFAFF-6383-63CB-387C-4F46FB32F092}"/>
              </a:ext>
            </a:extLst>
          </xdr:cNvPr>
          <xdr:cNvSpPr txBox="1"/>
        </xdr:nvSpPr>
        <xdr:spPr>
          <a:xfrm>
            <a:off x="10192157" y="1863090"/>
            <a:ext cx="331927"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2516537-E3FB-4583-9CFC-58FE2FBD8DA0}" type="TxLink">
              <a:rPr lang="en-US" sz="1100" b="0" i="0" u="none" strike="noStrike">
                <a:solidFill>
                  <a:schemeClr val="bg1"/>
                </a:solidFill>
                <a:latin typeface="Aptos Narrow"/>
              </a:rPr>
              <a:pPr algn="ctr"/>
              <a:t>12</a:t>
            </a:fld>
            <a:endParaRPr lang="ru-RU" sz="1100">
              <a:solidFill>
                <a:schemeClr val="bg1"/>
              </a:solidFill>
            </a:endParaRPr>
          </a:p>
        </xdr:txBody>
      </xdr:sp>
      <xdr:sp macro="" textlink="Processing!M20">
        <xdr:nvSpPr>
          <xdr:cNvPr id="43" name="TextBox 42">
            <a:extLst>
              <a:ext uri="{FF2B5EF4-FFF2-40B4-BE49-F238E27FC236}">
                <a16:creationId xmlns:a16="http://schemas.microsoft.com/office/drawing/2014/main" id="{6230F02A-46D6-0002-FDD8-28AA5CE6B986}"/>
              </a:ext>
            </a:extLst>
          </xdr:cNvPr>
          <xdr:cNvSpPr txBox="1"/>
        </xdr:nvSpPr>
        <xdr:spPr>
          <a:xfrm>
            <a:off x="10522357" y="1863090"/>
            <a:ext cx="331927"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76D20A2-3B17-4419-A0BB-129F95622FC4}" type="TxLink">
              <a:rPr lang="en-US" sz="1100" b="0" i="0" u="none" strike="noStrike">
                <a:solidFill>
                  <a:schemeClr val="bg1"/>
                </a:solidFill>
                <a:latin typeface="Aptos Narrow"/>
              </a:rPr>
              <a:pPr algn="ctr"/>
              <a:t>13</a:t>
            </a:fld>
            <a:endParaRPr lang="ru-RU" sz="1100">
              <a:solidFill>
                <a:schemeClr val="bg1"/>
              </a:solidFill>
            </a:endParaRPr>
          </a:p>
        </xdr:txBody>
      </xdr:sp>
      <xdr:sp macro="" textlink="Processing!N20">
        <xdr:nvSpPr>
          <xdr:cNvPr id="44" name="TextBox 43">
            <a:extLst>
              <a:ext uri="{FF2B5EF4-FFF2-40B4-BE49-F238E27FC236}">
                <a16:creationId xmlns:a16="http://schemas.microsoft.com/office/drawing/2014/main" id="{87067B83-91C4-088A-9325-D16E6E08C096}"/>
              </a:ext>
            </a:extLst>
          </xdr:cNvPr>
          <xdr:cNvSpPr txBox="1"/>
        </xdr:nvSpPr>
        <xdr:spPr>
          <a:xfrm>
            <a:off x="10852557" y="1863090"/>
            <a:ext cx="331927"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2057887-148A-4DA4-9606-3F1365AB6939}" type="TxLink">
              <a:rPr lang="en-US" sz="1100" b="0" i="0" u="none" strike="noStrike">
                <a:solidFill>
                  <a:schemeClr val="bg1"/>
                </a:solidFill>
                <a:latin typeface="Aptos Narrow"/>
              </a:rPr>
              <a:pPr algn="ctr"/>
              <a:t>14</a:t>
            </a:fld>
            <a:endParaRPr lang="ru-RU" sz="1100">
              <a:solidFill>
                <a:schemeClr val="bg1"/>
              </a:solidFill>
            </a:endParaRPr>
          </a:p>
        </xdr:txBody>
      </xdr:sp>
      <xdr:sp macro="" textlink="Processing!O20">
        <xdr:nvSpPr>
          <xdr:cNvPr id="45" name="TextBox 44">
            <a:extLst>
              <a:ext uri="{FF2B5EF4-FFF2-40B4-BE49-F238E27FC236}">
                <a16:creationId xmlns:a16="http://schemas.microsoft.com/office/drawing/2014/main" id="{49842F28-5A7A-B817-496B-9B5BF3FEFFB6}"/>
              </a:ext>
            </a:extLst>
          </xdr:cNvPr>
          <xdr:cNvSpPr txBox="1"/>
        </xdr:nvSpPr>
        <xdr:spPr>
          <a:xfrm>
            <a:off x="11182757" y="1863090"/>
            <a:ext cx="331927"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CFDC083-655D-45DE-ABDC-201FA0A374BB}" type="TxLink">
              <a:rPr lang="en-US" sz="1100" b="0" i="0" u="none" strike="noStrike">
                <a:solidFill>
                  <a:schemeClr val="bg1"/>
                </a:solidFill>
                <a:latin typeface="Aptos Narrow"/>
              </a:rPr>
              <a:pPr algn="ctr"/>
              <a:t>15</a:t>
            </a:fld>
            <a:endParaRPr lang="ru-RU" sz="1100">
              <a:solidFill>
                <a:schemeClr val="bg1"/>
              </a:solidFill>
            </a:endParaRPr>
          </a:p>
        </xdr:txBody>
      </xdr:sp>
      <xdr:sp macro="" textlink="Processing!P20">
        <xdr:nvSpPr>
          <xdr:cNvPr id="46" name="TextBox 45">
            <a:extLst>
              <a:ext uri="{FF2B5EF4-FFF2-40B4-BE49-F238E27FC236}">
                <a16:creationId xmlns:a16="http://schemas.microsoft.com/office/drawing/2014/main" id="{782864DE-747F-6170-01A5-06F184CD6048}"/>
              </a:ext>
            </a:extLst>
          </xdr:cNvPr>
          <xdr:cNvSpPr txBox="1"/>
        </xdr:nvSpPr>
        <xdr:spPr>
          <a:xfrm>
            <a:off x="11512957" y="1863090"/>
            <a:ext cx="331927"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7F05786-ECB9-4D56-894B-DEAE253EFB82}" type="TxLink">
              <a:rPr lang="en-US" sz="1100" b="0" i="0" u="none" strike="noStrike">
                <a:solidFill>
                  <a:schemeClr val="bg1"/>
                </a:solidFill>
                <a:latin typeface="Aptos Narrow"/>
              </a:rPr>
              <a:pPr algn="ctr"/>
              <a:t>16</a:t>
            </a:fld>
            <a:endParaRPr lang="ru-RU" sz="1100">
              <a:solidFill>
                <a:schemeClr val="bg1"/>
              </a:solidFill>
            </a:endParaRPr>
          </a:p>
        </xdr:txBody>
      </xdr:sp>
      <xdr:sp macro="" textlink="Processing!Q20">
        <xdr:nvSpPr>
          <xdr:cNvPr id="47" name="TextBox 46">
            <a:extLst>
              <a:ext uri="{FF2B5EF4-FFF2-40B4-BE49-F238E27FC236}">
                <a16:creationId xmlns:a16="http://schemas.microsoft.com/office/drawing/2014/main" id="{ABF491A1-6A1A-EDF4-8C70-BEA420BB37DD}"/>
              </a:ext>
            </a:extLst>
          </xdr:cNvPr>
          <xdr:cNvSpPr txBox="1"/>
        </xdr:nvSpPr>
        <xdr:spPr>
          <a:xfrm>
            <a:off x="11843157" y="1863090"/>
            <a:ext cx="331927"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0BBCAF6-90AB-44AA-84B2-9314DE957D23}" type="TxLink">
              <a:rPr lang="en-US" sz="1100" b="0" i="0" u="none" strike="noStrike">
                <a:solidFill>
                  <a:schemeClr val="bg1"/>
                </a:solidFill>
                <a:latin typeface="Aptos Narrow"/>
              </a:rPr>
              <a:pPr algn="ctr"/>
              <a:t>17</a:t>
            </a:fld>
            <a:endParaRPr lang="ru-RU" sz="1100">
              <a:solidFill>
                <a:schemeClr val="bg1"/>
              </a:solidFill>
            </a:endParaRPr>
          </a:p>
        </xdr:txBody>
      </xdr:sp>
      <xdr:sp macro="" textlink="Processing!K21">
        <xdr:nvSpPr>
          <xdr:cNvPr id="48" name="TextBox 47">
            <a:extLst>
              <a:ext uri="{FF2B5EF4-FFF2-40B4-BE49-F238E27FC236}">
                <a16:creationId xmlns:a16="http://schemas.microsoft.com/office/drawing/2014/main" id="{0C486098-B85C-8BBD-53F6-CD72BC872904}"/>
              </a:ext>
            </a:extLst>
          </xdr:cNvPr>
          <xdr:cNvSpPr txBox="1"/>
        </xdr:nvSpPr>
        <xdr:spPr>
          <a:xfrm>
            <a:off x="9861957" y="2114550"/>
            <a:ext cx="331927"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F60CDE4-322C-40AF-8B58-CAED286107F1}" type="TxLink">
              <a:rPr lang="en-US" sz="1100" b="0" i="0" u="none" strike="noStrike">
                <a:solidFill>
                  <a:schemeClr val="bg1"/>
                </a:solidFill>
                <a:latin typeface="Aptos Narrow"/>
              </a:rPr>
              <a:pPr algn="ctr"/>
              <a:t>18</a:t>
            </a:fld>
            <a:endParaRPr lang="ru-RU" sz="1100">
              <a:solidFill>
                <a:schemeClr val="bg1"/>
              </a:solidFill>
            </a:endParaRPr>
          </a:p>
        </xdr:txBody>
      </xdr:sp>
      <xdr:sp macro="" textlink="Processing!L21">
        <xdr:nvSpPr>
          <xdr:cNvPr id="49" name="TextBox 48">
            <a:extLst>
              <a:ext uri="{FF2B5EF4-FFF2-40B4-BE49-F238E27FC236}">
                <a16:creationId xmlns:a16="http://schemas.microsoft.com/office/drawing/2014/main" id="{FC4ABD09-B809-2172-FF7F-125BAA7F53AB}"/>
              </a:ext>
            </a:extLst>
          </xdr:cNvPr>
          <xdr:cNvSpPr txBox="1"/>
        </xdr:nvSpPr>
        <xdr:spPr>
          <a:xfrm>
            <a:off x="10192157" y="2114550"/>
            <a:ext cx="331927"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50F645A-C85B-45BE-BE89-CFB916D180F5}" type="TxLink">
              <a:rPr lang="en-US" sz="1100" b="0" i="0" u="none" strike="noStrike">
                <a:solidFill>
                  <a:schemeClr val="bg1"/>
                </a:solidFill>
                <a:latin typeface="Aptos Narrow"/>
              </a:rPr>
              <a:pPr algn="ctr"/>
              <a:t>19</a:t>
            </a:fld>
            <a:endParaRPr lang="ru-RU" sz="1100">
              <a:solidFill>
                <a:schemeClr val="bg1"/>
              </a:solidFill>
            </a:endParaRPr>
          </a:p>
        </xdr:txBody>
      </xdr:sp>
      <xdr:sp macro="" textlink="Processing!M21">
        <xdr:nvSpPr>
          <xdr:cNvPr id="50" name="TextBox 49">
            <a:extLst>
              <a:ext uri="{FF2B5EF4-FFF2-40B4-BE49-F238E27FC236}">
                <a16:creationId xmlns:a16="http://schemas.microsoft.com/office/drawing/2014/main" id="{BFC3B9D7-7685-E5C6-A237-6B9BBE2327AA}"/>
              </a:ext>
            </a:extLst>
          </xdr:cNvPr>
          <xdr:cNvSpPr txBox="1"/>
        </xdr:nvSpPr>
        <xdr:spPr>
          <a:xfrm>
            <a:off x="10522357" y="2114550"/>
            <a:ext cx="331927"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2D4DE51-B53E-43A7-BF59-7EB4745421B3}" type="TxLink">
              <a:rPr lang="en-US" sz="1100" b="0" i="0" u="none" strike="noStrike">
                <a:solidFill>
                  <a:schemeClr val="bg1"/>
                </a:solidFill>
                <a:latin typeface="Aptos Narrow"/>
              </a:rPr>
              <a:pPr algn="ctr"/>
              <a:t>20</a:t>
            </a:fld>
            <a:endParaRPr lang="ru-RU" sz="1100">
              <a:solidFill>
                <a:schemeClr val="bg1"/>
              </a:solidFill>
            </a:endParaRPr>
          </a:p>
        </xdr:txBody>
      </xdr:sp>
      <xdr:sp macro="" textlink="Processing!N21">
        <xdr:nvSpPr>
          <xdr:cNvPr id="51" name="TextBox 50">
            <a:extLst>
              <a:ext uri="{FF2B5EF4-FFF2-40B4-BE49-F238E27FC236}">
                <a16:creationId xmlns:a16="http://schemas.microsoft.com/office/drawing/2014/main" id="{52CA1444-AF9F-BF3D-E30C-156A8A54FA5C}"/>
              </a:ext>
            </a:extLst>
          </xdr:cNvPr>
          <xdr:cNvSpPr txBox="1"/>
        </xdr:nvSpPr>
        <xdr:spPr>
          <a:xfrm>
            <a:off x="10852557" y="2114550"/>
            <a:ext cx="331927"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00A3283-8CA4-4689-B118-D630B42327C5}" type="TxLink">
              <a:rPr lang="en-US" sz="1100" b="0" i="0" u="none" strike="noStrike">
                <a:solidFill>
                  <a:schemeClr val="bg1"/>
                </a:solidFill>
                <a:latin typeface="Aptos Narrow"/>
              </a:rPr>
              <a:pPr algn="ctr"/>
              <a:t>21</a:t>
            </a:fld>
            <a:endParaRPr lang="ru-RU" sz="1100">
              <a:solidFill>
                <a:schemeClr val="bg1"/>
              </a:solidFill>
            </a:endParaRPr>
          </a:p>
        </xdr:txBody>
      </xdr:sp>
      <xdr:sp macro="" textlink="Processing!O21">
        <xdr:nvSpPr>
          <xdr:cNvPr id="52" name="TextBox 51">
            <a:extLst>
              <a:ext uri="{FF2B5EF4-FFF2-40B4-BE49-F238E27FC236}">
                <a16:creationId xmlns:a16="http://schemas.microsoft.com/office/drawing/2014/main" id="{51DAEEFF-815C-2233-1881-D24A5D5E1470}"/>
              </a:ext>
            </a:extLst>
          </xdr:cNvPr>
          <xdr:cNvSpPr txBox="1"/>
        </xdr:nvSpPr>
        <xdr:spPr>
          <a:xfrm>
            <a:off x="11182757" y="2114550"/>
            <a:ext cx="331927"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6813377-304F-4B02-B975-0B14037BE775}" type="TxLink">
              <a:rPr lang="en-US" sz="1100" b="0" i="0" u="none" strike="noStrike">
                <a:solidFill>
                  <a:schemeClr val="bg1"/>
                </a:solidFill>
                <a:latin typeface="Aptos Narrow"/>
              </a:rPr>
              <a:pPr algn="ctr"/>
              <a:t>22</a:t>
            </a:fld>
            <a:endParaRPr lang="ru-RU" sz="1100">
              <a:solidFill>
                <a:schemeClr val="bg1"/>
              </a:solidFill>
            </a:endParaRPr>
          </a:p>
        </xdr:txBody>
      </xdr:sp>
      <xdr:sp macro="" textlink="Processing!P21">
        <xdr:nvSpPr>
          <xdr:cNvPr id="53" name="TextBox 52">
            <a:extLst>
              <a:ext uri="{FF2B5EF4-FFF2-40B4-BE49-F238E27FC236}">
                <a16:creationId xmlns:a16="http://schemas.microsoft.com/office/drawing/2014/main" id="{CE1382AD-3152-11B9-470F-10F06156B1B1}"/>
              </a:ext>
            </a:extLst>
          </xdr:cNvPr>
          <xdr:cNvSpPr txBox="1"/>
        </xdr:nvSpPr>
        <xdr:spPr>
          <a:xfrm>
            <a:off x="11512957" y="2114550"/>
            <a:ext cx="331927"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197EDCA-3BCF-4D6C-952C-105DC49430B5}" type="TxLink">
              <a:rPr lang="en-US" sz="1100" b="0" i="0" u="none" strike="noStrike">
                <a:solidFill>
                  <a:schemeClr val="bg1"/>
                </a:solidFill>
                <a:latin typeface="Aptos Narrow"/>
              </a:rPr>
              <a:pPr algn="ctr"/>
              <a:t>23</a:t>
            </a:fld>
            <a:endParaRPr lang="ru-RU" sz="1100">
              <a:solidFill>
                <a:schemeClr val="bg1"/>
              </a:solidFill>
            </a:endParaRPr>
          </a:p>
        </xdr:txBody>
      </xdr:sp>
      <xdr:sp macro="" textlink="Processing!Q21">
        <xdr:nvSpPr>
          <xdr:cNvPr id="54" name="TextBox 53">
            <a:extLst>
              <a:ext uri="{FF2B5EF4-FFF2-40B4-BE49-F238E27FC236}">
                <a16:creationId xmlns:a16="http://schemas.microsoft.com/office/drawing/2014/main" id="{609234D7-F517-D5ED-FECC-CEE8E4AF42C9}"/>
              </a:ext>
            </a:extLst>
          </xdr:cNvPr>
          <xdr:cNvSpPr txBox="1"/>
        </xdr:nvSpPr>
        <xdr:spPr>
          <a:xfrm>
            <a:off x="11843157" y="2114550"/>
            <a:ext cx="331927"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02C04EE-592A-4139-AD3F-13DE1EDB025B}" type="TxLink">
              <a:rPr lang="en-US" sz="1100" b="0" i="0" u="none" strike="noStrike">
                <a:solidFill>
                  <a:schemeClr val="bg1"/>
                </a:solidFill>
                <a:latin typeface="Aptos Narrow"/>
              </a:rPr>
              <a:pPr algn="ctr"/>
              <a:t>24</a:t>
            </a:fld>
            <a:endParaRPr lang="ru-RU" sz="1100">
              <a:solidFill>
                <a:schemeClr val="bg1"/>
              </a:solidFill>
            </a:endParaRPr>
          </a:p>
        </xdr:txBody>
      </xdr:sp>
      <xdr:sp macro="" textlink="Processing!K22">
        <xdr:nvSpPr>
          <xdr:cNvPr id="55" name="TextBox 54">
            <a:extLst>
              <a:ext uri="{FF2B5EF4-FFF2-40B4-BE49-F238E27FC236}">
                <a16:creationId xmlns:a16="http://schemas.microsoft.com/office/drawing/2014/main" id="{73F0DB64-B00C-7ED7-946D-9BF7E8F64973}"/>
              </a:ext>
            </a:extLst>
          </xdr:cNvPr>
          <xdr:cNvSpPr txBox="1"/>
        </xdr:nvSpPr>
        <xdr:spPr>
          <a:xfrm>
            <a:off x="9861957" y="2373630"/>
            <a:ext cx="331927"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3434D46-59CD-48AF-A619-BF930CF101C1}" type="TxLink">
              <a:rPr lang="en-US" sz="1100" b="0" i="0" u="none" strike="noStrike">
                <a:solidFill>
                  <a:schemeClr val="bg1"/>
                </a:solidFill>
                <a:latin typeface="Aptos Narrow"/>
              </a:rPr>
              <a:pPr algn="ctr"/>
              <a:t>25</a:t>
            </a:fld>
            <a:endParaRPr lang="ru-RU" sz="1100">
              <a:solidFill>
                <a:schemeClr val="bg1"/>
              </a:solidFill>
            </a:endParaRPr>
          </a:p>
        </xdr:txBody>
      </xdr:sp>
      <xdr:sp macro="" textlink="Processing!L22">
        <xdr:nvSpPr>
          <xdr:cNvPr id="56" name="TextBox 55">
            <a:extLst>
              <a:ext uri="{FF2B5EF4-FFF2-40B4-BE49-F238E27FC236}">
                <a16:creationId xmlns:a16="http://schemas.microsoft.com/office/drawing/2014/main" id="{2323D8A8-C0EE-E6E9-25A4-21F503905154}"/>
              </a:ext>
            </a:extLst>
          </xdr:cNvPr>
          <xdr:cNvSpPr txBox="1"/>
        </xdr:nvSpPr>
        <xdr:spPr>
          <a:xfrm>
            <a:off x="10192157" y="2373630"/>
            <a:ext cx="331927"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08C6F43-D2D6-4FDA-97F5-39CC07F013C4}" type="TxLink">
              <a:rPr lang="en-US" sz="1100" b="0" i="0" u="none" strike="noStrike">
                <a:solidFill>
                  <a:schemeClr val="bg1"/>
                </a:solidFill>
                <a:latin typeface="Aptos Narrow"/>
              </a:rPr>
              <a:pPr algn="ctr"/>
              <a:t>26</a:t>
            </a:fld>
            <a:endParaRPr lang="ru-RU" sz="1100">
              <a:solidFill>
                <a:schemeClr val="bg1"/>
              </a:solidFill>
            </a:endParaRPr>
          </a:p>
        </xdr:txBody>
      </xdr:sp>
      <xdr:sp macro="" textlink="Processing!M22">
        <xdr:nvSpPr>
          <xdr:cNvPr id="57" name="TextBox 56">
            <a:extLst>
              <a:ext uri="{FF2B5EF4-FFF2-40B4-BE49-F238E27FC236}">
                <a16:creationId xmlns:a16="http://schemas.microsoft.com/office/drawing/2014/main" id="{4ECDE091-A685-2696-71B0-C7D1A520BACA}"/>
              </a:ext>
            </a:extLst>
          </xdr:cNvPr>
          <xdr:cNvSpPr txBox="1"/>
        </xdr:nvSpPr>
        <xdr:spPr>
          <a:xfrm>
            <a:off x="10522357" y="2373630"/>
            <a:ext cx="331927"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80B591B-3685-4584-BBAD-C0107B433C6F}" type="TxLink">
              <a:rPr lang="en-US" sz="1100" b="0" i="0" u="none" strike="noStrike">
                <a:solidFill>
                  <a:schemeClr val="bg1"/>
                </a:solidFill>
                <a:latin typeface="Aptos Narrow"/>
              </a:rPr>
              <a:pPr algn="ctr"/>
              <a:t>27</a:t>
            </a:fld>
            <a:endParaRPr lang="ru-RU" sz="1100">
              <a:solidFill>
                <a:schemeClr val="bg1"/>
              </a:solidFill>
            </a:endParaRPr>
          </a:p>
        </xdr:txBody>
      </xdr:sp>
      <xdr:sp macro="" textlink="Processing!N22">
        <xdr:nvSpPr>
          <xdr:cNvPr id="58" name="TextBox 57">
            <a:extLst>
              <a:ext uri="{FF2B5EF4-FFF2-40B4-BE49-F238E27FC236}">
                <a16:creationId xmlns:a16="http://schemas.microsoft.com/office/drawing/2014/main" id="{6EB286C8-E4C7-B2FD-4794-F51EB99F7D0E}"/>
              </a:ext>
            </a:extLst>
          </xdr:cNvPr>
          <xdr:cNvSpPr txBox="1"/>
        </xdr:nvSpPr>
        <xdr:spPr>
          <a:xfrm>
            <a:off x="10852557" y="2373630"/>
            <a:ext cx="331927"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9151E29-6C8F-4181-B53C-00B141B89A32}" type="TxLink">
              <a:rPr lang="en-US" sz="1100" b="0" i="0" u="none" strike="noStrike">
                <a:solidFill>
                  <a:schemeClr val="bg1"/>
                </a:solidFill>
                <a:latin typeface="Aptos Narrow"/>
              </a:rPr>
              <a:pPr algn="ctr"/>
              <a:t>28</a:t>
            </a:fld>
            <a:endParaRPr lang="ru-RU" sz="1100">
              <a:solidFill>
                <a:schemeClr val="bg1"/>
              </a:solidFill>
            </a:endParaRPr>
          </a:p>
        </xdr:txBody>
      </xdr:sp>
      <xdr:sp macro="" textlink="Processing!O22">
        <xdr:nvSpPr>
          <xdr:cNvPr id="59" name="TextBox 58">
            <a:extLst>
              <a:ext uri="{FF2B5EF4-FFF2-40B4-BE49-F238E27FC236}">
                <a16:creationId xmlns:a16="http://schemas.microsoft.com/office/drawing/2014/main" id="{7908BA3C-95E1-C674-8ED5-0218650AAF6A}"/>
              </a:ext>
            </a:extLst>
          </xdr:cNvPr>
          <xdr:cNvSpPr txBox="1"/>
        </xdr:nvSpPr>
        <xdr:spPr>
          <a:xfrm>
            <a:off x="11182757" y="2373630"/>
            <a:ext cx="331927"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8B71AD2-8317-4217-BCD5-0AE664AC41DE}" type="TxLink">
              <a:rPr lang="en-US" sz="1100" b="0" i="0" u="none" strike="noStrike">
                <a:solidFill>
                  <a:schemeClr val="bg1"/>
                </a:solidFill>
                <a:latin typeface="Aptos Narrow"/>
              </a:rPr>
              <a:pPr algn="ctr"/>
              <a:t>29</a:t>
            </a:fld>
            <a:endParaRPr lang="ru-RU" sz="1100">
              <a:solidFill>
                <a:schemeClr val="bg1"/>
              </a:solidFill>
            </a:endParaRPr>
          </a:p>
        </xdr:txBody>
      </xdr:sp>
      <xdr:sp macro="" textlink="Processing!P22">
        <xdr:nvSpPr>
          <xdr:cNvPr id="60" name="TextBox 59">
            <a:extLst>
              <a:ext uri="{FF2B5EF4-FFF2-40B4-BE49-F238E27FC236}">
                <a16:creationId xmlns:a16="http://schemas.microsoft.com/office/drawing/2014/main" id="{1091CFA4-33A1-6439-CD0C-58D0E6AC4930}"/>
              </a:ext>
            </a:extLst>
          </xdr:cNvPr>
          <xdr:cNvSpPr txBox="1"/>
        </xdr:nvSpPr>
        <xdr:spPr>
          <a:xfrm>
            <a:off x="11512957" y="2373630"/>
            <a:ext cx="331927"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3152B50-DF90-4733-A7AC-635DF7B3EE72}" type="TxLink">
              <a:rPr lang="en-US" sz="1100" b="0" i="0" u="none" strike="noStrike">
                <a:solidFill>
                  <a:schemeClr val="bg1"/>
                </a:solidFill>
                <a:latin typeface="Aptos Narrow"/>
              </a:rPr>
              <a:pPr algn="ctr"/>
              <a:t>30</a:t>
            </a:fld>
            <a:endParaRPr lang="ru-RU" sz="1100">
              <a:solidFill>
                <a:schemeClr val="bg1"/>
              </a:solidFill>
            </a:endParaRPr>
          </a:p>
        </xdr:txBody>
      </xdr:sp>
      <xdr:sp macro="" textlink="Processing!Q22">
        <xdr:nvSpPr>
          <xdr:cNvPr id="61" name="TextBox 60">
            <a:extLst>
              <a:ext uri="{FF2B5EF4-FFF2-40B4-BE49-F238E27FC236}">
                <a16:creationId xmlns:a16="http://schemas.microsoft.com/office/drawing/2014/main" id="{B4B429A8-6341-58D8-615A-5015AF55179D}"/>
              </a:ext>
            </a:extLst>
          </xdr:cNvPr>
          <xdr:cNvSpPr txBox="1"/>
        </xdr:nvSpPr>
        <xdr:spPr>
          <a:xfrm>
            <a:off x="11843157" y="2373630"/>
            <a:ext cx="331927"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0DD52F1-01A4-4DC0-A191-276895FD2A53}" type="TxLink">
              <a:rPr lang="en-US" sz="1100" b="0" i="0" u="none" strike="noStrike">
                <a:solidFill>
                  <a:schemeClr val="bg1"/>
                </a:solidFill>
                <a:latin typeface="Aptos Narrow"/>
              </a:rPr>
              <a:pPr algn="ctr"/>
              <a:t> </a:t>
            </a:fld>
            <a:endParaRPr lang="ru-RU" sz="1100">
              <a:solidFill>
                <a:schemeClr val="bg1"/>
              </a:solidFill>
            </a:endParaRPr>
          </a:p>
        </xdr:txBody>
      </xdr:sp>
      <xdr:sp macro="" textlink="Processing!K23">
        <xdr:nvSpPr>
          <xdr:cNvPr id="62" name="TextBox 61">
            <a:extLst>
              <a:ext uri="{FF2B5EF4-FFF2-40B4-BE49-F238E27FC236}">
                <a16:creationId xmlns:a16="http://schemas.microsoft.com/office/drawing/2014/main" id="{52430A86-11AA-E8C7-597E-A993A691DAA5}"/>
              </a:ext>
            </a:extLst>
          </xdr:cNvPr>
          <xdr:cNvSpPr txBox="1"/>
        </xdr:nvSpPr>
        <xdr:spPr>
          <a:xfrm>
            <a:off x="9861957" y="2625090"/>
            <a:ext cx="331927"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2E74728-937F-4954-89A7-B828DA252D8E}" type="TxLink">
              <a:rPr lang="en-US" sz="1100" b="0" i="0" u="none" strike="noStrike">
                <a:solidFill>
                  <a:schemeClr val="bg1"/>
                </a:solidFill>
                <a:latin typeface="Aptos Narrow"/>
              </a:rPr>
              <a:pPr algn="ctr"/>
              <a:t> </a:t>
            </a:fld>
            <a:endParaRPr lang="ru-RU" sz="1100">
              <a:solidFill>
                <a:schemeClr val="bg1"/>
              </a:solidFill>
            </a:endParaRPr>
          </a:p>
        </xdr:txBody>
      </xdr:sp>
      <xdr:sp macro="" textlink="Processing!L23">
        <xdr:nvSpPr>
          <xdr:cNvPr id="63" name="TextBox 62">
            <a:extLst>
              <a:ext uri="{FF2B5EF4-FFF2-40B4-BE49-F238E27FC236}">
                <a16:creationId xmlns:a16="http://schemas.microsoft.com/office/drawing/2014/main" id="{D726087A-6FE4-A040-7840-B6BD4DC282B9}"/>
              </a:ext>
            </a:extLst>
          </xdr:cNvPr>
          <xdr:cNvSpPr txBox="1"/>
        </xdr:nvSpPr>
        <xdr:spPr>
          <a:xfrm>
            <a:off x="10192157" y="2625090"/>
            <a:ext cx="331927"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6566E17-270D-48FD-A911-0D721FAE9D81}" type="TxLink">
              <a:rPr lang="en-US" sz="1100" b="0" i="0" u="none" strike="noStrike">
                <a:solidFill>
                  <a:schemeClr val="bg1"/>
                </a:solidFill>
                <a:latin typeface="Aptos Narrow"/>
              </a:rPr>
              <a:pPr algn="ctr"/>
              <a:t> </a:t>
            </a:fld>
            <a:endParaRPr lang="ru-RU" sz="1100">
              <a:solidFill>
                <a:schemeClr val="bg1"/>
              </a:solidFill>
            </a:endParaRPr>
          </a:p>
        </xdr:txBody>
      </xdr:sp>
      <xdr:sp macro="" textlink="Processing!M23">
        <xdr:nvSpPr>
          <xdr:cNvPr id="64" name="TextBox 63">
            <a:extLst>
              <a:ext uri="{FF2B5EF4-FFF2-40B4-BE49-F238E27FC236}">
                <a16:creationId xmlns:a16="http://schemas.microsoft.com/office/drawing/2014/main" id="{83D303CC-3640-8C9A-C804-EA480953DDAA}"/>
              </a:ext>
            </a:extLst>
          </xdr:cNvPr>
          <xdr:cNvSpPr txBox="1"/>
        </xdr:nvSpPr>
        <xdr:spPr>
          <a:xfrm>
            <a:off x="10522357" y="2625090"/>
            <a:ext cx="331927"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8107160-E3A7-4ACE-886C-33D4EAAF47DF}" type="TxLink">
              <a:rPr lang="en-US" sz="1100" b="0" i="0" u="none" strike="noStrike">
                <a:solidFill>
                  <a:schemeClr val="bg1"/>
                </a:solidFill>
                <a:latin typeface="Aptos Narrow"/>
              </a:rPr>
              <a:pPr algn="ctr"/>
              <a:t> </a:t>
            </a:fld>
            <a:endParaRPr lang="ru-RU" sz="1100">
              <a:solidFill>
                <a:schemeClr val="bg1"/>
              </a:solidFill>
            </a:endParaRPr>
          </a:p>
        </xdr:txBody>
      </xdr:sp>
      <xdr:sp macro="" textlink="Processing!N23">
        <xdr:nvSpPr>
          <xdr:cNvPr id="65" name="TextBox 64">
            <a:extLst>
              <a:ext uri="{FF2B5EF4-FFF2-40B4-BE49-F238E27FC236}">
                <a16:creationId xmlns:a16="http://schemas.microsoft.com/office/drawing/2014/main" id="{846BC972-DE61-1850-721C-395420D6A114}"/>
              </a:ext>
            </a:extLst>
          </xdr:cNvPr>
          <xdr:cNvSpPr txBox="1"/>
        </xdr:nvSpPr>
        <xdr:spPr>
          <a:xfrm>
            <a:off x="10852557" y="2625090"/>
            <a:ext cx="331927"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8EB2ECB-6F7F-4F10-BE5E-B980037A19FA}" type="TxLink">
              <a:rPr lang="en-US" sz="1100" b="0" i="0" u="none" strike="noStrike">
                <a:solidFill>
                  <a:schemeClr val="bg1"/>
                </a:solidFill>
                <a:latin typeface="Aptos Narrow"/>
              </a:rPr>
              <a:pPr algn="ctr"/>
              <a:t> </a:t>
            </a:fld>
            <a:endParaRPr lang="ru-RU" sz="1100">
              <a:solidFill>
                <a:schemeClr val="bg1"/>
              </a:solidFill>
            </a:endParaRPr>
          </a:p>
        </xdr:txBody>
      </xdr:sp>
      <xdr:sp macro="" textlink="Processing!O23">
        <xdr:nvSpPr>
          <xdr:cNvPr id="66" name="TextBox 65">
            <a:extLst>
              <a:ext uri="{FF2B5EF4-FFF2-40B4-BE49-F238E27FC236}">
                <a16:creationId xmlns:a16="http://schemas.microsoft.com/office/drawing/2014/main" id="{0698376C-8458-63F3-C276-5DCCB1BA7041}"/>
              </a:ext>
            </a:extLst>
          </xdr:cNvPr>
          <xdr:cNvSpPr txBox="1"/>
        </xdr:nvSpPr>
        <xdr:spPr>
          <a:xfrm>
            <a:off x="11182757" y="2625090"/>
            <a:ext cx="331927"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45878CA-C1A0-4731-81FB-EF7CE4A076F3}" type="TxLink">
              <a:rPr lang="en-US" sz="1100" b="0" i="0" u="none" strike="noStrike">
                <a:solidFill>
                  <a:schemeClr val="bg1"/>
                </a:solidFill>
                <a:latin typeface="Aptos Narrow"/>
              </a:rPr>
              <a:pPr algn="ctr"/>
              <a:t> </a:t>
            </a:fld>
            <a:endParaRPr lang="ru-RU" sz="1100">
              <a:solidFill>
                <a:schemeClr val="bg1"/>
              </a:solidFill>
            </a:endParaRPr>
          </a:p>
        </xdr:txBody>
      </xdr:sp>
      <xdr:sp macro="" textlink="Processing!P23">
        <xdr:nvSpPr>
          <xdr:cNvPr id="67" name="TextBox 66">
            <a:extLst>
              <a:ext uri="{FF2B5EF4-FFF2-40B4-BE49-F238E27FC236}">
                <a16:creationId xmlns:a16="http://schemas.microsoft.com/office/drawing/2014/main" id="{A6312973-A09C-986E-F4F1-04698FE2F9EA}"/>
              </a:ext>
            </a:extLst>
          </xdr:cNvPr>
          <xdr:cNvSpPr txBox="1"/>
        </xdr:nvSpPr>
        <xdr:spPr>
          <a:xfrm>
            <a:off x="11512957" y="2625090"/>
            <a:ext cx="331927"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216AF94-6942-426F-9EE2-7466AA9E6F81}" type="TxLink">
              <a:rPr lang="en-US" sz="1100" b="0" i="0" u="none" strike="noStrike">
                <a:solidFill>
                  <a:schemeClr val="bg1"/>
                </a:solidFill>
                <a:latin typeface="Aptos Narrow"/>
              </a:rPr>
              <a:pPr algn="ctr"/>
              <a:t> </a:t>
            </a:fld>
            <a:endParaRPr lang="ru-RU" sz="1100">
              <a:solidFill>
                <a:schemeClr val="bg1"/>
              </a:solidFill>
            </a:endParaRPr>
          </a:p>
        </xdr:txBody>
      </xdr:sp>
      <xdr:sp macro="" textlink="Processing!Q23">
        <xdr:nvSpPr>
          <xdr:cNvPr id="68" name="TextBox 67">
            <a:extLst>
              <a:ext uri="{FF2B5EF4-FFF2-40B4-BE49-F238E27FC236}">
                <a16:creationId xmlns:a16="http://schemas.microsoft.com/office/drawing/2014/main" id="{74DCFA48-B7C9-5428-EF6B-A0E5E84F2553}"/>
              </a:ext>
            </a:extLst>
          </xdr:cNvPr>
          <xdr:cNvSpPr txBox="1"/>
        </xdr:nvSpPr>
        <xdr:spPr>
          <a:xfrm>
            <a:off x="11843157" y="2625090"/>
            <a:ext cx="331927"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F8D5031-89A1-4503-AD3B-7EFDD2B20049}" type="TxLink">
              <a:rPr lang="en-US" sz="1100" b="0" i="0" u="none" strike="noStrike">
                <a:solidFill>
                  <a:schemeClr val="bg1"/>
                </a:solidFill>
                <a:latin typeface="Aptos Narrow"/>
              </a:rPr>
              <a:pPr algn="ctr"/>
              <a:t> </a:t>
            </a:fld>
            <a:endParaRPr lang="ru-RU" sz="1100">
              <a:solidFill>
                <a:schemeClr val="bg1"/>
              </a:solidFill>
            </a:endParaRPr>
          </a:p>
        </xdr:txBody>
      </xdr:sp>
    </xdr:grpSp>
    <xdr:clientData/>
  </xdr:twoCellAnchor>
  <xdr:twoCellAnchor>
    <xdr:from>
      <xdr:col>3</xdr:col>
      <xdr:colOff>480060</xdr:colOff>
      <xdr:row>14</xdr:row>
      <xdr:rowOff>40776</xdr:rowOff>
    </xdr:from>
    <xdr:to>
      <xdr:col>4</xdr:col>
      <xdr:colOff>495008</xdr:colOff>
      <xdr:row>15</xdr:row>
      <xdr:rowOff>164965</xdr:rowOff>
    </xdr:to>
    <xdr:sp macro="" textlink="Processing!J3">
      <xdr:nvSpPr>
        <xdr:cNvPr id="69" name="TextBox 68">
          <a:extLst>
            <a:ext uri="{FF2B5EF4-FFF2-40B4-BE49-F238E27FC236}">
              <a16:creationId xmlns:a16="http://schemas.microsoft.com/office/drawing/2014/main" id="{62E9A970-453F-41A1-AB98-9A33139F9318}"/>
            </a:ext>
          </a:extLst>
        </xdr:cNvPr>
        <xdr:cNvSpPr txBox="1"/>
      </xdr:nvSpPr>
      <xdr:spPr>
        <a:xfrm>
          <a:off x="2308860" y="2601096"/>
          <a:ext cx="624548" cy="3070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B651ED33-8F01-41CA-96B5-2480A3CCD5B8}" type="TxLink">
            <a:rPr lang="en-US" sz="900" b="0" i="0" u="none" strike="noStrike">
              <a:solidFill>
                <a:srgbClr val="28BEBA"/>
              </a:solidFill>
              <a:latin typeface="Aptos Narrow"/>
              <a:ea typeface="+mn-ea"/>
              <a:cs typeface="+mn-cs"/>
            </a:rPr>
            <a:pPr marL="0" indent="0" algn="ctr"/>
            <a:t>Target 1</a:t>
          </a:fld>
          <a:endParaRPr lang="ru-RU" sz="1200" b="0" i="0" u="none" strike="noStrike">
            <a:solidFill>
              <a:srgbClr val="28BEBA"/>
            </a:solidFill>
            <a:latin typeface="Aptos Narrow"/>
            <a:ea typeface="+mn-ea"/>
            <a:cs typeface="+mn-cs"/>
          </a:endParaRPr>
        </a:p>
      </xdr:txBody>
    </xdr:sp>
    <xdr:clientData/>
  </xdr:twoCellAnchor>
  <xdr:twoCellAnchor>
    <xdr:from>
      <xdr:col>3</xdr:col>
      <xdr:colOff>480060</xdr:colOff>
      <xdr:row>16</xdr:row>
      <xdr:rowOff>25536</xdr:rowOff>
    </xdr:from>
    <xdr:to>
      <xdr:col>4</xdr:col>
      <xdr:colOff>495008</xdr:colOff>
      <xdr:row>17</xdr:row>
      <xdr:rowOff>149725</xdr:rowOff>
    </xdr:to>
    <xdr:sp macro="" textlink="Processing!J4">
      <xdr:nvSpPr>
        <xdr:cNvPr id="70" name="TextBox 69">
          <a:extLst>
            <a:ext uri="{FF2B5EF4-FFF2-40B4-BE49-F238E27FC236}">
              <a16:creationId xmlns:a16="http://schemas.microsoft.com/office/drawing/2014/main" id="{1E10DD9F-AA79-4033-8720-3B6D2975D3EC}"/>
            </a:ext>
          </a:extLst>
        </xdr:cNvPr>
        <xdr:cNvSpPr txBox="1"/>
      </xdr:nvSpPr>
      <xdr:spPr>
        <a:xfrm>
          <a:off x="2308860" y="2951616"/>
          <a:ext cx="624548" cy="3070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61BD5C03-9666-4F95-9C4A-BCF38E0A9883}" type="TxLink">
            <a:rPr lang="en-US" sz="900" b="0" i="0" u="none" strike="noStrike">
              <a:solidFill>
                <a:srgbClr val="3879F2"/>
              </a:solidFill>
              <a:latin typeface="Aptos Narrow"/>
              <a:ea typeface="+mn-ea"/>
              <a:cs typeface="+mn-cs"/>
            </a:rPr>
            <a:pPr marL="0" indent="0" algn="ctr"/>
            <a:t>Target 2</a:t>
          </a:fld>
          <a:endParaRPr lang="ru-RU" sz="1000" b="0" i="0" u="none" strike="noStrike">
            <a:solidFill>
              <a:srgbClr val="3879F2"/>
            </a:solidFill>
            <a:latin typeface="Aptos Narrow"/>
            <a:ea typeface="+mn-ea"/>
            <a:cs typeface="+mn-cs"/>
          </a:endParaRPr>
        </a:p>
      </xdr:txBody>
    </xdr:sp>
    <xdr:clientData/>
  </xdr:twoCellAnchor>
  <xdr:twoCellAnchor>
    <xdr:from>
      <xdr:col>3</xdr:col>
      <xdr:colOff>480060</xdr:colOff>
      <xdr:row>18</xdr:row>
      <xdr:rowOff>10296</xdr:rowOff>
    </xdr:from>
    <xdr:to>
      <xdr:col>4</xdr:col>
      <xdr:colOff>495008</xdr:colOff>
      <xdr:row>19</xdr:row>
      <xdr:rowOff>134485</xdr:rowOff>
    </xdr:to>
    <xdr:sp macro="" textlink="Processing!J5">
      <xdr:nvSpPr>
        <xdr:cNvPr id="71" name="TextBox 70">
          <a:extLst>
            <a:ext uri="{FF2B5EF4-FFF2-40B4-BE49-F238E27FC236}">
              <a16:creationId xmlns:a16="http://schemas.microsoft.com/office/drawing/2014/main" id="{56BE0220-953E-4070-B8C5-2C89594D7D7C}"/>
            </a:ext>
          </a:extLst>
        </xdr:cNvPr>
        <xdr:cNvSpPr txBox="1"/>
      </xdr:nvSpPr>
      <xdr:spPr>
        <a:xfrm>
          <a:off x="2308860" y="3302136"/>
          <a:ext cx="624548" cy="3070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4D0E215D-3655-4F66-ACFB-977969128424}" type="TxLink">
            <a:rPr lang="en-US" sz="900" b="0" i="0" u="none" strike="noStrike">
              <a:solidFill>
                <a:srgbClr val="FF7684"/>
              </a:solidFill>
              <a:latin typeface="Aptos Narrow"/>
              <a:ea typeface="+mn-ea"/>
              <a:cs typeface="+mn-cs"/>
            </a:rPr>
            <a:pPr marL="0" indent="0" algn="ctr"/>
            <a:t>Target 3</a:t>
          </a:fld>
          <a:endParaRPr lang="ru-RU" sz="1000" b="0" i="0" u="none" strike="noStrike">
            <a:solidFill>
              <a:srgbClr val="FF7684"/>
            </a:solidFill>
            <a:latin typeface="Aptos Narrow"/>
            <a:ea typeface="+mn-ea"/>
            <a:cs typeface="+mn-cs"/>
          </a:endParaRPr>
        </a:p>
      </xdr:txBody>
    </xdr:sp>
    <xdr:clientData/>
  </xdr:twoCellAnchor>
  <xdr:twoCellAnchor>
    <xdr:from>
      <xdr:col>3</xdr:col>
      <xdr:colOff>480060</xdr:colOff>
      <xdr:row>19</xdr:row>
      <xdr:rowOff>177936</xdr:rowOff>
    </xdr:from>
    <xdr:to>
      <xdr:col>4</xdr:col>
      <xdr:colOff>495008</xdr:colOff>
      <xdr:row>21</xdr:row>
      <xdr:rowOff>119245</xdr:rowOff>
    </xdr:to>
    <xdr:sp macro="" textlink="Processing!J6">
      <xdr:nvSpPr>
        <xdr:cNvPr id="72" name="TextBox 71">
          <a:extLst>
            <a:ext uri="{FF2B5EF4-FFF2-40B4-BE49-F238E27FC236}">
              <a16:creationId xmlns:a16="http://schemas.microsoft.com/office/drawing/2014/main" id="{EBEE990C-A39B-455C-AFE4-32A5FA1F3330}"/>
            </a:ext>
          </a:extLst>
        </xdr:cNvPr>
        <xdr:cNvSpPr txBox="1"/>
      </xdr:nvSpPr>
      <xdr:spPr>
        <a:xfrm>
          <a:off x="2308860" y="3652656"/>
          <a:ext cx="624548" cy="3070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D58AA4D8-5D6F-485A-A4E3-857258D4E43D}" type="TxLink">
            <a:rPr lang="en-US" sz="900" b="0" i="0" u="none" strike="noStrike">
              <a:solidFill>
                <a:srgbClr val="00ADD6"/>
              </a:solidFill>
              <a:latin typeface="Aptos Narrow"/>
              <a:ea typeface="+mn-ea"/>
              <a:cs typeface="+mn-cs"/>
            </a:rPr>
            <a:pPr marL="0" indent="0" algn="ctr"/>
            <a:t>Target 4</a:t>
          </a:fld>
          <a:endParaRPr lang="ru-RU" sz="1000" b="0" i="0" u="none" strike="noStrike">
            <a:solidFill>
              <a:srgbClr val="00ADD6"/>
            </a:solidFill>
            <a:latin typeface="Aptos Narrow"/>
            <a:ea typeface="+mn-ea"/>
            <a:cs typeface="+mn-cs"/>
          </a:endParaRPr>
        </a:p>
      </xdr:txBody>
    </xdr:sp>
    <xdr:clientData/>
  </xdr:twoCellAnchor>
  <xdr:twoCellAnchor>
    <xdr:from>
      <xdr:col>3</xdr:col>
      <xdr:colOff>480060</xdr:colOff>
      <xdr:row>21</xdr:row>
      <xdr:rowOff>162696</xdr:rowOff>
    </xdr:from>
    <xdr:to>
      <xdr:col>4</xdr:col>
      <xdr:colOff>495008</xdr:colOff>
      <xdr:row>23</xdr:row>
      <xdr:rowOff>104005</xdr:rowOff>
    </xdr:to>
    <xdr:sp macro="" textlink="Processing!J7">
      <xdr:nvSpPr>
        <xdr:cNvPr id="73" name="TextBox 72">
          <a:extLst>
            <a:ext uri="{FF2B5EF4-FFF2-40B4-BE49-F238E27FC236}">
              <a16:creationId xmlns:a16="http://schemas.microsoft.com/office/drawing/2014/main" id="{67D41E4C-F495-43E9-89F0-CC3DDF8DD0AA}"/>
            </a:ext>
          </a:extLst>
        </xdr:cNvPr>
        <xdr:cNvSpPr txBox="1"/>
      </xdr:nvSpPr>
      <xdr:spPr>
        <a:xfrm>
          <a:off x="2308860" y="4003176"/>
          <a:ext cx="624548" cy="3070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BBD31B8A-D271-4BDE-984C-859332B009E3}" type="TxLink">
            <a:rPr lang="en-US" sz="900" b="0" i="0" u="none" strike="noStrike">
              <a:solidFill>
                <a:srgbClr val="6978B4"/>
              </a:solidFill>
              <a:latin typeface="Aptos Narrow"/>
              <a:ea typeface="+mn-ea"/>
              <a:cs typeface="+mn-cs"/>
            </a:rPr>
            <a:pPr marL="0" indent="0" algn="ctr"/>
            <a:t>Target 5</a:t>
          </a:fld>
          <a:endParaRPr lang="ru-RU" sz="1000" b="0" i="0" u="none" strike="noStrike">
            <a:solidFill>
              <a:srgbClr val="6978B4"/>
            </a:solidFill>
            <a:latin typeface="Aptos Narrow"/>
            <a:ea typeface="+mn-ea"/>
            <a:cs typeface="+mn-cs"/>
          </a:endParaRPr>
        </a:p>
      </xdr:txBody>
    </xdr:sp>
    <xdr:clientData/>
  </xdr:twoCellAnchor>
  <xdr:twoCellAnchor>
    <xdr:from>
      <xdr:col>3</xdr:col>
      <xdr:colOff>426720</xdr:colOff>
      <xdr:row>4</xdr:row>
      <xdr:rowOff>106680</xdr:rowOff>
    </xdr:from>
    <xdr:to>
      <xdr:col>12</xdr:col>
      <xdr:colOff>121920</xdr:colOff>
      <xdr:row>11</xdr:row>
      <xdr:rowOff>106680</xdr:rowOff>
    </xdr:to>
    <xdr:sp macro="" textlink="">
      <xdr:nvSpPr>
        <xdr:cNvPr id="74" name="Rectangle: Rounded Corners 73">
          <a:extLst>
            <a:ext uri="{FF2B5EF4-FFF2-40B4-BE49-F238E27FC236}">
              <a16:creationId xmlns:a16="http://schemas.microsoft.com/office/drawing/2014/main" id="{B26071C4-E3CB-495A-AD9B-BDCD1A229982}"/>
            </a:ext>
          </a:extLst>
        </xdr:cNvPr>
        <xdr:cNvSpPr/>
      </xdr:nvSpPr>
      <xdr:spPr>
        <a:xfrm>
          <a:off x="2255520" y="838200"/>
          <a:ext cx="5181600" cy="1280160"/>
        </a:xfrm>
        <a:prstGeom prst="roundRect">
          <a:avLst>
            <a:gd name="adj" fmla="val 13342"/>
          </a:avLst>
        </a:prstGeom>
        <a:solidFill>
          <a:schemeClr val="bg1"/>
        </a:solidFill>
        <a:ln w="9525">
          <a:solidFill>
            <a:schemeClr val="bg1"/>
          </a:solidFill>
        </a:ln>
        <a:effectLst>
          <a:outerShdw blurRad="254000" dist="101600" dir="8100000" algn="tr" rotWithShape="0">
            <a:srgbClr val="0D328D">
              <a:alpha val="4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200" kern="1200">
            <a:solidFill>
              <a:srgbClr val="455177"/>
            </a:solidFill>
            <a:latin typeface="+mn-lt"/>
            <a:ea typeface="+mn-ea"/>
            <a:cs typeface="+mn-cs"/>
          </a:endParaRPr>
        </a:p>
      </xdr:txBody>
    </xdr:sp>
    <xdr:clientData/>
  </xdr:twoCellAnchor>
  <xdr:twoCellAnchor>
    <xdr:from>
      <xdr:col>4</xdr:col>
      <xdr:colOff>0</xdr:colOff>
      <xdr:row>4</xdr:row>
      <xdr:rowOff>114300</xdr:rowOff>
    </xdr:from>
    <xdr:to>
      <xdr:col>7</xdr:col>
      <xdr:colOff>457200</xdr:colOff>
      <xdr:row>11</xdr:row>
      <xdr:rowOff>129540</xdr:rowOff>
    </xdr:to>
    <xdr:graphicFrame macro="">
      <xdr:nvGraphicFramePr>
        <xdr:cNvPr id="75" name="Chart 74">
          <a:extLst>
            <a:ext uri="{FF2B5EF4-FFF2-40B4-BE49-F238E27FC236}">
              <a16:creationId xmlns:a16="http://schemas.microsoft.com/office/drawing/2014/main" id="{DB99BC65-8B57-4D56-A266-F590A45AC2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8</xdr:col>
      <xdr:colOff>15240</xdr:colOff>
      <xdr:row>5</xdr:row>
      <xdr:rowOff>0</xdr:rowOff>
    </xdr:from>
    <xdr:to>
      <xdr:col>11</xdr:col>
      <xdr:colOff>472440</xdr:colOff>
      <xdr:row>10</xdr:row>
      <xdr:rowOff>152400</xdr:rowOff>
    </xdr:to>
    <xdr:graphicFrame macro="">
      <xdr:nvGraphicFramePr>
        <xdr:cNvPr id="76" name="Chart 75">
          <a:extLst>
            <a:ext uri="{FF2B5EF4-FFF2-40B4-BE49-F238E27FC236}">
              <a16:creationId xmlns:a16="http://schemas.microsoft.com/office/drawing/2014/main" id="{9952A2AE-1432-4ECB-954F-B17B0E261ED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oneCell">
    <xdr:from>
      <xdr:col>8</xdr:col>
      <xdr:colOff>129540</xdr:colOff>
      <xdr:row>9</xdr:row>
      <xdr:rowOff>22860</xdr:rowOff>
    </xdr:from>
    <xdr:to>
      <xdr:col>11</xdr:col>
      <xdr:colOff>403860</xdr:colOff>
      <xdr:row>11</xdr:row>
      <xdr:rowOff>86868</xdr:rowOff>
    </xdr:to>
    <mc:AlternateContent xmlns:mc="http://schemas.openxmlformats.org/markup-compatibility/2006" xmlns:a14="http://schemas.microsoft.com/office/drawing/2010/main">
      <mc:Choice Requires="a14">
        <xdr:graphicFrame macro="">
          <xdr:nvGraphicFramePr>
            <xdr:cNvPr id="77" name="Year 7">
              <a:extLst>
                <a:ext uri="{FF2B5EF4-FFF2-40B4-BE49-F238E27FC236}">
                  <a16:creationId xmlns:a16="http://schemas.microsoft.com/office/drawing/2014/main" id="{9E6B7E41-1C93-4433-B0E1-6784484FE61D}"/>
                </a:ext>
              </a:extLst>
            </xdr:cNvPr>
            <xdr:cNvGraphicFramePr/>
          </xdr:nvGraphicFramePr>
          <xdr:xfrm>
            <a:off x="0" y="0"/>
            <a:ext cx="0" cy="0"/>
          </xdr:xfrm>
          <a:graphic>
            <a:graphicData uri="http://schemas.microsoft.com/office/drawing/2010/slicer">
              <sle:slicer xmlns:sle="http://schemas.microsoft.com/office/drawing/2010/slicer" name="Year 7"/>
            </a:graphicData>
          </a:graphic>
        </xdr:graphicFrame>
      </mc:Choice>
      <mc:Fallback xmlns="">
        <xdr:sp macro="" textlink="">
          <xdr:nvSpPr>
            <xdr:cNvPr id="0" name=""/>
            <xdr:cNvSpPr>
              <a:spLocks noTextEdit="1"/>
            </xdr:cNvSpPr>
          </xdr:nvSpPr>
          <xdr:spPr>
            <a:xfrm>
              <a:off x="5006340" y="1668780"/>
              <a:ext cx="2103120" cy="429768"/>
            </a:xfrm>
            <a:prstGeom prst="rect">
              <a:avLst/>
            </a:prstGeom>
            <a:solidFill>
              <a:prstClr val="white"/>
            </a:solidFill>
            <a:ln w="1">
              <a:solidFill>
                <a:prstClr val="green"/>
              </a:solidFill>
            </a:ln>
          </xdr:spPr>
          <xdr:txBody>
            <a:bodyPr vertOverflow="clip" horzOverflow="clip"/>
            <a:lstStyle/>
            <a:p>
              <a:r>
                <a:rPr lang="ru-R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12</xdr:col>
      <xdr:colOff>213947</xdr:colOff>
      <xdr:row>17</xdr:row>
      <xdr:rowOff>167640</xdr:rowOff>
    </xdr:from>
    <xdr:to>
      <xdr:col>15</xdr:col>
      <xdr:colOff>167054</xdr:colOff>
      <xdr:row>20</xdr:row>
      <xdr:rowOff>68580</xdr:rowOff>
    </xdr:to>
    <xdr:sp macro="" textlink="Processing!J50">
      <xdr:nvSpPr>
        <xdr:cNvPr id="78" name="TextBox 77">
          <a:extLst>
            <a:ext uri="{FF2B5EF4-FFF2-40B4-BE49-F238E27FC236}">
              <a16:creationId xmlns:a16="http://schemas.microsoft.com/office/drawing/2014/main" id="{FAA4F096-829A-4F1D-8D28-67462A76FE30}"/>
            </a:ext>
          </a:extLst>
        </xdr:cNvPr>
        <xdr:cNvSpPr txBox="1"/>
      </xdr:nvSpPr>
      <xdr:spPr>
        <a:xfrm>
          <a:off x="7529147" y="3276600"/>
          <a:ext cx="1781907" cy="4495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12813B5-DCE5-420D-BC73-1A5D337DC5CB}" type="TxLink">
            <a:rPr lang="en-US" sz="1400" b="0" i="0" u="none" strike="noStrike">
              <a:solidFill>
                <a:srgbClr val="455177"/>
              </a:solidFill>
              <a:latin typeface="Aptos Narrow"/>
            </a:rPr>
            <a:pPr algn="ctr"/>
            <a:t>Essential Costs</a:t>
          </a:fld>
          <a:endParaRPr lang="ru-RU" sz="4400" b="0">
            <a:solidFill>
              <a:srgbClr val="455177"/>
            </a:solidFill>
          </a:endParaRPr>
        </a:p>
      </xdr:txBody>
    </xdr:sp>
    <xdr:clientData/>
  </xdr:twoCellAnchor>
  <xdr:twoCellAnchor>
    <xdr:from>
      <xdr:col>17</xdr:col>
      <xdr:colOff>229187</xdr:colOff>
      <xdr:row>19</xdr:row>
      <xdr:rowOff>76200</xdr:rowOff>
    </xdr:from>
    <xdr:to>
      <xdr:col>20</xdr:col>
      <xdr:colOff>182294</xdr:colOff>
      <xdr:row>21</xdr:row>
      <xdr:rowOff>160020</xdr:rowOff>
    </xdr:to>
    <xdr:sp macro="" textlink="Processing!L57">
      <xdr:nvSpPr>
        <xdr:cNvPr id="79" name="TextBox 78">
          <a:extLst>
            <a:ext uri="{FF2B5EF4-FFF2-40B4-BE49-F238E27FC236}">
              <a16:creationId xmlns:a16="http://schemas.microsoft.com/office/drawing/2014/main" id="{A020F7E6-9C61-4794-9CD9-1D3C9DCCB8DD}"/>
            </a:ext>
          </a:extLst>
        </xdr:cNvPr>
        <xdr:cNvSpPr txBox="1"/>
      </xdr:nvSpPr>
      <xdr:spPr>
        <a:xfrm>
          <a:off x="10592387" y="3550920"/>
          <a:ext cx="1781907" cy="4495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E6FC241-889E-4855-A681-F9BD51DD1C65}" type="TxLink">
            <a:rPr lang="en-US" sz="1800" b="0" i="0" u="none" strike="noStrike">
              <a:solidFill>
                <a:srgbClr val="455177"/>
              </a:solidFill>
              <a:latin typeface="Aptos Narrow"/>
            </a:rPr>
            <a:pPr algn="ctr"/>
            <a:t>$ 5 929</a:t>
          </a:fld>
          <a:endParaRPr lang="ru-RU" sz="6600" b="0">
            <a:solidFill>
              <a:srgbClr val="455177"/>
            </a:solidFill>
          </a:endParaRPr>
        </a:p>
      </xdr:txBody>
    </xdr:sp>
    <xdr:clientData/>
  </xdr:twoCellAnchor>
  <xdr:twoCellAnchor>
    <xdr:from>
      <xdr:col>15</xdr:col>
      <xdr:colOff>358140</xdr:colOff>
      <xdr:row>18</xdr:row>
      <xdr:rowOff>139722</xdr:rowOff>
    </xdr:from>
    <xdr:to>
      <xdr:col>17</xdr:col>
      <xdr:colOff>144780</xdr:colOff>
      <xdr:row>20</xdr:row>
      <xdr:rowOff>111738</xdr:rowOff>
    </xdr:to>
    <xdr:sp macro="" textlink="Processing!I52">
      <xdr:nvSpPr>
        <xdr:cNvPr id="80" name="TextBox 79">
          <a:extLst>
            <a:ext uri="{FF2B5EF4-FFF2-40B4-BE49-F238E27FC236}">
              <a16:creationId xmlns:a16="http://schemas.microsoft.com/office/drawing/2014/main" id="{18F9C515-E077-43D0-8041-453C7731BF5E}"/>
            </a:ext>
          </a:extLst>
        </xdr:cNvPr>
        <xdr:cNvSpPr txBox="1"/>
      </xdr:nvSpPr>
      <xdr:spPr>
        <a:xfrm>
          <a:off x="9502140" y="3431562"/>
          <a:ext cx="1005840" cy="3377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40E0C301-3FFA-472B-B11F-51077B0ABFF6}" type="TxLink">
            <a:rPr lang="en-US" sz="1200" b="0" i="0" u="none" strike="noStrike">
              <a:solidFill>
                <a:schemeClr val="bg1"/>
              </a:solidFill>
              <a:latin typeface="Aptos Narrow"/>
            </a:rPr>
            <a:pPr algn="l"/>
            <a:t>$ 1 104</a:t>
          </a:fld>
          <a:endParaRPr lang="ru-RU" sz="4400" b="0">
            <a:solidFill>
              <a:schemeClr val="bg1"/>
            </a:solidFill>
          </a:endParaRPr>
        </a:p>
      </xdr:txBody>
    </xdr:sp>
    <xdr:clientData/>
  </xdr:twoCellAnchor>
  <xdr:twoCellAnchor>
    <xdr:from>
      <xdr:col>16</xdr:col>
      <xdr:colOff>586740</xdr:colOff>
      <xdr:row>22</xdr:row>
      <xdr:rowOff>101622</xdr:rowOff>
    </xdr:from>
    <xdr:to>
      <xdr:col>18</xdr:col>
      <xdr:colOff>373380</xdr:colOff>
      <xdr:row>24</xdr:row>
      <xdr:rowOff>73638</xdr:rowOff>
    </xdr:to>
    <xdr:sp macro="" textlink="Processing!I53">
      <xdr:nvSpPr>
        <xdr:cNvPr id="81" name="TextBox 80">
          <a:extLst>
            <a:ext uri="{FF2B5EF4-FFF2-40B4-BE49-F238E27FC236}">
              <a16:creationId xmlns:a16="http://schemas.microsoft.com/office/drawing/2014/main" id="{EE705C99-DF16-41DE-8470-90317611F9A9}"/>
            </a:ext>
          </a:extLst>
        </xdr:cNvPr>
        <xdr:cNvSpPr txBox="1"/>
      </xdr:nvSpPr>
      <xdr:spPr>
        <a:xfrm>
          <a:off x="10340340" y="4124982"/>
          <a:ext cx="1005840" cy="3377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7E09F8E9-1EBE-4D44-AB91-66AE9555F3DC}" type="TxLink">
            <a:rPr lang="en-US" sz="1200" b="0" i="0" u="none" strike="noStrike">
              <a:solidFill>
                <a:schemeClr val="bg1"/>
              </a:solidFill>
              <a:latin typeface="Aptos Narrow"/>
            </a:rPr>
            <a:pPr algn="l"/>
            <a:t>$ 1 307</a:t>
          </a:fld>
          <a:endParaRPr lang="en-US" sz="1200" b="0" i="0" u="none" strike="noStrike">
            <a:solidFill>
              <a:schemeClr val="bg1"/>
            </a:solidFill>
            <a:latin typeface="Aptos Narrow"/>
          </a:endParaRPr>
        </a:p>
      </xdr:txBody>
    </xdr:sp>
    <xdr:clientData/>
  </xdr:twoCellAnchor>
  <xdr:twoCellAnchor>
    <xdr:from>
      <xdr:col>12</xdr:col>
      <xdr:colOff>381000</xdr:colOff>
      <xdr:row>22</xdr:row>
      <xdr:rowOff>101622</xdr:rowOff>
    </xdr:from>
    <xdr:to>
      <xdr:col>14</xdr:col>
      <xdr:colOff>167640</xdr:colOff>
      <xdr:row>24</xdr:row>
      <xdr:rowOff>73638</xdr:rowOff>
    </xdr:to>
    <xdr:sp macro="" textlink="Processing!I56">
      <xdr:nvSpPr>
        <xdr:cNvPr id="82" name="TextBox 81">
          <a:extLst>
            <a:ext uri="{FF2B5EF4-FFF2-40B4-BE49-F238E27FC236}">
              <a16:creationId xmlns:a16="http://schemas.microsoft.com/office/drawing/2014/main" id="{BE634039-9340-490F-BD31-DCC426E9682F}"/>
            </a:ext>
          </a:extLst>
        </xdr:cNvPr>
        <xdr:cNvSpPr txBox="1"/>
      </xdr:nvSpPr>
      <xdr:spPr>
        <a:xfrm>
          <a:off x="7696200" y="4124982"/>
          <a:ext cx="1005840" cy="3377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79040F99-EE1D-4510-9279-DAE818FC7592}" type="TxLink">
            <a:rPr lang="en-US" sz="1200" b="0" i="0" u="none" strike="noStrike">
              <a:solidFill>
                <a:schemeClr val="bg1"/>
              </a:solidFill>
              <a:latin typeface="Aptos Narrow"/>
            </a:rPr>
            <a:pPr algn="l"/>
            <a:t>$ 1 144</a:t>
          </a:fld>
          <a:endParaRPr lang="en-US" sz="1200" b="0" i="0" u="none" strike="noStrike">
            <a:solidFill>
              <a:schemeClr val="bg1"/>
            </a:solidFill>
            <a:latin typeface="Aptos Narrow"/>
          </a:endParaRPr>
        </a:p>
      </xdr:txBody>
    </xdr:sp>
    <xdr:clientData/>
  </xdr:twoCellAnchor>
  <xdr:twoCellAnchor>
    <xdr:from>
      <xdr:col>13</xdr:col>
      <xdr:colOff>190500</xdr:colOff>
      <xdr:row>32</xdr:row>
      <xdr:rowOff>10182</xdr:rowOff>
    </xdr:from>
    <xdr:to>
      <xdr:col>14</xdr:col>
      <xdr:colOff>586740</xdr:colOff>
      <xdr:row>33</xdr:row>
      <xdr:rowOff>165078</xdr:rowOff>
    </xdr:to>
    <xdr:sp macro="" textlink="Processing!I55">
      <xdr:nvSpPr>
        <xdr:cNvPr id="83" name="TextBox 82">
          <a:extLst>
            <a:ext uri="{FF2B5EF4-FFF2-40B4-BE49-F238E27FC236}">
              <a16:creationId xmlns:a16="http://schemas.microsoft.com/office/drawing/2014/main" id="{8B2EBA03-00A1-4B58-9A3C-896C6901FC66}"/>
            </a:ext>
          </a:extLst>
        </xdr:cNvPr>
        <xdr:cNvSpPr txBox="1"/>
      </xdr:nvSpPr>
      <xdr:spPr>
        <a:xfrm>
          <a:off x="8115300" y="5862342"/>
          <a:ext cx="1005840" cy="3377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8C419D39-2857-4899-9F26-DF67142B4644}" type="TxLink">
            <a:rPr lang="en-US" sz="1200" b="0" i="0" u="none" strike="noStrike">
              <a:solidFill>
                <a:schemeClr val="bg1"/>
              </a:solidFill>
              <a:latin typeface="Aptos Narrow"/>
            </a:rPr>
            <a:pPr algn="l"/>
            <a:t>$ 1 187</a:t>
          </a:fld>
          <a:endParaRPr lang="en-US" sz="1200" b="0" i="0" u="none" strike="noStrike">
            <a:solidFill>
              <a:schemeClr val="bg1"/>
            </a:solidFill>
            <a:latin typeface="Aptos Narrow"/>
          </a:endParaRPr>
        </a:p>
      </xdr:txBody>
    </xdr:sp>
    <xdr:clientData/>
  </xdr:twoCellAnchor>
  <xdr:twoCellAnchor>
    <xdr:from>
      <xdr:col>16</xdr:col>
      <xdr:colOff>175260</xdr:colOff>
      <xdr:row>32</xdr:row>
      <xdr:rowOff>10182</xdr:rowOff>
    </xdr:from>
    <xdr:to>
      <xdr:col>17</xdr:col>
      <xdr:colOff>571500</xdr:colOff>
      <xdr:row>33</xdr:row>
      <xdr:rowOff>165078</xdr:rowOff>
    </xdr:to>
    <xdr:sp macro="" textlink="Processing!I54">
      <xdr:nvSpPr>
        <xdr:cNvPr id="84" name="TextBox 83">
          <a:extLst>
            <a:ext uri="{FF2B5EF4-FFF2-40B4-BE49-F238E27FC236}">
              <a16:creationId xmlns:a16="http://schemas.microsoft.com/office/drawing/2014/main" id="{CBCC6D38-D087-40BD-9639-BC6CC10E5E69}"/>
            </a:ext>
          </a:extLst>
        </xdr:cNvPr>
        <xdr:cNvSpPr txBox="1"/>
      </xdr:nvSpPr>
      <xdr:spPr>
        <a:xfrm>
          <a:off x="9928860" y="5862342"/>
          <a:ext cx="1005840" cy="3377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D98A2DD7-6449-4D06-AC13-2C8BD1E09287}" type="TxLink">
            <a:rPr lang="en-US" sz="1200" b="0" i="0" u="none" strike="noStrike">
              <a:solidFill>
                <a:schemeClr val="bg1"/>
              </a:solidFill>
              <a:latin typeface="Aptos Narrow"/>
            </a:rPr>
            <a:pPr algn="l"/>
            <a:t>$ 1 187</a:t>
          </a:fld>
          <a:endParaRPr lang="en-US" sz="1200" b="0" i="0" u="none" strike="noStrike">
            <a:solidFill>
              <a:schemeClr val="bg1"/>
            </a:solidFill>
            <a:latin typeface="Aptos Narrow"/>
          </a:endParaRPr>
        </a:p>
      </xdr:txBody>
    </xdr:sp>
    <xdr:clientData/>
  </xdr:twoCellAnchor>
  <xdr:twoCellAnchor>
    <xdr:from>
      <xdr:col>17</xdr:col>
      <xdr:colOff>183467</xdr:colOff>
      <xdr:row>17</xdr:row>
      <xdr:rowOff>167640</xdr:rowOff>
    </xdr:from>
    <xdr:to>
      <xdr:col>20</xdr:col>
      <xdr:colOff>136574</xdr:colOff>
      <xdr:row>20</xdr:row>
      <xdr:rowOff>68580</xdr:rowOff>
    </xdr:to>
    <xdr:sp macro="" textlink="Processing!J51">
      <xdr:nvSpPr>
        <xdr:cNvPr id="85" name="TextBox 84">
          <a:extLst>
            <a:ext uri="{FF2B5EF4-FFF2-40B4-BE49-F238E27FC236}">
              <a16:creationId xmlns:a16="http://schemas.microsoft.com/office/drawing/2014/main" id="{BB0A3096-8061-4152-BAD3-ABA2CF889283}"/>
            </a:ext>
          </a:extLst>
        </xdr:cNvPr>
        <xdr:cNvSpPr txBox="1"/>
      </xdr:nvSpPr>
      <xdr:spPr>
        <a:xfrm>
          <a:off x="10546667" y="3276600"/>
          <a:ext cx="1781907" cy="4495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4CCC9A55-5017-4BC8-8EA1-91AB019A8C96}" type="TxLink">
            <a:rPr lang="en-US" sz="1400" b="0" i="0" u="none" strike="noStrike">
              <a:solidFill>
                <a:srgbClr val="455177"/>
              </a:solidFill>
              <a:latin typeface="Aptos Narrow"/>
              <a:ea typeface="+mn-ea"/>
              <a:cs typeface="+mn-cs"/>
            </a:rPr>
            <a:pPr marL="0" indent="0" algn="ctr"/>
            <a:t>Expense Areas</a:t>
          </a:fld>
          <a:endParaRPr lang="ru-RU" sz="1400" b="0" i="0" u="none" strike="noStrike">
            <a:solidFill>
              <a:srgbClr val="455177"/>
            </a:solidFill>
            <a:latin typeface="Aptos Narrow"/>
            <a:ea typeface="+mn-ea"/>
            <a:cs typeface="+mn-cs"/>
          </a:endParaRPr>
        </a:p>
      </xdr:txBody>
    </xdr:sp>
    <xdr:clientData/>
  </xdr:twoCellAnchor>
  <xdr:twoCellAnchor editAs="oneCell">
    <xdr:from>
      <xdr:col>14</xdr:col>
      <xdr:colOff>83820</xdr:colOff>
      <xdr:row>35</xdr:row>
      <xdr:rowOff>0</xdr:rowOff>
    </xdr:from>
    <xdr:to>
      <xdr:col>16</xdr:col>
      <xdr:colOff>419100</xdr:colOff>
      <xdr:row>37</xdr:row>
      <xdr:rowOff>64008</xdr:rowOff>
    </xdr:to>
    <mc:AlternateContent xmlns:mc="http://schemas.openxmlformats.org/markup-compatibility/2006" xmlns:a14="http://schemas.microsoft.com/office/drawing/2010/main">
      <mc:Choice Requires="a14">
        <xdr:graphicFrame macro="">
          <xdr:nvGraphicFramePr>
            <xdr:cNvPr id="86" name="Buttons 9">
              <a:extLst>
                <a:ext uri="{FF2B5EF4-FFF2-40B4-BE49-F238E27FC236}">
                  <a16:creationId xmlns:a16="http://schemas.microsoft.com/office/drawing/2014/main" id="{BC85268C-1534-465C-9743-9E03E63B2E7A}"/>
                </a:ext>
              </a:extLst>
            </xdr:cNvPr>
            <xdr:cNvGraphicFramePr/>
          </xdr:nvGraphicFramePr>
          <xdr:xfrm>
            <a:off x="0" y="0"/>
            <a:ext cx="0" cy="0"/>
          </xdr:xfrm>
          <a:graphic>
            <a:graphicData uri="http://schemas.microsoft.com/office/drawing/2010/slicer">
              <sle:slicer xmlns:sle="http://schemas.microsoft.com/office/drawing/2010/slicer" name="Buttons 9"/>
            </a:graphicData>
          </a:graphic>
        </xdr:graphicFrame>
      </mc:Choice>
      <mc:Fallback xmlns="">
        <xdr:sp macro="" textlink="">
          <xdr:nvSpPr>
            <xdr:cNvPr id="0" name=""/>
            <xdr:cNvSpPr>
              <a:spLocks noTextEdit="1"/>
            </xdr:cNvSpPr>
          </xdr:nvSpPr>
          <xdr:spPr>
            <a:xfrm>
              <a:off x="8618220" y="6400800"/>
              <a:ext cx="1554480" cy="429768"/>
            </a:xfrm>
            <a:prstGeom prst="rect">
              <a:avLst/>
            </a:prstGeom>
            <a:solidFill>
              <a:prstClr val="white"/>
            </a:solidFill>
            <a:ln w="1">
              <a:solidFill>
                <a:prstClr val="green"/>
              </a:solidFill>
            </a:ln>
          </xdr:spPr>
          <xdr:txBody>
            <a:bodyPr vertOverflow="clip" horzOverflow="clip"/>
            <a:lstStyle/>
            <a:p>
              <a:r>
                <a:rPr lang="ru-R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13</xdr:col>
      <xdr:colOff>572087</xdr:colOff>
      <xdr:row>33</xdr:row>
      <xdr:rowOff>138553</xdr:rowOff>
    </xdr:from>
    <xdr:to>
      <xdr:col>16</xdr:col>
      <xdr:colOff>525194</xdr:colOff>
      <xdr:row>35</xdr:row>
      <xdr:rowOff>51947</xdr:rowOff>
    </xdr:to>
    <xdr:sp macro="" textlink="Processing!I57">
      <xdr:nvSpPr>
        <xdr:cNvPr id="87" name="TextBox 86">
          <a:extLst>
            <a:ext uri="{FF2B5EF4-FFF2-40B4-BE49-F238E27FC236}">
              <a16:creationId xmlns:a16="http://schemas.microsoft.com/office/drawing/2014/main" id="{D2EBA980-08F3-40CD-80D4-139A5CF2E6D1}"/>
            </a:ext>
          </a:extLst>
        </xdr:cNvPr>
        <xdr:cNvSpPr txBox="1"/>
      </xdr:nvSpPr>
      <xdr:spPr>
        <a:xfrm>
          <a:off x="8496887" y="6173593"/>
          <a:ext cx="1781907" cy="2791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58A5A718-6948-47B1-A540-70E0144B9FD8}" type="TxLink">
            <a:rPr lang="en-US" sz="1800" b="0" i="0" u="none" strike="noStrike">
              <a:solidFill>
                <a:srgbClr val="455177"/>
              </a:solidFill>
              <a:latin typeface="Aptos Narrow"/>
              <a:ea typeface="+mn-ea"/>
              <a:cs typeface="+mn-cs"/>
            </a:rPr>
            <a:pPr marL="0" indent="0" algn="ctr"/>
            <a:t>$ 5 929</a:t>
          </a:fld>
          <a:endParaRPr lang="ru-RU" sz="1800" b="0" i="0" u="none" strike="noStrike">
            <a:solidFill>
              <a:srgbClr val="455177"/>
            </a:solidFill>
            <a:latin typeface="Aptos Narrow"/>
            <a:ea typeface="+mn-ea"/>
            <a:cs typeface="+mn-cs"/>
          </a:endParaRPr>
        </a:p>
      </xdr:txBody>
    </xdr:sp>
    <xdr:clientData/>
  </xdr:twoCellAnchor>
  <xdr:twoCellAnchor>
    <xdr:from>
      <xdr:col>18</xdr:col>
      <xdr:colOff>160020</xdr:colOff>
      <xdr:row>21</xdr:row>
      <xdr:rowOff>86496</xdr:rowOff>
    </xdr:from>
    <xdr:to>
      <xdr:col>19</xdr:col>
      <xdr:colOff>174968</xdr:colOff>
      <xdr:row>23</xdr:row>
      <xdr:rowOff>27805</xdr:rowOff>
    </xdr:to>
    <xdr:sp macro="" textlink="Processing!J52">
      <xdr:nvSpPr>
        <xdr:cNvPr id="88" name="TextBox 87">
          <a:extLst>
            <a:ext uri="{FF2B5EF4-FFF2-40B4-BE49-F238E27FC236}">
              <a16:creationId xmlns:a16="http://schemas.microsoft.com/office/drawing/2014/main" id="{B7A43ADD-B44F-47D6-A8B3-77AA6DF6B772}"/>
            </a:ext>
          </a:extLst>
        </xdr:cNvPr>
        <xdr:cNvSpPr txBox="1"/>
      </xdr:nvSpPr>
      <xdr:spPr>
        <a:xfrm>
          <a:off x="11132820" y="3926976"/>
          <a:ext cx="624548" cy="3070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39637943-0C22-4FE5-93EB-ABF98B249C2C}" type="TxLink">
            <a:rPr lang="en-US" sz="900" b="0" i="0" u="none" strike="noStrike">
              <a:solidFill>
                <a:schemeClr val="tx2">
                  <a:lumMod val="25000"/>
                  <a:lumOff val="75000"/>
                </a:schemeClr>
              </a:solidFill>
              <a:latin typeface="Aptos Narrow"/>
              <a:ea typeface="+mn-ea"/>
              <a:cs typeface="+mn-cs"/>
            </a:rPr>
            <a:pPr marL="0" indent="0" algn="r"/>
            <a:t>Entertainment</a:t>
          </a:fld>
          <a:endParaRPr lang="ru-RU" sz="900" b="0" i="0" u="none" strike="noStrike">
            <a:solidFill>
              <a:schemeClr val="tx2">
                <a:lumMod val="25000"/>
                <a:lumOff val="75000"/>
              </a:schemeClr>
            </a:solidFill>
            <a:latin typeface="Aptos Narrow"/>
            <a:ea typeface="+mn-ea"/>
            <a:cs typeface="+mn-cs"/>
          </a:endParaRPr>
        </a:p>
      </xdr:txBody>
    </xdr:sp>
    <xdr:clientData/>
  </xdr:twoCellAnchor>
  <xdr:twoCellAnchor>
    <xdr:from>
      <xdr:col>18</xdr:col>
      <xdr:colOff>160020</xdr:colOff>
      <xdr:row>22</xdr:row>
      <xdr:rowOff>107451</xdr:rowOff>
    </xdr:from>
    <xdr:to>
      <xdr:col>19</xdr:col>
      <xdr:colOff>174968</xdr:colOff>
      <xdr:row>24</xdr:row>
      <xdr:rowOff>48760</xdr:rowOff>
    </xdr:to>
    <xdr:sp macro="" textlink="Processing!J53">
      <xdr:nvSpPr>
        <xdr:cNvPr id="89" name="TextBox 88">
          <a:extLst>
            <a:ext uri="{FF2B5EF4-FFF2-40B4-BE49-F238E27FC236}">
              <a16:creationId xmlns:a16="http://schemas.microsoft.com/office/drawing/2014/main" id="{11935400-5C84-4A53-B8C1-DDACA909894B}"/>
            </a:ext>
          </a:extLst>
        </xdr:cNvPr>
        <xdr:cNvSpPr txBox="1"/>
      </xdr:nvSpPr>
      <xdr:spPr>
        <a:xfrm>
          <a:off x="11132820" y="4130811"/>
          <a:ext cx="624548" cy="3070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793BA4B3-F16B-42F8-B506-19426C6AB0B9}" type="TxLink">
            <a:rPr lang="en-US" sz="900" b="0" i="0" u="none" strike="noStrike">
              <a:solidFill>
                <a:schemeClr val="tx2">
                  <a:lumMod val="25000"/>
                  <a:lumOff val="75000"/>
                </a:schemeClr>
              </a:solidFill>
              <a:latin typeface="Aptos Narrow"/>
              <a:ea typeface="+mn-ea"/>
              <a:cs typeface="+mn-cs"/>
            </a:rPr>
            <a:pPr marL="0" indent="0" algn="r"/>
            <a:t>FoodCourt</a:t>
          </a:fld>
          <a:endParaRPr lang="ru-RU" sz="900" b="0" i="0" u="none" strike="noStrike">
            <a:solidFill>
              <a:schemeClr val="tx2">
                <a:lumMod val="25000"/>
                <a:lumOff val="75000"/>
              </a:schemeClr>
            </a:solidFill>
            <a:latin typeface="Aptos Narrow"/>
            <a:ea typeface="+mn-ea"/>
            <a:cs typeface="+mn-cs"/>
          </a:endParaRPr>
        </a:p>
      </xdr:txBody>
    </xdr:sp>
    <xdr:clientData/>
  </xdr:twoCellAnchor>
  <xdr:twoCellAnchor>
    <xdr:from>
      <xdr:col>18</xdr:col>
      <xdr:colOff>160020</xdr:colOff>
      <xdr:row>23</xdr:row>
      <xdr:rowOff>128406</xdr:rowOff>
    </xdr:from>
    <xdr:to>
      <xdr:col>19</xdr:col>
      <xdr:colOff>174968</xdr:colOff>
      <xdr:row>25</xdr:row>
      <xdr:rowOff>69715</xdr:rowOff>
    </xdr:to>
    <xdr:sp macro="" textlink="Processing!J54">
      <xdr:nvSpPr>
        <xdr:cNvPr id="90" name="TextBox 89">
          <a:extLst>
            <a:ext uri="{FF2B5EF4-FFF2-40B4-BE49-F238E27FC236}">
              <a16:creationId xmlns:a16="http://schemas.microsoft.com/office/drawing/2014/main" id="{E7FFB1FE-0322-4A36-8181-1C017398EC0D}"/>
            </a:ext>
          </a:extLst>
        </xdr:cNvPr>
        <xdr:cNvSpPr txBox="1"/>
      </xdr:nvSpPr>
      <xdr:spPr>
        <a:xfrm>
          <a:off x="11132820" y="4334646"/>
          <a:ext cx="624548" cy="3070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865A43BB-0B2B-41E0-B8E5-3E4D9181C655}" type="TxLink">
            <a:rPr lang="en-US" sz="900" b="0" i="0" u="none" strike="noStrike">
              <a:solidFill>
                <a:schemeClr val="tx2">
                  <a:lumMod val="25000"/>
                  <a:lumOff val="75000"/>
                </a:schemeClr>
              </a:solidFill>
              <a:latin typeface="Aptos Narrow"/>
              <a:ea typeface="+mn-ea"/>
              <a:cs typeface="+mn-cs"/>
            </a:rPr>
            <a:pPr marL="0" indent="0" algn="r"/>
            <a:t>Supermarket</a:t>
          </a:fld>
          <a:endParaRPr lang="ru-RU" sz="900" b="0" i="0" u="none" strike="noStrike">
            <a:solidFill>
              <a:schemeClr val="tx2">
                <a:lumMod val="25000"/>
                <a:lumOff val="75000"/>
              </a:schemeClr>
            </a:solidFill>
            <a:latin typeface="Aptos Narrow"/>
            <a:ea typeface="+mn-ea"/>
            <a:cs typeface="+mn-cs"/>
          </a:endParaRPr>
        </a:p>
      </xdr:txBody>
    </xdr:sp>
    <xdr:clientData/>
  </xdr:twoCellAnchor>
  <xdr:twoCellAnchor>
    <xdr:from>
      <xdr:col>18</xdr:col>
      <xdr:colOff>160020</xdr:colOff>
      <xdr:row>24</xdr:row>
      <xdr:rowOff>149361</xdr:rowOff>
    </xdr:from>
    <xdr:to>
      <xdr:col>19</xdr:col>
      <xdr:colOff>174968</xdr:colOff>
      <xdr:row>26</xdr:row>
      <xdr:rowOff>90670</xdr:rowOff>
    </xdr:to>
    <xdr:sp macro="" textlink="Processing!J55">
      <xdr:nvSpPr>
        <xdr:cNvPr id="91" name="TextBox 90">
          <a:extLst>
            <a:ext uri="{FF2B5EF4-FFF2-40B4-BE49-F238E27FC236}">
              <a16:creationId xmlns:a16="http://schemas.microsoft.com/office/drawing/2014/main" id="{36E42865-D5EA-4343-973B-8C7C5425E02B}"/>
            </a:ext>
          </a:extLst>
        </xdr:cNvPr>
        <xdr:cNvSpPr txBox="1"/>
      </xdr:nvSpPr>
      <xdr:spPr>
        <a:xfrm>
          <a:off x="11132820" y="4538481"/>
          <a:ext cx="624548" cy="3070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4909F3BD-8E57-4CE3-8705-2A4607D50E4A}" type="TxLink">
            <a:rPr lang="en-US" sz="900" b="0" i="0" u="none" strike="noStrike">
              <a:solidFill>
                <a:schemeClr val="tx2">
                  <a:lumMod val="25000"/>
                  <a:lumOff val="75000"/>
                </a:schemeClr>
              </a:solidFill>
              <a:latin typeface="Aptos Narrow"/>
              <a:ea typeface="+mn-ea"/>
              <a:cs typeface="+mn-cs"/>
            </a:rPr>
            <a:pPr marL="0" indent="0" algn="r"/>
            <a:t>Travel</a:t>
          </a:fld>
          <a:endParaRPr lang="ru-RU" sz="900" b="0" i="0" u="none" strike="noStrike">
            <a:solidFill>
              <a:schemeClr val="tx2">
                <a:lumMod val="25000"/>
                <a:lumOff val="75000"/>
              </a:schemeClr>
            </a:solidFill>
            <a:latin typeface="Aptos Narrow"/>
            <a:ea typeface="+mn-ea"/>
            <a:cs typeface="+mn-cs"/>
          </a:endParaRPr>
        </a:p>
      </xdr:txBody>
    </xdr:sp>
    <xdr:clientData/>
  </xdr:twoCellAnchor>
  <xdr:twoCellAnchor>
    <xdr:from>
      <xdr:col>18</xdr:col>
      <xdr:colOff>160020</xdr:colOff>
      <xdr:row>25</xdr:row>
      <xdr:rowOff>170316</xdr:rowOff>
    </xdr:from>
    <xdr:to>
      <xdr:col>19</xdr:col>
      <xdr:colOff>174968</xdr:colOff>
      <xdr:row>27</xdr:row>
      <xdr:rowOff>111625</xdr:rowOff>
    </xdr:to>
    <xdr:sp macro="" textlink="Processing!J56">
      <xdr:nvSpPr>
        <xdr:cNvPr id="92" name="TextBox 91">
          <a:extLst>
            <a:ext uri="{FF2B5EF4-FFF2-40B4-BE49-F238E27FC236}">
              <a16:creationId xmlns:a16="http://schemas.microsoft.com/office/drawing/2014/main" id="{97523C74-ECC8-4AE4-9BA8-AE0FD53F0C70}"/>
            </a:ext>
          </a:extLst>
        </xdr:cNvPr>
        <xdr:cNvSpPr txBox="1"/>
      </xdr:nvSpPr>
      <xdr:spPr>
        <a:xfrm>
          <a:off x="11132820" y="4742316"/>
          <a:ext cx="624548" cy="3070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B88992D7-3A43-4EBA-A439-CCA4F3E78D45}" type="TxLink">
            <a:rPr lang="en-US" sz="900" b="0" i="0" u="none" strike="noStrike">
              <a:solidFill>
                <a:schemeClr val="tx2">
                  <a:lumMod val="25000"/>
                  <a:lumOff val="75000"/>
                </a:schemeClr>
              </a:solidFill>
              <a:latin typeface="Aptos Narrow"/>
              <a:ea typeface="+mn-ea"/>
              <a:cs typeface="+mn-cs"/>
            </a:rPr>
            <a:pPr marL="0" indent="0" algn="r"/>
            <a:t>Workplace</a:t>
          </a:fld>
          <a:endParaRPr lang="ru-RU" sz="900" b="0" i="0" u="none" strike="noStrike">
            <a:solidFill>
              <a:schemeClr val="tx2">
                <a:lumMod val="25000"/>
                <a:lumOff val="75000"/>
              </a:schemeClr>
            </a:solidFill>
            <a:latin typeface="Aptos Narrow"/>
            <a:ea typeface="+mn-ea"/>
            <a:cs typeface="+mn-cs"/>
          </a:endParaRPr>
        </a:p>
      </xdr:txBody>
    </xdr:sp>
    <xdr:clientData/>
  </xdr:twoCellAnchor>
  <xdr:twoCellAnchor>
    <xdr:from>
      <xdr:col>19</xdr:col>
      <xdr:colOff>7620</xdr:colOff>
      <xdr:row>21</xdr:row>
      <xdr:rowOff>86496</xdr:rowOff>
    </xdr:from>
    <xdr:to>
      <xdr:col>20</xdr:col>
      <xdr:colOff>129540</xdr:colOff>
      <xdr:row>23</xdr:row>
      <xdr:rowOff>27805</xdr:rowOff>
    </xdr:to>
    <xdr:sp macro="" textlink="Processing!L52">
      <xdr:nvSpPr>
        <xdr:cNvPr id="93" name="TextBox 92">
          <a:extLst>
            <a:ext uri="{FF2B5EF4-FFF2-40B4-BE49-F238E27FC236}">
              <a16:creationId xmlns:a16="http://schemas.microsoft.com/office/drawing/2014/main" id="{F96ED12D-A314-46C0-8A6D-B56EE39F537C}"/>
            </a:ext>
          </a:extLst>
        </xdr:cNvPr>
        <xdr:cNvSpPr txBox="1"/>
      </xdr:nvSpPr>
      <xdr:spPr>
        <a:xfrm>
          <a:off x="11590020" y="3926976"/>
          <a:ext cx="731520" cy="3070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E8D06E2D-E623-455E-B285-69A004E0449F}" type="TxLink">
            <a:rPr lang="en-US" sz="1100" b="0" i="0" u="none" strike="noStrike">
              <a:solidFill>
                <a:srgbClr val="455177"/>
              </a:solidFill>
              <a:latin typeface="Aptos Narrow"/>
              <a:ea typeface="+mn-ea"/>
              <a:cs typeface="+mn-cs"/>
            </a:rPr>
            <a:pPr marL="0" indent="0" algn="r"/>
            <a:t> </a:t>
          </a:fld>
          <a:endParaRPr lang="ru-RU" sz="1200" b="0" i="0" u="none" strike="noStrike">
            <a:solidFill>
              <a:srgbClr val="455177"/>
            </a:solidFill>
            <a:latin typeface="Aptos Narrow"/>
            <a:ea typeface="+mn-ea"/>
            <a:cs typeface="+mn-cs"/>
          </a:endParaRPr>
        </a:p>
      </xdr:txBody>
    </xdr:sp>
    <xdr:clientData/>
  </xdr:twoCellAnchor>
  <xdr:twoCellAnchor>
    <xdr:from>
      <xdr:col>19</xdr:col>
      <xdr:colOff>7620</xdr:colOff>
      <xdr:row>22</xdr:row>
      <xdr:rowOff>107451</xdr:rowOff>
    </xdr:from>
    <xdr:to>
      <xdr:col>20</xdr:col>
      <xdr:colOff>129540</xdr:colOff>
      <xdr:row>24</xdr:row>
      <xdr:rowOff>48760</xdr:rowOff>
    </xdr:to>
    <xdr:sp macro="" textlink="Processing!L53">
      <xdr:nvSpPr>
        <xdr:cNvPr id="94" name="TextBox 93">
          <a:extLst>
            <a:ext uri="{FF2B5EF4-FFF2-40B4-BE49-F238E27FC236}">
              <a16:creationId xmlns:a16="http://schemas.microsoft.com/office/drawing/2014/main" id="{86F68772-2D62-4B6B-9F8B-B260954A21E2}"/>
            </a:ext>
          </a:extLst>
        </xdr:cNvPr>
        <xdr:cNvSpPr txBox="1"/>
      </xdr:nvSpPr>
      <xdr:spPr>
        <a:xfrm>
          <a:off x="11590020" y="4130811"/>
          <a:ext cx="731520" cy="3070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C31F7595-13D0-4B08-A6FB-80826FDF828B}" type="TxLink">
            <a:rPr lang="en-US" sz="1100" b="0" i="0" u="none" strike="noStrike">
              <a:solidFill>
                <a:srgbClr val="455177"/>
              </a:solidFill>
              <a:latin typeface="Aptos Narrow"/>
              <a:ea typeface="+mn-ea"/>
              <a:cs typeface="+mn-cs"/>
            </a:rPr>
            <a:pPr marL="0" indent="0" algn="r"/>
            <a:t>$ 1 595</a:t>
          </a:fld>
          <a:endParaRPr lang="ru-RU" sz="1200" b="0" i="0" u="none" strike="noStrike">
            <a:solidFill>
              <a:srgbClr val="455177"/>
            </a:solidFill>
            <a:latin typeface="Aptos Narrow"/>
            <a:ea typeface="+mn-ea"/>
            <a:cs typeface="+mn-cs"/>
          </a:endParaRPr>
        </a:p>
      </xdr:txBody>
    </xdr:sp>
    <xdr:clientData/>
  </xdr:twoCellAnchor>
  <xdr:twoCellAnchor>
    <xdr:from>
      <xdr:col>19</xdr:col>
      <xdr:colOff>7620</xdr:colOff>
      <xdr:row>23</xdr:row>
      <xdr:rowOff>128406</xdr:rowOff>
    </xdr:from>
    <xdr:to>
      <xdr:col>20</xdr:col>
      <xdr:colOff>129540</xdr:colOff>
      <xdr:row>25</xdr:row>
      <xdr:rowOff>69715</xdr:rowOff>
    </xdr:to>
    <xdr:sp macro="" textlink="Processing!L54">
      <xdr:nvSpPr>
        <xdr:cNvPr id="95" name="TextBox 94">
          <a:extLst>
            <a:ext uri="{FF2B5EF4-FFF2-40B4-BE49-F238E27FC236}">
              <a16:creationId xmlns:a16="http://schemas.microsoft.com/office/drawing/2014/main" id="{FB00A504-1CC9-4E9B-ACFB-7B8EF7CD6230}"/>
            </a:ext>
          </a:extLst>
        </xdr:cNvPr>
        <xdr:cNvSpPr txBox="1"/>
      </xdr:nvSpPr>
      <xdr:spPr>
        <a:xfrm>
          <a:off x="11590020" y="4334646"/>
          <a:ext cx="731520" cy="3070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980508DA-6EC0-4801-BD8E-52996BCE09B2}" type="TxLink">
            <a:rPr lang="en-US" sz="1100" b="0" i="0" u="none" strike="noStrike">
              <a:solidFill>
                <a:srgbClr val="455177"/>
              </a:solidFill>
              <a:latin typeface="Aptos Narrow"/>
              <a:ea typeface="+mn-ea"/>
              <a:cs typeface="+mn-cs"/>
            </a:rPr>
            <a:pPr marL="0" indent="0" algn="r"/>
            <a:t>$ 2 487</a:t>
          </a:fld>
          <a:endParaRPr lang="ru-RU" sz="1200" b="0" i="0" u="none" strike="noStrike">
            <a:solidFill>
              <a:srgbClr val="455177"/>
            </a:solidFill>
            <a:latin typeface="Aptos Narrow"/>
            <a:ea typeface="+mn-ea"/>
            <a:cs typeface="+mn-cs"/>
          </a:endParaRPr>
        </a:p>
      </xdr:txBody>
    </xdr:sp>
    <xdr:clientData/>
  </xdr:twoCellAnchor>
  <xdr:twoCellAnchor>
    <xdr:from>
      <xdr:col>19</xdr:col>
      <xdr:colOff>7620</xdr:colOff>
      <xdr:row>24</xdr:row>
      <xdr:rowOff>149361</xdr:rowOff>
    </xdr:from>
    <xdr:to>
      <xdr:col>20</xdr:col>
      <xdr:colOff>129540</xdr:colOff>
      <xdr:row>26</xdr:row>
      <xdr:rowOff>90670</xdr:rowOff>
    </xdr:to>
    <xdr:sp macro="" textlink="Processing!L55">
      <xdr:nvSpPr>
        <xdr:cNvPr id="96" name="TextBox 95">
          <a:extLst>
            <a:ext uri="{FF2B5EF4-FFF2-40B4-BE49-F238E27FC236}">
              <a16:creationId xmlns:a16="http://schemas.microsoft.com/office/drawing/2014/main" id="{067ABA27-3A3A-4CCF-A3B9-1B9D633569D5}"/>
            </a:ext>
          </a:extLst>
        </xdr:cNvPr>
        <xdr:cNvSpPr txBox="1"/>
      </xdr:nvSpPr>
      <xdr:spPr>
        <a:xfrm>
          <a:off x="11590020" y="4538481"/>
          <a:ext cx="731520" cy="3070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29575E48-B6AA-4840-B061-BD362C260C53}" type="TxLink">
            <a:rPr lang="en-US" sz="1100" b="0" i="0" u="none" strike="noStrike">
              <a:solidFill>
                <a:srgbClr val="455177"/>
              </a:solidFill>
              <a:latin typeface="Aptos Narrow"/>
              <a:ea typeface="+mn-ea"/>
              <a:cs typeface="+mn-cs"/>
            </a:rPr>
            <a:pPr marL="0" indent="0" algn="r"/>
            <a:t>$ 1 847</a:t>
          </a:fld>
          <a:endParaRPr lang="ru-RU" sz="1200" b="0" i="0" u="none" strike="noStrike">
            <a:solidFill>
              <a:srgbClr val="455177"/>
            </a:solidFill>
            <a:latin typeface="Aptos Narrow"/>
            <a:ea typeface="+mn-ea"/>
            <a:cs typeface="+mn-cs"/>
          </a:endParaRPr>
        </a:p>
      </xdr:txBody>
    </xdr:sp>
    <xdr:clientData/>
  </xdr:twoCellAnchor>
  <xdr:twoCellAnchor>
    <xdr:from>
      <xdr:col>19</xdr:col>
      <xdr:colOff>7620</xdr:colOff>
      <xdr:row>25</xdr:row>
      <xdr:rowOff>170316</xdr:rowOff>
    </xdr:from>
    <xdr:to>
      <xdr:col>20</xdr:col>
      <xdr:colOff>129540</xdr:colOff>
      <xdr:row>27</xdr:row>
      <xdr:rowOff>111625</xdr:rowOff>
    </xdr:to>
    <xdr:sp macro="" textlink="Processing!L56">
      <xdr:nvSpPr>
        <xdr:cNvPr id="97" name="TextBox 96">
          <a:extLst>
            <a:ext uri="{FF2B5EF4-FFF2-40B4-BE49-F238E27FC236}">
              <a16:creationId xmlns:a16="http://schemas.microsoft.com/office/drawing/2014/main" id="{1A0C34B5-4077-466C-AE0B-851629564422}"/>
            </a:ext>
          </a:extLst>
        </xdr:cNvPr>
        <xdr:cNvSpPr txBox="1"/>
      </xdr:nvSpPr>
      <xdr:spPr>
        <a:xfrm>
          <a:off x="11590020" y="4742316"/>
          <a:ext cx="731520" cy="3070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23C7C882-6390-47B8-B18E-E9B7DEDBCE82}" type="TxLink">
            <a:rPr lang="en-US" sz="1100" b="0" i="0" u="none" strike="noStrike">
              <a:solidFill>
                <a:srgbClr val="455177"/>
              </a:solidFill>
              <a:latin typeface="Aptos Narrow"/>
              <a:ea typeface="+mn-ea"/>
              <a:cs typeface="+mn-cs"/>
            </a:rPr>
            <a:pPr marL="0" indent="0" algn="r"/>
            <a:t> </a:t>
          </a:fld>
          <a:endParaRPr lang="ru-RU" sz="1200" b="0" i="0" u="none" strike="noStrike">
            <a:solidFill>
              <a:srgbClr val="455177"/>
            </a:solidFill>
            <a:latin typeface="Aptos Narrow"/>
            <a:ea typeface="+mn-ea"/>
            <a:cs typeface="+mn-cs"/>
          </a:endParaRPr>
        </a:p>
      </xdr:txBody>
    </xdr:sp>
    <xdr:clientData/>
  </xdr:twoCellAnchor>
  <xdr:twoCellAnchor>
    <xdr:from>
      <xdr:col>18</xdr:col>
      <xdr:colOff>161071</xdr:colOff>
      <xdr:row>21</xdr:row>
      <xdr:rowOff>86496</xdr:rowOff>
    </xdr:from>
    <xdr:to>
      <xdr:col>19</xdr:col>
      <xdr:colOff>176019</xdr:colOff>
      <xdr:row>23</xdr:row>
      <xdr:rowOff>27805</xdr:rowOff>
    </xdr:to>
    <xdr:sp macro="" textlink="Processing!N52">
      <xdr:nvSpPr>
        <xdr:cNvPr id="98" name="TextBox 97">
          <a:extLst>
            <a:ext uri="{FF2B5EF4-FFF2-40B4-BE49-F238E27FC236}">
              <a16:creationId xmlns:a16="http://schemas.microsoft.com/office/drawing/2014/main" id="{3A75EE86-6A60-49BB-8170-AF202C55204F}"/>
            </a:ext>
          </a:extLst>
        </xdr:cNvPr>
        <xdr:cNvSpPr txBox="1"/>
      </xdr:nvSpPr>
      <xdr:spPr>
        <a:xfrm>
          <a:off x="11133871" y="3926976"/>
          <a:ext cx="624548" cy="3070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64FF71CC-0C1D-4566-9F10-295BA18D0EE5}" type="TxLink">
            <a:rPr lang="en-US" sz="900" b="0" i="0" u="none" strike="noStrike">
              <a:solidFill>
                <a:srgbClr val="00ADD6"/>
              </a:solidFill>
              <a:latin typeface="Aptos Narrow"/>
              <a:ea typeface="+mn-ea"/>
              <a:cs typeface="+mn-cs"/>
            </a:rPr>
            <a:pPr marL="0" indent="0" algn="r"/>
            <a:t> </a:t>
          </a:fld>
          <a:endParaRPr lang="ru-RU" sz="900" b="0" i="0" u="none" strike="noStrike">
            <a:solidFill>
              <a:srgbClr val="00ADD6"/>
            </a:solidFill>
            <a:latin typeface="Aptos Narrow"/>
            <a:ea typeface="+mn-ea"/>
            <a:cs typeface="+mn-cs"/>
          </a:endParaRPr>
        </a:p>
      </xdr:txBody>
    </xdr:sp>
    <xdr:clientData/>
  </xdr:twoCellAnchor>
  <xdr:twoCellAnchor>
    <xdr:from>
      <xdr:col>18</xdr:col>
      <xdr:colOff>161071</xdr:colOff>
      <xdr:row>22</xdr:row>
      <xdr:rowOff>107451</xdr:rowOff>
    </xdr:from>
    <xdr:to>
      <xdr:col>19</xdr:col>
      <xdr:colOff>176019</xdr:colOff>
      <xdr:row>24</xdr:row>
      <xdr:rowOff>48760</xdr:rowOff>
    </xdr:to>
    <xdr:sp macro="" textlink="Processing!N53">
      <xdr:nvSpPr>
        <xdr:cNvPr id="99" name="TextBox 98">
          <a:extLst>
            <a:ext uri="{FF2B5EF4-FFF2-40B4-BE49-F238E27FC236}">
              <a16:creationId xmlns:a16="http://schemas.microsoft.com/office/drawing/2014/main" id="{EB0D380F-5BFC-4C5A-8424-08D2F7D8E2C1}"/>
            </a:ext>
          </a:extLst>
        </xdr:cNvPr>
        <xdr:cNvSpPr txBox="1"/>
      </xdr:nvSpPr>
      <xdr:spPr>
        <a:xfrm>
          <a:off x="11133871" y="4130811"/>
          <a:ext cx="624548" cy="3070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E090B3CB-C687-47A3-9F6F-7A44C6FCCA74}" type="TxLink">
            <a:rPr lang="en-US" sz="900" b="0" i="0" u="none" strike="noStrike">
              <a:solidFill>
                <a:srgbClr val="3879F2"/>
              </a:solidFill>
              <a:latin typeface="Aptos Narrow"/>
              <a:ea typeface="+mn-ea"/>
              <a:cs typeface="+mn-cs"/>
            </a:rPr>
            <a:pPr marL="0" indent="0" algn="r"/>
            <a:t>FoodCourt</a:t>
          </a:fld>
          <a:endParaRPr lang="ru-RU" sz="900" b="0" i="0" u="none" strike="noStrike">
            <a:solidFill>
              <a:srgbClr val="3879F2"/>
            </a:solidFill>
            <a:latin typeface="Aptos Narrow"/>
            <a:ea typeface="+mn-ea"/>
            <a:cs typeface="+mn-cs"/>
          </a:endParaRPr>
        </a:p>
      </xdr:txBody>
    </xdr:sp>
    <xdr:clientData/>
  </xdr:twoCellAnchor>
  <xdr:twoCellAnchor>
    <xdr:from>
      <xdr:col>18</xdr:col>
      <xdr:colOff>161071</xdr:colOff>
      <xdr:row>23</xdr:row>
      <xdr:rowOff>128406</xdr:rowOff>
    </xdr:from>
    <xdr:to>
      <xdr:col>19</xdr:col>
      <xdr:colOff>176019</xdr:colOff>
      <xdr:row>25</xdr:row>
      <xdr:rowOff>69715</xdr:rowOff>
    </xdr:to>
    <xdr:sp macro="" textlink="Processing!N54">
      <xdr:nvSpPr>
        <xdr:cNvPr id="100" name="TextBox 99">
          <a:extLst>
            <a:ext uri="{FF2B5EF4-FFF2-40B4-BE49-F238E27FC236}">
              <a16:creationId xmlns:a16="http://schemas.microsoft.com/office/drawing/2014/main" id="{10BC27DF-0355-4B1A-9BC5-4F88CF2396EE}"/>
            </a:ext>
          </a:extLst>
        </xdr:cNvPr>
        <xdr:cNvSpPr txBox="1"/>
      </xdr:nvSpPr>
      <xdr:spPr>
        <a:xfrm>
          <a:off x="11133871" y="4334646"/>
          <a:ext cx="624548" cy="3070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05858AF6-F044-4235-AAE4-579A6FDD0660}" type="TxLink">
            <a:rPr lang="en-US" sz="900" b="0" i="0" u="none" strike="noStrike">
              <a:solidFill>
                <a:srgbClr val="FF7684"/>
              </a:solidFill>
              <a:latin typeface="Aptos Narrow"/>
              <a:ea typeface="+mn-ea"/>
              <a:cs typeface="+mn-cs"/>
            </a:rPr>
            <a:pPr marL="0" indent="0" algn="r"/>
            <a:t>Supermarket</a:t>
          </a:fld>
          <a:endParaRPr lang="ru-RU" sz="900" b="0" i="0" u="none" strike="noStrike">
            <a:solidFill>
              <a:srgbClr val="FF7684"/>
            </a:solidFill>
            <a:latin typeface="Aptos Narrow"/>
            <a:ea typeface="+mn-ea"/>
            <a:cs typeface="+mn-cs"/>
          </a:endParaRPr>
        </a:p>
      </xdr:txBody>
    </xdr:sp>
    <xdr:clientData/>
  </xdr:twoCellAnchor>
  <xdr:twoCellAnchor>
    <xdr:from>
      <xdr:col>18</xdr:col>
      <xdr:colOff>161071</xdr:colOff>
      <xdr:row>24</xdr:row>
      <xdr:rowOff>149361</xdr:rowOff>
    </xdr:from>
    <xdr:to>
      <xdr:col>19</xdr:col>
      <xdr:colOff>176019</xdr:colOff>
      <xdr:row>26</xdr:row>
      <xdr:rowOff>90670</xdr:rowOff>
    </xdr:to>
    <xdr:sp macro="" textlink="Processing!N55">
      <xdr:nvSpPr>
        <xdr:cNvPr id="101" name="TextBox 100">
          <a:extLst>
            <a:ext uri="{FF2B5EF4-FFF2-40B4-BE49-F238E27FC236}">
              <a16:creationId xmlns:a16="http://schemas.microsoft.com/office/drawing/2014/main" id="{D9C1D302-E2D3-4533-8DFF-C9A9C7ECFE9B}"/>
            </a:ext>
          </a:extLst>
        </xdr:cNvPr>
        <xdr:cNvSpPr txBox="1"/>
      </xdr:nvSpPr>
      <xdr:spPr>
        <a:xfrm>
          <a:off x="11133871" y="4538481"/>
          <a:ext cx="624548" cy="3070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7D3F27C5-C1EF-47D8-B770-68F89C2AE693}" type="TxLink">
            <a:rPr lang="en-US" sz="900" b="0" i="0" u="none" strike="noStrike">
              <a:solidFill>
                <a:srgbClr val="28BEBA"/>
              </a:solidFill>
              <a:latin typeface="Aptos Narrow"/>
              <a:ea typeface="+mn-ea"/>
              <a:cs typeface="+mn-cs"/>
            </a:rPr>
            <a:pPr marL="0" indent="0" algn="r"/>
            <a:t>Travel</a:t>
          </a:fld>
          <a:endParaRPr lang="ru-RU" sz="900" b="0" i="0" u="none" strike="noStrike">
            <a:solidFill>
              <a:srgbClr val="28BEBA"/>
            </a:solidFill>
            <a:latin typeface="Aptos Narrow"/>
            <a:ea typeface="+mn-ea"/>
            <a:cs typeface="+mn-cs"/>
          </a:endParaRPr>
        </a:p>
      </xdr:txBody>
    </xdr:sp>
    <xdr:clientData/>
  </xdr:twoCellAnchor>
  <xdr:twoCellAnchor>
    <xdr:from>
      <xdr:col>18</xdr:col>
      <xdr:colOff>161071</xdr:colOff>
      <xdr:row>25</xdr:row>
      <xdr:rowOff>170316</xdr:rowOff>
    </xdr:from>
    <xdr:to>
      <xdr:col>19</xdr:col>
      <xdr:colOff>176019</xdr:colOff>
      <xdr:row>27</xdr:row>
      <xdr:rowOff>111625</xdr:rowOff>
    </xdr:to>
    <xdr:sp macro="" textlink="Processing!N56">
      <xdr:nvSpPr>
        <xdr:cNvPr id="102" name="TextBox 101">
          <a:extLst>
            <a:ext uri="{FF2B5EF4-FFF2-40B4-BE49-F238E27FC236}">
              <a16:creationId xmlns:a16="http://schemas.microsoft.com/office/drawing/2014/main" id="{5F64BA12-FA9C-4037-A000-348730E3304C}"/>
            </a:ext>
          </a:extLst>
        </xdr:cNvPr>
        <xdr:cNvSpPr txBox="1"/>
      </xdr:nvSpPr>
      <xdr:spPr>
        <a:xfrm>
          <a:off x="11133871" y="4742316"/>
          <a:ext cx="624548" cy="3070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E3830319-55BC-4697-8B4B-4297A7C0F8A7}" type="TxLink">
            <a:rPr lang="en-US" sz="900" b="0" i="0" u="none" strike="noStrike">
              <a:solidFill>
                <a:srgbClr val="6978B4"/>
              </a:solidFill>
              <a:latin typeface="Aptos Narrow"/>
              <a:ea typeface="+mn-ea"/>
              <a:cs typeface="+mn-cs"/>
            </a:rPr>
            <a:pPr marL="0" indent="0" algn="r"/>
            <a:t> </a:t>
          </a:fld>
          <a:endParaRPr lang="ru-RU" sz="900" b="0" i="0" u="none" strike="noStrike">
            <a:solidFill>
              <a:srgbClr val="6978B4"/>
            </a:solidFill>
            <a:latin typeface="Aptos Narrow"/>
            <a:ea typeface="+mn-ea"/>
            <a:cs typeface="+mn-cs"/>
          </a:endParaRPr>
        </a:p>
      </xdr:txBody>
    </xdr:sp>
    <xdr:clientData/>
  </xdr:twoCellAnchor>
  <xdr:twoCellAnchor editAs="oneCell">
    <xdr:from>
      <xdr:col>1</xdr:col>
      <xdr:colOff>0</xdr:colOff>
      <xdr:row>1</xdr:row>
      <xdr:rowOff>0</xdr:rowOff>
    </xdr:from>
    <xdr:to>
      <xdr:col>1</xdr:col>
      <xdr:colOff>274320</xdr:colOff>
      <xdr:row>2</xdr:row>
      <xdr:rowOff>91440</xdr:rowOff>
    </xdr:to>
    <xdr:pic>
      <xdr:nvPicPr>
        <xdr:cNvPr id="104" name="Graphic 103" descr="Sun with solid fill">
          <a:extLst>
            <a:ext uri="{FF2B5EF4-FFF2-40B4-BE49-F238E27FC236}">
              <a16:creationId xmlns:a16="http://schemas.microsoft.com/office/drawing/2014/main" id="{9CE6632F-835C-43C0-82C1-1D203D23506B}"/>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609600" y="182880"/>
          <a:ext cx="274320" cy="274320"/>
        </a:xfrm>
        <a:prstGeom prst="rect">
          <a:avLst/>
        </a:prstGeom>
      </xdr:spPr>
    </xdr:pic>
    <xdr:clientData/>
  </xdr:twoCellAnchor>
  <xdr:twoCellAnchor editAs="oneCell">
    <xdr:from>
      <xdr:col>1</xdr:col>
      <xdr:colOff>419100</xdr:colOff>
      <xdr:row>1</xdr:row>
      <xdr:rowOff>0</xdr:rowOff>
    </xdr:from>
    <xdr:to>
      <xdr:col>2</xdr:col>
      <xdr:colOff>83820</xdr:colOff>
      <xdr:row>2</xdr:row>
      <xdr:rowOff>91440</xdr:rowOff>
    </xdr:to>
    <xdr:pic>
      <xdr:nvPicPr>
        <xdr:cNvPr id="105" name="Graphic 104" descr="Moon with solid fill">
          <a:hlinkClick xmlns:r="http://schemas.openxmlformats.org/officeDocument/2006/relationships" r:id="rId13"/>
          <a:extLst>
            <a:ext uri="{FF2B5EF4-FFF2-40B4-BE49-F238E27FC236}">
              <a16:creationId xmlns:a16="http://schemas.microsoft.com/office/drawing/2014/main" id="{26417130-1788-42E8-9E29-7C5E5C6CEE5E}"/>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1028700" y="182880"/>
          <a:ext cx="274320" cy="274320"/>
        </a:xfrm>
        <a:prstGeom prst="rect">
          <a:avLst/>
        </a:prstGeom>
      </xdr:spPr>
    </xdr:pic>
    <xdr:clientData/>
  </xdr:twoCellAnchor>
  <xdr:twoCellAnchor>
    <xdr:from>
      <xdr:col>3</xdr:col>
      <xdr:colOff>403860</xdr:colOff>
      <xdr:row>26</xdr:row>
      <xdr:rowOff>121920</xdr:rowOff>
    </xdr:from>
    <xdr:to>
      <xdr:col>12</xdr:col>
      <xdr:colOff>99060</xdr:colOff>
      <xdr:row>35</xdr:row>
      <xdr:rowOff>15240</xdr:rowOff>
    </xdr:to>
    <xdr:sp macro="" textlink="">
      <xdr:nvSpPr>
        <xdr:cNvPr id="106" name="Rectangle: Rounded Corners 105">
          <a:hlinkClick xmlns:r="http://schemas.openxmlformats.org/officeDocument/2006/relationships" r:id="rId16"/>
          <a:extLst>
            <a:ext uri="{FF2B5EF4-FFF2-40B4-BE49-F238E27FC236}">
              <a16:creationId xmlns:a16="http://schemas.microsoft.com/office/drawing/2014/main" id="{94FE49A9-8AB1-4D9A-BC56-1C7F43DB5CDA}"/>
            </a:ext>
          </a:extLst>
        </xdr:cNvPr>
        <xdr:cNvSpPr/>
      </xdr:nvSpPr>
      <xdr:spPr>
        <a:xfrm>
          <a:off x="2232660" y="4876800"/>
          <a:ext cx="5181600" cy="153924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3</xdr:col>
      <xdr:colOff>403860</xdr:colOff>
      <xdr:row>12</xdr:row>
      <xdr:rowOff>114300</xdr:rowOff>
    </xdr:from>
    <xdr:to>
      <xdr:col>12</xdr:col>
      <xdr:colOff>99060</xdr:colOff>
      <xdr:row>25</xdr:row>
      <xdr:rowOff>121920</xdr:rowOff>
    </xdr:to>
    <xdr:sp macro="" textlink="">
      <xdr:nvSpPr>
        <xdr:cNvPr id="107" name="Rectangle: Rounded Corners 106">
          <a:hlinkClick xmlns:r="http://schemas.openxmlformats.org/officeDocument/2006/relationships" r:id="rId17"/>
          <a:extLst>
            <a:ext uri="{FF2B5EF4-FFF2-40B4-BE49-F238E27FC236}">
              <a16:creationId xmlns:a16="http://schemas.microsoft.com/office/drawing/2014/main" id="{8EC32B46-76A4-4422-AC3B-36F9820E7968}"/>
            </a:ext>
          </a:extLst>
        </xdr:cNvPr>
        <xdr:cNvSpPr/>
      </xdr:nvSpPr>
      <xdr:spPr>
        <a:xfrm>
          <a:off x="2232660" y="2308860"/>
          <a:ext cx="5181600" cy="238506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editAs="oneCell">
    <xdr:from>
      <xdr:col>0</xdr:col>
      <xdr:colOff>76200</xdr:colOff>
      <xdr:row>1</xdr:row>
      <xdr:rowOff>0</xdr:rowOff>
    </xdr:from>
    <xdr:to>
      <xdr:col>0</xdr:col>
      <xdr:colOff>350520</xdr:colOff>
      <xdr:row>2</xdr:row>
      <xdr:rowOff>91440</xdr:rowOff>
    </xdr:to>
    <xdr:pic>
      <xdr:nvPicPr>
        <xdr:cNvPr id="109" name="Graphic 108" descr="Home with solid fill">
          <a:hlinkClick xmlns:r="http://schemas.openxmlformats.org/officeDocument/2006/relationships" r:id="rId18"/>
          <a:extLst>
            <a:ext uri="{FF2B5EF4-FFF2-40B4-BE49-F238E27FC236}">
              <a16:creationId xmlns:a16="http://schemas.microsoft.com/office/drawing/2014/main" id="{4EBC6CF0-254A-43F0-A3DC-B4046C9D45FD}"/>
            </a:ext>
          </a:extLst>
        </xdr:cNvPr>
        <xdr:cNvPicPr>
          <a:picLocks noChangeAspect="1"/>
        </xdr:cNvPicPr>
      </xdr:nvPicPr>
      <xdr:blipFill>
        <a:blip xmlns:r="http://schemas.openxmlformats.org/officeDocument/2006/relationships" r:embed="rId19">
          <a:extLst>
            <a:ext uri="{96DAC541-7B7A-43D3-8B79-37D633B846F1}">
              <asvg:svgBlip xmlns:asvg="http://schemas.microsoft.com/office/drawing/2016/SVG/main" r:embed="rId20"/>
            </a:ext>
          </a:extLst>
        </a:blip>
        <a:stretch>
          <a:fillRect/>
        </a:stretch>
      </xdr:blipFill>
      <xdr:spPr>
        <a:xfrm>
          <a:off x="76200" y="182880"/>
          <a:ext cx="274320" cy="27432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19</xdr:col>
      <xdr:colOff>53340</xdr:colOff>
      <xdr:row>0</xdr:row>
      <xdr:rowOff>68580</xdr:rowOff>
    </xdr:from>
    <xdr:to>
      <xdr:col>19</xdr:col>
      <xdr:colOff>231648</xdr:colOff>
      <xdr:row>0</xdr:row>
      <xdr:rowOff>137160</xdr:rowOff>
    </xdr:to>
    <xdr:sp macro="" textlink="">
      <xdr:nvSpPr>
        <xdr:cNvPr id="2" name="Freeform: Shape 1">
          <a:extLst>
            <a:ext uri="{FF2B5EF4-FFF2-40B4-BE49-F238E27FC236}">
              <a16:creationId xmlns:a16="http://schemas.microsoft.com/office/drawing/2014/main" id="{6DE93653-5513-4B45-92F1-69ECD33AFAAA}"/>
            </a:ext>
          </a:extLst>
        </xdr:cNvPr>
        <xdr:cNvSpPr/>
      </xdr:nvSpPr>
      <xdr:spPr>
        <a:xfrm rot="10800000">
          <a:off x="7368540" y="68580"/>
          <a:ext cx="178308" cy="68580"/>
        </a:xfrm>
        <a:custGeom>
          <a:avLst/>
          <a:gdLst>
            <a:gd name="connsiteX0" fmla="*/ 171842 w 345538"/>
            <a:gd name="connsiteY0" fmla="*/ 0 h 121923"/>
            <a:gd name="connsiteX1" fmla="*/ 345538 w 345538"/>
            <a:gd name="connsiteY1" fmla="*/ 60961 h 121923"/>
            <a:gd name="connsiteX2" fmla="*/ 171842 w 345538"/>
            <a:gd name="connsiteY2" fmla="*/ 121923 h 121923"/>
            <a:gd name="connsiteX3" fmla="*/ 199089 w 345538"/>
            <a:gd name="connsiteY3" fmla="*/ 77507 h 121923"/>
            <a:gd name="connsiteX4" fmla="*/ 0 w 345538"/>
            <a:gd name="connsiteY4" fmla="*/ 76814 h 121923"/>
            <a:gd name="connsiteX5" fmla="*/ 0 w 345538"/>
            <a:gd name="connsiteY5" fmla="*/ 43955 h 121923"/>
            <a:gd name="connsiteX6" fmla="*/ 199089 w 345538"/>
            <a:gd name="connsiteY6" fmla="*/ 44632 h 121923"/>
            <a:gd name="connsiteX7" fmla="*/ 171842 w 345538"/>
            <a:gd name="connsiteY7" fmla="*/ 0 h 121923"/>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Lst>
          <a:rect l="l" t="t" r="r" b="b"/>
          <a:pathLst>
            <a:path w="345538" h="121923">
              <a:moveTo>
                <a:pt x="171842" y="0"/>
              </a:moveTo>
              <a:lnTo>
                <a:pt x="345538" y="60961"/>
              </a:lnTo>
              <a:lnTo>
                <a:pt x="171842" y="121923"/>
              </a:lnTo>
              <a:lnTo>
                <a:pt x="199089" y="77507"/>
              </a:lnTo>
              <a:lnTo>
                <a:pt x="0" y="76814"/>
              </a:lnTo>
              <a:lnTo>
                <a:pt x="0" y="43955"/>
              </a:lnTo>
              <a:lnTo>
                <a:pt x="199089" y="44632"/>
              </a:lnTo>
              <a:lnTo>
                <a:pt x="171842" y="0"/>
              </a:lnTo>
              <a:close/>
            </a:path>
          </a:pathLst>
        </a:custGeom>
        <a:solidFill>
          <a:srgbClr val="0099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clientData/>
  </xdr:twoCellAnchor>
  <xdr:twoCellAnchor>
    <xdr:from>
      <xdr:col>19</xdr:col>
      <xdr:colOff>53340</xdr:colOff>
      <xdr:row>1</xdr:row>
      <xdr:rowOff>68580</xdr:rowOff>
    </xdr:from>
    <xdr:to>
      <xdr:col>19</xdr:col>
      <xdr:colOff>231648</xdr:colOff>
      <xdr:row>1</xdr:row>
      <xdr:rowOff>137160</xdr:rowOff>
    </xdr:to>
    <xdr:sp macro="" textlink="">
      <xdr:nvSpPr>
        <xdr:cNvPr id="3" name="Freeform: Shape 2">
          <a:extLst>
            <a:ext uri="{FF2B5EF4-FFF2-40B4-BE49-F238E27FC236}">
              <a16:creationId xmlns:a16="http://schemas.microsoft.com/office/drawing/2014/main" id="{AA36CB6B-1F16-4273-A7E9-4BBCFC882772}"/>
            </a:ext>
          </a:extLst>
        </xdr:cNvPr>
        <xdr:cNvSpPr/>
      </xdr:nvSpPr>
      <xdr:spPr>
        <a:xfrm rot="10800000">
          <a:off x="7368540" y="251460"/>
          <a:ext cx="178308" cy="68580"/>
        </a:xfrm>
        <a:custGeom>
          <a:avLst/>
          <a:gdLst>
            <a:gd name="connsiteX0" fmla="*/ 171842 w 345538"/>
            <a:gd name="connsiteY0" fmla="*/ 0 h 121923"/>
            <a:gd name="connsiteX1" fmla="*/ 345538 w 345538"/>
            <a:gd name="connsiteY1" fmla="*/ 60961 h 121923"/>
            <a:gd name="connsiteX2" fmla="*/ 171842 w 345538"/>
            <a:gd name="connsiteY2" fmla="*/ 121923 h 121923"/>
            <a:gd name="connsiteX3" fmla="*/ 199089 w 345538"/>
            <a:gd name="connsiteY3" fmla="*/ 77507 h 121923"/>
            <a:gd name="connsiteX4" fmla="*/ 0 w 345538"/>
            <a:gd name="connsiteY4" fmla="*/ 76814 h 121923"/>
            <a:gd name="connsiteX5" fmla="*/ 0 w 345538"/>
            <a:gd name="connsiteY5" fmla="*/ 43955 h 121923"/>
            <a:gd name="connsiteX6" fmla="*/ 199089 w 345538"/>
            <a:gd name="connsiteY6" fmla="*/ 44632 h 121923"/>
            <a:gd name="connsiteX7" fmla="*/ 171842 w 345538"/>
            <a:gd name="connsiteY7" fmla="*/ 0 h 121923"/>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Lst>
          <a:rect l="l" t="t" r="r" b="b"/>
          <a:pathLst>
            <a:path w="345538" h="121923">
              <a:moveTo>
                <a:pt x="171842" y="0"/>
              </a:moveTo>
              <a:lnTo>
                <a:pt x="345538" y="60961"/>
              </a:lnTo>
              <a:lnTo>
                <a:pt x="171842" y="121923"/>
              </a:lnTo>
              <a:lnTo>
                <a:pt x="199089" y="77507"/>
              </a:lnTo>
              <a:lnTo>
                <a:pt x="0" y="76814"/>
              </a:lnTo>
              <a:lnTo>
                <a:pt x="0" y="43955"/>
              </a:lnTo>
              <a:lnTo>
                <a:pt x="199089" y="44632"/>
              </a:lnTo>
              <a:lnTo>
                <a:pt x="171842" y="0"/>
              </a:lnTo>
              <a:close/>
            </a:path>
          </a:pathLst>
        </a:custGeom>
        <a:solidFill>
          <a:srgbClr val="0099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clientData/>
  </xdr:twoCellAnchor>
  <xdr:twoCellAnchor>
    <xdr:from>
      <xdr:col>19</xdr:col>
      <xdr:colOff>53340</xdr:colOff>
      <xdr:row>2</xdr:row>
      <xdr:rowOff>68580</xdr:rowOff>
    </xdr:from>
    <xdr:to>
      <xdr:col>19</xdr:col>
      <xdr:colOff>231648</xdr:colOff>
      <xdr:row>2</xdr:row>
      <xdr:rowOff>137160</xdr:rowOff>
    </xdr:to>
    <xdr:sp macro="" textlink="">
      <xdr:nvSpPr>
        <xdr:cNvPr id="4" name="Freeform: Shape 3">
          <a:extLst>
            <a:ext uri="{FF2B5EF4-FFF2-40B4-BE49-F238E27FC236}">
              <a16:creationId xmlns:a16="http://schemas.microsoft.com/office/drawing/2014/main" id="{32E0D8E1-8054-4939-A9D2-A9F67D2ADF26}"/>
            </a:ext>
          </a:extLst>
        </xdr:cNvPr>
        <xdr:cNvSpPr/>
      </xdr:nvSpPr>
      <xdr:spPr>
        <a:xfrm rot="10800000">
          <a:off x="7368540" y="434340"/>
          <a:ext cx="178308" cy="68580"/>
        </a:xfrm>
        <a:custGeom>
          <a:avLst/>
          <a:gdLst>
            <a:gd name="connsiteX0" fmla="*/ 171842 w 345538"/>
            <a:gd name="connsiteY0" fmla="*/ 0 h 121923"/>
            <a:gd name="connsiteX1" fmla="*/ 345538 w 345538"/>
            <a:gd name="connsiteY1" fmla="*/ 60961 h 121923"/>
            <a:gd name="connsiteX2" fmla="*/ 171842 w 345538"/>
            <a:gd name="connsiteY2" fmla="*/ 121923 h 121923"/>
            <a:gd name="connsiteX3" fmla="*/ 199089 w 345538"/>
            <a:gd name="connsiteY3" fmla="*/ 77507 h 121923"/>
            <a:gd name="connsiteX4" fmla="*/ 0 w 345538"/>
            <a:gd name="connsiteY4" fmla="*/ 76814 h 121923"/>
            <a:gd name="connsiteX5" fmla="*/ 0 w 345538"/>
            <a:gd name="connsiteY5" fmla="*/ 43955 h 121923"/>
            <a:gd name="connsiteX6" fmla="*/ 199089 w 345538"/>
            <a:gd name="connsiteY6" fmla="*/ 44632 h 121923"/>
            <a:gd name="connsiteX7" fmla="*/ 171842 w 345538"/>
            <a:gd name="connsiteY7" fmla="*/ 0 h 121923"/>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Lst>
          <a:rect l="l" t="t" r="r" b="b"/>
          <a:pathLst>
            <a:path w="345538" h="121923">
              <a:moveTo>
                <a:pt x="171842" y="0"/>
              </a:moveTo>
              <a:lnTo>
                <a:pt x="345538" y="60961"/>
              </a:lnTo>
              <a:lnTo>
                <a:pt x="171842" y="121923"/>
              </a:lnTo>
              <a:lnTo>
                <a:pt x="199089" y="77507"/>
              </a:lnTo>
              <a:lnTo>
                <a:pt x="0" y="76814"/>
              </a:lnTo>
              <a:lnTo>
                <a:pt x="0" y="43955"/>
              </a:lnTo>
              <a:lnTo>
                <a:pt x="199089" y="44632"/>
              </a:lnTo>
              <a:lnTo>
                <a:pt x="171842" y="0"/>
              </a:lnTo>
              <a:close/>
            </a:path>
          </a:pathLst>
        </a:custGeom>
        <a:solidFill>
          <a:srgbClr val="0099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clientData/>
  </xdr:twoCellAnchor>
  <xdr:twoCellAnchor>
    <xdr:from>
      <xdr:col>19</xdr:col>
      <xdr:colOff>53340</xdr:colOff>
      <xdr:row>3</xdr:row>
      <xdr:rowOff>68580</xdr:rowOff>
    </xdr:from>
    <xdr:to>
      <xdr:col>19</xdr:col>
      <xdr:colOff>231648</xdr:colOff>
      <xdr:row>3</xdr:row>
      <xdr:rowOff>137160</xdr:rowOff>
    </xdr:to>
    <xdr:sp macro="" textlink="">
      <xdr:nvSpPr>
        <xdr:cNvPr id="5" name="Freeform: Shape 4">
          <a:extLst>
            <a:ext uri="{FF2B5EF4-FFF2-40B4-BE49-F238E27FC236}">
              <a16:creationId xmlns:a16="http://schemas.microsoft.com/office/drawing/2014/main" id="{00000BCE-B51F-4F71-8AEC-33BF10FB49D1}"/>
            </a:ext>
          </a:extLst>
        </xdr:cNvPr>
        <xdr:cNvSpPr/>
      </xdr:nvSpPr>
      <xdr:spPr>
        <a:xfrm rot="10800000">
          <a:off x="7368540" y="617220"/>
          <a:ext cx="178308" cy="68580"/>
        </a:xfrm>
        <a:custGeom>
          <a:avLst/>
          <a:gdLst>
            <a:gd name="connsiteX0" fmla="*/ 171842 w 345538"/>
            <a:gd name="connsiteY0" fmla="*/ 0 h 121923"/>
            <a:gd name="connsiteX1" fmla="*/ 345538 w 345538"/>
            <a:gd name="connsiteY1" fmla="*/ 60961 h 121923"/>
            <a:gd name="connsiteX2" fmla="*/ 171842 w 345538"/>
            <a:gd name="connsiteY2" fmla="*/ 121923 h 121923"/>
            <a:gd name="connsiteX3" fmla="*/ 199089 w 345538"/>
            <a:gd name="connsiteY3" fmla="*/ 77507 h 121923"/>
            <a:gd name="connsiteX4" fmla="*/ 0 w 345538"/>
            <a:gd name="connsiteY4" fmla="*/ 76814 h 121923"/>
            <a:gd name="connsiteX5" fmla="*/ 0 w 345538"/>
            <a:gd name="connsiteY5" fmla="*/ 43955 h 121923"/>
            <a:gd name="connsiteX6" fmla="*/ 199089 w 345538"/>
            <a:gd name="connsiteY6" fmla="*/ 44632 h 121923"/>
            <a:gd name="connsiteX7" fmla="*/ 171842 w 345538"/>
            <a:gd name="connsiteY7" fmla="*/ 0 h 121923"/>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Lst>
          <a:rect l="l" t="t" r="r" b="b"/>
          <a:pathLst>
            <a:path w="345538" h="121923">
              <a:moveTo>
                <a:pt x="171842" y="0"/>
              </a:moveTo>
              <a:lnTo>
                <a:pt x="345538" y="60961"/>
              </a:lnTo>
              <a:lnTo>
                <a:pt x="171842" y="121923"/>
              </a:lnTo>
              <a:lnTo>
                <a:pt x="199089" y="77507"/>
              </a:lnTo>
              <a:lnTo>
                <a:pt x="0" y="76814"/>
              </a:lnTo>
              <a:lnTo>
                <a:pt x="0" y="43955"/>
              </a:lnTo>
              <a:lnTo>
                <a:pt x="199089" y="44632"/>
              </a:lnTo>
              <a:lnTo>
                <a:pt x="171842" y="0"/>
              </a:lnTo>
              <a:close/>
            </a:path>
          </a:pathLst>
        </a:custGeom>
        <a:solidFill>
          <a:srgbClr val="0099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5930.967868055559" createdVersion="8" refreshedVersion="8" minRefreshableVersion="3" recordCount="48" xr:uid="{1C24869D-7920-45D1-9A16-71D04AD5A8C6}">
  <cacheSource type="worksheet">
    <worksheetSource name="mydata"/>
  </cacheSource>
  <cacheFields count="44">
    <cacheField name="Year" numFmtId="0">
      <sharedItems containsSemiMixedTypes="0" containsString="0" containsNumber="1" containsInteger="1" minValue="2027" maxValue="2030" count="4">
        <n v="2027"/>
        <n v="2028"/>
        <n v="2029"/>
        <n v="2030"/>
      </sharedItems>
    </cacheField>
    <cacheField name="Month" numFmtId="0">
      <sharedItems count="12">
        <s v="JAN"/>
        <s v="FEB"/>
        <s v="MAR"/>
        <s v="APR"/>
        <s v="MAY"/>
        <s v="JUN"/>
        <s v="JUL"/>
        <s v="AUG"/>
        <s v="SEP"/>
        <s v="OCT"/>
        <s v="NOV"/>
        <s v="DEC"/>
      </sharedItems>
    </cacheField>
    <cacheField name="Num Month" numFmtId="0">
      <sharedItems containsSemiMixedTypes="0" containsString="0" containsNumber="1" containsInteger="1" minValue="1" maxValue="12"/>
    </cacheField>
    <cacheField name="Target 1" numFmtId="0">
      <sharedItems containsSemiMixedTypes="0" containsString="0" containsNumber="1" containsInteger="1" minValue="0" maxValue="500"/>
    </cacheField>
    <cacheField name="Target 2" numFmtId="0">
      <sharedItems containsSemiMixedTypes="0" containsString="0" containsNumber="1" containsInteger="1" minValue="0" maxValue="700"/>
    </cacheField>
    <cacheField name="Target 3" numFmtId="0">
      <sharedItems containsSemiMixedTypes="0" containsString="0" containsNumber="1" containsInteger="1" minValue="0" maxValue="800"/>
    </cacheField>
    <cacheField name="Target 4" numFmtId="0">
      <sharedItems containsSemiMixedTypes="0" containsString="0" containsNumber="1" containsInteger="1" minValue="0" maxValue="700"/>
    </cacheField>
    <cacheField name="Target 5" numFmtId="0">
      <sharedItems containsSemiMixedTypes="0" containsString="0" containsNumber="1" containsInteger="1" minValue="0" maxValue="500"/>
    </cacheField>
    <cacheField name="Income" numFmtId="0">
      <sharedItems containsSemiMixedTypes="0" containsString="0" containsNumber="1" containsInteger="1" minValue="1245" maxValue="6078"/>
    </cacheField>
    <cacheField name="Expenses" numFmtId="0">
      <sharedItems containsSemiMixedTypes="0" containsString="0" containsNumber="1" containsInteger="1" minValue="1623" maxValue="5954"/>
    </cacheField>
    <cacheField name="Savings" numFmtId="0">
      <sharedItems containsSemiMixedTypes="0" containsString="0" containsNumber="1" containsInteger="1" minValue="391" maxValue="2004"/>
    </cacheField>
    <cacheField name="Side Job" numFmtId="0">
      <sharedItems containsSemiMixedTypes="0" containsString="0" containsNumber="1" containsInteger="1" minValue="195" maxValue="1726"/>
    </cacheField>
    <cacheField name="Salary" numFmtId="0">
      <sharedItems containsSemiMixedTypes="0" containsString="0" containsNumber="1" containsInteger="1" minValue="290" maxValue="2243"/>
    </cacheField>
    <cacheField name="Stock" numFmtId="0">
      <sharedItems containsSemiMixedTypes="0" containsString="0" containsNumber="1" containsInteger="1" minValue="249" maxValue="1215"/>
    </cacheField>
    <cacheField name="Travel" numFmtId="0">
      <sharedItems containsSemiMixedTypes="0" containsString="0" containsNumber="1" containsInteger="1" minValue="238" maxValue="1963"/>
    </cacheField>
    <cacheField name="Eating T" numFmtId="0">
      <sharedItems containsSemiMixedTypes="0" containsString="0" containsNumber="1" containsInteger="1" minValue="47" maxValue="351"/>
    </cacheField>
    <cacheField name="Fuel T" numFmtId="0">
      <sharedItems containsSemiMixedTypes="0" containsString="0" containsNumber="1" containsInteger="1" minValue="36" maxValue="588"/>
    </cacheField>
    <cacheField name="Leisure T" numFmtId="0">
      <sharedItems containsSemiMixedTypes="0" containsString="0" containsNumber="1" containsInteger="1" minValue="48" maxValue="395"/>
    </cacheField>
    <cacheField name="Shopping T" numFmtId="0">
      <sharedItems containsSemiMixedTypes="0" containsString="0" containsNumber="1" containsInteger="1" minValue="29" maxValue="340"/>
    </cacheField>
    <cacheField name="Hobbies T" numFmtId="0">
      <sharedItems containsSemiMixedTypes="0" containsString="0" containsNumber="1" containsInteger="1" minValue="48" maxValue="392"/>
    </cacheField>
    <cacheField name="FoodCourt" numFmtId="0">
      <sharedItems containsSemiMixedTypes="0" containsString="0" containsNumber="1" containsInteger="1" minValue="171" maxValue="1263"/>
    </cacheField>
    <cacheField name="Eating F" numFmtId="0">
      <sharedItems containsSemiMixedTypes="0" containsString="0" containsNumber="1" containsInteger="1" minValue="37" maxValue="250"/>
    </cacheField>
    <cacheField name="Fuel F" numFmtId="0">
      <sharedItems containsSemiMixedTypes="0" containsString="0" containsNumber="1" containsInteger="1" minValue="27" maxValue="361"/>
    </cacheField>
    <cacheField name="Leisure F" numFmtId="0">
      <sharedItems containsSemiMixedTypes="0" containsString="0" containsNumber="1" containsInteger="1" minValue="41" maxValue="330"/>
    </cacheField>
    <cacheField name="Shopping F" numFmtId="0">
      <sharedItems containsSemiMixedTypes="0" containsString="0" containsNumber="1" containsInteger="1" minValue="23" maxValue="296"/>
    </cacheField>
    <cacheField name="Hobbies F" numFmtId="0">
      <sharedItems containsSemiMixedTypes="0" containsString="0" containsNumber="1" containsInteger="1" minValue="34" maxValue="252"/>
    </cacheField>
    <cacheField name="Supermarket" numFmtId="0">
      <sharedItems containsSemiMixedTypes="0" containsString="0" containsNumber="1" containsInteger="1" minValue="197" maxValue="1866"/>
    </cacheField>
    <cacheField name="Eating S" numFmtId="0">
      <sharedItems containsSemiMixedTypes="0" containsString="0" containsNumber="1" containsInteger="1" minValue="46" maxValue="452"/>
    </cacheField>
    <cacheField name="Fuel S" numFmtId="0">
      <sharedItems containsSemiMixedTypes="0" containsString="0" containsNumber="1" containsInteger="1" minValue="38" maxValue="433"/>
    </cacheField>
    <cacheField name="Leisure S" numFmtId="0">
      <sharedItems containsSemiMixedTypes="0" containsString="0" containsNumber="1" containsInteger="1" minValue="24" maxValue="350"/>
    </cacheField>
    <cacheField name="Shopping S" numFmtId="0">
      <sharedItems containsSemiMixedTypes="0" containsString="0" containsNumber="1" containsInteger="1" minValue="38" maxValue="351"/>
    </cacheField>
    <cacheField name="Hobbies S" numFmtId="0">
      <sharedItems containsSemiMixedTypes="0" containsString="0" containsNumber="1" containsInteger="1" minValue="39" maxValue="373"/>
    </cacheField>
    <cacheField name="Entertainment" numFmtId="0">
      <sharedItems containsSemiMixedTypes="0" containsString="0" containsNumber="1" containsInteger="1" minValue="317" maxValue="1302"/>
    </cacheField>
    <cacheField name="Eating E" numFmtId="0">
      <sharedItems containsSemiMixedTypes="0" containsString="0" containsNumber="1" containsInteger="1" minValue="47" maxValue="340"/>
    </cacheField>
    <cacheField name="Fuel E" numFmtId="0">
      <sharedItems containsSemiMixedTypes="0" containsString="0" containsNumber="1" containsInteger="1" minValue="48" maxValue="274"/>
    </cacheField>
    <cacheField name="Leisure E" numFmtId="0">
      <sharedItems containsSemiMixedTypes="0" containsString="0" containsNumber="1" containsInteger="1" minValue="46" maxValue="329"/>
    </cacheField>
    <cacheField name="Shopping E" numFmtId="0">
      <sharedItems containsSemiMixedTypes="0" containsString="0" containsNumber="1" containsInteger="1" minValue="43" maxValue="324"/>
    </cacheField>
    <cacheField name="Hobbies E" numFmtId="0">
      <sharedItems containsSemiMixedTypes="0" containsString="0" containsNumber="1" containsInteger="1" minValue="63" maxValue="261"/>
    </cacheField>
    <cacheField name="Workplace" numFmtId="0">
      <sharedItems containsSemiMixedTypes="0" containsString="0" containsNumber="1" containsInteger="1" minValue="324" maxValue="1191"/>
    </cacheField>
    <cacheField name="Eating W" numFmtId="0">
      <sharedItems containsSemiMixedTypes="0" containsString="0" containsNumber="1" containsInteger="1" minValue="63" maxValue="312"/>
    </cacheField>
    <cacheField name="Fuel W" numFmtId="0">
      <sharedItems containsSemiMixedTypes="0" containsString="0" containsNumber="1" containsInteger="1" minValue="62" maxValue="299"/>
    </cacheField>
    <cacheField name="Leisure W" numFmtId="0">
      <sharedItems containsSemiMixedTypes="0" containsString="0" containsNumber="1" containsInteger="1" minValue="54" maxValue="302"/>
    </cacheField>
    <cacheField name="Shopping W" numFmtId="0">
      <sharedItems containsSemiMixedTypes="0" containsString="0" containsNumber="1" containsInteger="1" minValue="48" maxValue="262"/>
    </cacheField>
    <cacheField name="Hobbies W" numFmtId="0">
      <sharedItems containsSemiMixedTypes="0" containsString="0" containsNumber="1" containsInteger="1" minValue="65" maxValue="238"/>
    </cacheField>
  </cacheFields>
  <extLst>
    <ext xmlns:x14="http://schemas.microsoft.com/office/spreadsheetml/2009/9/main" uri="{725AE2AE-9491-48be-B2B4-4EB974FC3084}">
      <x14:pivotCacheDefinition pivotCacheId="2024102207"/>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5933.628299537035" createdVersion="8" refreshedVersion="8" minRefreshableVersion="3" recordCount="5" xr:uid="{28DD86CB-34C1-4428-8C24-D20D8D5C1EDE}">
  <cacheSource type="worksheet">
    <worksheetSource ref="J51:K56" sheet="Processing"/>
  </cacheSource>
  <cacheFields count="2">
    <cacheField name="Directions" numFmtId="0">
      <sharedItems count="5">
        <s v="Travel"/>
        <s v="FoodCourt"/>
        <s v="Supermarket"/>
        <s v="Entertainment"/>
        <s v="Workplace"/>
      </sharedItems>
    </cacheField>
    <cacheField name="Buttons" numFmtId="0">
      <sharedItems count="5">
        <s v="T"/>
        <s v="F"/>
        <s v="S"/>
        <s v="E"/>
        <s v="W"/>
      </sharedItems>
    </cacheField>
  </cacheFields>
  <extLst>
    <ext xmlns:x14="http://schemas.microsoft.com/office/spreadsheetml/2009/9/main" uri="{725AE2AE-9491-48be-B2B4-4EB974FC3084}">
      <x14:pivotCacheDefinition pivotCacheId="1263647192"/>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5933.635569560189" createdVersion="8" refreshedVersion="8" minRefreshableVersion="3" recordCount="5" xr:uid="{CB3DDBED-A0E5-48C5-89C0-0A028B2CE72A}">
  <cacheSource type="worksheet">
    <worksheetSource ref="B51:C56" sheet="Processing"/>
  </cacheSource>
  <cacheFields count="2">
    <cacheField name="Expense Categories" numFmtId="0">
      <sharedItems count="5">
        <s v="Eating"/>
        <s v="Fuel"/>
        <s v="Leisure"/>
        <s v="Shopping"/>
        <s v="Hobbies"/>
      </sharedItems>
    </cacheField>
    <cacheField name="Buttons" numFmtId="0">
      <sharedItems count="5">
        <s v="E"/>
        <s v="F"/>
        <s v="L"/>
        <s v="S"/>
        <s v="H"/>
      </sharedItems>
    </cacheField>
  </cacheFields>
  <extLst>
    <ext xmlns:x14="http://schemas.microsoft.com/office/spreadsheetml/2009/9/main" uri="{725AE2AE-9491-48be-B2B4-4EB974FC3084}">
      <x14:pivotCacheDefinition pivotCacheId="135628164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8">
  <r>
    <x v="0"/>
    <x v="0"/>
    <n v="1"/>
    <n v="200"/>
    <n v="0"/>
    <n v="0"/>
    <n v="0"/>
    <n v="0"/>
    <n v="1245"/>
    <n v="1623"/>
    <n v="462"/>
    <n v="195"/>
    <n v="339"/>
    <n v="249"/>
    <n v="315"/>
    <n v="83"/>
    <n v="43"/>
    <n v="89"/>
    <n v="37"/>
    <n v="63"/>
    <n v="315"/>
    <n v="40"/>
    <n v="83"/>
    <n v="72"/>
    <n v="57"/>
    <n v="63"/>
    <n v="197"/>
    <n v="47"/>
    <n v="49"/>
    <n v="24"/>
    <n v="38"/>
    <n v="39"/>
    <n v="472"/>
    <n v="114"/>
    <n v="58"/>
    <n v="116"/>
    <n v="89"/>
    <n v="95"/>
    <n v="324"/>
    <n v="63"/>
    <n v="73"/>
    <n v="65"/>
    <n v="58"/>
    <n v="65"/>
  </r>
  <r>
    <x v="0"/>
    <x v="1"/>
    <n v="2"/>
    <n v="200"/>
    <n v="100"/>
    <n v="0"/>
    <n v="0"/>
    <n v="0"/>
    <n v="2555"/>
    <n v="2535"/>
    <n v="861"/>
    <n v="707"/>
    <n v="476"/>
    <n v="511"/>
    <n v="664"/>
    <n v="118"/>
    <n v="138"/>
    <n v="155"/>
    <n v="121"/>
    <n v="132"/>
    <n v="440"/>
    <n v="56"/>
    <n v="116"/>
    <n v="64"/>
    <n v="116"/>
    <n v="88"/>
    <n v="341"/>
    <n v="46"/>
    <n v="49"/>
    <n v="120"/>
    <n v="57"/>
    <n v="69"/>
    <n v="583"/>
    <n v="116"/>
    <n v="155"/>
    <n v="114"/>
    <n v="81"/>
    <n v="117"/>
    <n v="507"/>
    <n v="75"/>
    <n v="108"/>
    <n v="84"/>
    <n v="138"/>
    <n v="102"/>
  </r>
  <r>
    <x v="0"/>
    <x v="2"/>
    <n v="3"/>
    <n v="200"/>
    <n v="100"/>
    <n v="0"/>
    <n v="0"/>
    <n v="0"/>
    <n v="2955"/>
    <n v="1959"/>
    <n v="949"/>
    <n v="365"/>
    <n v="1051"/>
    <n v="590"/>
    <n v="293"/>
    <n v="47"/>
    <n v="50"/>
    <n v="62"/>
    <n v="76"/>
    <n v="58"/>
    <n v="540"/>
    <n v="103"/>
    <n v="64"/>
    <n v="110"/>
    <n v="156"/>
    <n v="107"/>
    <n v="317"/>
    <n v="87"/>
    <n v="38"/>
    <n v="83"/>
    <n v="45"/>
    <n v="64"/>
    <n v="417"/>
    <n v="100"/>
    <n v="85"/>
    <n v="52"/>
    <n v="96"/>
    <n v="84"/>
    <n v="392"/>
    <n v="134"/>
    <n v="77"/>
    <n v="54"/>
    <n v="48"/>
    <n v="79"/>
  </r>
  <r>
    <x v="0"/>
    <x v="3"/>
    <n v="4"/>
    <n v="0"/>
    <n v="100"/>
    <n v="0"/>
    <n v="0"/>
    <n v="0"/>
    <n v="3260"/>
    <n v="2877"/>
    <n v="988"/>
    <n v="771"/>
    <n v="850"/>
    <n v="651"/>
    <n v="506"/>
    <n v="93"/>
    <n v="105"/>
    <n v="120"/>
    <n v="88"/>
    <n v="100"/>
    <n v="401"/>
    <n v="87"/>
    <n v="106"/>
    <n v="44"/>
    <n v="84"/>
    <n v="80"/>
    <n v="697"/>
    <n v="109"/>
    <n v="191"/>
    <n v="122"/>
    <n v="135"/>
    <n v="140"/>
    <n v="697"/>
    <n v="93"/>
    <n v="168"/>
    <n v="192"/>
    <n v="104"/>
    <n v="140"/>
    <n v="576"/>
    <n v="143"/>
    <n v="118"/>
    <n v="145"/>
    <n v="54"/>
    <n v="116"/>
  </r>
  <r>
    <x v="0"/>
    <x v="4"/>
    <n v="5"/>
    <n v="0"/>
    <n v="100"/>
    <n v="0"/>
    <n v="0"/>
    <n v="0"/>
    <n v="2675"/>
    <n v="1968"/>
    <n v="774"/>
    <n v="665"/>
    <n v="701"/>
    <n v="535"/>
    <n v="285"/>
    <n v="75"/>
    <n v="69"/>
    <n v="56"/>
    <n v="29"/>
    <n v="56"/>
    <n v="598"/>
    <n v="146"/>
    <n v="73"/>
    <n v="122"/>
    <n v="137"/>
    <n v="120"/>
    <n v="313"/>
    <n v="82"/>
    <n v="55"/>
    <n v="54"/>
    <n v="60"/>
    <n v="62"/>
    <n v="377"/>
    <n v="112"/>
    <n v="48"/>
    <n v="68"/>
    <n v="73"/>
    <n v="76"/>
    <n v="395"/>
    <n v="99"/>
    <n v="72"/>
    <n v="78"/>
    <n v="68"/>
    <n v="78"/>
  </r>
  <r>
    <x v="0"/>
    <x v="5"/>
    <n v="6"/>
    <n v="0"/>
    <n v="100"/>
    <n v="300"/>
    <n v="0"/>
    <n v="0"/>
    <n v="3020"/>
    <n v="3180"/>
    <n v="519"/>
    <n v="1278"/>
    <n v="619"/>
    <n v="604"/>
    <n v="843"/>
    <n v="170"/>
    <n v="189"/>
    <n v="204"/>
    <n v="111"/>
    <n v="169"/>
    <n v="484"/>
    <n v="77"/>
    <n v="89"/>
    <n v="117"/>
    <n v="103"/>
    <n v="98"/>
    <n v="498"/>
    <n v="48"/>
    <n v="96"/>
    <n v="133"/>
    <n v="122"/>
    <n v="99"/>
    <n v="719"/>
    <n v="146"/>
    <n v="180"/>
    <n v="79"/>
    <n v="170"/>
    <n v="144"/>
    <n v="636"/>
    <n v="147"/>
    <n v="181"/>
    <n v="89"/>
    <n v="92"/>
    <n v="127"/>
  </r>
  <r>
    <x v="0"/>
    <x v="6"/>
    <n v="7"/>
    <n v="0"/>
    <n v="100"/>
    <n v="300"/>
    <n v="200"/>
    <n v="0"/>
    <n v="3655"/>
    <n v="1921"/>
    <n v="851"/>
    <n v="1004"/>
    <n v="1069"/>
    <n v="731"/>
    <n v="421"/>
    <n v="75"/>
    <n v="51"/>
    <n v="116"/>
    <n v="95"/>
    <n v="84"/>
    <n v="439"/>
    <n v="129"/>
    <n v="79"/>
    <n v="81"/>
    <n v="62"/>
    <n v="88"/>
    <n v="360"/>
    <n v="77"/>
    <n v="67"/>
    <n v="95"/>
    <n v="49"/>
    <n v="72"/>
    <n v="317"/>
    <n v="55"/>
    <n v="75"/>
    <n v="59"/>
    <n v="65"/>
    <n v="63"/>
    <n v="384"/>
    <n v="84"/>
    <n v="107"/>
    <n v="54"/>
    <n v="62"/>
    <n v="77"/>
  </r>
  <r>
    <x v="0"/>
    <x v="7"/>
    <n v="8"/>
    <n v="0"/>
    <n v="0"/>
    <n v="300"/>
    <n v="200"/>
    <n v="0"/>
    <n v="3000"/>
    <n v="3068"/>
    <n v="688"/>
    <n v="1070"/>
    <n v="642"/>
    <n v="600"/>
    <n v="453"/>
    <n v="100"/>
    <n v="81"/>
    <n v="51"/>
    <n v="130"/>
    <n v="91"/>
    <n v="417"/>
    <n v="67"/>
    <n v="64"/>
    <n v="102"/>
    <n v="101"/>
    <n v="83"/>
    <n v="715"/>
    <n v="98"/>
    <n v="192"/>
    <n v="154"/>
    <n v="128"/>
    <n v="143"/>
    <n v="870"/>
    <n v="275"/>
    <n v="205"/>
    <n v="100"/>
    <n v="115"/>
    <n v="175"/>
    <n v="613"/>
    <n v="94"/>
    <n v="104"/>
    <n v="155"/>
    <n v="138"/>
    <n v="122"/>
  </r>
  <r>
    <x v="0"/>
    <x v="8"/>
    <n v="9"/>
    <n v="0"/>
    <n v="0"/>
    <n v="300"/>
    <n v="200"/>
    <n v="0"/>
    <n v="3445"/>
    <n v="2527"/>
    <n v="1160"/>
    <n v="526"/>
    <n v="1070"/>
    <n v="689"/>
    <n v="382"/>
    <n v="110"/>
    <n v="56"/>
    <n v="48"/>
    <n v="91"/>
    <n v="77"/>
    <n v="501"/>
    <n v="65"/>
    <n v="140"/>
    <n v="118"/>
    <n v="77"/>
    <n v="101"/>
    <n v="565"/>
    <n v="82"/>
    <n v="120"/>
    <n v="111"/>
    <n v="139"/>
    <n v="113"/>
    <n v="574"/>
    <n v="86"/>
    <n v="77"/>
    <n v="136"/>
    <n v="160"/>
    <n v="115"/>
    <n v="505"/>
    <n v="160"/>
    <n v="90"/>
    <n v="68"/>
    <n v="86"/>
    <n v="101"/>
  </r>
  <r>
    <x v="0"/>
    <x v="9"/>
    <n v="10"/>
    <n v="0"/>
    <n v="0"/>
    <n v="0"/>
    <n v="200"/>
    <n v="100"/>
    <n v="4040"/>
    <n v="3467"/>
    <n v="1237"/>
    <n v="739"/>
    <n v="1256"/>
    <n v="808"/>
    <n v="630"/>
    <n v="177"/>
    <n v="82"/>
    <n v="125"/>
    <n v="120"/>
    <n v="126"/>
    <n v="683"/>
    <n v="206"/>
    <n v="157"/>
    <n v="77"/>
    <n v="106"/>
    <n v="137"/>
    <n v="911"/>
    <n v="220"/>
    <n v="196"/>
    <n v="132"/>
    <n v="181"/>
    <n v="182"/>
    <n v="549"/>
    <n v="99"/>
    <n v="142"/>
    <n v="76"/>
    <n v="122"/>
    <n v="110"/>
    <n v="694"/>
    <n v="165"/>
    <n v="133"/>
    <n v="159"/>
    <n v="98"/>
    <n v="139"/>
  </r>
  <r>
    <x v="0"/>
    <x v="10"/>
    <n v="11"/>
    <n v="0"/>
    <n v="0"/>
    <n v="0"/>
    <n v="200"/>
    <n v="100"/>
    <n v="3695"/>
    <n v="2716"/>
    <n v="1267"/>
    <n v="880"/>
    <n v="809"/>
    <n v="739"/>
    <n v="377"/>
    <n v="66"/>
    <n v="72"/>
    <n v="103"/>
    <n v="61"/>
    <n v="75"/>
    <n v="890"/>
    <n v="108"/>
    <n v="170"/>
    <n v="298"/>
    <n v="137"/>
    <n v="177"/>
    <n v="498"/>
    <n v="114"/>
    <n v="116"/>
    <n v="72"/>
    <n v="96"/>
    <n v="100"/>
    <n v="407"/>
    <n v="61"/>
    <n v="114"/>
    <n v="67"/>
    <n v="84"/>
    <n v="81"/>
    <n v="544"/>
    <n v="133"/>
    <n v="120"/>
    <n v="61"/>
    <n v="122"/>
    <n v="108"/>
  </r>
  <r>
    <x v="0"/>
    <x v="11"/>
    <n v="12"/>
    <n v="0"/>
    <n v="0"/>
    <n v="0"/>
    <n v="0"/>
    <n v="100"/>
    <n v="4420"/>
    <n v="3608"/>
    <n v="1572"/>
    <n v="859"/>
    <n v="1105"/>
    <n v="884"/>
    <n v="901"/>
    <n v="195"/>
    <n v="184"/>
    <n v="168"/>
    <n v="173"/>
    <n v="181"/>
    <n v="817"/>
    <n v="117"/>
    <n v="147"/>
    <n v="246"/>
    <n v="144"/>
    <n v="163"/>
    <n v="746"/>
    <n v="190"/>
    <n v="113"/>
    <n v="127"/>
    <n v="167"/>
    <n v="149"/>
    <n v="422"/>
    <n v="84"/>
    <n v="128"/>
    <n v="46"/>
    <n v="80"/>
    <n v="84"/>
    <n v="722"/>
    <n v="170"/>
    <n v="173"/>
    <n v="170"/>
    <n v="64"/>
    <n v="145"/>
  </r>
  <r>
    <x v="1"/>
    <x v="0"/>
    <n v="1"/>
    <n v="400"/>
    <n v="0"/>
    <n v="0"/>
    <n v="0"/>
    <n v="0"/>
    <n v="2075"/>
    <n v="2412"/>
    <n v="899"/>
    <n v="387"/>
    <n v="374"/>
    <n v="415"/>
    <n v="449"/>
    <n v="75"/>
    <n v="84"/>
    <n v="66"/>
    <n v="134"/>
    <n v="90"/>
    <n v="419"/>
    <n v="64"/>
    <n v="51"/>
    <n v="123"/>
    <n v="97"/>
    <n v="84"/>
    <n v="658"/>
    <n v="160"/>
    <n v="119"/>
    <n v="75"/>
    <n v="173"/>
    <n v="131"/>
    <n v="404"/>
    <n v="47"/>
    <n v="75"/>
    <n v="86"/>
    <n v="116"/>
    <n v="80"/>
    <n v="482"/>
    <n v="91"/>
    <n v="102"/>
    <n v="104"/>
    <n v="89"/>
    <n v="96"/>
  </r>
  <r>
    <x v="1"/>
    <x v="1"/>
    <n v="2"/>
    <n v="400"/>
    <n v="500"/>
    <n v="0"/>
    <n v="0"/>
    <n v="0"/>
    <n v="3066"/>
    <n v="1696"/>
    <n v="1142"/>
    <n v="580"/>
    <n v="730"/>
    <n v="614"/>
    <n v="238"/>
    <n v="55"/>
    <n v="36"/>
    <n v="55"/>
    <n v="44"/>
    <n v="48"/>
    <n v="435"/>
    <n v="105"/>
    <n v="123"/>
    <n v="60"/>
    <n v="60"/>
    <n v="87"/>
    <n v="354"/>
    <n v="70"/>
    <n v="71"/>
    <n v="45"/>
    <n v="98"/>
    <n v="70"/>
    <n v="331"/>
    <n v="69"/>
    <n v="77"/>
    <n v="46"/>
    <n v="72"/>
    <n v="67"/>
    <n v="338"/>
    <n v="94"/>
    <n v="62"/>
    <n v="67"/>
    <n v="48"/>
    <n v="67"/>
  </r>
  <r>
    <x v="1"/>
    <x v="2"/>
    <n v="3"/>
    <n v="0"/>
    <n v="500"/>
    <n v="0"/>
    <n v="0"/>
    <n v="0"/>
    <n v="4626"/>
    <n v="3544"/>
    <n v="735"/>
    <n v="1391"/>
    <n v="1575"/>
    <n v="925"/>
    <n v="768"/>
    <n v="195"/>
    <n v="161"/>
    <n v="170"/>
    <n v="89"/>
    <n v="153"/>
    <n v="724"/>
    <n v="200"/>
    <n v="99"/>
    <n v="190"/>
    <n v="91"/>
    <n v="144"/>
    <n v="591"/>
    <n v="117"/>
    <n v="169"/>
    <n v="74"/>
    <n v="113"/>
    <n v="118"/>
    <n v="753"/>
    <n v="136"/>
    <n v="171"/>
    <n v="141"/>
    <n v="156"/>
    <n v="149"/>
    <n v="708"/>
    <n v="127"/>
    <n v="152"/>
    <n v="138"/>
    <n v="149"/>
    <n v="142"/>
  </r>
  <r>
    <x v="1"/>
    <x v="3"/>
    <n v="4"/>
    <n v="0"/>
    <n v="500"/>
    <n v="700"/>
    <n v="0"/>
    <n v="0"/>
    <n v="4841"/>
    <n v="2671"/>
    <n v="1798"/>
    <n v="1134"/>
    <n v="941"/>
    <n v="968"/>
    <n v="547"/>
    <n v="54"/>
    <n v="143"/>
    <n v="139"/>
    <n v="101"/>
    <n v="110"/>
    <n v="527"/>
    <n v="85"/>
    <n v="154"/>
    <n v="124"/>
    <n v="58"/>
    <n v="106"/>
    <n v="646"/>
    <n v="167"/>
    <n v="88"/>
    <n v="153"/>
    <n v="108"/>
    <n v="130"/>
    <n v="417"/>
    <n v="106"/>
    <n v="48"/>
    <n v="60"/>
    <n v="120"/>
    <n v="83"/>
    <n v="534"/>
    <n v="142"/>
    <n v="84"/>
    <n v="107"/>
    <n v="94"/>
    <n v="107"/>
  </r>
  <r>
    <x v="1"/>
    <x v="4"/>
    <n v="5"/>
    <n v="0"/>
    <n v="0"/>
    <n v="700"/>
    <n v="500"/>
    <n v="0"/>
    <n v="4626"/>
    <n v="3036"/>
    <n v="931"/>
    <n v="982"/>
    <n v="1787"/>
    <n v="926"/>
    <n v="545"/>
    <n v="56"/>
    <n v="103"/>
    <n v="161"/>
    <n v="116"/>
    <n v="109"/>
    <n v="632"/>
    <n v="131"/>
    <n v="68"/>
    <n v="147"/>
    <n v="160"/>
    <n v="126"/>
    <n v="582"/>
    <n v="91"/>
    <n v="136"/>
    <n v="136"/>
    <n v="103"/>
    <n v="116"/>
    <n v="669"/>
    <n v="113"/>
    <n v="145"/>
    <n v="159"/>
    <n v="118"/>
    <n v="134"/>
    <n v="608"/>
    <n v="112"/>
    <n v="73"/>
    <n v="142"/>
    <n v="160"/>
    <n v="121"/>
  </r>
  <r>
    <x v="1"/>
    <x v="5"/>
    <n v="6"/>
    <n v="0"/>
    <n v="0"/>
    <n v="0"/>
    <n v="500"/>
    <n v="0"/>
    <n v="3066"/>
    <n v="4595"/>
    <n v="1145"/>
    <n v="491"/>
    <n v="818"/>
    <n v="612"/>
    <n v="755"/>
    <n v="128"/>
    <n v="213"/>
    <n v="167"/>
    <n v="96"/>
    <n v="151"/>
    <n v="436"/>
    <n v="126"/>
    <n v="76"/>
    <n v="43"/>
    <n v="104"/>
    <n v="87"/>
    <n v="1259"/>
    <n v="266"/>
    <n v="326"/>
    <n v="117"/>
    <n v="298"/>
    <n v="252"/>
    <n v="1225"/>
    <n v="340"/>
    <n v="236"/>
    <n v="197"/>
    <n v="207"/>
    <n v="245"/>
    <n v="920"/>
    <n v="184"/>
    <n v="191"/>
    <n v="187"/>
    <n v="174"/>
    <n v="184"/>
  </r>
  <r>
    <x v="1"/>
    <x v="6"/>
    <n v="7"/>
    <n v="0"/>
    <n v="0"/>
    <n v="0"/>
    <n v="500"/>
    <n v="0"/>
    <n v="2075"/>
    <n v="2714"/>
    <n v="742"/>
    <n v="412"/>
    <n v="506"/>
    <n v="415"/>
    <n v="522"/>
    <n v="106"/>
    <n v="113"/>
    <n v="110"/>
    <n v="89"/>
    <n v="104"/>
    <n v="660"/>
    <n v="154"/>
    <n v="126"/>
    <n v="79"/>
    <n v="169"/>
    <n v="132"/>
    <n v="632"/>
    <n v="157"/>
    <n v="99"/>
    <n v="150"/>
    <n v="99"/>
    <n v="127"/>
    <n v="357"/>
    <n v="86"/>
    <n v="91"/>
    <n v="67"/>
    <n v="43"/>
    <n v="70"/>
    <n v="543"/>
    <n v="69"/>
    <n v="124"/>
    <n v="116"/>
    <n v="125"/>
    <n v="109"/>
  </r>
  <r>
    <x v="1"/>
    <x v="7"/>
    <n v="8"/>
    <n v="0"/>
    <n v="0"/>
    <n v="0"/>
    <n v="500"/>
    <n v="300"/>
    <n v="3066"/>
    <n v="3731"/>
    <n v="645"/>
    <n v="581"/>
    <n v="1226"/>
    <n v="614"/>
    <n v="841"/>
    <n v="159"/>
    <n v="181"/>
    <n v="107"/>
    <n v="225"/>
    <n v="169"/>
    <n v="968"/>
    <n v="170"/>
    <n v="115"/>
    <n v="330"/>
    <n v="160"/>
    <n v="193"/>
    <n v="445"/>
    <n v="51"/>
    <n v="154"/>
    <n v="58"/>
    <n v="93"/>
    <n v="89"/>
    <n v="730"/>
    <n v="156"/>
    <n v="194"/>
    <n v="145"/>
    <n v="90"/>
    <n v="145"/>
    <n v="747"/>
    <n v="113"/>
    <n v="96"/>
    <n v="195"/>
    <n v="195"/>
    <n v="148"/>
  </r>
  <r>
    <x v="1"/>
    <x v="8"/>
    <n v="9"/>
    <n v="0"/>
    <n v="0"/>
    <n v="0"/>
    <n v="0"/>
    <n v="300"/>
    <n v="4626"/>
    <n v="4952"/>
    <n v="1053"/>
    <n v="1623"/>
    <n v="1025"/>
    <n v="925"/>
    <n v="917"/>
    <n v="182"/>
    <n v="199"/>
    <n v="215"/>
    <n v="138"/>
    <n v="183"/>
    <n v="1263"/>
    <n v="230"/>
    <n v="234"/>
    <n v="251"/>
    <n v="296"/>
    <n v="252"/>
    <n v="1021"/>
    <n v="270"/>
    <n v="141"/>
    <n v="209"/>
    <n v="198"/>
    <n v="203"/>
    <n v="761"/>
    <n v="125"/>
    <n v="163"/>
    <n v="153"/>
    <n v="168"/>
    <n v="152"/>
    <n v="990"/>
    <n v="188"/>
    <n v="224"/>
    <n v="221"/>
    <n v="158"/>
    <n v="199"/>
  </r>
  <r>
    <x v="1"/>
    <x v="9"/>
    <n v="10"/>
    <n v="0"/>
    <n v="0"/>
    <n v="0"/>
    <n v="0"/>
    <n v="300"/>
    <n v="4841"/>
    <n v="3544"/>
    <n v="1499"/>
    <n v="1624"/>
    <n v="750"/>
    <n v="968"/>
    <n v="418"/>
    <n v="99"/>
    <n v="112"/>
    <n v="62"/>
    <n v="61"/>
    <n v="84"/>
    <n v="967"/>
    <n v="164"/>
    <n v="223"/>
    <n v="266"/>
    <n v="120"/>
    <n v="194"/>
    <n v="601"/>
    <n v="108"/>
    <n v="108"/>
    <n v="170"/>
    <n v="94"/>
    <n v="121"/>
    <n v="849"/>
    <n v="170"/>
    <n v="92"/>
    <n v="255"/>
    <n v="163"/>
    <n v="169"/>
    <n v="709"/>
    <n v="199"/>
    <n v="75"/>
    <n v="135"/>
    <n v="158"/>
    <n v="142"/>
  </r>
  <r>
    <x v="1"/>
    <x v="10"/>
    <n v="11"/>
    <n v="0"/>
    <n v="0"/>
    <n v="0"/>
    <n v="0"/>
    <n v="300"/>
    <n v="4626"/>
    <n v="4595"/>
    <n v="1656"/>
    <n v="1169"/>
    <n v="877"/>
    <n v="924"/>
    <n v="814"/>
    <n v="85"/>
    <n v="126"/>
    <n v="218"/>
    <n v="221"/>
    <n v="164"/>
    <n v="982"/>
    <n v="220"/>
    <n v="142"/>
    <n v="199"/>
    <n v="224"/>
    <n v="197"/>
    <n v="828"/>
    <n v="213"/>
    <n v="230"/>
    <n v="110"/>
    <n v="110"/>
    <n v="165"/>
    <n v="1052"/>
    <n v="223"/>
    <n v="181"/>
    <n v="274"/>
    <n v="164"/>
    <n v="210"/>
    <n v="919"/>
    <n v="234"/>
    <n v="113"/>
    <n v="146"/>
    <n v="241"/>
    <n v="185"/>
  </r>
  <r>
    <x v="1"/>
    <x v="11"/>
    <n v="12"/>
    <n v="0"/>
    <n v="0"/>
    <n v="0"/>
    <n v="0"/>
    <n v="300"/>
    <n v="2666"/>
    <n v="1739"/>
    <n v="730"/>
    <n v="764"/>
    <n v="639"/>
    <n v="533"/>
    <n v="418"/>
    <n v="125"/>
    <n v="49"/>
    <n v="86"/>
    <n v="74"/>
    <n v="84"/>
    <n v="171"/>
    <n v="46"/>
    <n v="27"/>
    <n v="41"/>
    <n v="23"/>
    <n v="34"/>
    <n v="439"/>
    <n v="69"/>
    <n v="88"/>
    <n v="58"/>
    <n v="136"/>
    <n v="88"/>
    <n v="363"/>
    <n v="72"/>
    <n v="50"/>
    <n v="91"/>
    <n v="78"/>
    <n v="72"/>
    <n v="348"/>
    <n v="103"/>
    <n v="72"/>
    <n v="56"/>
    <n v="48"/>
    <n v="69"/>
  </r>
  <r>
    <x v="2"/>
    <x v="0"/>
    <n v="1"/>
    <n v="200"/>
    <n v="0"/>
    <n v="0"/>
    <n v="0"/>
    <n v="0"/>
    <n v="1792"/>
    <n v="3710"/>
    <n v="627"/>
    <n v="399"/>
    <n v="408"/>
    <n v="358"/>
    <n v="664"/>
    <n v="127"/>
    <n v="200"/>
    <n v="81"/>
    <n v="124"/>
    <n v="132"/>
    <n v="854"/>
    <n v="235"/>
    <n v="98"/>
    <n v="112"/>
    <n v="238"/>
    <n v="171"/>
    <n v="542"/>
    <n v="58"/>
    <n v="119"/>
    <n v="142"/>
    <n v="114"/>
    <n v="109"/>
    <n v="908"/>
    <n v="202"/>
    <n v="188"/>
    <n v="217"/>
    <n v="119"/>
    <n v="182"/>
    <n v="742"/>
    <n v="122"/>
    <n v="145"/>
    <n v="148"/>
    <n v="178"/>
    <n v="149"/>
  </r>
  <r>
    <x v="2"/>
    <x v="1"/>
    <n v="2"/>
    <n v="200"/>
    <n v="100"/>
    <n v="0"/>
    <n v="0"/>
    <n v="0"/>
    <n v="2073"/>
    <n v="2312"/>
    <n v="391"/>
    <n v="689"/>
    <n v="578"/>
    <n v="415"/>
    <n v="528"/>
    <n v="136"/>
    <n v="70"/>
    <n v="149"/>
    <n v="68"/>
    <n v="105"/>
    <n v="454"/>
    <n v="61"/>
    <n v="71"/>
    <n v="118"/>
    <n v="113"/>
    <n v="91"/>
    <n v="486"/>
    <n v="100"/>
    <n v="106"/>
    <n v="113"/>
    <n v="69"/>
    <n v="98"/>
    <n v="380"/>
    <n v="81"/>
    <n v="78"/>
    <n v="73"/>
    <n v="73"/>
    <n v="75"/>
    <n v="464"/>
    <n v="126"/>
    <n v="82"/>
    <n v="57"/>
    <n v="106"/>
    <n v="93"/>
  </r>
  <r>
    <x v="2"/>
    <x v="2"/>
    <n v="3"/>
    <n v="200"/>
    <n v="100"/>
    <n v="0"/>
    <n v="0"/>
    <n v="0"/>
    <n v="2999"/>
    <n v="2936"/>
    <n v="678"/>
    <n v="926"/>
    <n v="795"/>
    <n v="600"/>
    <n v="606"/>
    <n v="115"/>
    <n v="64"/>
    <n v="133"/>
    <n v="174"/>
    <n v="120"/>
    <n v="540"/>
    <n v="95"/>
    <n v="113"/>
    <n v="99"/>
    <n v="125"/>
    <n v="108"/>
    <n v="653"/>
    <n v="166"/>
    <n v="150"/>
    <n v="106"/>
    <n v="101"/>
    <n v="130"/>
    <n v="549"/>
    <n v="86"/>
    <n v="77"/>
    <n v="171"/>
    <n v="105"/>
    <n v="110"/>
    <n v="588"/>
    <n v="119"/>
    <n v="138"/>
    <n v="148"/>
    <n v="65"/>
    <n v="118"/>
  </r>
  <r>
    <x v="2"/>
    <x v="3"/>
    <n v="4"/>
    <n v="0"/>
    <n v="100"/>
    <n v="0"/>
    <n v="0"/>
    <n v="0"/>
    <n v="1972"/>
    <n v="3631"/>
    <n v="590"/>
    <n v="697"/>
    <n v="290"/>
    <n v="395"/>
    <n v="552"/>
    <n v="77"/>
    <n v="118"/>
    <n v="143"/>
    <n v="104"/>
    <n v="110"/>
    <n v="696"/>
    <n v="111"/>
    <n v="157"/>
    <n v="123"/>
    <n v="166"/>
    <n v="139"/>
    <n v="1084"/>
    <n v="234"/>
    <n v="193"/>
    <n v="252"/>
    <n v="188"/>
    <n v="217"/>
    <n v="573"/>
    <n v="118"/>
    <n v="178"/>
    <n v="68"/>
    <n v="95"/>
    <n v="114"/>
    <n v="726"/>
    <n v="154"/>
    <n v="111"/>
    <n v="156"/>
    <n v="160"/>
    <n v="145"/>
  </r>
  <r>
    <x v="2"/>
    <x v="4"/>
    <n v="5"/>
    <n v="0"/>
    <n v="100"/>
    <n v="0"/>
    <n v="0"/>
    <n v="0"/>
    <n v="2843"/>
    <n v="3444"/>
    <n v="664"/>
    <n v="481"/>
    <n v="1129"/>
    <n v="569"/>
    <n v="898"/>
    <n v="151"/>
    <n v="255"/>
    <n v="151"/>
    <n v="162"/>
    <n v="179"/>
    <n v="823"/>
    <n v="106"/>
    <n v="127"/>
    <n v="241"/>
    <n v="184"/>
    <n v="165"/>
    <n v="324"/>
    <n v="71"/>
    <n v="75"/>
    <n v="54"/>
    <n v="59"/>
    <n v="65"/>
    <n v="711"/>
    <n v="154"/>
    <n v="154"/>
    <n v="135"/>
    <n v="126"/>
    <n v="142"/>
    <n v="688"/>
    <n v="72"/>
    <n v="170"/>
    <n v="134"/>
    <n v="175"/>
    <n v="137"/>
  </r>
  <r>
    <x v="2"/>
    <x v="5"/>
    <n v="6"/>
    <n v="0"/>
    <n v="100"/>
    <n v="150"/>
    <n v="0"/>
    <n v="0"/>
    <n v="4104"/>
    <n v="4495"/>
    <n v="1265"/>
    <n v="855"/>
    <n v="1163"/>
    <n v="821"/>
    <n v="615"/>
    <n v="166"/>
    <n v="72"/>
    <n v="182"/>
    <n v="72"/>
    <n v="123"/>
    <n v="745"/>
    <n v="132"/>
    <n v="132"/>
    <n v="157"/>
    <n v="175"/>
    <n v="149"/>
    <n v="1192"/>
    <n v="304"/>
    <n v="213"/>
    <n v="272"/>
    <n v="165"/>
    <n v="238"/>
    <n v="1043"/>
    <n v="267"/>
    <n v="178"/>
    <n v="178"/>
    <n v="211"/>
    <n v="209"/>
    <n v="900"/>
    <n v="163"/>
    <n v="152"/>
    <n v="198"/>
    <n v="206"/>
    <n v="181"/>
  </r>
  <r>
    <x v="2"/>
    <x v="6"/>
    <n v="7"/>
    <n v="0"/>
    <n v="0"/>
    <n v="150"/>
    <n v="0"/>
    <n v="0"/>
    <n v="2317"/>
    <n v="2614"/>
    <n v="519"/>
    <n v="556"/>
    <n v="779"/>
    <n v="463"/>
    <n v="575"/>
    <n v="145"/>
    <n v="107"/>
    <n v="113"/>
    <n v="95"/>
    <n v="115"/>
    <n v="350"/>
    <n v="37"/>
    <n v="49"/>
    <n v="101"/>
    <n v="94"/>
    <n v="69"/>
    <n v="608"/>
    <n v="102"/>
    <n v="116"/>
    <n v="147"/>
    <n v="121"/>
    <n v="122"/>
    <n v="558"/>
    <n v="135"/>
    <n v="150"/>
    <n v="78"/>
    <n v="83"/>
    <n v="112"/>
    <n v="523"/>
    <n v="99"/>
    <n v="148"/>
    <n v="77"/>
    <n v="95"/>
    <n v="104"/>
  </r>
  <r>
    <x v="2"/>
    <x v="7"/>
    <n v="8"/>
    <n v="0"/>
    <n v="0"/>
    <n v="150"/>
    <n v="0"/>
    <n v="200"/>
    <n v="3038"/>
    <n v="4852"/>
    <n v="951"/>
    <n v="860"/>
    <n v="619"/>
    <n v="608"/>
    <n v="1063"/>
    <n v="114"/>
    <n v="305"/>
    <n v="135"/>
    <n v="296"/>
    <n v="213"/>
    <n v="1047"/>
    <n v="116"/>
    <n v="283"/>
    <n v="180"/>
    <n v="258"/>
    <n v="210"/>
    <n v="757"/>
    <n v="123"/>
    <n v="236"/>
    <n v="151"/>
    <n v="96"/>
    <n v="151"/>
    <n v="1015"/>
    <n v="199"/>
    <n v="229"/>
    <n v="247"/>
    <n v="137"/>
    <n v="203"/>
    <n v="970"/>
    <n v="312"/>
    <n v="111"/>
    <n v="138"/>
    <n v="214"/>
    <n v="195"/>
  </r>
  <r>
    <x v="2"/>
    <x v="8"/>
    <n v="9"/>
    <n v="0"/>
    <n v="0"/>
    <n v="150"/>
    <n v="100"/>
    <n v="200"/>
    <n v="4883"/>
    <n v="2571"/>
    <n v="1568"/>
    <n v="1568"/>
    <n v="770"/>
    <n v="977"/>
    <n v="551"/>
    <n v="127"/>
    <n v="131"/>
    <n v="91"/>
    <n v="93"/>
    <n v="109"/>
    <n v="610"/>
    <n v="116"/>
    <n v="166"/>
    <n v="90"/>
    <n v="116"/>
    <n v="122"/>
    <n v="305"/>
    <n v="80"/>
    <n v="60"/>
    <n v="34"/>
    <n v="70"/>
    <n v="61"/>
    <n v="590"/>
    <n v="134"/>
    <n v="126"/>
    <n v="139"/>
    <n v="74"/>
    <n v="117"/>
    <n v="515"/>
    <n v="79"/>
    <n v="95"/>
    <n v="104"/>
    <n v="135"/>
    <n v="102"/>
  </r>
  <r>
    <x v="2"/>
    <x v="9"/>
    <n v="10"/>
    <n v="0"/>
    <n v="0"/>
    <n v="150"/>
    <n v="100"/>
    <n v="200"/>
    <n v="2999"/>
    <n v="5039"/>
    <n v="467"/>
    <n v="870"/>
    <n v="1063"/>
    <n v="599"/>
    <n v="1231"/>
    <n v="151"/>
    <n v="313"/>
    <n v="263"/>
    <n v="257"/>
    <n v="247"/>
    <n v="660"/>
    <n v="95"/>
    <n v="104"/>
    <n v="188"/>
    <n v="141"/>
    <n v="132"/>
    <n v="910"/>
    <n v="199"/>
    <n v="170"/>
    <n v="222"/>
    <n v="137"/>
    <n v="182"/>
    <n v="1231"/>
    <n v="185"/>
    <n v="195"/>
    <n v="303"/>
    <n v="303"/>
    <n v="245"/>
    <n v="1007"/>
    <n v="199"/>
    <n v="245"/>
    <n v="245"/>
    <n v="116"/>
    <n v="202"/>
  </r>
  <r>
    <x v="2"/>
    <x v="10"/>
    <n v="11"/>
    <n v="0"/>
    <n v="0"/>
    <n v="150"/>
    <n v="100"/>
    <n v="200"/>
    <n v="4104"/>
    <n v="2596"/>
    <n v="1377"/>
    <n v="1377"/>
    <n v="528"/>
    <n v="822"/>
    <n v="484"/>
    <n v="72"/>
    <n v="121"/>
    <n v="69"/>
    <n v="126"/>
    <n v="96"/>
    <n v="460"/>
    <n v="99"/>
    <n v="80"/>
    <n v="118"/>
    <n v="71"/>
    <n v="92"/>
    <n v="525"/>
    <n v="103"/>
    <n v="106"/>
    <n v="108"/>
    <n v="103"/>
    <n v="105"/>
    <n v="607"/>
    <n v="124"/>
    <n v="90"/>
    <n v="84"/>
    <n v="188"/>
    <n v="121"/>
    <n v="520"/>
    <n v="159"/>
    <n v="87"/>
    <n v="64"/>
    <n v="106"/>
    <n v="104"/>
  </r>
  <r>
    <x v="2"/>
    <x v="11"/>
    <n v="12"/>
    <n v="0"/>
    <n v="0"/>
    <n v="0"/>
    <n v="0"/>
    <n v="200"/>
    <n v="5656"/>
    <n v="3439"/>
    <n v="1083"/>
    <n v="1199"/>
    <n v="2243"/>
    <n v="1131"/>
    <n v="673"/>
    <n v="190"/>
    <n v="132"/>
    <n v="76"/>
    <n v="140"/>
    <n v="135"/>
    <n v="449"/>
    <n v="91"/>
    <n v="131"/>
    <n v="63"/>
    <n v="74"/>
    <n v="90"/>
    <n v="553"/>
    <n v="71"/>
    <n v="130"/>
    <n v="181"/>
    <n v="61"/>
    <n v="110"/>
    <n v="1077"/>
    <n v="224"/>
    <n v="155"/>
    <n v="245"/>
    <n v="238"/>
    <n v="215"/>
    <n v="687"/>
    <n v="136"/>
    <n v="177"/>
    <n v="129"/>
    <n v="107"/>
    <n v="138"/>
  </r>
  <r>
    <x v="3"/>
    <x v="0"/>
    <n v="1"/>
    <n v="500"/>
    <n v="0"/>
    <n v="0"/>
    <n v="0"/>
    <n v="0"/>
    <n v="3339"/>
    <n v="5450"/>
    <n v="603"/>
    <n v="1293"/>
    <n v="776"/>
    <n v="667"/>
    <n v="892"/>
    <n v="160"/>
    <n v="167"/>
    <n v="160"/>
    <n v="228"/>
    <n v="177"/>
    <n v="1229"/>
    <n v="250"/>
    <n v="361"/>
    <n v="218"/>
    <n v="154"/>
    <n v="246"/>
    <n v="1149"/>
    <n v="264"/>
    <n v="240"/>
    <n v="151"/>
    <n v="264"/>
    <n v="230"/>
    <n v="1090"/>
    <n v="233"/>
    <n v="226"/>
    <n v="171"/>
    <n v="243"/>
    <n v="217"/>
    <n v="1090"/>
    <n v="126"/>
    <n v="261"/>
    <n v="302"/>
    <n v="183"/>
    <n v="218"/>
  </r>
  <r>
    <x v="3"/>
    <x v="1"/>
    <n v="2"/>
    <n v="500"/>
    <n v="0"/>
    <n v="0"/>
    <n v="0"/>
    <n v="0"/>
    <n v="3312"/>
    <n v="3363"/>
    <n v="670"/>
    <n v="903"/>
    <n v="1077"/>
    <n v="662"/>
    <n v="794"/>
    <n v="94"/>
    <n v="194"/>
    <n v="163"/>
    <n v="184"/>
    <n v="159"/>
    <n v="794"/>
    <n v="200"/>
    <n v="158"/>
    <n v="161"/>
    <n v="116"/>
    <n v="159"/>
    <n v="761"/>
    <n v="156"/>
    <n v="156"/>
    <n v="145"/>
    <n v="152"/>
    <n v="152"/>
    <n v="342"/>
    <n v="65"/>
    <n v="57"/>
    <n v="68"/>
    <n v="83"/>
    <n v="69"/>
    <n v="672"/>
    <n v="143"/>
    <n v="102"/>
    <n v="119"/>
    <n v="173"/>
    <n v="135"/>
  </r>
  <r>
    <x v="3"/>
    <x v="2"/>
    <n v="3"/>
    <n v="500"/>
    <n v="700"/>
    <n v="0"/>
    <n v="0"/>
    <n v="0"/>
    <n v="3806"/>
    <n v="3029"/>
    <n v="1182"/>
    <n v="1093"/>
    <n v="770"/>
    <n v="761"/>
    <n v="699"/>
    <n v="146"/>
    <n v="180"/>
    <n v="81"/>
    <n v="152"/>
    <n v="140"/>
    <n v="438"/>
    <n v="108"/>
    <n v="100"/>
    <n v="90"/>
    <n v="52"/>
    <n v="88"/>
    <n v="699"/>
    <n v="142"/>
    <n v="106"/>
    <n v="209"/>
    <n v="102"/>
    <n v="140"/>
    <n v="587"/>
    <n v="146"/>
    <n v="70"/>
    <n v="78"/>
    <n v="175"/>
    <n v="118"/>
    <n v="606"/>
    <n v="86"/>
    <n v="121"/>
    <n v="154"/>
    <n v="124"/>
    <n v="121"/>
  </r>
  <r>
    <x v="3"/>
    <x v="3"/>
    <n v="4"/>
    <n v="500"/>
    <n v="700"/>
    <n v="0"/>
    <n v="0"/>
    <n v="0"/>
    <n v="3393"/>
    <n v="5954"/>
    <n v="664"/>
    <n v="1082"/>
    <n v="968"/>
    <n v="679"/>
    <n v="1963"/>
    <n v="266"/>
    <n v="588"/>
    <n v="395"/>
    <n v="322"/>
    <n v="392"/>
    <n v="866"/>
    <n v="192"/>
    <n v="161"/>
    <n v="96"/>
    <n v="244"/>
    <n v="173"/>
    <n v="1068"/>
    <n v="205"/>
    <n v="201"/>
    <n v="250"/>
    <n v="198"/>
    <n v="214"/>
    <n v="866"/>
    <n v="267"/>
    <n v="122"/>
    <n v="131"/>
    <n v="172"/>
    <n v="174"/>
    <n v="1191"/>
    <n v="209"/>
    <n v="299"/>
    <n v="231"/>
    <n v="214"/>
    <n v="238"/>
  </r>
  <r>
    <x v="3"/>
    <x v="4"/>
    <n v="5"/>
    <n v="500"/>
    <n v="700"/>
    <n v="0"/>
    <n v="0"/>
    <n v="0"/>
    <n v="4426"/>
    <n v="4149"/>
    <n v="989"/>
    <n v="1276"/>
    <n v="1276"/>
    <n v="885"/>
    <n v="1165"/>
    <n v="351"/>
    <n v="173"/>
    <n v="281"/>
    <n v="126"/>
    <n v="234"/>
    <n v="559"/>
    <n v="118"/>
    <n v="113"/>
    <n v="75"/>
    <n v="141"/>
    <n v="112"/>
    <n v="543"/>
    <n v="115"/>
    <n v="89"/>
    <n v="125"/>
    <n v="105"/>
    <n v="109"/>
    <n v="1053"/>
    <n v="233"/>
    <n v="178"/>
    <n v="190"/>
    <n v="241"/>
    <n v="211"/>
    <n v="829"/>
    <n v="206"/>
    <n v="130"/>
    <n v="125"/>
    <n v="203"/>
    <n v="165"/>
  </r>
  <r>
    <x v="3"/>
    <x v="5"/>
    <n v="6"/>
    <n v="0"/>
    <n v="700"/>
    <n v="800"/>
    <n v="0"/>
    <n v="0"/>
    <n v="5059"/>
    <n v="3756"/>
    <n v="1504"/>
    <n v="1349"/>
    <n v="1194"/>
    <n v="1012"/>
    <n v="644"/>
    <n v="94"/>
    <n v="74"/>
    <n v="182"/>
    <n v="165"/>
    <n v="129"/>
    <n v="715"/>
    <n v="129"/>
    <n v="154"/>
    <n v="170"/>
    <n v="119"/>
    <n v="143"/>
    <n v="787"/>
    <n v="141"/>
    <n v="180"/>
    <n v="193"/>
    <n v="115"/>
    <n v="158"/>
    <n v="859"/>
    <n v="170"/>
    <n v="196"/>
    <n v="205"/>
    <n v="115"/>
    <n v="173"/>
    <n v="751"/>
    <n v="146"/>
    <n v="167"/>
    <n v="121"/>
    <n v="167"/>
    <n v="150"/>
  </r>
  <r>
    <x v="3"/>
    <x v="6"/>
    <n v="7"/>
    <n v="0"/>
    <n v="700"/>
    <n v="800"/>
    <n v="700"/>
    <n v="0"/>
    <n v="4008"/>
    <n v="4790"/>
    <n v="862"/>
    <n v="862"/>
    <n v="1482"/>
    <n v="802"/>
    <n v="465"/>
    <n v="133"/>
    <n v="84"/>
    <n v="104"/>
    <n v="51"/>
    <n v="93"/>
    <n v="1079"/>
    <n v="236"/>
    <n v="126"/>
    <n v="296"/>
    <n v="205"/>
    <n v="216"/>
    <n v="986"/>
    <n v="240"/>
    <n v="199"/>
    <n v="145"/>
    <n v="204"/>
    <n v="198"/>
    <n v="1302"/>
    <n v="237"/>
    <n v="151"/>
    <n v="329"/>
    <n v="324"/>
    <n v="261"/>
    <n v="958"/>
    <n v="208"/>
    <n v="217"/>
    <n v="185"/>
    <n v="156"/>
    <n v="192"/>
  </r>
  <r>
    <x v="3"/>
    <x v="7"/>
    <n v="8"/>
    <n v="0"/>
    <n v="0"/>
    <n v="800"/>
    <n v="700"/>
    <n v="0"/>
    <n v="5801"/>
    <n v="3148"/>
    <n v="2004"/>
    <n v="1266"/>
    <n v="1371"/>
    <n v="1160"/>
    <n v="645"/>
    <n v="91"/>
    <n v="91"/>
    <n v="203"/>
    <n v="131"/>
    <n v="129"/>
    <n v="868"/>
    <n v="159"/>
    <n v="101"/>
    <n v="225"/>
    <n v="209"/>
    <n v="174"/>
    <n v="422"/>
    <n v="127"/>
    <n v="79"/>
    <n v="51"/>
    <n v="81"/>
    <n v="84"/>
    <n v="583"/>
    <n v="122"/>
    <n v="126"/>
    <n v="102"/>
    <n v="117"/>
    <n v="116"/>
    <n v="630"/>
    <n v="108"/>
    <n v="144"/>
    <n v="83"/>
    <n v="169"/>
    <n v="126"/>
  </r>
  <r>
    <x v="3"/>
    <x v="8"/>
    <n v="9"/>
    <n v="0"/>
    <n v="0"/>
    <n v="0"/>
    <n v="700"/>
    <n v="500"/>
    <n v="6078"/>
    <n v="5132"/>
    <n v="1254"/>
    <n v="1715"/>
    <n v="1894"/>
    <n v="1215"/>
    <n v="1485"/>
    <n v="263"/>
    <n v="400"/>
    <n v="185"/>
    <n v="340"/>
    <n v="297"/>
    <n v="721"/>
    <n v="118"/>
    <n v="92"/>
    <n v="195"/>
    <n v="172"/>
    <n v="144"/>
    <n v="808"/>
    <n v="161"/>
    <n v="141"/>
    <n v="198"/>
    <n v="147"/>
    <n v="161"/>
    <n v="1092"/>
    <n v="200"/>
    <n v="274"/>
    <n v="143"/>
    <n v="257"/>
    <n v="218"/>
    <n v="1026"/>
    <n v="270"/>
    <n v="202"/>
    <n v="140"/>
    <n v="209"/>
    <n v="205"/>
  </r>
  <r>
    <x v="3"/>
    <x v="9"/>
    <n v="10"/>
    <n v="0"/>
    <n v="0"/>
    <n v="0"/>
    <n v="0"/>
    <n v="500"/>
    <n v="5196"/>
    <n v="3130"/>
    <n v="1898"/>
    <n v="1130"/>
    <n v="1130"/>
    <n v="1038"/>
    <n v="690"/>
    <n v="121"/>
    <n v="170"/>
    <n v="155"/>
    <n v="106"/>
    <n v="138"/>
    <n v="750"/>
    <n v="200"/>
    <n v="112"/>
    <n v="115"/>
    <n v="173"/>
    <n v="150"/>
    <n v="555"/>
    <n v="72"/>
    <n v="77"/>
    <n v="107"/>
    <n v="187"/>
    <n v="112"/>
    <n v="510"/>
    <n v="147"/>
    <n v="56"/>
    <n v="145"/>
    <n v="60"/>
    <n v="102"/>
    <n v="625"/>
    <n v="81"/>
    <n v="124"/>
    <n v="165"/>
    <n v="129"/>
    <n v="126"/>
  </r>
  <r>
    <x v="3"/>
    <x v="10"/>
    <n v="11"/>
    <n v="0"/>
    <n v="0"/>
    <n v="0"/>
    <n v="0"/>
    <n v="500"/>
    <n v="4809"/>
    <n v="5200"/>
    <n v="1115"/>
    <n v="1726"/>
    <n v="1007"/>
    <n v="961"/>
    <n v="1003"/>
    <n v="219"/>
    <n v="331"/>
    <n v="131"/>
    <n v="121"/>
    <n v="201"/>
    <n v="974"/>
    <n v="189"/>
    <n v="189"/>
    <n v="233"/>
    <n v="169"/>
    <n v="194"/>
    <n v="1446"/>
    <n v="139"/>
    <n v="355"/>
    <n v="350"/>
    <n v="314"/>
    <n v="288"/>
    <n v="738"/>
    <n v="111"/>
    <n v="170"/>
    <n v="141"/>
    <n v="168"/>
    <n v="148"/>
    <n v="1039"/>
    <n v="295"/>
    <n v="139"/>
    <n v="236"/>
    <n v="160"/>
    <n v="209"/>
  </r>
  <r>
    <x v="3"/>
    <x v="11"/>
    <n v="12"/>
    <n v="0"/>
    <n v="0"/>
    <n v="0"/>
    <n v="0"/>
    <n v="500"/>
    <n v="4333"/>
    <n v="5536"/>
    <n v="969"/>
    <n v="1616"/>
    <n v="881"/>
    <n v="867"/>
    <n v="970"/>
    <n v="211"/>
    <n v="154"/>
    <n v="246"/>
    <n v="165"/>
    <n v="194"/>
    <n v="647"/>
    <n v="182"/>
    <n v="105"/>
    <n v="121"/>
    <n v="109"/>
    <n v="130"/>
    <n v="1866"/>
    <n v="452"/>
    <n v="433"/>
    <n v="257"/>
    <n v="351"/>
    <n v="373"/>
    <n v="945"/>
    <n v="166"/>
    <n v="252"/>
    <n v="97"/>
    <n v="241"/>
    <n v="189"/>
    <n v="1108"/>
    <n v="185"/>
    <n v="200"/>
    <n v="239"/>
    <n v="262"/>
    <n v="222"/>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
  <r>
    <x v="0"/>
    <x v="0"/>
  </r>
  <r>
    <x v="1"/>
    <x v="1"/>
  </r>
  <r>
    <x v="2"/>
    <x v="2"/>
  </r>
  <r>
    <x v="3"/>
    <x v="3"/>
  </r>
  <r>
    <x v="4"/>
    <x v="4"/>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
  <r>
    <x v="0"/>
    <x v="0"/>
  </r>
  <r>
    <x v="1"/>
    <x v="1"/>
  </r>
  <r>
    <x v="2"/>
    <x v="2"/>
  </r>
  <r>
    <x v="3"/>
    <x v="3"/>
  </r>
  <r>
    <x v="4"/>
    <x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AEC67C5-11FA-4C2E-8636-985A60A65427}" name="PivotTable6" cacheId="38"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A51:A52" firstHeaderRow="1" firstDataRow="1" firstDataCol="1"/>
  <pivotFields count="44">
    <pivotField axis="axisRow" showAll="0">
      <items count="5">
        <item h="1" x="0"/>
        <item x="1"/>
        <item h="1" x="2"/>
        <item h="1"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0"/>
  </rowFields>
  <rowItems count="1">
    <i>
      <x v="1"/>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F4B0171-A912-4BEB-8F49-8249A1948D80}" name="PivotTable2" cacheId="3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0:H33" firstHeaderRow="0" firstDataRow="1" firstDataCol="1"/>
  <pivotFields count="44">
    <pivotField showAll="0">
      <items count="5">
        <item h="1" x="0"/>
        <item x="1"/>
        <item h="1" x="2"/>
        <item h="1" x="3"/>
        <item t="default"/>
      </items>
    </pivotField>
    <pivotField axis="axisRow" showAll="0">
      <items count="13">
        <item x="0"/>
        <item x="1"/>
        <item x="2"/>
        <item x="3"/>
        <item x="4"/>
        <item x="5"/>
        <item x="6"/>
        <item x="7"/>
        <item x="8"/>
        <item x="9"/>
        <item x="10"/>
        <item x="11"/>
        <item t="default"/>
      </items>
    </pivotField>
    <pivotField showAll="0"/>
    <pivotField dataField="1" showAll="0"/>
    <pivotField dataField="1" showAll="0"/>
    <pivotField dataField="1" showAll="0"/>
    <pivotField dataField="1" showAll="0"/>
    <pivotField dataField="1"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
  </rowFields>
  <rowItems count="13">
    <i>
      <x/>
    </i>
    <i>
      <x v="1"/>
    </i>
    <i>
      <x v="2"/>
    </i>
    <i>
      <x v="3"/>
    </i>
    <i>
      <x v="4"/>
    </i>
    <i>
      <x v="5"/>
    </i>
    <i>
      <x v="6"/>
    </i>
    <i>
      <x v="7"/>
    </i>
    <i>
      <x v="8"/>
    </i>
    <i>
      <x v="9"/>
    </i>
    <i>
      <x v="10"/>
    </i>
    <i>
      <x v="11"/>
    </i>
    <i t="grand">
      <x/>
    </i>
  </rowItems>
  <colFields count="1">
    <field x="-2"/>
  </colFields>
  <colItems count="7">
    <i>
      <x/>
    </i>
    <i i="1">
      <x v="1"/>
    </i>
    <i i="2">
      <x v="2"/>
    </i>
    <i i="3">
      <x v="3"/>
    </i>
    <i i="4">
      <x v="4"/>
    </i>
    <i i="5">
      <x v="5"/>
    </i>
    <i i="6">
      <x v="6"/>
    </i>
  </colItems>
  <dataFields count="7">
    <dataField name="Sum of Target 1" fld="3" baseField="0" baseItem="0"/>
    <dataField name="Sum of Target 2" fld="4" baseField="0" baseItem="0"/>
    <dataField name="Sum of Target 3" fld="5" baseField="0" baseItem="0"/>
    <dataField name="Sum of Target 4" fld="6" baseField="0" baseItem="0"/>
    <dataField name="Sum of Target 5" fld="7" baseField="0" baseItem="0"/>
    <dataField name="Sum of Income" fld="8" baseField="0" baseItem="0"/>
    <dataField name="Sum of Expenses"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DCB338D-B76F-4B90-A74C-E861206ACF42}" name="PivotTable3" cacheId="3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5:B37" firstHeaderRow="1" firstDataRow="1" firstDataCol="1"/>
  <pivotFields count="44">
    <pivotField axis="axisRow" showAll="0">
      <items count="5">
        <item h="1" x="0"/>
        <item x="1"/>
        <item h="1" x="2"/>
        <item h="1" x="3"/>
        <item t="default"/>
      </items>
    </pivotField>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0"/>
  </rowFields>
  <rowItems count="2">
    <i>
      <x v="1"/>
    </i>
    <i t="grand">
      <x/>
    </i>
  </rowItems>
  <colItems count="1">
    <i/>
  </colItems>
  <dataFields count="1">
    <dataField name="Sum of Income"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00D3FD1-9D01-40F8-9452-0FD388F1C3C4}" name="PivotTable4" cacheId="3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4:B49" firstHeaderRow="1" firstDataRow="1" firstDataCol="1"/>
  <pivotFields count="44">
    <pivotField axis="axisRow" showAll="0">
      <items count="5">
        <item x="0"/>
        <item x="1"/>
        <item x="2"/>
        <item x="3"/>
        <item t="default"/>
      </items>
    </pivotField>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0"/>
  </rowFields>
  <rowItems count="5">
    <i>
      <x/>
    </i>
    <i>
      <x v="1"/>
    </i>
    <i>
      <x v="2"/>
    </i>
    <i>
      <x v="3"/>
    </i>
    <i t="grand">
      <x/>
    </i>
  </rowItems>
  <colItems count="1">
    <i/>
  </colItems>
  <dataFields count="1">
    <dataField name="Sum of Income"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D5C34F6-4037-4922-A3A6-0F1BA2BADDBB}" name="PivotTable1" cacheId="38" applyNumberFormats="0" applyBorderFormats="0" applyFontFormats="0" applyPatternFormats="0" applyAlignmentFormats="0" applyWidthHeightFormats="1" dataCaption="Values" updatedVersion="8" minRefreshableVersion="3" showDrill="0" useAutoFormatting="1" itemPrintTitles="1" createdVersion="8" indent="0" outline="1" outlineData="1" multipleFieldFilters="0">
  <location ref="A3:AQ7" firstHeaderRow="0" firstDataRow="1" firstDataCol="1"/>
  <pivotFields count="44">
    <pivotField showAll="0">
      <items count="5">
        <item h="1" x="0"/>
        <item x="1"/>
        <item h="1" x="2"/>
        <item h="1" x="3"/>
        <item t="default"/>
      </items>
    </pivotField>
    <pivotField axis="axisRow" showAll="0">
      <items count="13">
        <item h="1" x="0"/>
        <item h="1" x="1"/>
        <item h="1" x="2"/>
        <item x="3"/>
        <item x="4"/>
        <item x="5"/>
        <item h="1" x="6"/>
        <item h="1" x="7"/>
        <item h="1" x="8"/>
        <item h="1" x="9"/>
        <item h="1" x="10"/>
        <item h="1" x="11"/>
        <item t="default"/>
      </items>
    </pivotField>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s>
  <rowFields count="1">
    <field x="1"/>
  </rowFields>
  <rowItems count="4">
    <i>
      <x v="3"/>
    </i>
    <i>
      <x v="4"/>
    </i>
    <i>
      <x v="5"/>
    </i>
    <i t="grand">
      <x/>
    </i>
  </rowItems>
  <colFields count="1">
    <field x="-2"/>
  </colFields>
  <colItems count="42">
    <i>
      <x/>
    </i>
    <i i="1">
      <x v="1"/>
    </i>
    <i i="2">
      <x v="2"/>
    </i>
    <i i="3">
      <x v="3"/>
    </i>
    <i i="4">
      <x v="4"/>
    </i>
    <i i="5">
      <x v="5"/>
    </i>
    <i i="6">
      <x v="6"/>
    </i>
    <i i="7">
      <x v="7"/>
    </i>
    <i i="8">
      <x v="8"/>
    </i>
    <i i="9">
      <x v="9"/>
    </i>
    <i i="10">
      <x v="10"/>
    </i>
    <i i="11">
      <x v="11"/>
    </i>
    <i i="12">
      <x v="12"/>
    </i>
    <i i="13">
      <x v="13"/>
    </i>
    <i i="14">
      <x v="14"/>
    </i>
    <i i="15">
      <x v="15"/>
    </i>
    <i i="16">
      <x v="16"/>
    </i>
    <i i="17">
      <x v="17"/>
    </i>
    <i i="18">
      <x v="18"/>
    </i>
    <i i="19">
      <x v="19"/>
    </i>
    <i i="20">
      <x v="20"/>
    </i>
    <i i="21">
      <x v="21"/>
    </i>
    <i i="22">
      <x v="22"/>
    </i>
    <i i="23">
      <x v="23"/>
    </i>
    <i i="24">
      <x v="24"/>
    </i>
    <i i="25">
      <x v="25"/>
    </i>
    <i i="26">
      <x v="26"/>
    </i>
    <i i="27">
      <x v="27"/>
    </i>
    <i i="28">
      <x v="28"/>
    </i>
    <i i="29">
      <x v="29"/>
    </i>
    <i i="30">
      <x v="30"/>
    </i>
    <i i="31">
      <x v="31"/>
    </i>
    <i i="32">
      <x v="32"/>
    </i>
    <i i="33">
      <x v="33"/>
    </i>
    <i i="34">
      <x v="34"/>
    </i>
    <i i="35">
      <x v="35"/>
    </i>
    <i i="36">
      <x v="36"/>
    </i>
    <i i="37">
      <x v="37"/>
    </i>
    <i i="38">
      <x v="38"/>
    </i>
    <i i="39">
      <x v="39"/>
    </i>
    <i i="40">
      <x v="40"/>
    </i>
    <i i="41">
      <x v="41"/>
    </i>
  </colItems>
  <dataFields count="42">
    <dataField name="Max of Num Month" fld="2" subtotal="max" baseField="2" baseItem="0"/>
    <dataField name="Sum of Income" fld="8" baseField="0" baseItem="0"/>
    <dataField name="Sum of Expenses" fld="9" baseField="0" baseItem="0"/>
    <dataField name="Sum of Savings" fld="10" baseField="0" baseItem="0"/>
    <dataField name="Sum of Side Job" fld="11" baseField="0" baseItem="0"/>
    <dataField name="Sum of Salary" fld="12" baseField="0" baseItem="0"/>
    <dataField name="Sum of Stock" fld="13" baseField="0" baseItem="0"/>
    <dataField name="Sum of Travel" fld="14" baseField="0" baseItem="0"/>
    <dataField name="Sum of FoodCourt" fld="20" baseField="0" baseItem="0"/>
    <dataField name="Sum of Supermarket" fld="26" baseField="0" baseItem="0"/>
    <dataField name="Sum of Entertainment" fld="32" baseField="0" baseItem="0"/>
    <dataField name="Sum of Workplace" fld="38" baseField="0" baseItem="0"/>
    <dataField name="Sum of Eating T" fld="15" baseField="0" baseItem="0"/>
    <dataField name="Sum of Fuel T" fld="16" baseField="0" baseItem="0"/>
    <dataField name="Sum of Leisure T" fld="17" baseField="0" baseItem="0"/>
    <dataField name="Sum of Shopping T" fld="18" baseField="0" baseItem="0"/>
    <dataField name="Sum of Hobbies T" fld="19" baseField="0" baseItem="0"/>
    <dataField name="Sum of Eating F" fld="21" baseField="0" baseItem="0"/>
    <dataField name="Sum of Fuel F" fld="22" baseField="0" baseItem="0"/>
    <dataField name="Sum of Leisure F" fld="23" baseField="0" baseItem="0"/>
    <dataField name="Sum of Shopping F" fld="24" baseField="0" baseItem="0"/>
    <dataField name="Sum of Hobbies F" fld="25" baseField="0" baseItem="0"/>
    <dataField name="Sum of Eating S" fld="27" baseField="0" baseItem="0"/>
    <dataField name="Sum of Eating E" fld="33" baseField="0" baseItem="0"/>
    <dataField name="Sum of Fuel E" fld="34" baseField="0" baseItem="0"/>
    <dataField name="Sum of Leisure E" fld="35" baseField="0" baseItem="0"/>
    <dataField name="Sum of Shopping E" fld="36" baseField="0" baseItem="0"/>
    <dataField name="Sum of Hobbies E" fld="37" baseField="0" baseItem="0"/>
    <dataField name="Sum of Eating W" fld="39" baseField="0" baseItem="0"/>
    <dataField name="Sum of Fuel W" fld="40" baseField="0" baseItem="0"/>
    <dataField name="Sum of Leisure W" fld="41" baseField="0" baseItem="0"/>
    <dataField name="Sum of Shopping W" fld="42" baseField="0" baseItem="0"/>
    <dataField name="Sum of Hobbies W" fld="43" baseField="0" baseItem="0"/>
    <dataField name="Sum of Fuel S" fld="28" baseField="0" baseItem="0"/>
    <dataField name="Sum of Leisure S" fld="29" baseField="0" baseItem="0"/>
    <dataField name="Sum of Hobbies S" fld="31" baseField="0" baseItem="0"/>
    <dataField name="Sum of Shopping S" fld="30" baseField="0" baseItem="0"/>
    <dataField name="Sum of Target 1" fld="3" baseField="0" baseItem="0"/>
    <dataField name="Sum of Target 2" fld="4" baseField="0" baseItem="0"/>
    <dataField name="Sum of Target 3" fld="5" baseField="0" baseItem="0"/>
    <dataField name="Sum of Target 4" fld="6" baseField="0" baseItem="0"/>
    <dataField name="Sum of Target 5"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A8E1A58-D795-4A90-8FF3-AEF6822EFE67}" name="PivotTable5" cacheId="3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58:A62" firstHeaderRow="1" firstDataRow="1" firstDataCol="1"/>
  <pivotFields count="2">
    <pivotField axis="axisRow" showAll="0">
      <items count="6">
        <item x="3"/>
        <item x="1"/>
        <item x="2"/>
        <item x="0"/>
        <item x="4"/>
        <item t="default"/>
      </items>
    </pivotField>
    <pivotField showAll="0">
      <items count="6">
        <item h="1" x="3"/>
        <item x="1"/>
        <item x="2"/>
        <item x="0"/>
        <item h="1" x="4"/>
        <item t="default"/>
      </items>
    </pivotField>
  </pivotFields>
  <rowFields count="1">
    <field x="0"/>
  </rowFields>
  <rowItems count="4">
    <i>
      <x v="1"/>
    </i>
    <i>
      <x v="2"/>
    </i>
    <i>
      <x v="3"/>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4869F69-4D3D-42FE-AC57-5FC780817C25}" name="PivotTable7" cacheId="4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67:A73" firstHeaderRow="1" firstDataRow="1" firstDataCol="1"/>
  <pivotFields count="2">
    <pivotField axis="axisRow" showAll="0">
      <items count="6">
        <item x="0"/>
        <item x="1"/>
        <item x="4"/>
        <item x="2"/>
        <item x="3"/>
        <item t="default"/>
      </items>
    </pivotField>
    <pivotField showAll="0">
      <items count="6">
        <item x="0"/>
        <item x="1"/>
        <item x="4"/>
        <item x="2"/>
        <item x="3"/>
        <item t="default"/>
      </items>
    </pivotField>
  </pivotFields>
  <rowFields count="1">
    <field x="0"/>
  </rowFields>
  <rowItems count="6">
    <i>
      <x/>
    </i>
    <i>
      <x v="1"/>
    </i>
    <i>
      <x v="2"/>
    </i>
    <i>
      <x v="3"/>
    </i>
    <i>
      <x v="4"/>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EBCAC65D-3186-4093-8234-9E9E16321C61}" sourceName="Year">
  <pivotTables>
    <pivotTable tabId="3" name="PivotTable1"/>
    <pivotTable tabId="3" name="PivotTable2"/>
    <pivotTable tabId="3" name="PivotTable3"/>
    <pivotTable tabId="3" name="PivotTable6"/>
  </pivotTables>
  <data>
    <tabular pivotCacheId="2024102207">
      <items count="4">
        <i x="0"/>
        <i x="1" s="1"/>
        <i x="2"/>
        <i x="3"/>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DB5CD52C-3E65-4C5C-A57D-688FA2026DFF}" sourceName="Month">
  <pivotTables>
    <pivotTable tabId="3" name="PivotTable1"/>
  </pivotTables>
  <data>
    <tabular pivotCacheId="2024102207">
      <items count="12">
        <i x="0"/>
        <i x="1"/>
        <i x="2"/>
        <i x="3" s="1"/>
        <i x="4" s="1"/>
        <i x="5" s="1"/>
        <i x="6"/>
        <i x="7"/>
        <i x="8"/>
        <i x="9"/>
        <i x="10"/>
        <i x="1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uttons" xr10:uid="{ADD711FC-B310-4EF8-B861-0BD9EEA932D6}" sourceName="Buttons">
  <pivotTables>
    <pivotTable tabId="3" name="PivotTable5"/>
  </pivotTables>
  <data>
    <tabular pivotCacheId="1263647192">
      <items count="5">
        <i x="3"/>
        <i x="1" s="1"/>
        <i x="2" s="1"/>
        <i x="0" s="1"/>
        <i x="4"/>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uttons1" xr10:uid="{18AEDB0C-279B-46C6-95FE-AF42762A277F}" sourceName="Buttons">
  <pivotTables>
    <pivotTable tabId="3" name="PivotTable7"/>
  </pivotTables>
  <data>
    <tabular pivotCacheId="1356281640">
      <items count="5">
        <i x="0" s="1"/>
        <i x="1" s="1"/>
        <i x="4" s="1"/>
        <i x="2"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0B6BD931-9A67-49F6-9EA1-1CF5FE3BD82F}" cache="Slicer_Year" caption="Year" columnCount="4" showCaption="0" style="SlicerStyleLight1 2 2 3" rowHeight="247650"/>
  <slicer name="Month" xr10:uid="{AD529311-A607-4A8F-A1F5-6F47B2D00D2E}" cache="Slicer_Month" caption="Month" columnCount="12" showCaption="0" style="SlicerStyleLight1 2 2 3" rowHeight="247650"/>
  <slicer name="Buttons" xr10:uid="{AB0DFCD9-3EFE-415A-9638-CB2BF18CED40}" cache="Slicer_Buttons" caption="Buttons" columnCount="5" showCaption="0" style="SlicerStyleLight1 2 2 3"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5" xr10:uid="{F8D2FF5D-99B6-4F62-8083-80E27B75A989}" cache="Slicer_Year" caption="Year" columnCount="4" showCaption="0" style="SlicerStyleLight1 2 2 3 2" rowHeight="247650"/>
  <slicer name="Month 5" xr10:uid="{FE5BEB38-5FD3-42AF-A4CD-156025B5B764}" cache="Slicer_Month" caption="Month" columnCount="12" showCaption="0" style="SlicerStyleLight1 2 2 3 2" rowHeight="247650"/>
  <slicer name="Buttons 6" xr10:uid="{8C858D15-2CDC-497A-98B0-83CB0ED13FCF}" cache="Slicer_Buttons" caption="Buttons" columnCount="5" showCaption="0" style="SlicerStyleLight1 2 2 3 2" rowHeight="2476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1" xr10:uid="{D8A50551-B52B-4AA3-A131-0B73E2B48E2E}" cache="Slicer_Year" caption="Year" columnCount="4" showCaption="0" style="SlicerStyleLight1 2 2 3" rowHeight="247650"/>
  <slicer name="Month 1" xr10:uid="{EBAD71D5-9300-4199-BA6B-0B56F0C03E36}" cache="Slicer_Month" caption="Month" columnCount="12" showCaption="0" style="SlicerStyleLight1 2 2 3" rowHeight="247650"/>
  <slicer name="Buttons 1" xr10:uid="{4B7FA8F2-31E9-4D79-B381-7498D487D396}" cache="Slicer_Buttons" caption="Buttons" columnCount="5" showCaption="0" style="SlicerStyleLight1 2 2 3" rowHeight="2476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4" xr10:uid="{D7E63F08-5941-423F-B859-EA99E50268C2}" cache="Slicer_Year" caption="Year" columnCount="4" showCaption="0" style="SlicerStyleLight1 2 2 3 2" rowHeight="247650"/>
  <slicer name="Month 4" xr10:uid="{6FDB902B-DE16-4E0E-8F91-DCB763C39737}" cache="Slicer_Month" caption="Month" columnCount="12" showCaption="0" style="SlicerStyleLight1 2 2 3 2" rowHeight="247650"/>
  <slicer name="Buttons 5" xr10:uid="{8EFCB270-9505-4934-98F1-C21858ABBEC4}" cache="Slicer_Buttons" caption="Buttons" columnCount="5" showCaption="0" style="SlicerStyleLight1 2 2 3 2" rowHeight="24765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2" xr10:uid="{637CC912-DA6B-4CCD-8D2F-F93B89E745D7}" cache="Slicer_Year" caption="Year" columnCount="4" showCaption="0" style="SlicerStyleLight1 2 2 3" rowHeight="247650"/>
  <slicer name="Month 2" xr10:uid="{62B2EEA5-8B74-4843-B597-709DADE6D57D}" cache="Slicer_Month" caption="Month" columnCount="12" showCaption="0" style="SlicerStyleLight1 2 2 3" rowHeight="247650"/>
  <slicer name="Buttons 2" xr10:uid="{66CDAC73-1ECB-41DC-8330-2F75C87FA758}" cache="Slicer_Buttons" caption="Buttons" columnCount="5" showCaption="0" style="SlicerStyleLight1 2 2 3" rowHeight="247650"/>
</slicers>
</file>

<file path=xl/slicers/slicer6.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6" xr10:uid="{CEBD770E-C078-47EE-9643-90B92C91278B}" cache="Slicer_Year" caption="Year" columnCount="4" showCaption="0" style="SlicerStyleLight1 2 2 3 2" rowHeight="247650"/>
  <slicer name="Month 6" xr10:uid="{4B2B3E35-B8AC-42A3-813D-6FB59CC2F80E}" cache="Slicer_Month" caption="Month" columnCount="12" showCaption="0" style="SlicerStyleLight1 2 2 3 2" rowHeight="247650"/>
  <slicer name="Buttons 7" xr10:uid="{384B022E-9112-4647-8B41-6BDC58DDB2A5}" cache="Slicer_Buttons" caption="Buttons" columnCount="5" showCaption="0" style="SlicerStyleLight1 2 2 3 2" rowHeight="247650"/>
</slicers>
</file>

<file path=xl/slicers/slicer7.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3" xr10:uid="{6CB28C7B-12C1-463F-A96A-74EDDBD6487B}" cache="Slicer_Year" caption="Year" columnCount="4" showCaption="0" style="SlicerStyleLight1 2 2 3" rowHeight="247650"/>
  <slicer name="Month 3" xr10:uid="{5F4DFB91-89E1-4A5A-B42C-B556F642B52E}" cache="Slicer_Month" caption="Month" columnCount="12" showCaption="0" style="SlicerStyleLight1 2 2 3" rowHeight="247650"/>
  <slicer name="Buttons 3" xr10:uid="{AE9D8B84-5134-4D24-A1A1-2C7A428E6573}" cache="Slicer_Buttons" caption="Buttons" columnCount="5" showCaption="0" style="SlicerStyleLight1 2 2 3" rowHeight="247650"/>
  <slicer name="Buttons 4" xr10:uid="{6290B53B-1173-4171-B25A-82717305AB9B}" cache="Slicer_Buttons1" caption="Buttons" columnCount="5" showCaption="0" style="SlicerStyleLight1 2 2 3" rowHeight="247650"/>
</slicers>
</file>

<file path=xl/slicers/slicer8.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7" xr10:uid="{87512482-B11F-40FD-B271-850A357C5260}" cache="Slicer_Year" caption="Year" columnCount="4" showCaption="0" style="SlicerStyleLight1 2 2 3 2" rowHeight="247650"/>
  <slicer name="Month 7" xr10:uid="{33971A63-273E-481B-9A21-52F3E9353BDE}" cache="Slicer_Month" caption="Month" columnCount="12" showCaption="0" style="SlicerStyleLight1 2 2 3 2" rowHeight="247650"/>
  <slicer name="Buttons 8" xr10:uid="{76D2CFE0-78F6-42FA-AF38-586ACC86963A}" cache="Slicer_Buttons" caption="Buttons" columnCount="5" showCaption="0" style="SlicerStyleLight1 2 2 3 2" rowHeight="247650"/>
  <slicer name="Buttons 9" xr10:uid="{9B3C7A0C-56D6-4CDD-A786-B0E336654401}" cache="Slicer_Buttons1" caption="Buttons" columnCount="5" showCaption="0" style="SlicerStyleLight1 2 2 3 2"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357B864-EA72-48E9-BCA0-2047FB2723BD}" name="mydata" displayName="mydata" ref="A1:AR49" totalsRowShown="0" headerRowDxfId="49" dataDxfId="48">
  <autoFilter ref="A1:AR49" xr:uid="{9357B864-EA72-48E9-BCA0-2047FB2723BD}"/>
  <tableColumns count="44">
    <tableColumn id="1" xr3:uid="{1501153C-3828-4CE3-ACD2-FF3ED8BE307D}" name="Year" dataDxfId="47"/>
    <tableColumn id="3" xr3:uid="{9ACE00C5-C96D-491F-AF5A-55B8A5FFFD91}" name="Month" dataDxfId="46"/>
    <tableColumn id="2" xr3:uid="{B0271280-9A5E-4DB0-9D1D-11A73F7B493D}" name="Num Month" dataDxfId="45"/>
    <tableColumn id="4" xr3:uid="{93A0E8E5-9B86-4CD9-9716-79EB08AC9590}" name="Target 1" dataDxfId="44"/>
    <tableColumn id="5" xr3:uid="{76128D54-C855-464F-90A5-0B37D750B923}" name="Target 2" dataDxfId="43"/>
    <tableColumn id="6" xr3:uid="{998E3734-0966-419A-959C-221BE183B6CB}" name="Target 3" dataDxfId="42"/>
    <tableColumn id="7" xr3:uid="{10C4493F-1FDE-41DB-BFE2-035116C33DA4}" name="Target 4" dataDxfId="41"/>
    <tableColumn id="8" xr3:uid="{AD9097D6-0F68-437C-B8AE-291975AD83E8}" name="Target 5" dataDxfId="40"/>
    <tableColumn id="9" xr3:uid="{FBAC2765-A3EC-4788-851C-4B21CC353677}" name="Income" dataDxfId="39"/>
    <tableColumn id="10" xr3:uid="{DE358032-DF45-414B-A293-0DDDC15D942D}" name="Expenses" dataDxfId="38"/>
    <tableColumn id="11" xr3:uid="{87EFB0E9-300E-4758-8A50-FEA6BE3B2D30}" name="Savings" dataDxfId="37"/>
    <tableColumn id="12" xr3:uid="{FE5B26A4-89A4-453C-863D-29F418D03A22}" name="Side Job" dataDxfId="36"/>
    <tableColumn id="13" xr3:uid="{F51F66F3-4113-4AAF-9D5B-ED27EE2E504A}" name="Salary" dataDxfId="35"/>
    <tableColumn id="14" xr3:uid="{69E3BB7B-A741-437C-A24D-1A2EAEE547FA}" name="Stock" dataDxfId="34"/>
    <tableColumn id="15" xr3:uid="{15F85EDD-120A-46C2-9CD1-04C0597EF5EE}" name="Travel" dataDxfId="33"/>
    <tableColumn id="24" xr3:uid="{A3517DA2-F598-4950-83FC-B0D3E610D3F0}" name="Eating T" dataDxfId="32"/>
    <tableColumn id="23" xr3:uid="{4E7B8644-534B-4EE4-B970-0B42B4EDA0FB}" name="Fuel T" dataDxfId="31"/>
    <tableColumn id="22" xr3:uid="{4DD0D90A-CA1A-4F23-8F9A-801D70634539}" name="Leisure T" dataDxfId="30"/>
    <tableColumn id="21" xr3:uid="{5414FD74-2902-44B2-89E7-FF2881ED2D17}" name="Shopping T" dataDxfId="29"/>
    <tableColumn id="20" xr3:uid="{1BFB8121-6B2C-4B6B-A4F3-4D76AC55C0CC}" name="Hobbies T" dataDxfId="28"/>
    <tableColumn id="16" xr3:uid="{580EF226-17BA-41D8-ADD3-81380896629F}" name="FoodCourt" dataDxfId="27"/>
    <tableColumn id="30" xr3:uid="{ECD666EE-1DF1-4431-8641-D0158308D320}" name="Eating F" dataDxfId="26"/>
    <tableColumn id="29" xr3:uid="{5D55E634-6312-45DA-84F1-E9631F28CB6B}" name="Fuel F" dataDxfId="25"/>
    <tableColumn id="28" xr3:uid="{5E1A4653-376F-4254-8FE1-2E7890514A58}" name="Leisure F" dataDxfId="24"/>
    <tableColumn id="27" xr3:uid="{84B2EA94-EEA7-4A8A-B2B7-D598D1EC16B2}" name="Shopping F" dataDxfId="23"/>
    <tableColumn id="26" xr3:uid="{3FA3A5AA-91D9-4FCB-A1C0-10F644B44855}" name="Hobbies F" dataDxfId="22"/>
    <tableColumn id="17" xr3:uid="{43A37913-2347-4BE1-8A9E-469894B90C99}" name="Supermarket" dataDxfId="21"/>
    <tableColumn id="35" xr3:uid="{AE5010BF-C8EF-4FE3-B51C-5564363920FB}" name="Eating S" dataDxfId="20"/>
    <tableColumn id="34" xr3:uid="{3B907940-06CF-47D7-A91E-538DDED5FA36}" name="Fuel S" dataDxfId="19"/>
    <tableColumn id="33" xr3:uid="{5C27A349-1068-45D0-926D-15187DCA8826}" name="Leisure S" dataDxfId="18"/>
    <tableColumn id="32" xr3:uid="{E0C73392-55EC-4F53-A7EC-55D4D9280FF2}" name="Shopping S" dataDxfId="17"/>
    <tableColumn id="31" xr3:uid="{46EFC364-4D49-4051-81F7-AA10C3945CF2}" name="Hobbies S" dataDxfId="16"/>
    <tableColumn id="18" xr3:uid="{A2D78A65-3C8C-436D-8B4D-ED01D2EE72F8}" name="Entertainment" dataDxfId="15"/>
    <tableColumn id="40" xr3:uid="{1DBCD8E7-F720-4770-9A4B-DF51F65BF664}" name="Eating E" dataDxfId="14"/>
    <tableColumn id="39" xr3:uid="{76626CF1-1761-418D-B437-8770D56B2391}" name="Fuel E" dataDxfId="13"/>
    <tableColumn id="38" xr3:uid="{B8EE7E28-A4BF-4EF5-9A5C-83E3613FE949}" name="Leisure E" dataDxfId="12"/>
    <tableColumn id="37" xr3:uid="{86A9B85B-7354-4BFC-926B-D67FE0D28A0B}" name="Shopping E" dataDxfId="11"/>
    <tableColumn id="36" xr3:uid="{437868F2-363F-4E66-AE05-3F72DBF7E3F2}" name="Hobbies E" dataDxfId="10"/>
    <tableColumn id="19" xr3:uid="{BAF81944-0587-4ED7-876E-D82249199E76}" name="Workplace" dataDxfId="9"/>
    <tableColumn id="41" xr3:uid="{8C968909-6039-4F1F-ABC1-0FD9811386D4}" name="Eating W" dataDxfId="8"/>
    <tableColumn id="42" xr3:uid="{3E1DE32E-5516-4E15-B9BD-9F17214CDBFA}" name="Fuel W" dataDxfId="7"/>
    <tableColumn id="43" xr3:uid="{C9F46616-22E8-4FB5-95AA-5EC59FF79F22}" name="Leisure W" dataDxfId="6"/>
    <tableColumn id="44" xr3:uid="{63952494-B85A-467F-99CA-7D84B995D5C4}" name="Shopping W" dataDxfId="5"/>
    <tableColumn id="45" xr3:uid="{A818AF89-6CC7-4738-9D33-99D4A1EA996E}" name="Hobbies W" dataDxfId="4"/>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2" Type="http://schemas.microsoft.com/office/2007/relationships/slicer" Target="../slicers/slicer4.xml"/><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2" Type="http://schemas.microsoft.com/office/2007/relationships/slicer" Target="../slicers/slicer5.xml"/><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2" Type="http://schemas.microsoft.com/office/2007/relationships/slicer" Target="../slicers/slicer6.xml"/><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2" Type="http://schemas.microsoft.com/office/2007/relationships/slicer" Target="../slicers/slicer7.xml"/><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2" Type="http://schemas.microsoft.com/office/2007/relationships/slicer" Target="../slicers/slicer8.xml"/><Relationship Id="rId1" Type="http://schemas.openxmlformats.org/officeDocument/2006/relationships/drawing" Target="../drawings/drawing8.xml"/></Relationships>
</file>

<file path=xl/worksheets/_rels/sheet10.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222F6A-E984-4425-96D7-915E7A7A0F71}">
  <dimension ref="A47:H48"/>
  <sheetViews>
    <sheetView showRowColHeaders="0" tabSelected="1" zoomScale="90" zoomScaleNormal="90" workbookViewId="0"/>
  </sheetViews>
  <sheetFormatPr defaultRowHeight="15" x14ac:dyDescent="0.25"/>
  <sheetData>
    <row r="47" spans="1:8" ht="15" customHeight="1" x14ac:dyDescent="0.55000000000000004">
      <c r="A47" s="82"/>
      <c r="B47" s="82"/>
      <c r="C47" s="82"/>
      <c r="D47" s="82"/>
      <c r="E47" s="82"/>
      <c r="F47" s="82"/>
      <c r="G47" s="82"/>
      <c r="H47" s="82"/>
    </row>
    <row r="48" spans="1:8" ht="15" customHeight="1" x14ac:dyDescent="0.55000000000000004">
      <c r="A48" s="82"/>
      <c r="B48" s="82"/>
      <c r="C48" s="82"/>
      <c r="D48" s="82"/>
      <c r="E48" s="82"/>
      <c r="F48" s="82"/>
      <c r="G48" s="82"/>
      <c r="H48" s="82"/>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E716AD-F602-4118-B98E-B34BF20D56B0}">
  <dimension ref="A47:H48"/>
  <sheetViews>
    <sheetView showRowColHeaders="0" zoomScale="90" zoomScaleNormal="90" workbookViewId="0"/>
  </sheetViews>
  <sheetFormatPr defaultRowHeight="15" x14ac:dyDescent="0.25"/>
  <sheetData>
    <row r="47" spans="1:8" ht="15" customHeight="1" x14ac:dyDescent="0.55000000000000004">
      <c r="A47" s="82"/>
      <c r="B47" s="82"/>
      <c r="C47" s="82"/>
      <c r="D47" s="82"/>
      <c r="E47" s="82"/>
      <c r="F47" s="82"/>
      <c r="G47" s="82"/>
      <c r="H47" s="82"/>
    </row>
    <row r="48" spans="1:8" ht="15" customHeight="1" x14ac:dyDescent="0.55000000000000004">
      <c r="A48" s="82"/>
      <c r="B48" s="82"/>
      <c r="C48" s="82"/>
      <c r="D48" s="82"/>
      <c r="E48" s="82"/>
      <c r="F48" s="82"/>
      <c r="G48" s="82"/>
      <c r="H48" s="82"/>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A92CF7-D219-4394-92E9-73454352194D}">
  <dimension ref="A47:H48"/>
  <sheetViews>
    <sheetView showRowColHeaders="0" zoomScale="90" zoomScaleNormal="90" workbookViewId="0"/>
  </sheetViews>
  <sheetFormatPr defaultRowHeight="15" x14ac:dyDescent="0.25"/>
  <sheetData>
    <row r="47" spans="1:8" ht="15" customHeight="1" x14ac:dyDescent="0.55000000000000004">
      <c r="A47" s="82"/>
      <c r="B47" s="82"/>
      <c r="C47" s="82"/>
      <c r="D47" s="82"/>
      <c r="E47" s="82"/>
      <c r="F47" s="82"/>
      <c r="G47" s="82"/>
      <c r="H47" s="82"/>
    </row>
    <row r="48" spans="1:8" ht="15" customHeight="1" x14ac:dyDescent="0.55000000000000004">
      <c r="A48" s="82"/>
      <c r="B48" s="82"/>
      <c r="C48" s="82"/>
      <c r="D48" s="82"/>
      <c r="E48" s="82"/>
      <c r="F48" s="82"/>
      <c r="G48" s="82"/>
      <c r="H48" s="82"/>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B4E727-0E3D-4074-A3D9-72C322A6C3E1}">
  <dimension ref="A47:H48"/>
  <sheetViews>
    <sheetView showRowColHeaders="0" zoomScale="90" zoomScaleNormal="90" workbookViewId="0"/>
  </sheetViews>
  <sheetFormatPr defaultRowHeight="15" x14ac:dyDescent="0.25"/>
  <sheetData>
    <row r="47" spans="1:8" ht="15" customHeight="1" x14ac:dyDescent="0.55000000000000004">
      <c r="A47" s="82"/>
      <c r="B47" s="82"/>
      <c r="C47" s="82"/>
      <c r="D47" s="82"/>
      <c r="E47" s="82"/>
      <c r="F47" s="82"/>
      <c r="G47" s="82"/>
      <c r="H47" s="82"/>
    </row>
    <row r="48" spans="1:8" ht="15" customHeight="1" x14ac:dyDescent="0.55000000000000004">
      <c r="A48" s="82"/>
      <c r="B48" s="82"/>
      <c r="C48" s="82"/>
      <c r="D48" s="82"/>
      <c r="E48" s="82"/>
      <c r="F48" s="82"/>
      <c r="G48" s="82"/>
      <c r="H48" s="82"/>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5CA6EF-B498-4F65-9775-B448EE13F328}">
  <dimension ref="A47:H48"/>
  <sheetViews>
    <sheetView showRowColHeaders="0" zoomScale="90" zoomScaleNormal="90" workbookViewId="0"/>
  </sheetViews>
  <sheetFormatPr defaultRowHeight="15" x14ac:dyDescent="0.25"/>
  <sheetData>
    <row r="47" spans="1:8" ht="15" customHeight="1" x14ac:dyDescent="0.55000000000000004">
      <c r="A47" s="82"/>
      <c r="B47" s="82"/>
      <c r="C47" s="82"/>
      <c r="D47" s="82"/>
      <c r="E47" s="82"/>
      <c r="F47" s="82"/>
      <c r="G47" s="82"/>
      <c r="H47" s="82"/>
    </row>
    <row r="48" spans="1:8" ht="15" customHeight="1" x14ac:dyDescent="0.55000000000000004">
      <c r="A48" s="82"/>
      <c r="B48" s="82"/>
      <c r="C48" s="82"/>
      <c r="D48" s="82"/>
      <c r="E48" s="82"/>
      <c r="F48" s="82"/>
      <c r="G48" s="82"/>
      <c r="H48" s="82"/>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1E9503-5299-4227-9C47-624950393F36}">
  <dimension ref="A47:H48"/>
  <sheetViews>
    <sheetView showRowColHeaders="0" zoomScale="90" zoomScaleNormal="90" workbookViewId="0"/>
  </sheetViews>
  <sheetFormatPr defaultRowHeight="15" x14ac:dyDescent="0.25"/>
  <sheetData>
    <row r="47" spans="1:8" ht="15" customHeight="1" x14ac:dyDescent="0.55000000000000004">
      <c r="A47" s="82"/>
      <c r="B47" s="82"/>
      <c r="C47" s="82"/>
      <c r="D47" s="82"/>
      <c r="E47" s="82"/>
      <c r="F47" s="82"/>
      <c r="G47" s="82"/>
      <c r="H47" s="82"/>
    </row>
    <row r="48" spans="1:8" ht="15" customHeight="1" x14ac:dyDescent="0.55000000000000004">
      <c r="A48" s="82"/>
      <c r="B48" s="82"/>
      <c r="C48" s="82"/>
      <c r="D48" s="82"/>
      <c r="E48" s="82"/>
      <c r="F48" s="82"/>
      <c r="G48" s="82"/>
      <c r="H48" s="82"/>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F4E8C3-6384-43DA-8335-B5B7ADE21F69}">
  <dimension ref="A47:H48"/>
  <sheetViews>
    <sheetView showRowColHeaders="0" zoomScale="90" zoomScaleNormal="90" workbookViewId="0"/>
  </sheetViews>
  <sheetFormatPr defaultRowHeight="15" x14ac:dyDescent="0.25"/>
  <sheetData>
    <row r="47" spans="1:8" ht="15" customHeight="1" x14ac:dyDescent="0.55000000000000004">
      <c r="A47" s="82"/>
      <c r="B47" s="82"/>
      <c r="C47" s="82"/>
      <c r="D47" s="82"/>
      <c r="E47" s="82"/>
      <c r="F47" s="82"/>
      <c r="G47" s="82"/>
      <c r="H47" s="82"/>
    </row>
    <row r="48" spans="1:8" ht="15" customHeight="1" x14ac:dyDescent="0.55000000000000004">
      <c r="A48" s="82"/>
      <c r="B48" s="82"/>
      <c r="C48" s="82"/>
      <c r="D48" s="82"/>
      <c r="E48" s="82"/>
      <c r="F48" s="82"/>
      <c r="G48" s="82"/>
      <c r="H48" s="82"/>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A889B2-695B-4E3B-BBB8-B377A69D4232}">
  <dimension ref="A47:H48"/>
  <sheetViews>
    <sheetView showRowColHeaders="0" topLeftCell="A34" zoomScale="90" zoomScaleNormal="90" workbookViewId="0">
      <selection activeCell="A47" sqref="A47"/>
    </sheetView>
  </sheetViews>
  <sheetFormatPr defaultRowHeight="15" x14ac:dyDescent="0.25"/>
  <sheetData>
    <row r="47" spans="1:8" ht="15" customHeight="1" x14ac:dyDescent="0.55000000000000004">
      <c r="A47" s="82"/>
      <c r="B47" s="82"/>
      <c r="C47" s="82"/>
      <c r="D47" s="82"/>
      <c r="E47" s="82"/>
      <c r="F47" s="82"/>
      <c r="G47" s="82"/>
      <c r="H47" s="82"/>
    </row>
    <row r="48" spans="1:8" ht="15" customHeight="1" x14ac:dyDescent="0.55000000000000004">
      <c r="A48" s="82"/>
      <c r="B48" s="82"/>
      <c r="C48" s="82"/>
      <c r="D48" s="82"/>
      <c r="E48" s="82"/>
      <c r="F48" s="82"/>
      <c r="G48" s="82"/>
      <c r="H48" s="82"/>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50D91D-BB1D-4473-BB0C-3E4D972C9B5D}">
  <dimension ref="A1:Z77"/>
  <sheetViews>
    <sheetView topLeftCell="A7" zoomScaleNormal="100" workbookViewId="0">
      <selection activeCell="A11" sqref="A11"/>
    </sheetView>
  </sheetViews>
  <sheetFormatPr defaultRowHeight="15" x14ac:dyDescent="0.25"/>
  <cols>
    <col min="4" max="4" width="12.28515625" customWidth="1"/>
    <col min="9" max="9" width="9.5703125" customWidth="1"/>
    <col min="14" max="17" width="8.85546875" customWidth="1"/>
    <col min="20" max="20" width="11.28515625" bestFit="1" customWidth="1"/>
  </cols>
  <sheetData>
    <row r="1" spans="1:26" x14ac:dyDescent="0.25">
      <c r="C1" s="2" t="s">
        <v>24</v>
      </c>
      <c r="D1" s="2" t="s">
        <v>25</v>
      </c>
      <c r="E1" s="2" t="s">
        <v>26</v>
      </c>
      <c r="F1" s="2" t="s">
        <v>27</v>
      </c>
      <c r="G1" s="2" t="s">
        <v>28</v>
      </c>
      <c r="I1" s="1" t="s">
        <v>49</v>
      </c>
      <c r="O1" s="79" t="s">
        <v>60</v>
      </c>
      <c r="P1" s="80"/>
      <c r="Q1" s="81"/>
      <c r="S1" s="1" t="s">
        <v>29</v>
      </c>
      <c r="T1" s="1" t="s">
        <v>145</v>
      </c>
      <c r="U1" s="1" t="s">
        <v>146</v>
      </c>
      <c r="V1" s="1" t="s">
        <v>147</v>
      </c>
    </row>
    <row r="2" spans="1:26" x14ac:dyDescent="0.25">
      <c r="A2" s="1" t="s">
        <v>59</v>
      </c>
      <c r="B2" s="1" t="s">
        <v>0</v>
      </c>
      <c r="C2" s="2"/>
      <c r="D2" s="2"/>
      <c r="E2" s="2"/>
      <c r="F2" s="2"/>
      <c r="G2" s="2"/>
      <c r="H2" s="6" t="s">
        <v>16</v>
      </c>
      <c r="I2" s="2">
        <f>MAX(Control!A52:A55)</f>
        <v>2028</v>
      </c>
      <c r="J2" s="1" t="s">
        <v>20</v>
      </c>
      <c r="L2" s="1" t="s">
        <v>21</v>
      </c>
      <c r="M2" s="1" t="s">
        <v>22</v>
      </c>
      <c r="N2" s="1" t="s">
        <v>23</v>
      </c>
      <c r="O2" s="16" t="s">
        <v>148</v>
      </c>
      <c r="P2" s="16" t="s">
        <v>149</v>
      </c>
      <c r="Q2" s="16" t="s">
        <v>150</v>
      </c>
      <c r="S2" s="13" cm="1">
        <f t="array" ref="S2">SUM(W2:W5*U2:U5)</f>
        <v>50000</v>
      </c>
      <c r="T2" s="13">
        <f>SUM(F18:INDEX(F18:F29,I4))</f>
        <v>17954</v>
      </c>
      <c r="U2" s="4">
        <v>40000</v>
      </c>
      <c r="V2" s="2">
        <v>2027</v>
      </c>
      <c r="W2" t="b">
        <f>ISNUMBER(MATCH(V2,Control!$A$52:$A$55,0))</f>
        <v>0</v>
      </c>
    </row>
    <row r="3" spans="1:26" x14ac:dyDescent="0.25">
      <c r="A3" s="2">
        <v>1</v>
      </c>
      <c r="B3" s="2" t="s">
        <v>1</v>
      </c>
      <c r="C3" s="2">
        <f>GETPIVOTDATA(""&amp;C$1,Control!$A$20,"Month",""&amp;$B3)</f>
        <v>400</v>
      </c>
      <c r="D3" s="2">
        <f>GETPIVOTDATA(""&amp;D$1,Control!$A$20,"Month",""&amp;$B3)</f>
        <v>0</v>
      </c>
      <c r="E3" s="2">
        <f>GETPIVOTDATA(""&amp;E$1,Control!$A$20,"Month",""&amp;$B3)</f>
        <v>0</v>
      </c>
      <c r="F3" s="2">
        <f>GETPIVOTDATA(""&amp;F$1,Control!$A$20,"Month",""&amp;$B3)</f>
        <v>0</v>
      </c>
      <c r="G3" s="2">
        <f>GETPIVOTDATA(""&amp;G$1,Control!$A$20,"Month",""&amp;$B3)</f>
        <v>0</v>
      </c>
      <c r="H3" s="7" t="e">
        <f>IF(ISNUMBER(GETPIVOTDATA("Num Month",Control!$A$3,"Month",""&amp;B3)),100%,NA())</f>
        <v>#N/A</v>
      </c>
      <c r="I3" s="1" t="s">
        <v>0</v>
      </c>
      <c r="J3" s="5" t="s">
        <v>24</v>
      </c>
      <c r="K3" s="26">
        <f>GETPIVOTDATA(""&amp;J3,Control!$A$3)</f>
        <v>0</v>
      </c>
      <c r="L3" s="2" cm="1">
        <f t="array" ref="L3">COUNTIFS(INDEX($C$1:$G$1,1,A3):INDEX($C$2:$G$14,MATCH(TRUE,INDEX($C$2:$G$14,,A3)&gt;0,0)-1,A3),0)+O3</f>
        <v>0.2</v>
      </c>
      <c r="M3" s="2">
        <f>COUNTIF(INDEX($C$3:$G$14,,A3),"&gt;0")-P3</f>
        <v>1.8</v>
      </c>
      <c r="N3" s="2">
        <f>12-SUM(L3:M3)</f>
        <v>10</v>
      </c>
      <c r="O3" s="17">
        <v>0.2</v>
      </c>
      <c r="P3" s="17">
        <v>0.2</v>
      </c>
      <c r="Q3" s="17">
        <v>0</v>
      </c>
      <c r="S3" s="9">
        <f>1-T3</f>
        <v>0.64091999999999993</v>
      </c>
      <c r="T3" s="9">
        <f>T2/S2</f>
        <v>0.35908000000000001</v>
      </c>
      <c r="U3" s="4">
        <v>50000</v>
      </c>
      <c r="V3" s="2">
        <v>2028</v>
      </c>
      <c r="W3" t="b">
        <f>ISNUMBER(MATCH(V3,Control!$A$52:$A$55,0))</f>
        <v>1</v>
      </c>
    </row>
    <row r="4" spans="1:26" x14ac:dyDescent="0.25">
      <c r="A4" s="2">
        <v>2</v>
      </c>
      <c r="B4" s="2" t="s">
        <v>2</v>
      </c>
      <c r="C4" s="2">
        <f>GETPIVOTDATA(""&amp;C$1,Control!$A$20,"Month",""&amp;$B4)</f>
        <v>400</v>
      </c>
      <c r="D4" s="2">
        <f>GETPIVOTDATA(""&amp;D$1,Control!$A$20,"Month",""&amp;$B4)</f>
        <v>500</v>
      </c>
      <c r="E4" s="2">
        <f>GETPIVOTDATA(""&amp;E$1,Control!$A$20,"Month",""&amp;$B4)</f>
        <v>0</v>
      </c>
      <c r="F4" s="2">
        <f>GETPIVOTDATA(""&amp;F$1,Control!$A$20,"Month",""&amp;$B4)</f>
        <v>0</v>
      </c>
      <c r="G4" s="2">
        <f>GETPIVOTDATA(""&amp;G$1,Control!$A$20,"Month",""&amp;$B4)</f>
        <v>0</v>
      </c>
      <c r="H4" s="7" t="e">
        <f>IF(ISNUMBER(GETPIVOTDATA("Num Month",Control!$A$3,"Month",""&amp;B4)),100%,NA())</f>
        <v>#N/A</v>
      </c>
      <c r="I4" s="2">
        <f>GETPIVOTDATA("Max of Num Month",Control!$A$3)</f>
        <v>6</v>
      </c>
      <c r="J4" s="5" t="s">
        <v>25</v>
      </c>
      <c r="K4" s="26">
        <f>GETPIVOTDATA(""&amp;J4,Control!$A$3)</f>
        <v>500</v>
      </c>
      <c r="L4" s="2" cm="1">
        <f t="array" ref="L4">COUNTIFS(INDEX($C$1:$G$1,1,A4):INDEX($C$2:$G$14,MATCH(TRUE,INDEX($C$2:$G$14,,A4)&gt;0,0)-1,A4),0)+O4</f>
        <v>1</v>
      </c>
      <c r="M4" s="2">
        <f>COUNTIF(INDEX($C$3:$G$14,,A4),"&gt;0")-P4</f>
        <v>3</v>
      </c>
      <c r="N4" s="2">
        <f>12-SUM(L4:M4)</f>
        <v>8</v>
      </c>
      <c r="O4" s="17">
        <v>0</v>
      </c>
      <c r="P4" s="17">
        <v>0</v>
      </c>
      <c r="Q4" s="17">
        <v>0</v>
      </c>
      <c r="S4" s="25" t="s">
        <v>32</v>
      </c>
      <c r="T4" s="25"/>
      <c r="U4" s="4">
        <v>50000</v>
      </c>
      <c r="V4" s="2">
        <v>2029</v>
      </c>
      <c r="W4" t="b">
        <f>ISNUMBER(MATCH(V4,Control!$A$52:$A$55,0))</f>
        <v>0</v>
      </c>
    </row>
    <row r="5" spans="1:26" x14ac:dyDescent="0.25">
      <c r="A5" s="2">
        <v>3</v>
      </c>
      <c r="B5" s="2" t="s">
        <v>3</v>
      </c>
      <c r="C5" s="2">
        <f>GETPIVOTDATA(""&amp;C$1,Control!$A$20,"Month",""&amp;$B5)</f>
        <v>0</v>
      </c>
      <c r="D5" s="2">
        <f>GETPIVOTDATA(""&amp;D$1,Control!$A$20,"Month",""&amp;$B5)</f>
        <v>500</v>
      </c>
      <c r="E5" s="2">
        <f>GETPIVOTDATA(""&amp;E$1,Control!$A$20,"Month",""&amp;$B5)</f>
        <v>0</v>
      </c>
      <c r="F5" s="2">
        <f>GETPIVOTDATA(""&amp;F$1,Control!$A$20,"Month",""&amp;$B5)</f>
        <v>0</v>
      </c>
      <c r="G5" s="2">
        <f>GETPIVOTDATA(""&amp;G$1,Control!$A$20,"Month",""&amp;$B5)</f>
        <v>0</v>
      </c>
      <c r="H5" s="7" t="e">
        <f>IF(ISNUMBER(GETPIVOTDATA("Num Month",Control!$A$3,"Month",""&amp;B5)),100%,NA())</f>
        <v>#N/A</v>
      </c>
      <c r="I5" s="2" t="str" cm="1">
        <f t="array" ref="I5">INDEX(B3:B14,I4)</f>
        <v>JUN</v>
      </c>
      <c r="J5" s="5" t="s">
        <v>26</v>
      </c>
      <c r="K5" s="26">
        <f>GETPIVOTDATA(""&amp;J5,Control!$A$3)</f>
        <v>1400</v>
      </c>
      <c r="L5" s="2" cm="1">
        <f t="array" ref="L5">COUNTIFS(INDEX($C$1:$G$1,1,A5):INDEX($C$2:$G$14,MATCH(TRUE,INDEX($C$2:$G$14,,A5)&gt;0,0)-1,A5),0)+O5</f>
        <v>3</v>
      </c>
      <c r="M5" s="2">
        <f>COUNTIF(INDEX($C$3:$G$14,,A5),"&gt;0")-P5</f>
        <v>2</v>
      </c>
      <c r="N5" s="2">
        <f>12-SUM(L5:M5)</f>
        <v>7</v>
      </c>
      <c r="O5" s="17">
        <v>0</v>
      </c>
      <c r="P5" s="17">
        <v>0</v>
      </c>
      <c r="Q5" s="17">
        <v>0</v>
      </c>
      <c r="S5" s="8" t="s">
        <v>30</v>
      </c>
      <c r="T5" s="8" t="s">
        <v>31</v>
      </c>
      <c r="U5" s="4">
        <v>60000</v>
      </c>
      <c r="V5" s="2">
        <v>2030</v>
      </c>
      <c r="W5" t="b">
        <f>ISNUMBER(MATCH(V5,Control!$A$52:$A$55,0))</f>
        <v>0</v>
      </c>
    </row>
    <row r="6" spans="1:26" x14ac:dyDescent="0.25">
      <c r="A6" s="2">
        <v>4</v>
      </c>
      <c r="B6" s="2" t="s">
        <v>4</v>
      </c>
      <c r="C6" s="2">
        <f>GETPIVOTDATA(""&amp;C$1,Control!$A$20,"Month",""&amp;$B6)</f>
        <v>0</v>
      </c>
      <c r="D6" s="2">
        <f>GETPIVOTDATA(""&amp;D$1,Control!$A$20,"Month",""&amp;$B6)</f>
        <v>500</v>
      </c>
      <c r="E6" s="2">
        <f>GETPIVOTDATA(""&amp;E$1,Control!$A$20,"Month",""&amp;$B6)</f>
        <v>700</v>
      </c>
      <c r="F6" s="2">
        <f>GETPIVOTDATA(""&amp;F$1,Control!$A$20,"Month",""&amp;$B6)</f>
        <v>0</v>
      </c>
      <c r="G6" s="2">
        <f>GETPIVOTDATA(""&amp;G$1,Control!$A$20,"Month",""&amp;$B6)</f>
        <v>0</v>
      </c>
      <c r="H6" s="7">
        <f>IF(ISNUMBER(GETPIVOTDATA("Num Month",Control!$A$3,"Month",""&amp;B6)),100%,NA())</f>
        <v>1</v>
      </c>
      <c r="I6" t="s">
        <v>151</v>
      </c>
      <c r="J6" s="5" t="s">
        <v>27</v>
      </c>
      <c r="K6" s="26">
        <f>GETPIVOTDATA(""&amp;J6,Control!$A$3)</f>
        <v>1000</v>
      </c>
      <c r="L6" s="2" cm="1">
        <f t="array" ref="L6">COUNTIFS(INDEX($C$1:$G$1,1,A6):INDEX($C$2:$G$14,MATCH(TRUE,INDEX($C$2:$G$14,,A6)&gt;0,0)-1,A6),0)+O6</f>
        <v>4</v>
      </c>
      <c r="M6" s="2">
        <f>COUNTIF(INDEX($C$3:$G$14,,A6),"&gt;0")-P6</f>
        <v>4</v>
      </c>
      <c r="N6" s="2">
        <f>12-SUM(L6:M6)</f>
        <v>4</v>
      </c>
      <c r="O6" s="17">
        <v>0</v>
      </c>
      <c r="P6" s="17">
        <v>0</v>
      </c>
      <c r="Q6" s="17">
        <v>0</v>
      </c>
      <c r="S6" s="10">
        <v>0</v>
      </c>
      <c r="T6" s="10">
        <v>1</v>
      </c>
    </row>
    <row r="7" spans="1:26" x14ac:dyDescent="0.25">
      <c r="A7" s="2">
        <v>5</v>
      </c>
      <c r="B7" s="2" t="s">
        <v>5</v>
      </c>
      <c r="C7" s="2">
        <f>GETPIVOTDATA(""&amp;C$1,Control!$A$20,"Month",""&amp;$B7)</f>
        <v>0</v>
      </c>
      <c r="D7" s="2">
        <f>GETPIVOTDATA(""&amp;D$1,Control!$A$20,"Month",""&amp;$B7)</f>
        <v>0</v>
      </c>
      <c r="E7" s="2">
        <f>GETPIVOTDATA(""&amp;E$1,Control!$A$20,"Month",""&amp;$B7)</f>
        <v>700</v>
      </c>
      <c r="F7" s="2">
        <f>GETPIVOTDATA(""&amp;F$1,Control!$A$20,"Month",""&amp;$B7)</f>
        <v>500</v>
      </c>
      <c r="G7" s="2">
        <f>GETPIVOTDATA(""&amp;G$1,Control!$A$20,"Month",""&amp;$B7)</f>
        <v>0</v>
      </c>
      <c r="H7" s="7">
        <f>IF(ISNUMBER(GETPIVOTDATA("Num Month",Control!$A$3,"Month",""&amp;B7)),100%,NA())</f>
        <v>1</v>
      </c>
      <c r="I7" t="str">
        <f>B3&amp;I8&amp;B4&amp;I8&amp;B5&amp;I8&amp;B6&amp;I8&amp;B7&amp;I8&amp;B8&amp;I8&amp;B9&amp;I8&amp;B10&amp;I8&amp;B11&amp;I8&amp;B12&amp;I8&amp;B13&amp;I8&amp;B14</f>
        <v>JAN       FEB       MAR       APR       MAY       JUN       JUL       AUG       SEP       OCT       NOV       DEC</v>
      </c>
      <c r="J7" s="5" t="s">
        <v>28</v>
      </c>
      <c r="K7" s="26">
        <f>GETPIVOTDATA(""&amp;J7,Control!$A$3)</f>
        <v>0</v>
      </c>
      <c r="L7" s="2" cm="1">
        <f t="array" ref="L7">COUNTIFS(INDEX($C$1:$G$1,1,A7):INDEX($C$2:$G$14,MATCH(TRUE,INDEX($C$2:$G$14,,A7)&gt;0,0)-1,A7),0)+O7</f>
        <v>7</v>
      </c>
      <c r="M7" s="2">
        <f>COUNTIF(INDEX($C$3:$G$14,,A7),"&gt;0")-P7</f>
        <v>4.8</v>
      </c>
      <c r="N7" s="2">
        <f>12-SUM(L7:M7)</f>
        <v>0.19999999999999929</v>
      </c>
      <c r="O7" s="17">
        <v>0</v>
      </c>
      <c r="P7" s="17">
        <v>0.2</v>
      </c>
      <c r="Q7" s="17">
        <v>0.2</v>
      </c>
      <c r="S7" s="10">
        <f>SIN(S3*2*PI())</f>
        <v>-0.77418499792466078</v>
      </c>
      <c r="T7" s="10">
        <f>COS(T3*2*PI())</f>
        <v>-0.63295938968340804</v>
      </c>
    </row>
    <row r="8" spans="1:26" x14ac:dyDescent="0.25">
      <c r="A8" s="2">
        <v>6</v>
      </c>
      <c r="B8" s="2" t="s">
        <v>6</v>
      </c>
      <c r="C8" s="2">
        <f>GETPIVOTDATA(""&amp;C$1,Control!$A$20,"Month",""&amp;$B8)</f>
        <v>0</v>
      </c>
      <c r="D8" s="2">
        <f>GETPIVOTDATA(""&amp;D$1,Control!$A$20,"Month",""&amp;$B8)</f>
        <v>0</v>
      </c>
      <c r="E8" s="2">
        <f>GETPIVOTDATA(""&amp;E$1,Control!$A$20,"Month",""&amp;$B8)</f>
        <v>0</v>
      </c>
      <c r="F8" s="2">
        <f>GETPIVOTDATA(""&amp;F$1,Control!$A$20,"Month",""&amp;$B8)</f>
        <v>500</v>
      </c>
      <c r="G8" s="2">
        <f>GETPIVOTDATA(""&amp;G$1,Control!$A$20,"Month",""&amp;$B8)</f>
        <v>0</v>
      </c>
      <c r="H8" s="7">
        <f>IF(ISNUMBER(GETPIVOTDATA("Num Month",Control!$A$3,"Month",""&amp;B8)),100%,NA())</f>
        <v>1</v>
      </c>
      <c r="I8" t="s">
        <v>152</v>
      </c>
    </row>
    <row r="9" spans="1:26" x14ac:dyDescent="0.25">
      <c r="A9" s="2">
        <v>7</v>
      </c>
      <c r="B9" s="2" t="s">
        <v>7</v>
      </c>
      <c r="C9" s="2">
        <f>GETPIVOTDATA(""&amp;C$1,Control!$A$20,"Month",""&amp;$B9)</f>
        <v>0</v>
      </c>
      <c r="D9" s="2">
        <f>GETPIVOTDATA(""&amp;D$1,Control!$A$20,"Month",""&amp;$B9)</f>
        <v>0</v>
      </c>
      <c r="E9" s="2">
        <f>GETPIVOTDATA(""&amp;E$1,Control!$A$20,"Month",""&amp;$B9)</f>
        <v>0</v>
      </c>
      <c r="F9" s="2">
        <f>GETPIVOTDATA(""&amp;F$1,Control!$A$20,"Month",""&amp;$B9)</f>
        <v>500</v>
      </c>
      <c r="G9" s="2">
        <f>GETPIVOTDATA(""&amp;G$1,Control!$A$20,"Month",""&amp;$B9)</f>
        <v>0</v>
      </c>
      <c r="H9" s="7" t="e">
        <f>IF(ISNUMBER(GETPIVOTDATA("Num Month",Control!$A$3,"Month",""&amp;B9)),100%,NA())</f>
        <v>#N/A</v>
      </c>
      <c r="J9" s="5" t="s">
        <v>144</v>
      </c>
    </row>
    <row r="10" spans="1:26" x14ac:dyDescent="0.25">
      <c r="A10" s="2">
        <v>8</v>
      </c>
      <c r="B10" s="2" t="s">
        <v>8</v>
      </c>
      <c r="C10" s="2">
        <f>GETPIVOTDATA(""&amp;C$1,Control!$A$20,"Month",""&amp;$B10)</f>
        <v>0</v>
      </c>
      <c r="D10" s="2">
        <f>GETPIVOTDATA(""&amp;D$1,Control!$A$20,"Month",""&amp;$B10)</f>
        <v>0</v>
      </c>
      <c r="E10" s="2">
        <f>GETPIVOTDATA(""&amp;E$1,Control!$A$20,"Month",""&amp;$B10)</f>
        <v>0</v>
      </c>
      <c r="F10" s="2">
        <f>GETPIVOTDATA(""&amp;F$1,Control!$A$20,"Month",""&amp;$B10)</f>
        <v>500</v>
      </c>
      <c r="G10" s="2">
        <f>GETPIVOTDATA(""&amp;G$1,Control!$A$20,"Month",""&amp;$B10)</f>
        <v>300</v>
      </c>
      <c r="H10" s="7" t="e">
        <f>IF(ISNUMBER(GETPIVOTDATA("Num Month",Control!$A$3,"Month",""&amp;B10)),100%,NA())</f>
        <v>#N/A</v>
      </c>
      <c r="J10" s="22" t="s">
        <v>142</v>
      </c>
      <c r="K10" s="1">
        <v>1</v>
      </c>
      <c r="L10" s="1">
        <v>2</v>
      </c>
      <c r="M10" s="1">
        <v>3</v>
      </c>
      <c r="N10" s="1">
        <v>4</v>
      </c>
      <c r="O10" s="1">
        <v>5</v>
      </c>
      <c r="P10" s="1">
        <v>6</v>
      </c>
      <c r="Q10" s="1">
        <v>7</v>
      </c>
    </row>
    <row r="11" spans="1:26" ht="15" customHeight="1" x14ac:dyDescent="0.55000000000000004">
      <c r="A11" s="2">
        <v>9</v>
      </c>
      <c r="B11" s="2" t="s">
        <v>9</v>
      </c>
      <c r="C11" s="2">
        <f>GETPIVOTDATA(""&amp;C$1,Control!$A$20,"Month",""&amp;$B11)</f>
        <v>0</v>
      </c>
      <c r="D11" s="2">
        <f>GETPIVOTDATA(""&amp;D$1,Control!$A$20,"Month",""&amp;$B11)</f>
        <v>0</v>
      </c>
      <c r="E11" s="2">
        <f>GETPIVOTDATA(""&amp;E$1,Control!$A$20,"Month",""&amp;$B11)</f>
        <v>0</v>
      </c>
      <c r="F11" s="2">
        <f>GETPIVOTDATA(""&amp;F$1,Control!$A$20,"Month",""&amp;$B11)</f>
        <v>0</v>
      </c>
      <c r="G11" s="2">
        <f>GETPIVOTDATA(""&amp;G$1,Control!$A$20,"Month",""&amp;$B11)</f>
        <v>300</v>
      </c>
      <c r="H11" s="7" t="e">
        <f>IF(ISNUMBER(GETPIVOTDATA("Num Month",Control!$A$3,"Month",""&amp;B11)),100%,NA())</f>
        <v>#N/A</v>
      </c>
      <c r="J11" s="22">
        <v>1</v>
      </c>
      <c r="K11" s="23" cm="1">
        <f t="array" ref="K11">INDEX('heatmap-DATA'!$D$2:$J$289,MATCH($I$2&amp;$I$4&amp;$J11,'heatmap-DATA'!$A$2:$A$289&amp;'heatmap-DATA'!$B$2:$B$289&amp;'heatmap-DATA'!$C$2:$C$289,0),COLUMN(A$1))</f>
        <v>1</v>
      </c>
      <c r="L11" s="23" cm="1">
        <f t="array" ref="L11">INDEX('heatmap-DATA'!$D$2:$J$289,MATCH($I$2&amp;$I$4&amp;$J11,'heatmap-DATA'!$A$2:$A$289&amp;'heatmap-DATA'!$B$2:$B$289&amp;'heatmap-DATA'!$C$2:$C$289,0),COLUMN(B$1))</f>
        <v>1</v>
      </c>
      <c r="M11" s="23" cm="1">
        <f t="array" ref="M11">INDEX('heatmap-DATA'!$D$2:$J$289,MATCH($I$2&amp;$I$4&amp;$J11,'heatmap-DATA'!$A$2:$A$289&amp;'heatmap-DATA'!$B$2:$B$289&amp;'heatmap-DATA'!$C$2:$C$289,0),COLUMN(C$1))</f>
        <v>1</v>
      </c>
      <c r="N11" s="23" cm="1">
        <f t="array" ref="N11">INDEX('heatmap-DATA'!$D$2:$J$289,MATCH($I$2&amp;$I$4&amp;$J11,'heatmap-DATA'!$A$2:$A$289&amp;'heatmap-DATA'!$B$2:$B$289&amp;'heatmap-DATA'!$C$2:$C$289,0),COLUMN(D$1))</f>
        <v>1</v>
      </c>
      <c r="O11" s="23" cm="1">
        <f t="array" ref="O11">INDEX('heatmap-DATA'!$D$2:$J$289,MATCH($I$2&amp;$I$4&amp;$J11,'heatmap-DATA'!$A$2:$A$289&amp;'heatmap-DATA'!$B$2:$B$289&amp;'heatmap-DATA'!$C$2:$C$289,0),COLUMN(E$1))</f>
        <v>3</v>
      </c>
      <c r="P11" s="23" cm="1">
        <f t="array" ref="P11">INDEX('heatmap-DATA'!$D$2:$J$289,MATCH($I$2&amp;$I$4&amp;$J11,'heatmap-DATA'!$A$2:$A$289&amp;'heatmap-DATA'!$B$2:$B$289&amp;'heatmap-DATA'!$C$2:$C$289,0),COLUMN(F$1))</f>
        <v>2</v>
      </c>
      <c r="Q11" s="23" cm="1">
        <f t="array" ref="Q11">INDEX('heatmap-DATA'!$D$2:$J$289,MATCH($I$2&amp;$I$4&amp;$J11,'heatmap-DATA'!$A$2:$A$289&amp;'heatmap-DATA'!$B$2:$B$289&amp;'heatmap-DATA'!$C$2:$C$289,0),COLUMN(G$1))</f>
        <v>3</v>
      </c>
      <c r="S11" s="82"/>
      <c r="T11" s="82"/>
      <c r="U11" s="82"/>
      <c r="V11" s="82"/>
      <c r="W11" s="82"/>
      <c r="X11" s="82"/>
      <c r="Y11" s="82"/>
      <c r="Z11" s="82"/>
    </row>
    <row r="12" spans="1:26" ht="15" customHeight="1" x14ac:dyDescent="0.55000000000000004">
      <c r="A12" s="2">
        <v>10</v>
      </c>
      <c r="B12" s="2" t="s">
        <v>10</v>
      </c>
      <c r="C12" s="2">
        <f>GETPIVOTDATA(""&amp;C$1,Control!$A$20,"Month",""&amp;$B12)</f>
        <v>0</v>
      </c>
      <c r="D12" s="2">
        <f>GETPIVOTDATA(""&amp;D$1,Control!$A$20,"Month",""&amp;$B12)</f>
        <v>0</v>
      </c>
      <c r="E12" s="2">
        <f>GETPIVOTDATA(""&amp;E$1,Control!$A$20,"Month",""&amp;$B12)</f>
        <v>0</v>
      </c>
      <c r="F12" s="2">
        <f>GETPIVOTDATA(""&amp;F$1,Control!$A$20,"Month",""&amp;$B12)</f>
        <v>0</v>
      </c>
      <c r="G12" s="2">
        <f>GETPIVOTDATA(""&amp;G$1,Control!$A$20,"Month",""&amp;$B12)</f>
        <v>300</v>
      </c>
      <c r="H12" s="7" t="e">
        <f>IF(ISNUMBER(GETPIVOTDATA("Num Month",Control!$A$3,"Month",""&amp;B12)),100%,NA())</f>
        <v>#N/A</v>
      </c>
      <c r="J12" s="22">
        <v>2</v>
      </c>
      <c r="K12" s="23" cm="1">
        <f t="array" ref="K12">INDEX('heatmap-DATA'!$D$2:$J$289,MATCH($I$2&amp;$I$4&amp;$J12,'heatmap-DATA'!$A$2:$A$289&amp;'heatmap-DATA'!$B$2:$B$289&amp;'heatmap-DATA'!$C$2:$C$289,0),COLUMN(A$15))</f>
        <v>2</v>
      </c>
      <c r="L12" s="23" cm="1">
        <f t="array" ref="L12">INDEX('heatmap-DATA'!$D$2:$J$289,MATCH($I$2&amp;$I$4&amp;$J12,'heatmap-DATA'!$A$2:$A$289&amp;'heatmap-DATA'!$B$2:$B$289&amp;'heatmap-DATA'!$C$2:$C$289,0),COLUMN(B$1))</f>
        <v>2</v>
      </c>
      <c r="M12" s="23" cm="1">
        <f t="array" ref="M12">INDEX('heatmap-DATA'!$D$2:$J$289,MATCH($I$2&amp;$I$4&amp;$J12,'heatmap-DATA'!$A$2:$A$289&amp;'heatmap-DATA'!$B$2:$B$289&amp;'heatmap-DATA'!$C$2:$C$289,0),COLUMN(C$1))</f>
        <v>2</v>
      </c>
      <c r="N12" s="23" cm="1">
        <f t="array" ref="N12">INDEX('heatmap-DATA'!$D$2:$J$289,MATCH($I$2&amp;$I$4&amp;$J12,'heatmap-DATA'!$A$2:$A$289&amp;'heatmap-DATA'!$B$2:$B$289&amp;'heatmap-DATA'!$C$2:$C$289,0),COLUMN(D$1))</f>
        <v>2</v>
      </c>
      <c r="O12" s="23" cm="1">
        <f t="array" ref="O12">INDEX('heatmap-DATA'!$D$2:$J$289,MATCH($I$2&amp;$I$4&amp;$J12,'heatmap-DATA'!$A$2:$A$289&amp;'heatmap-DATA'!$B$2:$B$289&amp;'heatmap-DATA'!$C$2:$C$289,0),COLUMN(E$1))</f>
        <v>2</v>
      </c>
      <c r="P12" s="23" cm="1">
        <f t="array" ref="P12">INDEX('heatmap-DATA'!$D$2:$J$289,MATCH($I$2&amp;$I$4&amp;$J12,'heatmap-DATA'!$A$2:$A$289&amp;'heatmap-DATA'!$B$2:$B$289&amp;'heatmap-DATA'!$C$2:$C$289,0),COLUMN(F$1))</f>
        <v>2</v>
      </c>
      <c r="Q12" s="23" cm="1">
        <f t="array" ref="Q12">INDEX('heatmap-DATA'!$D$2:$J$289,MATCH($I$2&amp;$I$4&amp;$J12,'heatmap-DATA'!$A$2:$A$289&amp;'heatmap-DATA'!$B$2:$B$289&amp;'heatmap-DATA'!$C$2:$C$289,0),COLUMN(G$1))</f>
        <v>3</v>
      </c>
      <c r="S12" s="82"/>
      <c r="T12" s="82"/>
      <c r="U12" s="82"/>
      <c r="V12" s="82"/>
      <c r="W12" s="82"/>
      <c r="X12" s="82"/>
      <c r="Y12" s="82"/>
      <c r="Z12" s="82"/>
    </row>
    <row r="13" spans="1:26" x14ac:dyDescent="0.25">
      <c r="A13" s="2">
        <v>11</v>
      </c>
      <c r="B13" s="2" t="s">
        <v>11</v>
      </c>
      <c r="C13" s="2">
        <f>GETPIVOTDATA(""&amp;C$1,Control!$A$20,"Month",""&amp;$B13)</f>
        <v>0</v>
      </c>
      <c r="D13" s="2">
        <f>GETPIVOTDATA(""&amp;D$1,Control!$A$20,"Month",""&amp;$B13)</f>
        <v>0</v>
      </c>
      <c r="E13" s="2">
        <f>GETPIVOTDATA(""&amp;E$1,Control!$A$20,"Month",""&amp;$B13)</f>
        <v>0</v>
      </c>
      <c r="F13" s="2">
        <f>GETPIVOTDATA(""&amp;F$1,Control!$A$20,"Month",""&amp;$B13)</f>
        <v>0</v>
      </c>
      <c r="G13" s="2">
        <f>GETPIVOTDATA(""&amp;G$1,Control!$A$20,"Month",""&amp;$B13)</f>
        <v>300</v>
      </c>
      <c r="H13" s="7" t="e">
        <f>IF(ISNUMBER(GETPIVOTDATA("Num Month",Control!$A$3,"Month",""&amp;B13)),100%,NA())</f>
        <v>#N/A</v>
      </c>
      <c r="J13" s="22">
        <v>3</v>
      </c>
      <c r="K13" s="23" cm="1">
        <f t="array" ref="K13">INDEX('heatmap-DATA'!$D$2:$J$289,MATCH($I$2&amp;$I$4&amp;$J13,'heatmap-DATA'!$A$2:$A$289&amp;'heatmap-DATA'!$B$2:$B$289&amp;'heatmap-DATA'!$C$2:$C$289,0),COLUMN(A$15))</f>
        <v>3</v>
      </c>
      <c r="L13" s="23" cm="1">
        <f t="array" ref="L13">INDEX('heatmap-DATA'!$D$2:$J$289,MATCH($I$2&amp;$I$4&amp;$J13,'heatmap-DATA'!$A$2:$A$289&amp;'heatmap-DATA'!$B$2:$B$289&amp;'heatmap-DATA'!$C$2:$C$289,0),COLUMN(B$1))</f>
        <v>2</v>
      </c>
      <c r="M13" s="23" cm="1">
        <f t="array" ref="M13">INDEX('heatmap-DATA'!$D$2:$J$289,MATCH($I$2&amp;$I$4&amp;$J13,'heatmap-DATA'!$A$2:$A$289&amp;'heatmap-DATA'!$B$2:$B$289&amp;'heatmap-DATA'!$C$2:$C$289,0),COLUMN(C$1))</f>
        <v>3</v>
      </c>
      <c r="N13" s="23" cm="1">
        <f t="array" ref="N13">INDEX('heatmap-DATA'!$D$2:$J$289,MATCH($I$2&amp;$I$4&amp;$J13,'heatmap-DATA'!$A$2:$A$289&amp;'heatmap-DATA'!$B$2:$B$289&amp;'heatmap-DATA'!$C$2:$C$289,0),COLUMN(D$1))</f>
        <v>3</v>
      </c>
      <c r="O13" s="23" cm="1">
        <f t="array" ref="O13">INDEX('heatmap-DATA'!$D$2:$J$289,MATCH($I$2&amp;$I$4&amp;$J13,'heatmap-DATA'!$A$2:$A$289&amp;'heatmap-DATA'!$B$2:$B$289&amp;'heatmap-DATA'!$C$2:$C$289,0),COLUMN(E$1))</f>
        <v>3</v>
      </c>
      <c r="P13" s="23" cm="1">
        <f t="array" ref="P13">INDEX('heatmap-DATA'!$D$2:$J$289,MATCH($I$2&amp;$I$4&amp;$J13,'heatmap-DATA'!$A$2:$A$289&amp;'heatmap-DATA'!$B$2:$B$289&amp;'heatmap-DATA'!$C$2:$C$289,0),COLUMN(F$1))</f>
        <v>2</v>
      </c>
      <c r="Q13" s="23" cm="1">
        <f t="array" ref="Q13">INDEX('heatmap-DATA'!$D$2:$J$289,MATCH($I$2&amp;$I$4&amp;$J13,'heatmap-DATA'!$A$2:$A$289&amp;'heatmap-DATA'!$B$2:$B$289&amp;'heatmap-DATA'!$C$2:$C$289,0),COLUMN(G$1))</f>
        <v>2</v>
      </c>
    </row>
    <row r="14" spans="1:26" x14ac:dyDescent="0.25">
      <c r="A14" s="2">
        <v>12</v>
      </c>
      <c r="B14" s="2" t="s">
        <v>12</v>
      </c>
      <c r="C14" s="2">
        <f>GETPIVOTDATA(""&amp;C$1,Control!$A$20,"Month",""&amp;$B14)</f>
        <v>0</v>
      </c>
      <c r="D14" s="2">
        <f>GETPIVOTDATA(""&amp;D$1,Control!$A$20,"Month",""&amp;$B14)</f>
        <v>0</v>
      </c>
      <c r="E14" s="2">
        <f>GETPIVOTDATA(""&amp;E$1,Control!$A$20,"Month",""&amp;$B14)</f>
        <v>0</v>
      </c>
      <c r="F14" s="2">
        <f>GETPIVOTDATA(""&amp;F$1,Control!$A$20,"Month",""&amp;$B14)</f>
        <v>0</v>
      </c>
      <c r="G14" s="2">
        <f>GETPIVOTDATA(""&amp;G$1,Control!$A$20,"Month",""&amp;$B14)</f>
        <v>300</v>
      </c>
      <c r="H14" s="7" t="e">
        <f>IF(ISNUMBER(GETPIVOTDATA("Num Month",Control!$A$3,"Month",""&amp;B14)),100%,NA())</f>
        <v>#N/A</v>
      </c>
      <c r="J14" s="22">
        <v>4</v>
      </c>
      <c r="K14" s="23" cm="1">
        <f t="array" ref="K14">INDEX('heatmap-DATA'!$D$2:$J$289,MATCH($I$2&amp;$I$4&amp;$J14,'heatmap-DATA'!$A$2:$A$289&amp;'heatmap-DATA'!$B$2:$B$289&amp;'heatmap-DATA'!$C$2:$C$289,0),COLUMN(A$15))</f>
        <v>3</v>
      </c>
      <c r="L14" s="23" cm="1">
        <f t="array" ref="L14">INDEX('heatmap-DATA'!$D$2:$J$289,MATCH($I$2&amp;$I$4&amp;$J14,'heatmap-DATA'!$A$2:$A$289&amp;'heatmap-DATA'!$B$2:$B$289&amp;'heatmap-DATA'!$C$2:$C$289,0),COLUMN(B$1))</f>
        <v>3</v>
      </c>
      <c r="M14" s="23" cm="1">
        <f t="array" ref="M14">INDEX('heatmap-DATA'!$D$2:$J$289,MATCH($I$2&amp;$I$4&amp;$J14,'heatmap-DATA'!$A$2:$A$289&amp;'heatmap-DATA'!$B$2:$B$289&amp;'heatmap-DATA'!$C$2:$C$289,0),COLUMN(C$1))</f>
        <v>3</v>
      </c>
      <c r="N14" s="23" cm="1">
        <f t="array" ref="N14">INDEX('heatmap-DATA'!$D$2:$J$289,MATCH($I$2&amp;$I$4&amp;$J14,'heatmap-DATA'!$A$2:$A$289&amp;'heatmap-DATA'!$B$2:$B$289&amp;'heatmap-DATA'!$C$2:$C$289,0),COLUMN(D$1))</f>
        <v>2</v>
      </c>
      <c r="O14" s="23" cm="1">
        <f t="array" ref="O14">INDEX('heatmap-DATA'!$D$2:$J$289,MATCH($I$2&amp;$I$4&amp;$J14,'heatmap-DATA'!$A$2:$A$289&amp;'heatmap-DATA'!$B$2:$B$289&amp;'heatmap-DATA'!$C$2:$C$289,0),COLUMN(E$1))</f>
        <v>4</v>
      </c>
      <c r="P14" s="23" cm="1">
        <f t="array" ref="P14">INDEX('heatmap-DATA'!$D$2:$J$289,MATCH($I$2&amp;$I$4&amp;$J14,'heatmap-DATA'!$A$2:$A$289&amp;'heatmap-DATA'!$B$2:$B$289&amp;'heatmap-DATA'!$C$2:$C$289,0),COLUMN(F$1))</f>
        <v>3</v>
      </c>
      <c r="Q14" s="23" cm="1">
        <f t="array" ref="Q14">INDEX('heatmap-DATA'!$D$2:$J$289,MATCH($I$2&amp;$I$4&amp;$J14,'heatmap-DATA'!$A$2:$A$289&amp;'heatmap-DATA'!$B$2:$B$289&amp;'heatmap-DATA'!$C$2:$C$289,0),COLUMN(G$1))</f>
        <v>3</v>
      </c>
    </row>
    <row r="15" spans="1:26" x14ac:dyDescent="0.25">
      <c r="A15" t="s">
        <v>153</v>
      </c>
      <c r="B15" s="26">
        <f>SUM(C3:G14)</f>
        <v>7200</v>
      </c>
      <c r="C15" t="s">
        <v>154</v>
      </c>
      <c r="D15" s="26">
        <f>SUM(C3:INDEX(G3:G14,I4))</f>
        <v>4700</v>
      </c>
      <c r="E15" s="27">
        <f>D15/B15</f>
        <v>0.65277777777777779</v>
      </c>
      <c r="F15" s="9">
        <f>1-E15</f>
        <v>0.34722222222222221</v>
      </c>
      <c r="G15" t="s">
        <v>155</v>
      </c>
      <c r="H15" s="26">
        <f>GETPIVOTDATA("Sum of Target 1",Control!$A$3)+GETPIVOTDATA("Sum of Target 2",Control!$A$3)+GETPIVOTDATA("Sum of Target 3",Control!$A$3)+GETPIVOTDATA("Sum of Target 4",Control!$A$3)+GETPIVOTDATA("Sum of Target 5",Control!$A$3)</f>
        <v>2900</v>
      </c>
      <c r="J15" s="22">
        <v>5</v>
      </c>
      <c r="K15" s="23" cm="1">
        <f t="array" ref="K15">INDEX('heatmap-DATA'!$D$2:$J$289,MATCH($I$2&amp;$I$4&amp;$J15,'heatmap-DATA'!$A$2:$A$289&amp;'heatmap-DATA'!$B$2:$B$289&amp;'heatmap-DATA'!$C$2:$C$289,0),COLUMN(A$15))</f>
        <v>2</v>
      </c>
      <c r="L15" s="23" cm="1">
        <f t="array" ref="L15">INDEX('heatmap-DATA'!$D$2:$J$289,MATCH($I$2&amp;$I$4&amp;$J15,'heatmap-DATA'!$A$2:$A$289&amp;'heatmap-DATA'!$B$2:$B$289&amp;'heatmap-DATA'!$C$2:$C$289,0),COLUMN(B$1))</f>
        <v>4</v>
      </c>
      <c r="M15" s="23" cm="1">
        <f t="array" ref="M15">INDEX('heatmap-DATA'!$D$2:$J$289,MATCH($I$2&amp;$I$4&amp;$J15,'heatmap-DATA'!$A$2:$A$289&amp;'heatmap-DATA'!$B$2:$B$289&amp;'heatmap-DATA'!$C$2:$C$289,0),COLUMN(C$1))</f>
        <v>2</v>
      </c>
      <c r="N15" s="23" cm="1">
        <f t="array" ref="N15">INDEX('heatmap-DATA'!$D$2:$J$289,MATCH($I$2&amp;$I$4&amp;$J15,'heatmap-DATA'!$A$2:$A$289&amp;'heatmap-DATA'!$B$2:$B$289&amp;'heatmap-DATA'!$C$2:$C$289,0),COLUMN(D$1))</f>
        <v>2</v>
      </c>
      <c r="O15" s="23" cm="1">
        <f t="array" ref="O15">INDEX('heatmap-DATA'!$D$2:$J$289,MATCH($I$2&amp;$I$4&amp;$J15,'heatmap-DATA'!$A$2:$A$289&amp;'heatmap-DATA'!$B$2:$B$289&amp;'heatmap-DATA'!$C$2:$C$289,0),COLUMN(E$1))</f>
        <v>2</v>
      </c>
      <c r="P15" s="23" cm="1">
        <f t="array" ref="P15">INDEX('heatmap-DATA'!$D$2:$J$289,MATCH($I$2&amp;$I$4&amp;$J15,'heatmap-DATA'!$A$2:$A$289&amp;'heatmap-DATA'!$B$2:$B$289&amp;'heatmap-DATA'!$C$2:$C$289,0),COLUMN(F$1))</f>
        <v>2</v>
      </c>
      <c r="Q15" s="23" cm="1">
        <f t="array" ref="Q15">INDEX('heatmap-DATA'!$D$2:$J$289,MATCH($I$2&amp;$I$4&amp;$J15,'heatmap-DATA'!$A$2:$A$289&amp;'heatmap-DATA'!$B$2:$B$289&amp;'heatmap-DATA'!$C$2:$C$289,0),COLUMN(G$1))</f>
        <v>1</v>
      </c>
    </row>
    <row r="16" spans="1:26" x14ac:dyDescent="0.25">
      <c r="A16" t="s">
        <v>40</v>
      </c>
      <c r="J16" s="22">
        <v>6</v>
      </c>
      <c r="K16" s="23" cm="1">
        <f t="array" ref="K16">INDEX('heatmap-DATA'!$D$2:$J$289,MATCH($I$2&amp;$I$4&amp;$J16,'heatmap-DATA'!$A$2:$A$289&amp;'heatmap-DATA'!$B$2:$B$289&amp;'heatmap-DATA'!$C$2:$C$289,0),COLUMN(A$15))</f>
        <v>1</v>
      </c>
      <c r="L16" s="23" cm="1">
        <f t="array" ref="L16">INDEX('heatmap-DATA'!$D$2:$J$289,MATCH($I$2&amp;$I$4&amp;$J16,'heatmap-DATA'!$A$2:$A$289&amp;'heatmap-DATA'!$B$2:$B$289&amp;'heatmap-DATA'!$C$2:$C$289,0),COLUMN(B$1))</f>
        <v>1</v>
      </c>
      <c r="M16" s="23" cm="1">
        <f t="array" ref="M16">INDEX('heatmap-DATA'!$D$2:$J$289,MATCH($I$2&amp;$I$4&amp;$J16,'heatmap-DATA'!$A$2:$A$289&amp;'heatmap-DATA'!$B$2:$B$289&amp;'heatmap-DATA'!$C$2:$C$289,0),COLUMN(C$1))</f>
        <v>1</v>
      </c>
      <c r="N16" s="23" cm="1">
        <f t="array" ref="N16">INDEX('heatmap-DATA'!$D$2:$J$289,MATCH($I$2&amp;$I$4&amp;$J16,'heatmap-DATA'!$A$2:$A$289&amp;'heatmap-DATA'!$B$2:$B$289&amp;'heatmap-DATA'!$C$2:$C$289,0),COLUMN(D$1))</f>
        <v>1</v>
      </c>
      <c r="O16" s="23" cm="1">
        <f t="array" ref="O16">INDEX('heatmap-DATA'!$D$2:$J$289,MATCH($I$2&amp;$I$4&amp;$J16,'heatmap-DATA'!$A$2:$A$289&amp;'heatmap-DATA'!$B$2:$B$289&amp;'heatmap-DATA'!$C$2:$C$289,0),COLUMN(E$1))</f>
        <v>1</v>
      </c>
      <c r="P16" s="23" cm="1">
        <f t="array" ref="P16">INDEX('heatmap-DATA'!$D$2:$J$289,MATCH($I$2&amp;$I$4&amp;$J16,'heatmap-DATA'!$A$2:$A$289&amp;'heatmap-DATA'!$B$2:$B$289&amp;'heatmap-DATA'!$C$2:$C$289,0),COLUMN(F$1))</f>
        <v>1</v>
      </c>
      <c r="Q16" s="23" cm="1">
        <f t="array" ref="Q16">INDEX('heatmap-DATA'!$D$2:$J$289,MATCH($I$2&amp;$I$4&amp;$J16,'heatmap-DATA'!$A$2:$A$289&amp;'heatmap-DATA'!$B$2:$B$289&amp;'heatmap-DATA'!$C$2:$C$289,0),COLUMN(G$1))</f>
        <v>1</v>
      </c>
    </row>
    <row r="17" spans="1:25" x14ac:dyDescent="0.25">
      <c r="A17" s="1" t="s">
        <v>0</v>
      </c>
      <c r="B17" s="1" t="s">
        <v>13</v>
      </c>
      <c r="C17" s="1" t="s">
        <v>14</v>
      </c>
      <c r="D17" s="3" t="s">
        <v>15</v>
      </c>
      <c r="E17" s="1" t="s">
        <v>16</v>
      </c>
      <c r="F17" s="1" t="s">
        <v>17</v>
      </c>
      <c r="G17" s="1" t="s">
        <v>18</v>
      </c>
      <c r="H17" s="1" t="s">
        <v>19</v>
      </c>
      <c r="K17" s="24" t="s">
        <v>143</v>
      </c>
      <c r="L17" s="23">
        <v>1</v>
      </c>
      <c r="M17" s="23"/>
      <c r="N17" s="23" t="str">
        <f>IF(L17,"ON","")</f>
        <v>ON</v>
      </c>
      <c r="O17" s="23" t="str">
        <f>IF(L17,"","OFF")</f>
        <v/>
      </c>
      <c r="P17" s="23"/>
      <c r="Q17" s="23"/>
    </row>
    <row r="18" spans="1:25" x14ac:dyDescent="0.25">
      <c r="A18" s="2" t="s">
        <v>1</v>
      </c>
      <c r="B18" s="2">
        <f t="shared" ref="B18:B29" si="0">$B$30</f>
        <v>242.05</v>
      </c>
      <c r="C18" s="2">
        <f>GETPIVOTDATA(""&amp;C$17,Control!$A$20,"Month",""&amp;$A18)</f>
        <v>2075</v>
      </c>
      <c r="D18">
        <f>B18</f>
        <v>242.05</v>
      </c>
      <c r="E18" s="2" t="e">
        <f>IFERROR(GETPIVOTDATA(""&amp;C$17,Control!$A$3,"Month",""&amp;$A18),NA())</f>
        <v>#N/A</v>
      </c>
      <c r="F18" s="2">
        <f>GETPIVOTDATA(""&amp;F$17,Control!$A$20,"Month",""&amp;$A18)</f>
        <v>2412</v>
      </c>
      <c r="G18" t="e">
        <f>E18+B18</f>
        <v>#N/A</v>
      </c>
      <c r="H18" t="e">
        <f t="shared" ref="H18:H29" si="1">IF(E18&gt;=1000,TEXT(ROUND(E18/1000,0),"0")&amp;"k",E18)</f>
        <v>#N/A</v>
      </c>
      <c r="K18" s="17" t="str">
        <f t="shared" ref="K18:Q23" si="2">IF($L$17,
   IF(
      AND(
         (COLUMN() - COLUMN($K$10) + 1) + (ROW() - ROW($K$18)) * 7 - WEEKDAY(DATE($I$2, $I$4, 1), 1) + 1 &gt; 0,
         (COLUMN() - COLUMN($K$10) + 1) + (ROW() - ROW($K$18)) * 7 - WEEKDAY(DATE($I$2, $I$4, 1), 1) + 1 &lt;= DAY(EOMONTH(DATE($I$2, $I$4, 1), 0))
      ),
      (COLUMN() - COLUMN($K$10) + 1) + (ROW() - ROW($K$18)) * 7 - WEEKDAY(DATE($I$2, $I$4, 1), 1) + 1,
      ""
   ),
   ""
)</f>
        <v/>
      </c>
      <c r="L18" s="17" t="str">
        <f t="shared" si="2"/>
        <v/>
      </c>
      <c r="M18" s="17" t="str">
        <f t="shared" si="2"/>
        <v/>
      </c>
      <c r="N18" s="17" t="str">
        <f t="shared" si="2"/>
        <v/>
      </c>
      <c r="O18" s="17">
        <f t="shared" si="2"/>
        <v>1</v>
      </c>
      <c r="P18" s="17">
        <f t="shared" si="2"/>
        <v>2</v>
      </c>
      <c r="Q18" s="17">
        <f t="shared" si="2"/>
        <v>3</v>
      </c>
    </row>
    <row r="19" spans="1:25" x14ac:dyDescent="0.25">
      <c r="A19" s="2" t="s">
        <v>2</v>
      </c>
      <c r="B19" s="2">
        <f t="shared" si="0"/>
        <v>242.05</v>
      </c>
      <c r="C19" s="2">
        <f>GETPIVOTDATA(""&amp;C$17,Control!$A$20,"Month",""&amp;$A19)</f>
        <v>3066</v>
      </c>
      <c r="D19">
        <f t="shared" ref="D19:D29" si="3">B19</f>
        <v>242.05</v>
      </c>
      <c r="E19" s="2" t="e">
        <f>IFERROR(GETPIVOTDATA(""&amp;C$17,Control!$A$3,"Month",""&amp;$A19),NA())</f>
        <v>#N/A</v>
      </c>
      <c r="F19" s="2">
        <f>GETPIVOTDATA(""&amp;F$17,Control!$A$20,"Month",""&amp;$A19)</f>
        <v>1696</v>
      </c>
      <c r="G19" t="e">
        <f t="shared" ref="G19:G29" si="4">E19+B19</f>
        <v>#N/A</v>
      </c>
      <c r="H19" t="e">
        <f t="shared" si="1"/>
        <v>#N/A</v>
      </c>
      <c r="K19" s="17">
        <f t="shared" si="2"/>
        <v>4</v>
      </c>
      <c r="L19" s="17">
        <f t="shared" si="2"/>
        <v>5</v>
      </c>
      <c r="M19" s="17">
        <f t="shared" si="2"/>
        <v>6</v>
      </c>
      <c r="N19" s="17">
        <f t="shared" si="2"/>
        <v>7</v>
      </c>
      <c r="O19" s="17">
        <f t="shared" si="2"/>
        <v>8</v>
      </c>
      <c r="P19" s="17">
        <f t="shared" si="2"/>
        <v>9</v>
      </c>
      <c r="Q19" s="17">
        <f t="shared" si="2"/>
        <v>10</v>
      </c>
    </row>
    <row r="20" spans="1:25" x14ac:dyDescent="0.25">
      <c r="A20" s="2" t="s">
        <v>3</v>
      </c>
      <c r="B20" s="2">
        <f t="shared" si="0"/>
        <v>242.05</v>
      </c>
      <c r="C20" s="2">
        <f>GETPIVOTDATA(""&amp;C$17,Control!$A$20,"Month",""&amp;$A20)</f>
        <v>4626</v>
      </c>
      <c r="D20">
        <f t="shared" si="3"/>
        <v>242.05</v>
      </c>
      <c r="E20" s="2" t="e">
        <f>IFERROR(GETPIVOTDATA(""&amp;C$17,Control!$A$3,"Month",""&amp;$A20),NA())</f>
        <v>#N/A</v>
      </c>
      <c r="F20" s="2">
        <f>GETPIVOTDATA(""&amp;F$17,Control!$A$20,"Month",""&amp;$A20)</f>
        <v>3544</v>
      </c>
      <c r="G20" t="e">
        <f t="shared" si="4"/>
        <v>#N/A</v>
      </c>
      <c r="H20" t="e">
        <f t="shared" si="1"/>
        <v>#N/A</v>
      </c>
      <c r="K20" s="17">
        <f t="shared" si="2"/>
        <v>11</v>
      </c>
      <c r="L20" s="17">
        <f t="shared" si="2"/>
        <v>12</v>
      </c>
      <c r="M20" s="17">
        <f t="shared" si="2"/>
        <v>13</v>
      </c>
      <c r="N20" s="17">
        <f t="shared" si="2"/>
        <v>14</v>
      </c>
      <c r="O20" s="17">
        <f t="shared" si="2"/>
        <v>15</v>
      </c>
      <c r="P20" s="17">
        <f t="shared" si="2"/>
        <v>16</v>
      </c>
      <c r="Q20" s="17">
        <f t="shared" si="2"/>
        <v>17</v>
      </c>
    </row>
    <row r="21" spans="1:25" x14ac:dyDescent="0.25">
      <c r="A21" s="2" t="s">
        <v>4</v>
      </c>
      <c r="B21" s="2">
        <f t="shared" si="0"/>
        <v>242.05</v>
      </c>
      <c r="C21" s="2">
        <f>GETPIVOTDATA(""&amp;C$17,Control!$A$20,"Month",""&amp;$A21)</f>
        <v>4841</v>
      </c>
      <c r="D21">
        <f t="shared" si="3"/>
        <v>242.05</v>
      </c>
      <c r="E21" s="2">
        <f>IFERROR(GETPIVOTDATA(""&amp;C$17,Control!$A$3,"Month",""&amp;$A21),NA())</f>
        <v>4841</v>
      </c>
      <c r="F21" s="2">
        <f>GETPIVOTDATA(""&amp;F$17,Control!$A$20,"Month",""&amp;$A21)</f>
        <v>2671</v>
      </c>
      <c r="G21">
        <f t="shared" si="4"/>
        <v>5083.05</v>
      </c>
      <c r="H21" t="str">
        <f t="shared" si="1"/>
        <v>5k</v>
      </c>
      <c r="K21" s="17">
        <f t="shared" si="2"/>
        <v>18</v>
      </c>
      <c r="L21" s="17">
        <f t="shared" si="2"/>
        <v>19</v>
      </c>
      <c r="M21" s="17">
        <f t="shared" si="2"/>
        <v>20</v>
      </c>
      <c r="N21" s="17">
        <f t="shared" si="2"/>
        <v>21</v>
      </c>
      <c r="O21" s="17">
        <f t="shared" si="2"/>
        <v>22</v>
      </c>
      <c r="P21" s="17">
        <f t="shared" si="2"/>
        <v>23</v>
      </c>
      <c r="Q21" s="17">
        <f t="shared" si="2"/>
        <v>24</v>
      </c>
    </row>
    <row r="22" spans="1:25" x14ac:dyDescent="0.25">
      <c r="A22" s="2" t="s">
        <v>5</v>
      </c>
      <c r="B22" s="2">
        <f t="shared" si="0"/>
        <v>242.05</v>
      </c>
      <c r="C22" s="2">
        <f>GETPIVOTDATA(""&amp;C$17,Control!$A$20,"Month",""&amp;$A22)</f>
        <v>4626</v>
      </c>
      <c r="D22">
        <f t="shared" si="3"/>
        <v>242.05</v>
      </c>
      <c r="E22" s="2">
        <f>IFERROR(GETPIVOTDATA(""&amp;C$17,Control!$A$3,"Month",""&amp;$A22),NA())</f>
        <v>4626</v>
      </c>
      <c r="F22" s="2">
        <f>GETPIVOTDATA(""&amp;F$17,Control!$A$20,"Month",""&amp;$A22)</f>
        <v>3036</v>
      </c>
      <c r="G22">
        <f t="shared" si="4"/>
        <v>4868.05</v>
      </c>
      <c r="H22" t="str">
        <f t="shared" si="1"/>
        <v>5k</v>
      </c>
      <c r="K22" s="17">
        <f t="shared" si="2"/>
        <v>25</v>
      </c>
      <c r="L22" s="17">
        <f t="shared" si="2"/>
        <v>26</v>
      </c>
      <c r="M22" s="17">
        <f t="shared" si="2"/>
        <v>27</v>
      </c>
      <c r="N22" s="17">
        <f t="shared" si="2"/>
        <v>28</v>
      </c>
      <c r="O22" s="17">
        <f t="shared" si="2"/>
        <v>29</v>
      </c>
      <c r="P22" s="17">
        <f t="shared" si="2"/>
        <v>30</v>
      </c>
      <c r="Q22" s="17" t="str">
        <f t="shared" si="2"/>
        <v/>
      </c>
    </row>
    <row r="23" spans="1:25" x14ac:dyDescent="0.25">
      <c r="A23" s="2" t="s">
        <v>6</v>
      </c>
      <c r="B23" s="2">
        <f t="shared" si="0"/>
        <v>242.05</v>
      </c>
      <c r="C23" s="2">
        <f>GETPIVOTDATA(""&amp;C$17,Control!$A$20,"Month",""&amp;$A23)</f>
        <v>3066</v>
      </c>
      <c r="D23">
        <f t="shared" si="3"/>
        <v>242.05</v>
      </c>
      <c r="E23" s="2">
        <f>IFERROR(GETPIVOTDATA(""&amp;C$17,Control!$A$3,"Month",""&amp;$A23),NA())</f>
        <v>3066</v>
      </c>
      <c r="F23" s="2">
        <f>GETPIVOTDATA(""&amp;F$17,Control!$A$20,"Month",""&amp;$A23)</f>
        <v>4595</v>
      </c>
      <c r="G23">
        <f t="shared" si="4"/>
        <v>3308.05</v>
      </c>
      <c r="H23" t="str">
        <f t="shared" si="1"/>
        <v>3k</v>
      </c>
      <c r="K23" s="17" t="str">
        <f t="shared" si="2"/>
        <v/>
      </c>
      <c r="L23" s="17" t="str">
        <f t="shared" si="2"/>
        <v/>
      </c>
      <c r="M23" s="17" t="str">
        <f t="shared" si="2"/>
        <v/>
      </c>
      <c r="N23" s="17" t="str">
        <f t="shared" si="2"/>
        <v/>
      </c>
      <c r="O23" s="17" t="str">
        <f t="shared" si="2"/>
        <v/>
      </c>
      <c r="P23" s="17" t="str">
        <f t="shared" si="2"/>
        <v/>
      </c>
      <c r="Q23" s="17" t="str">
        <f t="shared" si="2"/>
        <v/>
      </c>
      <c r="T23" t="str">
        <f t="shared" ref="T23:Y23" si="5">_xlfn.LET(_xlpm.StartDay, WEEKDAY(DATE($I$2, $I$4, 1), 1),_xlpm.DayNum, (COLUMN() - COLUMN($S$18) + 1) + (ROW() - ROW($S$18)) * 7 - _xlpm.StartDay + 1,IF(AND(_xlpm.DayNum &gt; 0, _xlpm.DayNum &lt;= DAY(EOMONTH(DATE($I$2, $I$4, 1), 0))), _xlpm.DayNum, ""))</f>
        <v/>
      </c>
      <c r="U23" t="str">
        <f t="shared" si="5"/>
        <v/>
      </c>
      <c r="V23" t="str">
        <f t="shared" si="5"/>
        <v/>
      </c>
      <c r="W23" t="str">
        <f t="shared" si="5"/>
        <v/>
      </c>
      <c r="X23" t="str">
        <f t="shared" si="5"/>
        <v/>
      </c>
      <c r="Y23" t="str">
        <f t="shared" si="5"/>
        <v/>
      </c>
    </row>
    <row r="24" spans="1:25" x14ac:dyDescent="0.25">
      <c r="A24" s="2" t="s">
        <v>7</v>
      </c>
      <c r="B24" s="2">
        <f t="shared" si="0"/>
        <v>242.05</v>
      </c>
      <c r="C24" s="2">
        <f>GETPIVOTDATA(""&amp;C$17,Control!$A$20,"Month",""&amp;$A24)</f>
        <v>2075</v>
      </c>
      <c r="D24">
        <f t="shared" si="3"/>
        <v>242.05</v>
      </c>
      <c r="E24" s="2" t="e">
        <f>IFERROR(GETPIVOTDATA(""&amp;C$17,Control!$A$3,"Month",""&amp;$A24),NA())</f>
        <v>#N/A</v>
      </c>
      <c r="F24" s="2">
        <f>GETPIVOTDATA(""&amp;F$17,Control!$A$20,"Month",""&amp;$A24)</f>
        <v>2714</v>
      </c>
      <c r="G24" t="e">
        <f t="shared" si="4"/>
        <v>#N/A</v>
      </c>
      <c r="H24" t="e">
        <f t="shared" si="1"/>
        <v>#N/A</v>
      </c>
      <c r="K24" s="2" t="s">
        <v>33</v>
      </c>
      <c r="L24" s="2" t="s">
        <v>34</v>
      </c>
      <c r="M24" s="2" t="s">
        <v>35</v>
      </c>
      <c r="N24" s="2" t="s">
        <v>36</v>
      </c>
      <c r="O24" s="2" t="s">
        <v>37</v>
      </c>
      <c r="P24" s="2" t="s">
        <v>38</v>
      </c>
      <c r="Q24" s="2" t="s">
        <v>39</v>
      </c>
      <c r="R24" t="s">
        <v>194</v>
      </c>
      <c r="S24" s="22" t="s">
        <v>141</v>
      </c>
    </row>
    <row r="25" spans="1:25" x14ac:dyDescent="0.25">
      <c r="A25" s="2" t="s">
        <v>8</v>
      </c>
      <c r="B25" s="2">
        <f t="shared" si="0"/>
        <v>242.05</v>
      </c>
      <c r="C25" s="2">
        <f>GETPIVOTDATA(""&amp;C$17,Control!$A$20,"Month",""&amp;$A25)</f>
        <v>3066</v>
      </c>
      <c r="D25">
        <f t="shared" si="3"/>
        <v>242.05</v>
      </c>
      <c r="E25" s="2" t="e">
        <f>IFERROR(GETPIVOTDATA(""&amp;C$17,Control!$A$3,"Month",""&amp;$A25),NA())</f>
        <v>#N/A</v>
      </c>
      <c r="F25" s="2">
        <f>GETPIVOTDATA(""&amp;F$17,Control!$A$20,"Month",""&amp;$A25)</f>
        <v>3731</v>
      </c>
      <c r="G25" t="e">
        <f t="shared" si="4"/>
        <v>#N/A</v>
      </c>
      <c r="H25" t="e">
        <f t="shared" si="1"/>
        <v>#N/A</v>
      </c>
      <c r="K25" t="b" cm="1">
        <f t="array" ref="K25">INDEX(K$11:K$16,$S25)=$R25</f>
        <v>1</v>
      </c>
      <c r="L25" t="b" cm="1">
        <f t="array" ref="L25">INDEX(L$11:L$16,$S25)=$R25</f>
        <v>1</v>
      </c>
      <c r="M25" t="b" cm="1">
        <f t="array" ref="M25">INDEX(M$11:M$16,$S25)=$R25</f>
        <v>1</v>
      </c>
      <c r="N25" t="b" cm="1">
        <f t="array" ref="N25">INDEX(N$11:N$16,$S25)=$R25</f>
        <v>1</v>
      </c>
      <c r="O25" t="b" cm="1">
        <f t="array" ref="O25">INDEX(O$11:O$16,$S25)=$R25</f>
        <v>0</v>
      </c>
      <c r="P25" t="b" cm="1">
        <f t="array" ref="P25">INDEX(P$11:P$16,$S25)=$R25</f>
        <v>0</v>
      </c>
      <c r="Q25" t="b" cm="1">
        <f t="array" ref="Q25">INDEX(Q$11:Q$16,$S25)=$R25</f>
        <v>0</v>
      </c>
      <c r="R25" s="23">
        <v>1</v>
      </c>
      <c r="S25" s="23">
        <f>INT((ROW(A1)-1)/4)+1</f>
        <v>1</v>
      </c>
    </row>
    <row r="26" spans="1:25" x14ac:dyDescent="0.25">
      <c r="A26" s="2" t="s">
        <v>9</v>
      </c>
      <c r="B26" s="2">
        <f t="shared" si="0"/>
        <v>242.05</v>
      </c>
      <c r="C26" s="2">
        <f>GETPIVOTDATA(""&amp;C$17,Control!$A$20,"Month",""&amp;$A26)</f>
        <v>4626</v>
      </c>
      <c r="D26">
        <f t="shared" si="3"/>
        <v>242.05</v>
      </c>
      <c r="E26" s="2" t="e">
        <f>IFERROR(GETPIVOTDATA(""&amp;C$17,Control!$A$3,"Month",""&amp;$A26),NA())</f>
        <v>#N/A</v>
      </c>
      <c r="F26" s="2">
        <f>GETPIVOTDATA(""&amp;F$17,Control!$A$20,"Month",""&amp;$A26)</f>
        <v>4952</v>
      </c>
      <c r="G26" t="e">
        <f t="shared" si="4"/>
        <v>#N/A</v>
      </c>
      <c r="H26" t="e">
        <f t="shared" si="1"/>
        <v>#N/A</v>
      </c>
      <c r="K26" t="b" cm="1">
        <f t="array" ref="K26">INDEX(K$11:K$16,$S26)=$R26</f>
        <v>0</v>
      </c>
      <c r="L26" t="b" cm="1">
        <f t="array" ref="L26">INDEX(L$11:L$16,$S26)=$R26</f>
        <v>0</v>
      </c>
      <c r="M26" t="b" cm="1">
        <f t="array" ref="M26">INDEX(M$11:M$16,$S26)=$R26</f>
        <v>0</v>
      </c>
      <c r="N26" t="b" cm="1">
        <f t="array" ref="N26">INDEX(N$11:N$16,$S26)=$R26</f>
        <v>0</v>
      </c>
      <c r="O26" t="b" cm="1">
        <f t="array" ref="O26">INDEX(O$11:O$16,$S26)=$R26</f>
        <v>0</v>
      </c>
      <c r="P26" t="b" cm="1">
        <f t="array" ref="P26">INDEX(P$11:P$16,$S26)=$R26</f>
        <v>1</v>
      </c>
      <c r="Q26" t="b" cm="1">
        <f t="array" ref="Q26">INDEX(Q$11:Q$16,$S26)=$R26</f>
        <v>0</v>
      </c>
      <c r="R26" s="23">
        <v>2</v>
      </c>
      <c r="S26" s="23">
        <f t="shared" ref="S26:S48" si="6">INT((ROW(A2)-1)/4)+1</f>
        <v>1</v>
      </c>
    </row>
    <row r="27" spans="1:25" x14ac:dyDescent="0.25">
      <c r="A27" s="2" t="s">
        <v>10</v>
      </c>
      <c r="B27" s="2">
        <f t="shared" si="0"/>
        <v>242.05</v>
      </c>
      <c r="C27" s="2">
        <f>GETPIVOTDATA(""&amp;C$17,Control!$A$20,"Month",""&amp;$A27)</f>
        <v>4841</v>
      </c>
      <c r="D27">
        <f t="shared" si="3"/>
        <v>242.05</v>
      </c>
      <c r="E27" s="2" t="e">
        <f>IFERROR(GETPIVOTDATA(""&amp;C$17,Control!$A$3,"Month",""&amp;$A27),NA())</f>
        <v>#N/A</v>
      </c>
      <c r="F27" s="2">
        <f>GETPIVOTDATA(""&amp;F$17,Control!$A$20,"Month",""&amp;$A27)</f>
        <v>3544</v>
      </c>
      <c r="G27" t="e">
        <f t="shared" si="4"/>
        <v>#N/A</v>
      </c>
      <c r="H27" t="e">
        <f t="shared" si="1"/>
        <v>#N/A</v>
      </c>
      <c r="K27" t="b" cm="1">
        <f t="array" ref="K27">INDEX(K$11:K$16,$S27)=$R27</f>
        <v>0</v>
      </c>
      <c r="L27" t="b" cm="1">
        <f t="array" ref="L27">INDEX(L$11:L$16,$S27)=$R27</f>
        <v>0</v>
      </c>
      <c r="M27" t="b" cm="1">
        <f t="array" ref="M27">INDEX(M$11:M$16,$S27)=$R27</f>
        <v>0</v>
      </c>
      <c r="N27" t="b" cm="1">
        <f t="array" ref="N27">INDEX(N$11:N$16,$S27)=$R27</f>
        <v>0</v>
      </c>
      <c r="O27" t="b" cm="1">
        <f t="array" ref="O27">INDEX(O$11:O$16,$S27)=$R27</f>
        <v>1</v>
      </c>
      <c r="P27" t="b" cm="1">
        <f t="array" ref="P27">INDEX(P$11:P$16,$S27)=$R27</f>
        <v>0</v>
      </c>
      <c r="Q27" t="b" cm="1">
        <f t="array" ref="Q27">INDEX(Q$11:Q$16,$S27)=$R27</f>
        <v>1</v>
      </c>
      <c r="R27" s="23">
        <v>3</v>
      </c>
      <c r="S27" s="23">
        <f t="shared" si="6"/>
        <v>1</v>
      </c>
    </row>
    <row r="28" spans="1:25" x14ac:dyDescent="0.25">
      <c r="A28" s="2" t="s">
        <v>11</v>
      </c>
      <c r="B28" s="2">
        <f t="shared" si="0"/>
        <v>242.05</v>
      </c>
      <c r="C28" s="2">
        <f>GETPIVOTDATA(""&amp;C$17,Control!$A$20,"Month",""&amp;$A28)</f>
        <v>4626</v>
      </c>
      <c r="D28">
        <f t="shared" si="3"/>
        <v>242.05</v>
      </c>
      <c r="E28" s="2" t="e">
        <f>IFERROR(GETPIVOTDATA(""&amp;C$17,Control!$A$3,"Month",""&amp;$A28),NA())</f>
        <v>#N/A</v>
      </c>
      <c r="F28" s="2">
        <f>GETPIVOTDATA(""&amp;F$17,Control!$A$20,"Month",""&amp;$A28)</f>
        <v>4595</v>
      </c>
      <c r="G28" t="e">
        <f t="shared" si="4"/>
        <v>#N/A</v>
      </c>
      <c r="H28" t="e">
        <f t="shared" si="1"/>
        <v>#N/A</v>
      </c>
      <c r="K28" t="b" cm="1">
        <f t="array" ref="K28">INDEX(K$11:K$16,$S28)=$R28</f>
        <v>0</v>
      </c>
      <c r="L28" t="b" cm="1">
        <f t="array" ref="L28">INDEX(L$11:L$16,$S28)=$R28</f>
        <v>0</v>
      </c>
      <c r="M28" t="b" cm="1">
        <f t="array" ref="M28">INDEX(M$11:M$16,$S28)=$R28</f>
        <v>0</v>
      </c>
      <c r="N28" t="b" cm="1">
        <f t="array" ref="N28">INDEX(N$11:N$16,$S28)=$R28</f>
        <v>0</v>
      </c>
      <c r="O28" t="b" cm="1">
        <f t="array" ref="O28">INDEX(O$11:O$16,$S28)=$R28</f>
        <v>0</v>
      </c>
      <c r="P28" t="b" cm="1">
        <f t="array" ref="P28">INDEX(P$11:P$16,$S28)=$R28</f>
        <v>0</v>
      </c>
      <c r="Q28" t="b" cm="1">
        <f t="array" ref="Q28">INDEX(Q$11:Q$16,$S28)=$R28</f>
        <v>0</v>
      </c>
      <c r="R28" s="23">
        <v>4</v>
      </c>
      <c r="S28" s="23">
        <f t="shared" si="6"/>
        <v>1</v>
      </c>
    </row>
    <row r="29" spans="1:25" x14ac:dyDescent="0.25">
      <c r="A29" s="2" t="s">
        <v>12</v>
      </c>
      <c r="B29" s="2">
        <f t="shared" si="0"/>
        <v>242.05</v>
      </c>
      <c r="C29" s="2">
        <f>GETPIVOTDATA(""&amp;C$17,Control!$A$20,"Month",""&amp;$A29)</f>
        <v>2666</v>
      </c>
      <c r="D29">
        <f t="shared" si="3"/>
        <v>242.05</v>
      </c>
      <c r="E29" s="2" t="e">
        <f>IFERROR(GETPIVOTDATA(""&amp;C$17,Control!$A$3,"Month",""&amp;$A29),NA())</f>
        <v>#N/A</v>
      </c>
      <c r="F29" s="2">
        <f>GETPIVOTDATA(""&amp;F$17,Control!$A$20,"Month",""&amp;$A29)</f>
        <v>1739</v>
      </c>
      <c r="G29" t="e">
        <f t="shared" si="4"/>
        <v>#N/A</v>
      </c>
      <c r="H29" t="e">
        <f t="shared" si="1"/>
        <v>#N/A</v>
      </c>
      <c r="K29" t="b" cm="1">
        <f t="array" ref="K29">INDEX(K$11:K$16,$S29)=$R29</f>
        <v>0</v>
      </c>
      <c r="L29" t="b" cm="1">
        <f t="array" ref="L29">INDEX(L$11:L$16,$S29)=$R29</f>
        <v>0</v>
      </c>
      <c r="M29" t="b" cm="1">
        <f t="array" ref="M29">INDEX(M$11:M$16,$S29)=$R29</f>
        <v>0</v>
      </c>
      <c r="N29" t="b" cm="1">
        <f t="array" ref="N29">INDEX(N$11:N$16,$S29)=$R29</f>
        <v>0</v>
      </c>
      <c r="O29" t="b" cm="1">
        <f t="array" ref="O29">INDEX(O$11:O$16,$S29)=$R29</f>
        <v>0</v>
      </c>
      <c r="P29" t="b" cm="1">
        <f t="array" ref="P29">INDEX(P$11:P$16,$S29)=$R29</f>
        <v>0</v>
      </c>
      <c r="Q29" t="b" cm="1">
        <f t="array" ref="Q29">INDEX(Q$11:Q$16,$S29)=$R29</f>
        <v>0</v>
      </c>
      <c r="R29" s="23">
        <v>1</v>
      </c>
      <c r="S29" s="23">
        <f t="shared" si="6"/>
        <v>2</v>
      </c>
    </row>
    <row r="30" spans="1:25" x14ac:dyDescent="0.25">
      <c r="B30" s="1">
        <f>MAX(C18:C29)*5%</f>
        <v>242.05</v>
      </c>
      <c r="C30" s="2"/>
      <c r="E30" s="4" cm="1">
        <f t="array" ref="E30">SUM(IFERROR(E18:E29,0))</f>
        <v>12533</v>
      </c>
      <c r="F30" s="4" cm="1">
        <f t="array" ref="F30">SUM(ISNUMBER(E18:E29)*F18:F29)</f>
        <v>10302</v>
      </c>
      <c r="K30" t="b" cm="1">
        <f t="array" ref="K30">INDEX(K$11:K$16,$S30)=$R30</f>
        <v>1</v>
      </c>
      <c r="L30" t="b" cm="1">
        <f t="array" ref="L30">INDEX(L$11:L$16,$S30)=$R30</f>
        <v>1</v>
      </c>
      <c r="M30" t="b" cm="1">
        <f t="array" ref="M30">INDEX(M$11:M$16,$S30)=$R30</f>
        <v>1</v>
      </c>
      <c r="N30" t="b" cm="1">
        <f t="array" ref="N30">INDEX(N$11:N$16,$S30)=$R30</f>
        <v>1</v>
      </c>
      <c r="O30" t="b" cm="1">
        <f t="array" ref="O30">INDEX(O$11:O$16,$S30)=$R30</f>
        <v>1</v>
      </c>
      <c r="P30" t="b" cm="1">
        <f t="array" ref="P30">INDEX(P$11:P$16,$S30)=$R30</f>
        <v>1</v>
      </c>
      <c r="Q30" t="b" cm="1">
        <f t="array" ref="Q30">INDEX(Q$11:Q$16,$S30)=$R30</f>
        <v>0</v>
      </c>
      <c r="R30" s="23">
        <v>2</v>
      </c>
      <c r="S30" s="23">
        <f t="shared" si="6"/>
        <v>2</v>
      </c>
    </row>
    <row r="31" spans="1:25" x14ac:dyDescent="0.25">
      <c r="E31" t="s">
        <v>14</v>
      </c>
      <c r="F31" s="2" t="s">
        <v>17</v>
      </c>
      <c r="K31" t="b" cm="1">
        <f t="array" ref="K31">INDEX(K$11:K$16,$S31)=$R31</f>
        <v>0</v>
      </c>
      <c r="L31" t="b" cm="1">
        <f t="array" ref="L31">INDEX(L$11:L$16,$S31)=$R31</f>
        <v>0</v>
      </c>
      <c r="M31" t="b" cm="1">
        <f t="array" ref="M31">INDEX(M$11:M$16,$S31)=$R31</f>
        <v>0</v>
      </c>
      <c r="N31" t="b" cm="1">
        <f t="array" ref="N31">INDEX(N$11:N$16,$S31)=$R31</f>
        <v>0</v>
      </c>
      <c r="O31" t="b" cm="1">
        <f t="array" ref="O31">INDEX(O$11:O$16,$S31)=$R31</f>
        <v>0</v>
      </c>
      <c r="P31" t="b" cm="1">
        <f t="array" ref="P31">INDEX(P$11:P$16,$S31)=$R31</f>
        <v>0</v>
      </c>
      <c r="Q31" t="b" cm="1">
        <f t="array" ref="Q31">INDEX(Q$11:Q$16,$S31)=$R31</f>
        <v>1</v>
      </c>
      <c r="R31" s="23">
        <v>3</v>
      </c>
      <c r="S31" s="23">
        <f t="shared" si="6"/>
        <v>2</v>
      </c>
    </row>
    <row r="32" spans="1:25" x14ac:dyDescent="0.25">
      <c r="A32" t="s">
        <v>41</v>
      </c>
      <c r="K32" t="b" cm="1">
        <f t="array" ref="K32">INDEX(K$11:K$16,$S32)=$R32</f>
        <v>0</v>
      </c>
      <c r="L32" t="b" cm="1">
        <f t="array" ref="L32">INDEX(L$11:L$16,$S32)=$R32</f>
        <v>0</v>
      </c>
      <c r="M32" t="b" cm="1">
        <f t="array" ref="M32">INDEX(M$11:M$16,$S32)=$R32</f>
        <v>0</v>
      </c>
      <c r="N32" t="b" cm="1">
        <f t="array" ref="N32">INDEX(N$11:N$16,$S32)=$R32</f>
        <v>0</v>
      </c>
      <c r="O32" t="b" cm="1">
        <f t="array" ref="O32">INDEX(O$11:O$16,$S32)=$R32</f>
        <v>0</v>
      </c>
      <c r="P32" t="b" cm="1">
        <f t="array" ref="P32">INDEX(P$11:P$16,$S32)=$R32</f>
        <v>0</v>
      </c>
      <c r="Q32" t="b" cm="1">
        <f t="array" ref="Q32">INDEX(Q$11:Q$16,$S32)=$R32</f>
        <v>0</v>
      </c>
      <c r="R32" s="23">
        <v>4</v>
      </c>
      <c r="S32" s="23">
        <f t="shared" si="6"/>
        <v>2</v>
      </c>
    </row>
    <row r="33" spans="1:19" x14ac:dyDescent="0.25">
      <c r="A33" s="11" t="s">
        <v>42</v>
      </c>
      <c r="B33" s="1" t="s">
        <v>13</v>
      </c>
      <c r="C33" s="1" t="s">
        <v>14</v>
      </c>
      <c r="D33" t="s">
        <v>47</v>
      </c>
      <c r="E33" s="1" t="s">
        <v>13</v>
      </c>
      <c r="F33" t="s">
        <v>48</v>
      </c>
      <c r="K33" t="b" cm="1">
        <f t="array" ref="K33">INDEX(K$11:K$16,$S33)=$R33</f>
        <v>0</v>
      </c>
      <c r="L33" t="b" cm="1">
        <f t="array" ref="L33">INDEX(L$11:L$16,$S33)=$R33</f>
        <v>0</v>
      </c>
      <c r="M33" t="b" cm="1">
        <f t="array" ref="M33">INDEX(M$11:M$16,$S33)=$R33</f>
        <v>0</v>
      </c>
      <c r="N33" t="b" cm="1">
        <f t="array" ref="N33">INDEX(N$11:N$16,$S33)=$R33</f>
        <v>0</v>
      </c>
      <c r="O33" t="b" cm="1">
        <f t="array" ref="O33">INDEX(O$11:O$16,$S33)=$R33</f>
        <v>0</v>
      </c>
      <c r="P33" t="b" cm="1">
        <f t="array" ref="P33">INDEX(P$11:P$16,$S33)=$R33</f>
        <v>0</v>
      </c>
      <c r="Q33" t="b" cm="1">
        <f t="array" ref="Q33">INDEX(Q$11:Q$16,$S33)=$R33</f>
        <v>0</v>
      </c>
      <c r="R33" s="23">
        <v>1</v>
      </c>
      <c r="S33" s="23">
        <f t="shared" si="6"/>
        <v>3</v>
      </c>
    </row>
    <row r="34" spans="1:19" x14ac:dyDescent="0.25">
      <c r="A34" t="s">
        <v>43</v>
      </c>
      <c r="B34" s="12">
        <f>$B$38</f>
        <v>271.18</v>
      </c>
      <c r="C34" s="4">
        <f>GETPIVOTDATA(""&amp;A34,Control!$A$3)</f>
        <v>3874</v>
      </c>
      <c r="D34" t="str">
        <f t="array" ref="D34:F37">_xlfn._xlws.SORT(A34:C37,3,-1)</f>
        <v>Savings</v>
      </c>
      <c r="E34">
        <v>271.18</v>
      </c>
      <c r="F34">
        <v>3874</v>
      </c>
      <c r="K34" t="b" cm="1">
        <f t="array" ref="K34">INDEX(K$11:K$16,$S34)=$R34</f>
        <v>0</v>
      </c>
      <c r="L34" t="b" cm="1">
        <f t="array" ref="L34">INDEX(L$11:L$16,$S34)=$R34</f>
        <v>1</v>
      </c>
      <c r="M34" t="b" cm="1">
        <f t="array" ref="M34">INDEX(M$11:M$16,$S34)=$R34</f>
        <v>0</v>
      </c>
      <c r="N34" t="b" cm="1">
        <f t="array" ref="N34">INDEX(N$11:N$16,$S34)=$R34</f>
        <v>0</v>
      </c>
      <c r="O34" t="b" cm="1">
        <f t="array" ref="O34">INDEX(O$11:O$16,$S34)=$R34</f>
        <v>0</v>
      </c>
      <c r="P34" t="b" cm="1">
        <f t="array" ref="P34">INDEX(P$11:P$16,$S34)=$R34</f>
        <v>1</v>
      </c>
      <c r="Q34" t="b" cm="1">
        <f t="array" ref="Q34">INDEX(Q$11:Q$16,$S34)=$R34</f>
        <v>1</v>
      </c>
      <c r="R34" s="23">
        <v>2</v>
      </c>
      <c r="S34" s="23">
        <f t="shared" si="6"/>
        <v>3</v>
      </c>
    </row>
    <row r="35" spans="1:19" x14ac:dyDescent="0.25">
      <c r="A35" t="s">
        <v>44</v>
      </c>
      <c r="B35" s="12">
        <f>$B$38</f>
        <v>271.18</v>
      </c>
      <c r="C35" s="4">
        <f>GETPIVOTDATA(""&amp;A35,Control!$A$3)</f>
        <v>2607</v>
      </c>
      <c r="D35" t="str">
        <v>Salary</v>
      </c>
      <c r="E35">
        <v>271.18</v>
      </c>
      <c r="F35">
        <v>3546</v>
      </c>
      <c r="K35" t="b" cm="1">
        <f t="array" ref="K35">INDEX(K$11:K$16,$S35)=$R35</f>
        <v>1</v>
      </c>
      <c r="L35" t="b" cm="1">
        <f t="array" ref="L35">INDEX(L$11:L$16,$S35)=$R35</f>
        <v>0</v>
      </c>
      <c r="M35" t="b" cm="1">
        <f t="array" ref="M35">INDEX(M$11:M$16,$S35)=$R35</f>
        <v>1</v>
      </c>
      <c r="N35" t="b" cm="1">
        <f t="array" ref="N35">INDEX(N$11:N$16,$S35)=$R35</f>
        <v>1</v>
      </c>
      <c r="O35" t="b" cm="1">
        <f t="array" ref="O35">INDEX(O$11:O$16,$S35)=$R35</f>
        <v>1</v>
      </c>
      <c r="P35" t="b" cm="1">
        <f t="array" ref="P35">INDEX(P$11:P$16,$S35)=$R35</f>
        <v>0</v>
      </c>
      <c r="Q35" t="b" cm="1">
        <f t="array" ref="Q35">INDEX(Q$11:Q$16,$S35)=$R35</f>
        <v>0</v>
      </c>
      <c r="R35" s="23">
        <v>3</v>
      </c>
      <c r="S35" s="23">
        <f t="shared" si="6"/>
        <v>3</v>
      </c>
    </row>
    <row r="36" spans="1:19" x14ac:dyDescent="0.25">
      <c r="A36" t="s">
        <v>45</v>
      </c>
      <c r="B36" s="12">
        <f>$B$38</f>
        <v>271.18</v>
      </c>
      <c r="C36" s="4">
        <f>GETPIVOTDATA(""&amp;A36,Control!$A$3)</f>
        <v>3546</v>
      </c>
      <c r="D36" t="str">
        <v>Side Job</v>
      </c>
      <c r="E36">
        <v>271.18</v>
      </c>
      <c r="F36">
        <v>2607</v>
      </c>
      <c r="K36" t="b" cm="1">
        <f t="array" ref="K36">INDEX(K$11:K$16,$S36)=$R36</f>
        <v>0</v>
      </c>
      <c r="L36" t="b" cm="1">
        <f t="array" ref="L36">INDEX(L$11:L$16,$S36)=$R36</f>
        <v>0</v>
      </c>
      <c r="M36" t="b" cm="1">
        <f t="array" ref="M36">INDEX(M$11:M$16,$S36)=$R36</f>
        <v>0</v>
      </c>
      <c r="N36" t="b" cm="1">
        <f t="array" ref="N36">INDEX(N$11:N$16,$S36)=$R36</f>
        <v>0</v>
      </c>
      <c r="O36" t="b" cm="1">
        <f t="array" ref="O36">INDEX(O$11:O$16,$S36)=$R36</f>
        <v>0</v>
      </c>
      <c r="P36" t="b" cm="1">
        <f t="array" ref="P36">INDEX(P$11:P$16,$S36)=$R36</f>
        <v>0</v>
      </c>
      <c r="Q36" t="b" cm="1">
        <f t="array" ref="Q36">INDEX(Q$11:Q$16,$S36)=$R36</f>
        <v>0</v>
      </c>
      <c r="R36" s="23">
        <v>4</v>
      </c>
      <c r="S36" s="23">
        <f t="shared" si="6"/>
        <v>3</v>
      </c>
    </row>
    <row r="37" spans="1:19" x14ac:dyDescent="0.25">
      <c r="A37" t="s">
        <v>46</v>
      </c>
      <c r="B37" s="12">
        <f>$B$38</f>
        <v>271.18</v>
      </c>
      <c r="C37" s="4">
        <f>GETPIVOTDATA(""&amp;A37,Control!$A$3)</f>
        <v>2506</v>
      </c>
      <c r="D37" t="str">
        <v>Stock</v>
      </c>
      <c r="E37">
        <v>271.18</v>
      </c>
      <c r="F37">
        <v>2506</v>
      </c>
      <c r="K37" t="b" cm="1">
        <f t="array" ref="K37">INDEX(K$11:K$16,$S37)=$R37</f>
        <v>0</v>
      </c>
      <c r="L37" t="b" cm="1">
        <f t="array" ref="L37">INDEX(L$11:L$16,$S37)=$R37</f>
        <v>0</v>
      </c>
      <c r="M37" t="b" cm="1">
        <f t="array" ref="M37">INDEX(M$11:M$16,$S37)=$R37</f>
        <v>0</v>
      </c>
      <c r="N37" t="b" cm="1">
        <f t="array" ref="N37">INDEX(N$11:N$16,$S37)=$R37</f>
        <v>0</v>
      </c>
      <c r="O37" t="b" cm="1">
        <f t="array" ref="O37">INDEX(O$11:O$16,$S37)=$R37</f>
        <v>0</v>
      </c>
      <c r="P37" t="b" cm="1">
        <f t="array" ref="P37">INDEX(P$11:P$16,$S37)=$R37</f>
        <v>0</v>
      </c>
      <c r="Q37" t="b" cm="1">
        <f t="array" ref="Q37">INDEX(Q$11:Q$16,$S37)=$R37</f>
        <v>0</v>
      </c>
      <c r="R37" s="23">
        <v>1</v>
      </c>
      <c r="S37" s="23">
        <f t="shared" si="6"/>
        <v>4</v>
      </c>
    </row>
    <row r="38" spans="1:19" x14ac:dyDescent="0.25">
      <c r="B38" s="14">
        <f>MAX(C34:C37)*7%</f>
        <v>271.18</v>
      </c>
      <c r="C38" s="13"/>
      <c r="K38" t="b" cm="1">
        <f t="array" ref="K38">INDEX(K$11:K$16,$S38)=$R38</f>
        <v>0</v>
      </c>
      <c r="L38" t="b" cm="1">
        <f t="array" ref="L38">INDEX(L$11:L$16,$S38)=$R38</f>
        <v>0</v>
      </c>
      <c r="M38" t="b" cm="1">
        <f t="array" ref="M38">INDEX(M$11:M$16,$S38)=$R38</f>
        <v>0</v>
      </c>
      <c r="N38" t="b" cm="1">
        <f t="array" ref="N38">INDEX(N$11:N$16,$S38)=$R38</f>
        <v>1</v>
      </c>
      <c r="O38" t="b" cm="1">
        <f t="array" ref="O38">INDEX(O$11:O$16,$S38)=$R38</f>
        <v>0</v>
      </c>
      <c r="P38" t="b" cm="1">
        <f t="array" ref="P38">INDEX(P$11:P$16,$S38)=$R38</f>
        <v>0</v>
      </c>
      <c r="Q38" t="b" cm="1">
        <f t="array" ref="Q38">INDEX(Q$11:Q$16,$S38)=$R38</f>
        <v>0</v>
      </c>
      <c r="R38" s="23">
        <v>2</v>
      </c>
      <c r="S38" s="23">
        <f t="shared" si="6"/>
        <v>4</v>
      </c>
    </row>
    <row r="39" spans="1:19" x14ac:dyDescent="0.25">
      <c r="A39" t="s">
        <v>41</v>
      </c>
      <c r="K39" t="b" cm="1">
        <f t="array" ref="K39">INDEX(K$11:K$16,$S39)=$R39</f>
        <v>1</v>
      </c>
      <c r="L39" t="b" cm="1">
        <f t="array" ref="L39">INDEX(L$11:L$16,$S39)=$R39</f>
        <v>1</v>
      </c>
      <c r="M39" t="b" cm="1">
        <f t="array" ref="M39">INDEX(M$11:M$16,$S39)=$R39</f>
        <v>1</v>
      </c>
      <c r="N39" t="b" cm="1">
        <f t="array" ref="N39">INDEX(N$11:N$16,$S39)=$R39</f>
        <v>0</v>
      </c>
      <c r="O39" t="b" cm="1">
        <f t="array" ref="O39">INDEX(O$11:O$16,$S39)=$R39</f>
        <v>0</v>
      </c>
      <c r="P39" t="b" cm="1">
        <f t="array" ref="P39">INDEX(P$11:P$16,$S39)=$R39</f>
        <v>1</v>
      </c>
      <c r="Q39" t="b" cm="1">
        <f t="array" ref="Q39">INDEX(Q$11:Q$16,$S39)=$R39</f>
        <v>1</v>
      </c>
      <c r="R39" s="23">
        <v>3</v>
      </c>
      <c r="S39" s="23">
        <f t="shared" si="6"/>
        <v>4</v>
      </c>
    </row>
    <row r="40" spans="1:19" x14ac:dyDescent="0.25">
      <c r="A40" s="11" t="s">
        <v>49</v>
      </c>
      <c r="B40" s="11" t="s">
        <v>14</v>
      </c>
      <c r="C40" s="1" t="s">
        <v>16</v>
      </c>
      <c r="D40" s="1" t="s">
        <v>19</v>
      </c>
      <c r="K40" t="b" cm="1">
        <f t="array" ref="K40">INDEX(K$11:K$16,$S40)=$R40</f>
        <v>0</v>
      </c>
      <c r="L40" t="b" cm="1">
        <f t="array" ref="L40">INDEX(L$11:L$16,$S40)=$R40</f>
        <v>0</v>
      </c>
      <c r="M40" t="b" cm="1">
        <f t="array" ref="M40">INDEX(M$11:M$16,$S40)=$R40</f>
        <v>0</v>
      </c>
      <c r="N40" t="b" cm="1">
        <f t="array" ref="N40">INDEX(N$11:N$16,$S40)=$R40</f>
        <v>0</v>
      </c>
      <c r="O40" t="b" cm="1">
        <f t="array" ref="O40">INDEX(O$11:O$16,$S40)=$R40</f>
        <v>1</v>
      </c>
      <c r="P40" t="b" cm="1">
        <f t="array" ref="P40">INDEX(P$11:P$16,$S40)=$R40</f>
        <v>0</v>
      </c>
      <c r="Q40" t="b" cm="1">
        <f t="array" ref="Q40">INDEX(Q$11:Q$16,$S40)=$R40</f>
        <v>0</v>
      </c>
      <c r="R40" s="23">
        <v>4</v>
      </c>
      <c r="S40" s="23">
        <f t="shared" si="6"/>
        <v>4</v>
      </c>
    </row>
    <row r="41" spans="1:19" x14ac:dyDescent="0.25">
      <c r="A41" s="15">
        <v>2027</v>
      </c>
      <c r="B41">
        <f>GETPIVOTDATA(""&amp;B$40,Control!$A$44,"Year",A41)</f>
        <v>37965</v>
      </c>
      <c r="C41" t="e">
        <f>IFERROR(GETPIVOTDATA(""&amp;$B$40,Control!$A$35,"Year",$A41),NA())</f>
        <v>#N/A</v>
      </c>
      <c r="D41" s="2" t="e">
        <f>IF(C41&gt;=1000,TEXT(ROUND(C41/1000,0),"0")&amp;"k",C41)</f>
        <v>#N/A</v>
      </c>
      <c r="K41" t="b" cm="1">
        <f t="array" ref="K41">INDEX(K$11:K$16,$S41)=$R41</f>
        <v>0</v>
      </c>
      <c r="L41" t="b" cm="1">
        <f t="array" ref="L41">INDEX(L$11:L$16,$S41)=$R41</f>
        <v>0</v>
      </c>
      <c r="M41" t="b" cm="1">
        <f t="array" ref="M41">INDEX(M$11:M$16,$S41)=$R41</f>
        <v>0</v>
      </c>
      <c r="N41" t="b" cm="1">
        <f t="array" ref="N41">INDEX(N$11:N$16,$S41)=$R41</f>
        <v>0</v>
      </c>
      <c r="O41" t="b" cm="1">
        <f t="array" ref="O41">INDEX(O$11:O$16,$S41)=$R41</f>
        <v>0</v>
      </c>
      <c r="P41" t="b" cm="1">
        <f t="array" ref="P41">INDEX(P$11:P$16,$S41)=$R41</f>
        <v>0</v>
      </c>
      <c r="Q41" t="b" cm="1">
        <f t="array" ref="Q41">INDEX(Q$11:Q$16,$S41)=$R41</f>
        <v>1</v>
      </c>
      <c r="R41" s="23">
        <v>1</v>
      </c>
      <c r="S41" s="23">
        <f t="shared" si="6"/>
        <v>5</v>
      </c>
    </row>
    <row r="42" spans="1:19" x14ac:dyDescent="0.25">
      <c r="A42" s="15">
        <v>2028</v>
      </c>
      <c r="B42">
        <f>GETPIVOTDATA(""&amp;B$40,Control!$A$44,"Year",A42)</f>
        <v>44200</v>
      </c>
      <c r="C42">
        <f>IFERROR(GETPIVOTDATA(""&amp;$B$40,Control!$A$35,"Year",$A42),NA())</f>
        <v>44200</v>
      </c>
      <c r="D42" s="2" t="str">
        <f t="shared" ref="D42:D44" si="7">IF(C42&gt;=1000,TEXT(ROUND(C42/1000,0),"0")&amp;"k",C42)</f>
        <v>44k</v>
      </c>
      <c r="K42" t="b" cm="1">
        <f t="array" ref="K42">INDEX(K$11:K$16,$S42)=$R42</f>
        <v>1</v>
      </c>
      <c r="L42" t="b" cm="1">
        <f t="array" ref="L42">INDEX(L$11:L$16,$S42)=$R42</f>
        <v>0</v>
      </c>
      <c r="M42" t="b" cm="1">
        <f t="array" ref="M42">INDEX(M$11:M$16,$S42)=$R42</f>
        <v>1</v>
      </c>
      <c r="N42" t="b" cm="1">
        <f t="array" ref="N42">INDEX(N$11:N$16,$S42)=$R42</f>
        <v>1</v>
      </c>
      <c r="O42" t="b" cm="1">
        <f t="array" ref="O42">INDEX(O$11:O$16,$S42)=$R42</f>
        <v>1</v>
      </c>
      <c r="P42" t="b" cm="1">
        <f t="array" ref="P42">INDEX(P$11:P$16,$S42)=$R42</f>
        <v>1</v>
      </c>
      <c r="Q42" t="b" cm="1">
        <f t="array" ref="Q42">INDEX(Q$11:Q$16,$S42)=$R42</f>
        <v>0</v>
      </c>
      <c r="R42" s="23">
        <v>2</v>
      </c>
      <c r="S42" s="23">
        <f t="shared" si="6"/>
        <v>5</v>
      </c>
    </row>
    <row r="43" spans="1:19" x14ac:dyDescent="0.25">
      <c r="A43" s="15">
        <v>2029</v>
      </c>
      <c r="B43">
        <f>GETPIVOTDATA(""&amp;B$40,Control!$A$44,"Year",A43)</f>
        <v>38780</v>
      </c>
      <c r="C43" t="e">
        <f>IFERROR(GETPIVOTDATA(""&amp;$B$40,Control!$A$35,"Year",$A43),NA())</f>
        <v>#N/A</v>
      </c>
      <c r="D43" s="2" t="e">
        <f t="shared" si="7"/>
        <v>#N/A</v>
      </c>
      <c r="K43" t="b" cm="1">
        <f t="array" ref="K43">INDEX(K$11:K$16,$S43)=$R43</f>
        <v>0</v>
      </c>
      <c r="L43" t="b" cm="1">
        <f t="array" ref="L43">INDEX(L$11:L$16,$S43)=$R43</f>
        <v>0</v>
      </c>
      <c r="M43" t="b" cm="1">
        <f t="array" ref="M43">INDEX(M$11:M$16,$S43)=$R43</f>
        <v>0</v>
      </c>
      <c r="N43" t="b" cm="1">
        <f t="array" ref="N43">INDEX(N$11:N$16,$S43)=$R43</f>
        <v>0</v>
      </c>
      <c r="O43" t="b" cm="1">
        <f t="array" ref="O43">INDEX(O$11:O$16,$S43)=$R43</f>
        <v>0</v>
      </c>
      <c r="P43" t="b" cm="1">
        <f t="array" ref="P43">INDEX(P$11:P$16,$S43)=$R43</f>
        <v>0</v>
      </c>
      <c r="Q43" t="b" cm="1">
        <f t="array" ref="Q43">INDEX(Q$11:Q$16,$S43)=$R43</f>
        <v>0</v>
      </c>
      <c r="R43" s="23">
        <v>3</v>
      </c>
      <c r="S43" s="23">
        <f t="shared" si="6"/>
        <v>5</v>
      </c>
    </row>
    <row r="44" spans="1:19" x14ac:dyDescent="0.25">
      <c r="A44" s="15">
        <v>2030</v>
      </c>
      <c r="B44">
        <f>GETPIVOTDATA(""&amp;B$40,Control!$A$44,"Year",A44)</f>
        <v>53560</v>
      </c>
      <c r="C44" t="e">
        <f>IFERROR(GETPIVOTDATA(""&amp;$B$40,Control!$A$35,"Year",$A44),NA())</f>
        <v>#N/A</v>
      </c>
      <c r="D44" s="2" t="e">
        <f t="shared" si="7"/>
        <v>#N/A</v>
      </c>
      <c r="K44" t="b" cm="1">
        <f t="array" ref="K44">INDEX(K$11:K$16,$S44)=$R44</f>
        <v>0</v>
      </c>
      <c r="L44" t="b" cm="1">
        <f t="array" ref="L44">INDEX(L$11:L$16,$S44)=$R44</f>
        <v>1</v>
      </c>
      <c r="M44" t="b" cm="1">
        <f t="array" ref="M44">INDEX(M$11:M$16,$S44)=$R44</f>
        <v>0</v>
      </c>
      <c r="N44" t="b" cm="1">
        <f t="array" ref="N44">INDEX(N$11:N$16,$S44)=$R44</f>
        <v>0</v>
      </c>
      <c r="O44" t="b" cm="1">
        <f t="array" ref="O44">INDEX(O$11:O$16,$S44)=$R44</f>
        <v>0</v>
      </c>
      <c r="P44" t="b" cm="1">
        <f t="array" ref="P44">INDEX(P$11:P$16,$S44)=$R44</f>
        <v>0</v>
      </c>
      <c r="Q44" t="b" cm="1">
        <f t="array" ref="Q44">INDEX(Q$11:Q$16,$S44)=$R44</f>
        <v>0</v>
      </c>
      <c r="R44" s="23">
        <v>4</v>
      </c>
      <c r="S44" s="23">
        <f t="shared" si="6"/>
        <v>5</v>
      </c>
    </row>
    <row r="45" spans="1:19" x14ac:dyDescent="0.25">
      <c r="B45" s="11">
        <f>SUM(B41:B44)</f>
        <v>174505</v>
      </c>
      <c r="K45" t="b" cm="1">
        <f t="array" ref="K45">INDEX(K$11:K$16,$S45)=$R45</f>
        <v>1</v>
      </c>
      <c r="L45" t="b" cm="1">
        <f t="array" ref="L45">INDEX(L$11:L$16,$S45)=$R45</f>
        <v>1</v>
      </c>
      <c r="M45" t="b" cm="1">
        <f t="array" ref="M45">INDEX(M$11:M$16,$S45)=$R45</f>
        <v>1</v>
      </c>
      <c r="N45" t="b" cm="1">
        <f t="array" ref="N45">INDEX(N$11:N$16,$S45)=$R45</f>
        <v>1</v>
      </c>
      <c r="O45" t="b" cm="1">
        <f t="array" ref="O45">INDEX(O$11:O$16,$S45)=$R45</f>
        <v>1</v>
      </c>
      <c r="P45" t="b" cm="1">
        <f t="array" ref="P45">INDEX(P$11:P$16,$S45)=$R45</f>
        <v>1</v>
      </c>
      <c r="Q45" t="b" cm="1">
        <f t="array" ref="Q45">INDEX(Q$11:Q$16,$S45)=$R45</f>
        <v>1</v>
      </c>
      <c r="R45" s="23">
        <v>1</v>
      </c>
      <c r="S45" s="23">
        <f t="shared" si="6"/>
        <v>6</v>
      </c>
    </row>
    <row r="46" spans="1:19" x14ac:dyDescent="0.25">
      <c r="K46" t="b" cm="1">
        <f t="array" ref="K46">INDEX(K$11:K$16,$S46)=$R46</f>
        <v>0</v>
      </c>
      <c r="L46" t="b" cm="1">
        <f t="array" ref="L46">INDEX(L$11:L$16,$S46)=$R46</f>
        <v>0</v>
      </c>
      <c r="M46" t="b" cm="1">
        <f t="array" ref="M46">INDEX(M$11:M$16,$S46)=$R46</f>
        <v>0</v>
      </c>
      <c r="N46" t="b" cm="1">
        <f t="array" ref="N46">INDEX(N$11:N$16,$S46)=$R46</f>
        <v>0</v>
      </c>
      <c r="O46" t="b" cm="1">
        <f t="array" ref="O46">INDEX(O$11:O$16,$S46)=$R46</f>
        <v>0</v>
      </c>
      <c r="P46" t="b" cm="1">
        <f t="array" ref="P46">INDEX(P$11:P$16,$S46)=$R46</f>
        <v>0</v>
      </c>
      <c r="Q46" t="b" cm="1">
        <f t="array" ref="Q46">INDEX(Q$11:Q$16,$S46)=$R46</f>
        <v>0</v>
      </c>
      <c r="R46" s="23">
        <v>2</v>
      </c>
      <c r="S46" s="23">
        <f t="shared" si="6"/>
        <v>6</v>
      </c>
    </row>
    <row r="47" spans="1:19" x14ac:dyDescent="0.25">
      <c r="K47" t="b" cm="1">
        <f t="array" ref="K47">INDEX(K$11:K$16,$S47)=$R47</f>
        <v>0</v>
      </c>
      <c r="L47" t="b" cm="1">
        <f t="array" ref="L47">INDEX(L$11:L$16,$S47)=$R47</f>
        <v>0</v>
      </c>
      <c r="M47" t="b" cm="1">
        <f t="array" ref="M47">INDEX(M$11:M$16,$S47)=$R47</f>
        <v>0</v>
      </c>
      <c r="N47" t="b" cm="1">
        <f t="array" ref="N47">INDEX(N$11:N$16,$S47)=$R47</f>
        <v>0</v>
      </c>
      <c r="O47" t="b" cm="1">
        <f t="array" ref="O47">INDEX(O$11:O$16,$S47)=$R47</f>
        <v>0</v>
      </c>
      <c r="P47" t="b" cm="1">
        <f t="array" ref="P47">INDEX(P$11:P$16,$S47)=$R47</f>
        <v>0</v>
      </c>
      <c r="Q47" t="b" cm="1">
        <f t="array" ref="Q47">INDEX(Q$11:Q$16,$S47)=$R47</f>
        <v>0</v>
      </c>
      <c r="R47" s="23">
        <v>3</v>
      </c>
      <c r="S47" s="23">
        <f t="shared" si="6"/>
        <v>6</v>
      </c>
    </row>
    <row r="48" spans="1:19" x14ac:dyDescent="0.25">
      <c r="K48" t="b" cm="1">
        <f t="array" ref="K48">INDEX(K$11:K$16,$S48)=$R48</f>
        <v>0</v>
      </c>
      <c r="L48" t="b" cm="1">
        <f t="array" ref="L48">INDEX(L$11:L$16,$S48)=$R48</f>
        <v>0</v>
      </c>
      <c r="M48" t="b" cm="1">
        <f t="array" ref="M48">INDEX(M$11:M$16,$S48)=$R48</f>
        <v>0</v>
      </c>
      <c r="N48" t="b" cm="1">
        <f t="array" ref="N48">INDEX(N$11:N$16,$S48)=$R48</f>
        <v>0</v>
      </c>
      <c r="O48" t="b" cm="1">
        <f t="array" ref="O48">INDEX(O$11:O$16,$S48)=$R48</f>
        <v>0</v>
      </c>
      <c r="P48" t="b" cm="1">
        <f t="array" ref="P48">INDEX(P$11:P$16,$S48)=$R48</f>
        <v>0</v>
      </c>
      <c r="Q48" t="b" cm="1">
        <f t="array" ref="Q48">INDEX(Q$11:Q$16,$S48)=$R48</f>
        <v>0</v>
      </c>
      <c r="R48" s="23">
        <v>4</v>
      </c>
      <c r="S48" s="23">
        <f t="shared" si="6"/>
        <v>6</v>
      </c>
    </row>
    <row r="50" spans="1:14" x14ac:dyDescent="0.25">
      <c r="D50" t="b">
        <f>ISNUMBER(MATCH(D51,Control!$A$59:$A$66,0))</f>
        <v>0</v>
      </c>
      <c r="E50" t="b">
        <f>ISNUMBER(MATCH(E51,Control!$A$59:$A$66,0))</f>
        <v>1</v>
      </c>
      <c r="F50" t="b">
        <f>ISNUMBER(MATCH(F51,Control!$A$59:$A$66,0))</f>
        <v>1</v>
      </c>
      <c r="G50" t="b">
        <f>ISNUMBER(MATCH(G51,Control!$A$59:$A$66,0))</f>
        <v>1</v>
      </c>
      <c r="H50" t="b">
        <f>ISNUMBER(MATCH(H51,Control!$A$59:$A$66,0))</f>
        <v>0</v>
      </c>
      <c r="J50" t="s">
        <v>50</v>
      </c>
    </row>
    <row r="51" spans="1:14" x14ac:dyDescent="0.25">
      <c r="B51" s="11" t="s">
        <v>157</v>
      </c>
      <c r="C51" s="11" t="s">
        <v>56</v>
      </c>
      <c r="D51" t="str">
        <f t="array" ref="D51:H51">TRANSPOSE(_xlfn._xlws.SORT($J$52:$J$56))</f>
        <v>Entertainment</v>
      </c>
      <c r="E51" t="str">
        <v>FoodCourt</v>
      </c>
      <c r="F51" t="str">
        <v>Supermarket</v>
      </c>
      <c r="G51" t="str">
        <v>Travel</v>
      </c>
      <c r="H51" t="str">
        <v>Workplace</v>
      </c>
      <c r="I51" s="11" t="s">
        <v>58</v>
      </c>
      <c r="J51" s="11" t="s">
        <v>156</v>
      </c>
      <c r="K51" s="11" t="s">
        <v>56</v>
      </c>
      <c r="L51" s="1" t="s">
        <v>57</v>
      </c>
    </row>
    <row r="52" spans="1:14" x14ac:dyDescent="0.25">
      <c r="A52" t="b">
        <f>ISNUMBER(MATCH(B52,Control!$A$68:$A$72,0))</f>
        <v>1</v>
      </c>
      <c r="B52" t="s">
        <v>81</v>
      </c>
      <c r="C52" s="2" t="str">
        <f>LEFT(B52,1)</f>
        <v>E</v>
      </c>
      <c r="D52" s="19" t="e">
        <f>IF($A52,IF(D$50,GETPIVOTDATA($B52&amp;" "&amp;LEFT(D$51,1),Control!$A$3),NA()),0)</f>
        <v>#N/A</v>
      </c>
      <c r="E52" s="19">
        <f>IF($A52,IF(E$50,GETPIVOTDATA($B52&amp;" "&amp;LEFT(E$51,1),Control!$A$3),NA()),0)</f>
        <v>342</v>
      </c>
      <c r="F52" s="19">
        <f>IF($A52,IF(F$50,GETPIVOTDATA($B52&amp;" "&amp;LEFT(F$51,1),Control!$A$3),NA()),0)</f>
        <v>524</v>
      </c>
      <c r="G52" s="19">
        <f>IF($A52,IF(G$50,GETPIVOTDATA($B52&amp;" "&amp;LEFT(G$51,1),Control!$A$3),NA()),0)</f>
        <v>238</v>
      </c>
      <c r="H52" s="19" t="e">
        <f>IF($A52,IF(H$50,GETPIVOTDATA($B52&amp;" "&amp;LEFT(H$51,1),Control!$A$3),NA()),0)</f>
        <v>#N/A</v>
      </c>
      <c r="I52" s="28" cm="1">
        <f t="array" ref="I52">SUM(IFERROR(D52:H52,0))</f>
        <v>1104</v>
      </c>
      <c r="J52" t="s">
        <v>54</v>
      </c>
      <c r="K52" s="2" t="str">
        <f>LEFT(J52,1)</f>
        <v>E</v>
      </c>
      <c r="L52" s="74" t="str">
        <f>IF(M52,GETPIVOTDATA(""&amp;J52,Control!$A$3),"")</f>
        <v/>
      </c>
      <c r="M52" s="2" t="b">
        <f>ISNUMBER(MATCH(J52,Control!$A$59:$A$63,0))</f>
        <v>0</v>
      </c>
      <c r="N52" t="str">
        <f>IF(M52,J52,"")</f>
        <v/>
      </c>
    </row>
    <row r="53" spans="1:14" x14ac:dyDescent="0.25">
      <c r="A53" t="b">
        <f>ISNUMBER(MATCH(B53,Control!$A$68:$A$72,0))</f>
        <v>1</v>
      </c>
      <c r="B53" t="s">
        <v>82</v>
      </c>
      <c r="C53" s="2" t="str">
        <f>LEFT(B53,1)</f>
        <v>F</v>
      </c>
      <c r="D53" s="19" t="e">
        <f>IF($A53,IF(D$50,GETPIVOTDATA($B53&amp;" "&amp;LEFT(D$51,1),Control!$A$3),NA()),0)</f>
        <v>#N/A</v>
      </c>
      <c r="E53" s="19">
        <f>IF($A53,IF(E$50,GETPIVOTDATA($B53&amp;" "&amp;LEFT(E$51,1),Control!$A$3),NA()),0)</f>
        <v>298</v>
      </c>
      <c r="F53" s="19">
        <f>IF($A53,IF(F$50,GETPIVOTDATA($B53&amp;" "&amp;LEFT(F$51,1),Control!$A$3),NA()),0)</f>
        <v>550</v>
      </c>
      <c r="G53" s="19">
        <f>IF($A53,IF(G$50,GETPIVOTDATA($B53&amp;" "&amp;LEFT(G$51,1),Control!$A$3),NA()),0)</f>
        <v>459</v>
      </c>
      <c r="H53" s="19" t="e">
        <f>IF($A53,IF(H$50,GETPIVOTDATA($B53&amp;" "&amp;LEFT(H$51,1),Control!$A$3),NA()),0)</f>
        <v>#N/A</v>
      </c>
      <c r="I53" s="28" cm="1">
        <f t="array" ref="I53">SUM(IFERROR(D53:H53,0))</f>
        <v>1307</v>
      </c>
      <c r="J53" t="s">
        <v>52</v>
      </c>
      <c r="K53" s="2" t="str">
        <f>LEFT(J53,1)</f>
        <v>F</v>
      </c>
      <c r="L53" s="74">
        <f>IF(M53,GETPIVOTDATA(""&amp;J53,Control!$A$3),"")</f>
        <v>1595</v>
      </c>
      <c r="M53" s="2" t="b">
        <f>ISNUMBER(MATCH(J53,Control!$A$59:$A$63,0))</f>
        <v>1</v>
      </c>
      <c r="N53" t="str">
        <f t="shared" ref="N53:N56" si="8">IF(M53,J53,"")</f>
        <v>FoodCourt</v>
      </c>
    </row>
    <row r="54" spans="1:14" x14ac:dyDescent="0.25">
      <c r="A54" t="b">
        <f>ISNUMBER(MATCH(B54,Control!$A$68:$A$72,0))</f>
        <v>1</v>
      </c>
      <c r="B54" t="s">
        <v>85</v>
      </c>
      <c r="C54" s="2" t="str">
        <f>LEFT(B54,1)</f>
        <v>H</v>
      </c>
      <c r="D54" s="19" t="e">
        <f>IF($A54,IF(D$50,GETPIVOTDATA($B54&amp;" "&amp;LEFT(D$51,1),Control!$A$3),NA()),0)</f>
        <v>#N/A</v>
      </c>
      <c r="E54" s="19">
        <f>IF($A54,IF(E$50,GETPIVOTDATA($B54&amp;" "&amp;LEFT(E$51,1),Control!$A$3),NA()),0)</f>
        <v>319</v>
      </c>
      <c r="F54" s="19">
        <f>IF($A54,IF(F$50,GETPIVOTDATA($B54&amp;" "&amp;LEFT(F$51,1),Control!$A$3),NA()),0)</f>
        <v>498</v>
      </c>
      <c r="G54" s="19">
        <f>IF($A54,IF(G$50,GETPIVOTDATA($B54&amp;" "&amp;LEFT(G$51,1),Control!$A$3),NA()),0)</f>
        <v>370</v>
      </c>
      <c r="H54" s="19" t="e">
        <f>IF($A54,IF(H$50,GETPIVOTDATA($B54&amp;" "&amp;LEFT(H$51,1),Control!$A$3),NA()),0)</f>
        <v>#N/A</v>
      </c>
      <c r="I54" s="28" cm="1">
        <f t="array" ref="I54">SUM(IFERROR(D54:H54,0))</f>
        <v>1187</v>
      </c>
      <c r="J54" t="s">
        <v>53</v>
      </c>
      <c r="K54" s="2" t="str">
        <f>LEFT(J54,1)</f>
        <v>S</v>
      </c>
      <c r="L54" s="74">
        <f>IF(M54,GETPIVOTDATA(""&amp;J54,Control!$A$3),"")</f>
        <v>2487</v>
      </c>
      <c r="M54" s="2" t="b">
        <f>ISNUMBER(MATCH(J54,Control!$A$59:$A$63,0))</f>
        <v>1</v>
      </c>
      <c r="N54" t="str">
        <f t="shared" si="8"/>
        <v>Supermarket</v>
      </c>
    </row>
    <row r="55" spans="1:14" x14ac:dyDescent="0.25">
      <c r="A55" t="b">
        <f>ISNUMBER(MATCH(B55,Control!$A$68:$A$72,0))</f>
        <v>1</v>
      </c>
      <c r="B55" t="s">
        <v>83</v>
      </c>
      <c r="C55" s="2" t="str">
        <f>LEFT(B55,1)</f>
        <v>L</v>
      </c>
      <c r="D55" s="19" t="e">
        <f>IF($A55,IF(D$50,GETPIVOTDATA($B55&amp;" "&amp;LEFT(D$51,1),Control!$A$3),NA()),0)</f>
        <v>#N/A</v>
      </c>
      <c r="E55" s="19">
        <f>IF($A55,IF(E$50,GETPIVOTDATA($B55&amp;" "&amp;LEFT(E$51,1),Control!$A$3),NA()),0)</f>
        <v>314</v>
      </c>
      <c r="F55" s="19">
        <f>IF($A55,IF(F$50,GETPIVOTDATA($B55&amp;" "&amp;LEFT(F$51,1),Control!$A$3),NA()),0)</f>
        <v>406</v>
      </c>
      <c r="G55" s="19">
        <f>IF($A55,IF(G$50,GETPIVOTDATA($B55&amp;" "&amp;LEFT(G$51,1),Control!$A$3),NA()),0)</f>
        <v>467</v>
      </c>
      <c r="H55" s="19" t="e">
        <f>IF($A55,IF(H$50,GETPIVOTDATA($B55&amp;" "&amp;LEFT(H$51,1),Control!$A$3),NA()),0)</f>
        <v>#N/A</v>
      </c>
      <c r="I55" s="28" cm="1">
        <f t="array" ref="I55">SUM(IFERROR(D55:H55,0))</f>
        <v>1187</v>
      </c>
      <c r="J55" t="s">
        <v>51</v>
      </c>
      <c r="K55" s="2" t="str">
        <f>LEFT(J55,1)</f>
        <v>T</v>
      </c>
      <c r="L55" s="74">
        <f>IF(M55,GETPIVOTDATA(""&amp;J55,Control!$A$3),"")</f>
        <v>1847</v>
      </c>
      <c r="M55" s="2" t="b">
        <f>ISNUMBER(MATCH(J55,Control!$A$59:$A$63,0))</f>
        <v>1</v>
      </c>
      <c r="N55" t="str">
        <f t="shared" si="8"/>
        <v>Travel</v>
      </c>
    </row>
    <row r="56" spans="1:14" x14ac:dyDescent="0.25">
      <c r="A56" t="b">
        <f>ISNUMBER(MATCH(B56,Control!$A$68:$A$72,0))</f>
        <v>1</v>
      </c>
      <c r="B56" t="s">
        <v>84</v>
      </c>
      <c r="C56" s="2" t="str">
        <f>LEFT(B56,1)</f>
        <v>S</v>
      </c>
      <c r="D56" s="19" t="e">
        <f>IF($A56,IF(D$50,GETPIVOTDATA($B56&amp;" "&amp;LEFT(D$51,1),Control!$A$3),NA()),0)</f>
        <v>#N/A</v>
      </c>
      <c r="E56" s="19">
        <f>IF($A56,IF(E$50,GETPIVOTDATA($B56&amp;" "&amp;LEFT(E$51,1),Control!$A$3),NA()),0)</f>
        <v>322</v>
      </c>
      <c r="F56" s="19">
        <f>IF($A56,IF(F$50,GETPIVOTDATA($B56&amp;" "&amp;LEFT(F$51,1),Control!$A$3),NA()),0)</f>
        <v>509</v>
      </c>
      <c r="G56" s="19">
        <f>IF($A56,IF(G$50,GETPIVOTDATA($B56&amp;" "&amp;LEFT(G$51,1),Control!$A$3),NA()),0)</f>
        <v>313</v>
      </c>
      <c r="H56" s="19" t="e">
        <f>IF($A56,IF(H$50,GETPIVOTDATA($B56&amp;" "&amp;LEFT(H$51,1),Control!$A$3),NA()),0)</f>
        <v>#N/A</v>
      </c>
      <c r="I56" s="28" cm="1">
        <f t="array" ref="I56">SUM(IFERROR(D56:H56,0))</f>
        <v>1144</v>
      </c>
      <c r="J56" t="s">
        <v>55</v>
      </c>
      <c r="K56" s="2" t="str">
        <f>LEFT(J56,1)</f>
        <v>W</v>
      </c>
      <c r="L56" s="74" t="str">
        <f>IF(M56,GETPIVOTDATA(""&amp;J56,Control!$A$3),"")</f>
        <v/>
      </c>
      <c r="M56" s="2" t="b">
        <f>ISNUMBER(MATCH(J56,Control!$A$59:$A$63,0))</f>
        <v>0</v>
      </c>
      <c r="N56" t="str">
        <f t="shared" si="8"/>
        <v/>
      </c>
    </row>
    <row r="57" spans="1:14" x14ac:dyDescent="0.25">
      <c r="C57" t="s">
        <v>16</v>
      </c>
      <c r="D57" s="2" t="e">
        <f t="shared" ref="D57:I57" si="9">SUM(D52:D56)</f>
        <v>#N/A</v>
      </c>
      <c r="E57" s="2">
        <f t="shared" si="9"/>
        <v>1595</v>
      </c>
      <c r="F57" s="2">
        <f t="shared" si="9"/>
        <v>2487</v>
      </c>
      <c r="G57" s="2">
        <f t="shared" si="9"/>
        <v>1847</v>
      </c>
      <c r="H57" s="2" t="e">
        <f t="shared" si="9"/>
        <v>#N/A</v>
      </c>
      <c r="I57" s="28">
        <f t="shared" si="9"/>
        <v>5929</v>
      </c>
      <c r="L57" s="74" cm="1">
        <f t="array" ref="L57">SUM(M52:M56*IFERROR(L52:L56*1,0))</f>
        <v>5929</v>
      </c>
    </row>
    <row r="58" spans="1:14" x14ac:dyDescent="0.25">
      <c r="C58" t="s">
        <v>15</v>
      </c>
      <c r="D58" s="2">
        <f>D60</f>
        <v>174.09</v>
      </c>
      <c r="E58" s="2">
        <f t="shared" ref="E58:H58" si="10">E60</f>
        <v>174.09</v>
      </c>
      <c r="F58" s="2">
        <f t="shared" si="10"/>
        <v>174.09</v>
      </c>
      <c r="G58" s="2">
        <f t="shared" si="10"/>
        <v>174.09</v>
      </c>
      <c r="H58" s="2">
        <f t="shared" si="10"/>
        <v>174.09</v>
      </c>
    </row>
    <row r="59" spans="1:14" x14ac:dyDescent="0.25">
      <c r="C59" s="11" t="s">
        <v>58</v>
      </c>
      <c r="D59" s="2">
        <f>GETPIVOTDATA(""&amp;D51,Control!$A$3)</f>
        <v>2311</v>
      </c>
      <c r="E59" s="2">
        <f>GETPIVOTDATA(""&amp;E51,Control!$A$3)</f>
        <v>1595</v>
      </c>
      <c r="F59" s="2">
        <f>GETPIVOTDATA(""&amp;F51,Control!$A$3)</f>
        <v>2487</v>
      </c>
      <c r="G59" s="2">
        <f>GETPIVOTDATA(""&amp;G51,Control!$A$3)</f>
        <v>1847</v>
      </c>
      <c r="H59" s="2">
        <f>GETPIVOTDATA(""&amp;H51,Control!$A$3)</f>
        <v>2062</v>
      </c>
    </row>
    <row r="60" spans="1:14" x14ac:dyDescent="0.25">
      <c r="C60" t="s">
        <v>13</v>
      </c>
      <c r="D60" s="2">
        <f>$I$60</f>
        <v>174.09</v>
      </c>
      <c r="E60" s="2">
        <f>$I$60</f>
        <v>174.09</v>
      </c>
      <c r="F60" s="2">
        <f>$I$60</f>
        <v>174.09</v>
      </c>
      <c r="G60" s="2">
        <f>$I$60</f>
        <v>174.09</v>
      </c>
      <c r="H60" s="2">
        <f>$I$60</f>
        <v>174.09</v>
      </c>
      <c r="I60" cm="1">
        <f t="array" ref="I60">MAX(IFERROR(D59:H59,0))*7%</f>
        <v>174.09</v>
      </c>
    </row>
    <row r="61" spans="1:14" x14ac:dyDescent="0.25">
      <c r="C61" s="2" t="s">
        <v>18</v>
      </c>
      <c r="D61" t="e">
        <f>D57+D58</f>
        <v>#N/A</v>
      </c>
      <c r="E61">
        <f t="shared" ref="E61:H61" si="11">E57+E58</f>
        <v>1769.09</v>
      </c>
      <c r="F61">
        <f t="shared" si="11"/>
        <v>2661.09</v>
      </c>
      <c r="G61">
        <f t="shared" si="11"/>
        <v>2021.09</v>
      </c>
      <c r="H61" t="e">
        <f t="shared" si="11"/>
        <v>#N/A</v>
      </c>
    </row>
    <row r="62" spans="1:14" x14ac:dyDescent="0.25">
      <c r="C62" t="s">
        <v>19</v>
      </c>
      <c r="D62" s="2" t="str">
        <f>IF(ISNUMBER(D57),IF(D57&gt;=1000,TEXT(ROUND(D57/1000,0),"0")&amp;"k",D57),"")</f>
        <v/>
      </c>
      <c r="E62" s="2" t="str">
        <f t="shared" ref="E62:H62" si="12">IF(ISNUMBER(E57),IF(E57&gt;=1000,TEXT(ROUND(E57/1000,0),"0")&amp;"k",E57),"")</f>
        <v>2k</v>
      </c>
      <c r="F62" s="2" t="str">
        <f t="shared" si="12"/>
        <v>2k</v>
      </c>
      <c r="G62" s="2" t="str">
        <f t="shared" si="12"/>
        <v>2k</v>
      </c>
      <c r="H62" s="2" t="str">
        <f t="shared" si="12"/>
        <v/>
      </c>
    </row>
    <row r="64" spans="1:14" x14ac:dyDescent="0.25">
      <c r="A64">
        <v>72</v>
      </c>
      <c r="B64">
        <v>72</v>
      </c>
      <c r="C64">
        <v>72</v>
      </c>
      <c r="D64">
        <v>72</v>
      </c>
      <c r="E64">
        <v>72</v>
      </c>
    </row>
    <row r="65" spans="1:5" x14ac:dyDescent="0.25">
      <c r="A65">
        <v>72</v>
      </c>
      <c r="B65">
        <v>72</v>
      </c>
      <c r="C65">
        <v>72</v>
      </c>
      <c r="D65">
        <v>72</v>
      </c>
      <c r="E65">
        <v>72</v>
      </c>
    </row>
    <row r="66" spans="1:5" x14ac:dyDescent="0.25">
      <c r="A66">
        <v>72</v>
      </c>
      <c r="B66">
        <v>72</v>
      </c>
      <c r="C66">
        <v>72</v>
      </c>
      <c r="D66">
        <v>72</v>
      </c>
      <c r="E66">
        <v>72</v>
      </c>
    </row>
    <row r="73" spans="1:5" x14ac:dyDescent="0.25">
      <c r="B73" t="s">
        <v>81</v>
      </c>
      <c r="D73" t="s">
        <v>54</v>
      </c>
    </row>
    <row r="74" spans="1:5" x14ac:dyDescent="0.25">
      <c r="B74" t="s">
        <v>82</v>
      </c>
      <c r="D74" t="s">
        <v>52</v>
      </c>
    </row>
    <row r="75" spans="1:5" x14ac:dyDescent="0.25">
      <c r="B75" t="s">
        <v>85</v>
      </c>
      <c r="D75" t="s">
        <v>53</v>
      </c>
    </row>
    <row r="76" spans="1:5" x14ac:dyDescent="0.25">
      <c r="B76" t="s">
        <v>83</v>
      </c>
      <c r="D76" t="s">
        <v>51</v>
      </c>
    </row>
    <row r="77" spans="1:5" x14ac:dyDescent="0.25">
      <c r="B77" t="s">
        <v>84</v>
      </c>
      <c r="D77" t="s">
        <v>55</v>
      </c>
    </row>
  </sheetData>
  <sortState xmlns:xlrd2="http://schemas.microsoft.com/office/spreadsheetml/2017/richdata2" ref="D73:D77">
    <sortCondition ref="D73:D77"/>
  </sortState>
  <mergeCells count="1">
    <mergeCell ref="O1:Q1"/>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17D853-D56E-4838-BDAE-E31D52FF339E}">
  <dimension ref="A1:AQ73"/>
  <sheetViews>
    <sheetView workbookViewId="0"/>
  </sheetViews>
  <sheetFormatPr defaultRowHeight="15" x14ac:dyDescent="0.25"/>
  <cols>
    <col min="1" max="1" width="12.42578125" bestFit="1" customWidth="1"/>
    <col min="2" max="2" width="16.140625" bestFit="1" customWidth="1"/>
    <col min="3" max="3" width="13.28515625" bestFit="1" customWidth="1"/>
    <col min="4" max="4" width="14.85546875" bestFit="1" customWidth="1"/>
    <col min="5" max="5" width="13.42578125" bestFit="1" customWidth="1"/>
    <col min="6" max="6" width="14" bestFit="1" customWidth="1"/>
    <col min="7" max="7" width="12.28515625" bestFit="1" customWidth="1"/>
    <col min="8" max="8" width="11.7109375" bestFit="1" customWidth="1"/>
    <col min="9" max="9" width="12" bestFit="1" customWidth="1"/>
    <col min="10" max="10" width="15.7109375" bestFit="1" customWidth="1"/>
    <col min="11" max="11" width="18.140625" bestFit="1" customWidth="1"/>
    <col min="12" max="12" width="19.140625" bestFit="1" customWidth="1"/>
    <col min="13" max="13" width="16.140625" bestFit="1" customWidth="1"/>
    <col min="14" max="14" width="13.42578125" bestFit="1" customWidth="1"/>
    <col min="15" max="15" width="11.7109375" bestFit="1" customWidth="1"/>
    <col min="16" max="16" width="14.28515625" bestFit="1" customWidth="1"/>
    <col min="17" max="17" width="16.140625" bestFit="1" customWidth="1"/>
    <col min="18" max="18" width="15.28515625" bestFit="1" customWidth="1"/>
    <col min="19" max="19" width="13.5703125" bestFit="1" customWidth="1"/>
    <col min="20" max="20" width="11.85546875" bestFit="1" customWidth="1"/>
    <col min="21" max="21" width="14.42578125" bestFit="1" customWidth="1"/>
    <col min="22" max="22" width="16.28515625" bestFit="1" customWidth="1"/>
    <col min="23" max="23" width="15.42578125" bestFit="1" customWidth="1"/>
    <col min="24" max="24" width="13.7109375" bestFit="1" customWidth="1"/>
    <col min="25" max="25" width="13.5703125" bestFit="1" customWidth="1"/>
    <col min="26" max="26" width="11.85546875" bestFit="1" customWidth="1"/>
    <col min="27" max="27" width="14.42578125" bestFit="1" customWidth="1"/>
    <col min="28" max="28" width="16.28515625" bestFit="1" customWidth="1"/>
    <col min="29" max="29" width="15.42578125" bestFit="1" customWidth="1"/>
    <col min="30" max="30" width="14.28515625" bestFit="1" customWidth="1"/>
    <col min="31" max="31" width="12.5703125" bestFit="1" customWidth="1"/>
    <col min="32" max="32" width="15.140625" bestFit="1" customWidth="1"/>
    <col min="33" max="33" width="16.85546875" bestFit="1" customWidth="1"/>
    <col min="34" max="34" width="16.140625" bestFit="1" customWidth="1"/>
    <col min="35" max="35" width="12" bestFit="1" customWidth="1"/>
    <col min="36" max="36" width="14.5703125" bestFit="1" customWidth="1"/>
    <col min="37" max="37" width="15.5703125" bestFit="1" customWidth="1"/>
    <col min="38" max="38" width="16.28515625" bestFit="1" customWidth="1"/>
    <col min="39" max="43" width="13.5703125" bestFit="1" customWidth="1"/>
  </cols>
  <sheetData>
    <row r="1" spans="1:43" ht="15" customHeight="1" x14ac:dyDescent="0.55000000000000004">
      <c r="A1" s="82"/>
      <c r="B1" s="82"/>
      <c r="C1" s="82"/>
      <c r="D1" s="82"/>
      <c r="E1" s="82"/>
      <c r="F1" s="82"/>
      <c r="G1" s="82"/>
      <c r="H1" s="82"/>
    </row>
    <row r="2" spans="1:43" ht="15" customHeight="1" x14ac:dyDescent="0.55000000000000004">
      <c r="A2" s="82"/>
      <c r="B2" s="82"/>
      <c r="C2" s="82"/>
      <c r="D2" s="82"/>
      <c r="E2" s="82"/>
      <c r="F2" s="82"/>
      <c r="G2" s="82"/>
      <c r="H2" s="82"/>
    </row>
    <row r="3" spans="1:43" x14ac:dyDescent="0.25">
      <c r="A3" s="18" t="s">
        <v>62</v>
      </c>
      <c r="B3" t="s">
        <v>65</v>
      </c>
      <c r="C3" t="s">
        <v>70</v>
      </c>
      <c r="D3" t="s">
        <v>71</v>
      </c>
      <c r="E3" t="s">
        <v>72</v>
      </c>
      <c r="F3" t="s">
        <v>73</v>
      </c>
      <c r="G3" t="s">
        <v>75</v>
      </c>
      <c r="H3" t="s">
        <v>74</v>
      </c>
      <c r="I3" t="s">
        <v>76</v>
      </c>
      <c r="J3" t="s">
        <v>77</v>
      </c>
      <c r="K3" t="s">
        <v>78</v>
      </c>
      <c r="L3" t="s">
        <v>79</v>
      </c>
      <c r="M3" t="s">
        <v>80</v>
      </c>
      <c r="N3" t="s">
        <v>103</v>
      </c>
      <c r="O3" t="s">
        <v>104</v>
      </c>
      <c r="P3" t="s">
        <v>105</v>
      </c>
      <c r="Q3" t="s">
        <v>106</v>
      </c>
      <c r="R3" t="s">
        <v>107</v>
      </c>
      <c r="S3" t="s">
        <v>108</v>
      </c>
      <c r="T3" t="s">
        <v>109</v>
      </c>
      <c r="U3" t="s">
        <v>110</v>
      </c>
      <c r="V3" t="s">
        <v>111</v>
      </c>
      <c r="W3" t="s">
        <v>112</v>
      </c>
      <c r="X3" t="s">
        <v>113</v>
      </c>
      <c r="Y3" t="s">
        <v>114</v>
      </c>
      <c r="Z3" t="s">
        <v>115</v>
      </c>
      <c r="AA3" t="s">
        <v>116</v>
      </c>
      <c r="AB3" t="s">
        <v>117</v>
      </c>
      <c r="AC3" t="s">
        <v>118</v>
      </c>
      <c r="AD3" t="s">
        <v>119</v>
      </c>
      <c r="AE3" t="s">
        <v>128</v>
      </c>
      <c r="AF3" t="s">
        <v>129</v>
      </c>
      <c r="AG3" t="s">
        <v>130</v>
      </c>
      <c r="AH3" t="s">
        <v>131</v>
      </c>
      <c r="AI3" t="s">
        <v>132</v>
      </c>
      <c r="AJ3" t="s">
        <v>133</v>
      </c>
      <c r="AK3" t="s">
        <v>134</v>
      </c>
      <c r="AL3" t="s">
        <v>135</v>
      </c>
      <c r="AM3" t="s">
        <v>64</v>
      </c>
      <c r="AN3" t="s">
        <v>66</v>
      </c>
      <c r="AO3" t="s">
        <v>67</v>
      </c>
      <c r="AP3" t="s">
        <v>68</v>
      </c>
      <c r="AQ3" t="s">
        <v>69</v>
      </c>
    </row>
    <row r="4" spans="1:43" x14ac:dyDescent="0.25">
      <c r="A4" s="5" t="s">
        <v>4</v>
      </c>
      <c r="B4">
        <v>4</v>
      </c>
      <c r="C4">
        <v>4841</v>
      </c>
      <c r="D4">
        <v>2671</v>
      </c>
      <c r="E4">
        <v>1798</v>
      </c>
      <c r="F4">
        <v>1134</v>
      </c>
      <c r="G4">
        <v>941</v>
      </c>
      <c r="H4">
        <v>968</v>
      </c>
      <c r="I4">
        <v>547</v>
      </c>
      <c r="J4">
        <v>527</v>
      </c>
      <c r="K4">
        <v>646</v>
      </c>
      <c r="L4">
        <v>417</v>
      </c>
      <c r="M4">
        <v>534</v>
      </c>
      <c r="N4">
        <v>54</v>
      </c>
      <c r="O4">
        <v>143</v>
      </c>
      <c r="P4">
        <v>139</v>
      </c>
      <c r="Q4">
        <v>101</v>
      </c>
      <c r="R4">
        <v>110</v>
      </c>
      <c r="S4">
        <v>85</v>
      </c>
      <c r="T4">
        <v>154</v>
      </c>
      <c r="U4">
        <v>124</v>
      </c>
      <c r="V4">
        <v>58</v>
      </c>
      <c r="W4">
        <v>106</v>
      </c>
      <c r="X4">
        <v>167</v>
      </c>
      <c r="Y4">
        <v>106</v>
      </c>
      <c r="Z4">
        <v>48</v>
      </c>
      <c r="AA4">
        <v>60</v>
      </c>
      <c r="AB4">
        <v>120</v>
      </c>
      <c r="AC4">
        <v>83</v>
      </c>
      <c r="AD4">
        <v>142</v>
      </c>
      <c r="AE4">
        <v>84</v>
      </c>
      <c r="AF4">
        <v>107</v>
      </c>
      <c r="AG4">
        <v>94</v>
      </c>
      <c r="AH4">
        <v>107</v>
      </c>
      <c r="AI4">
        <v>88</v>
      </c>
      <c r="AJ4">
        <v>153</v>
      </c>
      <c r="AK4">
        <v>130</v>
      </c>
      <c r="AL4">
        <v>108</v>
      </c>
      <c r="AM4">
        <v>0</v>
      </c>
      <c r="AN4">
        <v>500</v>
      </c>
      <c r="AO4">
        <v>700</v>
      </c>
      <c r="AP4">
        <v>0</v>
      </c>
      <c r="AQ4">
        <v>0</v>
      </c>
    </row>
    <row r="5" spans="1:43" x14ac:dyDescent="0.25">
      <c r="A5" s="5" t="s">
        <v>5</v>
      </c>
      <c r="B5">
        <v>5</v>
      </c>
      <c r="C5">
        <v>4626</v>
      </c>
      <c r="D5">
        <v>3036</v>
      </c>
      <c r="E5">
        <v>931</v>
      </c>
      <c r="F5">
        <v>982</v>
      </c>
      <c r="G5">
        <v>1787</v>
      </c>
      <c r="H5">
        <v>926</v>
      </c>
      <c r="I5">
        <v>545</v>
      </c>
      <c r="J5">
        <v>632</v>
      </c>
      <c r="K5">
        <v>582</v>
      </c>
      <c r="L5">
        <v>669</v>
      </c>
      <c r="M5">
        <v>608</v>
      </c>
      <c r="N5">
        <v>56</v>
      </c>
      <c r="O5">
        <v>103</v>
      </c>
      <c r="P5">
        <v>161</v>
      </c>
      <c r="Q5">
        <v>116</v>
      </c>
      <c r="R5">
        <v>109</v>
      </c>
      <c r="S5">
        <v>131</v>
      </c>
      <c r="T5">
        <v>68</v>
      </c>
      <c r="U5">
        <v>147</v>
      </c>
      <c r="V5">
        <v>160</v>
      </c>
      <c r="W5">
        <v>126</v>
      </c>
      <c r="X5">
        <v>91</v>
      </c>
      <c r="Y5">
        <v>113</v>
      </c>
      <c r="Z5">
        <v>145</v>
      </c>
      <c r="AA5">
        <v>159</v>
      </c>
      <c r="AB5">
        <v>118</v>
      </c>
      <c r="AC5">
        <v>134</v>
      </c>
      <c r="AD5">
        <v>112</v>
      </c>
      <c r="AE5">
        <v>73</v>
      </c>
      <c r="AF5">
        <v>142</v>
      </c>
      <c r="AG5">
        <v>160</v>
      </c>
      <c r="AH5">
        <v>121</v>
      </c>
      <c r="AI5">
        <v>136</v>
      </c>
      <c r="AJ5">
        <v>136</v>
      </c>
      <c r="AK5">
        <v>116</v>
      </c>
      <c r="AL5">
        <v>103</v>
      </c>
      <c r="AM5">
        <v>0</v>
      </c>
      <c r="AN5">
        <v>0</v>
      </c>
      <c r="AO5">
        <v>700</v>
      </c>
      <c r="AP5">
        <v>500</v>
      </c>
      <c r="AQ5">
        <v>0</v>
      </c>
    </row>
    <row r="6" spans="1:43" x14ac:dyDescent="0.25">
      <c r="A6" s="5" t="s">
        <v>6</v>
      </c>
      <c r="B6">
        <v>6</v>
      </c>
      <c r="C6">
        <v>3066</v>
      </c>
      <c r="D6">
        <v>4595</v>
      </c>
      <c r="E6">
        <v>1145</v>
      </c>
      <c r="F6">
        <v>491</v>
      </c>
      <c r="G6">
        <v>818</v>
      </c>
      <c r="H6">
        <v>612</v>
      </c>
      <c r="I6">
        <v>755</v>
      </c>
      <c r="J6">
        <v>436</v>
      </c>
      <c r="K6">
        <v>1259</v>
      </c>
      <c r="L6">
        <v>1225</v>
      </c>
      <c r="M6">
        <v>920</v>
      </c>
      <c r="N6">
        <v>128</v>
      </c>
      <c r="O6">
        <v>213</v>
      </c>
      <c r="P6">
        <v>167</v>
      </c>
      <c r="Q6">
        <v>96</v>
      </c>
      <c r="R6">
        <v>151</v>
      </c>
      <c r="S6">
        <v>126</v>
      </c>
      <c r="T6">
        <v>76</v>
      </c>
      <c r="U6">
        <v>43</v>
      </c>
      <c r="V6">
        <v>104</v>
      </c>
      <c r="W6">
        <v>87</v>
      </c>
      <c r="X6">
        <v>266</v>
      </c>
      <c r="Y6">
        <v>340</v>
      </c>
      <c r="Z6">
        <v>236</v>
      </c>
      <c r="AA6">
        <v>197</v>
      </c>
      <c r="AB6">
        <v>207</v>
      </c>
      <c r="AC6">
        <v>245</v>
      </c>
      <c r="AD6">
        <v>184</v>
      </c>
      <c r="AE6">
        <v>191</v>
      </c>
      <c r="AF6">
        <v>187</v>
      </c>
      <c r="AG6">
        <v>174</v>
      </c>
      <c r="AH6">
        <v>184</v>
      </c>
      <c r="AI6">
        <v>326</v>
      </c>
      <c r="AJ6">
        <v>117</v>
      </c>
      <c r="AK6">
        <v>252</v>
      </c>
      <c r="AL6">
        <v>298</v>
      </c>
      <c r="AM6">
        <v>0</v>
      </c>
      <c r="AN6">
        <v>0</v>
      </c>
      <c r="AO6">
        <v>0</v>
      </c>
      <c r="AP6">
        <v>500</v>
      </c>
      <c r="AQ6">
        <v>0</v>
      </c>
    </row>
    <row r="7" spans="1:43" x14ac:dyDescent="0.25">
      <c r="A7" s="5" t="s">
        <v>63</v>
      </c>
      <c r="B7">
        <v>6</v>
      </c>
      <c r="C7">
        <v>12533</v>
      </c>
      <c r="D7">
        <v>10302</v>
      </c>
      <c r="E7">
        <v>3874</v>
      </c>
      <c r="F7">
        <v>2607</v>
      </c>
      <c r="G7">
        <v>3546</v>
      </c>
      <c r="H7">
        <v>2506</v>
      </c>
      <c r="I7">
        <v>1847</v>
      </c>
      <c r="J7">
        <v>1595</v>
      </c>
      <c r="K7">
        <v>2487</v>
      </c>
      <c r="L7">
        <v>2311</v>
      </c>
      <c r="M7">
        <v>2062</v>
      </c>
      <c r="N7">
        <v>238</v>
      </c>
      <c r="O7">
        <v>459</v>
      </c>
      <c r="P7">
        <v>467</v>
      </c>
      <c r="Q7">
        <v>313</v>
      </c>
      <c r="R7">
        <v>370</v>
      </c>
      <c r="S7">
        <v>342</v>
      </c>
      <c r="T7">
        <v>298</v>
      </c>
      <c r="U7">
        <v>314</v>
      </c>
      <c r="V7">
        <v>322</v>
      </c>
      <c r="W7">
        <v>319</v>
      </c>
      <c r="X7">
        <v>524</v>
      </c>
      <c r="Y7">
        <v>559</v>
      </c>
      <c r="Z7">
        <v>429</v>
      </c>
      <c r="AA7">
        <v>416</v>
      </c>
      <c r="AB7">
        <v>445</v>
      </c>
      <c r="AC7">
        <v>462</v>
      </c>
      <c r="AD7">
        <v>438</v>
      </c>
      <c r="AE7">
        <v>348</v>
      </c>
      <c r="AF7">
        <v>436</v>
      </c>
      <c r="AG7">
        <v>428</v>
      </c>
      <c r="AH7">
        <v>412</v>
      </c>
      <c r="AI7">
        <v>550</v>
      </c>
      <c r="AJ7">
        <v>406</v>
      </c>
      <c r="AK7">
        <v>498</v>
      </c>
      <c r="AL7">
        <v>509</v>
      </c>
      <c r="AM7">
        <v>0</v>
      </c>
      <c r="AN7">
        <v>500</v>
      </c>
      <c r="AO7">
        <v>1400</v>
      </c>
      <c r="AP7">
        <v>1000</v>
      </c>
      <c r="AQ7">
        <v>0</v>
      </c>
    </row>
    <row r="20" spans="1:8" x14ac:dyDescent="0.25">
      <c r="A20" s="18" t="s">
        <v>62</v>
      </c>
      <c r="B20" t="s">
        <v>64</v>
      </c>
      <c r="C20" t="s">
        <v>66</v>
      </c>
      <c r="D20" t="s">
        <v>67</v>
      </c>
      <c r="E20" t="s">
        <v>68</v>
      </c>
      <c r="F20" t="s">
        <v>69</v>
      </c>
      <c r="G20" t="s">
        <v>70</v>
      </c>
      <c r="H20" t="s">
        <v>71</v>
      </c>
    </row>
    <row r="21" spans="1:8" x14ac:dyDescent="0.25">
      <c r="A21" s="5" t="s">
        <v>1</v>
      </c>
      <c r="B21">
        <v>400</v>
      </c>
      <c r="C21">
        <v>0</v>
      </c>
      <c r="D21">
        <v>0</v>
      </c>
      <c r="E21">
        <v>0</v>
      </c>
      <c r="F21">
        <v>0</v>
      </c>
      <c r="G21">
        <v>2075</v>
      </c>
      <c r="H21">
        <v>2412</v>
      </c>
    </row>
    <row r="22" spans="1:8" x14ac:dyDescent="0.25">
      <c r="A22" s="5" t="s">
        <v>2</v>
      </c>
      <c r="B22">
        <v>400</v>
      </c>
      <c r="C22">
        <v>500</v>
      </c>
      <c r="D22">
        <v>0</v>
      </c>
      <c r="E22">
        <v>0</v>
      </c>
      <c r="F22">
        <v>0</v>
      </c>
      <c r="G22">
        <v>3066</v>
      </c>
      <c r="H22">
        <v>1696</v>
      </c>
    </row>
    <row r="23" spans="1:8" x14ac:dyDescent="0.25">
      <c r="A23" s="5" t="s">
        <v>3</v>
      </c>
      <c r="B23">
        <v>0</v>
      </c>
      <c r="C23">
        <v>500</v>
      </c>
      <c r="D23">
        <v>0</v>
      </c>
      <c r="E23">
        <v>0</v>
      </c>
      <c r="F23">
        <v>0</v>
      </c>
      <c r="G23">
        <v>4626</v>
      </c>
      <c r="H23">
        <v>3544</v>
      </c>
    </row>
    <row r="24" spans="1:8" x14ac:dyDescent="0.25">
      <c r="A24" s="5" t="s">
        <v>4</v>
      </c>
      <c r="B24">
        <v>0</v>
      </c>
      <c r="C24">
        <v>500</v>
      </c>
      <c r="D24">
        <v>700</v>
      </c>
      <c r="E24">
        <v>0</v>
      </c>
      <c r="F24">
        <v>0</v>
      </c>
      <c r="G24">
        <v>4841</v>
      </c>
      <c r="H24">
        <v>2671</v>
      </c>
    </row>
    <row r="25" spans="1:8" x14ac:dyDescent="0.25">
      <c r="A25" s="5" t="s">
        <v>5</v>
      </c>
      <c r="B25">
        <v>0</v>
      </c>
      <c r="C25">
        <v>0</v>
      </c>
      <c r="D25">
        <v>700</v>
      </c>
      <c r="E25">
        <v>500</v>
      </c>
      <c r="F25">
        <v>0</v>
      </c>
      <c r="G25">
        <v>4626</v>
      </c>
      <c r="H25">
        <v>3036</v>
      </c>
    </row>
    <row r="26" spans="1:8" x14ac:dyDescent="0.25">
      <c r="A26" s="5" t="s">
        <v>6</v>
      </c>
      <c r="B26">
        <v>0</v>
      </c>
      <c r="C26">
        <v>0</v>
      </c>
      <c r="D26">
        <v>0</v>
      </c>
      <c r="E26">
        <v>500</v>
      </c>
      <c r="F26">
        <v>0</v>
      </c>
      <c r="G26">
        <v>3066</v>
      </c>
      <c r="H26">
        <v>4595</v>
      </c>
    </row>
    <row r="27" spans="1:8" x14ac:dyDescent="0.25">
      <c r="A27" s="5" t="s">
        <v>7</v>
      </c>
      <c r="B27">
        <v>0</v>
      </c>
      <c r="C27">
        <v>0</v>
      </c>
      <c r="D27">
        <v>0</v>
      </c>
      <c r="E27">
        <v>500</v>
      </c>
      <c r="F27">
        <v>0</v>
      </c>
      <c r="G27">
        <v>2075</v>
      </c>
      <c r="H27">
        <v>2714</v>
      </c>
    </row>
    <row r="28" spans="1:8" x14ac:dyDescent="0.25">
      <c r="A28" s="5" t="s">
        <v>8</v>
      </c>
      <c r="B28">
        <v>0</v>
      </c>
      <c r="C28">
        <v>0</v>
      </c>
      <c r="D28">
        <v>0</v>
      </c>
      <c r="E28">
        <v>500</v>
      </c>
      <c r="F28">
        <v>300</v>
      </c>
      <c r="G28">
        <v>3066</v>
      </c>
      <c r="H28">
        <v>3731</v>
      </c>
    </row>
    <row r="29" spans="1:8" x14ac:dyDescent="0.25">
      <c r="A29" s="5" t="s">
        <v>9</v>
      </c>
      <c r="B29">
        <v>0</v>
      </c>
      <c r="C29">
        <v>0</v>
      </c>
      <c r="D29">
        <v>0</v>
      </c>
      <c r="E29">
        <v>0</v>
      </c>
      <c r="F29">
        <v>300</v>
      </c>
      <c r="G29">
        <v>4626</v>
      </c>
      <c r="H29">
        <v>4952</v>
      </c>
    </row>
    <row r="30" spans="1:8" x14ac:dyDescent="0.25">
      <c r="A30" s="5" t="s">
        <v>10</v>
      </c>
      <c r="B30">
        <v>0</v>
      </c>
      <c r="C30">
        <v>0</v>
      </c>
      <c r="D30">
        <v>0</v>
      </c>
      <c r="E30">
        <v>0</v>
      </c>
      <c r="F30">
        <v>300</v>
      </c>
      <c r="G30">
        <v>4841</v>
      </c>
      <c r="H30">
        <v>3544</v>
      </c>
    </row>
    <row r="31" spans="1:8" x14ac:dyDescent="0.25">
      <c r="A31" s="5" t="s">
        <v>11</v>
      </c>
      <c r="B31">
        <v>0</v>
      </c>
      <c r="C31">
        <v>0</v>
      </c>
      <c r="D31">
        <v>0</v>
      </c>
      <c r="E31">
        <v>0</v>
      </c>
      <c r="F31">
        <v>300</v>
      </c>
      <c r="G31">
        <v>4626</v>
      </c>
      <c r="H31">
        <v>4595</v>
      </c>
    </row>
    <row r="32" spans="1:8" x14ac:dyDescent="0.25">
      <c r="A32" s="5" t="s">
        <v>12</v>
      </c>
      <c r="B32">
        <v>0</v>
      </c>
      <c r="C32">
        <v>0</v>
      </c>
      <c r="D32">
        <v>0</v>
      </c>
      <c r="E32">
        <v>0</v>
      </c>
      <c r="F32">
        <v>300</v>
      </c>
      <c r="G32">
        <v>2666</v>
      </c>
      <c r="H32">
        <v>1739</v>
      </c>
    </row>
    <row r="33" spans="1:8" x14ac:dyDescent="0.25">
      <c r="A33" s="5" t="s">
        <v>63</v>
      </c>
      <c r="B33">
        <v>800</v>
      </c>
      <c r="C33">
        <v>1500</v>
      </c>
      <c r="D33">
        <v>1400</v>
      </c>
      <c r="E33">
        <v>2000</v>
      </c>
      <c r="F33">
        <v>1500</v>
      </c>
      <c r="G33">
        <v>44200</v>
      </c>
      <c r="H33">
        <v>39229</v>
      </c>
    </row>
    <row r="35" spans="1:8" x14ac:dyDescent="0.25">
      <c r="A35" s="18" t="s">
        <v>62</v>
      </c>
      <c r="B35" t="s">
        <v>70</v>
      </c>
    </row>
    <row r="36" spans="1:8" x14ac:dyDescent="0.25">
      <c r="A36" s="5">
        <v>2028</v>
      </c>
      <c r="B36">
        <v>44200</v>
      </c>
    </row>
    <row r="37" spans="1:8" x14ac:dyDescent="0.25">
      <c r="A37" s="5" t="s">
        <v>63</v>
      </c>
      <c r="B37">
        <v>44200</v>
      </c>
    </row>
    <row r="44" spans="1:8" x14ac:dyDescent="0.25">
      <c r="A44" s="18" t="s">
        <v>62</v>
      </c>
      <c r="B44" t="s">
        <v>70</v>
      </c>
    </row>
    <row r="45" spans="1:8" x14ac:dyDescent="0.25">
      <c r="A45" s="5">
        <v>2027</v>
      </c>
      <c r="B45">
        <v>37965</v>
      </c>
    </row>
    <row r="46" spans="1:8" x14ac:dyDescent="0.25">
      <c r="A46" s="5">
        <v>2028</v>
      </c>
      <c r="B46">
        <v>44200</v>
      </c>
    </row>
    <row r="47" spans="1:8" x14ac:dyDescent="0.25">
      <c r="A47" s="5">
        <v>2029</v>
      </c>
      <c r="B47">
        <v>38780</v>
      </c>
    </row>
    <row r="48" spans="1:8" x14ac:dyDescent="0.25">
      <c r="A48" s="5">
        <v>2030</v>
      </c>
      <c r="B48">
        <v>53560</v>
      </c>
    </row>
    <row r="49" spans="1:2" x14ac:dyDescent="0.25">
      <c r="A49" s="5" t="s">
        <v>63</v>
      </c>
      <c r="B49">
        <v>174505</v>
      </c>
    </row>
    <row r="51" spans="1:2" x14ac:dyDescent="0.25">
      <c r="A51" s="18" t="s">
        <v>62</v>
      </c>
    </row>
    <row r="52" spans="1:2" x14ac:dyDescent="0.25">
      <c r="A52" s="5">
        <v>2028</v>
      </c>
    </row>
    <row r="58" spans="1:2" x14ac:dyDescent="0.25">
      <c r="A58" s="18" t="s">
        <v>62</v>
      </c>
    </row>
    <row r="59" spans="1:2" x14ac:dyDescent="0.25">
      <c r="A59" s="5" t="s">
        <v>52</v>
      </c>
    </row>
    <row r="60" spans="1:2" x14ac:dyDescent="0.25">
      <c r="A60" s="5" t="s">
        <v>53</v>
      </c>
    </row>
    <row r="61" spans="1:2" x14ac:dyDescent="0.25">
      <c r="A61" s="5" t="s">
        <v>51</v>
      </c>
    </row>
    <row r="62" spans="1:2" x14ac:dyDescent="0.25">
      <c r="A62" s="5" t="s">
        <v>63</v>
      </c>
    </row>
    <row r="67" spans="1:1" x14ac:dyDescent="0.25">
      <c r="A67" s="18" t="s">
        <v>62</v>
      </c>
    </row>
    <row r="68" spans="1:1" x14ac:dyDescent="0.25">
      <c r="A68" s="5" t="s">
        <v>81</v>
      </c>
    </row>
    <row r="69" spans="1:1" x14ac:dyDescent="0.25">
      <c r="A69" s="5" t="s">
        <v>82</v>
      </c>
    </row>
    <row r="70" spans="1:1" x14ac:dyDescent="0.25">
      <c r="A70" s="5" t="s">
        <v>85</v>
      </c>
    </row>
    <row r="71" spans="1:1" x14ac:dyDescent="0.25">
      <c r="A71" s="5" t="s">
        <v>83</v>
      </c>
    </row>
    <row r="72" spans="1:1" x14ac:dyDescent="0.25">
      <c r="A72" s="5" t="s">
        <v>84</v>
      </c>
    </row>
    <row r="73" spans="1:1" x14ac:dyDescent="0.25">
      <c r="A73" s="5" t="s">
        <v>63</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D2F24B-CC86-4770-8238-2C7B76F1B619}">
  <dimension ref="A1:BA49"/>
  <sheetViews>
    <sheetView workbookViewId="0"/>
  </sheetViews>
  <sheetFormatPr defaultColWidth="8.85546875" defaultRowHeight="15" x14ac:dyDescent="0.25"/>
  <cols>
    <col min="1" max="2" width="8.85546875" style="2"/>
    <col min="3" max="3" width="9.140625" style="2" customWidth="1"/>
    <col min="4" max="4" width="10.85546875" customWidth="1"/>
    <col min="5" max="8" width="10.85546875" style="2" customWidth="1"/>
    <col min="9" max="9" width="9.28515625" style="2" customWidth="1"/>
    <col min="10" max="16384" width="8.85546875" style="2"/>
  </cols>
  <sheetData>
    <row r="1" spans="1:53" ht="15" customHeight="1" x14ac:dyDescent="0.55000000000000004">
      <c r="A1" s="1" t="s">
        <v>49</v>
      </c>
      <c r="B1" s="1" t="s">
        <v>0</v>
      </c>
      <c r="C1" s="1" t="s">
        <v>61</v>
      </c>
      <c r="D1" s="1" t="s">
        <v>24</v>
      </c>
      <c r="E1" s="1" t="s">
        <v>25</v>
      </c>
      <c r="F1" s="1" t="s">
        <v>26</v>
      </c>
      <c r="G1" s="1" t="s">
        <v>27</v>
      </c>
      <c r="H1" s="1" t="s">
        <v>28</v>
      </c>
      <c r="I1" s="1" t="s">
        <v>14</v>
      </c>
      <c r="J1" s="1" t="s">
        <v>17</v>
      </c>
      <c r="K1" s="1" t="s">
        <v>43</v>
      </c>
      <c r="L1" s="1" t="s">
        <v>44</v>
      </c>
      <c r="M1" s="1" t="s">
        <v>45</v>
      </c>
      <c r="N1" s="1" t="s">
        <v>46</v>
      </c>
      <c r="O1" s="1" t="s">
        <v>51</v>
      </c>
      <c r="P1" s="1" t="s">
        <v>86</v>
      </c>
      <c r="Q1" s="1" t="s">
        <v>87</v>
      </c>
      <c r="R1" s="1" t="s">
        <v>88</v>
      </c>
      <c r="S1" s="1" t="s">
        <v>89</v>
      </c>
      <c r="T1" s="1" t="s">
        <v>90</v>
      </c>
      <c r="U1" s="1" t="s">
        <v>52</v>
      </c>
      <c r="V1" s="1" t="s">
        <v>91</v>
      </c>
      <c r="W1" s="1" t="s">
        <v>92</v>
      </c>
      <c r="X1" s="1" t="s">
        <v>93</v>
      </c>
      <c r="Y1" s="1" t="s">
        <v>94</v>
      </c>
      <c r="Z1" s="1" t="s">
        <v>95</v>
      </c>
      <c r="AA1" s="3" t="s">
        <v>53</v>
      </c>
      <c r="AB1" t="s">
        <v>96</v>
      </c>
      <c r="AC1" t="s">
        <v>120</v>
      </c>
      <c r="AD1" t="s">
        <v>121</v>
      </c>
      <c r="AE1" t="s">
        <v>122</v>
      </c>
      <c r="AF1" t="s">
        <v>123</v>
      </c>
      <c r="AG1" s="3" t="s">
        <v>54</v>
      </c>
      <c r="AH1" t="s">
        <v>97</v>
      </c>
      <c r="AI1" t="s">
        <v>98</v>
      </c>
      <c r="AJ1" t="s">
        <v>99</v>
      </c>
      <c r="AK1" t="s">
        <v>100</v>
      </c>
      <c r="AL1" t="s">
        <v>101</v>
      </c>
      <c r="AM1" s="3" t="s">
        <v>55</v>
      </c>
      <c r="AN1" s="1" t="s">
        <v>102</v>
      </c>
      <c r="AO1" s="1" t="s">
        <v>124</v>
      </c>
      <c r="AP1" s="1" t="s">
        <v>125</v>
      </c>
      <c r="AQ1" s="1" t="s">
        <v>126</v>
      </c>
      <c r="AR1" s="1" t="s">
        <v>127</v>
      </c>
      <c r="AT1" s="82"/>
      <c r="AU1" s="82"/>
      <c r="AV1" s="82"/>
      <c r="AW1" s="82"/>
      <c r="AX1" s="82"/>
      <c r="AY1" s="82"/>
      <c r="AZ1" s="82"/>
      <c r="BA1" s="82"/>
    </row>
    <row r="2" spans="1:53" ht="15" customHeight="1" x14ac:dyDescent="0.55000000000000004">
      <c r="A2" s="2">
        <v>2027</v>
      </c>
      <c r="B2" s="2" t="s">
        <v>1</v>
      </c>
      <c r="C2" s="2">
        <v>1</v>
      </c>
      <c r="D2" s="2">
        <v>200</v>
      </c>
      <c r="E2" s="2">
        <v>0</v>
      </c>
      <c r="F2" s="2">
        <v>0</v>
      </c>
      <c r="G2" s="2">
        <v>0</v>
      </c>
      <c r="H2" s="2">
        <v>0</v>
      </c>
      <c r="I2" s="2">
        <v>1245</v>
      </c>
      <c r="J2" s="2">
        <v>1623</v>
      </c>
      <c r="K2" s="2">
        <v>462</v>
      </c>
      <c r="L2" s="2">
        <v>195</v>
      </c>
      <c r="M2" s="2">
        <v>339</v>
      </c>
      <c r="N2" s="2">
        <v>249</v>
      </c>
      <c r="O2" s="2">
        <v>315</v>
      </c>
      <c r="P2" s="2">
        <v>83</v>
      </c>
      <c r="Q2" s="2">
        <v>43</v>
      </c>
      <c r="R2" s="2">
        <v>89</v>
      </c>
      <c r="S2" s="2">
        <v>37</v>
      </c>
      <c r="T2" s="2">
        <v>63</v>
      </c>
      <c r="U2" s="2">
        <v>315</v>
      </c>
      <c r="V2" s="2">
        <v>40</v>
      </c>
      <c r="W2" s="2">
        <v>83</v>
      </c>
      <c r="X2" s="2">
        <v>72</v>
      </c>
      <c r="Y2" s="2">
        <v>57</v>
      </c>
      <c r="Z2" s="2">
        <v>63</v>
      </c>
      <c r="AA2" s="2">
        <v>197</v>
      </c>
      <c r="AB2" s="2">
        <v>47</v>
      </c>
      <c r="AC2" s="2">
        <v>49</v>
      </c>
      <c r="AD2" s="2">
        <v>24</v>
      </c>
      <c r="AE2" s="2">
        <v>38</v>
      </c>
      <c r="AF2" s="2">
        <v>39</v>
      </c>
      <c r="AG2" s="2">
        <v>472</v>
      </c>
      <c r="AH2" s="2">
        <v>114</v>
      </c>
      <c r="AI2" s="2">
        <v>58</v>
      </c>
      <c r="AJ2" s="2">
        <v>116</v>
      </c>
      <c r="AK2" s="2">
        <v>89</v>
      </c>
      <c r="AL2" s="2">
        <v>95</v>
      </c>
      <c r="AM2" s="2">
        <v>324</v>
      </c>
      <c r="AN2" s="2">
        <v>63</v>
      </c>
      <c r="AO2" s="2">
        <v>73</v>
      </c>
      <c r="AP2" s="2">
        <v>65</v>
      </c>
      <c r="AQ2" s="2">
        <v>58</v>
      </c>
      <c r="AR2" s="2">
        <v>65</v>
      </c>
      <c r="AT2" s="82"/>
      <c r="AU2" s="82"/>
      <c r="AV2" s="82"/>
      <c r="AW2" s="82"/>
      <c r="AX2" s="82"/>
      <c r="AY2" s="82"/>
      <c r="AZ2" s="82"/>
      <c r="BA2" s="82"/>
    </row>
    <row r="3" spans="1:53" x14ac:dyDescent="0.25">
      <c r="A3" s="2">
        <v>2027</v>
      </c>
      <c r="B3" s="2" t="s">
        <v>2</v>
      </c>
      <c r="C3" s="2">
        <v>2</v>
      </c>
      <c r="D3" s="2">
        <v>200</v>
      </c>
      <c r="E3" s="2">
        <v>100</v>
      </c>
      <c r="F3" s="2">
        <v>0</v>
      </c>
      <c r="G3" s="2">
        <v>0</v>
      </c>
      <c r="H3" s="2">
        <v>0</v>
      </c>
      <c r="I3" s="2">
        <v>2555</v>
      </c>
      <c r="J3" s="2">
        <v>2535</v>
      </c>
      <c r="K3" s="2">
        <v>861</v>
      </c>
      <c r="L3" s="2">
        <v>707</v>
      </c>
      <c r="M3" s="2">
        <v>476</v>
      </c>
      <c r="N3" s="2">
        <v>511</v>
      </c>
      <c r="O3" s="2">
        <v>664</v>
      </c>
      <c r="P3" s="2">
        <v>118</v>
      </c>
      <c r="Q3" s="2">
        <v>138</v>
      </c>
      <c r="R3" s="2">
        <v>155</v>
      </c>
      <c r="S3" s="2">
        <v>121</v>
      </c>
      <c r="T3" s="2">
        <v>132</v>
      </c>
      <c r="U3" s="2">
        <v>440</v>
      </c>
      <c r="V3" s="2">
        <v>56</v>
      </c>
      <c r="W3" s="2">
        <v>116</v>
      </c>
      <c r="X3" s="2">
        <v>64</v>
      </c>
      <c r="Y3" s="2">
        <v>116</v>
      </c>
      <c r="Z3" s="2">
        <v>88</v>
      </c>
      <c r="AA3" s="2">
        <v>341</v>
      </c>
      <c r="AB3" s="2">
        <v>46</v>
      </c>
      <c r="AC3" s="2">
        <v>49</v>
      </c>
      <c r="AD3" s="2">
        <v>120</v>
      </c>
      <c r="AE3" s="2">
        <v>57</v>
      </c>
      <c r="AF3" s="2">
        <v>69</v>
      </c>
      <c r="AG3" s="2">
        <v>583</v>
      </c>
      <c r="AH3" s="2">
        <v>116</v>
      </c>
      <c r="AI3" s="2">
        <v>155</v>
      </c>
      <c r="AJ3" s="2">
        <v>114</v>
      </c>
      <c r="AK3" s="2">
        <v>81</v>
      </c>
      <c r="AL3" s="2">
        <v>117</v>
      </c>
      <c r="AM3" s="2">
        <v>507</v>
      </c>
      <c r="AN3" s="2">
        <v>75</v>
      </c>
      <c r="AO3" s="2">
        <v>108</v>
      </c>
      <c r="AP3" s="2">
        <v>84</v>
      </c>
      <c r="AQ3" s="2">
        <v>138</v>
      </c>
      <c r="AR3" s="2">
        <v>102</v>
      </c>
    </row>
    <row r="4" spans="1:53" x14ac:dyDescent="0.25">
      <c r="A4" s="2">
        <v>2027</v>
      </c>
      <c r="B4" s="2" t="s">
        <v>3</v>
      </c>
      <c r="C4" s="2">
        <v>3</v>
      </c>
      <c r="D4" s="2">
        <v>200</v>
      </c>
      <c r="E4" s="2">
        <v>100</v>
      </c>
      <c r="F4" s="2">
        <v>0</v>
      </c>
      <c r="G4" s="2">
        <v>0</v>
      </c>
      <c r="H4" s="2">
        <v>0</v>
      </c>
      <c r="I4" s="2">
        <v>2955</v>
      </c>
      <c r="J4" s="2">
        <v>1959</v>
      </c>
      <c r="K4" s="2">
        <v>949</v>
      </c>
      <c r="L4" s="2">
        <v>365</v>
      </c>
      <c r="M4" s="2">
        <v>1051</v>
      </c>
      <c r="N4" s="2">
        <v>590</v>
      </c>
      <c r="O4" s="2">
        <v>293</v>
      </c>
      <c r="P4" s="2">
        <v>47</v>
      </c>
      <c r="Q4" s="2">
        <v>50</v>
      </c>
      <c r="R4" s="2">
        <v>62</v>
      </c>
      <c r="S4" s="2">
        <v>76</v>
      </c>
      <c r="T4" s="2">
        <v>58</v>
      </c>
      <c r="U4" s="2">
        <v>540</v>
      </c>
      <c r="V4" s="2">
        <v>103</v>
      </c>
      <c r="W4" s="2">
        <v>64</v>
      </c>
      <c r="X4" s="2">
        <v>110</v>
      </c>
      <c r="Y4" s="2">
        <v>156</v>
      </c>
      <c r="Z4" s="2">
        <v>107</v>
      </c>
      <c r="AA4" s="2">
        <v>317</v>
      </c>
      <c r="AB4" s="2">
        <v>87</v>
      </c>
      <c r="AC4" s="2">
        <v>38</v>
      </c>
      <c r="AD4" s="2">
        <v>83</v>
      </c>
      <c r="AE4" s="2">
        <v>45</v>
      </c>
      <c r="AF4" s="2">
        <v>64</v>
      </c>
      <c r="AG4" s="2">
        <v>417</v>
      </c>
      <c r="AH4" s="2">
        <v>100</v>
      </c>
      <c r="AI4" s="2">
        <v>85</v>
      </c>
      <c r="AJ4" s="2">
        <v>52</v>
      </c>
      <c r="AK4" s="2">
        <v>96</v>
      </c>
      <c r="AL4" s="2">
        <v>84</v>
      </c>
      <c r="AM4" s="2">
        <v>392</v>
      </c>
      <c r="AN4" s="2">
        <v>134</v>
      </c>
      <c r="AO4" s="2">
        <v>77</v>
      </c>
      <c r="AP4" s="2">
        <v>54</v>
      </c>
      <c r="AQ4" s="2">
        <v>48</v>
      </c>
      <c r="AR4" s="2">
        <v>79</v>
      </c>
    </row>
    <row r="5" spans="1:53" x14ac:dyDescent="0.25">
      <c r="A5" s="2">
        <v>2027</v>
      </c>
      <c r="B5" s="2" t="s">
        <v>4</v>
      </c>
      <c r="C5" s="2">
        <v>4</v>
      </c>
      <c r="D5" s="2">
        <v>0</v>
      </c>
      <c r="E5" s="2">
        <v>100</v>
      </c>
      <c r="F5" s="2">
        <v>0</v>
      </c>
      <c r="G5" s="2">
        <v>0</v>
      </c>
      <c r="H5" s="2">
        <v>0</v>
      </c>
      <c r="I5" s="2">
        <v>3260</v>
      </c>
      <c r="J5" s="2">
        <v>2877</v>
      </c>
      <c r="K5" s="2">
        <v>988</v>
      </c>
      <c r="L5" s="2">
        <v>771</v>
      </c>
      <c r="M5" s="2">
        <v>850</v>
      </c>
      <c r="N5" s="2">
        <v>651</v>
      </c>
      <c r="O5" s="2">
        <v>506</v>
      </c>
      <c r="P5" s="2">
        <v>93</v>
      </c>
      <c r="Q5" s="2">
        <v>105</v>
      </c>
      <c r="R5" s="2">
        <v>120</v>
      </c>
      <c r="S5" s="2">
        <v>88</v>
      </c>
      <c r="T5" s="2">
        <v>100</v>
      </c>
      <c r="U5" s="2">
        <v>401</v>
      </c>
      <c r="V5" s="2">
        <v>87</v>
      </c>
      <c r="W5" s="2">
        <v>106</v>
      </c>
      <c r="X5" s="2">
        <v>44</v>
      </c>
      <c r="Y5" s="2">
        <v>84</v>
      </c>
      <c r="Z5" s="2">
        <v>80</v>
      </c>
      <c r="AA5" s="2">
        <v>697</v>
      </c>
      <c r="AB5" s="2">
        <v>109</v>
      </c>
      <c r="AC5" s="2">
        <v>191</v>
      </c>
      <c r="AD5" s="2">
        <v>122</v>
      </c>
      <c r="AE5" s="2">
        <v>135</v>
      </c>
      <c r="AF5" s="2">
        <v>140</v>
      </c>
      <c r="AG5" s="2">
        <v>697</v>
      </c>
      <c r="AH5" s="2">
        <v>93</v>
      </c>
      <c r="AI5" s="2">
        <v>168</v>
      </c>
      <c r="AJ5" s="2">
        <v>192</v>
      </c>
      <c r="AK5" s="2">
        <v>104</v>
      </c>
      <c r="AL5" s="2">
        <v>140</v>
      </c>
      <c r="AM5" s="2">
        <v>576</v>
      </c>
      <c r="AN5" s="2">
        <v>143</v>
      </c>
      <c r="AO5" s="2">
        <v>118</v>
      </c>
      <c r="AP5" s="2">
        <v>145</v>
      </c>
      <c r="AQ5" s="2">
        <v>54</v>
      </c>
      <c r="AR5" s="2">
        <v>116</v>
      </c>
    </row>
    <row r="6" spans="1:53" x14ac:dyDescent="0.25">
      <c r="A6" s="2">
        <v>2027</v>
      </c>
      <c r="B6" s="2" t="s">
        <v>5</v>
      </c>
      <c r="C6" s="2">
        <v>5</v>
      </c>
      <c r="D6" s="2">
        <v>0</v>
      </c>
      <c r="E6" s="2">
        <v>100</v>
      </c>
      <c r="F6" s="2">
        <v>0</v>
      </c>
      <c r="G6" s="2">
        <v>0</v>
      </c>
      <c r="H6" s="2">
        <v>0</v>
      </c>
      <c r="I6" s="2">
        <v>2675</v>
      </c>
      <c r="J6" s="2">
        <v>1968</v>
      </c>
      <c r="K6" s="2">
        <v>774</v>
      </c>
      <c r="L6" s="2">
        <v>665</v>
      </c>
      <c r="M6" s="2">
        <v>701</v>
      </c>
      <c r="N6" s="2">
        <v>535</v>
      </c>
      <c r="O6" s="2">
        <v>285</v>
      </c>
      <c r="P6" s="2">
        <v>75</v>
      </c>
      <c r="Q6" s="2">
        <v>69</v>
      </c>
      <c r="R6" s="2">
        <v>56</v>
      </c>
      <c r="S6" s="2">
        <v>29</v>
      </c>
      <c r="T6" s="2">
        <v>56</v>
      </c>
      <c r="U6" s="2">
        <v>598</v>
      </c>
      <c r="V6" s="2">
        <v>146</v>
      </c>
      <c r="W6" s="2">
        <v>73</v>
      </c>
      <c r="X6" s="2">
        <v>122</v>
      </c>
      <c r="Y6" s="2">
        <v>137</v>
      </c>
      <c r="Z6" s="2">
        <v>120</v>
      </c>
      <c r="AA6" s="2">
        <v>313</v>
      </c>
      <c r="AB6" s="2">
        <v>82</v>
      </c>
      <c r="AC6" s="2">
        <v>55</v>
      </c>
      <c r="AD6" s="2">
        <v>54</v>
      </c>
      <c r="AE6" s="2">
        <v>60</v>
      </c>
      <c r="AF6" s="2">
        <v>62</v>
      </c>
      <c r="AG6" s="2">
        <v>377</v>
      </c>
      <c r="AH6" s="2">
        <v>112</v>
      </c>
      <c r="AI6" s="2">
        <v>48</v>
      </c>
      <c r="AJ6" s="2">
        <v>68</v>
      </c>
      <c r="AK6" s="2">
        <v>73</v>
      </c>
      <c r="AL6" s="2">
        <v>76</v>
      </c>
      <c r="AM6" s="2">
        <v>395</v>
      </c>
      <c r="AN6" s="2">
        <v>99</v>
      </c>
      <c r="AO6" s="2">
        <v>72</v>
      </c>
      <c r="AP6" s="2">
        <v>78</v>
      </c>
      <c r="AQ6" s="2">
        <v>68</v>
      </c>
      <c r="AR6" s="2">
        <v>78</v>
      </c>
    </row>
    <row r="7" spans="1:53" x14ac:dyDescent="0.25">
      <c r="A7" s="2">
        <v>2027</v>
      </c>
      <c r="B7" s="2" t="s">
        <v>6</v>
      </c>
      <c r="C7" s="2">
        <v>6</v>
      </c>
      <c r="D7" s="2">
        <v>0</v>
      </c>
      <c r="E7" s="2">
        <v>100</v>
      </c>
      <c r="F7" s="2">
        <v>300</v>
      </c>
      <c r="G7" s="2">
        <v>0</v>
      </c>
      <c r="H7" s="2">
        <v>0</v>
      </c>
      <c r="I7" s="2">
        <v>3020</v>
      </c>
      <c r="J7" s="2">
        <v>3180</v>
      </c>
      <c r="K7" s="2">
        <v>519</v>
      </c>
      <c r="L7" s="2">
        <v>1278</v>
      </c>
      <c r="M7" s="2">
        <v>619</v>
      </c>
      <c r="N7" s="2">
        <v>604</v>
      </c>
      <c r="O7" s="2">
        <v>843</v>
      </c>
      <c r="P7" s="2">
        <v>170</v>
      </c>
      <c r="Q7" s="2">
        <v>189</v>
      </c>
      <c r="R7" s="2">
        <v>204</v>
      </c>
      <c r="S7" s="2">
        <v>111</v>
      </c>
      <c r="T7" s="2">
        <v>169</v>
      </c>
      <c r="U7" s="2">
        <v>484</v>
      </c>
      <c r="V7" s="2">
        <v>77</v>
      </c>
      <c r="W7" s="2">
        <v>89</v>
      </c>
      <c r="X7" s="2">
        <v>117</v>
      </c>
      <c r="Y7" s="2">
        <v>103</v>
      </c>
      <c r="Z7" s="2">
        <v>98</v>
      </c>
      <c r="AA7" s="2">
        <v>498</v>
      </c>
      <c r="AB7" s="2">
        <v>48</v>
      </c>
      <c r="AC7" s="2">
        <v>96</v>
      </c>
      <c r="AD7" s="2">
        <v>133</v>
      </c>
      <c r="AE7" s="2">
        <v>122</v>
      </c>
      <c r="AF7" s="2">
        <v>99</v>
      </c>
      <c r="AG7" s="2">
        <v>719</v>
      </c>
      <c r="AH7" s="2">
        <v>146</v>
      </c>
      <c r="AI7" s="2">
        <v>180</v>
      </c>
      <c r="AJ7" s="2">
        <v>79</v>
      </c>
      <c r="AK7" s="2">
        <v>170</v>
      </c>
      <c r="AL7" s="2">
        <v>144</v>
      </c>
      <c r="AM7" s="2">
        <v>636</v>
      </c>
      <c r="AN7" s="2">
        <v>147</v>
      </c>
      <c r="AO7" s="2">
        <v>181</v>
      </c>
      <c r="AP7" s="2">
        <v>89</v>
      </c>
      <c r="AQ7" s="2">
        <v>92</v>
      </c>
      <c r="AR7" s="2">
        <v>127</v>
      </c>
    </row>
    <row r="8" spans="1:53" x14ac:dyDescent="0.25">
      <c r="A8" s="2">
        <v>2027</v>
      </c>
      <c r="B8" s="2" t="s">
        <v>7</v>
      </c>
      <c r="C8" s="2">
        <v>7</v>
      </c>
      <c r="D8" s="2">
        <v>0</v>
      </c>
      <c r="E8" s="2">
        <v>100</v>
      </c>
      <c r="F8" s="2">
        <v>300</v>
      </c>
      <c r="G8" s="2">
        <v>200</v>
      </c>
      <c r="H8" s="2">
        <v>0</v>
      </c>
      <c r="I8" s="2">
        <v>3655</v>
      </c>
      <c r="J8" s="2">
        <v>1921</v>
      </c>
      <c r="K8" s="2">
        <v>851</v>
      </c>
      <c r="L8" s="2">
        <v>1004</v>
      </c>
      <c r="M8" s="2">
        <v>1069</v>
      </c>
      <c r="N8" s="2">
        <v>731</v>
      </c>
      <c r="O8" s="2">
        <v>421</v>
      </c>
      <c r="P8" s="2">
        <v>75</v>
      </c>
      <c r="Q8" s="2">
        <v>51</v>
      </c>
      <c r="R8" s="2">
        <v>116</v>
      </c>
      <c r="S8" s="2">
        <v>95</v>
      </c>
      <c r="T8" s="2">
        <v>84</v>
      </c>
      <c r="U8" s="2">
        <v>439</v>
      </c>
      <c r="V8" s="2">
        <v>129</v>
      </c>
      <c r="W8" s="2">
        <v>79</v>
      </c>
      <c r="X8" s="2">
        <v>81</v>
      </c>
      <c r="Y8" s="2">
        <v>62</v>
      </c>
      <c r="Z8" s="2">
        <v>88</v>
      </c>
      <c r="AA8" s="2">
        <v>360</v>
      </c>
      <c r="AB8" s="2">
        <v>77</v>
      </c>
      <c r="AC8" s="2">
        <v>67</v>
      </c>
      <c r="AD8" s="2">
        <v>95</v>
      </c>
      <c r="AE8" s="2">
        <v>49</v>
      </c>
      <c r="AF8" s="2">
        <v>72</v>
      </c>
      <c r="AG8" s="2">
        <v>317</v>
      </c>
      <c r="AH8" s="2">
        <v>55</v>
      </c>
      <c r="AI8" s="2">
        <v>75</v>
      </c>
      <c r="AJ8" s="2">
        <v>59</v>
      </c>
      <c r="AK8" s="2">
        <v>65</v>
      </c>
      <c r="AL8" s="2">
        <v>63</v>
      </c>
      <c r="AM8" s="2">
        <v>384</v>
      </c>
      <c r="AN8" s="2">
        <v>84</v>
      </c>
      <c r="AO8" s="2">
        <v>107</v>
      </c>
      <c r="AP8" s="2">
        <v>54</v>
      </c>
      <c r="AQ8" s="2">
        <v>62</v>
      </c>
      <c r="AR8" s="2">
        <v>77</v>
      </c>
    </row>
    <row r="9" spans="1:53" x14ac:dyDescent="0.25">
      <c r="A9" s="2">
        <v>2027</v>
      </c>
      <c r="B9" s="2" t="s">
        <v>8</v>
      </c>
      <c r="C9" s="2">
        <v>8</v>
      </c>
      <c r="D9" s="2">
        <v>0</v>
      </c>
      <c r="E9" s="2">
        <v>0</v>
      </c>
      <c r="F9" s="2">
        <v>300</v>
      </c>
      <c r="G9" s="2">
        <v>200</v>
      </c>
      <c r="H9" s="2">
        <v>0</v>
      </c>
      <c r="I9" s="2">
        <v>3000</v>
      </c>
      <c r="J9" s="2">
        <v>3068</v>
      </c>
      <c r="K9" s="2">
        <v>688</v>
      </c>
      <c r="L9" s="2">
        <v>1070</v>
      </c>
      <c r="M9" s="2">
        <v>642</v>
      </c>
      <c r="N9" s="2">
        <v>600</v>
      </c>
      <c r="O9" s="2">
        <v>453</v>
      </c>
      <c r="P9" s="2">
        <v>100</v>
      </c>
      <c r="Q9" s="2">
        <v>81</v>
      </c>
      <c r="R9" s="2">
        <v>51</v>
      </c>
      <c r="S9" s="2">
        <v>130</v>
      </c>
      <c r="T9" s="2">
        <v>91</v>
      </c>
      <c r="U9" s="2">
        <v>417</v>
      </c>
      <c r="V9" s="2">
        <v>67</v>
      </c>
      <c r="W9" s="2">
        <v>64</v>
      </c>
      <c r="X9" s="2">
        <v>102</v>
      </c>
      <c r="Y9" s="2">
        <v>101</v>
      </c>
      <c r="Z9" s="2">
        <v>83</v>
      </c>
      <c r="AA9" s="2">
        <v>715</v>
      </c>
      <c r="AB9" s="2">
        <v>98</v>
      </c>
      <c r="AC9" s="2">
        <v>192</v>
      </c>
      <c r="AD9" s="2">
        <v>154</v>
      </c>
      <c r="AE9" s="2">
        <v>128</v>
      </c>
      <c r="AF9" s="2">
        <v>143</v>
      </c>
      <c r="AG9" s="2">
        <v>870</v>
      </c>
      <c r="AH9" s="2">
        <v>275</v>
      </c>
      <c r="AI9" s="2">
        <v>205</v>
      </c>
      <c r="AJ9" s="2">
        <v>100</v>
      </c>
      <c r="AK9" s="2">
        <v>115</v>
      </c>
      <c r="AL9" s="2">
        <v>175</v>
      </c>
      <c r="AM9" s="2">
        <v>613</v>
      </c>
      <c r="AN9" s="2">
        <v>94</v>
      </c>
      <c r="AO9" s="2">
        <v>104</v>
      </c>
      <c r="AP9" s="2">
        <v>155</v>
      </c>
      <c r="AQ9" s="2">
        <v>138</v>
      </c>
      <c r="AR9" s="2">
        <v>122</v>
      </c>
    </row>
    <row r="10" spans="1:53" x14ac:dyDescent="0.25">
      <c r="A10" s="2">
        <v>2027</v>
      </c>
      <c r="B10" s="2" t="s">
        <v>9</v>
      </c>
      <c r="C10" s="2">
        <v>9</v>
      </c>
      <c r="D10" s="2">
        <v>0</v>
      </c>
      <c r="E10" s="2">
        <v>0</v>
      </c>
      <c r="F10" s="2">
        <v>300</v>
      </c>
      <c r="G10" s="2">
        <v>200</v>
      </c>
      <c r="H10" s="2">
        <v>0</v>
      </c>
      <c r="I10" s="2">
        <v>3445</v>
      </c>
      <c r="J10" s="2">
        <v>2527</v>
      </c>
      <c r="K10" s="2">
        <v>1160</v>
      </c>
      <c r="L10" s="2">
        <v>526</v>
      </c>
      <c r="M10" s="2">
        <v>1070</v>
      </c>
      <c r="N10" s="2">
        <v>689</v>
      </c>
      <c r="O10" s="2">
        <v>382</v>
      </c>
      <c r="P10" s="2">
        <v>110</v>
      </c>
      <c r="Q10" s="2">
        <v>56</v>
      </c>
      <c r="R10" s="2">
        <v>48</v>
      </c>
      <c r="S10" s="2">
        <v>91</v>
      </c>
      <c r="T10" s="2">
        <v>77</v>
      </c>
      <c r="U10" s="2">
        <v>501</v>
      </c>
      <c r="V10" s="2">
        <v>65</v>
      </c>
      <c r="W10" s="2">
        <v>140</v>
      </c>
      <c r="X10" s="2">
        <v>118</v>
      </c>
      <c r="Y10" s="2">
        <v>77</v>
      </c>
      <c r="Z10" s="2">
        <v>101</v>
      </c>
      <c r="AA10" s="2">
        <v>565</v>
      </c>
      <c r="AB10" s="2">
        <v>82</v>
      </c>
      <c r="AC10" s="2">
        <v>120</v>
      </c>
      <c r="AD10" s="2">
        <v>111</v>
      </c>
      <c r="AE10" s="2">
        <v>139</v>
      </c>
      <c r="AF10" s="2">
        <v>113</v>
      </c>
      <c r="AG10" s="2">
        <v>574</v>
      </c>
      <c r="AH10" s="2">
        <v>86</v>
      </c>
      <c r="AI10" s="2">
        <v>77</v>
      </c>
      <c r="AJ10" s="2">
        <v>136</v>
      </c>
      <c r="AK10" s="2">
        <v>160</v>
      </c>
      <c r="AL10" s="2">
        <v>115</v>
      </c>
      <c r="AM10" s="2">
        <v>505</v>
      </c>
      <c r="AN10" s="2">
        <v>160</v>
      </c>
      <c r="AO10" s="2">
        <v>90</v>
      </c>
      <c r="AP10" s="2">
        <v>68</v>
      </c>
      <c r="AQ10" s="2">
        <v>86</v>
      </c>
      <c r="AR10" s="2">
        <v>101</v>
      </c>
    </row>
    <row r="11" spans="1:53" x14ac:dyDescent="0.25">
      <c r="A11" s="2">
        <v>2027</v>
      </c>
      <c r="B11" s="2" t="s">
        <v>10</v>
      </c>
      <c r="C11" s="2">
        <v>10</v>
      </c>
      <c r="D11" s="2">
        <v>0</v>
      </c>
      <c r="E11" s="2">
        <v>0</v>
      </c>
      <c r="F11" s="2">
        <v>0</v>
      </c>
      <c r="G11" s="2">
        <v>200</v>
      </c>
      <c r="H11" s="2">
        <v>100</v>
      </c>
      <c r="I11" s="2">
        <v>4040</v>
      </c>
      <c r="J11" s="2">
        <v>3467</v>
      </c>
      <c r="K11" s="2">
        <v>1237</v>
      </c>
      <c r="L11" s="2">
        <v>739</v>
      </c>
      <c r="M11" s="2">
        <v>1256</v>
      </c>
      <c r="N11" s="2">
        <v>808</v>
      </c>
      <c r="O11" s="2">
        <v>630</v>
      </c>
      <c r="P11" s="2">
        <v>177</v>
      </c>
      <c r="Q11" s="2">
        <v>82</v>
      </c>
      <c r="R11" s="2">
        <v>125</v>
      </c>
      <c r="S11" s="2">
        <v>120</v>
      </c>
      <c r="T11" s="2">
        <v>126</v>
      </c>
      <c r="U11" s="2">
        <v>683</v>
      </c>
      <c r="V11" s="2">
        <v>206</v>
      </c>
      <c r="W11" s="2">
        <v>157</v>
      </c>
      <c r="X11" s="2">
        <v>77</v>
      </c>
      <c r="Y11" s="2">
        <v>106</v>
      </c>
      <c r="Z11" s="2">
        <v>137</v>
      </c>
      <c r="AA11" s="2">
        <v>911</v>
      </c>
      <c r="AB11" s="2">
        <v>220</v>
      </c>
      <c r="AC11" s="2">
        <v>196</v>
      </c>
      <c r="AD11" s="2">
        <v>132</v>
      </c>
      <c r="AE11" s="2">
        <v>181</v>
      </c>
      <c r="AF11" s="2">
        <v>182</v>
      </c>
      <c r="AG11" s="2">
        <v>549</v>
      </c>
      <c r="AH11" s="2">
        <v>99</v>
      </c>
      <c r="AI11" s="2">
        <v>142</v>
      </c>
      <c r="AJ11" s="2">
        <v>76</v>
      </c>
      <c r="AK11" s="2">
        <v>122</v>
      </c>
      <c r="AL11" s="2">
        <v>110</v>
      </c>
      <c r="AM11" s="2">
        <v>694</v>
      </c>
      <c r="AN11" s="2">
        <v>165</v>
      </c>
      <c r="AO11" s="2">
        <v>133</v>
      </c>
      <c r="AP11" s="2">
        <v>159</v>
      </c>
      <c r="AQ11" s="2">
        <v>98</v>
      </c>
      <c r="AR11" s="2">
        <v>139</v>
      </c>
    </row>
    <row r="12" spans="1:53" x14ac:dyDescent="0.25">
      <c r="A12" s="2">
        <v>2027</v>
      </c>
      <c r="B12" s="2" t="s">
        <v>11</v>
      </c>
      <c r="C12" s="2">
        <v>11</v>
      </c>
      <c r="D12" s="2">
        <v>0</v>
      </c>
      <c r="E12" s="2">
        <v>0</v>
      </c>
      <c r="F12" s="2">
        <v>0</v>
      </c>
      <c r="G12" s="2">
        <v>200</v>
      </c>
      <c r="H12" s="2">
        <v>100</v>
      </c>
      <c r="I12" s="2">
        <v>3695</v>
      </c>
      <c r="J12" s="2">
        <v>2716</v>
      </c>
      <c r="K12" s="2">
        <v>1267</v>
      </c>
      <c r="L12" s="2">
        <v>880</v>
      </c>
      <c r="M12" s="2">
        <v>809</v>
      </c>
      <c r="N12" s="2">
        <v>739</v>
      </c>
      <c r="O12" s="2">
        <v>377</v>
      </c>
      <c r="P12" s="2">
        <v>66</v>
      </c>
      <c r="Q12" s="2">
        <v>72</v>
      </c>
      <c r="R12" s="2">
        <v>103</v>
      </c>
      <c r="S12" s="2">
        <v>61</v>
      </c>
      <c r="T12" s="2">
        <v>75</v>
      </c>
      <c r="U12" s="2">
        <v>890</v>
      </c>
      <c r="V12" s="2">
        <v>108</v>
      </c>
      <c r="W12" s="2">
        <v>170</v>
      </c>
      <c r="X12" s="2">
        <v>298</v>
      </c>
      <c r="Y12" s="2">
        <v>137</v>
      </c>
      <c r="Z12" s="2">
        <v>177</v>
      </c>
      <c r="AA12" s="2">
        <v>498</v>
      </c>
      <c r="AB12" s="2">
        <v>114</v>
      </c>
      <c r="AC12" s="2">
        <v>116</v>
      </c>
      <c r="AD12" s="2">
        <v>72</v>
      </c>
      <c r="AE12" s="2">
        <v>96</v>
      </c>
      <c r="AF12" s="2">
        <v>100</v>
      </c>
      <c r="AG12" s="2">
        <v>407</v>
      </c>
      <c r="AH12" s="2">
        <v>61</v>
      </c>
      <c r="AI12" s="2">
        <v>114</v>
      </c>
      <c r="AJ12" s="2">
        <v>67</v>
      </c>
      <c r="AK12" s="2">
        <v>84</v>
      </c>
      <c r="AL12" s="2">
        <v>81</v>
      </c>
      <c r="AM12" s="2">
        <v>544</v>
      </c>
      <c r="AN12" s="2">
        <v>133</v>
      </c>
      <c r="AO12" s="2">
        <v>120</v>
      </c>
      <c r="AP12" s="2">
        <v>61</v>
      </c>
      <c r="AQ12" s="2">
        <v>122</v>
      </c>
      <c r="AR12" s="2">
        <v>108</v>
      </c>
    </row>
    <row r="13" spans="1:53" x14ac:dyDescent="0.25">
      <c r="A13" s="2">
        <v>2027</v>
      </c>
      <c r="B13" s="2" t="s">
        <v>12</v>
      </c>
      <c r="C13" s="2">
        <v>12</v>
      </c>
      <c r="D13" s="2">
        <v>0</v>
      </c>
      <c r="E13" s="2">
        <v>0</v>
      </c>
      <c r="F13" s="2">
        <v>0</v>
      </c>
      <c r="G13" s="2">
        <v>0</v>
      </c>
      <c r="H13" s="2">
        <v>100</v>
      </c>
      <c r="I13" s="2">
        <v>4420</v>
      </c>
      <c r="J13" s="2">
        <v>3608</v>
      </c>
      <c r="K13" s="2">
        <v>1572</v>
      </c>
      <c r="L13" s="2">
        <v>859</v>
      </c>
      <c r="M13" s="2">
        <v>1105</v>
      </c>
      <c r="N13" s="2">
        <v>884</v>
      </c>
      <c r="O13" s="2">
        <v>901</v>
      </c>
      <c r="P13" s="2">
        <v>195</v>
      </c>
      <c r="Q13" s="2">
        <v>184</v>
      </c>
      <c r="R13" s="2">
        <v>168</v>
      </c>
      <c r="S13" s="2">
        <v>173</v>
      </c>
      <c r="T13" s="2">
        <v>181</v>
      </c>
      <c r="U13" s="2">
        <v>817</v>
      </c>
      <c r="V13" s="2">
        <v>117</v>
      </c>
      <c r="W13" s="2">
        <v>147</v>
      </c>
      <c r="X13" s="2">
        <v>246</v>
      </c>
      <c r="Y13" s="2">
        <v>144</v>
      </c>
      <c r="Z13" s="2">
        <v>163</v>
      </c>
      <c r="AA13" s="2">
        <v>746</v>
      </c>
      <c r="AB13" s="2">
        <v>190</v>
      </c>
      <c r="AC13" s="2">
        <v>113</v>
      </c>
      <c r="AD13" s="2">
        <v>127</v>
      </c>
      <c r="AE13" s="2">
        <v>167</v>
      </c>
      <c r="AF13" s="2">
        <v>149</v>
      </c>
      <c r="AG13" s="2">
        <v>422</v>
      </c>
      <c r="AH13" s="2">
        <v>84</v>
      </c>
      <c r="AI13" s="2">
        <v>128</v>
      </c>
      <c r="AJ13" s="2">
        <v>46</v>
      </c>
      <c r="AK13" s="2">
        <v>80</v>
      </c>
      <c r="AL13" s="2">
        <v>84</v>
      </c>
      <c r="AM13" s="2">
        <v>722</v>
      </c>
      <c r="AN13" s="2">
        <v>170</v>
      </c>
      <c r="AO13" s="2">
        <v>173</v>
      </c>
      <c r="AP13" s="2">
        <v>170</v>
      </c>
      <c r="AQ13" s="2">
        <v>64</v>
      </c>
      <c r="AR13" s="2">
        <v>145</v>
      </c>
    </row>
    <row r="14" spans="1:53" x14ac:dyDescent="0.25">
      <c r="A14" s="2">
        <v>2028</v>
      </c>
      <c r="B14" s="2" t="s">
        <v>1</v>
      </c>
      <c r="C14" s="2">
        <v>1</v>
      </c>
      <c r="D14" s="2">
        <v>400</v>
      </c>
      <c r="E14" s="2">
        <v>0</v>
      </c>
      <c r="F14" s="2">
        <v>0</v>
      </c>
      <c r="G14" s="2">
        <v>0</v>
      </c>
      <c r="H14" s="2">
        <v>0</v>
      </c>
      <c r="I14" s="2">
        <v>2075</v>
      </c>
      <c r="J14" s="2">
        <v>2412</v>
      </c>
      <c r="K14" s="2">
        <v>899</v>
      </c>
      <c r="L14" s="2">
        <v>387</v>
      </c>
      <c r="M14" s="2">
        <v>374</v>
      </c>
      <c r="N14" s="2">
        <v>415</v>
      </c>
      <c r="O14" s="2">
        <v>449</v>
      </c>
      <c r="P14" s="2">
        <v>75</v>
      </c>
      <c r="Q14" s="2">
        <v>84</v>
      </c>
      <c r="R14" s="2">
        <v>66</v>
      </c>
      <c r="S14" s="2">
        <v>134</v>
      </c>
      <c r="T14" s="2">
        <v>90</v>
      </c>
      <c r="U14" s="2">
        <v>419</v>
      </c>
      <c r="V14" s="2">
        <v>64</v>
      </c>
      <c r="W14" s="2">
        <v>51</v>
      </c>
      <c r="X14" s="2">
        <v>123</v>
      </c>
      <c r="Y14" s="2">
        <v>97</v>
      </c>
      <c r="Z14" s="2">
        <v>84</v>
      </c>
      <c r="AA14" s="2">
        <v>658</v>
      </c>
      <c r="AB14" s="2">
        <v>160</v>
      </c>
      <c r="AC14" s="2">
        <v>119</v>
      </c>
      <c r="AD14" s="2">
        <v>75</v>
      </c>
      <c r="AE14" s="2">
        <v>173</v>
      </c>
      <c r="AF14" s="2">
        <v>131</v>
      </c>
      <c r="AG14" s="2">
        <v>404</v>
      </c>
      <c r="AH14" s="2">
        <v>47</v>
      </c>
      <c r="AI14" s="2">
        <v>75</v>
      </c>
      <c r="AJ14" s="2">
        <v>86</v>
      </c>
      <c r="AK14" s="2">
        <v>116</v>
      </c>
      <c r="AL14" s="2">
        <v>80</v>
      </c>
      <c r="AM14" s="2">
        <v>482</v>
      </c>
      <c r="AN14" s="2">
        <v>91</v>
      </c>
      <c r="AO14" s="2">
        <v>102</v>
      </c>
      <c r="AP14" s="2">
        <v>104</v>
      </c>
      <c r="AQ14" s="2">
        <v>89</v>
      </c>
      <c r="AR14" s="2">
        <v>96</v>
      </c>
    </row>
    <row r="15" spans="1:53" x14ac:dyDescent="0.25">
      <c r="A15" s="2">
        <v>2028</v>
      </c>
      <c r="B15" s="2" t="s">
        <v>2</v>
      </c>
      <c r="C15" s="2">
        <v>2</v>
      </c>
      <c r="D15" s="2">
        <v>400</v>
      </c>
      <c r="E15" s="2">
        <v>500</v>
      </c>
      <c r="F15" s="2">
        <v>0</v>
      </c>
      <c r="G15" s="2">
        <v>0</v>
      </c>
      <c r="H15" s="2">
        <v>0</v>
      </c>
      <c r="I15" s="2">
        <v>3066</v>
      </c>
      <c r="J15" s="2">
        <v>1696</v>
      </c>
      <c r="K15" s="2">
        <v>1142</v>
      </c>
      <c r="L15" s="2">
        <v>580</v>
      </c>
      <c r="M15" s="2">
        <v>730</v>
      </c>
      <c r="N15" s="2">
        <v>614</v>
      </c>
      <c r="O15" s="2">
        <v>238</v>
      </c>
      <c r="P15" s="2">
        <v>55</v>
      </c>
      <c r="Q15" s="2">
        <v>36</v>
      </c>
      <c r="R15" s="2">
        <v>55</v>
      </c>
      <c r="S15" s="2">
        <v>44</v>
      </c>
      <c r="T15" s="2">
        <v>48</v>
      </c>
      <c r="U15" s="2">
        <v>435</v>
      </c>
      <c r="V15" s="2">
        <v>105</v>
      </c>
      <c r="W15" s="2">
        <v>123</v>
      </c>
      <c r="X15" s="2">
        <v>60</v>
      </c>
      <c r="Y15" s="2">
        <v>60</v>
      </c>
      <c r="Z15" s="2">
        <v>87</v>
      </c>
      <c r="AA15" s="2">
        <v>354</v>
      </c>
      <c r="AB15" s="2">
        <v>70</v>
      </c>
      <c r="AC15" s="2">
        <v>71</v>
      </c>
      <c r="AD15" s="2">
        <v>45</v>
      </c>
      <c r="AE15" s="2">
        <v>98</v>
      </c>
      <c r="AF15" s="2">
        <v>70</v>
      </c>
      <c r="AG15" s="2">
        <v>331</v>
      </c>
      <c r="AH15" s="2">
        <v>69</v>
      </c>
      <c r="AI15" s="2">
        <v>77</v>
      </c>
      <c r="AJ15" s="2">
        <v>46</v>
      </c>
      <c r="AK15" s="2">
        <v>72</v>
      </c>
      <c r="AL15" s="2">
        <v>67</v>
      </c>
      <c r="AM15" s="2">
        <v>338</v>
      </c>
      <c r="AN15" s="2">
        <v>94</v>
      </c>
      <c r="AO15" s="2">
        <v>62</v>
      </c>
      <c r="AP15" s="2">
        <v>67</v>
      </c>
      <c r="AQ15" s="2">
        <v>48</v>
      </c>
      <c r="AR15" s="2">
        <v>67</v>
      </c>
    </row>
    <row r="16" spans="1:53" x14ac:dyDescent="0.25">
      <c r="A16" s="2">
        <v>2028</v>
      </c>
      <c r="B16" s="2" t="s">
        <v>3</v>
      </c>
      <c r="C16" s="2">
        <v>3</v>
      </c>
      <c r="D16" s="2">
        <v>0</v>
      </c>
      <c r="E16" s="2">
        <v>500</v>
      </c>
      <c r="F16" s="2">
        <v>0</v>
      </c>
      <c r="G16" s="2">
        <v>0</v>
      </c>
      <c r="H16" s="2">
        <v>0</v>
      </c>
      <c r="I16" s="2">
        <v>4626</v>
      </c>
      <c r="J16" s="2">
        <v>3544</v>
      </c>
      <c r="K16" s="2">
        <v>735</v>
      </c>
      <c r="L16" s="2">
        <v>1391</v>
      </c>
      <c r="M16" s="2">
        <v>1575</v>
      </c>
      <c r="N16" s="2">
        <v>925</v>
      </c>
      <c r="O16" s="2">
        <v>768</v>
      </c>
      <c r="P16" s="2">
        <v>195</v>
      </c>
      <c r="Q16" s="2">
        <v>161</v>
      </c>
      <c r="R16" s="2">
        <v>170</v>
      </c>
      <c r="S16" s="2">
        <v>89</v>
      </c>
      <c r="T16" s="2">
        <v>153</v>
      </c>
      <c r="U16" s="2">
        <v>724</v>
      </c>
      <c r="V16" s="2">
        <v>200</v>
      </c>
      <c r="W16" s="2">
        <v>99</v>
      </c>
      <c r="X16" s="2">
        <v>190</v>
      </c>
      <c r="Y16" s="2">
        <v>91</v>
      </c>
      <c r="Z16" s="2">
        <v>144</v>
      </c>
      <c r="AA16" s="2">
        <v>591</v>
      </c>
      <c r="AB16" s="2">
        <v>117</v>
      </c>
      <c r="AC16" s="2">
        <v>169</v>
      </c>
      <c r="AD16" s="2">
        <v>74</v>
      </c>
      <c r="AE16" s="2">
        <v>113</v>
      </c>
      <c r="AF16" s="2">
        <v>118</v>
      </c>
      <c r="AG16" s="2">
        <v>753</v>
      </c>
      <c r="AH16" s="2">
        <v>136</v>
      </c>
      <c r="AI16" s="2">
        <v>171</v>
      </c>
      <c r="AJ16" s="2">
        <v>141</v>
      </c>
      <c r="AK16" s="2">
        <v>156</v>
      </c>
      <c r="AL16" s="2">
        <v>149</v>
      </c>
      <c r="AM16" s="2">
        <v>708</v>
      </c>
      <c r="AN16" s="2">
        <v>127</v>
      </c>
      <c r="AO16" s="2">
        <v>152</v>
      </c>
      <c r="AP16" s="2">
        <v>138</v>
      </c>
      <c r="AQ16" s="2">
        <v>149</v>
      </c>
      <c r="AR16" s="2">
        <v>142</v>
      </c>
    </row>
    <row r="17" spans="1:44" x14ac:dyDescent="0.25">
      <c r="A17" s="2">
        <v>2028</v>
      </c>
      <c r="B17" s="2" t="s">
        <v>4</v>
      </c>
      <c r="C17" s="2">
        <v>4</v>
      </c>
      <c r="D17" s="2">
        <v>0</v>
      </c>
      <c r="E17" s="2">
        <v>500</v>
      </c>
      <c r="F17" s="2">
        <v>700</v>
      </c>
      <c r="G17" s="2">
        <v>0</v>
      </c>
      <c r="H17" s="2">
        <v>0</v>
      </c>
      <c r="I17" s="2">
        <v>4841</v>
      </c>
      <c r="J17" s="2">
        <v>2671</v>
      </c>
      <c r="K17" s="2">
        <v>1798</v>
      </c>
      <c r="L17" s="2">
        <v>1134</v>
      </c>
      <c r="M17" s="2">
        <v>941</v>
      </c>
      <c r="N17" s="2">
        <v>968</v>
      </c>
      <c r="O17" s="2">
        <v>547</v>
      </c>
      <c r="P17" s="2">
        <v>54</v>
      </c>
      <c r="Q17" s="2">
        <v>143</v>
      </c>
      <c r="R17" s="2">
        <v>139</v>
      </c>
      <c r="S17" s="2">
        <v>101</v>
      </c>
      <c r="T17" s="2">
        <v>110</v>
      </c>
      <c r="U17" s="2">
        <v>527</v>
      </c>
      <c r="V17" s="2">
        <v>85</v>
      </c>
      <c r="W17" s="2">
        <v>154</v>
      </c>
      <c r="X17" s="2">
        <v>124</v>
      </c>
      <c r="Y17" s="2">
        <v>58</v>
      </c>
      <c r="Z17" s="2">
        <v>106</v>
      </c>
      <c r="AA17" s="2">
        <v>646</v>
      </c>
      <c r="AB17" s="2">
        <v>167</v>
      </c>
      <c r="AC17" s="2">
        <v>88</v>
      </c>
      <c r="AD17" s="2">
        <v>153</v>
      </c>
      <c r="AE17" s="2">
        <v>108</v>
      </c>
      <c r="AF17" s="2">
        <v>130</v>
      </c>
      <c r="AG17" s="2">
        <v>417</v>
      </c>
      <c r="AH17" s="2">
        <v>106</v>
      </c>
      <c r="AI17" s="2">
        <v>48</v>
      </c>
      <c r="AJ17" s="2">
        <v>60</v>
      </c>
      <c r="AK17" s="2">
        <v>120</v>
      </c>
      <c r="AL17" s="2">
        <v>83</v>
      </c>
      <c r="AM17" s="2">
        <v>534</v>
      </c>
      <c r="AN17" s="2">
        <v>142</v>
      </c>
      <c r="AO17" s="2">
        <v>84</v>
      </c>
      <c r="AP17" s="2">
        <v>107</v>
      </c>
      <c r="AQ17" s="2">
        <v>94</v>
      </c>
      <c r="AR17" s="2">
        <v>107</v>
      </c>
    </row>
    <row r="18" spans="1:44" x14ac:dyDescent="0.25">
      <c r="A18" s="2">
        <v>2028</v>
      </c>
      <c r="B18" s="2" t="s">
        <v>5</v>
      </c>
      <c r="C18" s="2">
        <v>5</v>
      </c>
      <c r="D18" s="2">
        <v>0</v>
      </c>
      <c r="E18" s="2">
        <v>0</v>
      </c>
      <c r="F18" s="2">
        <v>700</v>
      </c>
      <c r="G18" s="2">
        <v>500</v>
      </c>
      <c r="H18" s="2">
        <v>0</v>
      </c>
      <c r="I18" s="2">
        <v>4626</v>
      </c>
      <c r="J18" s="2">
        <v>3036</v>
      </c>
      <c r="K18" s="2">
        <v>931</v>
      </c>
      <c r="L18" s="2">
        <v>982</v>
      </c>
      <c r="M18" s="2">
        <v>1787</v>
      </c>
      <c r="N18" s="2">
        <v>926</v>
      </c>
      <c r="O18" s="2">
        <v>545</v>
      </c>
      <c r="P18" s="2">
        <v>56</v>
      </c>
      <c r="Q18" s="2">
        <v>103</v>
      </c>
      <c r="R18" s="2">
        <v>161</v>
      </c>
      <c r="S18" s="2">
        <v>116</v>
      </c>
      <c r="T18" s="2">
        <v>109</v>
      </c>
      <c r="U18" s="2">
        <v>632</v>
      </c>
      <c r="V18" s="2">
        <v>131</v>
      </c>
      <c r="W18" s="2">
        <v>68</v>
      </c>
      <c r="X18" s="2">
        <v>147</v>
      </c>
      <c r="Y18" s="2">
        <v>160</v>
      </c>
      <c r="Z18" s="2">
        <v>126</v>
      </c>
      <c r="AA18" s="2">
        <v>582</v>
      </c>
      <c r="AB18" s="2">
        <v>91</v>
      </c>
      <c r="AC18" s="2">
        <v>136</v>
      </c>
      <c r="AD18" s="2">
        <v>136</v>
      </c>
      <c r="AE18" s="2">
        <v>103</v>
      </c>
      <c r="AF18" s="2">
        <v>116</v>
      </c>
      <c r="AG18" s="2">
        <v>669</v>
      </c>
      <c r="AH18" s="2">
        <v>113</v>
      </c>
      <c r="AI18" s="2">
        <v>145</v>
      </c>
      <c r="AJ18" s="2">
        <v>159</v>
      </c>
      <c r="AK18" s="2">
        <v>118</v>
      </c>
      <c r="AL18" s="2">
        <v>134</v>
      </c>
      <c r="AM18" s="2">
        <v>608</v>
      </c>
      <c r="AN18" s="2">
        <v>112</v>
      </c>
      <c r="AO18" s="2">
        <v>73</v>
      </c>
      <c r="AP18" s="2">
        <v>142</v>
      </c>
      <c r="AQ18" s="2">
        <v>160</v>
      </c>
      <c r="AR18" s="2">
        <v>121</v>
      </c>
    </row>
    <row r="19" spans="1:44" x14ac:dyDescent="0.25">
      <c r="A19" s="2">
        <v>2028</v>
      </c>
      <c r="B19" s="2" t="s">
        <v>6</v>
      </c>
      <c r="C19" s="2">
        <v>6</v>
      </c>
      <c r="D19" s="2">
        <v>0</v>
      </c>
      <c r="E19" s="2">
        <v>0</v>
      </c>
      <c r="F19" s="2">
        <v>0</v>
      </c>
      <c r="G19" s="2">
        <v>500</v>
      </c>
      <c r="H19" s="2">
        <v>0</v>
      </c>
      <c r="I19" s="2">
        <v>3066</v>
      </c>
      <c r="J19" s="2">
        <v>4595</v>
      </c>
      <c r="K19" s="2">
        <v>1145</v>
      </c>
      <c r="L19" s="2">
        <v>491</v>
      </c>
      <c r="M19" s="2">
        <v>818</v>
      </c>
      <c r="N19" s="2">
        <v>612</v>
      </c>
      <c r="O19" s="2">
        <v>755</v>
      </c>
      <c r="P19" s="2">
        <v>128</v>
      </c>
      <c r="Q19" s="2">
        <v>213</v>
      </c>
      <c r="R19" s="2">
        <v>167</v>
      </c>
      <c r="S19" s="2">
        <v>96</v>
      </c>
      <c r="T19" s="2">
        <v>151</v>
      </c>
      <c r="U19" s="2">
        <v>436</v>
      </c>
      <c r="V19" s="2">
        <v>126</v>
      </c>
      <c r="W19" s="2">
        <v>76</v>
      </c>
      <c r="X19" s="2">
        <v>43</v>
      </c>
      <c r="Y19" s="2">
        <v>104</v>
      </c>
      <c r="Z19" s="2">
        <v>87</v>
      </c>
      <c r="AA19" s="2">
        <v>1259</v>
      </c>
      <c r="AB19" s="2">
        <v>266</v>
      </c>
      <c r="AC19" s="2">
        <v>326</v>
      </c>
      <c r="AD19" s="2">
        <v>117</v>
      </c>
      <c r="AE19" s="2">
        <v>298</v>
      </c>
      <c r="AF19" s="2">
        <v>252</v>
      </c>
      <c r="AG19" s="2">
        <v>1225</v>
      </c>
      <c r="AH19" s="2">
        <v>340</v>
      </c>
      <c r="AI19" s="2">
        <v>236</v>
      </c>
      <c r="AJ19" s="2">
        <v>197</v>
      </c>
      <c r="AK19" s="2">
        <v>207</v>
      </c>
      <c r="AL19" s="2">
        <v>245</v>
      </c>
      <c r="AM19" s="2">
        <v>920</v>
      </c>
      <c r="AN19" s="2">
        <v>184</v>
      </c>
      <c r="AO19" s="2">
        <v>191</v>
      </c>
      <c r="AP19" s="2">
        <v>187</v>
      </c>
      <c r="AQ19" s="2">
        <v>174</v>
      </c>
      <c r="AR19" s="2">
        <v>184</v>
      </c>
    </row>
    <row r="20" spans="1:44" x14ac:dyDescent="0.25">
      <c r="A20" s="2">
        <v>2028</v>
      </c>
      <c r="B20" s="2" t="s">
        <v>7</v>
      </c>
      <c r="C20" s="2">
        <v>7</v>
      </c>
      <c r="D20" s="2">
        <v>0</v>
      </c>
      <c r="E20" s="2">
        <v>0</v>
      </c>
      <c r="F20" s="2">
        <v>0</v>
      </c>
      <c r="G20" s="2">
        <v>500</v>
      </c>
      <c r="H20" s="2">
        <v>0</v>
      </c>
      <c r="I20" s="2">
        <v>2075</v>
      </c>
      <c r="J20" s="2">
        <v>2714</v>
      </c>
      <c r="K20" s="2">
        <v>742</v>
      </c>
      <c r="L20" s="2">
        <v>412</v>
      </c>
      <c r="M20" s="2">
        <v>506</v>
      </c>
      <c r="N20" s="2">
        <v>415</v>
      </c>
      <c r="O20" s="2">
        <v>522</v>
      </c>
      <c r="P20" s="2">
        <v>106</v>
      </c>
      <c r="Q20" s="2">
        <v>113</v>
      </c>
      <c r="R20" s="2">
        <v>110</v>
      </c>
      <c r="S20" s="2">
        <v>89</v>
      </c>
      <c r="T20" s="2">
        <v>104</v>
      </c>
      <c r="U20" s="2">
        <v>660</v>
      </c>
      <c r="V20" s="2">
        <v>154</v>
      </c>
      <c r="W20" s="2">
        <v>126</v>
      </c>
      <c r="X20" s="2">
        <v>79</v>
      </c>
      <c r="Y20" s="2">
        <v>169</v>
      </c>
      <c r="Z20" s="2">
        <v>132</v>
      </c>
      <c r="AA20" s="2">
        <v>632</v>
      </c>
      <c r="AB20" s="2">
        <v>157</v>
      </c>
      <c r="AC20" s="2">
        <v>99</v>
      </c>
      <c r="AD20" s="2">
        <v>150</v>
      </c>
      <c r="AE20" s="2">
        <v>99</v>
      </c>
      <c r="AF20" s="2">
        <v>127</v>
      </c>
      <c r="AG20" s="2">
        <v>357</v>
      </c>
      <c r="AH20" s="2">
        <v>86</v>
      </c>
      <c r="AI20" s="2">
        <v>91</v>
      </c>
      <c r="AJ20" s="2">
        <v>67</v>
      </c>
      <c r="AK20" s="2">
        <v>43</v>
      </c>
      <c r="AL20" s="2">
        <v>70</v>
      </c>
      <c r="AM20" s="2">
        <v>543</v>
      </c>
      <c r="AN20" s="2">
        <v>69</v>
      </c>
      <c r="AO20" s="2">
        <v>124</v>
      </c>
      <c r="AP20" s="2">
        <v>116</v>
      </c>
      <c r="AQ20" s="2">
        <v>125</v>
      </c>
      <c r="AR20" s="2">
        <v>109</v>
      </c>
    </row>
    <row r="21" spans="1:44" x14ac:dyDescent="0.25">
      <c r="A21" s="2">
        <v>2028</v>
      </c>
      <c r="B21" s="2" t="s">
        <v>8</v>
      </c>
      <c r="C21" s="2">
        <v>8</v>
      </c>
      <c r="D21" s="2">
        <v>0</v>
      </c>
      <c r="E21" s="2">
        <v>0</v>
      </c>
      <c r="F21" s="2">
        <v>0</v>
      </c>
      <c r="G21" s="2">
        <v>500</v>
      </c>
      <c r="H21" s="2">
        <v>300</v>
      </c>
      <c r="I21" s="2">
        <v>3066</v>
      </c>
      <c r="J21" s="2">
        <v>3731</v>
      </c>
      <c r="K21" s="2">
        <v>645</v>
      </c>
      <c r="L21" s="2">
        <v>581</v>
      </c>
      <c r="M21" s="2">
        <v>1226</v>
      </c>
      <c r="N21" s="2">
        <v>614</v>
      </c>
      <c r="O21" s="2">
        <v>841</v>
      </c>
      <c r="P21" s="2">
        <v>159</v>
      </c>
      <c r="Q21" s="2">
        <v>181</v>
      </c>
      <c r="R21" s="2">
        <v>107</v>
      </c>
      <c r="S21" s="2">
        <v>225</v>
      </c>
      <c r="T21" s="2">
        <v>169</v>
      </c>
      <c r="U21" s="2">
        <v>968</v>
      </c>
      <c r="V21" s="2">
        <v>170</v>
      </c>
      <c r="W21" s="2">
        <v>115</v>
      </c>
      <c r="X21" s="2">
        <v>330</v>
      </c>
      <c r="Y21" s="2">
        <v>160</v>
      </c>
      <c r="Z21" s="2">
        <v>193</v>
      </c>
      <c r="AA21" s="2">
        <v>445</v>
      </c>
      <c r="AB21" s="2">
        <v>51</v>
      </c>
      <c r="AC21" s="2">
        <v>154</v>
      </c>
      <c r="AD21" s="2">
        <v>58</v>
      </c>
      <c r="AE21" s="2">
        <v>93</v>
      </c>
      <c r="AF21" s="2">
        <v>89</v>
      </c>
      <c r="AG21" s="2">
        <v>730</v>
      </c>
      <c r="AH21" s="2">
        <v>156</v>
      </c>
      <c r="AI21" s="2">
        <v>194</v>
      </c>
      <c r="AJ21" s="2">
        <v>145</v>
      </c>
      <c r="AK21" s="2">
        <v>90</v>
      </c>
      <c r="AL21" s="2">
        <v>145</v>
      </c>
      <c r="AM21" s="2">
        <v>747</v>
      </c>
      <c r="AN21" s="2">
        <v>113</v>
      </c>
      <c r="AO21" s="2">
        <v>96</v>
      </c>
      <c r="AP21" s="2">
        <v>195</v>
      </c>
      <c r="AQ21" s="2">
        <v>195</v>
      </c>
      <c r="AR21" s="2">
        <v>148</v>
      </c>
    </row>
    <row r="22" spans="1:44" x14ac:dyDescent="0.25">
      <c r="A22" s="2">
        <v>2028</v>
      </c>
      <c r="B22" s="2" t="s">
        <v>9</v>
      </c>
      <c r="C22" s="2">
        <v>9</v>
      </c>
      <c r="D22" s="2">
        <v>0</v>
      </c>
      <c r="E22" s="2">
        <v>0</v>
      </c>
      <c r="F22" s="2">
        <v>0</v>
      </c>
      <c r="G22" s="2">
        <v>0</v>
      </c>
      <c r="H22" s="2">
        <v>300</v>
      </c>
      <c r="I22" s="2">
        <v>4626</v>
      </c>
      <c r="J22" s="2">
        <v>4952</v>
      </c>
      <c r="K22" s="2">
        <v>1053</v>
      </c>
      <c r="L22" s="2">
        <v>1623</v>
      </c>
      <c r="M22" s="2">
        <v>1025</v>
      </c>
      <c r="N22" s="2">
        <v>925</v>
      </c>
      <c r="O22" s="2">
        <v>917</v>
      </c>
      <c r="P22" s="2">
        <v>182</v>
      </c>
      <c r="Q22" s="2">
        <v>199</v>
      </c>
      <c r="R22" s="2">
        <v>215</v>
      </c>
      <c r="S22" s="2">
        <v>138</v>
      </c>
      <c r="T22" s="2">
        <v>183</v>
      </c>
      <c r="U22" s="2">
        <v>1263</v>
      </c>
      <c r="V22" s="2">
        <v>230</v>
      </c>
      <c r="W22" s="2">
        <v>234</v>
      </c>
      <c r="X22" s="2">
        <v>251</v>
      </c>
      <c r="Y22" s="2">
        <v>296</v>
      </c>
      <c r="Z22" s="2">
        <v>252</v>
      </c>
      <c r="AA22" s="2">
        <v>1021</v>
      </c>
      <c r="AB22" s="2">
        <v>270</v>
      </c>
      <c r="AC22" s="2">
        <v>141</v>
      </c>
      <c r="AD22" s="2">
        <v>209</v>
      </c>
      <c r="AE22" s="2">
        <v>198</v>
      </c>
      <c r="AF22" s="2">
        <v>203</v>
      </c>
      <c r="AG22" s="2">
        <v>761</v>
      </c>
      <c r="AH22" s="2">
        <v>125</v>
      </c>
      <c r="AI22" s="2">
        <v>163</v>
      </c>
      <c r="AJ22" s="2">
        <v>153</v>
      </c>
      <c r="AK22" s="2">
        <v>168</v>
      </c>
      <c r="AL22" s="2">
        <v>152</v>
      </c>
      <c r="AM22" s="2">
        <v>990</v>
      </c>
      <c r="AN22" s="2">
        <v>188</v>
      </c>
      <c r="AO22" s="2">
        <v>224</v>
      </c>
      <c r="AP22" s="2">
        <v>221</v>
      </c>
      <c r="AQ22" s="2">
        <v>158</v>
      </c>
      <c r="AR22" s="2">
        <v>199</v>
      </c>
    </row>
    <row r="23" spans="1:44" x14ac:dyDescent="0.25">
      <c r="A23" s="2">
        <v>2028</v>
      </c>
      <c r="B23" s="2" t="s">
        <v>10</v>
      </c>
      <c r="C23" s="2">
        <v>10</v>
      </c>
      <c r="D23" s="2">
        <v>0</v>
      </c>
      <c r="E23" s="2">
        <v>0</v>
      </c>
      <c r="F23" s="2">
        <v>0</v>
      </c>
      <c r="G23" s="2">
        <v>0</v>
      </c>
      <c r="H23" s="2">
        <v>300</v>
      </c>
      <c r="I23" s="2">
        <v>4841</v>
      </c>
      <c r="J23" s="2">
        <v>3544</v>
      </c>
      <c r="K23" s="2">
        <v>1499</v>
      </c>
      <c r="L23" s="2">
        <v>1624</v>
      </c>
      <c r="M23" s="2">
        <v>750</v>
      </c>
      <c r="N23" s="2">
        <v>968</v>
      </c>
      <c r="O23" s="2">
        <v>418</v>
      </c>
      <c r="P23" s="2">
        <v>99</v>
      </c>
      <c r="Q23" s="2">
        <v>112</v>
      </c>
      <c r="R23" s="2">
        <v>62</v>
      </c>
      <c r="S23" s="2">
        <v>61</v>
      </c>
      <c r="T23" s="2">
        <v>84</v>
      </c>
      <c r="U23" s="2">
        <v>967</v>
      </c>
      <c r="V23" s="2">
        <v>164</v>
      </c>
      <c r="W23" s="2">
        <v>223</v>
      </c>
      <c r="X23" s="2">
        <v>266</v>
      </c>
      <c r="Y23" s="2">
        <v>120</v>
      </c>
      <c r="Z23" s="2">
        <v>194</v>
      </c>
      <c r="AA23" s="2">
        <v>601</v>
      </c>
      <c r="AB23" s="2">
        <v>108</v>
      </c>
      <c r="AC23" s="2">
        <v>108</v>
      </c>
      <c r="AD23" s="2">
        <v>170</v>
      </c>
      <c r="AE23" s="2">
        <v>94</v>
      </c>
      <c r="AF23" s="2">
        <v>121</v>
      </c>
      <c r="AG23" s="2">
        <v>849</v>
      </c>
      <c r="AH23" s="2">
        <v>170</v>
      </c>
      <c r="AI23" s="2">
        <v>92</v>
      </c>
      <c r="AJ23" s="2">
        <v>255</v>
      </c>
      <c r="AK23" s="2">
        <v>163</v>
      </c>
      <c r="AL23" s="2">
        <v>169</v>
      </c>
      <c r="AM23" s="2">
        <v>709</v>
      </c>
      <c r="AN23" s="2">
        <v>199</v>
      </c>
      <c r="AO23" s="2">
        <v>75</v>
      </c>
      <c r="AP23" s="2">
        <v>135</v>
      </c>
      <c r="AQ23" s="2">
        <v>158</v>
      </c>
      <c r="AR23" s="2">
        <v>142</v>
      </c>
    </row>
    <row r="24" spans="1:44" x14ac:dyDescent="0.25">
      <c r="A24" s="2">
        <v>2028</v>
      </c>
      <c r="B24" s="2" t="s">
        <v>11</v>
      </c>
      <c r="C24" s="2">
        <v>11</v>
      </c>
      <c r="D24" s="2">
        <v>0</v>
      </c>
      <c r="E24" s="2">
        <v>0</v>
      </c>
      <c r="F24" s="2">
        <v>0</v>
      </c>
      <c r="G24" s="2">
        <v>0</v>
      </c>
      <c r="H24" s="2">
        <v>300</v>
      </c>
      <c r="I24" s="2">
        <v>4626</v>
      </c>
      <c r="J24" s="2">
        <v>4595</v>
      </c>
      <c r="K24" s="2">
        <v>1656</v>
      </c>
      <c r="L24" s="2">
        <v>1169</v>
      </c>
      <c r="M24" s="2">
        <v>877</v>
      </c>
      <c r="N24" s="2">
        <v>924</v>
      </c>
      <c r="O24" s="2">
        <v>814</v>
      </c>
      <c r="P24" s="2">
        <v>85</v>
      </c>
      <c r="Q24" s="2">
        <v>126</v>
      </c>
      <c r="R24" s="2">
        <v>218</v>
      </c>
      <c r="S24" s="2">
        <v>221</v>
      </c>
      <c r="T24" s="2">
        <v>164</v>
      </c>
      <c r="U24" s="2">
        <v>982</v>
      </c>
      <c r="V24" s="2">
        <v>220</v>
      </c>
      <c r="W24" s="2">
        <v>142</v>
      </c>
      <c r="X24" s="2">
        <v>199</v>
      </c>
      <c r="Y24" s="2">
        <v>224</v>
      </c>
      <c r="Z24" s="2">
        <v>197</v>
      </c>
      <c r="AA24" s="2">
        <v>828</v>
      </c>
      <c r="AB24" s="2">
        <v>213</v>
      </c>
      <c r="AC24" s="2">
        <v>230</v>
      </c>
      <c r="AD24" s="2">
        <v>110</v>
      </c>
      <c r="AE24" s="2">
        <v>110</v>
      </c>
      <c r="AF24" s="2">
        <v>165</v>
      </c>
      <c r="AG24" s="2">
        <v>1052</v>
      </c>
      <c r="AH24" s="2">
        <v>223</v>
      </c>
      <c r="AI24" s="2">
        <v>181</v>
      </c>
      <c r="AJ24" s="2">
        <v>274</v>
      </c>
      <c r="AK24" s="2">
        <v>164</v>
      </c>
      <c r="AL24" s="2">
        <v>210</v>
      </c>
      <c r="AM24" s="2">
        <v>919</v>
      </c>
      <c r="AN24" s="2">
        <v>234</v>
      </c>
      <c r="AO24" s="2">
        <v>113</v>
      </c>
      <c r="AP24" s="2">
        <v>146</v>
      </c>
      <c r="AQ24" s="2">
        <v>241</v>
      </c>
      <c r="AR24" s="2">
        <v>185</v>
      </c>
    </row>
    <row r="25" spans="1:44" x14ac:dyDescent="0.25">
      <c r="A25" s="2">
        <v>2028</v>
      </c>
      <c r="B25" s="2" t="s">
        <v>12</v>
      </c>
      <c r="C25" s="2">
        <v>12</v>
      </c>
      <c r="D25" s="2">
        <v>0</v>
      </c>
      <c r="E25" s="2">
        <v>0</v>
      </c>
      <c r="F25" s="2">
        <v>0</v>
      </c>
      <c r="G25" s="2">
        <v>0</v>
      </c>
      <c r="H25" s="2">
        <v>300</v>
      </c>
      <c r="I25" s="2">
        <v>2666</v>
      </c>
      <c r="J25" s="2">
        <v>1739</v>
      </c>
      <c r="K25" s="2">
        <v>730</v>
      </c>
      <c r="L25" s="2">
        <v>764</v>
      </c>
      <c r="M25" s="2">
        <v>639</v>
      </c>
      <c r="N25" s="2">
        <v>533</v>
      </c>
      <c r="O25" s="2">
        <v>418</v>
      </c>
      <c r="P25" s="2">
        <v>125</v>
      </c>
      <c r="Q25" s="2">
        <v>49</v>
      </c>
      <c r="R25" s="2">
        <v>86</v>
      </c>
      <c r="S25" s="2">
        <v>74</v>
      </c>
      <c r="T25" s="2">
        <v>84</v>
      </c>
      <c r="U25" s="2">
        <v>171</v>
      </c>
      <c r="V25" s="2">
        <v>46</v>
      </c>
      <c r="W25" s="2">
        <v>27</v>
      </c>
      <c r="X25" s="2">
        <v>41</v>
      </c>
      <c r="Y25" s="2">
        <v>23</v>
      </c>
      <c r="Z25" s="2">
        <v>34</v>
      </c>
      <c r="AA25" s="2">
        <v>439</v>
      </c>
      <c r="AB25" s="2">
        <v>69</v>
      </c>
      <c r="AC25" s="2">
        <v>88</v>
      </c>
      <c r="AD25" s="2">
        <v>58</v>
      </c>
      <c r="AE25" s="2">
        <v>136</v>
      </c>
      <c r="AF25" s="2">
        <v>88</v>
      </c>
      <c r="AG25" s="2">
        <v>363</v>
      </c>
      <c r="AH25" s="2">
        <v>72</v>
      </c>
      <c r="AI25" s="2">
        <v>50</v>
      </c>
      <c r="AJ25" s="2">
        <v>91</v>
      </c>
      <c r="AK25" s="2">
        <v>78</v>
      </c>
      <c r="AL25" s="2">
        <v>72</v>
      </c>
      <c r="AM25" s="2">
        <v>348</v>
      </c>
      <c r="AN25" s="2">
        <v>103</v>
      </c>
      <c r="AO25" s="2">
        <v>72</v>
      </c>
      <c r="AP25" s="2">
        <v>56</v>
      </c>
      <c r="AQ25" s="2">
        <v>48</v>
      </c>
      <c r="AR25" s="2">
        <v>69</v>
      </c>
    </row>
    <row r="26" spans="1:44" x14ac:dyDescent="0.25">
      <c r="A26" s="2">
        <v>2029</v>
      </c>
      <c r="B26" s="2" t="s">
        <v>1</v>
      </c>
      <c r="C26" s="2">
        <v>1</v>
      </c>
      <c r="D26" s="2">
        <v>200</v>
      </c>
      <c r="E26" s="2">
        <v>0</v>
      </c>
      <c r="F26" s="2">
        <v>0</v>
      </c>
      <c r="G26" s="2">
        <v>0</v>
      </c>
      <c r="H26" s="2">
        <v>0</v>
      </c>
      <c r="I26" s="2">
        <v>1792</v>
      </c>
      <c r="J26" s="2">
        <v>3710</v>
      </c>
      <c r="K26" s="2">
        <v>627</v>
      </c>
      <c r="L26" s="2">
        <v>399</v>
      </c>
      <c r="M26" s="2">
        <v>408</v>
      </c>
      <c r="N26" s="2">
        <v>358</v>
      </c>
      <c r="O26" s="2">
        <v>664</v>
      </c>
      <c r="P26" s="2">
        <v>127</v>
      </c>
      <c r="Q26" s="2">
        <v>200</v>
      </c>
      <c r="R26" s="2">
        <v>81</v>
      </c>
      <c r="S26" s="2">
        <v>124</v>
      </c>
      <c r="T26" s="2">
        <v>132</v>
      </c>
      <c r="U26" s="2">
        <v>854</v>
      </c>
      <c r="V26" s="2">
        <v>235</v>
      </c>
      <c r="W26" s="2">
        <v>98</v>
      </c>
      <c r="X26" s="2">
        <v>112</v>
      </c>
      <c r="Y26" s="2">
        <v>238</v>
      </c>
      <c r="Z26" s="2">
        <v>171</v>
      </c>
      <c r="AA26" s="2">
        <v>542</v>
      </c>
      <c r="AB26" s="2">
        <v>58</v>
      </c>
      <c r="AC26" s="2">
        <v>119</v>
      </c>
      <c r="AD26" s="2">
        <v>142</v>
      </c>
      <c r="AE26" s="2">
        <v>114</v>
      </c>
      <c r="AF26" s="2">
        <v>109</v>
      </c>
      <c r="AG26" s="2">
        <v>908</v>
      </c>
      <c r="AH26" s="2">
        <v>202</v>
      </c>
      <c r="AI26" s="2">
        <v>188</v>
      </c>
      <c r="AJ26" s="2">
        <v>217</v>
      </c>
      <c r="AK26" s="2">
        <v>119</v>
      </c>
      <c r="AL26" s="2">
        <v>182</v>
      </c>
      <c r="AM26" s="2">
        <v>742</v>
      </c>
      <c r="AN26" s="2">
        <v>122</v>
      </c>
      <c r="AO26" s="2">
        <v>145</v>
      </c>
      <c r="AP26" s="2">
        <v>148</v>
      </c>
      <c r="AQ26" s="2">
        <v>178</v>
      </c>
      <c r="AR26" s="2">
        <v>149</v>
      </c>
    </row>
    <row r="27" spans="1:44" x14ac:dyDescent="0.25">
      <c r="A27" s="2">
        <v>2029</v>
      </c>
      <c r="B27" s="2" t="s">
        <v>2</v>
      </c>
      <c r="C27" s="2">
        <v>2</v>
      </c>
      <c r="D27" s="2">
        <v>200</v>
      </c>
      <c r="E27" s="2">
        <v>100</v>
      </c>
      <c r="F27" s="2">
        <v>0</v>
      </c>
      <c r="G27" s="2">
        <v>0</v>
      </c>
      <c r="H27" s="2">
        <v>0</v>
      </c>
      <c r="I27" s="2">
        <v>2073</v>
      </c>
      <c r="J27" s="2">
        <v>2312</v>
      </c>
      <c r="K27" s="2">
        <v>391</v>
      </c>
      <c r="L27" s="2">
        <v>689</v>
      </c>
      <c r="M27" s="2">
        <v>578</v>
      </c>
      <c r="N27" s="2">
        <v>415</v>
      </c>
      <c r="O27" s="2">
        <v>528</v>
      </c>
      <c r="P27" s="2">
        <v>136</v>
      </c>
      <c r="Q27" s="2">
        <v>70</v>
      </c>
      <c r="R27" s="2">
        <v>149</v>
      </c>
      <c r="S27" s="2">
        <v>68</v>
      </c>
      <c r="T27" s="2">
        <v>105</v>
      </c>
      <c r="U27" s="2">
        <v>454</v>
      </c>
      <c r="V27" s="2">
        <v>61</v>
      </c>
      <c r="W27" s="2">
        <v>71</v>
      </c>
      <c r="X27" s="2">
        <v>118</v>
      </c>
      <c r="Y27" s="2">
        <v>113</v>
      </c>
      <c r="Z27" s="2">
        <v>91</v>
      </c>
      <c r="AA27" s="2">
        <v>486</v>
      </c>
      <c r="AB27" s="2">
        <v>100</v>
      </c>
      <c r="AC27" s="2">
        <v>106</v>
      </c>
      <c r="AD27" s="2">
        <v>113</v>
      </c>
      <c r="AE27" s="2">
        <v>69</v>
      </c>
      <c r="AF27" s="2">
        <v>98</v>
      </c>
      <c r="AG27" s="2">
        <v>380</v>
      </c>
      <c r="AH27" s="2">
        <v>81</v>
      </c>
      <c r="AI27" s="2">
        <v>78</v>
      </c>
      <c r="AJ27" s="2">
        <v>73</v>
      </c>
      <c r="AK27" s="2">
        <v>73</v>
      </c>
      <c r="AL27" s="2">
        <v>75</v>
      </c>
      <c r="AM27" s="2">
        <v>464</v>
      </c>
      <c r="AN27" s="2">
        <v>126</v>
      </c>
      <c r="AO27" s="2">
        <v>82</v>
      </c>
      <c r="AP27" s="2">
        <v>57</v>
      </c>
      <c r="AQ27" s="2">
        <v>106</v>
      </c>
      <c r="AR27" s="2">
        <v>93</v>
      </c>
    </row>
    <row r="28" spans="1:44" x14ac:dyDescent="0.25">
      <c r="A28" s="2">
        <v>2029</v>
      </c>
      <c r="B28" s="2" t="s">
        <v>3</v>
      </c>
      <c r="C28" s="2">
        <v>3</v>
      </c>
      <c r="D28" s="2">
        <v>200</v>
      </c>
      <c r="E28" s="2">
        <v>100</v>
      </c>
      <c r="F28" s="2">
        <v>0</v>
      </c>
      <c r="G28" s="2">
        <v>0</v>
      </c>
      <c r="H28" s="2">
        <v>0</v>
      </c>
      <c r="I28" s="2">
        <v>2999</v>
      </c>
      <c r="J28" s="2">
        <v>2936</v>
      </c>
      <c r="K28" s="2">
        <v>678</v>
      </c>
      <c r="L28" s="2">
        <v>926</v>
      </c>
      <c r="M28" s="2">
        <v>795</v>
      </c>
      <c r="N28" s="2">
        <v>600</v>
      </c>
      <c r="O28" s="2">
        <v>606</v>
      </c>
      <c r="P28" s="2">
        <v>115</v>
      </c>
      <c r="Q28" s="2">
        <v>64</v>
      </c>
      <c r="R28" s="2">
        <v>133</v>
      </c>
      <c r="S28" s="2">
        <v>174</v>
      </c>
      <c r="T28" s="2">
        <v>120</v>
      </c>
      <c r="U28" s="2">
        <v>540</v>
      </c>
      <c r="V28" s="2">
        <v>95</v>
      </c>
      <c r="W28" s="2">
        <v>113</v>
      </c>
      <c r="X28" s="2">
        <v>99</v>
      </c>
      <c r="Y28" s="2">
        <v>125</v>
      </c>
      <c r="Z28" s="2">
        <v>108</v>
      </c>
      <c r="AA28" s="2">
        <v>653</v>
      </c>
      <c r="AB28" s="2">
        <v>166</v>
      </c>
      <c r="AC28" s="2">
        <v>150</v>
      </c>
      <c r="AD28" s="2">
        <v>106</v>
      </c>
      <c r="AE28" s="2">
        <v>101</v>
      </c>
      <c r="AF28" s="2">
        <v>130</v>
      </c>
      <c r="AG28" s="2">
        <v>549</v>
      </c>
      <c r="AH28" s="2">
        <v>86</v>
      </c>
      <c r="AI28" s="2">
        <v>77</v>
      </c>
      <c r="AJ28" s="2">
        <v>171</v>
      </c>
      <c r="AK28" s="2">
        <v>105</v>
      </c>
      <c r="AL28" s="2">
        <v>110</v>
      </c>
      <c r="AM28" s="2">
        <v>588</v>
      </c>
      <c r="AN28" s="2">
        <v>119</v>
      </c>
      <c r="AO28" s="2">
        <v>138</v>
      </c>
      <c r="AP28" s="2">
        <v>148</v>
      </c>
      <c r="AQ28" s="2">
        <v>65</v>
      </c>
      <c r="AR28" s="2">
        <v>118</v>
      </c>
    </row>
    <row r="29" spans="1:44" x14ac:dyDescent="0.25">
      <c r="A29" s="2">
        <v>2029</v>
      </c>
      <c r="B29" s="2" t="s">
        <v>4</v>
      </c>
      <c r="C29" s="2">
        <v>4</v>
      </c>
      <c r="D29" s="2">
        <v>0</v>
      </c>
      <c r="E29" s="2">
        <v>100</v>
      </c>
      <c r="F29" s="2">
        <v>0</v>
      </c>
      <c r="G29" s="2">
        <v>0</v>
      </c>
      <c r="H29" s="2">
        <v>0</v>
      </c>
      <c r="I29" s="2">
        <v>1972</v>
      </c>
      <c r="J29" s="2">
        <v>3631</v>
      </c>
      <c r="K29" s="2">
        <v>590</v>
      </c>
      <c r="L29" s="2">
        <v>697</v>
      </c>
      <c r="M29" s="2">
        <v>290</v>
      </c>
      <c r="N29" s="2">
        <v>395</v>
      </c>
      <c r="O29" s="2">
        <v>552</v>
      </c>
      <c r="P29" s="2">
        <v>77</v>
      </c>
      <c r="Q29" s="2">
        <v>118</v>
      </c>
      <c r="R29" s="2">
        <v>143</v>
      </c>
      <c r="S29" s="2">
        <v>104</v>
      </c>
      <c r="T29" s="2">
        <v>110</v>
      </c>
      <c r="U29" s="2">
        <v>696</v>
      </c>
      <c r="V29" s="2">
        <v>111</v>
      </c>
      <c r="W29" s="2">
        <v>157</v>
      </c>
      <c r="X29" s="2">
        <v>123</v>
      </c>
      <c r="Y29" s="2">
        <v>166</v>
      </c>
      <c r="Z29" s="2">
        <v>139</v>
      </c>
      <c r="AA29" s="2">
        <v>1084</v>
      </c>
      <c r="AB29" s="2">
        <v>234</v>
      </c>
      <c r="AC29" s="2">
        <v>193</v>
      </c>
      <c r="AD29" s="2">
        <v>252</v>
      </c>
      <c r="AE29" s="2">
        <v>188</v>
      </c>
      <c r="AF29" s="2">
        <v>217</v>
      </c>
      <c r="AG29" s="2">
        <v>573</v>
      </c>
      <c r="AH29" s="2">
        <v>118</v>
      </c>
      <c r="AI29" s="2">
        <v>178</v>
      </c>
      <c r="AJ29" s="2">
        <v>68</v>
      </c>
      <c r="AK29" s="2">
        <v>95</v>
      </c>
      <c r="AL29" s="2">
        <v>114</v>
      </c>
      <c r="AM29" s="2">
        <v>726</v>
      </c>
      <c r="AN29" s="2">
        <v>154</v>
      </c>
      <c r="AO29" s="2">
        <v>111</v>
      </c>
      <c r="AP29" s="2">
        <v>156</v>
      </c>
      <c r="AQ29" s="2">
        <v>160</v>
      </c>
      <c r="AR29" s="2">
        <v>145</v>
      </c>
    </row>
    <row r="30" spans="1:44" x14ac:dyDescent="0.25">
      <c r="A30" s="2">
        <v>2029</v>
      </c>
      <c r="B30" s="2" t="s">
        <v>5</v>
      </c>
      <c r="C30" s="2">
        <v>5</v>
      </c>
      <c r="D30" s="2">
        <v>0</v>
      </c>
      <c r="E30" s="2">
        <v>100</v>
      </c>
      <c r="F30" s="2">
        <v>0</v>
      </c>
      <c r="G30" s="2">
        <v>0</v>
      </c>
      <c r="H30" s="2">
        <v>0</v>
      </c>
      <c r="I30" s="2">
        <v>2843</v>
      </c>
      <c r="J30" s="2">
        <v>3444</v>
      </c>
      <c r="K30" s="2">
        <v>664</v>
      </c>
      <c r="L30" s="2">
        <v>481</v>
      </c>
      <c r="M30" s="2">
        <v>1129</v>
      </c>
      <c r="N30" s="2">
        <v>569</v>
      </c>
      <c r="O30" s="2">
        <v>898</v>
      </c>
      <c r="P30" s="2">
        <v>151</v>
      </c>
      <c r="Q30" s="2">
        <v>255</v>
      </c>
      <c r="R30" s="2">
        <v>151</v>
      </c>
      <c r="S30" s="2">
        <v>162</v>
      </c>
      <c r="T30" s="2">
        <v>179</v>
      </c>
      <c r="U30" s="2">
        <v>823</v>
      </c>
      <c r="V30" s="2">
        <v>106</v>
      </c>
      <c r="W30" s="2">
        <v>127</v>
      </c>
      <c r="X30" s="2">
        <v>241</v>
      </c>
      <c r="Y30" s="2">
        <v>184</v>
      </c>
      <c r="Z30" s="2">
        <v>165</v>
      </c>
      <c r="AA30" s="2">
        <v>324</v>
      </c>
      <c r="AB30" s="2">
        <v>71</v>
      </c>
      <c r="AC30" s="2">
        <v>75</v>
      </c>
      <c r="AD30" s="2">
        <v>54</v>
      </c>
      <c r="AE30" s="2">
        <v>59</v>
      </c>
      <c r="AF30" s="2">
        <v>65</v>
      </c>
      <c r="AG30" s="2">
        <v>711</v>
      </c>
      <c r="AH30" s="2">
        <v>154</v>
      </c>
      <c r="AI30" s="2">
        <v>154</v>
      </c>
      <c r="AJ30" s="2">
        <v>135</v>
      </c>
      <c r="AK30" s="2">
        <v>126</v>
      </c>
      <c r="AL30" s="2">
        <v>142</v>
      </c>
      <c r="AM30" s="2">
        <v>688</v>
      </c>
      <c r="AN30" s="2">
        <v>72</v>
      </c>
      <c r="AO30" s="2">
        <v>170</v>
      </c>
      <c r="AP30" s="2">
        <v>134</v>
      </c>
      <c r="AQ30" s="2">
        <v>175</v>
      </c>
      <c r="AR30" s="2">
        <v>137</v>
      </c>
    </row>
    <row r="31" spans="1:44" x14ac:dyDescent="0.25">
      <c r="A31" s="2">
        <v>2029</v>
      </c>
      <c r="B31" s="2" t="s">
        <v>6</v>
      </c>
      <c r="C31" s="2">
        <v>6</v>
      </c>
      <c r="D31" s="2">
        <v>0</v>
      </c>
      <c r="E31" s="2">
        <v>100</v>
      </c>
      <c r="F31" s="2">
        <v>150</v>
      </c>
      <c r="G31" s="2">
        <v>0</v>
      </c>
      <c r="H31" s="2">
        <v>0</v>
      </c>
      <c r="I31" s="2">
        <v>4104</v>
      </c>
      <c r="J31" s="2">
        <v>4495</v>
      </c>
      <c r="K31" s="2">
        <v>1265</v>
      </c>
      <c r="L31" s="2">
        <v>855</v>
      </c>
      <c r="M31" s="2">
        <v>1163</v>
      </c>
      <c r="N31" s="2">
        <v>821</v>
      </c>
      <c r="O31" s="2">
        <v>615</v>
      </c>
      <c r="P31" s="2">
        <v>166</v>
      </c>
      <c r="Q31" s="2">
        <v>72</v>
      </c>
      <c r="R31" s="2">
        <v>182</v>
      </c>
      <c r="S31" s="2">
        <v>72</v>
      </c>
      <c r="T31" s="2">
        <v>123</v>
      </c>
      <c r="U31" s="2">
        <v>745</v>
      </c>
      <c r="V31" s="2">
        <v>132</v>
      </c>
      <c r="W31" s="2">
        <v>132</v>
      </c>
      <c r="X31" s="2">
        <v>157</v>
      </c>
      <c r="Y31" s="2">
        <v>175</v>
      </c>
      <c r="Z31" s="2">
        <v>149</v>
      </c>
      <c r="AA31" s="2">
        <v>1192</v>
      </c>
      <c r="AB31" s="2">
        <v>304</v>
      </c>
      <c r="AC31" s="2">
        <v>213</v>
      </c>
      <c r="AD31" s="2">
        <v>272</v>
      </c>
      <c r="AE31" s="2">
        <v>165</v>
      </c>
      <c r="AF31" s="2">
        <v>238</v>
      </c>
      <c r="AG31" s="2">
        <v>1043</v>
      </c>
      <c r="AH31" s="2">
        <v>267</v>
      </c>
      <c r="AI31" s="2">
        <v>178</v>
      </c>
      <c r="AJ31" s="2">
        <v>178</v>
      </c>
      <c r="AK31" s="2">
        <v>211</v>
      </c>
      <c r="AL31" s="2">
        <v>209</v>
      </c>
      <c r="AM31" s="2">
        <v>900</v>
      </c>
      <c r="AN31" s="2">
        <v>163</v>
      </c>
      <c r="AO31" s="2">
        <v>152</v>
      </c>
      <c r="AP31" s="2">
        <v>198</v>
      </c>
      <c r="AQ31" s="2">
        <v>206</v>
      </c>
      <c r="AR31" s="2">
        <v>181</v>
      </c>
    </row>
    <row r="32" spans="1:44" x14ac:dyDescent="0.25">
      <c r="A32" s="2">
        <v>2029</v>
      </c>
      <c r="B32" s="2" t="s">
        <v>7</v>
      </c>
      <c r="C32" s="2">
        <v>7</v>
      </c>
      <c r="D32" s="2">
        <v>0</v>
      </c>
      <c r="E32" s="2">
        <v>0</v>
      </c>
      <c r="F32" s="2">
        <v>150</v>
      </c>
      <c r="G32" s="2">
        <v>0</v>
      </c>
      <c r="H32" s="2">
        <v>0</v>
      </c>
      <c r="I32" s="2">
        <v>2317</v>
      </c>
      <c r="J32" s="2">
        <v>2614</v>
      </c>
      <c r="K32" s="2">
        <v>519</v>
      </c>
      <c r="L32" s="2">
        <v>556</v>
      </c>
      <c r="M32" s="2">
        <v>779</v>
      </c>
      <c r="N32" s="2">
        <v>463</v>
      </c>
      <c r="O32" s="2">
        <v>575</v>
      </c>
      <c r="P32" s="2">
        <v>145</v>
      </c>
      <c r="Q32" s="2">
        <v>107</v>
      </c>
      <c r="R32" s="2">
        <v>113</v>
      </c>
      <c r="S32" s="2">
        <v>95</v>
      </c>
      <c r="T32" s="2">
        <v>115</v>
      </c>
      <c r="U32" s="2">
        <v>350</v>
      </c>
      <c r="V32" s="2">
        <v>37</v>
      </c>
      <c r="W32" s="2">
        <v>49</v>
      </c>
      <c r="X32" s="2">
        <v>101</v>
      </c>
      <c r="Y32" s="2">
        <v>94</v>
      </c>
      <c r="Z32" s="2">
        <v>69</v>
      </c>
      <c r="AA32" s="2">
        <v>608</v>
      </c>
      <c r="AB32" s="2">
        <v>102</v>
      </c>
      <c r="AC32" s="2">
        <v>116</v>
      </c>
      <c r="AD32" s="2">
        <v>147</v>
      </c>
      <c r="AE32" s="2">
        <v>121</v>
      </c>
      <c r="AF32" s="2">
        <v>122</v>
      </c>
      <c r="AG32" s="2">
        <v>558</v>
      </c>
      <c r="AH32" s="2">
        <v>135</v>
      </c>
      <c r="AI32" s="2">
        <v>150</v>
      </c>
      <c r="AJ32" s="2">
        <v>78</v>
      </c>
      <c r="AK32" s="2">
        <v>83</v>
      </c>
      <c r="AL32" s="2">
        <v>112</v>
      </c>
      <c r="AM32" s="2">
        <v>523</v>
      </c>
      <c r="AN32" s="2">
        <v>99</v>
      </c>
      <c r="AO32" s="2">
        <v>148</v>
      </c>
      <c r="AP32" s="2">
        <v>77</v>
      </c>
      <c r="AQ32" s="2">
        <v>95</v>
      </c>
      <c r="AR32" s="2">
        <v>104</v>
      </c>
    </row>
    <row r="33" spans="1:44" x14ac:dyDescent="0.25">
      <c r="A33" s="2">
        <v>2029</v>
      </c>
      <c r="B33" s="2" t="s">
        <v>8</v>
      </c>
      <c r="C33" s="2">
        <v>8</v>
      </c>
      <c r="D33" s="2">
        <v>0</v>
      </c>
      <c r="E33" s="2">
        <v>0</v>
      </c>
      <c r="F33" s="2">
        <v>150</v>
      </c>
      <c r="G33" s="2">
        <v>0</v>
      </c>
      <c r="H33" s="2">
        <v>200</v>
      </c>
      <c r="I33" s="2">
        <v>3038</v>
      </c>
      <c r="J33" s="2">
        <v>4852</v>
      </c>
      <c r="K33" s="2">
        <v>951</v>
      </c>
      <c r="L33" s="2">
        <v>860</v>
      </c>
      <c r="M33" s="2">
        <v>619</v>
      </c>
      <c r="N33" s="2">
        <v>608</v>
      </c>
      <c r="O33" s="2">
        <v>1063</v>
      </c>
      <c r="P33" s="2">
        <v>114</v>
      </c>
      <c r="Q33" s="2">
        <v>305</v>
      </c>
      <c r="R33" s="2">
        <v>135</v>
      </c>
      <c r="S33" s="2">
        <v>296</v>
      </c>
      <c r="T33" s="2">
        <v>213</v>
      </c>
      <c r="U33" s="2">
        <v>1047</v>
      </c>
      <c r="V33" s="2">
        <v>116</v>
      </c>
      <c r="W33" s="2">
        <v>283</v>
      </c>
      <c r="X33" s="2">
        <v>180</v>
      </c>
      <c r="Y33" s="2">
        <v>258</v>
      </c>
      <c r="Z33" s="2">
        <v>210</v>
      </c>
      <c r="AA33" s="2">
        <v>757</v>
      </c>
      <c r="AB33" s="2">
        <v>123</v>
      </c>
      <c r="AC33" s="2">
        <v>236</v>
      </c>
      <c r="AD33" s="2">
        <v>151</v>
      </c>
      <c r="AE33" s="2">
        <v>96</v>
      </c>
      <c r="AF33" s="2">
        <v>151</v>
      </c>
      <c r="AG33" s="2">
        <v>1015</v>
      </c>
      <c r="AH33" s="2">
        <v>199</v>
      </c>
      <c r="AI33" s="2">
        <v>229</v>
      </c>
      <c r="AJ33" s="2">
        <v>247</v>
      </c>
      <c r="AK33" s="2">
        <v>137</v>
      </c>
      <c r="AL33" s="2">
        <v>203</v>
      </c>
      <c r="AM33" s="2">
        <v>970</v>
      </c>
      <c r="AN33" s="2">
        <v>312</v>
      </c>
      <c r="AO33" s="2">
        <v>111</v>
      </c>
      <c r="AP33" s="2">
        <v>138</v>
      </c>
      <c r="AQ33" s="2">
        <v>214</v>
      </c>
      <c r="AR33" s="2">
        <v>195</v>
      </c>
    </row>
    <row r="34" spans="1:44" x14ac:dyDescent="0.25">
      <c r="A34" s="2">
        <v>2029</v>
      </c>
      <c r="B34" s="2" t="s">
        <v>9</v>
      </c>
      <c r="C34" s="2">
        <v>9</v>
      </c>
      <c r="D34" s="2">
        <v>0</v>
      </c>
      <c r="E34" s="2">
        <v>0</v>
      </c>
      <c r="F34" s="2">
        <v>150</v>
      </c>
      <c r="G34" s="2">
        <v>100</v>
      </c>
      <c r="H34" s="2">
        <v>200</v>
      </c>
      <c r="I34" s="2">
        <v>4883</v>
      </c>
      <c r="J34" s="2">
        <v>2571</v>
      </c>
      <c r="K34" s="2">
        <v>1568</v>
      </c>
      <c r="L34" s="2">
        <v>1568</v>
      </c>
      <c r="M34" s="2">
        <v>770</v>
      </c>
      <c r="N34" s="2">
        <v>977</v>
      </c>
      <c r="O34" s="2">
        <v>551</v>
      </c>
      <c r="P34" s="2">
        <v>127</v>
      </c>
      <c r="Q34" s="2">
        <v>131</v>
      </c>
      <c r="R34" s="2">
        <v>91</v>
      </c>
      <c r="S34" s="2">
        <v>93</v>
      </c>
      <c r="T34" s="2">
        <v>109</v>
      </c>
      <c r="U34" s="2">
        <v>610</v>
      </c>
      <c r="V34" s="2">
        <v>116</v>
      </c>
      <c r="W34" s="2">
        <v>166</v>
      </c>
      <c r="X34" s="2">
        <v>90</v>
      </c>
      <c r="Y34" s="2">
        <v>116</v>
      </c>
      <c r="Z34" s="2">
        <v>122</v>
      </c>
      <c r="AA34" s="2">
        <v>305</v>
      </c>
      <c r="AB34" s="2">
        <v>80</v>
      </c>
      <c r="AC34" s="2">
        <v>60</v>
      </c>
      <c r="AD34" s="2">
        <v>34</v>
      </c>
      <c r="AE34" s="2">
        <v>70</v>
      </c>
      <c r="AF34" s="2">
        <v>61</v>
      </c>
      <c r="AG34" s="2">
        <v>590</v>
      </c>
      <c r="AH34" s="2">
        <v>134</v>
      </c>
      <c r="AI34" s="2">
        <v>126</v>
      </c>
      <c r="AJ34" s="2">
        <v>139</v>
      </c>
      <c r="AK34" s="2">
        <v>74</v>
      </c>
      <c r="AL34" s="2">
        <v>117</v>
      </c>
      <c r="AM34" s="2">
        <v>515</v>
      </c>
      <c r="AN34" s="2">
        <v>79</v>
      </c>
      <c r="AO34" s="2">
        <v>95</v>
      </c>
      <c r="AP34" s="2">
        <v>104</v>
      </c>
      <c r="AQ34" s="2">
        <v>135</v>
      </c>
      <c r="AR34" s="2">
        <v>102</v>
      </c>
    </row>
    <row r="35" spans="1:44" x14ac:dyDescent="0.25">
      <c r="A35" s="2">
        <v>2029</v>
      </c>
      <c r="B35" s="2" t="s">
        <v>10</v>
      </c>
      <c r="C35" s="2">
        <v>10</v>
      </c>
      <c r="D35" s="2">
        <v>0</v>
      </c>
      <c r="E35" s="2">
        <v>0</v>
      </c>
      <c r="F35" s="2">
        <v>150</v>
      </c>
      <c r="G35" s="2">
        <v>100</v>
      </c>
      <c r="H35" s="2">
        <v>200</v>
      </c>
      <c r="I35" s="2">
        <v>2999</v>
      </c>
      <c r="J35" s="2">
        <v>5039</v>
      </c>
      <c r="K35" s="2">
        <v>467</v>
      </c>
      <c r="L35" s="2">
        <v>870</v>
      </c>
      <c r="M35" s="2">
        <v>1063</v>
      </c>
      <c r="N35" s="2">
        <v>599</v>
      </c>
      <c r="O35" s="2">
        <v>1231</v>
      </c>
      <c r="P35" s="2">
        <v>151</v>
      </c>
      <c r="Q35" s="2">
        <v>313</v>
      </c>
      <c r="R35" s="2">
        <v>263</v>
      </c>
      <c r="S35" s="2">
        <v>257</v>
      </c>
      <c r="T35" s="2">
        <v>247</v>
      </c>
      <c r="U35" s="2">
        <v>660</v>
      </c>
      <c r="V35" s="2">
        <v>95</v>
      </c>
      <c r="W35" s="2">
        <v>104</v>
      </c>
      <c r="X35" s="2">
        <v>188</v>
      </c>
      <c r="Y35" s="2">
        <v>141</v>
      </c>
      <c r="Z35" s="2">
        <v>132</v>
      </c>
      <c r="AA35" s="2">
        <v>910</v>
      </c>
      <c r="AB35" s="2">
        <v>199</v>
      </c>
      <c r="AC35" s="2">
        <v>170</v>
      </c>
      <c r="AD35" s="2">
        <v>222</v>
      </c>
      <c r="AE35" s="2">
        <v>137</v>
      </c>
      <c r="AF35" s="2">
        <v>182</v>
      </c>
      <c r="AG35" s="2">
        <v>1231</v>
      </c>
      <c r="AH35" s="2">
        <v>185</v>
      </c>
      <c r="AI35" s="2">
        <v>195</v>
      </c>
      <c r="AJ35" s="2">
        <v>303</v>
      </c>
      <c r="AK35" s="2">
        <v>303</v>
      </c>
      <c r="AL35" s="2">
        <v>245</v>
      </c>
      <c r="AM35" s="2">
        <v>1007</v>
      </c>
      <c r="AN35" s="2">
        <v>199</v>
      </c>
      <c r="AO35" s="2">
        <v>245</v>
      </c>
      <c r="AP35" s="2">
        <v>245</v>
      </c>
      <c r="AQ35" s="2">
        <v>116</v>
      </c>
      <c r="AR35" s="2">
        <v>202</v>
      </c>
    </row>
    <row r="36" spans="1:44" x14ac:dyDescent="0.25">
      <c r="A36" s="2">
        <v>2029</v>
      </c>
      <c r="B36" s="2" t="s">
        <v>11</v>
      </c>
      <c r="C36" s="2">
        <v>11</v>
      </c>
      <c r="D36" s="2">
        <v>0</v>
      </c>
      <c r="E36" s="2">
        <v>0</v>
      </c>
      <c r="F36" s="2">
        <v>150</v>
      </c>
      <c r="G36" s="2">
        <v>100</v>
      </c>
      <c r="H36" s="2">
        <v>200</v>
      </c>
      <c r="I36" s="2">
        <v>4104</v>
      </c>
      <c r="J36" s="2">
        <v>2596</v>
      </c>
      <c r="K36" s="2">
        <v>1377</v>
      </c>
      <c r="L36" s="2">
        <v>1377</v>
      </c>
      <c r="M36" s="2">
        <v>528</v>
      </c>
      <c r="N36" s="2">
        <v>822</v>
      </c>
      <c r="O36" s="2">
        <v>484</v>
      </c>
      <c r="P36" s="2">
        <v>72</v>
      </c>
      <c r="Q36" s="2">
        <v>121</v>
      </c>
      <c r="R36" s="2">
        <v>69</v>
      </c>
      <c r="S36" s="2">
        <v>126</v>
      </c>
      <c r="T36" s="2">
        <v>96</v>
      </c>
      <c r="U36" s="2">
        <v>460</v>
      </c>
      <c r="V36" s="2">
        <v>99</v>
      </c>
      <c r="W36" s="2">
        <v>80</v>
      </c>
      <c r="X36" s="2">
        <v>118</v>
      </c>
      <c r="Y36" s="2">
        <v>71</v>
      </c>
      <c r="Z36" s="2">
        <v>92</v>
      </c>
      <c r="AA36" s="2">
        <v>525</v>
      </c>
      <c r="AB36" s="2">
        <v>103</v>
      </c>
      <c r="AC36" s="2">
        <v>106</v>
      </c>
      <c r="AD36" s="2">
        <v>108</v>
      </c>
      <c r="AE36" s="2">
        <v>103</v>
      </c>
      <c r="AF36" s="2">
        <v>105</v>
      </c>
      <c r="AG36" s="2">
        <v>607</v>
      </c>
      <c r="AH36" s="2">
        <v>124</v>
      </c>
      <c r="AI36" s="2">
        <v>90</v>
      </c>
      <c r="AJ36" s="2">
        <v>84</v>
      </c>
      <c r="AK36" s="2">
        <v>188</v>
      </c>
      <c r="AL36" s="2">
        <v>121</v>
      </c>
      <c r="AM36" s="2">
        <v>520</v>
      </c>
      <c r="AN36" s="2">
        <v>159</v>
      </c>
      <c r="AO36" s="2">
        <v>87</v>
      </c>
      <c r="AP36" s="2">
        <v>64</v>
      </c>
      <c r="AQ36" s="2">
        <v>106</v>
      </c>
      <c r="AR36" s="2">
        <v>104</v>
      </c>
    </row>
    <row r="37" spans="1:44" x14ac:dyDescent="0.25">
      <c r="A37" s="2">
        <v>2029</v>
      </c>
      <c r="B37" s="2" t="s">
        <v>12</v>
      </c>
      <c r="C37" s="2">
        <v>12</v>
      </c>
      <c r="D37" s="2">
        <v>0</v>
      </c>
      <c r="E37" s="2">
        <v>0</v>
      </c>
      <c r="F37" s="2">
        <v>0</v>
      </c>
      <c r="G37" s="2">
        <v>0</v>
      </c>
      <c r="H37" s="2">
        <v>200</v>
      </c>
      <c r="I37" s="2">
        <v>5656</v>
      </c>
      <c r="J37" s="2">
        <v>3439</v>
      </c>
      <c r="K37" s="2">
        <v>1083</v>
      </c>
      <c r="L37" s="2">
        <v>1199</v>
      </c>
      <c r="M37" s="2">
        <v>2243</v>
      </c>
      <c r="N37" s="2">
        <v>1131</v>
      </c>
      <c r="O37" s="2">
        <v>673</v>
      </c>
      <c r="P37" s="2">
        <v>190</v>
      </c>
      <c r="Q37" s="2">
        <v>132</v>
      </c>
      <c r="R37" s="2">
        <v>76</v>
      </c>
      <c r="S37" s="2">
        <v>140</v>
      </c>
      <c r="T37" s="2">
        <v>135</v>
      </c>
      <c r="U37" s="2">
        <v>449</v>
      </c>
      <c r="V37" s="2">
        <v>91</v>
      </c>
      <c r="W37" s="2">
        <v>131</v>
      </c>
      <c r="X37" s="2">
        <v>63</v>
      </c>
      <c r="Y37" s="2">
        <v>74</v>
      </c>
      <c r="Z37" s="2">
        <v>90</v>
      </c>
      <c r="AA37" s="2">
        <v>553</v>
      </c>
      <c r="AB37" s="2">
        <v>71</v>
      </c>
      <c r="AC37" s="2">
        <v>130</v>
      </c>
      <c r="AD37" s="2">
        <v>181</v>
      </c>
      <c r="AE37" s="2">
        <v>61</v>
      </c>
      <c r="AF37" s="2">
        <v>110</v>
      </c>
      <c r="AG37" s="2">
        <v>1077</v>
      </c>
      <c r="AH37" s="2">
        <v>224</v>
      </c>
      <c r="AI37" s="2">
        <v>155</v>
      </c>
      <c r="AJ37" s="2">
        <v>245</v>
      </c>
      <c r="AK37" s="2">
        <v>238</v>
      </c>
      <c r="AL37" s="2">
        <v>215</v>
      </c>
      <c r="AM37" s="2">
        <v>687</v>
      </c>
      <c r="AN37" s="2">
        <v>136</v>
      </c>
      <c r="AO37" s="2">
        <v>177</v>
      </c>
      <c r="AP37" s="2">
        <v>129</v>
      </c>
      <c r="AQ37" s="2">
        <v>107</v>
      </c>
      <c r="AR37" s="2">
        <v>138</v>
      </c>
    </row>
    <row r="38" spans="1:44" x14ac:dyDescent="0.25">
      <c r="A38" s="2">
        <v>2030</v>
      </c>
      <c r="B38" s="2" t="s">
        <v>1</v>
      </c>
      <c r="C38" s="2">
        <v>1</v>
      </c>
      <c r="D38" s="2">
        <v>500</v>
      </c>
      <c r="E38" s="2">
        <v>0</v>
      </c>
      <c r="F38" s="2">
        <v>0</v>
      </c>
      <c r="G38" s="2">
        <v>0</v>
      </c>
      <c r="H38" s="2">
        <v>0</v>
      </c>
      <c r="I38" s="2">
        <v>3339</v>
      </c>
      <c r="J38" s="2">
        <v>5450</v>
      </c>
      <c r="K38" s="2">
        <v>603</v>
      </c>
      <c r="L38" s="2">
        <v>1293</v>
      </c>
      <c r="M38" s="2">
        <v>776</v>
      </c>
      <c r="N38" s="2">
        <v>667</v>
      </c>
      <c r="O38" s="2">
        <v>892</v>
      </c>
      <c r="P38" s="2">
        <v>160</v>
      </c>
      <c r="Q38" s="2">
        <v>167</v>
      </c>
      <c r="R38" s="2">
        <v>160</v>
      </c>
      <c r="S38" s="2">
        <v>228</v>
      </c>
      <c r="T38" s="2">
        <v>177</v>
      </c>
      <c r="U38" s="2">
        <v>1229</v>
      </c>
      <c r="V38" s="2">
        <v>250</v>
      </c>
      <c r="W38" s="2">
        <v>361</v>
      </c>
      <c r="X38" s="2">
        <v>218</v>
      </c>
      <c r="Y38" s="2">
        <v>154</v>
      </c>
      <c r="Z38" s="2">
        <v>246</v>
      </c>
      <c r="AA38" s="2">
        <v>1149</v>
      </c>
      <c r="AB38" s="2">
        <v>264</v>
      </c>
      <c r="AC38" s="2">
        <v>240</v>
      </c>
      <c r="AD38" s="2">
        <v>151</v>
      </c>
      <c r="AE38" s="2">
        <v>264</v>
      </c>
      <c r="AF38" s="2">
        <v>230</v>
      </c>
      <c r="AG38" s="2">
        <v>1090</v>
      </c>
      <c r="AH38" s="2">
        <v>233</v>
      </c>
      <c r="AI38" s="2">
        <v>226</v>
      </c>
      <c r="AJ38" s="2">
        <v>171</v>
      </c>
      <c r="AK38" s="2">
        <v>243</v>
      </c>
      <c r="AL38" s="2">
        <v>217</v>
      </c>
      <c r="AM38" s="2">
        <v>1090</v>
      </c>
      <c r="AN38" s="2">
        <v>126</v>
      </c>
      <c r="AO38" s="2">
        <v>261</v>
      </c>
      <c r="AP38" s="2">
        <v>302</v>
      </c>
      <c r="AQ38" s="2">
        <v>183</v>
      </c>
      <c r="AR38" s="2">
        <v>218</v>
      </c>
    </row>
    <row r="39" spans="1:44" x14ac:dyDescent="0.25">
      <c r="A39" s="2">
        <v>2030</v>
      </c>
      <c r="B39" s="2" t="s">
        <v>2</v>
      </c>
      <c r="C39" s="2">
        <v>2</v>
      </c>
      <c r="D39" s="2">
        <v>500</v>
      </c>
      <c r="E39" s="2">
        <v>0</v>
      </c>
      <c r="F39" s="2">
        <v>0</v>
      </c>
      <c r="G39" s="2">
        <v>0</v>
      </c>
      <c r="H39" s="2">
        <v>0</v>
      </c>
      <c r="I39" s="2">
        <v>3312</v>
      </c>
      <c r="J39" s="2">
        <v>3363</v>
      </c>
      <c r="K39" s="2">
        <v>670</v>
      </c>
      <c r="L39" s="2">
        <v>903</v>
      </c>
      <c r="M39" s="2">
        <v>1077</v>
      </c>
      <c r="N39" s="2">
        <v>662</v>
      </c>
      <c r="O39" s="2">
        <v>794</v>
      </c>
      <c r="P39" s="2">
        <v>94</v>
      </c>
      <c r="Q39" s="2">
        <v>194</v>
      </c>
      <c r="R39" s="2">
        <v>163</v>
      </c>
      <c r="S39" s="2">
        <v>184</v>
      </c>
      <c r="T39" s="2">
        <v>159</v>
      </c>
      <c r="U39" s="2">
        <v>794</v>
      </c>
      <c r="V39" s="2">
        <v>200</v>
      </c>
      <c r="W39" s="2">
        <v>158</v>
      </c>
      <c r="X39" s="2">
        <v>161</v>
      </c>
      <c r="Y39" s="2">
        <v>116</v>
      </c>
      <c r="Z39" s="2">
        <v>159</v>
      </c>
      <c r="AA39" s="2">
        <v>761</v>
      </c>
      <c r="AB39" s="2">
        <v>156</v>
      </c>
      <c r="AC39" s="2">
        <v>156</v>
      </c>
      <c r="AD39" s="2">
        <v>145</v>
      </c>
      <c r="AE39" s="2">
        <v>152</v>
      </c>
      <c r="AF39" s="2">
        <v>152</v>
      </c>
      <c r="AG39" s="2">
        <v>342</v>
      </c>
      <c r="AH39" s="2">
        <v>65</v>
      </c>
      <c r="AI39" s="2">
        <v>57</v>
      </c>
      <c r="AJ39" s="2">
        <v>68</v>
      </c>
      <c r="AK39" s="2">
        <v>83</v>
      </c>
      <c r="AL39" s="2">
        <v>69</v>
      </c>
      <c r="AM39" s="2">
        <v>672</v>
      </c>
      <c r="AN39" s="2">
        <v>143</v>
      </c>
      <c r="AO39" s="2">
        <v>102</v>
      </c>
      <c r="AP39" s="2">
        <v>119</v>
      </c>
      <c r="AQ39" s="2">
        <v>173</v>
      </c>
      <c r="AR39" s="2">
        <v>135</v>
      </c>
    </row>
    <row r="40" spans="1:44" x14ac:dyDescent="0.25">
      <c r="A40" s="2">
        <v>2030</v>
      </c>
      <c r="B40" s="2" t="s">
        <v>3</v>
      </c>
      <c r="C40" s="2">
        <v>3</v>
      </c>
      <c r="D40" s="2">
        <v>500</v>
      </c>
      <c r="E40" s="2">
        <v>700</v>
      </c>
      <c r="F40" s="2">
        <v>0</v>
      </c>
      <c r="G40" s="2">
        <v>0</v>
      </c>
      <c r="H40" s="2">
        <v>0</v>
      </c>
      <c r="I40" s="2">
        <v>3806</v>
      </c>
      <c r="J40" s="2">
        <v>3029</v>
      </c>
      <c r="K40" s="2">
        <v>1182</v>
      </c>
      <c r="L40" s="2">
        <v>1093</v>
      </c>
      <c r="M40" s="2">
        <v>770</v>
      </c>
      <c r="N40" s="2">
        <v>761</v>
      </c>
      <c r="O40" s="2">
        <v>699</v>
      </c>
      <c r="P40" s="2">
        <v>146</v>
      </c>
      <c r="Q40" s="2">
        <v>180</v>
      </c>
      <c r="R40" s="2">
        <v>81</v>
      </c>
      <c r="S40" s="2">
        <v>152</v>
      </c>
      <c r="T40" s="2">
        <v>140</v>
      </c>
      <c r="U40" s="2">
        <v>438</v>
      </c>
      <c r="V40" s="2">
        <v>108</v>
      </c>
      <c r="W40" s="2">
        <v>100</v>
      </c>
      <c r="X40" s="2">
        <v>90</v>
      </c>
      <c r="Y40" s="2">
        <v>52</v>
      </c>
      <c r="Z40" s="2">
        <v>88</v>
      </c>
      <c r="AA40" s="2">
        <v>699</v>
      </c>
      <c r="AB40" s="2">
        <v>142</v>
      </c>
      <c r="AC40" s="2">
        <v>106</v>
      </c>
      <c r="AD40" s="2">
        <v>209</v>
      </c>
      <c r="AE40" s="2">
        <v>102</v>
      </c>
      <c r="AF40" s="2">
        <v>140</v>
      </c>
      <c r="AG40" s="2">
        <v>587</v>
      </c>
      <c r="AH40" s="2">
        <v>146</v>
      </c>
      <c r="AI40" s="2">
        <v>70</v>
      </c>
      <c r="AJ40" s="2">
        <v>78</v>
      </c>
      <c r="AK40" s="2">
        <v>175</v>
      </c>
      <c r="AL40" s="2">
        <v>118</v>
      </c>
      <c r="AM40" s="2">
        <v>606</v>
      </c>
      <c r="AN40" s="2">
        <v>86</v>
      </c>
      <c r="AO40" s="2">
        <v>121</v>
      </c>
      <c r="AP40" s="2">
        <v>154</v>
      </c>
      <c r="AQ40" s="2">
        <v>124</v>
      </c>
      <c r="AR40" s="2">
        <v>121</v>
      </c>
    </row>
    <row r="41" spans="1:44" x14ac:dyDescent="0.25">
      <c r="A41" s="2">
        <v>2030</v>
      </c>
      <c r="B41" s="2" t="s">
        <v>4</v>
      </c>
      <c r="C41" s="2">
        <v>4</v>
      </c>
      <c r="D41" s="2">
        <v>500</v>
      </c>
      <c r="E41" s="2">
        <v>700</v>
      </c>
      <c r="F41" s="2">
        <v>0</v>
      </c>
      <c r="G41" s="2">
        <v>0</v>
      </c>
      <c r="H41" s="2">
        <v>0</v>
      </c>
      <c r="I41" s="2">
        <v>3393</v>
      </c>
      <c r="J41" s="2">
        <v>5954</v>
      </c>
      <c r="K41" s="2">
        <v>664</v>
      </c>
      <c r="L41" s="2">
        <v>1082</v>
      </c>
      <c r="M41" s="2">
        <v>968</v>
      </c>
      <c r="N41" s="2">
        <v>679</v>
      </c>
      <c r="O41" s="2">
        <v>1963</v>
      </c>
      <c r="P41" s="2">
        <v>266</v>
      </c>
      <c r="Q41" s="2">
        <v>588</v>
      </c>
      <c r="R41" s="2">
        <v>395</v>
      </c>
      <c r="S41" s="2">
        <v>322</v>
      </c>
      <c r="T41" s="2">
        <v>392</v>
      </c>
      <c r="U41" s="2">
        <v>866</v>
      </c>
      <c r="V41" s="2">
        <v>192</v>
      </c>
      <c r="W41" s="2">
        <v>161</v>
      </c>
      <c r="X41" s="2">
        <v>96</v>
      </c>
      <c r="Y41" s="2">
        <v>244</v>
      </c>
      <c r="Z41" s="2">
        <v>173</v>
      </c>
      <c r="AA41" s="2">
        <v>1068</v>
      </c>
      <c r="AB41" s="2">
        <v>205</v>
      </c>
      <c r="AC41" s="2">
        <v>201</v>
      </c>
      <c r="AD41" s="2">
        <v>250</v>
      </c>
      <c r="AE41" s="2">
        <v>198</v>
      </c>
      <c r="AF41" s="2">
        <v>214</v>
      </c>
      <c r="AG41" s="2">
        <v>866</v>
      </c>
      <c r="AH41" s="2">
        <v>267</v>
      </c>
      <c r="AI41" s="2">
        <v>122</v>
      </c>
      <c r="AJ41" s="2">
        <v>131</v>
      </c>
      <c r="AK41" s="2">
        <v>172</v>
      </c>
      <c r="AL41" s="2">
        <v>174</v>
      </c>
      <c r="AM41" s="2">
        <v>1191</v>
      </c>
      <c r="AN41" s="2">
        <v>209</v>
      </c>
      <c r="AO41" s="2">
        <v>299</v>
      </c>
      <c r="AP41" s="2">
        <v>231</v>
      </c>
      <c r="AQ41" s="2">
        <v>214</v>
      </c>
      <c r="AR41" s="2">
        <v>238</v>
      </c>
    </row>
    <row r="42" spans="1:44" x14ac:dyDescent="0.25">
      <c r="A42" s="2">
        <v>2030</v>
      </c>
      <c r="B42" s="2" t="s">
        <v>5</v>
      </c>
      <c r="C42" s="2">
        <v>5</v>
      </c>
      <c r="D42" s="2">
        <v>500</v>
      </c>
      <c r="E42" s="2">
        <v>700</v>
      </c>
      <c r="F42" s="2">
        <v>0</v>
      </c>
      <c r="G42" s="2">
        <v>0</v>
      </c>
      <c r="H42" s="2">
        <v>0</v>
      </c>
      <c r="I42" s="2">
        <v>4426</v>
      </c>
      <c r="J42" s="2">
        <v>4149</v>
      </c>
      <c r="K42" s="2">
        <v>989</v>
      </c>
      <c r="L42" s="2">
        <v>1276</v>
      </c>
      <c r="M42" s="2">
        <v>1276</v>
      </c>
      <c r="N42" s="2">
        <v>885</v>
      </c>
      <c r="O42" s="2">
        <v>1165</v>
      </c>
      <c r="P42" s="2">
        <v>351</v>
      </c>
      <c r="Q42" s="2">
        <v>173</v>
      </c>
      <c r="R42" s="2">
        <v>281</v>
      </c>
      <c r="S42" s="2">
        <v>126</v>
      </c>
      <c r="T42" s="2">
        <v>234</v>
      </c>
      <c r="U42" s="2">
        <v>559</v>
      </c>
      <c r="V42" s="2">
        <v>118</v>
      </c>
      <c r="W42" s="2">
        <v>113</v>
      </c>
      <c r="X42" s="2">
        <v>75</v>
      </c>
      <c r="Y42" s="2">
        <v>141</v>
      </c>
      <c r="Z42" s="2">
        <v>112</v>
      </c>
      <c r="AA42" s="2">
        <v>543</v>
      </c>
      <c r="AB42" s="2">
        <v>115</v>
      </c>
      <c r="AC42" s="2">
        <v>89</v>
      </c>
      <c r="AD42" s="2">
        <v>125</v>
      </c>
      <c r="AE42" s="2">
        <v>105</v>
      </c>
      <c r="AF42" s="2">
        <v>109</v>
      </c>
      <c r="AG42" s="2">
        <v>1053</v>
      </c>
      <c r="AH42" s="2">
        <v>233</v>
      </c>
      <c r="AI42" s="2">
        <v>178</v>
      </c>
      <c r="AJ42" s="2">
        <v>190</v>
      </c>
      <c r="AK42" s="2">
        <v>241</v>
      </c>
      <c r="AL42" s="2">
        <v>211</v>
      </c>
      <c r="AM42" s="2">
        <v>829</v>
      </c>
      <c r="AN42" s="2">
        <v>206</v>
      </c>
      <c r="AO42" s="2">
        <v>130</v>
      </c>
      <c r="AP42" s="2">
        <v>125</v>
      </c>
      <c r="AQ42" s="2">
        <v>203</v>
      </c>
      <c r="AR42" s="2">
        <v>165</v>
      </c>
    </row>
    <row r="43" spans="1:44" x14ac:dyDescent="0.25">
      <c r="A43" s="2">
        <v>2030</v>
      </c>
      <c r="B43" s="2" t="s">
        <v>6</v>
      </c>
      <c r="C43" s="2">
        <v>6</v>
      </c>
      <c r="D43" s="2">
        <v>0</v>
      </c>
      <c r="E43" s="2">
        <v>700</v>
      </c>
      <c r="F43" s="2">
        <v>800</v>
      </c>
      <c r="G43" s="2">
        <v>0</v>
      </c>
      <c r="H43" s="2">
        <v>0</v>
      </c>
      <c r="I43" s="2">
        <v>5059</v>
      </c>
      <c r="J43" s="2">
        <v>3756</v>
      </c>
      <c r="K43" s="2">
        <v>1504</v>
      </c>
      <c r="L43" s="2">
        <v>1349</v>
      </c>
      <c r="M43" s="2">
        <v>1194</v>
      </c>
      <c r="N43" s="2">
        <v>1012</v>
      </c>
      <c r="O43" s="2">
        <v>644</v>
      </c>
      <c r="P43" s="2">
        <v>94</v>
      </c>
      <c r="Q43" s="2">
        <v>74</v>
      </c>
      <c r="R43" s="2">
        <v>182</v>
      </c>
      <c r="S43" s="2">
        <v>165</v>
      </c>
      <c r="T43" s="2">
        <v>129</v>
      </c>
      <c r="U43" s="2">
        <v>715</v>
      </c>
      <c r="V43" s="2">
        <v>129</v>
      </c>
      <c r="W43" s="2">
        <v>154</v>
      </c>
      <c r="X43" s="2">
        <v>170</v>
      </c>
      <c r="Y43" s="2">
        <v>119</v>
      </c>
      <c r="Z43" s="2">
        <v>143</v>
      </c>
      <c r="AA43" s="2">
        <v>787</v>
      </c>
      <c r="AB43" s="2">
        <v>141</v>
      </c>
      <c r="AC43" s="2">
        <v>180</v>
      </c>
      <c r="AD43" s="2">
        <v>193</v>
      </c>
      <c r="AE43" s="2">
        <v>115</v>
      </c>
      <c r="AF43" s="2">
        <v>158</v>
      </c>
      <c r="AG43" s="2">
        <v>859</v>
      </c>
      <c r="AH43" s="2">
        <v>170</v>
      </c>
      <c r="AI43" s="2">
        <v>196</v>
      </c>
      <c r="AJ43" s="2">
        <v>205</v>
      </c>
      <c r="AK43" s="2">
        <v>115</v>
      </c>
      <c r="AL43" s="2">
        <v>173</v>
      </c>
      <c r="AM43" s="2">
        <v>751</v>
      </c>
      <c r="AN43" s="2">
        <v>146</v>
      </c>
      <c r="AO43" s="2">
        <v>167</v>
      </c>
      <c r="AP43" s="2">
        <v>121</v>
      </c>
      <c r="AQ43" s="2">
        <v>167</v>
      </c>
      <c r="AR43" s="2">
        <v>150</v>
      </c>
    </row>
    <row r="44" spans="1:44" x14ac:dyDescent="0.25">
      <c r="A44" s="2">
        <v>2030</v>
      </c>
      <c r="B44" s="2" t="s">
        <v>7</v>
      </c>
      <c r="C44" s="2">
        <v>7</v>
      </c>
      <c r="D44" s="2">
        <v>0</v>
      </c>
      <c r="E44" s="2">
        <v>700</v>
      </c>
      <c r="F44" s="2">
        <v>800</v>
      </c>
      <c r="G44" s="2">
        <v>700</v>
      </c>
      <c r="H44" s="2">
        <v>0</v>
      </c>
      <c r="I44" s="2">
        <v>4008</v>
      </c>
      <c r="J44" s="2">
        <v>4790</v>
      </c>
      <c r="K44" s="2">
        <v>862</v>
      </c>
      <c r="L44" s="2">
        <v>862</v>
      </c>
      <c r="M44" s="2">
        <v>1482</v>
      </c>
      <c r="N44" s="2">
        <v>802</v>
      </c>
      <c r="O44" s="2">
        <v>465</v>
      </c>
      <c r="P44" s="2">
        <v>133</v>
      </c>
      <c r="Q44" s="2">
        <v>84</v>
      </c>
      <c r="R44" s="2">
        <v>104</v>
      </c>
      <c r="S44" s="2">
        <v>51</v>
      </c>
      <c r="T44" s="2">
        <v>93</v>
      </c>
      <c r="U44" s="2">
        <v>1079</v>
      </c>
      <c r="V44" s="2">
        <v>236</v>
      </c>
      <c r="W44" s="2">
        <v>126</v>
      </c>
      <c r="X44" s="2">
        <v>296</v>
      </c>
      <c r="Y44" s="2">
        <v>205</v>
      </c>
      <c r="Z44" s="2">
        <v>216</v>
      </c>
      <c r="AA44" s="2">
        <v>986</v>
      </c>
      <c r="AB44" s="2">
        <v>240</v>
      </c>
      <c r="AC44" s="2">
        <v>199</v>
      </c>
      <c r="AD44" s="2">
        <v>145</v>
      </c>
      <c r="AE44" s="2">
        <v>204</v>
      </c>
      <c r="AF44" s="2">
        <v>198</v>
      </c>
      <c r="AG44" s="2">
        <v>1302</v>
      </c>
      <c r="AH44" s="2">
        <v>237</v>
      </c>
      <c r="AI44" s="2">
        <v>151</v>
      </c>
      <c r="AJ44" s="2">
        <v>329</v>
      </c>
      <c r="AK44" s="2">
        <v>324</v>
      </c>
      <c r="AL44" s="2">
        <v>261</v>
      </c>
      <c r="AM44" s="2">
        <v>958</v>
      </c>
      <c r="AN44" s="2">
        <v>208</v>
      </c>
      <c r="AO44" s="2">
        <v>217</v>
      </c>
      <c r="AP44" s="2">
        <v>185</v>
      </c>
      <c r="AQ44" s="2">
        <v>156</v>
      </c>
      <c r="AR44" s="2">
        <v>192</v>
      </c>
    </row>
    <row r="45" spans="1:44" x14ac:dyDescent="0.25">
      <c r="A45" s="2">
        <v>2030</v>
      </c>
      <c r="B45" s="2" t="s">
        <v>8</v>
      </c>
      <c r="C45" s="2">
        <v>8</v>
      </c>
      <c r="D45" s="2">
        <v>0</v>
      </c>
      <c r="E45" s="2">
        <v>0</v>
      </c>
      <c r="F45" s="2">
        <v>800</v>
      </c>
      <c r="G45" s="2">
        <v>700</v>
      </c>
      <c r="H45" s="2">
        <v>0</v>
      </c>
      <c r="I45" s="2">
        <v>5801</v>
      </c>
      <c r="J45" s="2">
        <v>3148</v>
      </c>
      <c r="K45" s="2">
        <v>2004</v>
      </c>
      <c r="L45" s="2">
        <v>1266</v>
      </c>
      <c r="M45" s="2">
        <v>1371</v>
      </c>
      <c r="N45" s="2">
        <v>1160</v>
      </c>
      <c r="O45" s="2">
        <v>645</v>
      </c>
      <c r="P45" s="2">
        <v>91</v>
      </c>
      <c r="Q45" s="2">
        <v>91</v>
      </c>
      <c r="R45" s="2">
        <v>203</v>
      </c>
      <c r="S45" s="2">
        <v>131</v>
      </c>
      <c r="T45" s="2">
        <v>129</v>
      </c>
      <c r="U45" s="2">
        <v>868</v>
      </c>
      <c r="V45" s="2">
        <v>159</v>
      </c>
      <c r="W45" s="2">
        <v>101</v>
      </c>
      <c r="X45" s="2">
        <v>225</v>
      </c>
      <c r="Y45" s="2">
        <v>209</v>
      </c>
      <c r="Z45" s="2">
        <v>174</v>
      </c>
      <c r="AA45" s="2">
        <v>422</v>
      </c>
      <c r="AB45" s="2">
        <v>127</v>
      </c>
      <c r="AC45" s="2">
        <v>79</v>
      </c>
      <c r="AD45" s="2">
        <v>51</v>
      </c>
      <c r="AE45" s="2">
        <v>81</v>
      </c>
      <c r="AF45" s="2">
        <v>84</v>
      </c>
      <c r="AG45" s="2">
        <v>583</v>
      </c>
      <c r="AH45" s="2">
        <v>122</v>
      </c>
      <c r="AI45" s="2">
        <v>126</v>
      </c>
      <c r="AJ45" s="2">
        <v>102</v>
      </c>
      <c r="AK45" s="2">
        <v>117</v>
      </c>
      <c r="AL45" s="2">
        <v>116</v>
      </c>
      <c r="AM45" s="2">
        <v>630</v>
      </c>
      <c r="AN45" s="2">
        <v>108</v>
      </c>
      <c r="AO45" s="2">
        <v>144</v>
      </c>
      <c r="AP45" s="2">
        <v>83</v>
      </c>
      <c r="AQ45" s="2">
        <v>169</v>
      </c>
      <c r="AR45" s="2">
        <v>126</v>
      </c>
    </row>
    <row r="46" spans="1:44" x14ac:dyDescent="0.25">
      <c r="A46" s="2">
        <v>2030</v>
      </c>
      <c r="B46" s="2" t="s">
        <v>9</v>
      </c>
      <c r="C46" s="2">
        <v>9</v>
      </c>
      <c r="D46" s="2">
        <v>0</v>
      </c>
      <c r="E46" s="2">
        <v>0</v>
      </c>
      <c r="F46" s="2">
        <v>0</v>
      </c>
      <c r="G46" s="2">
        <v>700</v>
      </c>
      <c r="H46" s="2">
        <v>500</v>
      </c>
      <c r="I46" s="2">
        <v>6078</v>
      </c>
      <c r="J46" s="2">
        <v>5132</v>
      </c>
      <c r="K46" s="2">
        <v>1254</v>
      </c>
      <c r="L46" s="2">
        <v>1715</v>
      </c>
      <c r="M46" s="2">
        <v>1894</v>
      </c>
      <c r="N46" s="2">
        <v>1215</v>
      </c>
      <c r="O46" s="2">
        <v>1485</v>
      </c>
      <c r="P46" s="2">
        <v>263</v>
      </c>
      <c r="Q46" s="2">
        <v>400</v>
      </c>
      <c r="R46" s="2">
        <v>185</v>
      </c>
      <c r="S46" s="2">
        <v>340</v>
      </c>
      <c r="T46" s="2">
        <v>297</v>
      </c>
      <c r="U46" s="2">
        <v>721</v>
      </c>
      <c r="V46" s="2">
        <v>118</v>
      </c>
      <c r="W46" s="2">
        <v>92</v>
      </c>
      <c r="X46" s="2">
        <v>195</v>
      </c>
      <c r="Y46" s="2">
        <v>172</v>
      </c>
      <c r="Z46" s="2">
        <v>144</v>
      </c>
      <c r="AA46" s="2">
        <v>808</v>
      </c>
      <c r="AB46" s="2">
        <v>161</v>
      </c>
      <c r="AC46" s="2">
        <v>141</v>
      </c>
      <c r="AD46" s="2">
        <v>198</v>
      </c>
      <c r="AE46" s="2">
        <v>147</v>
      </c>
      <c r="AF46" s="2">
        <v>161</v>
      </c>
      <c r="AG46" s="2">
        <v>1092</v>
      </c>
      <c r="AH46" s="2">
        <v>200</v>
      </c>
      <c r="AI46" s="2">
        <v>274</v>
      </c>
      <c r="AJ46" s="2">
        <v>143</v>
      </c>
      <c r="AK46" s="2">
        <v>257</v>
      </c>
      <c r="AL46" s="2">
        <v>218</v>
      </c>
      <c r="AM46" s="2">
        <v>1026</v>
      </c>
      <c r="AN46" s="2">
        <v>270</v>
      </c>
      <c r="AO46" s="2">
        <v>202</v>
      </c>
      <c r="AP46" s="2">
        <v>140</v>
      </c>
      <c r="AQ46" s="2">
        <v>209</v>
      </c>
      <c r="AR46" s="2">
        <v>205</v>
      </c>
    </row>
    <row r="47" spans="1:44" x14ac:dyDescent="0.25">
      <c r="A47" s="2">
        <v>2030</v>
      </c>
      <c r="B47" s="2" t="s">
        <v>10</v>
      </c>
      <c r="C47" s="2">
        <v>10</v>
      </c>
      <c r="D47" s="2">
        <v>0</v>
      </c>
      <c r="E47" s="2">
        <v>0</v>
      </c>
      <c r="F47" s="2">
        <v>0</v>
      </c>
      <c r="G47" s="2">
        <v>0</v>
      </c>
      <c r="H47" s="2">
        <v>500</v>
      </c>
      <c r="I47" s="2">
        <v>5196</v>
      </c>
      <c r="J47" s="2">
        <v>3130</v>
      </c>
      <c r="K47" s="2">
        <v>1898</v>
      </c>
      <c r="L47" s="2">
        <v>1130</v>
      </c>
      <c r="M47" s="2">
        <v>1130</v>
      </c>
      <c r="N47" s="2">
        <v>1038</v>
      </c>
      <c r="O47" s="2">
        <v>690</v>
      </c>
      <c r="P47" s="2">
        <v>121</v>
      </c>
      <c r="Q47" s="2">
        <v>170</v>
      </c>
      <c r="R47" s="2">
        <v>155</v>
      </c>
      <c r="S47" s="2">
        <v>106</v>
      </c>
      <c r="T47" s="2">
        <v>138</v>
      </c>
      <c r="U47" s="2">
        <v>750</v>
      </c>
      <c r="V47" s="2">
        <v>200</v>
      </c>
      <c r="W47" s="2">
        <v>112</v>
      </c>
      <c r="X47" s="2">
        <v>115</v>
      </c>
      <c r="Y47" s="2">
        <v>173</v>
      </c>
      <c r="Z47" s="2">
        <v>150</v>
      </c>
      <c r="AA47" s="2">
        <v>555</v>
      </c>
      <c r="AB47" s="2">
        <v>72</v>
      </c>
      <c r="AC47" s="2">
        <v>77</v>
      </c>
      <c r="AD47" s="2">
        <v>107</v>
      </c>
      <c r="AE47" s="2">
        <v>187</v>
      </c>
      <c r="AF47" s="2">
        <v>112</v>
      </c>
      <c r="AG47" s="2">
        <v>510</v>
      </c>
      <c r="AH47" s="2">
        <v>147</v>
      </c>
      <c r="AI47" s="2">
        <v>56</v>
      </c>
      <c r="AJ47" s="2">
        <v>145</v>
      </c>
      <c r="AK47" s="2">
        <v>60</v>
      </c>
      <c r="AL47" s="2">
        <v>102</v>
      </c>
      <c r="AM47" s="2">
        <v>625</v>
      </c>
      <c r="AN47" s="2">
        <v>81</v>
      </c>
      <c r="AO47" s="2">
        <v>124</v>
      </c>
      <c r="AP47" s="2">
        <v>165</v>
      </c>
      <c r="AQ47" s="2">
        <v>129</v>
      </c>
      <c r="AR47" s="2">
        <v>126</v>
      </c>
    </row>
    <row r="48" spans="1:44" x14ac:dyDescent="0.25">
      <c r="A48" s="2">
        <v>2030</v>
      </c>
      <c r="B48" s="2" t="s">
        <v>11</v>
      </c>
      <c r="C48" s="2">
        <v>11</v>
      </c>
      <c r="D48" s="2">
        <v>0</v>
      </c>
      <c r="E48" s="2">
        <v>0</v>
      </c>
      <c r="F48" s="2">
        <v>0</v>
      </c>
      <c r="G48" s="2">
        <v>0</v>
      </c>
      <c r="H48" s="2">
        <v>500</v>
      </c>
      <c r="I48" s="2">
        <v>4809</v>
      </c>
      <c r="J48" s="2">
        <v>5200</v>
      </c>
      <c r="K48" s="2">
        <v>1115</v>
      </c>
      <c r="L48" s="2">
        <v>1726</v>
      </c>
      <c r="M48" s="2">
        <v>1007</v>
      </c>
      <c r="N48" s="2">
        <v>961</v>
      </c>
      <c r="O48" s="2">
        <v>1003</v>
      </c>
      <c r="P48" s="2">
        <v>219</v>
      </c>
      <c r="Q48" s="2">
        <v>331</v>
      </c>
      <c r="R48" s="2">
        <v>131</v>
      </c>
      <c r="S48" s="2">
        <v>121</v>
      </c>
      <c r="T48" s="2">
        <v>201</v>
      </c>
      <c r="U48" s="2">
        <v>974</v>
      </c>
      <c r="V48" s="2">
        <v>189</v>
      </c>
      <c r="W48" s="2">
        <v>189</v>
      </c>
      <c r="X48" s="2">
        <v>233</v>
      </c>
      <c r="Y48" s="2">
        <v>169</v>
      </c>
      <c r="Z48" s="2">
        <v>194</v>
      </c>
      <c r="AA48" s="2">
        <v>1446</v>
      </c>
      <c r="AB48" s="2">
        <v>139</v>
      </c>
      <c r="AC48" s="2">
        <v>355</v>
      </c>
      <c r="AD48" s="2">
        <v>350</v>
      </c>
      <c r="AE48" s="2">
        <v>314</v>
      </c>
      <c r="AF48" s="2">
        <v>288</v>
      </c>
      <c r="AG48" s="2">
        <v>738</v>
      </c>
      <c r="AH48" s="2">
        <v>111</v>
      </c>
      <c r="AI48" s="2">
        <v>170</v>
      </c>
      <c r="AJ48" s="2">
        <v>141</v>
      </c>
      <c r="AK48" s="2">
        <v>168</v>
      </c>
      <c r="AL48" s="2">
        <v>148</v>
      </c>
      <c r="AM48" s="2">
        <v>1039</v>
      </c>
      <c r="AN48" s="2">
        <v>295</v>
      </c>
      <c r="AO48" s="2">
        <v>139</v>
      </c>
      <c r="AP48" s="2">
        <v>236</v>
      </c>
      <c r="AQ48" s="2">
        <v>160</v>
      </c>
      <c r="AR48" s="2">
        <v>209</v>
      </c>
    </row>
    <row r="49" spans="1:44" x14ac:dyDescent="0.25">
      <c r="A49" s="2">
        <v>2030</v>
      </c>
      <c r="B49" s="2" t="s">
        <v>12</v>
      </c>
      <c r="C49" s="2">
        <v>12</v>
      </c>
      <c r="D49" s="2">
        <v>0</v>
      </c>
      <c r="E49" s="2">
        <v>0</v>
      </c>
      <c r="F49" s="2">
        <v>0</v>
      </c>
      <c r="G49" s="2">
        <v>0</v>
      </c>
      <c r="H49" s="2">
        <v>500</v>
      </c>
      <c r="I49" s="2">
        <v>4333</v>
      </c>
      <c r="J49" s="2">
        <v>5536</v>
      </c>
      <c r="K49" s="2">
        <v>969</v>
      </c>
      <c r="L49" s="2">
        <v>1616</v>
      </c>
      <c r="M49" s="2">
        <v>881</v>
      </c>
      <c r="N49" s="2">
        <v>867</v>
      </c>
      <c r="O49" s="2">
        <v>970</v>
      </c>
      <c r="P49" s="2">
        <v>211</v>
      </c>
      <c r="Q49" s="2">
        <v>154</v>
      </c>
      <c r="R49" s="2">
        <v>246</v>
      </c>
      <c r="S49" s="2">
        <v>165</v>
      </c>
      <c r="T49" s="2">
        <v>194</v>
      </c>
      <c r="U49" s="2">
        <v>647</v>
      </c>
      <c r="V49" s="2">
        <v>182</v>
      </c>
      <c r="W49" s="2">
        <v>105</v>
      </c>
      <c r="X49" s="2">
        <v>121</v>
      </c>
      <c r="Y49" s="2">
        <v>109</v>
      </c>
      <c r="Z49" s="2">
        <v>130</v>
      </c>
      <c r="AA49" s="2">
        <v>1866</v>
      </c>
      <c r="AB49" s="2">
        <v>452</v>
      </c>
      <c r="AC49" s="2">
        <v>433</v>
      </c>
      <c r="AD49" s="2">
        <v>257</v>
      </c>
      <c r="AE49" s="2">
        <v>351</v>
      </c>
      <c r="AF49" s="2">
        <v>373</v>
      </c>
      <c r="AG49" s="2">
        <v>945</v>
      </c>
      <c r="AH49" s="2">
        <v>166</v>
      </c>
      <c r="AI49" s="2">
        <v>252</v>
      </c>
      <c r="AJ49" s="2">
        <v>97</v>
      </c>
      <c r="AK49" s="2">
        <v>241</v>
      </c>
      <c r="AL49" s="2">
        <v>189</v>
      </c>
      <c r="AM49" s="2">
        <v>1108</v>
      </c>
      <c r="AN49" s="2">
        <v>185</v>
      </c>
      <c r="AO49" s="2">
        <v>200</v>
      </c>
      <c r="AP49" s="2">
        <v>239</v>
      </c>
      <c r="AQ49" s="2">
        <v>262</v>
      </c>
      <c r="AR49" s="2">
        <v>222</v>
      </c>
    </row>
  </sheetData>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4AA619-FBCF-49F6-807E-38C8104CCD6D}">
  <dimension ref="A1:AD289"/>
  <sheetViews>
    <sheetView zoomScaleNormal="100" workbookViewId="0"/>
  </sheetViews>
  <sheetFormatPr defaultRowHeight="15" x14ac:dyDescent="0.25"/>
  <cols>
    <col min="1" max="2" width="6.42578125" style="2" customWidth="1"/>
    <col min="3" max="3" width="6.42578125" customWidth="1"/>
    <col min="4" max="10" width="6" style="2" customWidth="1"/>
    <col min="11" max="11" width="6" style="76" customWidth="1"/>
    <col min="12" max="16" width="6" style="2" customWidth="1"/>
    <col min="17" max="17" width="6" style="76" customWidth="1"/>
    <col min="18" max="18" width="3.28515625" customWidth="1"/>
    <col min="19" max="19" width="6" customWidth="1"/>
    <col min="20" max="20" width="4.5703125" customWidth="1"/>
  </cols>
  <sheetData>
    <row r="1" spans="1:30" ht="15" customHeight="1" x14ac:dyDescent="0.55000000000000004">
      <c r="A1" s="20" t="s">
        <v>49</v>
      </c>
      <c r="B1" s="20" t="s">
        <v>0</v>
      </c>
      <c r="C1" s="20" t="s">
        <v>136</v>
      </c>
      <c r="D1" s="75">
        <v>1</v>
      </c>
      <c r="E1" s="21">
        <v>2</v>
      </c>
      <c r="F1" s="21">
        <v>3</v>
      </c>
      <c r="G1" s="21">
        <v>4</v>
      </c>
      <c r="H1" s="21">
        <v>5</v>
      </c>
      <c r="I1" s="21">
        <v>6</v>
      </c>
      <c r="J1" s="75">
        <v>7</v>
      </c>
      <c r="K1" s="75">
        <v>1</v>
      </c>
      <c r="L1" s="21">
        <v>2</v>
      </c>
      <c r="M1" s="21">
        <v>3</v>
      </c>
      <c r="N1" s="21">
        <v>4</v>
      </c>
      <c r="O1" s="21">
        <v>5</v>
      </c>
      <c r="P1" s="21">
        <v>6</v>
      </c>
      <c r="Q1" s="75">
        <v>7</v>
      </c>
      <c r="S1" s="72">
        <v>1</v>
      </c>
      <c r="T1" s="2"/>
      <c r="U1" s="5" t="s">
        <v>137</v>
      </c>
      <c r="W1" s="82"/>
      <c r="X1" s="82"/>
      <c r="Y1" s="82"/>
      <c r="Z1" s="82"/>
      <c r="AA1" s="82"/>
      <c r="AB1" s="82"/>
      <c r="AC1" s="82"/>
      <c r="AD1" s="82"/>
    </row>
    <row r="2" spans="1:30" ht="15" customHeight="1" x14ac:dyDescent="0.55000000000000004">
      <c r="A2" s="2">
        <v>2027</v>
      </c>
      <c r="B2" s="2">
        <v>1</v>
      </c>
      <c r="C2" s="2">
        <v>1</v>
      </c>
      <c r="D2" s="2">
        <v>1</v>
      </c>
      <c r="E2" s="2">
        <v>1</v>
      </c>
      <c r="F2" s="2">
        <v>3</v>
      </c>
      <c r="G2" s="2">
        <v>1</v>
      </c>
      <c r="H2" s="2">
        <v>1</v>
      </c>
      <c r="I2" s="2">
        <v>2</v>
      </c>
      <c r="J2" s="2">
        <v>2</v>
      </c>
      <c r="K2" s="77" t="str">
        <f>IF(D2&lt;&gt;1,"ERROR!!!","")</f>
        <v/>
      </c>
      <c r="L2" s="77" t="str">
        <f t="shared" ref="L2:O2" si="0">IF(E2&lt;&gt;1,"ERROR!!!","")</f>
        <v/>
      </c>
      <c r="M2" s="78" t="str">
        <f t="shared" si="0"/>
        <v>ERROR!!!</v>
      </c>
      <c r="N2" s="77" t="str">
        <f t="shared" si="0"/>
        <v/>
      </c>
      <c r="O2" s="77" t="str">
        <f t="shared" si="0"/>
        <v/>
      </c>
      <c r="P2" s="2">
        <f t="shared" ref="K2:Q7" si="1">_xlfn.LET(_xlpm.StartDay, WEEKDAY(DATE($A2, $B2, 1), 1),_xlpm.DayNum, (COLUMN() - COLUMN($K$2) + 1) + (ROW() - ROW($K$2)) * 7 - _xlpm.StartDay + 1,IF(AND(_xlpm.DayNum &gt; 0, _xlpm.DayNum &lt;= DAY(EOMONTH(DATE($A2, $B2, 1), 0))), _xlpm.DayNum, ""))</f>
        <v>1</v>
      </c>
      <c r="Q2" s="76">
        <f t="shared" si="1"/>
        <v>2</v>
      </c>
      <c r="S2" s="73">
        <v>2</v>
      </c>
      <c r="T2" s="2"/>
      <c r="U2" t="s">
        <v>138</v>
      </c>
      <c r="W2" s="82"/>
      <c r="X2" s="82"/>
      <c r="Y2" s="82"/>
      <c r="Z2" s="82"/>
      <c r="AA2" s="82"/>
      <c r="AB2" s="82"/>
      <c r="AC2" s="82"/>
      <c r="AD2" s="82"/>
    </row>
    <row r="3" spans="1:30" x14ac:dyDescent="0.25">
      <c r="A3" s="2">
        <v>2027</v>
      </c>
      <c r="B3" s="2">
        <v>1</v>
      </c>
      <c r="C3" s="2">
        <v>2</v>
      </c>
      <c r="D3" s="2">
        <v>3</v>
      </c>
      <c r="E3" s="2">
        <v>2</v>
      </c>
      <c r="F3" s="2">
        <v>4</v>
      </c>
      <c r="G3" s="2">
        <v>2</v>
      </c>
      <c r="H3" s="2">
        <v>3</v>
      </c>
      <c r="I3" s="2">
        <v>4</v>
      </c>
      <c r="J3" s="2">
        <v>2</v>
      </c>
      <c r="K3" s="76">
        <f t="shared" si="1"/>
        <v>3</v>
      </c>
      <c r="L3" s="2">
        <f t="shared" si="1"/>
        <v>4</v>
      </c>
      <c r="M3" s="2">
        <f t="shared" si="1"/>
        <v>5</v>
      </c>
      <c r="N3" s="2">
        <f t="shared" si="1"/>
        <v>6</v>
      </c>
      <c r="O3" s="2">
        <f t="shared" si="1"/>
        <v>7</v>
      </c>
      <c r="P3" s="2">
        <f t="shared" si="1"/>
        <v>8</v>
      </c>
      <c r="Q3" s="76">
        <f t="shared" si="1"/>
        <v>9</v>
      </c>
      <c r="S3" s="66">
        <v>3</v>
      </c>
      <c r="T3" s="2"/>
      <c r="U3" t="s">
        <v>139</v>
      </c>
    </row>
    <row r="4" spans="1:30" x14ac:dyDescent="0.25">
      <c r="A4" s="2">
        <v>2027</v>
      </c>
      <c r="B4" s="2">
        <v>1</v>
      </c>
      <c r="C4" s="2">
        <v>3</v>
      </c>
      <c r="D4" s="2">
        <v>3</v>
      </c>
      <c r="E4" s="2">
        <v>3</v>
      </c>
      <c r="F4" s="2">
        <v>3</v>
      </c>
      <c r="G4" s="2">
        <v>2</v>
      </c>
      <c r="H4" s="2">
        <v>2</v>
      </c>
      <c r="I4" s="2">
        <v>3</v>
      </c>
      <c r="J4" s="2">
        <v>3</v>
      </c>
      <c r="K4" s="76">
        <f t="shared" si="1"/>
        <v>10</v>
      </c>
      <c r="L4" s="2">
        <f t="shared" si="1"/>
        <v>11</v>
      </c>
      <c r="M4" s="2">
        <f t="shared" si="1"/>
        <v>12</v>
      </c>
      <c r="N4" s="2">
        <f t="shared" si="1"/>
        <v>13</v>
      </c>
      <c r="O4" s="2">
        <f t="shared" si="1"/>
        <v>14</v>
      </c>
      <c r="P4" s="2">
        <f t="shared" si="1"/>
        <v>15</v>
      </c>
      <c r="Q4" s="76">
        <f t="shared" si="1"/>
        <v>16</v>
      </c>
      <c r="S4" s="67">
        <v>4</v>
      </c>
      <c r="T4" s="2"/>
      <c r="U4" t="s">
        <v>140</v>
      </c>
    </row>
    <row r="5" spans="1:30" x14ac:dyDescent="0.25">
      <c r="A5" s="2">
        <v>2027</v>
      </c>
      <c r="B5" s="2">
        <v>1</v>
      </c>
      <c r="C5" s="2">
        <v>4</v>
      </c>
      <c r="D5" s="2">
        <v>4</v>
      </c>
      <c r="E5" s="2">
        <v>2</v>
      </c>
      <c r="F5" s="2">
        <v>2</v>
      </c>
      <c r="G5" s="2">
        <v>2</v>
      </c>
      <c r="H5" s="2">
        <v>2</v>
      </c>
      <c r="I5" s="2">
        <v>2</v>
      </c>
      <c r="J5" s="2">
        <v>3</v>
      </c>
      <c r="K5" s="76">
        <f t="shared" si="1"/>
        <v>17</v>
      </c>
      <c r="L5" s="2">
        <f t="shared" si="1"/>
        <v>18</v>
      </c>
      <c r="M5" s="2">
        <f t="shared" si="1"/>
        <v>19</v>
      </c>
      <c r="N5" s="2">
        <f t="shared" si="1"/>
        <v>20</v>
      </c>
      <c r="O5" s="2">
        <f t="shared" si="1"/>
        <v>21</v>
      </c>
      <c r="P5" s="2">
        <f t="shared" si="1"/>
        <v>22</v>
      </c>
      <c r="Q5" s="76">
        <f t="shared" si="1"/>
        <v>23</v>
      </c>
    </row>
    <row r="6" spans="1:30" x14ac:dyDescent="0.25">
      <c r="A6" s="2">
        <v>2027</v>
      </c>
      <c r="B6" s="2">
        <v>1</v>
      </c>
      <c r="C6" s="2">
        <v>5</v>
      </c>
      <c r="D6" s="2">
        <v>3</v>
      </c>
      <c r="E6" s="2">
        <v>3</v>
      </c>
      <c r="F6" s="2">
        <v>3</v>
      </c>
      <c r="G6" s="2">
        <v>2</v>
      </c>
      <c r="H6" s="2">
        <v>4</v>
      </c>
      <c r="I6" s="2">
        <v>3</v>
      </c>
      <c r="J6" s="2">
        <v>2</v>
      </c>
      <c r="K6" s="76">
        <f t="shared" si="1"/>
        <v>24</v>
      </c>
      <c r="L6" s="2">
        <f t="shared" si="1"/>
        <v>25</v>
      </c>
      <c r="M6" s="2">
        <f t="shared" si="1"/>
        <v>26</v>
      </c>
      <c r="N6" s="2">
        <f t="shared" si="1"/>
        <v>27</v>
      </c>
      <c r="O6" s="2">
        <f t="shared" si="1"/>
        <v>28</v>
      </c>
      <c r="P6" s="2">
        <f t="shared" si="1"/>
        <v>29</v>
      </c>
      <c r="Q6" s="76">
        <f t="shared" si="1"/>
        <v>30</v>
      </c>
    </row>
    <row r="7" spans="1:30" x14ac:dyDescent="0.25">
      <c r="A7" s="2">
        <v>2027</v>
      </c>
      <c r="B7" s="2">
        <v>1</v>
      </c>
      <c r="C7" s="2">
        <v>6</v>
      </c>
      <c r="D7" s="2">
        <v>3</v>
      </c>
      <c r="E7" s="2">
        <v>1</v>
      </c>
      <c r="F7" s="2">
        <v>1</v>
      </c>
      <c r="G7" s="2">
        <v>1</v>
      </c>
      <c r="H7" s="2">
        <v>1</v>
      </c>
      <c r="I7" s="2">
        <v>1</v>
      </c>
      <c r="J7" s="2">
        <v>1</v>
      </c>
      <c r="K7" s="76">
        <f t="shared" si="1"/>
        <v>31</v>
      </c>
      <c r="L7" s="77" t="str">
        <f>IF(E7&lt;&gt;1,"ERROR!!!","")</f>
        <v/>
      </c>
      <c r="M7" s="77" t="str">
        <f t="shared" ref="M7" si="2">IF(F7&lt;&gt;1,"ERROR!!!","")</f>
        <v/>
      </c>
      <c r="N7" s="77" t="str">
        <f t="shared" ref="N7" si="3">IF(G7&lt;&gt;1,"ERROR!!!","")</f>
        <v/>
      </c>
      <c r="O7" s="77" t="str">
        <f t="shared" ref="O7" si="4">IF(H7&lt;&gt;1,"ERROR!!!","")</f>
        <v/>
      </c>
      <c r="P7" s="77" t="str">
        <f t="shared" ref="P7:Q7" si="5">IF(I7&lt;&gt;1,"ERROR!!!","")</f>
        <v/>
      </c>
      <c r="Q7" s="77" t="str">
        <f t="shared" si="5"/>
        <v/>
      </c>
    </row>
    <row r="8" spans="1:30" x14ac:dyDescent="0.25">
      <c r="A8" s="2">
        <v>2027</v>
      </c>
      <c r="B8" s="2">
        <v>2</v>
      </c>
      <c r="C8" s="2">
        <v>1</v>
      </c>
      <c r="D8" s="2">
        <v>1</v>
      </c>
      <c r="E8" s="2">
        <v>2</v>
      </c>
      <c r="F8" s="2">
        <v>2</v>
      </c>
      <c r="G8" s="2">
        <v>2</v>
      </c>
      <c r="H8" s="2">
        <v>2</v>
      </c>
      <c r="I8" s="2">
        <v>2</v>
      </c>
      <c r="J8" s="2">
        <v>2</v>
      </c>
      <c r="K8" s="76" t="str">
        <f t="shared" ref="K8:Q12" si="6">_xlfn.LET(_xlpm.StartDay, WEEKDAY(DATE($A8, $B8, 1), 1),_xlpm.DayNum, (COLUMN() - COLUMN($K$8) + 1) + (ROW() - ROW($K$8)) * 7 - _xlpm.StartDay + 1,IF(AND(_xlpm.DayNum &gt; 0, _xlpm.DayNum &lt;= DAY(EOMONTH(DATE($A8, $B8, 1), 0))), _xlpm.DayNum, ""))</f>
        <v/>
      </c>
      <c r="L8" s="2">
        <f t="shared" si="6"/>
        <v>1</v>
      </c>
      <c r="M8" s="2">
        <f t="shared" si="6"/>
        <v>2</v>
      </c>
      <c r="N8" s="2">
        <f t="shared" si="6"/>
        <v>3</v>
      </c>
      <c r="O8" s="2">
        <f t="shared" si="6"/>
        <v>4</v>
      </c>
      <c r="P8" s="2">
        <f t="shared" si="6"/>
        <v>5</v>
      </c>
      <c r="Q8" s="76">
        <f t="shared" si="6"/>
        <v>6</v>
      </c>
    </row>
    <row r="9" spans="1:30" x14ac:dyDescent="0.25">
      <c r="A9" s="2">
        <v>2027</v>
      </c>
      <c r="B9" s="2">
        <v>2</v>
      </c>
      <c r="C9" s="2">
        <v>2</v>
      </c>
      <c r="D9" s="2">
        <v>4</v>
      </c>
      <c r="E9" s="2">
        <v>4</v>
      </c>
      <c r="F9" s="2">
        <v>3</v>
      </c>
      <c r="G9" s="2">
        <v>2</v>
      </c>
      <c r="H9" s="2">
        <v>2</v>
      </c>
      <c r="I9" s="2">
        <v>3</v>
      </c>
      <c r="J9" s="2">
        <v>2</v>
      </c>
      <c r="K9" s="76">
        <f t="shared" si="6"/>
        <v>7</v>
      </c>
      <c r="L9" s="2">
        <f t="shared" si="6"/>
        <v>8</v>
      </c>
      <c r="M9" s="2">
        <f t="shared" si="6"/>
        <v>9</v>
      </c>
      <c r="N9" s="2">
        <f t="shared" si="6"/>
        <v>10</v>
      </c>
      <c r="O9" s="2">
        <f t="shared" si="6"/>
        <v>11</v>
      </c>
      <c r="P9" s="2">
        <f t="shared" si="6"/>
        <v>12</v>
      </c>
      <c r="Q9" s="76">
        <f t="shared" si="6"/>
        <v>13</v>
      </c>
    </row>
    <row r="10" spans="1:30" x14ac:dyDescent="0.25">
      <c r="A10" s="2">
        <v>2027</v>
      </c>
      <c r="B10" s="2">
        <v>2</v>
      </c>
      <c r="C10" s="2">
        <v>3</v>
      </c>
      <c r="D10" s="2">
        <v>4</v>
      </c>
      <c r="E10" s="2">
        <v>3</v>
      </c>
      <c r="F10" s="2">
        <v>2</v>
      </c>
      <c r="G10" s="2">
        <v>3</v>
      </c>
      <c r="H10" s="2">
        <v>4</v>
      </c>
      <c r="I10" s="2">
        <v>2</v>
      </c>
      <c r="J10" s="2">
        <v>2</v>
      </c>
      <c r="K10" s="76">
        <f t="shared" si="6"/>
        <v>14</v>
      </c>
      <c r="L10" s="2">
        <f t="shared" si="6"/>
        <v>15</v>
      </c>
      <c r="M10" s="2">
        <f t="shared" si="6"/>
        <v>16</v>
      </c>
      <c r="N10" s="2">
        <f t="shared" si="6"/>
        <v>17</v>
      </c>
      <c r="O10" s="2">
        <f t="shared" si="6"/>
        <v>18</v>
      </c>
      <c r="P10" s="2">
        <f t="shared" si="6"/>
        <v>19</v>
      </c>
      <c r="Q10" s="76">
        <f t="shared" si="6"/>
        <v>20</v>
      </c>
    </row>
    <row r="11" spans="1:30" x14ac:dyDescent="0.25">
      <c r="A11" s="2">
        <v>2027</v>
      </c>
      <c r="B11" s="2">
        <v>2</v>
      </c>
      <c r="C11" s="2">
        <v>4</v>
      </c>
      <c r="D11" s="2">
        <v>3</v>
      </c>
      <c r="E11" s="2">
        <v>4</v>
      </c>
      <c r="F11" s="2">
        <v>2</v>
      </c>
      <c r="G11" s="2">
        <v>3</v>
      </c>
      <c r="H11" s="2">
        <v>3</v>
      </c>
      <c r="I11" s="2">
        <v>3</v>
      </c>
      <c r="J11" s="2">
        <v>2</v>
      </c>
      <c r="K11" s="76">
        <f t="shared" si="6"/>
        <v>21</v>
      </c>
      <c r="L11" s="2">
        <f t="shared" si="6"/>
        <v>22</v>
      </c>
      <c r="M11" s="2">
        <f t="shared" si="6"/>
        <v>23</v>
      </c>
      <c r="N11" s="2">
        <f t="shared" si="6"/>
        <v>24</v>
      </c>
      <c r="O11" s="2">
        <f t="shared" si="6"/>
        <v>25</v>
      </c>
      <c r="P11" s="2">
        <f t="shared" si="6"/>
        <v>26</v>
      </c>
      <c r="Q11" s="76">
        <f t="shared" si="6"/>
        <v>27</v>
      </c>
    </row>
    <row r="12" spans="1:30" x14ac:dyDescent="0.25">
      <c r="A12" s="2">
        <v>2027</v>
      </c>
      <c r="B12" s="2">
        <v>2</v>
      </c>
      <c r="C12" s="2">
        <v>5</v>
      </c>
      <c r="D12" s="2">
        <v>3</v>
      </c>
      <c r="E12" s="2">
        <v>1</v>
      </c>
      <c r="F12" s="2">
        <v>1</v>
      </c>
      <c r="G12" s="2">
        <v>1</v>
      </c>
      <c r="H12" s="2">
        <v>1</v>
      </c>
      <c r="I12" s="2">
        <v>1</v>
      </c>
      <c r="J12" s="2">
        <v>1</v>
      </c>
      <c r="K12" s="76">
        <f t="shared" si="6"/>
        <v>28</v>
      </c>
      <c r="L12" s="77" t="str">
        <f t="shared" ref="L12" si="7">IF(E12&lt;&gt;1,"ERROR!!!","")</f>
        <v/>
      </c>
      <c r="M12" s="77" t="str">
        <f t="shared" ref="M12:M13" si="8">IF(F12&lt;&gt;1,"ERROR!!!","")</f>
        <v/>
      </c>
      <c r="N12" s="77" t="str">
        <f t="shared" ref="N12:N13" si="9">IF(G12&lt;&gt;1,"ERROR!!!","")</f>
        <v/>
      </c>
      <c r="O12" s="77" t="str">
        <f t="shared" ref="O12:O13" si="10">IF(H12&lt;&gt;1,"ERROR!!!","")</f>
        <v/>
      </c>
      <c r="P12" s="77" t="str">
        <f t="shared" ref="P12:P13" si="11">IF(I12&lt;&gt;1,"ERROR!!!","")</f>
        <v/>
      </c>
      <c r="Q12" s="77" t="str">
        <f t="shared" ref="Q12:Q13" si="12">IF(J12&lt;&gt;1,"ERROR!!!","")</f>
        <v/>
      </c>
    </row>
    <row r="13" spans="1:30" x14ac:dyDescent="0.25">
      <c r="A13" s="2">
        <v>2027</v>
      </c>
      <c r="B13" s="2">
        <v>2</v>
      </c>
      <c r="C13" s="2">
        <v>6</v>
      </c>
      <c r="D13" s="2">
        <v>1</v>
      </c>
      <c r="E13" s="2">
        <v>1</v>
      </c>
      <c r="F13" s="2">
        <v>1</v>
      </c>
      <c r="G13" s="2">
        <v>1</v>
      </c>
      <c r="H13" s="2">
        <v>1</v>
      </c>
      <c r="I13" s="2">
        <v>1</v>
      </c>
      <c r="J13" s="2">
        <v>1</v>
      </c>
      <c r="K13" s="77" t="str">
        <f t="shared" ref="K13:K14" si="13">IF(D13&lt;&gt;1,"ERROR!!!","")</f>
        <v/>
      </c>
      <c r="L13" s="77" t="str">
        <f t="shared" ref="L13" si="14">IF(E13&lt;&gt;1,"ERROR!!!","")</f>
        <v/>
      </c>
      <c r="M13" s="77" t="str">
        <f t="shared" si="8"/>
        <v/>
      </c>
      <c r="N13" s="77" t="str">
        <f t="shared" si="9"/>
        <v/>
      </c>
      <c r="O13" s="77" t="str">
        <f t="shared" si="10"/>
        <v/>
      </c>
      <c r="P13" s="77" t="str">
        <f t="shared" si="11"/>
        <v/>
      </c>
      <c r="Q13" s="77" t="str">
        <f t="shared" si="12"/>
        <v/>
      </c>
    </row>
    <row r="14" spans="1:30" x14ac:dyDescent="0.25">
      <c r="A14" s="2">
        <v>2027</v>
      </c>
      <c r="B14" s="2">
        <v>3</v>
      </c>
      <c r="C14" s="2">
        <v>1</v>
      </c>
      <c r="D14" s="2">
        <v>1</v>
      </c>
      <c r="E14" s="2">
        <v>2</v>
      </c>
      <c r="F14" s="2">
        <v>2</v>
      </c>
      <c r="G14" s="2">
        <v>2</v>
      </c>
      <c r="H14" s="2">
        <v>2</v>
      </c>
      <c r="I14" s="2">
        <v>2</v>
      </c>
      <c r="J14" s="2">
        <v>3</v>
      </c>
      <c r="K14" s="77" t="str">
        <f t="shared" si="13"/>
        <v/>
      </c>
      <c r="L14" s="2">
        <f t="shared" ref="K14:Q18" si="15">_xlfn.LET(_xlpm.StartDay, WEEKDAY(DATE($A14, $B14, 1), 1),_xlpm.DayNum, (COLUMN() - COLUMN($K$14) + 1) + (ROW() - ROW($K$14)) * 7 - _xlpm.StartDay + 1,IF(AND(_xlpm.DayNum &gt; 0, _xlpm.DayNum &lt;= DAY(EOMONTH(DATE($A14, $B14, 1), 0))), _xlpm.DayNum, ""))</f>
        <v>1</v>
      </c>
      <c r="M14" s="2">
        <f t="shared" si="15"/>
        <v>2</v>
      </c>
      <c r="N14" s="2">
        <f t="shared" si="15"/>
        <v>3</v>
      </c>
      <c r="O14" s="2">
        <f t="shared" si="15"/>
        <v>4</v>
      </c>
      <c r="P14" s="2">
        <f t="shared" si="15"/>
        <v>5</v>
      </c>
      <c r="Q14" s="76">
        <f t="shared" si="15"/>
        <v>6</v>
      </c>
    </row>
    <row r="15" spans="1:30" x14ac:dyDescent="0.25">
      <c r="A15" s="2">
        <v>2027</v>
      </c>
      <c r="B15" s="2">
        <v>3</v>
      </c>
      <c r="C15" s="2">
        <v>2</v>
      </c>
      <c r="D15" s="2">
        <v>3</v>
      </c>
      <c r="E15" s="2">
        <v>4</v>
      </c>
      <c r="F15" s="2">
        <v>2</v>
      </c>
      <c r="G15" s="2">
        <v>2</v>
      </c>
      <c r="H15" s="2">
        <v>2</v>
      </c>
      <c r="I15" s="2">
        <v>2</v>
      </c>
      <c r="J15" s="2">
        <v>2</v>
      </c>
      <c r="K15" s="76">
        <f t="shared" si="15"/>
        <v>7</v>
      </c>
      <c r="L15" s="2">
        <f t="shared" si="15"/>
        <v>8</v>
      </c>
      <c r="M15" s="2">
        <f t="shared" si="15"/>
        <v>9</v>
      </c>
      <c r="N15" s="2">
        <f t="shared" si="15"/>
        <v>10</v>
      </c>
      <c r="O15" s="2">
        <f t="shared" si="15"/>
        <v>11</v>
      </c>
      <c r="P15" s="2">
        <f t="shared" si="15"/>
        <v>12</v>
      </c>
      <c r="Q15" s="76">
        <f t="shared" si="15"/>
        <v>13</v>
      </c>
    </row>
    <row r="16" spans="1:30" x14ac:dyDescent="0.25">
      <c r="A16" s="2">
        <v>2027</v>
      </c>
      <c r="B16" s="2">
        <v>3</v>
      </c>
      <c r="C16" s="2">
        <v>3</v>
      </c>
      <c r="D16" s="2">
        <v>3</v>
      </c>
      <c r="E16" s="2">
        <v>2</v>
      </c>
      <c r="F16" s="2">
        <v>4</v>
      </c>
      <c r="G16" s="2">
        <v>3</v>
      </c>
      <c r="H16" s="2">
        <v>3</v>
      </c>
      <c r="I16" s="2">
        <v>2</v>
      </c>
      <c r="J16" s="2">
        <v>2</v>
      </c>
      <c r="K16" s="76">
        <f t="shared" si="15"/>
        <v>14</v>
      </c>
      <c r="L16" s="2">
        <f t="shared" si="15"/>
        <v>15</v>
      </c>
      <c r="M16" s="2">
        <f t="shared" si="15"/>
        <v>16</v>
      </c>
      <c r="N16" s="2">
        <f t="shared" si="15"/>
        <v>17</v>
      </c>
      <c r="O16" s="2">
        <f t="shared" si="15"/>
        <v>18</v>
      </c>
      <c r="P16" s="2">
        <f t="shared" si="15"/>
        <v>19</v>
      </c>
      <c r="Q16" s="76">
        <f t="shared" si="15"/>
        <v>20</v>
      </c>
    </row>
    <row r="17" spans="1:17" x14ac:dyDescent="0.25">
      <c r="A17" s="2">
        <v>2027</v>
      </c>
      <c r="B17" s="2">
        <v>3</v>
      </c>
      <c r="C17" s="2">
        <v>4</v>
      </c>
      <c r="D17" s="2">
        <v>2</v>
      </c>
      <c r="E17" s="2">
        <v>2</v>
      </c>
      <c r="F17" s="2">
        <v>3</v>
      </c>
      <c r="G17" s="2">
        <v>3</v>
      </c>
      <c r="H17" s="2">
        <v>3</v>
      </c>
      <c r="I17" s="2">
        <v>2</v>
      </c>
      <c r="J17" s="2">
        <v>2</v>
      </c>
      <c r="K17" s="76">
        <f t="shared" si="15"/>
        <v>21</v>
      </c>
      <c r="L17" s="2">
        <f t="shared" si="15"/>
        <v>22</v>
      </c>
      <c r="M17" s="2">
        <f t="shared" si="15"/>
        <v>23</v>
      </c>
      <c r="N17" s="2">
        <f t="shared" si="15"/>
        <v>24</v>
      </c>
      <c r="O17" s="2">
        <f t="shared" si="15"/>
        <v>25</v>
      </c>
      <c r="P17" s="2">
        <f t="shared" si="15"/>
        <v>26</v>
      </c>
      <c r="Q17" s="76">
        <f t="shared" si="15"/>
        <v>27</v>
      </c>
    </row>
    <row r="18" spans="1:17" x14ac:dyDescent="0.25">
      <c r="A18" s="2">
        <v>2027</v>
      </c>
      <c r="B18" s="2">
        <v>3</v>
      </c>
      <c r="C18" s="2">
        <v>5</v>
      </c>
      <c r="D18" s="2">
        <v>3</v>
      </c>
      <c r="E18" s="2">
        <v>2</v>
      </c>
      <c r="F18" s="2">
        <v>4</v>
      </c>
      <c r="G18" s="2">
        <v>2</v>
      </c>
      <c r="H18" s="2">
        <v>1</v>
      </c>
      <c r="I18" s="2">
        <v>1</v>
      </c>
      <c r="J18" s="2">
        <v>1</v>
      </c>
      <c r="K18" s="76">
        <f t="shared" si="15"/>
        <v>28</v>
      </c>
      <c r="L18" s="2">
        <f t="shared" si="15"/>
        <v>29</v>
      </c>
      <c r="M18" s="2">
        <f t="shared" si="15"/>
        <v>30</v>
      </c>
      <c r="N18" s="2">
        <f t="shared" si="15"/>
        <v>31</v>
      </c>
      <c r="O18" s="77" t="str">
        <f t="shared" ref="O18:O19" si="16">IF(H18&lt;&gt;1,"ERROR!!!","")</f>
        <v/>
      </c>
      <c r="P18" s="77" t="str">
        <f t="shared" ref="P18:Q19" si="17">IF(I18&lt;&gt;1,"ERROR!!!","")</f>
        <v/>
      </c>
      <c r="Q18" s="77" t="str">
        <f t="shared" ref="Q18" si="18">IF(J18&lt;&gt;1,"ERROR!!!","")</f>
        <v/>
      </c>
    </row>
    <row r="19" spans="1:17" x14ac:dyDescent="0.25">
      <c r="A19" s="2">
        <v>2027</v>
      </c>
      <c r="B19" s="2">
        <v>3</v>
      </c>
      <c r="C19" s="2">
        <v>6</v>
      </c>
      <c r="D19" s="2">
        <v>1</v>
      </c>
      <c r="E19" s="2">
        <v>1</v>
      </c>
      <c r="F19" s="2">
        <v>1</v>
      </c>
      <c r="G19" s="2">
        <v>1</v>
      </c>
      <c r="H19" s="2">
        <v>1</v>
      </c>
      <c r="I19" s="2">
        <v>1</v>
      </c>
      <c r="J19" s="2">
        <v>1</v>
      </c>
      <c r="K19" s="77" t="str">
        <f t="shared" ref="K19:K20" si="19">IF(D19&lt;&gt;1,"ERROR!!!","")</f>
        <v/>
      </c>
      <c r="L19" s="77" t="str">
        <f t="shared" ref="L19:L20" si="20">IF(E19&lt;&gt;1,"ERROR!!!","")</f>
        <v/>
      </c>
      <c r="M19" s="77" t="str">
        <f t="shared" ref="M19:M20" si="21">IF(F19&lt;&gt;1,"ERROR!!!","")</f>
        <v/>
      </c>
      <c r="N19" s="77" t="str">
        <f t="shared" ref="N19:N20" si="22">IF(G19&lt;&gt;1,"ERROR!!!","")</f>
        <v/>
      </c>
      <c r="O19" s="77" t="str">
        <f t="shared" si="16"/>
        <v/>
      </c>
      <c r="P19" s="77" t="str">
        <f t="shared" si="17"/>
        <v/>
      </c>
      <c r="Q19" s="77" t="str">
        <f t="shared" si="17"/>
        <v/>
      </c>
    </row>
    <row r="20" spans="1:17" x14ac:dyDescent="0.25">
      <c r="A20" s="2">
        <v>2027</v>
      </c>
      <c r="B20" s="2">
        <v>4</v>
      </c>
      <c r="C20" s="2">
        <v>1</v>
      </c>
      <c r="D20" s="2">
        <v>1</v>
      </c>
      <c r="E20" s="2">
        <v>1</v>
      </c>
      <c r="F20" s="2">
        <v>1</v>
      </c>
      <c r="G20" s="2">
        <v>1</v>
      </c>
      <c r="H20" s="2">
        <v>2</v>
      </c>
      <c r="I20" s="2">
        <v>2</v>
      </c>
      <c r="J20" s="2">
        <v>3</v>
      </c>
      <c r="K20" s="77" t="str">
        <f t="shared" si="19"/>
        <v/>
      </c>
      <c r="L20" s="77" t="str">
        <f t="shared" si="20"/>
        <v/>
      </c>
      <c r="M20" s="77" t="str">
        <f t="shared" si="21"/>
        <v/>
      </c>
      <c r="N20" s="77" t="str">
        <f t="shared" si="22"/>
        <v/>
      </c>
      <c r="O20" s="2">
        <f t="shared" ref="K20:Q24" si="23">_xlfn.LET(_xlpm.StartDay, WEEKDAY(DATE($A20, $B20, 1), 1),_xlpm.DayNum, (COLUMN() - COLUMN($K$20) + 1) + (ROW() - ROW($K$20)) * 7 - _xlpm.StartDay + 1,IF(AND(_xlpm.DayNum &gt; 0, _xlpm.DayNum &lt;= DAY(EOMONTH(DATE($A20, $B20, 1), 0))), _xlpm.DayNum, ""))</f>
        <v>1</v>
      </c>
      <c r="P20" s="2">
        <f t="shared" si="23"/>
        <v>2</v>
      </c>
      <c r="Q20" s="76">
        <f t="shared" si="23"/>
        <v>3</v>
      </c>
    </row>
    <row r="21" spans="1:17" x14ac:dyDescent="0.25">
      <c r="A21" s="2">
        <v>2027</v>
      </c>
      <c r="B21" s="2">
        <v>4</v>
      </c>
      <c r="C21" s="2">
        <v>2</v>
      </c>
      <c r="D21" s="2">
        <v>4</v>
      </c>
      <c r="E21" s="2">
        <v>3</v>
      </c>
      <c r="F21" s="2">
        <v>2</v>
      </c>
      <c r="G21" s="2">
        <v>3</v>
      </c>
      <c r="H21" s="2">
        <v>4</v>
      </c>
      <c r="I21" s="2">
        <v>3</v>
      </c>
      <c r="J21" s="2">
        <v>3</v>
      </c>
      <c r="K21" s="76">
        <f t="shared" si="23"/>
        <v>4</v>
      </c>
      <c r="L21" s="2">
        <f t="shared" si="23"/>
        <v>5</v>
      </c>
      <c r="M21" s="2">
        <f t="shared" si="23"/>
        <v>6</v>
      </c>
      <c r="N21" s="2">
        <f t="shared" si="23"/>
        <v>7</v>
      </c>
      <c r="O21" s="2">
        <f t="shared" si="23"/>
        <v>8</v>
      </c>
      <c r="P21" s="2">
        <f t="shared" si="23"/>
        <v>9</v>
      </c>
      <c r="Q21" s="76">
        <f t="shared" si="23"/>
        <v>10</v>
      </c>
    </row>
    <row r="22" spans="1:17" x14ac:dyDescent="0.25">
      <c r="A22" s="2">
        <v>2027</v>
      </c>
      <c r="B22" s="2">
        <v>4</v>
      </c>
      <c r="C22" s="2">
        <v>3</v>
      </c>
      <c r="D22" s="2">
        <v>3</v>
      </c>
      <c r="E22" s="2">
        <v>2</v>
      </c>
      <c r="F22" s="2">
        <v>2</v>
      </c>
      <c r="G22" s="2">
        <v>2</v>
      </c>
      <c r="H22" s="2">
        <v>3</v>
      </c>
      <c r="I22" s="2">
        <v>3</v>
      </c>
      <c r="J22" s="2">
        <v>2</v>
      </c>
      <c r="K22" s="76">
        <f t="shared" si="23"/>
        <v>11</v>
      </c>
      <c r="L22" s="2">
        <f t="shared" si="23"/>
        <v>12</v>
      </c>
      <c r="M22" s="2">
        <f t="shared" si="23"/>
        <v>13</v>
      </c>
      <c r="N22" s="2">
        <f t="shared" si="23"/>
        <v>14</v>
      </c>
      <c r="O22" s="2">
        <f t="shared" si="23"/>
        <v>15</v>
      </c>
      <c r="P22" s="2">
        <f t="shared" si="23"/>
        <v>16</v>
      </c>
      <c r="Q22" s="76">
        <f t="shared" si="23"/>
        <v>17</v>
      </c>
    </row>
    <row r="23" spans="1:17" x14ac:dyDescent="0.25">
      <c r="A23" s="2">
        <v>2027</v>
      </c>
      <c r="B23" s="2">
        <v>4</v>
      </c>
      <c r="C23" s="2">
        <v>4</v>
      </c>
      <c r="D23" s="2">
        <v>2</v>
      </c>
      <c r="E23" s="2">
        <v>3</v>
      </c>
      <c r="F23" s="2">
        <v>4</v>
      </c>
      <c r="G23" s="2">
        <v>3</v>
      </c>
      <c r="H23" s="2">
        <v>3</v>
      </c>
      <c r="I23" s="2">
        <v>2</v>
      </c>
      <c r="J23" s="2">
        <v>2</v>
      </c>
      <c r="K23" s="76">
        <f t="shared" si="23"/>
        <v>18</v>
      </c>
      <c r="L23" s="2">
        <f t="shared" si="23"/>
        <v>19</v>
      </c>
      <c r="M23" s="2">
        <f t="shared" si="23"/>
        <v>20</v>
      </c>
      <c r="N23" s="2">
        <f t="shared" si="23"/>
        <v>21</v>
      </c>
      <c r="O23" s="2">
        <f t="shared" si="23"/>
        <v>22</v>
      </c>
      <c r="P23" s="2">
        <f t="shared" si="23"/>
        <v>23</v>
      </c>
      <c r="Q23" s="76">
        <f t="shared" si="23"/>
        <v>24</v>
      </c>
    </row>
    <row r="24" spans="1:17" x14ac:dyDescent="0.25">
      <c r="A24" s="2">
        <v>2027</v>
      </c>
      <c r="B24" s="2">
        <v>4</v>
      </c>
      <c r="C24" s="2">
        <v>5</v>
      </c>
      <c r="D24" s="2">
        <v>3</v>
      </c>
      <c r="E24" s="2">
        <v>3</v>
      </c>
      <c r="F24" s="2">
        <v>2</v>
      </c>
      <c r="G24" s="2">
        <v>3</v>
      </c>
      <c r="H24" s="2">
        <v>2</v>
      </c>
      <c r="I24" s="2">
        <v>2</v>
      </c>
      <c r="J24" s="2">
        <v>1</v>
      </c>
      <c r="K24" s="76">
        <f t="shared" si="23"/>
        <v>25</v>
      </c>
      <c r="L24" s="2">
        <f t="shared" si="23"/>
        <v>26</v>
      </c>
      <c r="M24" s="2">
        <f t="shared" si="23"/>
        <v>27</v>
      </c>
      <c r="N24" s="2">
        <f t="shared" si="23"/>
        <v>28</v>
      </c>
      <c r="O24" s="2">
        <f t="shared" si="23"/>
        <v>29</v>
      </c>
      <c r="P24" s="2">
        <f t="shared" si="23"/>
        <v>30</v>
      </c>
      <c r="Q24" s="77" t="str">
        <f t="shared" ref="Q24:Q25" si="24">IF(J24&lt;&gt;1,"ERROR!!!","")</f>
        <v/>
      </c>
    </row>
    <row r="25" spans="1:17" x14ac:dyDescent="0.25">
      <c r="A25" s="2">
        <v>2027</v>
      </c>
      <c r="B25" s="2">
        <v>4</v>
      </c>
      <c r="C25" s="2">
        <v>6</v>
      </c>
      <c r="D25" s="2">
        <v>1</v>
      </c>
      <c r="E25" s="2">
        <v>1</v>
      </c>
      <c r="F25" s="2">
        <v>1</v>
      </c>
      <c r="G25" s="2">
        <v>1</v>
      </c>
      <c r="H25" s="2">
        <v>1</v>
      </c>
      <c r="I25" s="2">
        <v>1</v>
      </c>
      <c r="J25" s="2">
        <v>1</v>
      </c>
      <c r="K25" s="77" t="str">
        <f t="shared" ref="K25:K26" si="25">IF(D25&lt;&gt;1,"ERROR!!!","")</f>
        <v/>
      </c>
      <c r="L25" s="77" t="str">
        <f t="shared" ref="L25:L26" si="26">IF(E25&lt;&gt;1,"ERROR!!!","")</f>
        <v/>
      </c>
      <c r="M25" s="77" t="str">
        <f t="shared" ref="M25:M26" si="27">IF(F25&lt;&gt;1,"ERROR!!!","")</f>
        <v/>
      </c>
      <c r="N25" s="77" t="str">
        <f t="shared" ref="N25:N26" si="28">IF(G25&lt;&gt;1,"ERROR!!!","")</f>
        <v/>
      </c>
      <c r="O25" s="77" t="str">
        <f t="shared" ref="O25:O26" si="29">IF(H25&lt;&gt;1,"ERROR!!!","")</f>
        <v/>
      </c>
      <c r="P25" s="77" t="str">
        <f t="shared" ref="P25:P26" si="30">IF(I25&lt;&gt;1,"ERROR!!!","")</f>
        <v/>
      </c>
      <c r="Q25" s="77" t="str">
        <f t="shared" si="24"/>
        <v/>
      </c>
    </row>
    <row r="26" spans="1:17" x14ac:dyDescent="0.25">
      <c r="A26" s="2">
        <v>2027</v>
      </c>
      <c r="B26" s="2">
        <v>5</v>
      </c>
      <c r="C26" s="2">
        <v>1</v>
      </c>
      <c r="D26" s="2">
        <v>1</v>
      </c>
      <c r="E26" s="2">
        <v>1</v>
      </c>
      <c r="F26" s="2">
        <v>1</v>
      </c>
      <c r="G26" s="2">
        <v>1</v>
      </c>
      <c r="H26" s="2">
        <v>1</v>
      </c>
      <c r="I26" s="2">
        <v>1</v>
      </c>
      <c r="J26" s="2">
        <v>3</v>
      </c>
      <c r="K26" s="77" t="str">
        <f t="shared" si="25"/>
        <v/>
      </c>
      <c r="L26" s="77" t="str">
        <f t="shared" si="26"/>
        <v/>
      </c>
      <c r="M26" s="77" t="str">
        <f t="shared" si="27"/>
        <v/>
      </c>
      <c r="N26" s="77" t="str">
        <f t="shared" si="28"/>
        <v/>
      </c>
      <c r="O26" s="77" t="str">
        <f t="shared" si="29"/>
        <v/>
      </c>
      <c r="P26" s="77" t="str">
        <f t="shared" si="30"/>
        <v/>
      </c>
      <c r="Q26" s="76">
        <f t="shared" ref="K26:Q31" si="31">_xlfn.LET(_xlpm.StartDay, WEEKDAY(DATE($A26, $B26, 1), 1),_xlpm.DayNum, (COLUMN() - COLUMN($K$26) + 1) + (ROW() - ROW($K$26)) * 7 - _xlpm.StartDay + 1,IF(AND(_xlpm.DayNum &gt; 0, _xlpm.DayNum &lt;= DAY(EOMONTH(DATE($A26, $B26, 1), 0))), _xlpm.DayNum, ""))</f>
        <v>1</v>
      </c>
    </row>
    <row r="27" spans="1:17" x14ac:dyDescent="0.25">
      <c r="A27" s="2">
        <v>2027</v>
      </c>
      <c r="B27" s="2">
        <v>5</v>
      </c>
      <c r="C27" s="2">
        <v>2</v>
      </c>
      <c r="D27" s="2">
        <v>3</v>
      </c>
      <c r="E27" s="2">
        <v>4</v>
      </c>
      <c r="F27" s="2">
        <v>2</v>
      </c>
      <c r="G27" s="2">
        <v>2</v>
      </c>
      <c r="H27" s="2">
        <v>3</v>
      </c>
      <c r="I27" s="2">
        <v>2</v>
      </c>
      <c r="J27" s="2">
        <v>4</v>
      </c>
      <c r="K27" s="76">
        <f t="shared" si="31"/>
        <v>2</v>
      </c>
      <c r="L27" s="2">
        <f t="shared" si="31"/>
        <v>3</v>
      </c>
      <c r="M27" s="2">
        <f t="shared" si="31"/>
        <v>4</v>
      </c>
      <c r="N27" s="2">
        <f t="shared" si="31"/>
        <v>5</v>
      </c>
      <c r="O27" s="2">
        <f t="shared" si="31"/>
        <v>6</v>
      </c>
      <c r="P27" s="2">
        <f t="shared" si="31"/>
        <v>7</v>
      </c>
      <c r="Q27" s="76">
        <f t="shared" si="31"/>
        <v>8</v>
      </c>
    </row>
    <row r="28" spans="1:17" x14ac:dyDescent="0.25">
      <c r="A28" s="2">
        <v>2027</v>
      </c>
      <c r="B28" s="2">
        <v>5</v>
      </c>
      <c r="C28" s="2">
        <v>3</v>
      </c>
      <c r="D28" s="2">
        <v>2</v>
      </c>
      <c r="E28" s="2">
        <v>3</v>
      </c>
      <c r="F28" s="2">
        <v>3</v>
      </c>
      <c r="G28" s="2">
        <v>2</v>
      </c>
      <c r="H28" s="2">
        <v>3</v>
      </c>
      <c r="I28" s="2">
        <v>3</v>
      </c>
      <c r="J28" s="2">
        <v>3</v>
      </c>
      <c r="K28" s="76">
        <f t="shared" si="31"/>
        <v>9</v>
      </c>
      <c r="L28" s="2">
        <f t="shared" si="31"/>
        <v>10</v>
      </c>
      <c r="M28" s="2">
        <f t="shared" si="31"/>
        <v>11</v>
      </c>
      <c r="N28" s="2">
        <f t="shared" si="31"/>
        <v>12</v>
      </c>
      <c r="O28" s="2">
        <f t="shared" si="31"/>
        <v>13</v>
      </c>
      <c r="P28" s="2">
        <f t="shared" si="31"/>
        <v>14</v>
      </c>
      <c r="Q28" s="76">
        <f t="shared" si="31"/>
        <v>15</v>
      </c>
    </row>
    <row r="29" spans="1:17" x14ac:dyDescent="0.25">
      <c r="A29" s="2">
        <v>2027</v>
      </c>
      <c r="B29" s="2">
        <v>5</v>
      </c>
      <c r="C29" s="2">
        <v>4</v>
      </c>
      <c r="D29" s="2">
        <v>2</v>
      </c>
      <c r="E29" s="2">
        <v>2</v>
      </c>
      <c r="F29" s="2">
        <v>4</v>
      </c>
      <c r="G29" s="2">
        <v>3</v>
      </c>
      <c r="H29" s="2">
        <v>3</v>
      </c>
      <c r="I29" s="2">
        <v>4</v>
      </c>
      <c r="J29" s="2">
        <v>2</v>
      </c>
      <c r="K29" s="76">
        <f t="shared" si="31"/>
        <v>16</v>
      </c>
      <c r="L29" s="2">
        <f t="shared" si="31"/>
        <v>17</v>
      </c>
      <c r="M29" s="2">
        <f t="shared" si="31"/>
        <v>18</v>
      </c>
      <c r="N29" s="2">
        <f t="shared" si="31"/>
        <v>19</v>
      </c>
      <c r="O29" s="2">
        <f t="shared" si="31"/>
        <v>20</v>
      </c>
      <c r="P29" s="2">
        <f t="shared" si="31"/>
        <v>21</v>
      </c>
      <c r="Q29" s="76">
        <f t="shared" si="31"/>
        <v>22</v>
      </c>
    </row>
    <row r="30" spans="1:17" x14ac:dyDescent="0.25">
      <c r="A30" s="2">
        <v>2027</v>
      </c>
      <c r="B30" s="2">
        <v>5</v>
      </c>
      <c r="C30" s="2">
        <v>5</v>
      </c>
      <c r="D30" s="2">
        <v>2</v>
      </c>
      <c r="E30" s="2">
        <v>2</v>
      </c>
      <c r="F30" s="2">
        <v>2</v>
      </c>
      <c r="G30" s="2">
        <v>2</v>
      </c>
      <c r="H30" s="2">
        <v>2</v>
      </c>
      <c r="I30" s="2">
        <v>2</v>
      </c>
      <c r="J30" s="2">
        <v>2</v>
      </c>
      <c r="K30" s="76">
        <f t="shared" si="31"/>
        <v>23</v>
      </c>
      <c r="L30" s="2">
        <f t="shared" si="31"/>
        <v>24</v>
      </c>
      <c r="M30" s="2">
        <f t="shared" si="31"/>
        <v>25</v>
      </c>
      <c r="N30" s="2">
        <f t="shared" si="31"/>
        <v>26</v>
      </c>
      <c r="O30" s="2">
        <f t="shared" si="31"/>
        <v>27</v>
      </c>
      <c r="P30" s="2">
        <f t="shared" si="31"/>
        <v>28</v>
      </c>
      <c r="Q30" s="76">
        <f t="shared" si="31"/>
        <v>29</v>
      </c>
    </row>
    <row r="31" spans="1:17" x14ac:dyDescent="0.25">
      <c r="A31" s="2">
        <v>2027</v>
      </c>
      <c r="B31" s="2">
        <v>5</v>
      </c>
      <c r="C31" s="2">
        <v>6</v>
      </c>
      <c r="D31" s="2">
        <v>2</v>
      </c>
      <c r="E31" s="2">
        <v>2</v>
      </c>
      <c r="F31" s="2">
        <v>1</v>
      </c>
      <c r="G31" s="2">
        <v>1</v>
      </c>
      <c r="H31" s="2">
        <v>1</v>
      </c>
      <c r="I31" s="2">
        <v>1</v>
      </c>
      <c r="J31" s="2">
        <v>1</v>
      </c>
      <c r="K31" s="76">
        <f t="shared" si="31"/>
        <v>30</v>
      </c>
      <c r="L31" s="2">
        <f t="shared" si="31"/>
        <v>31</v>
      </c>
      <c r="M31" s="77" t="str">
        <f t="shared" ref="M31" si="32">IF(F31&lt;&gt;1,"ERROR!!!","")</f>
        <v/>
      </c>
      <c r="N31" s="77" t="str">
        <f t="shared" ref="N31" si="33">IF(G31&lt;&gt;1,"ERROR!!!","")</f>
        <v/>
      </c>
      <c r="O31" s="77" t="str">
        <f t="shared" ref="O31" si="34">IF(H31&lt;&gt;1,"ERROR!!!","")</f>
        <v/>
      </c>
      <c r="P31" s="77" t="str">
        <f t="shared" ref="P31" si="35">IF(I31&lt;&gt;1,"ERROR!!!","")</f>
        <v/>
      </c>
      <c r="Q31" s="77" t="str">
        <f t="shared" ref="Q31" si="36">IF(J31&lt;&gt;1,"ERROR!!!","")</f>
        <v/>
      </c>
    </row>
    <row r="32" spans="1:17" x14ac:dyDescent="0.25">
      <c r="A32" s="2">
        <v>2027</v>
      </c>
      <c r="B32" s="2">
        <v>6</v>
      </c>
      <c r="C32" s="2">
        <v>1</v>
      </c>
      <c r="D32" s="2">
        <v>1</v>
      </c>
      <c r="E32" s="2">
        <v>1</v>
      </c>
      <c r="F32" s="2">
        <v>3</v>
      </c>
      <c r="G32" s="2">
        <v>2</v>
      </c>
      <c r="H32" s="2">
        <v>2</v>
      </c>
      <c r="I32" s="2">
        <v>2</v>
      </c>
      <c r="J32" s="2">
        <v>3</v>
      </c>
      <c r="K32" s="77" t="str">
        <f t="shared" ref="K32" si="37">IF(D32&lt;&gt;1,"ERROR!!!","")</f>
        <v/>
      </c>
      <c r="L32" s="77" t="str">
        <f t="shared" ref="L32" si="38">IF(E32&lt;&gt;1,"ERROR!!!","")</f>
        <v/>
      </c>
      <c r="M32" s="2">
        <f t="shared" ref="K32:Q36" si="39">_xlfn.LET(_xlpm.StartDay, WEEKDAY(DATE($A32, $B32, 1), 1),_xlpm.DayNum, (COLUMN() - COLUMN($K$32) + 1) + (ROW() - ROW($K$32)) * 7 - _xlpm.StartDay + 1,IF(AND(_xlpm.DayNum &gt; 0, _xlpm.DayNum &lt;= DAY(EOMONTH(DATE($A32, $B32, 1), 0))), _xlpm.DayNum, ""))</f>
        <v>1</v>
      </c>
      <c r="N32" s="2">
        <f t="shared" si="39"/>
        <v>2</v>
      </c>
      <c r="O32" s="2">
        <f t="shared" si="39"/>
        <v>3</v>
      </c>
      <c r="P32" s="2">
        <f t="shared" si="39"/>
        <v>4</v>
      </c>
      <c r="Q32" s="76">
        <f t="shared" si="39"/>
        <v>5</v>
      </c>
    </row>
    <row r="33" spans="1:17" x14ac:dyDescent="0.25">
      <c r="A33" s="2">
        <v>2027</v>
      </c>
      <c r="B33" s="2">
        <v>6</v>
      </c>
      <c r="C33" s="2">
        <v>2</v>
      </c>
      <c r="D33" s="2">
        <v>3</v>
      </c>
      <c r="E33" s="2">
        <v>2</v>
      </c>
      <c r="F33" s="2">
        <v>2</v>
      </c>
      <c r="G33" s="2">
        <v>4</v>
      </c>
      <c r="H33" s="2">
        <v>2</v>
      </c>
      <c r="I33" s="2">
        <v>3</v>
      </c>
      <c r="J33" s="2">
        <v>3</v>
      </c>
      <c r="K33" s="76">
        <f t="shared" si="39"/>
        <v>6</v>
      </c>
      <c r="L33" s="2">
        <f t="shared" si="39"/>
        <v>7</v>
      </c>
      <c r="M33" s="2">
        <f t="shared" si="39"/>
        <v>8</v>
      </c>
      <c r="N33" s="2">
        <f t="shared" si="39"/>
        <v>9</v>
      </c>
      <c r="O33" s="2">
        <f t="shared" si="39"/>
        <v>10</v>
      </c>
      <c r="P33" s="2">
        <f t="shared" si="39"/>
        <v>11</v>
      </c>
      <c r="Q33" s="76">
        <f t="shared" si="39"/>
        <v>12</v>
      </c>
    </row>
    <row r="34" spans="1:17" x14ac:dyDescent="0.25">
      <c r="A34" s="2">
        <v>2027</v>
      </c>
      <c r="B34" s="2">
        <v>6</v>
      </c>
      <c r="C34" s="2">
        <v>3</v>
      </c>
      <c r="D34" s="2">
        <v>2</v>
      </c>
      <c r="E34" s="2">
        <v>3</v>
      </c>
      <c r="F34" s="2">
        <v>3</v>
      </c>
      <c r="G34" s="2">
        <v>4</v>
      </c>
      <c r="H34" s="2">
        <v>2</v>
      </c>
      <c r="I34" s="2">
        <v>3</v>
      </c>
      <c r="J34" s="2">
        <v>2</v>
      </c>
      <c r="K34" s="76">
        <f t="shared" si="39"/>
        <v>13</v>
      </c>
      <c r="L34" s="2">
        <f t="shared" si="39"/>
        <v>14</v>
      </c>
      <c r="M34" s="2">
        <f t="shared" si="39"/>
        <v>15</v>
      </c>
      <c r="N34" s="2">
        <f t="shared" si="39"/>
        <v>16</v>
      </c>
      <c r="O34" s="2">
        <f t="shared" si="39"/>
        <v>17</v>
      </c>
      <c r="P34" s="2">
        <f t="shared" si="39"/>
        <v>18</v>
      </c>
      <c r="Q34" s="76">
        <f t="shared" si="39"/>
        <v>19</v>
      </c>
    </row>
    <row r="35" spans="1:17" x14ac:dyDescent="0.25">
      <c r="A35" s="2">
        <v>2027</v>
      </c>
      <c r="B35" s="2">
        <v>6</v>
      </c>
      <c r="C35" s="2">
        <v>4</v>
      </c>
      <c r="D35" s="2">
        <v>2</v>
      </c>
      <c r="E35" s="2">
        <v>3</v>
      </c>
      <c r="F35" s="2">
        <v>2</v>
      </c>
      <c r="G35" s="2">
        <v>3</v>
      </c>
      <c r="H35" s="2">
        <v>3</v>
      </c>
      <c r="I35" s="2">
        <v>3</v>
      </c>
      <c r="J35" s="2">
        <v>2</v>
      </c>
      <c r="K35" s="76">
        <f t="shared" si="39"/>
        <v>20</v>
      </c>
      <c r="L35" s="2">
        <f t="shared" si="39"/>
        <v>21</v>
      </c>
      <c r="M35" s="2">
        <f t="shared" si="39"/>
        <v>22</v>
      </c>
      <c r="N35" s="2">
        <f t="shared" si="39"/>
        <v>23</v>
      </c>
      <c r="O35" s="2">
        <f t="shared" si="39"/>
        <v>24</v>
      </c>
      <c r="P35" s="2">
        <f t="shared" si="39"/>
        <v>25</v>
      </c>
      <c r="Q35" s="76">
        <f t="shared" si="39"/>
        <v>26</v>
      </c>
    </row>
    <row r="36" spans="1:17" x14ac:dyDescent="0.25">
      <c r="A36" s="2">
        <v>2027</v>
      </c>
      <c r="B36" s="2">
        <v>6</v>
      </c>
      <c r="C36" s="2">
        <v>5</v>
      </c>
      <c r="D36" s="2">
        <v>4</v>
      </c>
      <c r="E36" s="2">
        <v>3</v>
      </c>
      <c r="F36" s="2">
        <v>2</v>
      </c>
      <c r="G36" s="2">
        <v>2</v>
      </c>
      <c r="H36" s="2">
        <v>1</v>
      </c>
      <c r="I36" s="2">
        <v>1</v>
      </c>
      <c r="J36" s="2">
        <v>1</v>
      </c>
      <c r="K36" s="76">
        <f t="shared" si="39"/>
        <v>27</v>
      </c>
      <c r="L36" s="2">
        <f t="shared" si="39"/>
        <v>28</v>
      </c>
      <c r="M36" s="2">
        <f t="shared" si="39"/>
        <v>29</v>
      </c>
      <c r="N36" s="2">
        <f t="shared" si="39"/>
        <v>30</v>
      </c>
      <c r="O36" s="77" t="str">
        <f t="shared" ref="O36:O37" si="40">IF(H36&lt;&gt;1,"ERROR!!!","")</f>
        <v/>
      </c>
      <c r="P36" s="77" t="str">
        <f t="shared" ref="P36:P37" si="41">IF(I36&lt;&gt;1,"ERROR!!!","")</f>
        <v/>
      </c>
      <c r="Q36" s="77" t="str">
        <f t="shared" ref="Q36:Q37" si="42">IF(J36&lt;&gt;1,"ERROR!!!","")</f>
        <v/>
      </c>
    </row>
    <row r="37" spans="1:17" x14ac:dyDescent="0.25">
      <c r="A37" s="2">
        <v>2027</v>
      </c>
      <c r="B37" s="2">
        <v>6</v>
      </c>
      <c r="C37" s="2">
        <v>6</v>
      </c>
      <c r="D37" s="2">
        <v>1</v>
      </c>
      <c r="E37" s="2">
        <v>1</v>
      </c>
      <c r="F37" s="2">
        <v>1</v>
      </c>
      <c r="G37" s="2">
        <v>1</v>
      </c>
      <c r="H37" s="2">
        <v>1</v>
      </c>
      <c r="I37" s="2">
        <v>1</v>
      </c>
      <c r="J37" s="2">
        <v>1</v>
      </c>
      <c r="K37" s="77" t="str">
        <f t="shared" ref="K37:K38" si="43">IF(D37&lt;&gt;1,"ERROR!!!","")</f>
        <v/>
      </c>
      <c r="L37" s="77" t="str">
        <f t="shared" ref="L37:L38" si="44">IF(E37&lt;&gt;1,"ERROR!!!","")</f>
        <v/>
      </c>
      <c r="M37" s="77" t="str">
        <f t="shared" ref="M37:M38" si="45">IF(F37&lt;&gt;1,"ERROR!!!","")</f>
        <v/>
      </c>
      <c r="N37" s="77" t="str">
        <f t="shared" ref="N37:N38" si="46">IF(G37&lt;&gt;1,"ERROR!!!","")</f>
        <v/>
      </c>
      <c r="O37" s="77" t="str">
        <f t="shared" si="40"/>
        <v/>
      </c>
      <c r="P37" s="77" t="str">
        <f t="shared" si="41"/>
        <v/>
      </c>
      <c r="Q37" s="77" t="str">
        <f t="shared" si="42"/>
        <v/>
      </c>
    </row>
    <row r="38" spans="1:17" x14ac:dyDescent="0.25">
      <c r="A38" s="2">
        <v>2027</v>
      </c>
      <c r="B38" s="2">
        <v>7</v>
      </c>
      <c r="C38" s="2">
        <v>1</v>
      </c>
      <c r="D38" s="2">
        <v>1</v>
      </c>
      <c r="E38" s="2">
        <v>1</v>
      </c>
      <c r="F38" s="2">
        <v>1</v>
      </c>
      <c r="G38" s="2">
        <v>1</v>
      </c>
      <c r="H38" s="2">
        <v>4</v>
      </c>
      <c r="I38" s="2">
        <v>3</v>
      </c>
      <c r="J38" s="2">
        <v>3</v>
      </c>
      <c r="K38" s="77" t="str">
        <f t="shared" si="43"/>
        <v/>
      </c>
      <c r="L38" s="77" t="str">
        <f t="shared" si="44"/>
        <v/>
      </c>
      <c r="M38" s="77" t="str">
        <f t="shared" si="45"/>
        <v/>
      </c>
      <c r="N38" s="77" t="str">
        <f t="shared" si="46"/>
        <v/>
      </c>
      <c r="O38" s="2">
        <f t="shared" ref="K38:Q42" si="47">_xlfn.LET(_xlpm.StartDay, WEEKDAY(DATE($A38, $B38, 1), 1),_xlpm.DayNum, (COLUMN() - COLUMN($K$38) + 1) + (ROW() - ROW($K$38)) * 7 - _xlpm.StartDay + 1,IF(AND(_xlpm.DayNum &gt; 0, _xlpm.DayNum &lt;= DAY(EOMONTH(DATE($A38, $B38, 1), 0))), _xlpm.DayNum, ""))</f>
        <v>1</v>
      </c>
      <c r="P38" s="2">
        <f t="shared" si="47"/>
        <v>2</v>
      </c>
      <c r="Q38" s="76">
        <f t="shared" si="47"/>
        <v>3</v>
      </c>
    </row>
    <row r="39" spans="1:17" x14ac:dyDescent="0.25">
      <c r="A39" s="2">
        <v>2027</v>
      </c>
      <c r="B39" s="2">
        <v>7</v>
      </c>
      <c r="C39" s="2">
        <v>2</v>
      </c>
      <c r="D39" s="2">
        <v>3</v>
      </c>
      <c r="E39" s="2">
        <v>2</v>
      </c>
      <c r="F39" s="2">
        <v>2</v>
      </c>
      <c r="G39" s="2">
        <v>3</v>
      </c>
      <c r="H39" s="2">
        <v>3</v>
      </c>
      <c r="I39" s="2">
        <v>3</v>
      </c>
      <c r="J39" s="2">
        <v>3</v>
      </c>
      <c r="K39" s="76">
        <f t="shared" si="47"/>
        <v>4</v>
      </c>
      <c r="L39" s="2">
        <f t="shared" si="47"/>
        <v>5</v>
      </c>
      <c r="M39" s="2">
        <f t="shared" si="47"/>
        <v>6</v>
      </c>
      <c r="N39" s="2">
        <f t="shared" si="47"/>
        <v>7</v>
      </c>
      <c r="O39" s="2">
        <f t="shared" si="47"/>
        <v>8</v>
      </c>
      <c r="P39" s="2">
        <f t="shared" si="47"/>
        <v>9</v>
      </c>
      <c r="Q39" s="76">
        <f t="shared" si="47"/>
        <v>10</v>
      </c>
    </row>
    <row r="40" spans="1:17" x14ac:dyDescent="0.25">
      <c r="A40" s="2">
        <v>2027</v>
      </c>
      <c r="B40" s="2">
        <v>7</v>
      </c>
      <c r="C40" s="2">
        <v>3</v>
      </c>
      <c r="D40" s="2">
        <v>2</v>
      </c>
      <c r="E40" s="2">
        <v>2</v>
      </c>
      <c r="F40" s="2">
        <v>2</v>
      </c>
      <c r="G40" s="2">
        <v>2</v>
      </c>
      <c r="H40" s="2">
        <v>3</v>
      </c>
      <c r="I40" s="2">
        <v>2</v>
      </c>
      <c r="J40" s="2">
        <v>2</v>
      </c>
      <c r="K40" s="76">
        <f t="shared" si="47"/>
        <v>11</v>
      </c>
      <c r="L40" s="2">
        <f t="shared" si="47"/>
        <v>12</v>
      </c>
      <c r="M40" s="2">
        <f t="shared" si="47"/>
        <v>13</v>
      </c>
      <c r="N40" s="2">
        <f t="shared" si="47"/>
        <v>14</v>
      </c>
      <c r="O40" s="2">
        <f t="shared" si="47"/>
        <v>15</v>
      </c>
      <c r="P40" s="2">
        <f t="shared" si="47"/>
        <v>16</v>
      </c>
      <c r="Q40" s="76">
        <f t="shared" si="47"/>
        <v>17</v>
      </c>
    </row>
    <row r="41" spans="1:17" x14ac:dyDescent="0.25">
      <c r="A41" s="2">
        <v>2027</v>
      </c>
      <c r="B41" s="2">
        <v>7</v>
      </c>
      <c r="C41" s="2">
        <v>4</v>
      </c>
      <c r="D41" s="2">
        <v>2</v>
      </c>
      <c r="E41" s="2">
        <v>2</v>
      </c>
      <c r="F41" s="2">
        <v>3</v>
      </c>
      <c r="G41" s="2">
        <v>4</v>
      </c>
      <c r="H41" s="2">
        <v>3</v>
      </c>
      <c r="I41" s="2">
        <v>2</v>
      </c>
      <c r="J41" s="2">
        <v>2</v>
      </c>
      <c r="K41" s="76">
        <f t="shared" si="47"/>
        <v>18</v>
      </c>
      <c r="L41" s="2">
        <f t="shared" si="47"/>
        <v>19</v>
      </c>
      <c r="M41" s="2">
        <f t="shared" si="47"/>
        <v>20</v>
      </c>
      <c r="N41" s="2">
        <f t="shared" si="47"/>
        <v>21</v>
      </c>
      <c r="O41" s="2">
        <f t="shared" si="47"/>
        <v>22</v>
      </c>
      <c r="P41" s="2">
        <f t="shared" si="47"/>
        <v>23</v>
      </c>
      <c r="Q41" s="76">
        <f t="shared" si="47"/>
        <v>24</v>
      </c>
    </row>
    <row r="42" spans="1:17" x14ac:dyDescent="0.25">
      <c r="A42" s="2">
        <v>2027</v>
      </c>
      <c r="B42" s="2">
        <v>7</v>
      </c>
      <c r="C42" s="2">
        <v>5</v>
      </c>
      <c r="D42" s="2">
        <v>3</v>
      </c>
      <c r="E42" s="2">
        <v>2</v>
      </c>
      <c r="F42" s="2">
        <v>2</v>
      </c>
      <c r="G42" s="2">
        <v>4</v>
      </c>
      <c r="H42" s="2">
        <v>3</v>
      </c>
      <c r="I42" s="2">
        <v>2</v>
      </c>
      <c r="J42" s="2">
        <v>2</v>
      </c>
      <c r="K42" s="76">
        <f t="shared" si="47"/>
        <v>25</v>
      </c>
      <c r="L42" s="2">
        <f t="shared" si="47"/>
        <v>26</v>
      </c>
      <c r="M42" s="2">
        <f t="shared" si="47"/>
        <v>27</v>
      </c>
      <c r="N42" s="2">
        <f t="shared" si="47"/>
        <v>28</v>
      </c>
      <c r="O42" s="2">
        <f t="shared" si="47"/>
        <v>29</v>
      </c>
      <c r="P42" s="2">
        <f t="shared" si="47"/>
        <v>30</v>
      </c>
      <c r="Q42" s="76">
        <f t="shared" si="47"/>
        <v>31</v>
      </c>
    </row>
    <row r="43" spans="1:17" x14ac:dyDescent="0.25">
      <c r="A43" s="2">
        <v>2027</v>
      </c>
      <c r="B43" s="2">
        <v>7</v>
      </c>
      <c r="C43" s="2">
        <v>6</v>
      </c>
      <c r="D43" s="2">
        <v>1</v>
      </c>
      <c r="E43" s="2">
        <v>1</v>
      </c>
      <c r="F43" s="2">
        <v>1</v>
      </c>
      <c r="G43" s="2">
        <v>1</v>
      </c>
      <c r="H43" s="2">
        <v>1</v>
      </c>
      <c r="I43" s="2">
        <v>1</v>
      </c>
      <c r="J43" s="2">
        <v>1</v>
      </c>
      <c r="K43" s="77" t="str">
        <f t="shared" ref="K43" si="48">IF(D43&lt;&gt;1,"ERROR!!!","")</f>
        <v/>
      </c>
      <c r="L43" s="77" t="str">
        <f t="shared" ref="L43" si="49">IF(E43&lt;&gt;1,"ERROR!!!","")</f>
        <v/>
      </c>
      <c r="M43" s="77" t="str">
        <f t="shared" ref="M43" si="50">IF(F43&lt;&gt;1,"ERROR!!!","")</f>
        <v/>
      </c>
      <c r="N43" s="77" t="str">
        <f t="shared" ref="N43" si="51">IF(G43&lt;&gt;1,"ERROR!!!","")</f>
        <v/>
      </c>
      <c r="O43" s="77" t="str">
        <f t="shared" ref="O43" si="52">IF(H43&lt;&gt;1,"ERROR!!!","")</f>
        <v/>
      </c>
      <c r="P43" s="77" t="str">
        <f t="shared" ref="P43" si="53">IF(I43&lt;&gt;1,"ERROR!!!","")</f>
        <v/>
      </c>
      <c r="Q43" s="77" t="str">
        <f t="shared" ref="Q43" si="54">IF(J43&lt;&gt;1,"ERROR!!!","")</f>
        <v/>
      </c>
    </row>
    <row r="44" spans="1:17" x14ac:dyDescent="0.25">
      <c r="A44" s="2">
        <v>2027</v>
      </c>
      <c r="B44" s="2">
        <v>8</v>
      </c>
      <c r="C44" s="2">
        <v>1</v>
      </c>
      <c r="D44" s="2">
        <v>2</v>
      </c>
      <c r="E44" s="2">
        <v>2</v>
      </c>
      <c r="F44" s="2">
        <v>2</v>
      </c>
      <c r="G44" s="2">
        <v>2</v>
      </c>
      <c r="H44" s="2">
        <v>2</v>
      </c>
      <c r="I44" s="2">
        <v>2</v>
      </c>
      <c r="J44" s="2">
        <v>3</v>
      </c>
      <c r="K44" s="76">
        <f t="shared" ref="K44:Q48" si="55">_xlfn.LET(_xlpm.StartDay, WEEKDAY(DATE($A44, $B44, 1), 1),_xlpm.DayNum, (COLUMN() - COLUMN($K$44) + 1) + (ROW() - ROW($K$44)) * 7 - _xlpm.StartDay + 1,IF(AND(_xlpm.DayNum &gt; 0, _xlpm.DayNum &lt;= DAY(EOMONTH(DATE($A44, $B44, 1), 0))), _xlpm.DayNum, ""))</f>
        <v>1</v>
      </c>
      <c r="L44" s="2">
        <f t="shared" si="55"/>
        <v>2</v>
      </c>
      <c r="M44" s="2">
        <f t="shared" si="55"/>
        <v>3</v>
      </c>
      <c r="N44" s="2">
        <f t="shared" si="55"/>
        <v>4</v>
      </c>
      <c r="O44" s="2">
        <f t="shared" si="55"/>
        <v>5</v>
      </c>
      <c r="P44" s="2">
        <f t="shared" si="55"/>
        <v>6</v>
      </c>
      <c r="Q44" s="76">
        <f t="shared" si="55"/>
        <v>7</v>
      </c>
    </row>
    <row r="45" spans="1:17" x14ac:dyDescent="0.25">
      <c r="A45" s="2">
        <v>2027</v>
      </c>
      <c r="B45" s="2">
        <v>8</v>
      </c>
      <c r="C45" s="2">
        <v>2</v>
      </c>
      <c r="D45" s="2">
        <v>2</v>
      </c>
      <c r="E45" s="2">
        <v>3</v>
      </c>
      <c r="F45" s="2">
        <v>2</v>
      </c>
      <c r="G45" s="2">
        <v>3</v>
      </c>
      <c r="H45" s="2">
        <v>2</v>
      </c>
      <c r="I45" s="2">
        <v>4</v>
      </c>
      <c r="J45" s="2">
        <v>3</v>
      </c>
      <c r="K45" s="76">
        <f t="shared" si="55"/>
        <v>8</v>
      </c>
      <c r="L45" s="2">
        <f t="shared" si="55"/>
        <v>9</v>
      </c>
      <c r="M45" s="2">
        <f t="shared" si="55"/>
        <v>10</v>
      </c>
      <c r="N45" s="2">
        <f t="shared" si="55"/>
        <v>11</v>
      </c>
      <c r="O45" s="2">
        <f t="shared" si="55"/>
        <v>12</v>
      </c>
      <c r="P45" s="2">
        <f t="shared" si="55"/>
        <v>13</v>
      </c>
      <c r="Q45" s="76">
        <f t="shared" si="55"/>
        <v>14</v>
      </c>
    </row>
    <row r="46" spans="1:17" x14ac:dyDescent="0.25">
      <c r="A46" s="2">
        <v>2027</v>
      </c>
      <c r="B46" s="2">
        <v>8</v>
      </c>
      <c r="C46" s="2">
        <v>3</v>
      </c>
      <c r="D46" s="2">
        <v>3</v>
      </c>
      <c r="E46" s="2">
        <v>4</v>
      </c>
      <c r="F46" s="2">
        <v>2</v>
      </c>
      <c r="G46" s="2">
        <v>4</v>
      </c>
      <c r="H46" s="2">
        <v>3</v>
      </c>
      <c r="I46" s="2">
        <v>4</v>
      </c>
      <c r="J46" s="2">
        <v>3</v>
      </c>
      <c r="K46" s="76">
        <f t="shared" si="55"/>
        <v>15</v>
      </c>
      <c r="L46" s="2">
        <f t="shared" si="55"/>
        <v>16</v>
      </c>
      <c r="M46" s="2">
        <f t="shared" si="55"/>
        <v>17</v>
      </c>
      <c r="N46" s="2">
        <f t="shared" si="55"/>
        <v>18</v>
      </c>
      <c r="O46" s="2">
        <f t="shared" si="55"/>
        <v>19</v>
      </c>
      <c r="P46" s="2">
        <f t="shared" si="55"/>
        <v>20</v>
      </c>
      <c r="Q46" s="76">
        <f t="shared" si="55"/>
        <v>21</v>
      </c>
    </row>
    <row r="47" spans="1:17" x14ac:dyDescent="0.25">
      <c r="A47" s="2">
        <v>2027</v>
      </c>
      <c r="B47" s="2">
        <v>8</v>
      </c>
      <c r="C47" s="2">
        <v>4</v>
      </c>
      <c r="D47" s="2">
        <v>3</v>
      </c>
      <c r="E47" s="2">
        <v>2</v>
      </c>
      <c r="F47" s="2">
        <v>3</v>
      </c>
      <c r="G47" s="2">
        <v>2</v>
      </c>
      <c r="H47" s="2">
        <v>2</v>
      </c>
      <c r="I47" s="2">
        <v>2</v>
      </c>
      <c r="J47" s="2">
        <v>2</v>
      </c>
      <c r="K47" s="76">
        <f t="shared" si="55"/>
        <v>22</v>
      </c>
      <c r="L47" s="2">
        <f t="shared" si="55"/>
        <v>23</v>
      </c>
      <c r="M47" s="2">
        <f t="shared" si="55"/>
        <v>24</v>
      </c>
      <c r="N47" s="2">
        <f t="shared" si="55"/>
        <v>25</v>
      </c>
      <c r="O47" s="2">
        <f t="shared" si="55"/>
        <v>26</v>
      </c>
      <c r="P47" s="2">
        <f t="shared" si="55"/>
        <v>27</v>
      </c>
      <c r="Q47" s="76">
        <f t="shared" si="55"/>
        <v>28</v>
      </c>
    </row>
    <row r="48" spans="1:17" x14ac:dyDescent="0.25">
      <c r="A48" s="2">
        <v>2027</v>
      </c>
      <c r="B48" s="2">
        <v>8</v>
      </c>
      <c r="C48" s="2">
        <v>5</v>
      </c>
      <c r="D48" s="2">
        <v>2</v>
      </c>
      <c r="E48" s="2">
        <v>3</v>
      </c>
      <c r="F48" s="2">
        <v>3</v>
      </c>
      <c r="G48" s="2">
        <v>1</v>
      </c>
      <c r="H48" s="2">
        <v>1</v>
      </c>
      <c r="I48" s="2">
        <v>1</v>
      </c>
      <c r="J48" s="2">
        <v>1</v>
      </c>
      <c r="K48" s="76">
        <f t="shared" si="55"/>
        <v>29</v>
      </c>
      <c r="L48" s="2">
        <f t="shared" si="55"/>
        <v>30</v>
      </c>
      <c r="M48" s="2">
        <f t="shared" si="55"/>
        <v>31</v>
      </c>
      <c r="N48" s="77" t="str">
        <f t="shared" ref="N48:N49" si="56">IF(G48&lt;&gt;1,"ERROR!!!","")</f>
        <v/>
      </c>
      <c r="O48" s="77" t="str">
        <f t="shared" ref="O48:O49" si="57">IF(H48&lt;&gt;1,"ERROR!!!","")</f>
        <v/>
      </c>
      <c r="P48" s="77" t="str">
        <f t="shared" ref="P48:P49" si="58">IF(I48&lt;&gt;1,"ERROR!!!","")</f>
        <v/>
      </c>
      <c r="Q48" s="77" t="str">
        <f t="shared" ref="Q48:Q49" si="59">IF(J48&lt;&gt;1,"ERROR!!!","")</f>
        <v/>
      </c>
    </row>
    <row r="49" spans="1:17" x14ac:dyDescent="0.25">
      <c r="A49" s="2">
        <v>2027</v>
      </c>
      <c r="B49" s="2">
        <v>8</v>
      </c>
      <c r="C49" s="2">
        <v>6</v>
      </c>
      <c r="D49" s="2">
        <v>1</v>
      </c>
      <c r="E49" s="2">
        <v>1</v>
      </c>
      <c r="F49" s="2">
        <v>1</v>
      </c>
      <c r="G49" s="2">
        <v>1</v>
      </c>
      <c r="H49" s="2">
        <v>1</v>
      </c>
      <c r="I49" s="2">
        <v>1</v>
      </c>
      <c r="J49" s="2">
        <v>1</v>
      </c>
      <c r="K49" s="77" t="str">
        <f t="shared" ref="K49:K50" si="60">IF(D49&lt;&gt;1,"ERROR!!!","")</f>
        <v/>
      </c>
      <c r="L49" s="77" t="str">
        <f t="shared" ref="L49:L50" si="61">IF(E49&lt;&gt;1,"ERROR!!!","")</f>
        <v/>
      </c>
      <c r="M49" s="77" t="str">
        <f t="shared" ref="M49:M50" si="62">IF(F49&lt;&gt;1,"ERROR!!!","")</f>
        <v/>
      </c>
      <c r="N49" s="77" t="str">
        <f t="shared" si="56"/>
        <v/>
      </c>
      <c r="O49" s="77" t="str">
        <f t="shared" si="57"/>
        <v/>
      </c>
      <c r="P49" s="77" t="str">
        <f t="shared" si="58"/>
        <v/>
      </c>
      <c r="Q49" s="77" t="str">
        <f t="shared" si="59"/>
        <v/>
      </c>
    </row>
    <row r="50" spans="1:17" x14ac:dyDescent="0.25">
      <c r="A50" s="2">
        <v>2027</v>
      </c>
      <c r="B50" s="2">
        <v>9</v>
      </c>
      <c r="C50" s="2">
        <v>1</v>
      </c>
      <c r="D50" s="2">
        <v>1</v>
      </c>
      <c r="E50" s="2">
        <v>1</v>
      </c>
      <c r="F50" s="2">
        <v>1</v>
      </c>
      <c r="G50" s="2">
        <v>2</v>
      </c>
      <c r="H50" s="2">
        <v>2</v>
      </c>
      <c r="I50" s="2">
        <v>4</v>
      </c>
      <c r="J50" s="2">
        <v>4</v>
      </c>
      <c r="K50" s="77" t="str">
        <f t="shared" si="60"/>
        <v/>
      </c>
      <c r="L50" s="77" t="str">
        <f t="shared" si="61"/>
        <v/>
      </c>
      <c r="M50" s="77" t="str">
        <f t="shared" si="62"/>
        <v/>
      </c>
      <c r="N50" s="2">
        <f t="shared" ref="K50:Q54" si="63">_xlfn.LET(_xlpm.StartDay, WEEKDAY(DATE($A50, $B50, 1), 1),_xlpm.DayNum, (COLUMN() - COLUMN($K$50) + 1) + (ROW() - ROW($K$50)) * 7 - _xlpm.StartDay + 1,IF(AND(_xlpm.DayNum &gt; 0, _xlpm.DayNum &lt;= DAY(EOMONTH(DATE($A50, $B50, 1), 0))), _xlpm.DayNum, ""))</f>
        <v>1</v>
      </c>
      <c r="O50" s="2">
        <f t="shared" si="63"/>
        <v>2</v>
      </c>
      <c r="P50" s="2">
        <f t="shared" si="63"/>
        <v>3</v>
      </c>
      <c r="Q50" s="76">
        <f t="shared" si="63"/>
        <v>4</v>
      </c>
    </row>
    <row r="51" spans="1:17" x14ac:dyDescent="0.25">
      <c r="A51" s="2">
        <v>2027</v>
      </c>
      <c r="B51" s="2">
        <v>9</v>
      </c>
      <c r="C51" s="2">
        <v>2</v>
      </c>
      <c r="D51" s="2">
        <v>2</v>
      </c>
      <c r="E51" s="2">
        <v>3</v>
      </c>
      <c r="F51" s="2">
        <v>3</v>
      </c>
      <c r="G51" s="2">
        <v>4</v>
      </c>
      <c r="H51" s="2">
        <v>3</v>
      </c>
      <c r="I51" s="2">
        <v>2</v>
      </c>
      <c r="J51" s="2">
        <v>4</v>
      </c>
      <c r="K51" s="76">
        <f t="shared" si="63"/>
        <v>5</v>
      </c>
      <c r="L51" s="2">
        <f t="shared" si="63"/>
        <v>6</v>
      </c>
      <c r="M51" s="2">
        <f t="shared" si="63"/>
        <v>7</v>
      </c>
      <c r="N51" s="2">
        <f t="shared" si="63"/>
        <v>8</v>
      </c>
      <c r="O51" s="2">
        <f t="shared" si="63"/>
        <v>9</v>
      </c>
      <c r="P51" s="2">
        <f t="shared" si="63"/>
        <v>10</v>
      </c>
      <c r="Q51" s="76">
        <f t="shared" si="63"/>
        <v>11</v>
      </c>
    </row>
    <row r="52" spans="1:17" x14ac:dyDescent="0.25">
      <c r="A52" s="2">
        <v>2027</v>
      </c>
      <c r="B52" s="2">
        <v>9</v>
      </c>
      <c r="C52" s="2">
        <v>3</v>
      </c>
      <c r="D52" s="2">
        <v>3</v>
      </c>
      <c r="E52" s="2">
        <v>3</v>
      </c>
      <c r="F52" s="2">
        <v>2</v>
      </c>
      <c r="G52" s="2">
        <v>2</v>
      </c>
      <c r="H52" s="2">
        <v>2</v>
      </c>
      <c r="I52" s="2">
        <v>2</v>
      </c>
      <c r="J52" s="2">
        <v>3</v>
      </c>
      <c r="K52" s="76">
        <f t="shared" si="63"/>
        <v>12</v>
      </c>
      <c r="L52" s="2">
        <f t="shared" si="63"/>
        <v>13</v>
      </c>
      <c r="M52" s="2">
        <f t="shared" si="63"/>
        <v>14</v>
      </c>
      <c r="N52" s="2">
        <f t="shared" si="63"/>
        <v>15</v>
      </c>
      <c r="O52" s="2">
        <f t="shared" si="63"/>
        <v>16</v>
      </c>
      <c r="P52" s="2">
        <f t="shared" si="63"/>
        <v>17</v>
      </c>
      <c r="Q52" s="76">
        <f t="shared" si="63"/>
        <v>18</v>
      </c>
    </row>
    <row r="53" spans="1:17" x14ac:dyDescent="0.25">
      <c r="A53" s="2">
        <v>2027</v>
      </c>
      <c r="B53" s="2">
        <v>9</v>
      </c>
      <c r="C53" s="2">
        <v>4</v>
      </c>
      <c r="D53" s="2">
        <v>3</v>
      </c>
      <c r="E53" s="2">
        <v>3</v>
      </c>
      <c r="F53" s="2">
        <v>3</v>
      </c>
      <c r="G53" s="2">
        <v>3</v>
      </c>
      <c r="H53" s="2">
        <v>2</v>
      </c>
      <c r="I53" s="2">
        <v>2</v>
      </c>
      <c r="J53" s="2">
        <v>2</v>
      </c>
      <c r="K53" s="76">
        <f t="shared" si="63"/>
        <v>19</v>
      </c>
      <c r="L53" s="2">
        <f t="shared" si="63"/>
        <v>20</v>
      </c>
      <c r="M53" s="2">
        <f t="shared" si="63"/>
        <v>21</v>
      </c>
      <c r="N53" s="2">
        <f t="shared" si="63"/>
        <v>22</v>
      </c>
      <c r="O53" s="2">
        <f t="shared" si="63"/>
        <v>23</v>
      </c>
      <c r="P53" s="2">
        <f t="shared" si="63"/>
        <v>24</v>
      </c>
      <c r="Q53" s="76">
        <f t="shared" si="63"/>
        <v>25</v>
      </c>
    </row>
    <row r="54" spans="1:17" x14ac:dyDescent="0.25">
      <c r="A54" s="2">
        <v>2027</v>
      </c>
      <c r="B54" s="2">
        <v>9</v>
      </c>
      <c r="C54" s="2">
        <v>5</v>
      </c>
      <c r="D54" s="2">
        <v>3</v>
      </c>
      <c r="E54" s="2">
        <v>3</v>
      </c>
      <c r="F54" s="2">
        <v>2</v>
      </c>
      <c r="G54" s="2">
        <v>2</v>
      </c>
      <c r="H54" s="2">
        <v>2</v>
      </c>
      <c r="I54" s="2">
        <v>1</v>
      </c>
      <c r="J54" s="2">
        <v>1</v>
      </c>
      <c r="K54" s="76">
        <f t="shared" si="63"/>
        <v>26</v>
      </c>
      <c r="L54" s="2">
        <f t="shared" si="63"/>
        <v>27</v>
      </c>
      <c r="M54" s="2">
        <f t="shared" si="63"/>
        <v>28</v>
      </c>
      <c r="N54" s="2">
        <f t="shared" si="63"/>
        <v>29</v>
      </c>
      <c r="O54" s="2">
        <f t="shared" si="63"/>
        <v>30</v>
      </c>
      <c r="P54" s="77" t="str">
        <f t="shared" ref="P54:P55" si="64">IF(I54&lt;&gt;1,"ERROR!!!","")</f>
        <v/>
      </c>
      <c r="Q54" s="77" t="str">
        <f t="shared" ref="Q54:Q55" si="65">IF(J54&lt;&gt;1,"ERROR!!!","")</f>
        <v/>
      </c>
    </row>
    <row r="55" spans="1:17" x14ac:dyDescent="0.25">
      <c r="A55" s="2">
        <v>2027</v>
      </c>
      <c r="B55" s="2">
        <v>9</v>
      </c>
      <c r="C55" s="2">
        <v>6</v>
      </c>
      <c r="D55" s="2">
        <v>1</v>
      </c>
      <c r="E55" s="2">
        <v>1</v>
      </c>
      <c r="F55" s="2">
        <v>1</v>
      </c>
      <c r="G55" s="2">
        <v>1</v>
      </c>
      <c r="H55" s="2">
        <v>1</v>
      </c>
      <c r="I55" s="2">
        <v>1</v>
      </c>
      <c r="J55" s="2">
        <v>1</v>
      </c>
      <c r="K55" s="77" t="str">
        <f t="shared" ref="K55:K56" si="66">IF(D55&lt;&gt;1,"ERROR!!!","")</f>
        <v/>
      </c>
      <c r="L55" s="77" t="str">
        <f t="shared" ref="L55:L56" si="67">IF(E55&lt;&gt;1,"ERROR!!!","")</f>
        <v/>
      </c>
      <c r="M55" s="77" t="str">
        <f t="shared" ref="M55:M56" si="68">IF(F55&lt;&gt;1,"ERROR!!!","")</f>
        <v/>
      </c>
      <c r="N55" s="77" t="str">
        <f t="shared" ref="N55:N56" si="69">IF(G55&lt;&gt;1,"ERROR!!!","")</f>
        <v/>
      </c>
      <c r="O55" s="77" t="str">
        <f t="shared" ref="O55:O56" si="70">IF(H55&lt;&gt;1,"ERROR!!!","")</f>
        <v/>
      </c>
      <c r="P55" s="77" t="str">
        <f t="shared" si="64"/>
        <v/>
      </c>
      <c r="Q55" s="77" t="str">
        <f t="shared" si="65"/>
        <v/>
      </c>
    </row>
    <row r="56" spans="1:17" x14ac:dyDescent="0.25">
      <c r="A56" s="2">
        <v>2027</v>
      </c>
      <c r="B56" s="2">
        <v>10</v>
      </c>
      <c r="C56" s="2">
        <v>1</v>
      </c>
      <c r="D56" s="2">
        <v>1</v>
      </c>
      <c r="E56" s="2">
        <v>1</v>
      </c>
      <c r="F56" s="2">
        <v>1</v>
      </c>
      <c r="G56" s="2">
        <v>1</v>
      </c>
      <c r="H56" s="2">
        <v>1</v>
      </c>
      <c r="I56" s="2">
        <v>2</v>
      </c>
      <c r="J56" s="2">
        <v>2</v>
      </c>
      <c r="K56" s="77" t="str">
        <f t="shared" si="66"/>
        <v/>
      </c>
      <c r="L56" s="77" t="str">
        <f t="shared" si="67"/>
        <v/>
      </c>
      <c r="M56" s="77" t="str">
        <f t="shared" si="68"/>
        <v/>
      </c>
      <c r="N56" s="77" t="str">
        <f t="shared" si="69"/>
        <v/>
      </c>
      <c r="O56" s="77" t="str">
        <f t="shared" si="70"/>
        <v/>
      </c>
      <c r="P56" s="2">
        <f t="shared" ref="K56:Q61" si="71">_xlfn.LET(_xlpm.StartDay, WEEKDAY(DATE($A56, $B56, 1), 1),_xlpm.DayNum, (COLUMN() - COLUMN($K$56) + 1) + (ROW() - ROW($K$56)) * 7 - _xlpm.StartDay + 1,IF(AND(_xlpm.DayNum &gt; 0, _xlpm.DayNum &lt;= DAY(EOMONTH(DATE($A56, $B56, 1), 0))), _xlpm.DayNum, ""))</f>
        <v>1</v>
      </c>
      <c r="Q56" s="76">
        <f t="shared" si="71"/>
        <v>2</v>
      </c>
    </row>
    <row r="57" spans="1:17" x14ac:dyDescent="0.25">
      <c r="A57" s="2">
        <v>2027</v>
      </c>
      <c r="B57" s="2">
        <v>10</v>
      </c>
      <c r="C57" s="2">
        <v>2</v>
      </c>
      <c r="D57" s="2">
        <v>2</v>
      </c>
      <c r="E57" s="2">
        <v>3</v>
      </c>
      <c r="F57" s="2">
        <v>3</v>
      </c>
      <c r="G57" s="2">
        <v>4</v>
      </c>
      <c r="H57" s="2">
        <v>2</v>
      </c>
      <c r="I57" s="2">
        <v>2</v>
      </c>
      <c r="J57" s="2">
        <v>2</v>
      </c>
      <c r="K57" s="76">
        <f t="shared" si="71"/>
        <v>3</v>
      </c>
      <c r="L57" s="2">
        <f t="shared" si="71"/>
        <v>4</v>
      </c>
      <c r="M57" s="2">
        <f t="shared" si="71"/>
        <v>5</v>
      </c>
      <c r="N57" s="2">
        <f t="shared" si="71"/>
        <v>6</v>
      </c>
      <c r="O57" s="2">
        <f t="shared" si="71"/>
        <v>7</v>
      </c>
      <c r="P57" s="2">
        <f t="shared" si="71"/>
        <v>8</v>
      </c>
      <c r="Q57" s="76">
        <f t="shared" si="71"/>
        <v>9</v>
      </c>
    </row>
    <row r="58" spans="1:17" x14ac:dyDescent="0.25">
      <c r="A58" s="2">
        <v>2027</v>
      </c>
      <c r="B58" s="2">
        <v>10</v>
      </c>
      <c r="C58" s="2">
        <v>3</v>
      </c>
      <c r="D58" s="2">
        <v>3</v>
      </c>
      <c r="E58" s="2">
        <v>3</v>
      </c>
      <c r="F58" s="2">
        <v>2</v>
      </c>
      <c r="G58" s="2">
        <v>3</v>
      </c>
      <c r="H58" s="2">
        <v>2</v>
      </c>
      <c r="I58" s="2">
        <v>4</v>
      </c>
      <c r="J58" s="2">
        <v>3</v>
      </c>
      <c r="K58" s="76">
        <f t="shared" si="71"/>
        <v>10</v>
      </c>
      <c r="L58" s="2">
        <f t="shared" si="71"/>
        <v>11</v>
      </c>
      <c r="M58" s="2">
        <f t="shared" si="71"/>
        <v>12</v>
      </c>
      <c r="N58" s="2">
        <f t="shared" si="71"/>
        <v>13</v>
      </c>
      <c r="O58" s="2">
        <f t="shared" si="71"/>
        <v>14</v>
      </c>
      <c r="P58" s="2">
        <f t="shared" si="71"/>
        <v>15</v>
      </c>
      <c r="Q58" s="76">
        <f t="shared" si="71"/>
        <v>16</v>
      </c>
    </row>
    <row r="59" spans="1:17" x14ac:dyDescent="0.25">
      <c r="A59" s="2">
        <v>2027</v>
      </c>
      <c r="B59" s="2">
        <v>10</v>
      </c>
      <c r="C59" s="2">
        <v>4</v>
      </c>
      <c r="D59" s="2">
        <v>3</v>
      </c>
      <c r="E59" s="2">
        <v>3</v>
      </c>
      <c r="F59" s="2">
        <v>3</v>
      </c>
      <c r="G59" s="2">
        <v>3</v>
      </c>
      <c r="H59" s="2">
        <v>4</v>
      </c>
      <c r="I59" s="2">
        <v>3</v>
      </c>
      <c r="J59" s="2">
        <v>4</v>
      </c>
      <c r="K59" s="76">
        <f t="shared" si="71"/>
        <v>17</v>
      </c>
      <c r="L59" s="2">
        <f t="shared" si="71"/>
        <v>18</v>
      </c>
      <c r="M59" s="2">
        <f t="shared" si="71"/>
        <v>19</v>
      </c>
      <c r="N59" s="2">
        <f t="shared" si="71"/>
        <v>20</v>
      </c>
      <c r="O59" s="2">
        <f t="shared" si="71"/>
        <v>21</v>
      </c>
      <c r="P59" s="2">
        <f t="shared" si="71"/>
        <v>22</v>
      </c>
      <c r="Q59" s="76">
        <f t="shared" si="71"/>
        <v>23</v>
      </c>
    </row>
    <row r="60" spans="1:17" x14ac:dyDescent="0.25">
      <c r="A60" s="2">
        <v>2027</v>
      </c>
      <c r="B60" s="2">
        <v>10</v>
      </c>
      <c r="C60" s="2">
        <v>5</v>
      </c>
      <c r="D60" s="2">
        <v>3</v>
      </c>
      <c r="E60" s="2">
        <v>2</v>
      </c>
      <c r="F60" s="2">
        <v>3</v>
      </c>
      <c r="G60" s="2">
        <v>3</v>
      </c>
      <c r="H60" s="2">
        <v>2</v>
      </c>
      <c r="I60" s="2">
        <v>4</v>
      </c>
      <c r="J60" s="2">
        <v>2</v>
      </c>
      <c r="K60" s="76">
        <f t="shared" si="71"/>
        <v>24</v>
      </c>
      <c r="L60" s="2">
        <f t="shared" si="71"/>
        <v>25</v>
      </c>
      <c r="M60" s="2">
        <f t="shared" si="71"/>
        <v>26</v>
      </c>
      <c r="N60" s="2">
        <f t="shared" si="71"/>
        <v>27</v>
      </c>
      <c r="O60" s="2">
        <f t="shared" si="71"/>
        <v>28</v>
      </c>
      <c r="P60" s="2">
        <f t="shared" si="71"/>
        <v>29</v>
      </c>
      <c r="Q60" s="76">
        <f t="shared" si="71"/>
        <v>30</v>
      </c>
    </row>
    <row r="61" spans="1:17" x14ac:dyDescent="0.25">
      <c r="A61" s="2">
        <v>2027</v>
      </c>
      <c r="B61" s="2">
        <v>10</v>
      </c>
      <c r="C61" s="2">
        <v>6</v>
      </c>
      <c r="D61" s="2">
        <v>2</v>
      </c>
      <c r="E61" s="2">
        <v>1</v>
      </c>
      <c r="F61" s="2">
        <v>1</v>
      </c>
      <c r="G61" s="2">
        <v>1</v>
      </c>
      <c r="H61" s="2">
        <v>1</v>
      </c>
      <c r="I61" s="2">
        <v>1</v>
      </c>
      <c r="J61" s="2">
        <v>1</v>
      </c>
      <c r="K61" s="76">
        <f t="shared" si="71"/>
        <v>31</v>
      </c>
      <c r="L61" s="77" t="str">
        <f t="shared" ref="L61" si="72">IF(E61&lt;&gt;1,"ERROR!!!","")</f>
        <v/>
      </c>
      <c r="M61" s="77" t="str">
        <f t="shared" ref="M61" si="73">IF(F61&lt;&gt;1,"ERROR!!!","")</f>
        <v/>
      </c>
      <c r="N61" s="77" t="str">
        <f t="shared" ref="N61" si="74">IF(G61&lt;&gt;1,"ERROR!!!","")</f>
        <v/>
      </c>
      <c r="O61" s="77" t="str">
        <f t="shared" ref="O61" si="75">IF(H61&lt;&gt;1,"ERROR!!!","")</f>
        <v/>
      </c>
      <c r="P61" s="77" t="str">
        <f t="shared" ref="P61" si="76">IF(I61&lt;&gt;1,"ERROR!!!","")</f>
        <v/>
      </c>
      <c r="Q61" s="77" t="str">
        <f t="shared" ref="Q61" si="77">IF(J61&lt;&gt;1,"ERROR!!!","")</f>
        <v/>
      </c>
    </row>
    <row r="62" spans="1:17" x14ac:dyDescent="0.25">
      <c r="A62" s="2">
        <v>2027</v>
      </c>
      <c r="B62" s="2">
        <v>11</v>
      </c>
      <c r="C62" s="2">
        <v>1</v>
      </c>
      <c r="D62" s="2">
        <v>1</v>
      </c>
      <c r="E62" s="2">
        <v>2</v>
      </c>
      <c r="F62" s="2">
        <v>2</v>
      </c>
      <c r="G62" s="2">
        <v>2</v>
      </c>
      <c r="H62" s="2">
        <v>2</v>
      </c>
      <c r="I62" s="2">
        <v>2</v>
      </c>
      <c r="J62" s="2">
        <v>3</v>
      </c>
      <c r="K62" s="77" t="str">
        <f t="shared" ref="K62" si="78">IF(D62&lt;&gt;1,"ERROR!!!","")</f>
        <v/>
      </c>
      <c r="L62" s="2">
        <f t="shared" ref="K62:Q66" si="79">_xlfn.LET(_xlpm.StartDay, WEEKDAY(DATE($A62, $B62, 1), 1),_xlpm.DayNum, (COLUMN() - COLUMN($K$62) + 1) + (ROW() - ROW($K$62)) * 7 - _xlpm.StartDay + 1,IF(AND(_xlpm.DayNum &gt; 0, _xlpm.DayNum &lt;= DAY(EOMONTH(DATE($A62, $B62, 1), 0))), _xlpm.DayNum, ""))</f>
        <v>1</v>
      </c>
      <c r="M62" s="2">
        <f t="shared" si="79"/>
        <v>2</v>
      </c>
      <c r="N62" s="2">
        <f t="shared" si="79"/>
        <v>3</v>
      </c>
      <c r="O62" s="2">
        <f t="shared" si="79"/>
        <v>4</v>
      </c>
      <c r="P62" s="2">
        <f t="shared" si="79"/>
        <v>5</v>
      </c>
      <c r="Q62" s="76">
        <f t="shared" si="79"/>
        <v>6</v>
      </c>
    </row>
    <row r="63" spans="1:17" x14ac:dyDescent="0.25">
      <c r="A63" s="2">
        <v>2027</v>
      </c>
      <c r="B63" s="2">
        <v>11</v>
      </c>
      <c r="C63" s="2">
        <v>2</v>
      </c>
      <c r="D63" s="2">
        <v>3</v>
      </c>
      <c r="E63" s="2">
        <v>3</v>
      </c>
      <c r="F63" s="2">
        <v>3</v>
      </c>
      <c r="G63" s="2">
        <v>3</v>
      </c>
      <c r="H63" s="2">
        <v>2</v>
      </c>
      <c r="I63" s="2">
        <v>3</v>
      </c>
      <c r="J63" s="2">
        <v>4</v>
      </c>
      <c r="K63" s="76">
        <f t="shared" si="79"/>
        <v>7</v>
      </c>
      <c r="L63" s="2">
        <f t="shared" si="79"/>
        <v>8</v>
      </c>
      <c r="M63" s="2">
        <f t="shared" si="79"/>
        <v>9</v>
      </c>
      <c r="N63" s="2">
        <f t="shared" si="79"/>
        <v>10</v>
      </c>
      <c r="O63" s="2">
        <f t="shared" si="79"/>
        <v>11</v>
      </c>
      <c r="P63" s="2">
        <f t="shared" si="79"/>
        <v>12</v>
      </c>
      <c r="Q63" s="76">
        <f t="shared" si="79"/>
        <v>13</v>
      </c>
    </row>
    <row r="64" spans="1:17" x14ac:dyDescent="0.25">
      <c r="A64" s="2">
        <v>2027</v>
      </c>
      <c r="B64" s="2">
        <v>11</v>
      </c>
      <c r="C64" s="2">
        <v>3</v>
      </c>
      <c r="D64" s="2">
        <v>3</v>
      </c>
      <c r="E64" s="2">
        <v>4</v>
      </c>
      <c r="F64" s="2">
        <v>2</v>
      </c>
      <c r="G64" s="2">
        <v>2</v>
      </c>
      <c r="H64" s="2">
        <v>2</v>
      </c>
      <c r="I64" s="2">
        <v>3</v>
      </c>
      <c r="J64" s="2">
        <v>3</v>
      </c>
      <c r="K64" s="76">
        <f t="shared" si="79"/>
        <v>14</v>
      </c>
      <c r="L64" s="2">
        <f t="shared" si="79"/>
        <v>15</v>
      </c>
      <c r="M64" s="2">
        <f t="shared" si="79"/>
        <v>16</v>
      </c>
      <c r="N64" s="2">
        <f t="shared" si="79"/>
        <v>17</v>
      </c>
      <c r="O64" s="2">
        <f t="shared" si="79"/>
        <v>18</v>
      </c>
      <c r="P64" s="2">
        <f t="shared" si="79"/>
        <v>19</v>
      </c>
      <c r="Q64" s="76">
        <f t="shared" si="79"/>
        <v>20</v>
      </c>
    </row>
    <row r="65" spans="1:17" x14ac:dyDescent="0.25">
      <c r="A65" s="2">
        <v>2027</v>
      </c>
      <c r="B65" s="2">
        <v>11</v>
      </c>
      <c r="C65" s="2">
        <v>4</v>
      </c>
      <c r="D65" s="2">
        <v>3</v>
      </c>
      <c r="E65" s="2">
        <v>3</v>
      </c>
      <c r="F65" s="2">
        <v>2</v>
      </c>
      <c r="G65" s="2">
        <v>3</v>
      </c>
      <c r="H65" s="2">
        <v>2</v>
      </c>
      <c r="I65" s="2">
        <v>4</v>
      </c>
      <c r="J65" s="2">
        <v>2</v>
      </c>
      <c r="K65" s="76">
        <f t="shared" si="79"/>
        <v>21</v>
      </c>
      <c r="L65" s="2">
        <f t="shared" si="79"/>
        <v>22</v>
      </c>
      <c r="M65" s="2">
        <f t="shared" si="79"/>
        <v>23</v>
      </c>
      <c r="N65" s="2">
        <f t="shared" si="79"/>
        <v>24</v>
      </c>
      <c r="O65" s="2">
        <f t="shared" si="79"/>
        <v>25</v>
      </c>
      <c r="P65" s="2">
        <f t="shared" si="79"/>
        <v>26</v>
      </c>
      <c r="Q65" s="76">
        <f t="shared" si="79"/>
        <v>27</v>
      </c>
    </row>
    <row r="66" spans="1:17" x14ac:dyDescent="0.25">
      <c r="A66" s="2">
        <v>2027</v>
      </c>
      <c r="B66" s="2">
        <v>11</v>
      </c>
      <c r="C66" s="2">
        <v>5</v>
      </c>
      <c r="D66" s="2">
        <v>4</v>
      </c>
      <c r="E66" s="2">
        <v>2</v>
      </c>
      <c r="F66" s="2">
        <v>2</v>
      </c>
      <c r="G66" s="2">
        <v>1</v>
      </c>
      <c r="H66" s="2">
        <v>1</v>
      </c>
      <c r="I66" s="2">
        <v>1</v>
      </c>
      <c r="J66" s="2">
        <v>1</v>
      </c>
      <c r="K66" s="76">
        <f t="shared" si="79"/>
        <v>28</v>
      </c>
      <c r="L66" s="2">
        <f t="shared" si="79"/>
        <v>29</v>
      </c>
      <c r="M66" s="2">
        <f t="shared" si="79"/>
        <v>30</v>
      </c>
      <c r="N66" s="77" t="str">
        <f t="shared" ref="N66:N67" si="80">IF(G66&lt;&gt;1,"ERROR!!!","")</f>
        <v/>
      </c>
      <c r="O66" s="77" t="str">
        <f t="shared" ref="O66:O67" si="81">IF(H66&lt;&gt;1,"ERROR!!!","")</f>
        <v/>
      </c>
      <c r="P66" s="77" t="str">
        <f t="shared" ref="P66:P67" si="82">IF(I66&lt;&gt;1,"ERROR!!!","")</f>
        <v/>
      </c>
      <c r="Q66" s="77" t="str">
        <f t="shared" ref="Q66:Q67" si="83">IF(J66&lt;&gt;1,"ERROR!!!","")</f>
        <v/>
      </c>
    </row>
    <row r="67" spans="1:17" x14ac:dyDescent="0.25">
      <c r="A67" s="2">
        <v>2027</v>
      </c>
      <c r="B67" s="2">
        <v>11</v>
      </c>
      <c r="C67" s="2">
        <v>6</v>
      </c>
      <c r="D67" s="2">
        <v>1</v>
      </c>
      <c r="E67" s="2">
        <v>1</v>
      </c>
      <c r="F67" s="2">
        <v>1</v>
      </c>
      <c r="G67" s="2">
        <v>1</v>
      </c>
      <c r="H67" s="2">
        <v>1</v>
      </c>
      <c r="I67" s="2">
        <v>1</v>
      </c>
      <c r="J67" s="2">
        <v>1</v>
      </c>
      <c r="K67" s="77" t="str">
        <f t="shared" ref="K67:K68" si="84">IF(D67&lt;&gt;1,"ERROR!!!","")</f>
        <v/>
      </c>
      <c r="L67" s="77" t="str">
        <f t="shared" ref="L67:L68" si="85">IF(E67&lt;&gt;1,"ERROR!!!","")</f>
        <v/>
      </c>
      <c r="M67" s="77" t="str">
        <f t="shared" ref="M67:M68" si="86">IF(F67&lt;&gt;1,"ERROR!!!","")</f>
        <v/>
      </c>
      <c r="N67" s="77" t="str">
        <f t="shared" si="80"/>
        <v/>
      </c>
      <c r="O67" s="77" t="str">
        <f t="shared" si="81"/>
        <v/>
      </c>
      <c r="P67" s="77" t="str">
        <f t="shared" si="82"/>
        <v/>
      </c>
      <c r="Q67" s="77" t="str">
        <f t="shared" si="83"/>
        <v/>
      </c>
    </row>
    <row r="68" spans="1:17" x14ac:dyDescent="0.25">
      <c r="A68" s="2">
        <v>2027</v>
      </c>
      <c r="B68" s="2">
        <v>12</v>
      </c>
      <c r="C68" s="2">
        <v>1</v>
      </c>
      <c r="D68" s="2">
        <v>1</v>
      </c>
      <c r="E68" s="2">
        <v>1</v>
      </c>
      <c r="F68" s="2">
        <v>1</v>
      </c>
      <c r="G68" s="2">
        <v>2</v>
      </c>
      <c r="H68" s="2">
        <v>3</v>
      </c>
      <c r="I68" s="2">
        <v>3</v>
      </c>
      <c r="J68" s="2">
        <v>4</v>
      </c>
      <c r="K68" s="77" t="str">
        <f t="shared" si="84"/>
        <v/>
      </c>
      <c r="L68" s="77" t="str">
        <f t="shared" si="85"/>
        <v/>
      </c>
      <c r="M68" s="77" t="str">
        <f t="shared" si="86"/>
        <v/>
      </c>
      <c r="N68" s="2">
        <f t="shared" ref="K68:Q72" si="87">_xlfn.LET(_xlpm.StartDay, WEEKDAY(DATE($A68, $B68, 1), 1),_xlpm.DayNum, (COLUMN() - COLUMN($K$68) + 1) + (ROW() - ROW($K$68)) * 7 - _xlpm.StartDay + 1,IF(AND(_xlpm.DayNum &gt; 0, _xlpm.DayNum &lt;= DAY(EOMONTH(DATE($A68, $B68, 1), 0))), _xlpm.DayNum, ""))</f>
        <v>1</v>
      </c>
      <c r="O68" s="2">
        <f t="shared" si="87"/>
        <v>2</v>
      </c>
      <c r="P68" s="2">
        <f t="shared" si="87"/>
        <v>3</v>
      </c>
      <c r="Q68" s="76">
        <f t="shared" si="87"/>
        <v>4</v>
      </c>
    </row>
    <row r="69" spans="1:17" x14ac:dyDescent="0.25">
      <c r="A69" s="2">
        <v>2027</v>
      </c>
      <c r="B69" s="2">
        <v>12</v>
      </c>
      <c r="C69" s="2">
        <v>2</v>
      </c>
      <c r="D69" s="2">
        <v>2</v>
      </c>
      <c r="E69" s="2">
        <v>2</v>
      </c>
      <c r="F69" s="2">
        <v>2</v>
      </c>
      <c r="G69" s="2">
        <v>2</v>
      </c>
      <c r="H69" s="2">
        <v>3</v>
      </c>
      <c r="I69" s="2">
        <v>2</v>
      </c>
      <c r="J69" s="2">
        <v>4</v>
      </c>
      <c r="K69" s="76">
        <f t="shared" si="87"/>
        <v>5</v>
      </c>
      <c r="L69" s="2">
        <f t="shared" si="87"/>
        <v>6</v>
      </c>
      <c r="M69" s="2">
        <f t="shared" si="87"/>
        <v>7</v>
      </c>
      <c r="N69" s="2">
        <f t="shared" si="87"/>
        <v>8</v>
      </c>
      <c r="O69" s="2">
        <f t="shared" si="87"/>
        <v>9</v>
      </c>
      <c r="P69" s="2">
        <f t="shared" si="87"/>
        <v>10</v>
      </c>
      <c r="Q69" s="76">
        <f t="shared" si="87"/>
        <v>11</v>
      </c>
    </row>
    <row r="70" spans="1:17" x14ac:dyDescent="0.25">
      <c r="A70" s="2">
        <v>2027</v>
      </c>
      <c r="B70" s="2">
        <v>12</v>
      </c>
      <c r="C70" s="2">
        <v>3</v>
      </c>
      <c r="D70" s="2">
        <v>2</v>
      </c>
      <c r="E70" s="2">
        <v>3</v>
      </c>
      <c r="F70" s="2">
        <v>3</v>
      </c>
      <c r="G70" s="2">
        <v>3</v>
      </c>
      <c r="H70" s="2">
        <v>2</v>
      </c>
      <c r="I70" s="2">
        <v>2</v>
      </c>
      <c r="J70" s="2">
        <v>3</v>
      </c>
      <c r="K70" s="76">
        <f t="shared" si="87"/>
        <v>12</v>
      </c>
      <c r="L70" s="2">
        <f t="shared" si="87"/>
        <v>13</v>
      </c>
      <c r="M70" s="2">
        <f t="shared" si="87"/>
        <v>14</v>
      </c>
      <c r="N70" s="2">
        <f t="shared" si="87"/>
        <v>15</v>
      </c>
      <c r="O70" s="2">
        <f t="shared" si="87"/>
        <v>16</v>
      </c>
      <c r="P70" s="2">
        <f t="shared" si="87"/>
        <v>17</v>
      </c>
      <c r="Q70" s="76">
        <f t="shared" si="87"/>
        <v>18</v>
      </c>
    </row>
    <row r="71" spans="1:17" x14ac:dyDescent="0.25">
      <c r="A71" s="2">
        <v>2027</v>
      </c>
      <c r="B71" s="2">
        <v>12</v>
      </c>
      <c r="C71" s="2">
        <v>4</v>
      </c>
      <c r="D71" s="2">
        <v>2</v>
      </c>
      <c r="E71" s="2">
        <v>3</v>
      </c>
      <c r="F71" s="2">
        <v>2</v>
      </c>
      <c r="G71" s="2">
        <v>3</v>
      </c>
      <c r="H71" s="2">
        <v>3</v>
      </c>
      <c r="I71" s="2">
        <v>2</v>
      </c>
      <c r="J71" s="2">
        <v>3</v>
      </c>
      <c r="K71" s="76">
        <f t="shared" si="87"/>
        <v>19</v>
      </c>
      <c r="L71" s="2">
        <f t="shared" si="87"/>
        <v>20</v>
      </c>
      <c r="M71" s="2">
        <f t="shared" si="87"/>
        <v>21</v>
      </c>
      <c r="N71" s="2">
        <f t="shared" si="87"/>
        <v>22</v>
      </c>
      <c r="O71" s="2">
        <f t="shared" si="87"/>
        <v>23</v>
      </c>
      <c r="P71" s="2">
        <f t="shared" si="87"/>
        <v>24</v>
      </c>
      <c r="Q71" s="76">
        <f t="shared" si="87"/>
        <v>25</v>
      </c>
    </row>
    <row r="72" spans="1:17" x14ac:dyDescent="0.25">
      <c r="A72" s="2">
        <v>2027</v>
      </c>
      <c r="B72" s="2">
        <v>12</v>
      </c>
      <c r="C72" s="2">
        <v>5</v>
      </c>
      <c r="D72" s="2">
        <v>3</v>
      </c>
      <c r="E72" s="2">
        <v>3</v>
      </c>
      <c r="F72" s="2">
        <v>2</v>
      </c>
      <c r="G72" s="2">
        <v>2</v>
      </c>
      <c r="H72" s="2">
        <v>2</v>
      </c>
      <c r="I72" s="2">
        <v>2</v>
      </c>
      <c r="J72" s="2">
        <v>1</v>
      </c>
      <c r="K72" s="76">
        <f t="shared" si="87"/>
        <v>26</v>
      </c>
      <c r="L72" s="2">
        <f t="shared" si="87"/>
        <v>27</v>
      </c>
      <c r="M72" s="2">
        <f t="shared" si="87"/>
        <v>28</v>
      </c>
      <c r="N72" s="2">
        <f t="shared" si="87"/>
        <v>29</v>
      </c>
      <c r="O72" s="2">
        <f t="shared" si="87"/>
        <v>30</v>
      </c>
      <c r="P72" s="2">
        <f t="shared" si="87"/>
        <v>31</v>
      </c>
      <c r="Q72" s="77" t="str">
        <f t="shared" ref="Q72:Q73" si="88">IF(J72&lt;&gt;1,"ERROR!!!","")</f>
        <v/>
      </c>
    </row>
    <row r="73" spans="1:17" x14ac:dyDescent="0.25">
      <c r="A73" s="2">
        <v>2027</v>
      </c>
      <c r="B73" s="2">
        <v>12</v>
      </c>
      <c r="C73" s="2">
        <v>6</v>
      </c>
      <c r="D73" s="2">
        <v>1</v>
      </c>
      <c r="E73" s="2">
        <v>1</v>
      </c>
      <c r="F73" s="2">
        <v>1</v>
      </c>
      <c r="G73" s="2">
        <v>1</v>
      </c>
      <c r="H73" s="2">
        <v>1</v>
      </c>
      <c r="I73" s="2">
        <v>1</v>
      </c>
      <c r="J73" s="2">
        <v>1</v>
      </c>
      <c r="K73" s="77" t="str">
        <f t="shared" ref="K73:K74" si="89">IF(D73&lt;&gt;1,"ERROR!!!","")</f>
        <v/>
      </c>
      <c r="L73" s="77" t="str">
        <f t="shared" ref="L73:L74" si="90">IF(E73&lt;&gt;1,"ERROR!!!","")</f>
        <v/>
      </c>
      <c r="M73" s="77" t="str">
        <f t="shared" ref="M73:M74" si="91">IF(F73&lt;&gt;1,"ERROR!!!","")</f>
        <v/>
      </c>
      <c r="N73" s="77" t="str">
        <f t="shared" ref="N73:N74" si="92">IF(G73&lt;&gt;1,"ERROR!!!","")</f>
        <v/>
      </c>
      <c r="O73" s="77" t="str">
        <f t="shared" ref="O73:O74" si="93">IF(H73&lt;&gt;1,"ERROR!!!","")</f>
        <v/>
      </c>
      <c r="P73" s="77" t="str">
        <f t="shared" ref="P73:P74" si="94">IF(I73&lt;&gt;1,"ERROR!!!","")</f>
        <v/>
      </c>
      <c r="Q73" s="77" t="str">
        <f t="shared" si="88"/>
        <v/>
      </c>
    </row>
    <row r="74" spans="1:17" x14ac:dyDescent="0.25">
      <c r="A74" s="2">
        <v>2028</v>
      </c>
      <c r="B74" s="2">
        <v>1</v>
      </c>
      <c r="C74" s="2">
        <v>1</v>
      </c>
      <c r="D74" s="2">
        <v>1</v>
      </c>
      <c r="E74" s="2">
        <v>1</v>
      </c>
      <c r="F74" s="2">
        <v>1</v>
      </c>
      <c r="G74" s="2">
        <v>1</v>
      </c>
      <c r="H74" s="2">
        <v>1</v>
      </c>
      <c r="I74" s="2">
        <v>1</v>
      </c>
      <c r="J74" s="2">
        <v>4</v>
      </c>
      <c r="K74" s="77" t="str">
        <f t="shared" si="89"/>
        <v/>
      </c>
      <c r="L74" s="77" t="str">
        <f t="shared" si="90"/>
        <v/>
      </c>
      <c r="M74" s="77" t="str">
        <f t="shared" si="91"/>
        <v/>
      </c>
      <c r="N74" s="77" t="str">
        <f t="shared" si="92"/>
        <v/>
      </c>
      <c r="O74" s="77" t="str">
        <f t="shared" si="93"/>
        <v/>
      </c>
      <c r="P74" s="77" t="str">
        <f t="shared" si="94"/>
        <v/>
      </c>
      <c r="Q74" s="76">
        <f t="shared" ref="K74:Q79" si="95">_xlfn.LET(_xlpm.StartDay, WEEKDAY(DATE($A74, $B74, 1), 1),_xlpm.DayNum, (COLUMN() - COLUMN($K$74) + 1) + (ROW() - ROW($K$74)) * 7 - _xlpm.StartDay + 1,IF(AND(_xlpm.DayNum &gt; 0, _xlpm.DayNum &lt;= DAY(EOMONTH(DATE($A74, $B74, 1), 0))), _xlpm.DayNum, ""))</f>
        <v>1</v>
      </c>
    </row>
    <row r="75" spans="1:17" x14ac:dyDescent="0.25">
      <c r="A75" s="2">
        <v>2028</v>
      </c>
      <c r="B75" s="2">
        <v>1</v>
      </c>
      <c r="C75" s="2">
        <v>2</v>
      </c>
      <c r="D75" s="2">
        <v>4</v>
      </c>
      <c r="E75" s="2">
        <v>3</v>
      </c>
      <c r="F75" s="2">
        <v>3</v>
      </c>
      <c r="G75" s="2">
        <v>2</v>
      </c>
      <c r="H75" s="2">
        <v>3</v>
      </c>
      <c r="I75" s="2">
        <v>2</v>
      </c>
      <c r="J75" s="2">
        <v>3</v>
      </c>
      <c r="K75" s="76">
        <f t="shared" si="95"/>
        <v>2</v>
      </c>
      <c r="L75" s="2">
        <f t="shared" si="95"/>
        <v>3</v>
      </c>
      <c r="M75" s="2">
        <f t="shared" si="95"/>
        <v>4</v>
      </c>
      <c r="N75" s="2">
        <f t="shared" si="95"/>
        <v>5</v>
      </c>
      <c r="O75" s="2">
        <f t="shared" si="95"/>
        <v>6</v>
      </c>
      <c r="P75" s="2">
        <f t="shared" si="95"/>
        <v>7</v>
      </c>
      <c r="Q75" s="76">
        <f t="shared" si="95"/>
        <v>8</v>
      </c>
    </row>
    <row r="76" spans="1:17" x14ac:dyDescent="0.25">
      <c r="A76" s="2">
        <v>2028</v>
      </c>
      <c r="B76" s="2">
        <v>1</v>
      </c>
      <c r="C76" s="2">
        <v>3</v>
      </c>
      <c r="D76" s="2">
        <v>3</v>
      </c>
      <c r="E76" s="2">
        <v>2</v>
      </c>
      <c r="F76" s="2">
        <v>2</v>
      </c>
      <c r="G76" s="2">
        <v>2</v>
      </c>
      <c r="H76" s="2">
        <v>4</v>
      </c>
      <c r="I76" s="2">
        <v>4</v>
      </c>
      <c r="J76" s="2">
        <v>3</v>
      </c>
      <c r="K76" s="76">
        <f t="shared" si="95"/>
        <v>9</v>
      </c>
      <c r="L76" s="2">
        <f t="shared" si="95"/>
        <v>10</v>
      </c>
      <c r="M76" s="2">
        <f t="shared" si="95"/>
        <v>11</v>
      </c>
      <c r="N76" s="2">
        <f t="shared" si="95"/>
        <v>12</v>
      </c>
      <c r="O76" s="2">
        <f t="shared" si="95"/>
        <v>13</v>
      </c>
      <c r="P76" s="2">
        <f t="shared" si="95"/>
        <v>14</v>
      </c>
      <c r="Q76" s="76">
        <f t="shared" si="95"/>
        <v>15</v>
      </c>
    </row>
    <row r="77" spans="1:17" x14ac:dyDescent="0.25">
      <c r="A77" s="2">
        <v>2028</v>
      </c>
      <c r="B77" s="2">
        <v>1</v>
      </c>
      <c r="C77" s="2">
        <v>4</v>
      </c>
      <c r="D77" s="2">
        <v>2</v>
      </c>
      <c r="E77" s="2">
        <v>2</v>
      </c>
      <c r="F77" s="2">
        <v>4</v>
      </c>
      <c r="G77" s="2">
        <v>2</v>
      </c>
      <c r="H77" s="2">
        <v>3</v>
      </c>
      <c r="I77" s="2">
        <v>3</v>
      </c>
      <c r="J77" s="2">
        <v>4</v>
      </c>
      <c r="K77" s="76">
        <f t="shared" si="95"/>
        <v>16</v>
      </c>
      <c r="L77" s="2">
        <f t="shared" si="95"/>
        <v>17</v>
      </c>
      <c r="M77" s="2">
        <f t="shared" si="95"/>
        <v>18</v>
      </c>
      <c r="N77" s="2">
        <f t="shared" si="95"/>
        <v>19</v>
      </c>
      <c r="O77" s="2">
        <f t="shared" si="95"/>
        <v>20</v>
      </c>
      <c r="P77" s="2">
        <f t="shared" si="95"/>
        <v>21</v>
      </c>
      <c r="Q77" s="76">
        <f t="shared" si="95"/>
        <v>22</v>
      </c>
    </row>
    <row r="78" spans="1:17" x14ac:dyDescent="0.25">
      <c r="A78" s="2">
        <v>2028</v>
      </c>
      <c r="B78" s="2">
        <v>1</v>
      </c>
      <c r="C78" s="2">
        <v>5</v>
      </c>
      <c r="D78" s="2">
        <v>2</v>
      </c>
      <c r="E78" s="2">
        <v>2</v>
      </c>
      <c r="F78" s="2">
        <v>3</v>
      </c>
      <c r="G78" s="2">
        <v>4</v>
      </c>
      <c r="H78" s="2">
        <v>4</v>
      </c>
      <c r="I78" s="2">
        <v>2</v>
      </c>
      <c r="J78" s="2">
        <v>3</v>
      </c>
      <c r="K78" s="76">
        <f t="shared" si="95"/>
        <v>23</v>
      </c>
      <c r="L78" s="2">
        <f t="shared" si="95"/>
        <v>24</v>
      </c>
      <c r="M78" s="2">
        <f t="shared" si="95"/>
        <v>25</v>
      </c>
      <c r="N78" s="2">
        <f t="shared" si="95"/>
        <v>26</v>
      </c>
      <c r="O78" s="2">
        <f t="shared" si="95"/>
        <v>27</v>
      </c>
      <c r="P78" s="2">
        <f t="shared" si="95"/>
        <v>28</v>
      </c>
      <c r="Q78" s="76">
        <f t="shared" si="95"/>
        <v>29</v>
      </c>
    </row>
    <row r="79" spans="1:17" x14ac:dyDescent="0.25">
      <c r="A79" s="2">
        <v>2028</v>
      </c>
      <c r="B79" s="2">
        <v>1</v>
      </c>
      <c r="C79" s="2">
        <v>6</v>
      </c>
      <c r="D79" s="2">
        <v>2</v>
      </c>
      <c r="E79" s="2">
        <v>2</v>
      </c>
      <c r="F79" s="2">
        <v>1</v>
      </c>
      <c r="G79" s="2">
        <v>1</v>
      </c>
      <c r="H79" s="2">
        <v>1</v>
      </c>
      <c r="I79" s="2">
        <v>1</v>
      </c>
      <c r="J79" s="2">
        <v>1</v>
      </c>
      <c r="K79" s="76">
        <f t="shared" si="95"/>
        <v>30</v>
      </c>
      <c r="L79" s="2">
        <f t="shared" si="95"/>
        <v>31</v>
      </c>
      <c r="M79" s="77" t="str">
        <f t="shared" ref="M79" si="96">IF(F79&lt;&gt;1,"ERROR!!!","")</f>
        <v/>
      </c>
      <c r="N79" s="77" t="str">
        <f t="shared" ref="N79" si="97">IF(G79&lt;&gt;1,"ERROR!!!","")</f>
        <v/>
      </c>
      <c r="O79" s="77" t="str">
        <f t="shared" ref="O79" si="98">IF(H79&lt;&gt;1,"ERROR!!!","")</f>
        <v/>
      </c>
      <c r="P79" s="77" t="str">
        <f t="shared" ref="P79" si="99">IF(I79&lt;&gt;1,"ERROR!!!","")</f>
        <v/>
      </c>
      <c r="Q79" s="77" t="str">
        <f t="shared" ref="Q79" si="100">IF(J79&lt;&gt;1,"ERROR!!!","")</f>
        <v/>
      </c>
    </row>
    <row r="80" spans="1:17" x14ac:dyDescent="0.25">
      <c r="A80" s="2">
        <v>2028</v>
      </c>
      <c r="B80" s="2">
        <v>2</v>
      </c>
      <c r="C80" s="2">
        <v>1</v>
      </c>
      <c r="D80" s="2">
        <v>1</v>
      </c>
      <c r="E80" s="2">
        <v>1</v>
      </c>
      <c r="F80" s="2">
        <v>2</v>
      </c>
      <c r="G80" s="2">
        <v>3</v>
      </c>
      <c r="H80" s="2">
        <v>2</v>
      </c>
      <c r="I80" s="2">
        <v>3</v>
      </c>
      <c r="J80" s="2">
        <v>2</v>
      </c>
      <c r="K80" s="77" t="str">
        <f t="shared" ref="K80" si="101">IF(D80&lt;&gt;1,"ERROR!!!","")</f>
        <v/>
      </c>
      <c r="L80" s="77" t="str">
        <f t="shared" ref="L80" si="102">IF(E80&lt;&gt;1,"ERROR!!!","")</f>
        <v/>
      </c>
      <c r="M80" s="2">
        <f t="shared" ref="K80:Q84" si="103">_xlfn.LET(_xlpm.StartDay, WEEKDAY(DATE($A80, $B80, 1), 1),_xlpm.DayNum, (COLUMN() - COLUMN($K$80) + 1) + (ROW() - ROW($K$80)) * 7 - _xlpm.StartDay + 1,IF(AND(_xlpm.DayNum &gt; 0, _xlpm.DayNum &lt;= DAY(EOMONTH(DATE($A80, $B80, 1), 0))), _xlpm.DayNum, ""))</f>
        <v>1</v>
      </c>
      <c r="N80" s="2">
        <f t="shared" si="103"/>
        <v>2</v>
      </c>
      <c r="O80" s="2">
        <f t="shared" si="103"/>
        <v>3</v>
      </c>
      <c r="P80" s="2">
        <f t="shared" si="103"/>
        <v>4</v>
      </c>
      <c r="Q80" s="76">
        <f t="shared" si="103"/>
        <v>5</v>
      </c>
    </row>
    <row r="81" spans="1:17" x14ac:dyDescent="0.25">
      <c r="A81" s="2">
        <v>2028</v>
      </c>
      <c r="B81" s="2">
        <v>2</v>
      </c>
      <c r="C81" s="2">
        <v>2</v>
      </c>
      <c r="D81" s="2">
        <v>2</v>
      </c>
      <c r="E81" s="2">
        <v>2</v>
      </c>
      <c r="F81" s="2">
        <v>3</v>
      </c>
      <c r="G81" s="2">
        <v>3</v>
      </c>
      <c r="H81" s="2">
        <v>2</v>
      </c>
      <c r="I81" s="2">
        <v>2</v>
      </c>
      <c r="J81" s="2">
        <v>3</v>
      </c>
      <c r="K81" s="76">
        <f t="shared" si="103"/>
        <v>6</v>
      </c>
      <c r="L81" s="2">
        <f t="shared" si="103"/>
        <v>7</v>
      </c>
      <c r="M81" s="2">
        <f t="shared" si="103"/>
        <v>8</v>
      </c>
      <c r="N81" s="2">
        <f t="shared" si="103"/>
        <v>9</v>
      </c>
      <c r="O81" s="2">
        <f t="shared" si="103"/>
        <v>10</v>
      </c>
      <c r="P81" s="2">
        <f t="shared" si="103"/>
        <v>11</v>
      </c>
      <c r="Q81" s="76">
        <f t="shared" si="103"/>
        <v>12</v>
      </c>
    </row>
    <row r="82" spans="1:17" x14ac:dyDescent="0.25">
      <c r="A82" s="2">
        <v>2028</v>
      </c>
      <c r="B82" s="2">
        <v>2</v>
      </c>
      <c r="C82" s="2">
        <v>3</v>
      </c>
      <c r="D82" s="2">
        <v>3</v>
      </c>
      <c r="E82" s="2">
        <v>2</v>
      </c>
      <c r="F82" s="2">
        <v>2</v>
      </c>
      <c r="G82" s="2">
        <v>2</v>
      </c>
      <c r="H82" s="2">
        <v>2</v>
      </c>
      <c r="I82" s="2">
        <v>2</v>
      </c>
      <c r="J82" s="2">
        <v>4</v>
      </c>
      <c r="K82" s="76">
        <f t="shared" si="103"/>
        <v>13</v>
      </c>
      <c r="L82" s="2">
        <f t="shared" si="103"/>
        <v>14</v>
      </c>
      <c r="M82" s="2">
        <f t="shared" si="103"/>
        <v>15</v>
      </c>
      <c r="N82" s="2">
        <f t="shared" si="103"/>
        <v>16</v>
      </c>
      <c r="O82" s="2">
        <f t="shared" si="103"/>
        <v>17</v>
      </c>
      <c r="P82" s="2">
        <f t="shared" si="103"/>
        <v>18</v>
      </c>
      <c r="Q82" s="76">
        <f t="shared" si="103"/>
        <v>19</v>
      </c>
    </row>
    <row r="83" spans="1:17" x14ac:dyDescent="0.25">
      <c r="A83" s="2">
        <v>2028</v>
      </c>
      <c r="B83" s="2">
        <v>2</v>
      </c>
      <c r="C83" s="2">
        <v>4</v>
      </c>
      <c r="D83" s="2">
        <v>2</v>
      </c>
      <c r="E83" s="2">
        <v>2</v>
      </c>
      <c r="F83" s="2">
        <v>3</v>
      </c>
      <c r="G83" s="2">
        <v>3</v>
      </c>
      <c r="H83" s="2">
        <v>2</v>
      </c>
      <c r="I83" s="2">
        <v>3</v>
      </c>
      <c r="J83" s="2">
        <v>2</v>
      </c>
      <c r="K83" s="76">
        <f t="shared" si="103"/>
        <v>20</v>
      </c>
      <c r="L83" s="2">
        <f t="shared" si="103"/>
        <v>21</v>
      </c>
      <c r="M83" s="2">
        <f t="shared" si="103"/>
        <v>22</v>
      </c>
      <c r="N83" s="2">
        <f t="shared" si="103"/>
        <v>23</v>
      </c>
      <c r="O83" s="2">
        <f t="shared" si="103"/>
        <v>24</v>
      </c>
      <c r="P83" s="2">
        <f t="shared" si="103"/>
        <v>25</v>
      </c>
      <c r="Q83" s="76">
        <f t="shared" si="103"/>
        <v>26</v>
      </c>
    </row>
    <row r="84" spans="1:17" x14ac:dyDescent="0.25">
      <c r="A84" s="2">
        <v>2028</v>
      </c>
      <c r="B84" s="2">
        <v>2</v>
      </c>
      <c r="C84" s="2">
        <v>5</v>
      </c>
      <c r="D84" s="2">
        <v>2</v>
      </c>
      <c r="E84" s="2">
        <v>2</v>
      </c>
      <c r="F84" s="2">
        <v>2</v>
      </c>
      <c r="G84" s="2">
        <v>1</v>
      </c>
      <c r="H84" s="2">
        <v>1</v>
      </c>
      <c r="I84" s="2">
        <v>1</v>
      </c>
      <c r="J84" s="2">
        <v>1</v>
      </c>
      <c r="K84" s="76">
        <f t="shared" si="103"/>
        <v>27</v>
      </c>
      <c r="L84" s="2">
        <f t="shared" si="103"/>
        <v>28</v>
      </c>
      <c r="M84" s="2">
        <f t="shared" si="103"/>
        <v>29</v>
      </c>
      <c r="N84" s="77" t="str">
        <f t="shared" ref="N84:N85" si="104">IF(G84&lt;&gt;1,"ERROR!!!","")</f>
        <v/>
      </c>
      <c r="O84" s="77" t="str">
        <f t="shared" ref="O84:O85" si="105">IF(H84&lt;&gt;1,"ERROR!!!","")</f>
        <v/>
      </c>
      <c r="P84" s="77" t="str">
        <f t="shared" ref="P84:P85" si="106">IF(I84&lt;&gt;1,"ERROR!!!","")</f>
        <v/>
      </c>
      <c r="Q84" s="77" t="str">
        <f t="shared" ref="Q84:Q85" si="107">IF(J84&lt;&gt;1,"ERROR!!!","")</f>
        <v/>
      </c>
    </row>
    <row r="85" spans="1:17" x14ac:dyDescent="0.25">
      <c r="A85" s="2">
        <v>2028</v>
      </c>
      <c r="B85" s="2">
        <v>2</v>
      </c>
      <c r="C85" s="2">
        <v>6</v>
      </c>
      <c r="D85" s="2">
        <v>1</v>
      </c>
      <c r="E85" s="2">
        <v>1</v>
      </c>
      <c r="F85" s="2">
        <v>1</v>
      </c>
      <c r="G85" s="2">
        <v>1</v>
      </c>
      <c r="H85" s="2">
        <v>1</v>
      </c>
      <c r="I85" s="2">
        <v>1</v>
      </c>
      <c r="J85" s="2">
        <v>1</v>
      </c>
      <c r="K85" s="77" t="str">
        <f t="shared" ref="K85:K86" si="108">IF(D85&lt;&gt;1,"ERROR!!!","")</f>
        <v/>
      </c>
      <c r="L85" s="77" t="str">
        <f t="shared" ref="L85:L86" si="109">IF(E85&lt;&gt;1,"ERROR!!!","")</f>
        <v/>
      </c>
      <c r="M85" s="77" t="str">
        <f t="shared" ref="M85:M86" si="110">IF(F85&lt;&gt;1,"ERROR!!!","")</f>
        <v/>
      </c>
      <c r="N85" s="77" t="str">
        <f t="shared" si="104"/>
        <v/>
      </c>
      <c r="O85" s="77" t="str">
        <f t="shared" si="105"/>
        <v/>
      </c>
      <c r="P85" s="77" t="str">
        <f t="shared" si="106"/>
        <v/>
      </c>
      <c r="Q85" s="77" t="str">
        <f t="shared" si="107"/>
        <v/>
      </c>
    </row>
    <row r="86" spans="1:17" x14ac:dyDescent="0.25">
      <c r="A86" s="2">
        <v>2028</v>
      </c>
      <c r="B86" s="2">
        <v>3</v>
      </c>
      <c r="C86" s="2">
        <v>1</v>
      </c>
      <c r="D86" s="2">
        <v>1</v>
      </c>
      <c r="E86" s="2">
        <v>1</v>
      </c>
      <c r="F86" s="2">
        <v>1</v>
      </c>
      <c r="G86" s="2">
        <v>2</v>
      </c>
      <c r="H86" s="2">
        <v>2</v>
      </c>
      <c r="I86" s="2">
        <v>3</v>
      </c>
      <c r="J86" s="2">
        <v>2</v>
      </c>
      <c r="K86" s="77" t="str">
        <f t="shared" si="108"/>
        <v/>
      </c>
      <c r="L86" s="77" t="str">
        <f t="shared" si="109"/>
        <v/>
      </c>
      <c r="M86" s="77" t="str">
        <f t="shared" si="110"/>
        <v/>
      </c>
      <c r="N86" s="2">
        <f t="shared" ref="K86:Q90" si="111">_xlfn.LET(_xlpm.StartDay, WEEKDAY(DATE($A86, $B86, 1), 1),_xlpm.DayNum, (COLUMN() - COLUMN($K$86) + 1) + (ROW() - ROW($K$86)) * 7 - _xlpm.StartDay + 1,IF(AND(_xlpm.DayNum &gt; 0, _xlpm.DayNum &lt;= DAY(EOMONTH(DATE($A86, $B86, 1), 0))), _xlpm.DayNum, ""))</f>
        <v>1</v>
      </c>
      <c r="O86" s="2">
        <f t="shared" si="111"/>
        <v>2</v>
      </c>
      <c r="P86" s="2">
        <f t="shared" si="111"/>
        <v>3</v>
      </c>
      <c r="Q86" s="76">
        <f t="shared" si="111"/>
        <v>4</v>
      </c>
    </row>
    <row r="87" spans="1:17" x14ac:dyDescent="0.25">
      <c r="A87" s="2">
        <v>2028</v>
      </c>
      <c r="B87" s="2">
        <v>3</v>
      </c>
      <c r="C87" s="2">
        <v>2</v>
      </c>
      <c r="D87" s="2">
        <v>2</v>
      </c>
      <c r="E87" s="2">
        <v>3</v>
      </c>
      <c r="F87" s="2">
        <v>2</v>
      </c>
      <c r="G87" s="2">
        <v>2</v>
      </c>
      <c r="H87" s="2">
        <v>2</v>
      </c>
      <c r="I87" s="2">
        <v>2</v>
      </c>
      <c r="J87" s="2">
        <v>3</v>
      </c>
      <c r="K87" s="76">
        <f t="shared" si="111"/>
        <v>5</v>
      </c>
      <c r="L87" s="2">
        <f t="shared" si="111"/>
        <v>6</v>
      </c>
      <c r="M87" s="2">
        <f t="shared" si="111"/>
        <v>7</v>
      </c>
      <c r="N87" s="2">
        <f t="shared" si="111"/>
        <v>8</v>
      </c>
      <c r="O87" s="2">
        <f t="shared" si="111"/>
        <v>9</v>
      </c>
      <c r="P87" s="2">
        <f t="shared" si="111"/>
        <v>10</v>
      </c>
      <c r="Q87" s="76">
        <f t="shared" si="111"/>
        <v>11</v>
      </c>
    </row>
    <row r="88" spans="1:17" x14ac:dyDescent="0.25">
      <c r="A88" s="2">
        <v>2028</v>
      </c>
      <c r="B88" s="2">
        <v>3</v>
      </c>
      <c r="C88" s="2">
        <v>3</v>
      </c>
      <c r="D88" s="2">
        <v>4</v>
      </c>
      <c r="E88" s="2">
        <v>2</v>
      </c>
      <c r="F88" s="2">
        <v>2</v>
      </c>
      <c r="G88" s="2">
        <v>2</v>
      </c>
      <c r="H88" s="2">
        <v>3</v>
      </c>
      <c r="I88" s="2">
        <v>3</v>
      </c>
      <c r="J88" s="2">
        <v>2</v>
      </c>
      <c r="K88" s="76">
        <f t="shared" si="111"/>
        <v>12</v>
      </c>
      <c r="L88" s="2">
        <f t="shared" si="111"/>
        <v>13</v>
      </c>
      <c r="M88" s="2">
        <f t="shared" si="111"/>
        <v>14</v>
      </c>
      <c r="N88" s="2">
        <f t="shared" si="111"/>
        <v>15</v>
      </c>
      <c r="O88" s="2">
        <f t="shared" si="111"/>
        <v>16</v>
      </c>
      <c r="P88" s="2">
        <f t="shared" si="111"/>
        <v>17</v>
      </c>
      <c r="Q88" s="76">
        <f t="shared" si="111"/>
        <v>18</v>
      </c>
    </row>
    <row r="89" spans="1:17" x14ac:dyDescent="0.25">
      <c r="A89" s="2">
        <v>2028</v>
      </c>
      <c r="B89" s="2">
        <v>3</v>
      </c>
      <c r="C89" s="2">
        <v>4</v>
      </c>
      <c r="D89" s="2">
        <v>3</v>
      </c>
      <c r="E89" s="2">
        <v>3</v>
      </c>
      <c r="F89" s="2">
        <v>3</v>
      </c>
      <c r="G89" s="2">
        <v>3</v>
      </c>
      <c r="H89" s="2">
        <v>3</v>
      </c>
      <c r="I89" s="2">
        <v>3</v>
      </c>
      <c r="J89" s="2">
        <v>2</v>
      </c>
      <c r="K89" s="76">
        <f t="shared" si="111"/>
        <v>19</v>
      </c>
      <c r="L89" s="2">
        <f t="shared" si="111"/>
        <v>20</v>
      </c>
      <c r="M89" s="2">
        <f t="shared" si="111"/>
        <v>21</v>
      </c>
      <c r="N89" s="2">
        <f t="shared" si="111"/>
        <v>22</v>
      </c>
      <c r="O89" s="2">
        <f t="shared" si="111"/>
        <v>23</v>
      </c>
      <c r="P89" s="2">
        <f t="shared" si="111"/>
        <v>24</v>
      </c>
      <c r="Q89" s="76">
        <f t="shared" si="111"/>
        <v>25</v>
      </c>
    </row>
    <row r="90" spans="1:17" x14ac:dyDescent="0.25">
      <c r="A90" s="2">
        <v>2028</v>
      </c>
      <c r="B90" s="2">
        <v>3</v>
      </c>
      <c r="C90" s="2">
        <v>5</v>
      </c>
      <c r="D90" s="2">
        <v>4</v>
      </c>
      <c r="E90" s="2">
        <v>2</v>
      </c>
      <c r="F90" s="2">
        <v>4</v>
      </c>
      <c r="G90" s="2">
        <v>2</v>
      </c>
      <c r="H90" s="2">
        <v>2</v>
      </c>
      <c r="I90" s="2">
        <v>2</v>
      </c>
      <c r="J90" s="2">
        <v>1</v>
      </c>
      <c r="K90" s="76">
        <f t="shared" si="111"/>
        <v>26</v>
      </c>
      <c r="L90" s="2">
        <f t="shared" si="111"/>
        <v>27</v>
      </c>
      <c r="M90" s="2">
        <f t="shared" si="111"/>
        <v>28</v>
      </c>
      <c r="N90" s="2">
        <f t="shared" si="111"/>
        <v>29</v>
      </c>
      <c r="O90" s="2">
        <f t="shared" si="111"/>
        <v>30</v>
      </c>
      <c r="P90" s="2">
        <f t="shared" si="111"/>
        <v>31</v>
      </c>
      <c r="Q90" s="77" t="str">
        <f t="shared" ref="Q90:Q91" si="112">IF(J90&lt;&gt;1,"ERROR!!!","")</f>
        <v/>
      </c>
    </row>
    <row r="91" spans="1:17" x14ac:dyDescent="0.25">
      <c r="A91" s="2">
        <v>2028</v>
      </c>
      <c r="B91" s="2">
        <v>3</v>
      </c>
      <c r="C91" s="2">
        <v>6</v>
      </c>
      <c r="D91" s="2">
        <v>1</v>
      </c>
      <c r="E91" s="2">
        <v>1</v>
      </c>
      <c r="F91" s="2">
        <v>1</v>
      </c>
      <c r="G91" s="2">
        <v>1</v>
      </c>
      <c r="H91" s="2">
        <v>1</v>
      </c>
      <c r="I91" s="2">
        <v>1</v>
      </c>
      <c r="J91" s="2">
        <v>1</v>
      </c>
      <c r="K91" s="77" t="str">
        <f t="shared" ref="K91:K92" si="113">IF(D91&lt;&gt;1,"ERROR!!!","")</f>
        <v/>
      </c>
      <c r="L91" s="77" t="str">
        <f t="shared" ref="L91:L92" si="114">IF(E91&lt;&gt;1,"ERROR!!!","")</f>
        <v/>
      </c>
      <c r="M91" s="77" t="str">
        <f t="shared" ref="M91:M92" si="115">IF(F91&lt;&gt;1,"ERROR!!!","")</f>
        <v/>
      </c>
      <c r="N91" s="77" t="str">
        <f t="shared" ref="N91:N92" si="116">IF(G91&lt;&gt;1,"ERROR!!!","")</f>
        <v/>
      </c>
      <c r="O91" s="77" t="str">
        <f t="shared" ref="O91:O92" si="117">IF(H91&lt;&gt;1,"ERROR!!!","")</f>
        <v/>
      </c>
      <c r="P91" s="77" t="str">
        <f t="shared" ref="P91:P92" si="118">IF(I91&lt;&gt;1,"ERROR!!!","")</f>
        <v/>
      </c>
      <c r="Q91" s="77" t="str">
        <f t="shared" si="112"/>
        <v/>
      </c>
    </row>
    <row r="92" spans="1:17" x14ac:dyDescent="0.25">
      <c r="A92" s="2">
        <v>2028</v>
      </c>
      <c r="B92" s="2">
        <v>4</v>
      </c>
      <c r="C92" s="2">
        <v>1</v>
      </c>
      <c r="D92" s="2">
        <v>1</v>
      </c>
      <c r="E92" s="2">
        <v>1</v>
      </c>
      <c r="F92" s="2">
        <v>1</v>
      </c>
      <c r="G92" s="2">
        <v>1</v>
      </c>
      <c r="H92" s="2">
        <v>1</v>
      </c>
      <c r="I92" s="2">
        <v>1</v>
      </c>
      <c r="J92" s="2">
        <v>3</v>
      </c>
      <c r="K92" s="77" t="str">
        <f t="shared" si="113"/>
        <v/>
      </c>
      <c r="L92" s="77" t="str">
        <f t="shared" si="114"/>
        <v/>
      </c>
      <c r="M92" s="77" t="str">
        <f t="shared" si="115"/>
        <v/>
      </c>
      <c r="N92" s="77" t="str">
        <f t="shared" si="116"/>
        <v/>
      </c>
      <c r="O92" s="77" t="str">
        <f t="shared" si="117"/>
        <v/>
      </c>
      <c r="P92" s="77" t="str">
        <f t="shared" si="118"/>
        <v/>
      </c>
      <c r="Q92" s="76">
        <f t="shared" ref="K92:Q97" si="119">_xlfn.LET(_xlpm.StartDay, WEEKDAY(DATE($A92, $B92, 1), 1),_xlpm.DayNum, (COLUMN() - COLUMN($K$92) + 1) + (ROW() - ROW($K$92)) * 7 - _xlpm.StartDay + 1,IF(AND(_xlpm.DayNum &gt; 0, _xlpm.DayNum &lt;= DAY(EOMONTH(DATE($A92, $B92, 1), 0))), _xlpm.DayNum, ""))</f>
        <v>1</v>
      </c>
    </row>
    <row r="93" spans="1:17" x14ac:dyDescent="0.25">
      <c r="A93" s="2">
        <v>2028</v>
      </c>
      <c r="B93" s="2">
        <v>4</v>
      </c>
      <c r="C93" s="2">
        <v>2</v>
      </c>
      <c r="D93" s="2">
        <v>3</v>
      </c>
      <c r="E93" s="2">
        <v>3</v>
      </c>
      <c r="F93" s="2">
        <v>2</v>
      </c>
      <c r="G93" s="2">
        <v>2</v>
      </c>
      <c r="H93" s="2">
        <v>2</v>
      </c>
      <c r="I93" s="2">
        <v>3</v>
      </c>
      <c r="J93" s="2">
        <v>2</v>
      </c>
      <c r="K93" s="76">
        <f t="shared" si="119"/>
        <v>2</v>
      </c>
      <c r="L93" s="2">
        <f t="shared" si="119"/>
        <v>3</v>
      </c>
      <c r="M93" s="2">
        <f t="shared" si="119"/>
        <v>4</v>
      </c>
      <c r="N93" s="2">
        <f t="shared" si="119"/>
        <v>5</v>
      </c>
      <c r="O93" s="2">
        <f t="shared" si="119"/>
        <v>6</v>
      </c>
      <c r="P93" s="2">
        <f t="shared" si="119"/>
        <v>7</v>
      </c>
      <c r="Q93" s="76">
        <f t="shared" si="119"/>
        <v>8</v>
      </c>
    </row>
    <row r="94" spans="1:17" x14ac:dyDescent="0.25">
      <c r="A94" s="2">
        <v>2028</v>
      </c>
      <c r="B94" s="2">
        <v>4</v>
      </c>
      <c r="C94" s="2">
        <v>3</v>
      </c>
      <c r="D94" s="2">
        <v>4</v>
      </c>
      <c r="E94" s="2">
        <v>2</v>
      </c>
      <c r="F94" s="2">
        <v>3</v>
      </c>
      <c r="G94" s="2">
        <v>2</v>
      </c>
      <c r="H94" s="2">
        <v>3</v>
      </c>
      <c r="I94" s="2">
        <v>3</v>
      </c>
      <c r="J94" s="2">
        <v>2</v>
      </c>
      <c r="K94" s="76">
        <f t="shared" si="119"/>
        <v>9</v>
      </c>
      <c r="L94" s="2">
        <f t="shared" si="119"/>
        <v>10</v>
      </c>
      <c r="M94" s="2">
        <f t="shared" si="119"/>
        <v>11</v>
      </c>
      <c r="N94" s="2">
        <f t="shared" si="119"/>
        <v>12</v>
      </c>
      <c r="O94" s="2">
        <f t="shared" si="119"/>
        <v>13</v>
      </c>
      <c r="P94" s="2">
        <f t="shared" si="119"/>
        <v>14</v>
      </c>
      <c r="Q94" s="76">
        <f t="shared" si="119"/>
        <v>15</v>
      </c>
    </row>
    <row r="95" spans="1:17" x14ac:dyDescent="0.25">
      <c r="A95" s="2">
        <v>2028</v>
      </c>
      <c r="B95" s="2">
        <v>4</v>
      </c>
      <c r="C95" s="2">
        <v>4</v>
      </c>
      <c r="D95" s="2">
        <v>2</v>
      </c>
      <c r="E95" s="2">
        <v>2</v>
      </c>
      <c r="F95" s="2">
        <v>2</v>
      </c>
      <c r="G95" s="2">
        <v>2</v>
      </c>
      <c r="H95" s="2">
        <v>3</v>
      </c>
      <c r="I95" s="2">
        <v>3</v>
      </c>
      <c r="J95" s="2">
        <v>3</v>
      </c>
      <c r="K95" s="76">
        <f t="shared" si="119"/>
        <v>16</v>
      </c>
      <c r="L95" s="2">
        <f t="shared" si="119"/>
        <v>17</v>
      </c>
      <c r="M95" s="2">
        <f t="shared" si="119"/>
        <v>18</v>
      </c>
      <c r="N95" s="2">
        <f t="shared" si="119"/>
        <v>19</v>
      </c>
      <c r="O95" s="2">
        <f t="shared" si="119"/>
        <v>20</v>
      </c>
      <c r="P95" s="2">
        <f t="shared" si="119"/>
        <v>21</v>
      </c>
      <c r="Q95" s="76">
        <f t="shared" si="119"/>
        <v>22</v>
      </c>
    </row>
    <row r="96" spans="1:17" x14ac:dyDescent="0.25">
      <c r="A96" s="2">
        <v>2028</v>
      </c>
      <c r="B96" s="2">
        <v>4</v>
      </c>
      <c r="C96" s="2">
        <v>5</v>
      </c>
      <c r="D96" s="2">
        <v>3</v>
      </c>
      <c r="E96" s="2">
        <v>3</v>
      </c>
      <c r="F96" s="2">
        <v>2</v>
      </c>
      <c r="G96" s="2">
        <v>4</v>
      </c>
      <c r="H96" s="2">
        <v>2</v>
      </c>
      <c r="I96" s="2">
        <v>2</v>
      </c>
      <c r="J96" s="2">
        <v>2</v>
      </c>
      <c r="K96" s="76">
        <f t="shared" si="119"/>
        <v>23</v>
      </c>
      <c r="L96" s="2">
        <f t="shared" si="119"/>
        <v>24</v>
      </c>
      <c r="M96" s="2">
        <f t="shared" si="119"/>
        <v>25</v>
      </c>
      <c r="N96" s="2">
        <f t="shared" si="119"/>
        <v>26</v>
      </c>
      <c r="O96" s="2">
        <f t="shared" si="119"/>
        <v>27</v>
      </c>
      <c r="P96" s="2">
        <f t="shared" si="119"/>
        <v>28</v>
      </c>
      <c r="Q96" s="76">
        <f t="shared" si="119"/>
        <v>29</v>
      </c>
    </row>
    <row r="97" spans="1:17" x14ac:dyDescent="0.25">
      <c r="A97" s="2">
        <v>2028</v>
      </c>
      <c r="B97" s="2">
        <v>4</v>
      </c>
      <c r="C97" s="2">
        <v>6</v>
      </c>
      <c r="D97" s="2">
        <v>2</v>
      </c>
      <c r="E97" s="2">
        <v>1</v>
      </c>
      <c r="F97" s="2">
        <v>1</v>
      </c>
      <c r="G97" s="2">
        <v>1</v>
      </c>
      <c r="H97" s="2">
        <v>1</v>
      </c>
      <c r="I97" s="2">
        <v>1</v>
      </c>
      <c r="J97" s="2">
        <v>1</v>
      </c>
      <c r="K97" s="76">
        <f t="shared" si="119"/>
        <v>30</v>
      </c>
      <c r="L97" s="77" t="str">
        <f t="shared" ref="L97" si="120">IF(E97&lt;&gt;1,"ERROR!!!","")</f>
        <v/>
      </c>
      <c r="M97" s="77" t="str">
        <f t="shared" ref="M97" si="121">IF(F97&lt;&gt;1,"ERROR!!!","")</f>
        <v/>
      </c>
      <c r="N97" s="77" t="str">
        <f t="shared" ref="N97" si="122">IF(G97&lt;&gt;1,"ERROR!!!","")</f>
        <v/>
      </c>
      <c r="O97" s="77" t="str">
        <f t="shared" ref="O97" si="123">IF(H97&lt;&gt;1,"ERROR!!!","")</f>
        <v/>
      </c>
      <c r="P97" s="77" t="str">
        <f t="shared" ref="P97" si="124">IF(I97&lt;&gt;1,"ERROR!!!","")</f>
        <v/>
      </c>
      <c r="Q97" s="77" t="str">
        <f t="shared" ref="Q97" si="125">IF(J97&lt;&gt;1,"ERROR!!!","")</f>
        <v/>
      </c>
    </row>
    <row r="98" spans="1:17" x14ac:dyDescent="0.25">
      <c r="A98" s="2">
        <v>2028</v>
      </c>
      <c r="B98" s="2">
        <v>5</v>
      </c>
      <c r="C98" s="2">
        <v>1</v>
      </c>
      <c r="D98" s="2">
        <v>1</v>
      </c>
      <c r="E98" s="2">
        <v>2</v>
      </c>
      <c r="F98" s="2">
        <v>2</v>
      </c>
      <c r="G98" s="2">
        <v>2</v>
      </c>
      <c r="H98" s="2">
        <v>2</v>
      </c>
      <c r="I98" s="2">
        <v>3</v>
      </c>
      <c r="J98" s="2">
        <v>3</v>
      </c>
      <c r="K98" s="77" t="str">
        <f t="shared" ref="K98" si="126">IF(D98&lt;&gt;1,"ERROR!!!","")</f>
        <v/>
      </c>
      <c r="L98" s="2">
        <f t="shared" ref="K98:Q102" si="127">_xlfn.LET(_xlpm.StartDay, WEEKDAY(DATE($A98, $B98, 1), 1),_xlpm.DayNum, (COLUMN() - COLUMN($K$98) + 1) + (ROW() - ROW($K$98)) * 7 - _xlpm.StartDay + 1,IF(AND(_xlpm.DayNum &gt; 0, _xlpm.DayNum &lt;= DAY(EOMONTH(DATE($A98, $B98, 1), 0))), _xlpm.DayNum, ""))</f>
        <v>1</v>
      </c>
      <c r="M98" s="2">
        <f t="shared" si="127"/>
        <v>2</v>
      </c>
      <c r="N98" s="2">
        <f t="shared" si="127"/>
        <v>3</v>
      </c>
      <c r="O98" s="2">
        <f t="shared" si="127"/>
        <v>4</v>
      </c>
      <c r="P98" s="2">
        <f t="shared" si="127"/>
        <v>5</v>
      </c>
      <c r="Q98" s="76">
        <f t="shared" si="127"/>
        <v>6</v>
      </c>
    </row>
    <row r="99" spans="1:17" x14ac:dyDescent="0.25">
      <c r="A99" s="2">
        <v>2028</v>
      </c>
      <c r="B99" s="2">
        <v>5</v>
      </c>
      <c r="C99" s="2">
        <v>2</v>
      </c>
      <c r="D99" s="2">
        <v>3</v>
      </c>
      <c r="E99" s="2">
        <v>3</v>
      </c>
      <c r="F99" s="2">
        <v>3</v>
      </c>
      <c r="G99" s="2">
        <v>3</v>
      </c>
      <c r="H99" s="2">
        <v>3</v>
      </c>
      <c r="I99" s="2">
        <v>3</v>
      </c>
      <c r="J99" s="2">
        <v>2</v>
      </c>
      <c r="K99" s="76">
        <f t="shared" si="127"/>
        <v>7</v>
      </c>
      <c r="L99" s="2">
        <f t="shared" si="127"/>
        <v>8</v>
      </c>
      <c r="M99" s="2">
        <f t="shared" si="127"/>
        <v>9</v>
      </c>
      <c r="N99" s="2">
        <f t="shared" si="127"/>
        <v>10</v>
      </c>
      <c r="O99" s="2">
        <f t="shared" si="127"/>
        <v>11</v>
      </c>
      <c r="P99" s="2">
        <f t="shared" si="127"/>
        <v>12</v>
      </c>
      <c r="Q99" s="76">
        <f t="shared" si="127"/>
        <v>13</v>
      </c>
    </row>
    <row r="100" spans="1:17" x14ac:dyDescent="0.25">
      <c r="A100" s="2">
        <v>2028</v>
      </c>
      <c r="B100" s="2">
        <v>5</v>
      </c>
      <c r="C100" s="2">
        <v>3</v>
      </c>
      <c r="D100" s="2">
        <v>2</v>
      </c>
      <c r="E100" s="2">
        <v>3</v>
      </c>
      <c r="F100" s="2">
        <v>3</v>
      </c>
      <c r="G100" s="2">
        <v>2</v>
      </c>
      <c r="H100" s="2">
        <v>2</v>
      </c>
      <c r="I100" s="2">
        <v>4</v>
      </c>
      <c r="J100" s="2">
        <v>2</v>
      </c>
      <c r="K100" s="76">
        <f t="shared" si="127"/>
        <v>14</v>
      </c>
      <c r="L100" s="2">
        <f t="shared" si="127"/>
        <v>15</v>
      </c>
      <c r="M100" s="2">
        <f t="shared" si="127"/>
        <v>16</v>
      </c>
      <c r="N100" s="2">
        <f t="shared" si="127"/>
        <v>17</v>
      </c>
      <c r="O100" s="2">
        <f t="shared" si="127"/>
        <v>18</v>
      </c>
      <c r="P100" s="2">
        <f t="shared" si="127"/>
        <v>19</v>
      </c>
      <c r="Q100" s="76">
        <f t="shared" si="127"/>
        <v>20</v>
      </c>
    </row>
    <row r="101" spans="1:17" x14ac:dyDescent="0.25">
      <c r="A101" s="2">
        <v>2028</v>
      </c>
      <c r="B101" s="2">
        <v>5</v>
      </c>
      <c r="C101" s="2">
        <v>4</v>
      </c>
      <c r="D101" s="2">
        <v>4</v>
      </c>
      <c r="E101" s="2">
        <v>3</v>
      </c>
      <c r="F101" s="2">
        <v>4</v>
      </c>
      <c r="G101" s="2">
        <v>3</v>
      </c>
      <c r="H101" s="2">
        <v>2</v>
      </c>
      <c r="I101" s="2">
        <v>2</v>
      </c>
      <c r="J101" s="2">
        <v>3</v>
      </c>
      <c r="K101" s="76">
        <f t="shared" si="127"/>
        <v>21</v>
      </c>
      <c r="L101" s="2">
        <f t="shared" si="127"/>
        <v>22</v>
      </c>
      <c r="M101" s="2">
        <f t="shared" si="127"/>
        <v>23</v>
      </c>
      <c r="N101" s="2">
        <f t="shared" si="127"/>
        <v>24</v>
      </c>
      <c r="O101" s="2">
        <f t="shared" si="127"/>
        <v>25</v>
      </c>
      <c r="P101" s="2">
        <f t="shared" si="127"/>
        <v>26</v>
      </c>
      <c r="Q101" s="76">
        <f t="shared" si="127"/>
        <v>27</v>
      </c>
    </row>
    <row r="102" spans="1:17" x14ac:dyDescent="0.25">
      <c r="A102" s="2">
        <v>2028</v>
      </c>
      <c r="B102" s="2">
        <v>5</v>
      </c>
      <c r="C102" s="2">
        <v>5</v>
      </c>
      <c r="D102" s="2">
        <v>2</v>
      </c>
      <c r="E102" s="2">
        <v>2</v>
      </c>
      <c r="F102" s="2">
        <v>4</v>
      </c>
      <c r="G102" s="2">
        <v>4</v>
      </c>
      <c r="H102" s="2">
        <v>1</v>
      </c>
      <c r="I102" s="2">
        <v>1</v>
      </c>
      <c r="J102" s="2">
        <v>1</v>
      </c>
      <c r="K102" s="76">
        <f t="shared" si="127"/>
        <v>28</v>
      </c>
      <c r="L102" s="2">
        <f t="shared" si="127"/>
        <v>29</v>
      </c>
      <c r="M102" s="2">
        <f t="shared" si="127"/>
        <v>30</v>
      </c>
      <c r="N102" s="2">
        <f t="shared" si="127"/>
        <v>31</v>
      </c>
      <c r="O102" s="77" t="str">
        <f t="shared" ref="O102:O103" si="128">IF(H102&lt;&gt;1,"ERROR!!!","")</f>
        <v/>
      </c>
      <c r="P102" s="77" t="str">
        <f t="shared" ref="P102:P103" si="129">IF(I102&lt;&gt;1,"ERROR!!!","")</f>
        <v/>
      </c>
      <c r="Q102" s="77" t="str">
        <f t="shared" ref="Q102:Q103" si="130">IF(J102&lt;&gt;1,"ERROR!!!","")</f>
        <v/>
      </c>
    </row>
    <row r="103" spans="1:17" x14ac:dyDescent="0.25">
      <c r="A103" s="2">
        <v>2028</v>
      </c>
      <c r="B103" s="2">
        <v>5</v>
      </c>
      <c r="C103" s="2">
        <v>6</v>
      </c>
      <c r="D103" s="2">
        <v>1</v>
      </c>
      <c r="E103" s="2">
        <v>1</v>
      </c>
      <c r="F103" s="2">
        <v>1</v>
      </c>
      <c r="G103" s="2">
        <v>1</v>
      </c>
      <c r="H103" s="2">
        <v>1</v>
      </c>
      <c r="I103" s="2">
        <v>1</v>
      </c>
      <c r="J103" s="2">
        <v>1</v>
      </c>
      <c r="K103" s="77" t="str">
        <f t="shared" ref="K103:K104" si="131">IF(D103&lt;&gt;1,"ERROR!!!","")</f>
        <v/>
      </c>
      <c r="L103" s="77" t="str">
        <f t="shared" ref="L103:L104" si="132">IF(E103&lt;&gt;1,"ERROR!!!","")</f>
        <v/>
      </c>
      <c r="M103" s="77" t="str">
        <f t="shared" ref="M103:M104" si="133">IF(F103&lt;&gt;1,"ERROR!!!","")</f>
        <v/>
      </c>
      <c r="N103" s="77" t="str">
        <f t="shared" ref="N103:N104" si="134">IF(G103&lt;&gt;1,"ERROR!!!","")</f>
        <v/>
      </c>
      <c r="O103" s="77" t="str">
        <f t="shared" si="128"/>
        <v/>
      </c>
      <c r="P103" s="77" t="str">
        <f t="shared" si="129"/>
        <v/>
      </c>
      <c r="Q103" s="77" t="str">
        <f t="shared" si="130"/>
        <v/>
      </c>
    </row>
    <row r="104" spans="1:17" x14ac:dyDescent="0.25">
      <c r="A104" s="2">
        <v>2028</v>
      </c>
      <c r="B104" s="2">
        <v>6</v>
      </c>
      <c r="C104" s="2">
        <v>1</v>
      </c>
      <c r="D104" s="2">
        <v>1</v>
      </c>
      <c r="E104" s="2">
        <v>1</v>
      </c>
      <c r="F104" s="2">
        <v>1</v>
      </c>
      <c r="G104" s="2">
        <v>1</v>
      </c>
      <c r="H104" s="2">
        <v>3</v>
      </c>
      <c r="I104" s="2">
        <v>2</v>
      </c>
      <c r="J104" s="2">
        <v>3</v>
      </c>
      <c r="K104" s="77" t="str">
        <f t="shared" si="131"/>
        <v/>
      </c>
      <c r="L104" s="77" t="str">
        <f t="shared" si="132"/>
        <v/>
      </c>
      <c r="M104" s="77" t="str">
        <f t="shared" si="133"/>
        <v/>
      </c>
      <c r="N104" s="77" t="str">
        <f t="shared" si="134"/>
        <v/>
      </c>
      <c r="O104" s="2">
        <f t="shared" ref="K104:Q108" si="135">_xlfn.LET(_xlpm.StartDay, WEEKDAY(DATE($A104, $B104, 1), 1),_xlpm.DayNum, (COLUMN() - COLUMN($K$104) + 1) + (ROW() - ROW($K$104)) * 7 - _xlpm.StartDay + 1,IF(AND(_xlpm.DayNum &gt; 0, _xlpm.DayNum &lt;= DAY(EOMONTH(DATE($A104, $B104, 1), 0))), _xlpm.DayNum, ""))</f>
        <v>1</v>
      </c>
      <c r="P104" s="2">
        <f t="shared" si="135"/>
        <v>2</v>
      </c>
      <c r="Q104" s="76">
        <f t="shared" si="135"/>
        <v>3</v>
      </c>
    </row>
    <row r="105" spans="1:17" x14ac:dyDescent="0.25">
      <c r="A105" s="2">
        <v>2028</v>
      </c>
      <c r="B105" s="2">
        <v>6</v>
      </c>
      <c r="C105" s="2">
        <v>2</v>
      </c>
      <c r="D105" s="2">
        <v>2</v>
      </c>
      <c r="E105" s="2">
        <v>2</v>
      </c>
      <c r="F105" s="2">
        <v>2</v>
      </c>
      <c r="G105" s="2">
        <v>2</v>
      </c>
      <c r="H105" s="2">
        <v>2</v>
      </c>
      <c r="I105" s="2">
        <v>2</v>
      </c>
      <c r="J105" s="2">
        <v>3</v>
      </c>
      <c r="K105" s="76">
        <f t="shared" si="135"/>
        <v>4</v>
      </c>
      <c r="L105" s="2">
        <f t="shared" si="135"/>
        <v>5</v>
      </c>
      <c r="M105" s="2">
        <f t="shared" si="135"/>
        <v>6</v>
      </c>
      <c r="N105" s="2">
        <f t="shared" si="135"/>
        <v>7</v>
      </c>
      <c r="O105" s="2">
        <f t="shared" si="135"/>
        <v>8</v>
      </c>
      <c r="P105" s="2">
        <f t="shared" si="135"/>
        <v>9</v>
      </c>
      <c r="Q105" s="76">
        <f t="shared" si="135"/>
        <v>10</v>
      </c>
    </row>
    <row r="106" spans="1:17" x14ac:dyDescent="0.25">
      <c r="A106" s="2">
        <v>2028</v>
      </c>
      <c r="B106" s="2">
        <v>6</v>
      </c>
      <c r="C106" s="2">
        <v>3</v>
      </c>
      <c r="D106" s="2">
        <v>3</v>
      </c>
      <c r="E106" s="2">
        <v>2</v>
      </c>
      <c r="F106" s="2">
        <v>3</v>
      </c>
      <c r="G106" s="2">
        <v>3</v>
      </c>
      <c r="H106" s="2">
        <v>3</v>
      </c>
      <c r="I106" s="2">
        <v>2</v>
      </c>
      <c r="J106" s="2">
        <v>2</v>
      </c>
      <c r="K106" s="76">
        <f t="shared" si="135"/>
        <v>11</v>
      </c>
      <c r="L106" s="2">
        <f t="shared" si="135"/>
        <v>12</v>
      </c>
      <c r="M106" s="2">
        <f t="shared" si="135"/>
        <v>13</v>
      </c>
      <c r="N106" s="2">
        <f t="shared" si="135"/>
        <v>14</v>
      </c>
      <c r="O106" s="2">
        <f t="shared" si="135"/>
        <v>15</v>
      </c>
      <c r="P106" s="2">
        <f t="shared" si="135"/>
        <v>16</v>
      </c>
      <c r="Q106" s="76">
        <f t="shared" si="135"/>
        <v>17</v>
      </c>
    </row>
    <row r="107" spans="1:17" x14ac:dyDescent="0.25">
      <c r="A107" s="2">
        <v>2028</v>
      </c>
      <c r="B107" s="2">
        <v>6</v>
      </c>
      <c r="C107" s="2">
        <v>4</v>
      </c>
      <c r="D107" s="2">
        <v>3</v>
      </c>
      <c r="E107" s="2">
        <v>3</v>
      </c>
      <c r="F107" s="2">
        <v>3</v>
      </c>
      <c r="G107" s="2">
        <v>2</v>
      </c>
      <c r="H107" s="2">
        <v>4</v>
      </c>
      <c r="I107" s="2">
        <v>3</v>
      </c>
      <c r="J107" s="2">
        <v>3</v>
      </c>
      <c r="K107" s="76">
        <f t="shared" si="135"/>
        <v>18</v>
      </c>
      <c r="L107" s="2">
        <f t="shared" si="135"/>
        <v>19</v>
      </c>
      <c r="M107" s="2">
        <f t="shared" si="135"/>
        <v>20</v>
      </c>
      <c r="N107" s="2">
        <f t="shared" si="135"/>
        <v>21</v>
      </c>
      <c r="O107" s="2">
        <f t="shared" si="135"/>
        <v>22</v>
      </c>
      <c r="P107" s="2">
        <f t="shared" si="135"/>
        <v>23</v>
      </c>
      <c r="Q107" s="76">
        <f t="shared" si="135"/>
        <v>24</v>
      </c>
    </row>
    <row r="108" spans="1:17" x14ac:dyDescent="0.25">
      <c r="A108" s="2">
        <v>2028</v>
      </c>
      <c r="B108" s="2">
        <v>6</v>
      </c>
      <c r="C108" s="2">
        <v>5</v>
      </c>
      <c r="D108" s="2">
        <v>2</v>
      </c>
      <c r="E108" s="2">
        <v>4</v>
      </c>
      <c r="F108" s="2">
        <v>2</v>
      </c>
      <c r="G108" s="2">
        <v>2</v>
      </c>
      <c r="H108" s="2">
        <v>2</v>
      </c>
      <c r="I108" s="2">
        <v>2</v>
      </c>
      <c r="J108" s="2">
        <v>1</v>
      </c>
      <c r="K108" s="76">
        <f t="shared" si="135"/>
        <v>25</v>
      </c>
      <c r="L108" s="2">
        <f t="shared" si="135"/>
        <v>26</v>
      </c>
      <c r="M108" s="2">
        <f t="shared" si="135"/>
        <v>27</v>
      </c>
      <c r="N108" s="2">
        <f t="shared" si="135"/>
        <v>28</v>
      </c>
      <c r="O108" s="2">
        <f t="shared" si="135"/>
        <v>29</v>
      </c>
      <c r="P108" s="2">
        <f t="shared" si="135"/>
        <v>30</v>
      </c>
      <c r="Q108" s="77" t="str">
        <f t="shared" ref="Q108:Q109" si="136">IF(J108&lt;&gt;1,"ERROR!!!","")</f>
        <v/>
      </c>
    </row>
    <row r="109" spans="1:17" x14ac:dyDescent="0.25">
      <c r="A109" s="2">
        <v>2028</v>
      </c>
      <c r="B109" s="2">
        <v>6</v>
      </c>
      <c r="C109" s="2">
        <v>6</v>
      </c>
      <c r="D109" s="2">
        <v>1</v>
      </c>
      <c r="E109" s="2">
        <v>1</v>
      </c>
      <c r="F109" s="2">
        <v>1</v>
      </c>
      <c r="G109" s="2">
        <v>1</v>
      </c>
      <c r="H109" s="2">
        <v>1</v>
      </c>
      <c r="I109" s="2">
        <v>1</v>
      </c>
      <c r="J109" s="2">
        <v>1</v>
      </c>
      <c r="K109" s="77" t="str">
        <f t="shared" ref="K109:K110" si="137">IF(D109&lt;&gt;1,"ERROR!!!","")</f>
        <v/>
      </c>
      <c r="L109" s="77" t="str">
        <f t="shared" ref="L109:L110" si="138">IF(E109&lt;&gt;1,"ERROR!!!","")</f>
        <v/>
      </c>
      <c r="M109" s="77" t="str">
        <f t="shared" ref="M109:M110" si="139">IF(F109&lt;&gt;1,"ERROR!!!","")</f>
        <v/>
      </c>
      <c r="N109" s="77" t="str">
        <f t="shared" ref="N109:N110" si="140">IF(G109&lt;&gt;1,"ERROR!!!","")</f>
        <v/>
      </c>
      <c r="O109" s="77" t="str">
        <f t="shared" ref="O109:O110" si="141">IF(H109&lt;&gt;1,"ERROR!!!","")</f>
        <v/>
      </c>
      <c r="P109" s="77" t="str">
        <f t="shared" ref="P109:P110" si="142">IF(I109&lt;&gt;1,"ERROR!!!","")</f>
        <v/>
      </c>
      <c r="Q109" s="77" t="str">
        <f t="shared" si="136"/>
        <v/>
      </c>
    </row>
    <row r="110" spans="1:17" x14ac:dyDescent="0.25">
      <c r="A110" s="2">
        <v>2028</v>
      </c>
      <c r="B110" s="2">
        <v>7</v>
      </c>
      <c r="C110" s="2">
        <v>1</v>
      </c>
      <c r="D110" s="2">
        <v>1</v>
      </c>
      <c r="E110" s="2">
        <v>1</v>
      </c>
      <c r="F110" s="2">
        <v>1</v>
      </c>
      <c r="G110" s="2">
        <v>1</v>
      </c>
      <c r="H110" s="2">
        <v>1</v>
      </c>
      <c r="I110" s="2">
        <v>1</v>
      </c>
      <c r="J110" s="2">
        <v>2</v>
      </c>
      <c r="K110" s="77" t="str">
        <f t="shared" si="137"/>
        <v/>
      </c>
      <c r="L110" s="77" t="str">
        <f t="shared" si="138"/>
        <v/>
      </c>
      <c r="M110" s="77" t="str">
        <f t="shared" si="139"/>
        <v/>
      </c>
      <c r="N110" s="77" t="str">
        <f t="shared" si="140"/>
        <v/>
      </c>
      <c r="O110" s="77" t="str">
        <f t="shared" si="141"/>
        <v/>
      </c>
      <c r="P110" s="77" t="str">
        <f t="shared" si="142"/>
        <v/>
      </c>
      <c r="Q110" s="76">
        <f t="shared" ref="K110:Q115" si="143">_xlfn.LET(_xlpm.StartDay, WEEKDAY(DATE($A110, $B110, 1), 1),_xlpm.DayNum, (COLUMN() - COLUMN($K$110) + 1) + (ROW() - ROW($K$110)) * 7 - _xlpm.StartDay + 1,IF(AND(_xlpm.DayNum &gt; 0, _xlpm.DayNum &lt;= DAY(EOMONTH(DATE($A110, $B110, 1), 0))), _xlpm.DayNum, ""))</f>
        <v>1</v>
      </c>
    </row>
    <row r="111" spans="1:17" x14ac:dyDescent="0.25">
      <c r="A111" s="2">
        <v>2028</v>
      </c>
      <c r="B111" s="2">
        <v>7</v>
      </c>
      <c r="C111" s="2">
        <v>2</v>
      </c>
      <c r="D111" s="2">
        <v>3</v>
      </c>
      <c r="E111" s="2">
        <v>2</v>
      </c>
      <c r="F111" s="2">
        <v>3</v>
      </c>
      <c r="G111" s="2">
        <v>3</v>
      </c>
      <c r="H111" s="2">
        <v>2</v>
      </c>
      <c r="I111" s="2">
        <v>4</v>
      </c>
      <c r="J111" s="2">
        <v>2</v>
      </c>
      <c r="K111" s="76">
        <f t="shared" si="143"/>
        <v>2</v>
      </c>
      <c r="L111" s="2">
        <f t="shared" si="143"/>
        <v>3</v>
      </c>
      <c r="M111" s="2">
        <f t="shared" si="143"/>
        <v>4</v>
      </c>
      <c r="N111" s="2">
        <f t="shared" si="143"/>
        <v>5</v>
      </c>
      <c r="O111" s="2">
        <f t="shared" si="143"/>
        <v>6</v>
      </c>
      <c r="P111" s="2">
        <f t="shared" si="143"/>
        <v>7</v>
      </c>
      <c r="Q111" s="76">
        <f t="shared" si="143"/>
        <v>8</v>
      </c>
    </row>
    <row r="112" spans="1:17" x14ac:dyDescent="0.25">
      <c r="A112" s="2">
        <v>2028</v>
      </c>
      <c r="B112" s="2">
        <v>7</v>
      </c>
      <c r="C112" s="2">
        <v>3</v>
      </c>
      <c r="D112" s="2">
        <v>3</v>
      </c>
      <c r="E112" s="2">
        <v>3</v>
      </c>
      <c r="F112" s="2">
        <v>3</v>
      </c>
      <c r="G112" s="2">
        <v>3</v>
      </c>
      <c r="H112" s="2">
        <v>3</v>
      </c>
      <c r="I112" s="2">
        <v>2</v>
      </c>
      <c r="J112" s="2">
        <v>3</v>
      </c>
      <c r="K112" s="76">
        <f t="shared" si="143"/>
        <v>9</v>
      </c>
      <c r="L112" s="2">
        <f t="shared" si="143"/>
        <v>10</v>
      </c>
      <c r="M112" s="2">
        <f t="shared" si="143"/>
        <v>11</v>
      </c>
      <c r="N112" s="2">
        <f t="shared" si="143"/>
        <v>12</v>
      </c>
      <c r="O112" s="2">
        <f t="shared" si="143"/>
        <v>13</v>
      </c>
      <c r="P112" s="2">
        <f t="shared" si="143"/>
        <v>14</v>
      </c>
      <c r="Q112" s="76">
        <f t="shared" si="143"/>
        <v>15</v>
      </c>
    </row>
    <row r="113" spans="1:17" x14ac:dyDescent="0.25">
      <c r="A113" s="2">
        <v>2028</v>
      </c>
      <c r="B113" s="2">
        <v>7</v>
      </c>
      <c r="C113" s="2">
        <v>4</v>
      </c>
      <c r="D113" s="2">
        <v>2</v>
      </c>
      <c r="E113" s="2">
        <v>2</v>
      </c>
      <c r="F113" s="2">
        <v>3</v>
      </c>
      <c r="G113" s="2">
        <v>3</v>
      </c>
      <c r="H113" s="2">
        <v>2</v>
      </c>
      <c r="I113" s="2">
        <v>2</v>
      </c>
      <c r="J113" s="2">
        <v>2</v>
      </c>
      <c r="K113" s="76">
        <f t="shared" si="143"/>
        <v>16</v>
      </c>
      <c r="L113" s="2">
        <f t="shared" si="143"/>
        <v>17</v>
      </c>
      <c r="M113" s="2">
        <f t="shared" si="143"/>
        <v>18</v>
      </c>
      <c r="N113" s="2">
        <f t="shared" si="143"/>
        <v>19</v>
      </c>
      <c r="O113" s="2">
        <f t="shared" si="143"/>
        <v>20</v>
      </c>
      <c r="P113" s="2">
        <f t="shared" si="143"/>
        <v>21</v>
      </c>
      <c r="Q113" s="76">
        <f t="shared" si="143"/>
        <v>22</v>
      </c>
    </row>
    <row r="114" spans="1:17" x14ac:dyDescent="0.25">
      <c r="A114" s="2">
        <v>2028</v>
      </c>
      <c r="B114" s="2">
        <v>7</v>
      </c>
      <c r="C114" s="2">
        <v>5</v>
      </c>
      <c r="D114" s="2">
        <v>2</v>
      </c>
      <c r="E114" s="2">
        <v>3</v>
      </c>
      <c r="F114" s="2">
        <v>3</v>
      </c>
      <c r="G114" s="2">
        <v>3</v>
      </c>
      <c r="H114" s="2">
        <v>2</v>
      </c>
      <c r="I114" s="2">
        <v>4</v>
      </c>
      <c r="J114" s="2">
        <v>2</v>
      </c>
      <c r="K114" s="76">
        <f t="shared" si="143"/>
        <v>23</v>
      </c>
      <c r="L114" s="2">
        <f t="shared" si="143"/>
        <v>24</v>
      </c>
      <c r="M114" s="2">
        <f t="shared" si="143"/>
        <v>25</v>
      </c>
      <c r="N114" s="2">
        <f t="shared" si="143"/>
        <v>26</v>
      </c>
      <c r="O114" s="2">
        <f t="shared" si="143"/>
        <v>27</v>
      </c>
      <c r="P114" s="2">
        <f t="shared" si="143"/>
        <v>28</v>
      </c>
      <c r="Q114" s="76">
        <f t="shared" si="143"/>
        <v>29</v>
      </c>
    </row>
    <row r="115" spans="1:17" x14ac:dyDescent="0.25">
      <c r="A115" s="2">
        <v>2028</v>
      </c>
      <c r="B115" s="2">
        <v>7</v>
      </c>
      <c r="C115" s="2">
        <v>6</v>
      </c>
      <c r="D115" s="2">
        <v>2</v>
      </c>
      <c r="E115" s="2">
        <v>2</v>
      </c>
      <c r="F115" s="2">
        <v>1</v>
      </c>
      <c r="G115" s="2">
        <v>1</v>
      </c>
      <c r="H115" s="2">
        <v>1</v>
      </c>
      <c r="I115" s="2">
        <v>1</v>
      </c>
      <c r="J115" s="2">
        <v>1</v>
      </c>
      <c r="K115" s="76">
        <f t="shared" si="143"/>
        <v>30</v>
      </c>
      <c r="L115" s="2">
        <f t="shared" si="143"/>
        <v>31</v>
      </c>
      <c r="M115" s="77" t="str">
        <f t="shared" ref="M115" si="144">IF(F115&lt;&gt;1,"ERROR!!!","")</f>
        <v/>
      </c>
      <c r="N115" s="77" t="str">
        <f t="shared" ref="N115" si="145">IF(G115&lt;&gt;1,"ERROR!!!","")</f>
        <v/>
      </c>
      <c r="O115" s="77" t="str">
        <f t="shared" ref="O115" si="146">IF(H115&lt;&gt;1,"ERROR!!!","")</f>
        <v/>
      </c>
      <c r="P115" s="77" t="str">
        <f t="shared" ref="P115" si="147">IF(I115&lt;&gt;1,"ERROR!!!","")</f>
        <v/>
      </c>
      <c r="Q115" s="77" t="str">
        <f t="shared" ref="Q115" si="148">IF(J115&lt;&gt;1,"ERROR!!!","")</f>
        <v/>
      </c>
    </row>
    <row r="116" spans="1:17" x14ac:dyDescent="0.25">
      <c r="A116" s="2">
        <v>2028</v>
      </c>
      <c r="B116" s="2">
        <v>8</v>
      </c>
      <c r="C116" s="2">
        <v>1</v>
      </c>
      <c r="D116" s="2">
        <v>1</v>
      </c>
      <c r="E116" s="2">
        <v>1</v>
      </c>
      <c r="F116" s="2">
        <v>2</v>
      </c>
      <c r="G116" s="2">
        <v>2</v>
      </c>
      <c r="H116" s="2">
        <v>2</v>
      </c>
      <c r="I116" s="2">
        <v>2</v>
      </c>
      <c r="J116" s="2">
        <v>3</v>
      </c>
      <c r="K116" s="77" t="str">
        <f t="shared" ref="K116" si="149">IF(D116&lt;&gt;1,"ERROR!!!","")</f>
        <v/>
      </c>
      <c r="L116" s="77" t="str">
        <f t="shared" ref="L116" si="150">IF(E116&lt;&gt;1,"ERROR!!!","")</f>
        <v/>
      </c>
      <c r="M116" s="2">
        <f t="shared" ref="K116:Q120" si="151">_xlfn.LET(_xlpm.StartDay, WEEKDAY(DATE($A116, $B116, 1), 1),_xlpm.DayNum, (COLUMN() - COLUMN($K$116) + 1) + (ROW() - ROW($K$116)) * 7 - _xlpm.StartDay + 1,IF(AND(_xlpm.DayNum &gt; 0, _xlpm.DayNum &lt;= DAY(EOMONTH(DATE($A116, $B116, 1), 0))), _xlpm.DayNum, ""))</f>
        <v>1</v>
      </c>
      <c r="N116" s="2">
        <f t="shared" si="151"/>
        <v>2</v>
      </c>
      <c r="O116" s="2">
        <f t="shared" si="151"/>
        <v>3</v>
      </c>
      <c r="P116" s="2">
        <f t="shared" si="151"/>
        <v>4</v>
      </c>
      <c r="Q116" s="76">
        <f t="shared" si="151"/>
        <v>5</v>
      </c>
    </row>
    <row r="117" spans="1:17" x14ac:dyDescent="0.25">
      <c r="A117" s="2">
        <v>2028</v>
      </c>
      <c r="B117" s="2">
        <v>8</v>
      </c>
      <c r="C117" s="2">
        <v>2</v>
      </c>
      <c r="D117" s="2">
        <v>3</v>
      </c>
      <c r="E117" s="2">
        <v>3</v>
      </c>
      <c r="F117" s="2">
        <v>3</v>
      </c>
      <c r="G117" s="2">
        <v>2</v>
      </c>
      <c r="H117" s="2">
        <v>2</v>
      </c>
      <c r="I117" s="2">
        <v>3</v>
      </c>
      <c r="J117" s="2">
        <v>2</v>
      </c>
      <c r="K117" s="76">
        <f t="shared" si="151"/>
        <v>6</v>
      </c>
      <c r="L117" s="2">
        <f t="shared" si="151"/>
        <v>7</v>
      </c>
      <c r="M117" s="2">
        <f t="shared" si="151"/>
        <v>8</v>
      </c>
      <c r="N117" s="2">
        <f t="shared" si="151"/>
        <v>9</v>
      </c>
      <c r="O117" s="2">
        <f t="shared" si="151"/>
        <v>10</v>
      </c>
      <c r="P117" s="2">
        <f t="shared" si="151"/>
        <v>11</v>
      </c>
      <c r="Q117" s="76">
        <f t="shared" si="151"/>
        <v>12</v>
      </c>
    </row>
    <row r="118" spans="1:17" x14ac:dyDescent="0.25">
      <c r="A118" s="2">
        <v>2028</v>
      </c>
      <c r="B118" s="2">
        <v>8</v>
      </c>
      <c r="C118" s="2">
        <v>3</v>
      </c>
      <c r="D118" s="2">
        <v>3</v>
      </c>
      <c r="E118" s="2">
        <v>2</v>
      </c>
      <c r="F118" s="2">
        <v>2</v>
      </c>
      <c r="G118" s="2">
        <v>3</v>
      </c>
      <c r="H118" s="2">
        <v>3</v>
      </c>
      <c r="I118" s="2">
        <v>2</v>
      </c>
      <c r="J118" s="2">
        <v>3</v>
      </c>
      <c r="K118" s="76">
        <f t="shared" si="151"/>
        <v>13</v>
      </c>
      <c r="L118" s="2">
        <f t="shared" si="151"/>
        <v>14</v>
      </c>
      <c r="M118" s="2">
        <f t="shared" si="151"/>
        <v>15</v>
      </c>
      <c r="N118" s="2">
        <f t="shared" si="151"/>
        <v>16</v>
      </c>
      <c r="O118" s="2">
        <f t="shared" si="151"/>
        <v>17</v>
      </c>
      <c r="P118" s="2">
        <f t="shared" si="151"/>
        <v>18</v>
      </c>
      <c r="Q118" s="76">
        <f t="shared" si="151"/>
        <v>19</v>
      </c>
    </row>
    <row r="119" spans="1:17" x14ac:dyDescent="0.25">
      <c r="A119" s="2">
        <v>2028</v>
      </c>
      <c r="B119" s="2">
        <v>8</v>
      </c>
      <c r="C119" s="2">
        <v>4</v>
      </c>
      <c r="D119" s="2">
        <v>2</v>
      </c>
      <c r="E119" s="2">
        <v>3</v>
      </c>
      <c r="F119" s="2">
        <v>2</v>
      </c>
      <c r="G119" s="2">
        <v>3</v>
      </c>
      <c r="H119" s="2">
        <v>2</v>
      </c>
      <c r="I119" s="2">
        <v>3</v>
      </c>
      <c r="J119" s="2">
        <v>2</v>
      </c>
      <c r="K119" s="76">
        <f t="shared" si="151"/>
        <v>20</v>
      </c>
      <c r="L119" s="2">
        <f t="shared" si="151"/>
        <v>21</v>
      </c>
      <c r="M119" s="2">
        <f t="shared" si="151"/>
        <v>22</v>
      </c>
      <c r="N119" s="2">
        <f t="shared" si="151"/>
        <v>23</v>
      </c>
      <c r="O119" s="2">
        <f t="shared" si="151"/>
        <v>24</v>
      </c>
      <c r="P119" s="2">
        <f t="shared" si="151"/>
        <v>25</v>
      </c>
      <c r="Q119" s="76">
        <f t="shared" si="151"/>
        <v>26</v>
      </c>
    </row>
    <row r="120" spans="1:17" x14ac:dyDescent="0.25">
      <c r="A120" s="2">
        <v>2028</v>
      </c>
      <c r="B120" s="2">
        <v>8</v>
      </c>
      <c r="C120" s="2">
        <v>5</v>
      </c>
      <c r="D120" s="2">
        <v>3</v>
      </c>
      <c r="E120" s="2">
        <v>2</v>
      </c>
      <c r="F120" s="2">
        <v>2</v>
      </c>
      <c r="G120" s="2">
        <v>2</v>
      </c>
      <c r="H120" s="2">
        <v>4</v>
      </c>
      <c r="I120" s="2">
        <v>1</v>
      </c>
      <c r="J120" s="2">
        <v>1</v>
      </c>
      <c r="K120" s="76">
        <f t="shared" si="151"/>
        <v>27</v>
      </c>
      <c r="L120" s="2">
        <f t="shared" si="151"/>
        <v>28</v>
      </c>
      <c r="M120" s="2">
        <f t="shared" si="151"/>
        <v>29</v>
      </c>
      <c r="N120" s="2">
        <f t="shared" si="151"/>
        <v>30</v>
      </c>
      <c r="O120" s="2">
        <f t="shared" si="151"/>
        <v>31</v>
      </c>
      <c r="P120" s="77" t="str">
        <f t="shared" ref="P120:P121" si="152">IF(I120&lt;&gt;1,"ERROR!!!","")</f>
        <v/>
      </c>
      <c r="Q120" s="77" t="str">
        <f t="shared" ref="Q120:Q121" si="153">IF(J120&lt;&gt;1,"ERROR!!!","")</f>
        <v/>
      </c>
    </row>
    <row r="121" spans="1:17" x14ac:dyDescent="0.25">
      <c r="A121" s="2">
        <v>2028</v>
      </c>
      <c r="B121" s="2">
        <v>8</v>
      </c>
      <c r="C121" s="2">
        <v>6</v>
      </c>
      <c r="D121" s="2">
        <v>1</v>
      </c>
      <c r="E121" s="2">
        <v>1</v>
      </c>
      <c r="F121" s="2">
        <v>1</v>
      </c>
      <c r="G121" s="2">
        <v>1</v>
      </c>
      <c r="H121" s="2">
        <v>1</v>
      </c>
      <c r="I121" s="2">
        <v>1</v>
      </c>
      <c r="J121" s="2">
        <v>1</v>
      </c>
      <c r="K121" s="77" t="str">
        <f t="shared" ref="K121:K122" si="154">IF(D121&lt;&gt;1,"ERROR!!!","")</f>
        <v/>
      </c>
      <c r="L121" s="77" t="str">
        <f t="shared" ref="L121:L122" si="155">IF(E121&lt;&gt;1,"ERROR!!!","")</f>
        <v/>
      </c>
      <c r="M121" s="77" t="str">
        <f t="shared" ref="M121:M122" si="156">IF(F121&lt;&gt;1,"ERROR!!!","")</f>
        <v/>
      </c>
      <c r="N121" s="77" t="str">
        <f t="shared" ref="N121:N122" si="157">IF(G121&lt;&gt;1,"ERROR!!!","")</f>
        <v/>
      </c>
      <c r="O121" s="77" t="str">
        <f t="shared" ref="O121:O122" si="158">IF(H121&lt;&gt;1,"ERROR!!!","")</f>
        <v/>
      </c>
      <c r="P121" s="77" t="str">
        <f t="shared" si="152"/>
        <v/>
      </c>
      <c r="Q121" s="77" t="str">
        <f t="shared" si="153"/>
        <v/>
      </c>
    </row>
    <row r="122" spans="1:17" x14ac:dyDescent="0.25">
      <c r="A122" s="2">
        <v>2028</v>
      </c>
      <c r="B122" s="2">
        <v>9</v>
      </c>
      <c r="C122" s="2">
        <v>1</v>
      </c>
      <c r="D122" s="2">
        <v>1</v>
      </c>
      <c r="E122" s="2">
        <v>1</v>
      </c>
      <c r="F122" s="2">
        <v>1</v>
      </c>
      <c r="G122" s="2">
        <v>1</v>
      </c>
      <c r="H122" s="2">
        <v>1</v>
      </c>
      <c r="I122" s="2">
        <v>4</v>
      </c>
      <c r="J122" s="2">
        <v>2</v>
      </c>
      <c r="K122" s="77" t="str">
        <f t="shared" si="154"/>
        <v/>
      </c>
      <c r="L122" s="77" t="str">
        <f t="shared" si="155"/>
        <v/>
      </c>
      <c r="M122" s="77" t="str">
        <f t="shared" si="156"/>
        <v/>
      </c>
      <c r="N122" s="77" t="str">
        <f t="shared" si="157"/>
        <v/>
      </c>
      <c r="O122" s="77" t="str">
        <f t="shared" si="158"/>
        <v/>
      </c>
      <c r="P122" s="2">
        <f t="shared" ref="K122:Q126" si="159">_xlfn.LET(_xlpm.StartDay, WEEKDAY(DATE($A122, $B122, 1), 1),_xlpm.DayNum, (COLUMN() - COLUMN($K$122) + 1) + (ROW() - ROW($K$122)) * 7 - _xlpm.StartDay + 1,IF(AND(_xlpm.DayNum &gt; 0, _xlpm.DayNum &lt;= DAY(EOMONTH(DATE($A122, $B122, 1), 0))), _xlpm.DayNum, ""))</f>
        <v>1</v>
      </c>
      <c r="Q122" s="76">
        <f t="shared" si="159"/>
        <v>2</v>
      </c>
    </row>
    <row r="123" spans="1:17" x14ac:dyDescent="0.25">
      <c r="A123" s="2">
        <v>2028</v>
      </c>
      <c r="B123" s="2">
        <v>9</v>
      </c>
      <c r="C123" s="2">
        <v>2</v>
      </c>
      <c r="D123" s="2">
        <v>2</v>
      </c>
      <c r="E123" s="2">
        <v>2</v>
      </c>
      <c r="F123" s="2">
        <v>2</v>
      </c>
      <c r="G123" s="2">
        <v>2</v>
      </c>
      <c r="H123" s="2">
        <v>3</v>
      </c>
      <c r="I123" s="2">
        <v>3</v>
      </c>
      <c r="J123" s="2">
        <v>3</v>
      </c>
      <c r="K123" s="76">
        <f t="shared" si="159"/>
        <v>3</v>
      </c>
      <c r="L123" s="2">
        <f t="shared" si="159"/>
        <v>4</v>
      </c>
      <c r="M123" s="2">
        <f t="shared" si="159"/>
        <v>5</v>
      </c>
      <c r="N123" s="2">
        <f t="shared" si="159"/>
        <v>6</v>
      </c>
      <c r="O123" s="2">
        <f t="shared" si="159"/>
        <v>7</v>
      </c>
      <c r="P123" s="2">
        <f t="shared" si="159"/>
        <v>8</v>
      </c>
      <c r="Q123" s="76">
        <f t="shared" si="159"/>
        <v>9</v>
      </c>
    </row>
    <row r="124" spans="1:17" x14ac:dyDescent="0.25">
      <c r="A124" s="2">
        <v>2028</v>
      </c>
      <c r="B124" s="2">
        <v>9</v>
      </c>
      <c r="C124" s="2">
        <v>3</v>
      </c>
      <c r="D124" s="2">
        <v>2</v>
      </c>
      <c r="E124" s="2">
        <v>3</v>
      </c>
      <c r="F124" s="2">
        <v>3</v>
      </c>
      <c r="G124" s="2">
        <v>3</v>
      </c>
      <c r="H124" s="2">
        <v>4</v>
      </c>
      <c r="I124" s="2">
        <v>2</v>
      </c>
      <c r="J124" s="2">
        <v>2</v>
      </c>
      <c r="K124" s="76">
        <f t="shared" si="159"/>
        <v>10</v>
      </c>
      <c r="L124" s="2">
        <f t="shared" si="159"/>
        <v>11</v>
      </c>
      <c r="M124" s="2">
        <f t="shared" si="159"/>
        <v>12</v>
      </c>
      <c r="N124" s="2">
        <f t="shared" si="159"/>
        <v>13</v>
      </c>
      <c r="O124" s="2">
        <f t="shared" si="159"/>
        <v>14</v>
      </c>
      <c r="P124" s="2">
        <f t="shared" si="159"/>
        <v>15</v>
      </c>
      <c r="Q124" s="76">
        <f t="shared" si="159"/>
        <v>16</v>
      </c>
    </row>
    <row r="125" spans="1:17" x14ac:dyDescent="0.25">
      <c r="A125" s="2">
        <v>2028</v>
      </c>
      <c r="B125" s="2">
        <v>9</v>
      </c>
      <c r="C125" s="2">
        <v>4</v>
      </c>
      <c r="D125" s="2">
        <v>2</v>
      </c>
      <c r="E125" s="2">
        <v>3</v>
      </c>
      <c r="F125" s="2">
        <v>4</v>
      </c>
      <c r="G125" s="2">
        <v>3</v>
      </c>
      <c r="H125" s="2">
        <v>3</v>
      </c>
      <c r="I125" s="2">
        <v>2</v>
      </c>
      <c r="J125" s="2">
        <v>3</v>
      </c>
      <c r="K125" s="76">
        <f t="shared" si="159"/>
        <v>17</v>
      </c>
      <c r="L125" s="2">
        <f t="shared" si="159"/>
        <v>18</v>
      </c>
      <c r="M125" s="2">
        <f t="shared" si="159"/>
        <v>19</v>
      </c>
      <c r="N125" s="2">
        <f t="shared" si="159"/>
        <v>20</v>
      </c>
      <c r="O125" s="2">
        <f t="shared" si="159"/>
        <v>21</v>
      </c>
      <c r="P125" s="2">
        <f t="shared" si="159"/>
        <v>22</v>
      </c>
      <c r="Q125" s="76">
        <f t="shared" si="159"/>
        <v>23</v>
      </c>
    </row>
    <row r="126" spans="1:17" x14ac:dyDescent="0.25">
      <c r="A126" s="2">
        <v>2028</v>
      </c>
      <c r="B126" s="2">
        <v>9</v>
      </c>
      <c r="C126" s="2">
        <v>5</v>
      </c>
      <c r="D126" s="2">
        <v>2</v>
      </c>
      <c r="E126" s="2">
        <v>4</v>
      </c>
      <c r="F126" s="2">
        <v>3</v>
      </c>
      <c r="G126" s="2">
        <v>3</v>
      </c>
      <c r="H126" s="2">
        <v>2</v>
      </c>
      <c r="I126" s="2">
        <v>2</v>
      </c>
      <c r="J126" s="2">
        <v>2</v>
      </c>
      <c r="K126" s="76">
        <f t="shared" si="159"/>
        <v>24</v>
      </c>
      <c r="L126" s="2">
        <f t="shared" si="159"/>
        <v>25</v>
      </c>
      <c r="M126" s="2">
        <f t="shared" si="159"/>
        <v>26</v>
      </c>
      <c r="N126" s="2">
        <f t="shared" si="159"/>
        <v>27</v>
      </c>
      <c r="O126" s="2">
        <f t="shared" si="159"/>
        <v>28</v>
      </c>
      <c r="P126" s="2">
        <f t="shared" si="159"/>
        <v>29</v>
      </c>
      <c r="Q126" s="76">
        <f t="shared" si="159"/>
        <v>30</v>
      </c>
    </row>
    <row r="127" spans="1:17" x14ac:dyDescent="0.25">
      <c r="A127" s="2">
        <v>2028</v>
      </c>
      <c r="B127" s="2">
        <v>9</v>
      </c>
      <c r="C127" s="2">
        <v>6</v>
      </c>
      <c r="D127" s="2">
        <v>1</v>
      </c>
      <c r="E127" s="2">
        <v>1</v>
      </c>
      <c r="F127" s="2">
        <v>1</v>
      </c>
      <c r="G127" s="2">
        <v>1</v>
      </c>
      <c r="H127" s="2">
        <v>1</v>
      </c>
      <c r="I127" s="2">
        <v>1</v>
      </c>
      <c r="J127" s="2">
        <v>1</v>
      </c>
      <c r="K127" s="77" t="str">
        <f t="shared" ref="K127" si="160">IF(D127&lt;&gt;1,"ERROR!!!","")</f>
        <v/>
      </c>
      <c r="L127" s="77" t="str">
        <f t="shared" ref="L127" si="161">IF(E127&lt;&gt;1,"ERROR!!!","")</f>
        <v/>
      </c>
      <c r="M127" s="77" t="str">
        <f t="shared" ref="M127" si="162">IF(F127&lt;&gt;1,"ERROR!!!","")</f>
        <v/>
      </c>
      <c r="N127" s="77" t="str">
        <f t="shared" ref="N127" si="163">IF(G127&lt;&gt;1,"ERROR!!!","")</f>
        <v/>
      </c>
      <c r="O127" s="77" t="str">
        <f t="shared" ref="O127" si="164">IF(H127&lt;&gt;1,"ERROR!!!","")</f>
        <v/>
      </c>
      <c r="P127" s="77" t="str">
        <f t="shared" ref="P127" si="165">IF(I127&lt;&gt;1,"ERROR!!!","")</f>
        <v/>
      </c>
      <c r="Q127" s="77" t="str">
        <f t="shared" ref="Q127" si="166">IF(J127&lt;&gt;1,"ERROR!!!","")</f>
        <v/>
      </c>
    </row>
    <row r="128" spans="1:17" x14ac:dyDescent="0.25">
      <c r="A128" s="2">
        <v>2028</v>
      </c>
      <c r="B128" s="2">
        <v>10</v>
      </c>
      <c r="C128" s="2">
        <v>1</v>
      </c>
      <c r="D128" s="2">
        <v>2</v>
      </c>
      <c r="E128" s="2">
        <v>2</v>
      </c>
      <c r="F128" s="2">
        <v>2</v>
      </c>
      <c r="G128" s="2">
        <v>2</v>
      </c>
      <c r="H128" s="2">
        <v>2</v>
      </c>
      <c r="I128" s="2">
        <v>3</v>
      </c>
      <c r="J128" s="2">
        <v>3</v>
      </c>
      <c r="K128" s="76">
        <f t="shared" ref="K128:Q132" si="167">_xlfn.LET(_xlpm.StartDay, WEEKDAY(DATE($A128, $B128, 1), 1),_xlpm.DayNum, (COLUMN() - COLUMN($K$128) + 1) + (ROW() - ROW($K$128)) * 7 - _xlpm.StartDay + 1,IF(AND(_xlpm.DayNum &gt; 0, _xlpm.DayNum &lt;= DAY(EOMONTH(DATE($A128, $B128, 1), 0))), _xlpm.DayNum, ""))</f>
        <v>1</v>
      </c>
      <c r="L128" s="2">
        <f t="shared" si="167"/>
        <v>2</v>
      </c>
      <c r="M128" s="2">
        <f t="shared" si="167"/>
        <v>3</v>
      </c>
      <c r="N128" s="2">
        <f t="shared" si="167"/>
        <v>4</v>
      </c>
      <c r="O128" s="2">
        <f t="shared" si="167"/>
        <v>5</v>
      </c>
      <c r="P128" s="2">
        <f t="shared" si="167"/>
        <v>6</v>
      </c>
      <c r="Q128" s="76">
        <f t="shared" si="167"/>
        <v>7</v>
      </c>
    </row>
    <row r="129" spans="1:17" x14ac:dyDescent="0.25">
      <c r="A129" s="2">
        <v>2028</v>
      </c>
      <c r="B129" s="2">
        <v>10</v>
      </c>
      <c r="C129" s="2">
        <v>2</v>
      </c>
      <c r="D129" s="2">
        <v>3</v>
      </c>
      <c r="E129" s="2">
        <v>3</v>
      </c>
      <c r="F129" s="2">
        <v>4</v>
      </c>
      <c r="G129" s="2">
        <v>2</v>
      </c>
      <c r="H129" s="2">
        <v>3</v>
      </c>
      <c r="I129" s="2">
        <v>2</v>
      </c>
      <c r="J129" s="2">
        <v>3</v>
      </c>
      <c r="K129" s="76">
        <f t="shared" si="167"/>
        <v>8</v>
      </c>
      <c r="L129" s="2">
        <f t="shared" si="167"/>
        <v>9</v>
      </c>
      <c r="M129" s="2">
        <f t="shared" si="167"/>
        <v>10</v>
      </c>
      <c r="N129" s="2">
        <f t="shared" si="167"/>
        <v>11</v>
      </c>
      <c r="O129" s="2">
        <f t="shared" si="167"/>
        <v>12</v>
      </c>
      <c r="P129" s="2">
        <f t="shared" si="167"/>
        <v>13</v>
      </c>
      <c r="Q129" s="76">
        <f t="shared" si="167"/>
        <v>14</v>
      </c>
    </row>
    <row r="130" spans="1:17" x14ac:dyDescent="0.25">
      <c r="A130" s="2">
        <v>2028</v>
      </c>
      <c r="B130" s="2">
        <v>10</v>
      </c>
      <c r="C130" s="2">
        <v>3</v>
      </c>
      <c r="D130" s="2">
        <v>3</v>
      </c>
      <c r="E130" s="2">
        <v>3</v>
      </c>
      <c r="F130" s="2">
        <v>2</v>
      </c>
      <c r="G130" s="2">
        <v>3</v>
      </c>
      <c r="H130" s="2">
        <v>3</v>
      </c>
      <c r="I130" s="2">
        <v>3</v>
      </c>
      <c r="J130" s="2">
        <v>2</v>
      </c>
      <c r="K130" s="76">
        <f t="shared" si="167"/>
        <v>15</v>
      </c>
      <c r="L130" s="2">
        <f t="shared" si="167"/>
        <v>16</v>
      </c>
      <c r="M130" s="2">
        <f t="shared" si="167"/>
        <v>17</v>
      </c>
      <c r="N130" s="2">
        <f t="shared" si="167"/>
        <v>18</v>
      </c>
      <c r="O130" s="2">
        <f t="shared" si="167"/>
        <v>19</v>
      </c>
      <c r="P130" s="2">
        <f t="shared" si="167"/>
        <v>20</v>
      </c>
      <c r="Q130" s="76">
        <f t="shared" si="167"/>
        <v>21</v>
      </c>
    </row>
    <row r="131" spans="1:17" x14ac:dyDescent="0.25">
      <c r="A131" s="2">
        <v>2028</v>
      </c>
      <c r="B131" s="2">
        <v>10</v>
      </c>
      <c r="C131" s="2">
        <v>4</v>
      </c>
      <c r="D131" s="2">
        <v>2</v>
      </c>
      <c r="E131" s="2">
        <v>3</v>
      </c>
      <c r="F131" s="2">
        <v>3</v>
      </c>
      <c r="G131" s="2">
        <v>3</v>
      </c>
      <c r="H131" s="2">
        <v>4</v>
      </c>
      <c r="I131" s="2">
        <v>3</v>
      </c>
      <c r="J131" s="2">
        <v>3</v>
      </c>
      <c r="K131" s="76">
        <f t="shared" si="167"/>
        <v>22</v>
      </c>
      <c r="L131" s="2">
        <f t="shared" si="167"/>
        <v>23</v>
      </c>
      <c r="M131" s="2">
        <f t="shared" si="167"/>
        <v>24</v>
      </c>
      <c r="N131" s="2">
        <f t="shared" si="167"/>
        <v>25</v>
      </c>
      <c r="O131" s="2">
        <f t="shared" si="167"/>
        <v>26</v>
      </c>
      <c r="P131" s="2">
        <f t="shared" si="167"/>
        <v>27</v>
      </c>
      <c r="Q131" s="76">
        <f t="shared" si="167"/>
        <v>28</v>
      </c>
    </row>
    <row r="132" spans="1:17" x14ac:dyDescent="0.25">
      <c r="A132" s="2">
        <v>2028</v>
      </c>
      <c r="B132" s="2">
        <v>10</v>
      </c>
      <c r="C132" s="2">
        <v>5</v>
      </c>
      <c r="D132" s="2">
        <v>3</v>
      </c>
      <c r="E132" s="2">
        <v>2</v>
      </c>
      <c r="F132" s="2">
        <v>3</v>
      </c>
      <c r="G132" s="2">
        <v>1</v>
      </c>
      <c r="H132" s="2">
        <v>1</v>
      </c>
      <c r="I132" s="2">
        <v>1</v>
      </c>
      <c r="J132" s="2">
        <v>1</v>
      </c>
      <c r="K132" s="76">
        <f t="shared" si="167"/>
        <v>29</v>
      </c>
      <c r="L132" s="2">
        <f t="shared" si="167"/>
        <v>30</v>
      </c>
      <c r="M132" s="2">
        <f t="shared" si="167"/>
        <v>31</v>
      </c>
      <c r="N132" s="77" t="str">
        <f t="shared" ref="N132:N133" si="168">IF(G132&lt;&gt;1,"ERROR!!!","")</f>
        <v/>
      </c>
      <c r="O132" s="77" t="str">
        <f t="shared" ref="O132:O133" si="169">IF(H132&lt;&gt;1,"ERROR!!!","")</f>
        <v/>
      </c>
      <c r="P132" s="77" t="str">
        <f t="shared" ref="P132:P133" si="170">IF(I132&lt;&gt;1,"ERROR!!!","")</f>
        <v/>
      </c>
      <c r="Q132" s="77" t="str">
        <f t="shared" ref="Q132:Q133" si="171">IF(J132&lt;&gt;1,"ERROR!!!","")</f>
        <v/>
      </c>
    </row>
    <row r="133" spans="1:17" x14ac:dyDescent="0.25">
      <c r="A133" s="2">
        <v>2028</v>
      </c>
      <c r="B133" s="2">
        <v>10</v>
      </c>
      <c r="C133" s="2">
        <v>6</v>
      </c>
      <c r="D133" s="2">
        <v>1</v>
      </c>
      <c r="E133" s="2">
        <v>1</v>
      </c>
      <c r="F133" s="2">
        <v>1</v>
      </c>
      <c r="G133" s="2">
        <v>1</v>
      </c>
      <c r="H133" s="2">
        <v>1</v>
      </c>
      <c r="I133" s="2">
        <v>1</v>
      </c>
      <c r="J133" s="2">
        <v>1</v>
      </c>
      <c r="K133" s="77" t="str">
        <f t="shared" ref="K133:K134" si="172">IF(D133&lt;&gt;1,"ERROR!!!","")</f>
        <v/>
      </c>
      <c r="L133" s="77" t="str">
        <f t="shared" ref="L133:L134" si="173">IF(E133&lt;&gt;1,"ERROR!!!","")</f>
        <v/>
      </c>
      <c r="M133" s="77" t="str">
        <f t="shared" ref="M133:M134" si="174">IF(F133&lt;&gt;1,"ERROR!!!","")</f>
        <v/>
      </c>
      <c r="N133" s="77" t="str">
        <f t="shared" si="168"/>
        <v/>
      </c>
      <c r="O133" s="77" t="str">
        <f t="shared" si="169"/>
        <v/>
      </c>
      <c r="P133" s="77" t="str">
        <f t="shared" si="170"/>
        <v/>
      </c>
      <c r="Q133" s="77" t="str">
        <f t="shared" si="171"/>
        <v/>
      </c>
    </row>
    <row r="134" spans="1:17" x14ac:dyDescent="0.25">
      <c r="A134" s="2">
        <v>2028</v>
      </c>
      <c r="B134" s="2">
        <v>11</v>
      </c>
      <c r="C134" s="2">
        <v>1</v>
      </c>
      <c r="D134" s="2">
        <v>1</v>
      </c>
      <c r="E134" s="2">
        <v>1</v>
      </c>
      <c r="F134" s="2">
        <v>1</v>
      </c>
      <c r="G134" s="2">
        <v>3</v>
      </c>
      <c r="H134" s="2">
        <v>3</v>
      </c>
      <c r="I134" s="2">
        <v>3</v>
      </c>
      <c r="J134" s="2">
        <v>4</v>
      </c>
      <c r="K134" s="77" t="str">
        <f t="shared" si="172"/>
        <v/>
      </c>
      <c r="L134" s="77" t="str">
        <f t="shared" si="173"/>
        <v/>
      </c>
      <c r="M134" s="77" t="str">
        <f t="shared" si="174"/>
        <v/>
      </c>
      <c r="N134" s="2">
        <f t="shared" ref="K134:Q138" si="175">_xlfn.LET(_xlpm.StartDay, WEEKDAY(DATE($A134, $B134, 1), 1),_xlpm.DayNum, (COLUMN() - COLUMN($K$134) + 1) + (ROW() - ROW($K$134)) * 7 - _xlpm.StartDay + 1,IF(AND(_xlpm.DayNum &gt; 0, _xlpm.DayNum &lt;= DAY(EOMONTH(DATE($A134, $B134, 1), 0))), _xlpm.DayNum, ""))</f>
        <v>1</v>
      </c>
      <c r="O134" s="2">
        <f t="shared" si="175"/>
        <v>2</v>
      </c>
      <c r="P134" s="2">
        <f t="shared" si="175"/>
        <v>3</v>
      </c>
      <c r="Q134" s="76">
        <f t="shared" si="175"/>
        <v>4</v>
      </c>
    </row>
    <row r="135" spans="1:17" x14ac:dyDescent="0.25">
      <c r="A135" s="2">
        <v>2028</v>
      </c>
      <c r="B135" s="2">
        <v>11</v>
      </c>
      <c r="C135" s="2">
        <v>2</v>
      </c>
      <c r="D135" s="2">
        <v>3</v>
      </c>
      <c r="E135" s="2">
        <v>2</v>
      </c>
      <c r="F135" s="2">
        <v>2</v>
      </c>
      <c r="G135" s="2">
        <v>3</v>
      </c>
      <c r="H135" s="2">
        <v>2</v>
      </c>
      <c r="I135" s="2">
        <v>2</v>
      </c>
      <c r="J135" s="2">
        <v>3</v>
      </c>
      <c r="K135" s="76">
        <f t="shared" si="175"/>
        <v>5</v>
      </c>
      <c r="L135" s="2">
        <f t="shared" si="175"/>
        <v>6</v>
      </c>
      <c r="M135" s="2">
        <f t="shared" si="175"/>
        <v>7</v>
      </c>
      <c r="N135" s="2">
        <f t="shared" si="175"/>
        <v>8</v>
      </c>
      <c r="O135" s="2">
        <f t="shared" si="175"/>
        <v>9</v>
      </c>
      <c r="P135" s="2">
        <f t="shared" si="175"/>
        <v>10</v>
      </c>
      <c r="Q135" s="76">
        <f t="shared" si="175"/>
        <v>11</v>
      </c>
    </row>
    <row r="136" spans="1:17" x14ac:dyDescent="0.25">
      <c r="A136" s="2">
        <v>2028</v>
      </c>
      <c r="B136" s="2">
        <v>11</v>
      </c>
      <c r="C136" s="2">
        <v>3</v>
      </c>
      <c r="D136" s="2">
        <v>3</v>
      </c>
      <c r="E136" s="2">
        <v>3</v>
      </c>
      <c r="F136" s="2">
        <v>2</v>
      </c>
      <c r="G136" s="2">
        <v>2</v>
      </c>
      <c r="H136" s="2">
        <v>3</v>
      </c>
      <c r="I136" s="2">
        <v>3</v>
      </c>
      <c r="J136" s="2">
        <v>2</v>
      </c>
      <c r="K136" s="76">
        <f t="shared" si="175"/>
        <v>12</v>
      </c>
      <c r="L136" s="2">
        <f t="shared" si="175"/>
        <v>13</v>
      </c>
      <c r="M136" s="2">
        <f t="shared" si="175"/>
        <v>14</v>
      </c>
      <c r="N136" s="2">
        <f t="shared" si="175"/>
        <v>15</v>
      </c>
      <c r="O136" s="2">
        <f t="shared" si="175"/>
        <v>16</v>
      </c>
      <c r="P136" s="2">
        <f t="shared" si="175"/>
        <v>17</v>
      </c>
      <c r="Q136" s="76">
        <f t="shared" si="175"/>
        <v>18</v>
      </c>
    </row>
    <row r="137" spans="1:17" x14ac:dyDescent="0.25">
      <c r="A137" s="2">
        <v>2028</v>
      </c>
      <c r="B137" s="2">
        <v>11</v>
      </c>
      <c r="C137" s="2">
        <v>4</v>
      </c>
      <c r="D137" s="2">
        <v>4</v>
      </c>
      <c r="E137" s="2">
        <v>2</v>
      </c>
      <c r="F137" s="2">
        <v>3</v>
      </c>
      <c r="G137" s="2">
        <v>3</v>
      </c>
      <c r="H137" s="2">
        <v>2</v>
      </c>
      <c r="I137" s="2">
        <v>4</v>
      </c>
      <c r="J137" s="2">
        <v>2</v>
      </c>
      <c r="K137" s="76">
        <f t="shared" si="175"/>
        <v>19</v>
      </c>
      <c r="L137" s="2">
        <f t="shared" si="175"/>
        <v>20</v>
      </c>
      <c r="M137" s="2">
        <f t="shared" si="175"/>
        <v>21</v>
      </c>
      <c r="N137" s="2">
        <f t="shared" si="175"/>
        <v>22</v>
      </c>
      <c r="O137" s="2">
        <f t="shared" si="175"/>
        <v>23</v>
      </c>
      <c r="P137" s="2">
        <f t="shared" si="175"/>
        <v>24</v>
      </c>
      <c r="Q137" s="76">
        <f t="shared" si="175"/>
        <v>25</v>
      </c>
    </row>
    <row r="138" spans="1:17" x14ac:dyDescent="0.25">
      <c r="A138" s="2">
        <v>2028</v>
      </c>
      <c r="B138" s="2">
        <v>11</v>
      </c>
      <c r="C138" s="2">
        <v>5</v>
      </c>
      <c r="D138" s="2">
        <v>2</v>
      </c>
      <c r="E138" s="2">
        <v>2</v>
      </c>
      <c r="F138" s="2">
        <v>2</v>
      </c>
      <c r="G138" s="2">
        <v>2</v>
      </c>
      <c r="H138" s="2">
        <v>2</v>
      </c>
      <c r="I138" s="2">
        <v>1</v>
      </c>
      <c r="J138" s="2">
        <v>1</v>
      </c>
      <c r="K138" s="76">
        <f t="shared" si="175"/>
        <v>26</v>
      </c>
      <c r="L138" s="2">
        <f t="shared" si="175"/>
        <v>27</v>
      </c>
      <c r="M138" s="2">
        <f t="shared" si="175"/>
        <v>28</v>
      </c>
      <c r="N138" s="2">
        <f t="shared" si="175"/>
        <v>29</v>
      </c>
      <c r="O138" s="2">
        <f t="shared" si="175"/>
        <v>30</v>
      </c>
      <c r="P138" s="77" t="str">
        <f t="shared" ref="P138:P139" si="176">IF(I138&lt;&gt;1,"ERROR!!!","")</f>
        <v/>
      </c>
      <c r="Q138" s="77" t="str">
        <f t="shared" ref="Q138:Q139" si="177">IF(J138&lt;&gt;1,"ERROR!!!","")</f>
        <v/>
      </c>
    </row>
    <row r="139" spans="1:17" x14ac:dyDescent="0.25">
      <c r="A139" s="2">
        <v>2028</v>
      </c>
      <c r="B139" s="2">
        <v>11</v>
      </c>
      <c r="C139" s="2">
        <v>6</v>
      </c>
      <c r="D139" s="2">
        <v>1</v>
      </c>
      <c r="E139" s="2">
        <v>1</v>
      </c>
      <c r="F139" s="2">
        <v>1</v>
      </c>
      <c r="G139" s="2">
        <v>1</v>
      </c>
      <c r="H139" s="2">
        <v>1</v>
      </c>
      <c r="I139" s="2">
        <v>1</v>
      </c>
      <c r="J139" s="2">
        <v>1</v>
      </c>
      <c r="K139" s="77" t="str">
        <f t="shared" ref="K139:K140" si="178">IF(D139&lt;&gt;1,"ERROR!!!","")</f>
        <v/>
      </c>
      <c r="L139" s="77" t="str">
        <f t="shared" ref="L139:L140" si="179">IF(E139&lt;&gt;1,"ERROR!!!","")</f>
        <v/>
      </c>
      <c r="M139" s="77" t="str">
        <f t="shared" ref="M139:M140" si="180">IF(F139&lt;&gt;1,"ERROR!!!","")</f>
        <v/>
      </c>
      <c r="N139" s="77" t="str">
        <f t="shared" ref="N139:N140" si="181">IF(G139&lt;&gt;1,"ERROR!!!","")</f>
        <v/>
      </c>
      <c r="O139" s="77" t="str">
        <f t="shared" ref="O139:O140" si="182">IF(H139&lt;&gt;1,"ERROR!!!","")</f>
        <v/>
      </c>
      <c r="P139" s="77" t="str">
        <f t="shared" si="176"/>
        <v/>
      </c>
      <c r="Q139" s="77" t="str">
        <f t="shared" si="177"/>
        <v/>
      </c>
    </row>
    <row r="140" spans="1:17" x14ac:dyDescent="0.25">
      <c r="A140" s="2">
        <v>2028</v>
      </c>
      <c r="B140" s="2">
        <v>12</v>
      </c>
      <c r="C140" s="2">
        <v>1</v>
      </c>
      <c r="D140" s="2">
        <v>1</v>
      </c>
      <c r="E140" s="2">
        <v>1</v>
      </c>
      <c r="F140" s="2">
        <v>1</v>
      </c>
      <c r="G140" s="2">
        <v>1</v>
      </c>
      <c r="H140" s="2">
        <v>1</v>
      </c>
      <c r="I140" s="2">
        <v>3</v>
      </c>
      <c r="J140" s="2">
        <v>3</v>
      </c>
      <c r="K140" s="77" t="str">
        <f t="shared" si="178"/>
        <v/>
      </c>
      <c r="L140" s="77" t="str">
        <f t="shared" si="179"/>
        <v/>
      </c>
      <c r="M140" s="77" t="str">
        <f t="shared" si="180"/>
        <v/>
      </c>
      <c r="N140" s="77" t="str">
        <f t="shared" si="181"/>
        <v/>
      </c>
      <c r="O140" s="77" t="str">
        <f t="shared" si="182"/>
        <v/>
      </c>
      <c r="P140" s="2">
        <f t="shared" ref="K140:Q145" si="183">_xlfn.LET(_xlpm.StartDay, WEEKDAY(DATE($A140, $B140, 1), 1),_xlpm.DayNum, (COLUMN() - COLUMN($K$140) + 1) + (ROW() - ROW($K$140)) * 7 - _xlpm.StartDay + 1,IF(AND(_xlpm.DayNum &gt; 0, _xlpm.DayNum &lt;= DAY(EOMONTH(DATE($A140, $B140, 1), 0))), _xlpm.DayNum, ""))</f>
        <v>1</v>
      </c>
      <c r="Q140" s="76">
        <f t="shared" si="183"/>
        <v>2</v>
      </c>
    </row>
    <row r="141" spans="1:17" x14ac:dyDescent="0.25">
      <c r="A141" s="2">
        <v>2028</v>
      </c>
      <c r="B141" s="2">
        <v>12</v>
      </c>
      <c r="C141" s="2">
        <v>2</v>
      </c>
      <c r="D141" s="2">
        <v>3</v>
      </c>
      <c r="E141" s="2">
        <v>3</v>
      </c>
      <c r="F141" s="2">
        <v>3</v>
      </c>
      <c r="G141" s="2">
        <v>2</v>
      </c>
      <c r="H141" s="2">
        <v>2</v>
      </c>
      <c r="I141" s="2">
        <v>3</v>
      </c>
      <c r="J141" s="2">
        <v>3</v>
      </c>
      <c r="K141" s="76">
        <f t="shared" si="183"/>
        <v>3</v>
      </c>
      <c r="L141" s="2">
        <f t="shared" si="183"/>
        <v>4</v>
      </c>
      <c r="M141" s="2">
        <f t="shared" si="183"/>
        <v>5</v>
      </c>
      <c r="N141" s="2">
        <f t="shared" si="183"/>
        <v>6</v>
      </c>
      <c r="O141" s="2">
        <f t="shared" si="183"/>
        <v>7</v>
      </c>
      <c r="P141" s="2">
        <f t="shared" si="183"/>
        <v>8</v>
      </c>
      <c r="Q141" s="76">
        <f t="shared" si="183"/>
        <v>9</v>
      </c>
    </row>
    <row r="142" spans="1:17" x14ac:dyDescent="0.25">
      <c r="A142" s="2">
        <v>2028</v>
      </c>
      <c r="B142" s="2">
        <v>12</v>
      </c>
      <c r="C142" s="2">
        <v>3</v>
      </c>
      <c r="D142" s="2">
        <v>3</v>
      </c>
      <c r="E142" s="2">
        <v>3</v>
      </c>
      <c r="F142" s="2">
        <v>2</v>
      </c>
      <c r="G142" s="2">
        <v>2</v>
      </c>
      <c r="H142" s="2">
        <v>2</v>
      </c>
      <c r="I142" s="2">
        <v>3</v>
      </c>
      <c r="J142" s="2">
        <v>2</v>
      </c>
      <c r="K142" s="76">
        <f t="shared" si="183"/>
        <v>10</v>
      </c>
      <c r="L142" s="2">
        <f t="shared" si="183"/>
        <v>11</v>
      </c>
      <c r="M142" s="2">
        <f t="shared" si="183"/>
        <v>12</v>
      </c>
      <c r="N142" s="2">
        <f t="shared" si="183"/>
        <v>13</v>
      </c>
      <c r="O142" s="2">
        <f t="shared" si="183"/>
        <v>14</v>
      </c>
      <c r="P142" s="2">
        <f t="shared" si="183"/>
        <v>15</v>
      </c>
      <c r="Q142" s="76">
        <f t="shared" si="183"/>
        <v>16</v>
      </c>
    </row>
    <row r="143" spans="1:17" x14ac:dyDescent="0.25">
      <c r="A143" s="2">
        <v>2028</v>
      </c>
      <c r="B143" s="2">
        <v>12</v>
      </c>
      <c r="C143" s="2">
        <v>4</v>
      </c>
      <c r="D143" s="2">
        <v>3</v>
      </c>
      <c r="E143" s="2">
        <v>3</v>
      </c>
      <c r="F143" s="2">
        <v>2</v>
      </c>
      <c r="G143" s="2">
        <v>2</v>
      </c>
      <c r="H143" s="2">
        <v>3</v>
      </c>
      <c r="I143" s="2">
        <v>2</v>
      </c>
      <c r="J143" s="2">
        <v>2</v>
      </c>
      <c r="K143" s="76">
        <f t="shared" si="183"/>
        <v>17</v>
      </c>
      <c r="L143" s="2">
        <f t="shared" si="183"/>
        <v>18</v>
      </c>
      <c r="M143" s="2">
        <f t="shared" si="183"/>
        <v>19</v>
      </c>
      <c r="N143" s="2">
        <f t="shared" si="183"/>
        <v>20</v>
      </c>
      <c r="O143" s="2">
        <f t="shared" si="183"/>
        <v>21</v>
      </c>
      <c r="P143" s="2">
        <f t="shared" si="183"/>
        <v>22</v>
      </c>
      <c r="Q143" s="76">
        <f t="shared" si="183"/>
        <v>23</v>
      </c>
    </row>
    <row r="144" spans="1:17" x14ac:dyDescent="0.25">
      <c r="A144" s="2">
        <v>2028</v>
      </c>
      <c r="B144" s="2">
        <v>12</v>
      </c>
      <c r="C144" s="2">
        <v>5</v>
      </c>
      <c r="D144" s="2">
        <v>2</v>
      </c>
      <c r="E144" s="2">
        <v>2</v>
      </c>
      <c r="F144" s="2">
        <v>3</v>
      </c>
      <c r="G144" s="2">
        <v>3</v>
      </c>
      <c r="H144" s="2">
        <v>2</v>
      </c>
      <c r="I144" s="2">
        <v>2</v>
      </c>
      <c r="J144" s="2">
        <v>2</v>
      </c>
      <c r="K144" s="76">
        <f t="shared" si="183"/>
        <v>24</v>
      </c>
      <c r="L144" s="2">
        <f t="shared" si="183"/>
        <v>25</v>
      </c>
      <c r="M144" s="2">
        <f t="shared" si="183"/>
        <v>26</v>
      </c>
      <c r="N144" s="2">
        <f t="shared" si="183"/>
        <v>27</v>
      </c>
      <c r="O144" s="2">
        <f t="shared" si="183"/>
        <v>28</v>
      </c>
      <c r="P144" s="2">
        <f t="shared" si="183"/>
        <v>29</v>
      </c>
      <c r="Q144" s="76">
        <f t="shared" si="183"/>
        <v>30</v>
      </c>
    </row>
    <row r="145" spans="1:17" x14ac:dyDescent="0.25">
      <c r="A145" s="2">
        <v>2028</v>
      </c>
      <c r="B145" s="2">
        <v>12</v>
      </c>
      <c r="C145" s="2">
        <v>6</v>
      </c>
      <c r="D145" s="2">
        <v>2</v>
      </c>
      <c r="E145" s="2">
        <v>1</v>
      </c>
      <c r="F145" s="2">
        <v>1</v>
      </c>
      <c r="G145" s="2">
        <v>1</v>
      </c>
      <c r="H145" s="2">
        <v>1</v>
      </c>
      <c r="I145" s="2">
        <v>1</v>
      </c>
      <c r="J145" s="2">
        <v>1</v>
      </c>
      <c r="K145" s="76">
        <f t="shared" si="183"/>
        <v>31</v>
      </c>
      <c r="L145" s="77" t="str">
        <f t="shared" ref="L145" si="184">IF(E145&lt;&gt;1,"ERROR!!!","")</f>
        <v/>
      </c>
      <c r="M145" s="77" t="str">
        <f t="shared" ref="M145" si="185">IF(F145&lt;&gt;1,"ERROR!!!","")</f>
        <v/>
      </c>
      <c r="N145" s="77" t="str">
        <f t="shared" ref="N145" si="186">IF(G145&lt;&gt;1,"ERROR!!!","")</f>
        <v/>
      </c>
      <c r="O145" s="77" t="str">
        <f t="shared" ref="O145" si="187">IF(H145&lt;&gt;1,"ERROR!!!","")</f>
        <v/>
      </c>
      <c r="P145" s="77" t="str">
        <f t="shared" ref="P145" si="188">IF(I145&lt;&gt;1,"ERROR!!!","")</f>
        <v/>
      </c>
      <c r="Q145" s="77" t="str">
        <f t="shared" ref="Q145" si="189">IF(J145&lt;&gt;1,"ERROR!!!","")</f>
        <v/>
      </c>
    </row>
    <row r="146" spans="1:17" x14ac:dyDescent="0.25">
      <c r="A146" s="2">
        <v>2029</v>
      </c>
      <c r="B146" s="2">
        <v>1</v>
      </c>
      <c r="C146" s="2">
        <v>1</v>
      </c>
      <c r="D146" s="2">
        <v>1</v>
      </c>
      <c r="E146" s="2">
        <v>2</v>
      </c>
      <c r="F146" s="2">
        <v>2</v>
      </c>
      <c r="G146" s="2">
        <v>2</v>
      </c>
      <c r="H146" s="2">
        <v>2</v>
      </c>
      <c r="I146" s="2">
        <v>2</v>
      </c>
      <c r="J146" s="2">
        <v>2</v>
      </c>
      <c r="K146" s="77" t="str">
        <f t="shared" ref="K146" si="190">IF(D146&lt;&gt;1,"ERROR!!!","")</f>
        <v/>
      </c>
      <c r="L146" s="2">
        <f t="shared" ref="K146:Q150" si="191">_xlfn.LET(_xlpm.StartDay, WEEKDAY(DATE($A146, $B146, 1), 1),_xlpm.DayNum, (COLUMN() - COLUMN($K$146) + 1) + (ROW() - ROW($K$146)) * 7 - _xlpm.StartDay + 1,IF(AND(_xlpm.DayNum &gt; 0, _xlpm.DayNum &lt;= DAY(EOMONTH(DATE($A146, $B146, 1), 0))), _xlpm.DayNum, ""))</f>
        <v>1</v>
      </c>
      <c r="M146" s="2">
        <f t="shared" si="191"/>
        <v>2</v>
      </c>
      <c r="N146" s="2">
        <f t="shared" si="191"/>
        <v>3</v>
      </c>
      <c r="O146" s="2">
        <f t="shared" si="191"/>
        <v>4</v>
      </c>
      <c r="P146" s="2">
        <f t="shared" si="191"/>
        <v>5</v>
      </c>
      <c r="Q146" s="76">
        <f t="shared" si="191"/>
        <v>6</v>
      </c>
    </row>
    <row r="147" spans="1:17" x14ac:dyDescent="0.25">
      <c r="A147" s="2">
        <v>2029</v>
      </c>
      <c r="B147" s="2">
        <v>1</v>
      </c>
      <c r="C147" s="2">
        <v>2</v>
      </c>
      <c r="D147" s="2">
        <v>2</v>
      </c>
      <c r="E147" s="2">
        <v>2</v>
      </c>
      <c r="F147" s="2">
        <v>2</v>
      </c>
      <c r="G147" s="2">
        <v>2</v>
      </c>
      <c r="H147" s="2">
        <v>3</v>
      </c>
      <c r="I147" s="2">
        <v>3</v>
      </c>
      <c r="J147" s="2">
        <v>2</v>
      </c>
      <c r="K147" s="76">
        <f t="shared" si="191"/>
        <v>7</v>
      </c>
      <c r="L147" s="2">
        <f t="shared" si="191"/>
        <v>8</v>
      </c>
      <c r="M147" s="2">
        <f t="shared" si="191"/>
        <v>9</v>
      </c>
      <c r="N147" s="2">
        <f t="shared" si="191"/>
        <v>10</v>
      </c>
      <c r="O147" s="2">
        <f t="shared" si="191"/>
        <v>11</v>
      </c>
      <c r="P147" s="2">
        <f t="shared" si="191"/>
        <v>12</v>
      </c>
      <c r="Q147" s="76">
        <f t="shared" si="191"/>
        <v>13</v>
      </c>
    </row>
    <row r="148" spans="1:17" x14ac:dyDescent="0.25">
      <c r="A148" s="2">
        <v>2029</v>
      </c>
      <c r="B148" s="2">
        <v>1</v>
      </c>
      <c r="C148" s="2">
        <v>3</v>
      </c>
      <c r="D148" s="2">
        <v>3</v>
      </c>
      <c r="E148" s="2">
        <v>3</v>
      </c>
      <c r="F148" s="2">
        <v>2</v>
      </c>
      <c r="G148" s="2">
        <v>2</v>
      </c>
      <c r="H148" s="2">
        <v>4</v>
      </c>
      <c r="I148" s="2">
        <v>4</v>
      </c>
      <c r="J148" s="2">
        <v>3</v>
      </c>
      <c r="K148" s="76">
        <f t="shared" si="191"/>
        <v>14</v>
      </c>
      <c r="L148" s="2">
        <f t="shared" si="191"/>
        <v>15</v>
      </c>
      <c r="M148" s="2">
        <f t="shared" si="191"/>
        <v>16</v>
      </c>
      <c r="N148" s="2">
        <f t="shared" si="191"/>
        <v>17</v>
      </c>
      <c r="O148" s="2">
        <f t="shared" si="191"/>
        <v>18</v>
      </c>
      <c r="P148" s="2">
        <f t="shared" si="191"/>
        <v>19</v>
      </c>
      <c r="Q148" s="76">
        <f t="shared" si="191"/>
        <v>20</v>
      </c>
    </row>
    <row r="149" spans="1:17" x14ac:dyDescent="0.25">
      <c r="A149" s="2">
        <v>2029</v>
      </c>
      <c r="B149" s="2">
        <v>1</v>
      </c>
      <c r="C149" s="2">
        <v>4</v>
      </c>
      <c r="D149" s="2">
        <v>3</v>
      </c>
      <c r="E149" s="2">
        <v>2</v>
      </c>
      <c r="F149" s="2">
        <v>2</v>
      </c>
      <c r="G149" s="2">
        <v>2</v>
      </c>
      <c r="H149" s="2">
        <v>2</v>
      </c>
      <c r="I149" s="2">
        <v>3</v>
      </c>
      <c r="J149" s="2">
        <v>2</v>
      </c>
      <c r="K149" s="76">
        <f t="shared" si="191"/>
        <v>21</v>
      </c>
      <c r="L149" s="2">
        <f t="shared" si="191"/>
        <v>22</v>
      </c>
      <c r="M149" s="2">
        <f t="shared" si="191"/>
        <v>23</v>
      </c>
      <c r="N149" s="2">
        <f t="shared" si="191"/>
        <v>24</v>
      </c>
      <c r="O149" s="2">
        <f t="shared" si="191"/>
        <v>25</v>
      </c>
      <c r="P149" s="2">
        <f t="shared" si="191"/>
        <v>26</v>
      </c>
      <c r="Q149" s="76">
        <f t="shared" si="191"/>
        <v>27</v>
      </c>
    </row>
    <row r="150" spans="1:17" x14ac:dyDescent="0.25">
      <c r="A150" s="2">
        <v>2029</v>
      </c>
      <c r="B150" s="2">
        <v>1</v>
      </c>
      <c r="C150" s="2">
        <v>5</v>
      </c>
      <c r="D150" s="2">
        <v>3</v>
      </c>
      <c r="E150" s="2">
        <v>3</v>
      </c>
      <c r="F150" s="2">
        <v>3</v>
      </c>
      <c r="G150" s="2">
        <v>2</v>
      </c>
      <c r="H150" s="2">
        <v>1</v>
      </c>
      <c r="I150" s="2">
        <v>1</v>
      </c>
      <c r="J150" s="2">
        <v>1</v>
      </c>
      <c r="K150" s="76">
        <f t="shared" si="191"/>
        <v>28</v>
      </c>
      <c r="L150" s="2">
        <f t="shared" si="191"/>
        <v>29</v>
      </c>
      <c r="M150" s="2">
        <f t="shared" si="191"/>
        <v>30</v>
      </c>
      <c r="N150" s="2">
        <f t="shared" si="191"/>
        <v>31</v>
      </c>
      <c r="O150" s="77" t="str">
        <f t="shared" ref="O150:O151" si="192">IF(H150&lt;&gt;1,"ERROR!!!","")</f>
        <v/>
      </c>
      <c r="P150" s="77" t="str">
        <f t="shared" ref="P150:P151" si="193">IF(I150&lt;&gt;1,"ERROR!!!","")</f>
        <v/>
      </c>
      <c r="Q150" s="77" t="str">
        <f t="shared" ref="Q150:Q151" si="194">IF(J150&lt;&gt;1,"ERROR!!!","")</f>
        <v/>
      </c>
    </row>
    <row r="151" spans="1:17" x14ac:dyDescent="0.25">
      <c r="A151" s="2">
        <v>2029</v>
      </c>
      <c r="B151" s="2">
        <v>1</v>
      </c>
      <c r="C151" s="2">
        <v>6</v>
      </c>
      <c r="D151" s="2">
        <v>1</v>
      </c>
      <c r="E151" s="2">
        <v>1</v>
      </c>
      <c r="F151" s="2">
        <v>1</v>
      </c>
      <c r="G151" s="2">
        <v>1</v>
      </c>
      <c r="H151" s="2">
        <v>1</v>
      </c>
      <c r="I151" s="2">
        <v>1</v>
      </c>
      <c r="J151" s="2">
        <v>1</v>
      </c>
      <c r="K151" s="77" t="str">
        <f t="shared" ref="K151:K152" si="195">IF(D151&lt;&gt;1,"ERROR!!!","")</f>
        <v/>
      </c>
      <c r="L151" s="77" t="str">
        <f t="shared" ref="L151:L152" si="196">IF(E151&lt;&gt;1,"ERROR!!!","")</f>
        <v/>
      </c>
      <c r="M151" s="77" t="str">
        <f t="shared" ref="M151:M152" si="197">IF(F151&lt;&gt;1,"ERROR!!!","")</f>
        <v/>
      </c>
      <c r="N151" s="77" t="str">
        <f t="shared" ref="N151:N152" si="198">IF(G151&lt;&gt;1,"ERROR!!!","")</f>
        <v/>
      </c>
      <c r="O151" s="77" t="str">
        <f t="shared" si="192"/>
        <v/>
      </c>
      <c r="P151" s="77" t="str">
        <f t="shared" si="193"/>
        <v/>
      </c>
      <c r="Q151" s="77" t="str">
        <f t="shared" si="194"/>
        <v/>
      </c>
    </row>
    <row r="152" spans="1:17" x14ac:dyDescent="0.25">
      <c r="A152" s="2">
        <v>2029</v>
      </c>
      <c r="B152" s="2">
        <v>2</v>
      </c>
      <c r="C152" s="2">
        <v>1</v>
      </c>
      <c r="D152" s="2">
        <v>1</v>
      </c>
      <c r="E152" s="2">
        <v>1</v>
      </c>
      <c r="F152" s="2">
        <v>1</v>
      </c>
      <c r="G152" s="2">
        <v>1</v>
      </c>
      <c r="H152" s="2">
        <v>3</v>
      </c>
      <c r="I152" s="2">
        <v>4</v>
      </c>
      <c r="J152" s="2">
        <v>3</v>
      </c>
      <c r="K152" s="77" t="str">
        <f t="shared" si="195"/>
        <v/>
      </c>
      <c r="L152" s="77" t="str">
        <f t="shared" si="196"/>
        <v/>
      </c>
      <c r="M152" s="77" t="str">
        <f t="shared" si="197"/>
        <v/>
      </c>
      <c r="N152" s="77" t="str">
        <f t="shared" si="198"/>
        <v/>
      </c>
      <c r="O152" s="2">
        <f t="shared" ref="K152:Q156" si="199">_xlfn.LET(_xlpm.StartDay, WEEKDAY(DATE($A152, $B152, 1), 1),_xlpm.DayNum, (COLUMN() - COLUMN($K$152) + 1) + (ROW() - ROW($K$152)) * 7 - _xlpm.StartDay + 1,IF(AND(_xlpm.DayNum &gt; 0, _xlpm.DayNum &lt;= DAY(EOMONTH(DATE($A152, $B152, 1), 0))), _xlpm.DayNum, ""))</f>
        <v>1</v>
      </c>
      <c r="P152" s="2">
        <f t="shared" si="199"/>
        <v>2</v>
      </c>
      <c r="Q152" s="76">
        <f t="shared" si="199"/>
        <v>3</v>
      </c>
    </row>
    <row r="153" spans="1:17" x14ac:dyDescent="0.25">
      <c r="A153" s="2">
        <v>2029</v>
      </c>
      <c r="B153" s="2">
        <v>2</v>
      </c>
      <c r="C153" s="2">
        <v>2</v>
      </c>
      <c r="D153" s="2">
        <v>3</v>
      </c>
      <c r="E153" s="2">
        <v>4</v>
      </c>
      <c r="F153" s="2">
        <v>2</v>
      </c>
      <c r="G153" s="2">
        <v>2</v>
      </c>
      <c r="H153" s="2">
        <v>2</v>
      </c>
      <c r="I153" s="2">
        <v>2</v>
      </c>
      <c r="J153" s="2">
        <v>3</v>
      </c>
      <c r="K153" s="76">
        <f t="shared" si="199"/>
        <v>4</v>
      </c>
      <c r="L153" s="2">
        <f t="shared" si="199"/>
        <v>5</v>
      </c>
      <c r="M153" s="2">
        <f t="shared" si="199"/>
        <v>6</v>
      </c>
      <c r="N153" s="2">
        <f t="shared" si="199"/>
        <v>7</v>
      </c>
      <c r="O153" s="2">
        <f t="shared" si="199"/>
        <v>8</v>
      </c>
      <c r="P153" s="2">
        <f t="shared" si="199"/>
        <v>9</v>
      </c>
      <c r="Q153" s="76">
        <f t="shared" si="199"/>
        <v>10</v>
      </c>
    </row>
    <row r="154" spans="1:17" x14ac:dyDescent="0.25">
      <c r="A154" s="2">
        <v>2029</v>
      </c>
      <c r="B154" s="2">
        <v>2</v>
      </c>
      <c r="C154" s="2">
        <v>3</v>
      </c>
      <c r="D154" s="2">
        <v>3</v>
      </c>
      <c r="E154" s="2">
        <v>2</v>
      </c>
      <c r="F154" s="2">
        <v>3</v>
      </c>
      <c r="G154" s="2">
        <v>4</v>
      </c>
      <c r="H154" s="2">
        <v>3</v>
      </c>
      <c r="I154" s="2">
        <v>3</v>
      </c>
      <c r="J154" s="2">
        <v>2</v>
      </c>
      <c r="K154" s="76">
        <f t="shared" si="199"/>
        <v>11</v>
      </c>
      <c r="L154" s="2">
        <f t="shared" si="199"/>
        <v>12</v>
      </c>
      <c r="M154" s="2">
        <f t="shared" si="199"/>
        <v>13</v>
      </c>
      <c r="N154" s="2">
        <f t="shared" si="199"/>
        <v>14</v>
      </c>
      <c r="O154" s="2">
        <f t="shared" si="199"/>
        <v>15</v>
      </c>
      <c r="P154" s="2">
        <f t="shared" si="199"/>
        <v>16</v>
      </c>
      <c r="Q154" s="76">
        <f t="shared" si="199"/>
        <v>17</v>
      </c>
    </row>
    <row r="155" spans="1:17" x14ac:dyDescent="0.25">
      <c r="A155" s="2">
        <v>2029</v>
      </c>
      <c r="B155" s="2">
        <v>2</v>
      </c>
      <c r="C155" s="2">
        <v>4</v>
      </c>
      <c r="D155" s="2">
        <v>2</v>
      </c>
      <c r="E155" s="2">
        <v>3</v>
      </c>
      <c r="F155" s="2">
        <v>2</v>
      </c>
      <c r="G155" s="2">
        <v>4</v>
      </c>
      <c r="H155" s="2">
        <v>3</v>
      </c>
      <c r="I155" s="2">
        <v>2</v>
      </c>
      <c r="J155" s="2">
        <v>2</v>
      </c>
      <c r="K155" s="76">
        <f t="shared" si="199"/>
        <v>18</v>
      </c>
      <c r="L155" s="2">
        <f t="shared" si="199"/>
        <v>19</v>
      </c>
      <c r="M155" s="2">
        <f t="shared" si="199"/>
        <v>20</v>
      </c>
      <c r="N155" s="2">
        <f t="shared" si="199"/>
        <v>21</v>
      </c>
      <c r="O155" s="2">
        <f t="shared" si="199"/>
        <v>22</v>
      </c>
      <c r="P155" s="2">
        <f t="shared" si="199"/>
        <v>23</v>
      </c>
      <c r="Q155" s="76">
        <f t="shared" si="199"/>
        <v>24</v>
      </c>
    </row>
    <row r="156" spans="1:17" x14ac:dyDescent="0.25">
      <c r="A156" s="2">
        <v>2029</v>
      </c>
      <c r="B156" s="2">
        <v>2</v>
      </c>
      <c r="C156" s="2">
        <v>5</v>
      </c>
      <c r="D156" s="2">
        <v>3</v>
      </c>
      <c r="E156" s="2">
        <v>2</v>
      </c>
      <c r="F156" s="2">
        <v>2</v>
      </c>
      <c r="G156" s="2">
        <v>2</v>
      </c>
      <c r="H156" s="2">
        <v>1</v>
      </c>
      <c r="I156" s="2">
        <v>1</v>
      </c>
      <c r="J156" s="2">
        <v>1</v>
      </c>
      <c r="K156" s="76">
        <f t="shared" si="199"/>
        <v>25</v>
      </c>
      <c r="L156" s="2">
        <f t="shared" si="199"/>
        <v>26</v>
      </c>
      <c r="M156" s="2">
        <f t="shared" si="199"/>
        <v>27</v>
      </c>
      <c r="N156" s="2">
        <f t="shared" si="199"/>
        <v>28</v>
      </c>
      <c r="O156" s="77" t="str">
        <f t="shared" ref="O156:O157" si="200">IF(H156&lt;&gt;1,"ERROR!!!","")</f>
        <v/>
      </c>
      <c r="P156" s="77" t="str">
        <f t="shared" ref="P156:P157" si="201">IF(I156&lt;&gt;1,"ERROR!!!","")</f>
        <v/>
      </c>
      <c r="Q156" s="77" t="str">
        <f t="shared" ref="Q156:Q157" si="202">IF(J156&lt;&gt;1,"ERROR!!!","")</f>
        <v/>
      </c>
    </row>
    <row r="157" spans="1:17" x14ac:dyDescent="0.25">
      <c r="A157" s="2">
        <v>2029</v>
      </c>
      <c r="B157" s="2">
        <v>2</v>
      </c>
      <c r="C157" s="2">
        <v>6</v>
      </c>
      <c r="D157" s="2">
        <v>1</v>
      </c>
      <c r="E157" s="2">
        <v>1</v>
      </c>
      <c r="F157" s="2">
        <v>1</v>
      </c>
      <c r="G157" s="2">
        <v>1</v>
      </c>
      <c r="H157" s="2">
        <v>1</v>
      </c>
      <c r="I157" s="2">
        <v>1</v>
      </c>
      <c r="J157" s="2">
        <v>1</v>
      </c>
      <c r="K157" s="77" t="str">
        <f t="shared" ref="K157:K158" si="203">IF(D157&lt;&gt;1,"ERROR!!!","")</f>
        <v/>
      </c>
      <c r="L157" s="77" t="str">
        <f t="shared" ref="L157:L158" si="204">IF(E157&lt;&gt;1,"ERROR!!!","")</f>
        <v/>
      </c>
      <c r="M157" s="77" t="str">
        <f t="shared" ref="M157:M158" si="205">IF(F157&lt;&gt;1,"ERROR!!!","")</f>
        <v/>
      </c>
      <c r="N157" s="77" t="str">
        <f t="shared" ref="N157:N158" si="206">IF(G157&lt;&gt;1,"ERROR!!!","")</f>
        <v/>
      </c>
      <c r="O157" s="77" t="str">
        <f t="shared" si="200"/>
        <v/>
      </c>
      <c r="P157" s="77" t="str">
        <f t="shared" si="201"/>
        <v/>
      </c>
      <c r="Q157" s="77" t="str">
        <f t="shared" si="202"/>
        <v/>
      </c>
    </row>
    <row r="158" spans="1:17" x14ac:dyDescent="0.25">
      <c r="A158" s="2">
        <v>2029</v>
      </c>
      <c r="B158" s="2">
        <v>3</v>
      </c>
      <c r="C158" s="2">
        <v>1</v>
      </c>
      <c r="D158" s="2">
        <v>1</v>
      </c>
      <c r="E158" s="2">
        <v>1</v>
      </c>
      <c r="F158" s="2">
        <v>1</v>
      </c>
      <c r="G158" s="2">
        <v>1</v>
      </c>
      <c r="H158" s="2">
        <v>2</v>
      </c>
      <c r="I158" s="2">
        <v>2</v>
      </c>
      <c r="J158" s="2">
        <v>2</v>
      </c>
      <c r="K158" s="77" t="str">
        <f t="shared" si="203"/>
        <v/>
      </c>
      <c r="L158" s="77" t="str">
        <f t="shared" si="204"/>
        <v/>
      </c>
      <c r="M158" s="77" t="str">
        <f t="shared" si="205"/>
        <v/>
      </c>
      <c r="N158" s="77" t="str">
        <f t="shared" si="206"/>
        <v/>
      </c>
      <c r="O158" s="2">
        <f t="shared" ref="K158:Q162" si="207">_xlfn.LET(_xlpm.StartDay, WEEKDAY(DATE($A158, $B158, 1), 1),_xlpm.DayNum, (COLUMN() - COLUMN($K$158) + 1) + (ROW() - ROW($K$158)) * 7 - _xlpm.StartDay + 1,IF(AND(_xlpm.DayNum &gt; 0, _xlpm.DayNum &lt;= DAY(EOMONTH(DATE($A158, $B158, 1), 0))), _xlpm.DayNum, ""))</f>
        <v>1</v>
      </c>
      <c r="P158" s="2">
        <f t="shared" si="207"/>
        <v>2</v>
      </c>
      <c r="Q158" s="76">
        <f t="shared" si="207"/>
        <v>3</v>
      </c>
    </row>
    <row r="159" spans="1:17" x14ac:dyDescent="0.25">
      <c r="A159" s="2">
        <v>2029</v>
      </c>
      <c r="B159" s="2">
        <v>3</v>
      </c>
      <c r="C159" s="2">
        <v>2</v>
      </c>
      <c r="D159" s="2">
        <v>2</v>
      </c>
      <c r="E159" s="2">
        <v>2</v>
      </c>
      <c r="F159" s="2">
        <v>2</v>
      </c>
      <c r="G159" s="2">
        <v>2</v>
      </c>
      <c r="H159" s="2">
        <v>3</v>
      </c>
      <c r="I159" s="2">
        <v>3</v>
      </c>
      <c r="J159" s="2">
        <v>2</v>
      </c>
      <c r="K159" s="76">
        <f t="shared" si="207"/>
        <v>4</v>
      </c>
      <c r="L159" s="2">
        <f t="shared" si="207"/>
        <v>5</v>
      </c>
      <c r="M159" s="2">
        <f t="shared" si="207"/>
        <v>6</v>
      </c>
      <c r="N159" s="2">
        <f t="shared" si="207"/>
        <v>7</v>
      </c>
      <c r="O159" s="2">
        <f t="shared" si="207"/>
        <v>8</v>
      </c>
      <c r="P159" s="2">
        <f t="shared" si="207"/>
        <v>9</v>
      </c>
      <c r="Q159" s="76">
        <f t="shared" si="207"/>
        <v>10</v>
      </c>
    </row>
    <row r="160" spans="1:17" x14ac:dyDescent="0.25">
      <c r="A160" s="2">
        <v>2029</v>
      </c>
      <c r="B160" s="2">
        <v>3</v>
      </c>
      <c r="C160" s="2">
        <v>3</v>
      </c>
      <c r="D160" s="2">
        <v>2</v>
      </c>
      <c r="E160" s="2">
        <v>2</v>
      </c>
      <c r="F160" s="2">
        <v>2</v>
      </c>
      <c r="G160" s="2">
        <v>3</v>
      </c>
      <c r="H160" s="2">
        <v>2</v>
      </c>
      <c r="I160" s="2">
        <v>2</v>
      </c>
      <c r="J160" s="2">
        <v>2</v>
      </c>
      <c r="K160" s="76">
        <f t="shared" si="207"/>
        <v>11</v>
      </c>
      <c r="L160" s="2">
        <f t="shared" si="207"/>
        <v>12</v>
      </c>
      <c r="M160" s="2">
        <f t="shared" si="207"/>
        <v>13</v>
      </c>
      <c r="N160" s="2">
        <f t="shared" si="207"/>
        <v>14</v>
      </c>
      <c r="O160" s="2">
        <f t="shared" si="207"/>
        <v>15</v>
      </c>
      <c r="P160" s="2">
        <f t="shared" si="207"/>
        <v>16</v>
      </c>
      <c r="Q160" s="76">
        <f t="shared" si="207"/>
        <v>17</v>
      </c>
    </row>
    <row r="161" spans="1:17" x14ac:dyDescent="0.25">
      <c r="A161" s="2">
        <v>2029</v>
      </c>
      <c r="B161" s="2">
        <v>3</v>
      </c>
      <c r="C161" s="2">
        <v>4</v>
      </c>
      <c r="D161" s="2">
        <v>2</v>
      </c>
      <c r="E161" s="2">
        <v>2</v>
      </c>
      <c r="F161" s="2">
        <v>2</v>
      </c>
      <c r="G161" s="2">
        <v>2</v>
      </c>
      <c r="H161" s="2">
        <v>2</v>
      </c>
      <c r="I161" s="2">
        <v>3</v>
      </c>
      <c r="J161" s="2">
        <v>4</v>
      </c>
      <c r="K161" s="76">
        <f t="shared" si="207"/>
        <v>18</v>
      </c>
      <c r="L161" s="2">
        <f t="shared" si="207"/>
        <v>19</v>
      </c>
      <c r="M161" s="2">
        <f t="shared" si="207"/>
        <v>20</v>
      </c>
      <c r="N161" s="2">
        <f t="shared" si="207"/>
        <v>21</v>
      </c>
      <c r="O161" s="2">
        <f t="shared" si="207"/>
        <v>22</v>
      </c>
      <c r="P161" s="2">
        <f t="shared" si="207"/>
        <v>23</v>
      </c>
      <c r="Q161" s="76">
        <f t="shared" si="207"/>
        <v>24</v>
      </c>
    </row>
    <row r="162" spans="1:17" x14ac:dyDescent="0.25">
      <c r="A162" s="2">
        <v>2029</v>
      </c>
      <c r="B162" s="2">
        <v>3</v>
      </c>
      <c r="C162" s="2">
        <v>5</v>
      </c>
      <c r="D162" s="2">
        <v>3</v>
      </c>
      <c r="E162" s="2">
        <v>3</v>
      </c>
      <c r="F162" s="2">
        <v>3</v>
      </c>
      <c r="G162" s="2">
        <v>2</v>
      </c>
      <c r="H162" s="2">
        <v>2</v>
      </c>
      <c r="I162" s="2">
        <v>2</v>
      </c>
      <c r="J162" s="2">
        <v>2</v>
      </c>
      <c r="K162" s="76">
        <f t="shared" si="207"/>
        <v>25</v>
      </c>
      <c r="L162" s="2">
        <f t="shared" si="207"/>
        <v>26</v>
      </c>
      <c r="M162" s="2">
        <f t="shared" si="207"/>
        <v>27</v>
      </c>
      <c r="N162" s="2">
        <f t="shared" si="207"/>
        <v>28</v>
      </c>
      <c r="O162" s="2">
        <f t="shared" si="207"/>
        <v>29</v>
      </c>
      <c r="P162" s="2">
        <f t="shared" si="207"/>
        <v>30</v>
      </c>
      <c r="Q162" s="76">
        <f t="shared" si="207"/>
        <v>31</v>
      </c>
    </row>
    <row r="163" spans="1:17" x14ac:dyDescent="0.25">
      <c r="A163" s="2">
        <v>2029</v>
      </c>
      <c r="B163" s="2">
        <v>3</v>
      </c>
      <c r="C163" s="2">
        <v>6</v>
      </c>
      <c r="D163" s="2">
        <v>1</v>
      </c>
      <c r="E163" s="2">
        <v>1</v>
      </c>
      <c r="F163" s="2">
        <v>1</v>
      </c>
      <c r="G163" s="2">
        <v>1</v>
      </c>
      <c r="H163" s="2">
        <v>1</v>
      </c>
      <c r="I163" s="2">
        <v>1</v>
      </c>
      <c r="J163" s="2">
        <v>1</v>
      </c>
      <c r="K163" s="77" t="str">
        <f t="shared" ref="K163" si="208">IF(D163&lt;&gt;1,"ERROR!!!","")</f>
        <v/>
      </c>
      <c r="L163" s="77" t="str">
        <f t="shared" ref="L163" si="209">IF(E163&lt;&gt;1,"ERROR!!!","")</f>
        <v/>
      </c>
      <c r="M163" s="77" t="str">
        <f t="shared" ref="M163" si="210">IF(F163&lt;&gt;1,"ERROR!!!","")</f>
        <v/>
      </c>
      <c r="N163" s="77" t="str">
        <f t="shared" ref="N163" si="211">IF(G163&lt;&gt;1,"ERROR!!!","")</f>
        <v/>
      </c>
      <c r="O163" s="77" t="str">
        <f t="shared" ref="O163" si="212">IF(H163&lt;&gt;1,"ERROR!!!","")</f>
        <v/>
      </c>
      <c r="P163" s="77" t="str">
        <f t="shared" ref="P163" si="213">IF(I163&lt;&gt;1,"ERROR!!!","")</f>
        <v/>
      </c>
      <c r="Q163" s="77" t="str">
        <f t="shared" ref="Q163" si="214">IF(J163&lt;&gt;1,"ERROR!!!","")</f>
        <v/>
      </c>
    </row>
    <row r="164" spans="1:17" x14ac:dyDescent="0.25">
      <c r="A164" s="2">
        <v>2029</v>
      </c>
      <c r="B164" s="2">
        <v>4</v>
      </c>
      <c r="C164" s="2">
        <v>1</v>
      </c>
      <c r="D164" s="2">
        <v>2</v>
      </c>
      <c r="E164" s="2">
        <v>2</v>
      </c>
      <c r="F164" s="2">
        <v>2</v>
      </c>
      <c r="G164" s="2">
        <v>2</v>
      </c>
      <c r="H164" s="2">
        <v>2</v>
      </c>
      <c r="I164" s="2">
        <v>3</v>
      </c>
      <c r="J164" s="2">
        <v>2</v>
      </c>
      <c r="K164" s="76">
        <f t="shared" ref="K164:Q168" si="215">_xlfn.LET(_xlpm.StartDay, WEEKDAY(DATE($A164, $B164, 1), 1),_xlpm.DayNum, (COLUMN() - COLUMN($K$164) + 1) + (ROW() - ROW($K$164)) * 7 - _xlpm.StartDay + 1,IF(AND(_xlpm.DayNum &gt; 0, _xlpm.DayNum &lt;= DAY(EOMONTH(DATE($A164, $B164, 1), 0))), _xlpm.DayNum, ""))</f>
        <v>1</v>
      </c>
      <c r="L164" s="2">
        <f t="shared" si="215"/>
        <v>2</v>
      </c>
      <c r="M164" s="2">
        <f t="shared" si="215"/>
        <v>3</v>
      </c>
      <c r="N164" s="2">
        <f t="shared" si="215"/>
        <v>4</v>
      </c>
      <c r="O164" s="2">
        <f t="shared" si="215"/>
        <v>5</v>
      </c>
      <c r="P164" s="2">
        <f t="shared" si="215"/>
        <v>6</v>
      </c>
      <c r="Q164" s="76">
        <f t="shared" si="215"/>
        <v>7</v>
      </c>
    </row>
    <row r="165" spans="1:17" x14ac:dyDescent="0.25">
      <c r="A165" s="2">
        <v>2029</v>
      </c>
      <c r="B165" s="2">
        <v>4</v>
      </c>
      <c r="C165" s="2">
        <v>2</v>
      </c>
      <c r="D165" s="2">
        <v>2</v>
      </c>
      <c r="E165" s="2">
        <v>2</v>
      </c>
      <c r="F165" s="2">
        <v>3</v>
      </c>
      <c r="G165" s="2">
        <v>2</v>
      </c>
      <c r="H165" s="2">
        <v>3</v>
      </c>
      <c r="I165" s="2">
        <v>2</v>
      </c>
      <c r="J165" s="2">
        <v>2</v>
      </c>
      <c r="K165" s="76">
        <f t="shared" si="215"/>
        <v>8</v>
      </c>
      <c r="L165" s="2">
        <f t="shared" si="215"/>
        <v>9</v>
      </c>
      <c r="M165" s="2">
        <f t="shared" si="215"/>
        <v>10</v>
      </c>
      <c r="N165" s="2">
        <f t="shared" si="215"/>
        <v>11</v>
      </c>
      <c r="O165" s="2">
        <f t="shared" si="215"/>
        <v>12</v>
      </c>
      <c r="P165" s="2">
        <f t="shared" si="215"/>
        <v>13</v>
      </c>
      <c r="Q165" s="76">
        <f t="shared" si="215"/>
        <v>14</v>
      </c>
    </row>
    <row r="166" spans="1:17" x14ac:dyDescent="0.25">
      <c r="A166" s="2">
        <v>2029</v>
      </c>
      <c r="B166" s="2">
        <v>4</v>
      </c>
      <c r="C166" s="2">
        <v>3</v>
      </c>
      <c r="D166" s="2">
        <v>3</v>
      </c>
      <c r="E166" s="2">
        <v>2</v>
      </c>
      <c r="F166" s="2">
        <v>3</v>
      </c>
      <c r="G166" s="2">
        <v>4</v>
      </c>
      <c r="H166" s="2">
        <v>2</v>
      </c>
      <c r="I166" s="2">
        <v>2</v>
      </c>
      <c r="J166" s="2">
        <v>3</v>
      </c>
      <c r="K166" s="76">
        <f t="shared" si="215"/>
        <v>15</v>
      </c>
      <c r="L166" s="2">
        <f t="shared" si="215"/>
        <v>16</v>
      </c>
      <c r="M166" s="2">
        <f t="shared" si="215"/>
        <v>17</v>
      </c>
      <c r="N166" s="2">
        <f t="shared" si="215"/>
        <v>18</v>
      </c>
      <c r="O166" s="2">
        <f t="shared" si="215"/>
        <v>19</v>
      </c>
      <c r="P166" s="2">
        <f t="shared" si="215"/>
        <v>20</v>
      </c>
      <c r="Q166" s="76">
        <f t="shared" si="215"/>
        <v>21</v>
      </c>
    </row>
    <row r="167" spans="1:17" x14ac:dyDescent="0.25">
      <c r="A167" s="2">
        <v>2029</v>
      </c>
      <c r="B167" s="2">
        <v>4</v>
      </c>
      <c r="C167" s="2">
        <v>4</v>
      </c>
      <c r="D167" s="2">
        <v>3</v>
      </c>
      <c r="E167" s="2">
        <v>2</v>
      </c>
      <c r="F167" s="2">
        <v>3</v>
      </c>
      <c r="G167" s="2">
        <v>2</v>
      </c>
      <c r="H167" s="2">
        <v>2</v>
      </c>
      <c r="I167" s="2">
        <v>3</v>
      </c>
      <c r="J167" s="2">
        <v>2</v>
      </c>
      <c r="K167" s="76">
        <f t="shared" si="215"/>
        <v>22</v>
      </c>
      <c r="L167" s="2">
        <f t="shared" si="215"/>
        <v>23</v>
      </c>
      <c r="M167" s="2">
        <f t="shared" si="215"/>
        <v>24</v>
      </c>
      <c r="N167" s="2">
        <f t="shared" si="215"/>
        <v>25</v>
      </c>
      <c r="O167" s="2">
        <f t="shared" si="215"/>
        <v>26</v>
      </c>
      <c r="P167" s="2">
        <f t="shared" si="215"/>
        <v>27</v>
      </c>
      <c r="Q167" s="76">
        <f t="shared" si="215"/>
        <v>28</v>
      </c>
    </row>
    <row r="168" spans="1:17" x14ac:dyDescent="0.25">
      <c r="A168" s="2">
        <v>2029</v>
      </c>
      <c r="B168" s="2">
        <v>4</v>
      </c>
      <c r="C168" s="2">
        <v>5</v>
      </c>
      <c r="D168" s="2">
        <v>2</v>
      </c>
      <c r="E168" s="2">
        <v>2</v>
      </c>
      <c r="F168" s="2">
        <v>1</v>
      </c>
      <c r="G168" s="2">
        <v>1</v>
      </c>
      <c r="H168" s="2">
        <v>1</v>
      </c>
      <c r="I168" s="2">
        <v>1</v>
      </c>
      <c r="J168" s="2">
        <v>1</v>
      </c>
      <c r="K168" s="76">
        <f t="shared" si="215"/>
        <v>29</v>
      </c>
      <c r="L168" s="2">
        <f t="shared" si="215"/>
        <v>30</v>
      </c>
      <c r="M168" s="77" t="str">
        <f t="shared" ref="M168:M169" si="216">IF(F168&lt;&gt;1,"ERROR!!!","")</f>
        <v/>
      </c>
      <c r="N168" s="77" t="str">
        <f t="shared" ref="N168:N169" si="217">IF(G168&lt;&gt;1,"ERROR!!!","")</f>
        <v/>
      </c>
      <c r="O168" s="77" t="str">
        <f t="shared" ref="O168:O169" si="218">IF(H168&lt;&gt;1,"ERROR!!!","")</f>
        <v/>
      </c>
      <c r="P168" s="77" t="str">
        <f t="shared" ref="P168:P169" si="219">IF(I168&lt;&gt;1,"ERROR!!!","")</f>
        <v/>
      </c>
      <c r="Q168" s="77" t="str">
        <f t="shared" ref="Q168:Q169" si="220">IF(J168&lt;&gt;1,"ERROR!!!","")</f>
        <v/>
      </c>
    </row>
    <row r="169" spans="1:17" x14ac:dyDescent="0.25">
      <c r="A169" s="2">
        <v>2029</v>
      </c>
      <c r="B169" s="2">
        <v>4</v>
      </c>
      <c r="C169" s="2">
        <v>6</v>
      </c>
      <c r="D169" s="2">
        <v>1</v>
      </c>
      <c r="E169" s="2">
        <v>1</v>
      </c>
      <c r="F169" s="2">
        <v>1</v>
      </c>
      <c r="G169" s="2">
        <v>1</v>
      </c>
      <c r="H169" s="2">
        <v>1</v>
      </c>
      <c r="I169" s="2">
        <v>1</v>
      </c>
      <c r="J169" s="2">
        <v>1</v>
      </c>
      <c r="K169" s="77" t="str">
        <f t="shared" ref="K169:K170" si="221">IF(D169&lt;&gt;1,"ERROR!!!","")</f>
        <v/>
      </c>
      <c r="L169" s="77" t="str">
        <f t="shared" ref="L169:L170" si="222">IF(E169&lt;&gt;1,"ERROR!!!","")</f>
        <v/>
      </c>
      <c r="M169" s="77" t="str">
        <f t="shared" si="216"/>
        <v/>
      </c>
      <c r="N169" s="77" t="str">
        <f t="shared" si="217"/>
        <v/>
      </c>
      <c r="O169" s="77" t="str">
        <f t="shared" si="218"/>
        <v/>
      </c>
      <c r="P169" s="77" t="str">
        <f t="shared" si="219"/>
        <v/>
      </c>
      <c r="Q169" s="77" t="str">
        <f t="shared" si="220"/>
        <v/>
      </c>
    </row>
    <row r="170" spans="1:17" x14ac:dyDescent="0.25">
      <c r="A170" s="2">
        <v>2029</v>
      </c>
      <c r="B170" s="2">
        <v>5</v>
      </c>
      <c r="C170" s="2">
        <v>1</v>
      </c>
      <c r="D170" s="2">
        <v>1</v>
      </c>
      <c r="E170" s="2">
        <v>1</v>
      </c>
      <c r="F170" s="2">
        <v>2</v>
      </c>
      <c r="G170" s="2">
        <v>2</v>
      </c>
      <c r="H170" s="2">
        <v>2</v>
      </c>
      <c r="I170" s="2">
        <v>2</v>
      </c>
      <c r="J170" s="2">
        <v>2</v>
      </c>
      <c r="K170" s="77" t="str">
        <f t="shared" si="221"/>
        <v/>
      </c>
      <c r="L170" s="77" t="str">
        <f t="shared" si="222"/>
        <v/>
      </c>
      <c r="M170" s="2">
        <f t="shared" ref="K170:Q174" si="223">_xlfn.LET(_xlpm.StartDay, WEEKDAY(DATE($A170, $B170, 1), 1),_xlpm.DayNum, (COLUMN() - COLUMN($K$170) + 1) + (ROW() - ROW($K$170)) * 7 - _xlpm.StartDay + 1,IF(AND(_xlpm.DayNum &gt; 0, _xlpm.DayNum &lt;= DAY(EOMONTH(DATE($A170, $B170, 1), 0))), _xlpm.DayNum, ""))</f>
        <v>1</v>
      </c>
      <c r="N170" s="2">
        <f t="shared" si="223"/>
        <v>2</v>
      </c>
      <c r="O170" s="2">
        <f t="shared" si="223"/>
        <v>3</v>
      </c>
      <c r="P170" s="2">
        <f t="shared" si="223"/>
        <v>4</v>
      </c>
      <c r="Q170" s="76">
        <f t="shared" si="223"/>
        <v>5</v>
      </c>
    </row>
    <row r="171" spans="1:17" x14ac:dyDescent="0.25">
      <c r="A171" s="2">
        <v>2029</v>
      </c>
      <c r="B171" s="2">
        <v>5</v>
      </c>
      <c r="C171" s="2">
        <v>2</v>
      </c>
      <c r="D171" s="2">
        <v>2</v>
      </c>
      <c r="E171" s="2">
        <v>3</v>
      </c>
      <c r="F171" s="2">
        <v>3</v>
      </c>
      <c r="G171" s="2">
        <v>2</v>
      </c>
      <c r="H171" s="2">
        <v>3</v>
      </c>
      <c r="I171" s="2">
        <v>2</v>
      </c>
      <c r="J171" s="2">
        <v>2</v>
      </c>
      <c r="K171" s="76">
        <f t="shared" si="223"/>
        <v>6</v>
      </c>
      <c r="L171" s="2">
        <f t="shared" si="223"/>
        <v>7</v>
      </c>
      <c r="M171" s="2">
        <f t="shared" si="223"/>
        <v>8</v>
      </c>
      <c r="N171" s="2">
        <f t="shared" si="223"/>
        <v>9</v>
      </c>
      <c r="O171" s="2">
        <f t="shared" si="223"/>
        <v>10</v>
      </c>
      <c r="P171" s="2">
        <f t="shared" si="223"/>
        <v>11</v>
      </c>
      <c r="Q171" s="76">
        <f t="shared" si="223"/>
        <v>12</v>
      </c>
    </row>
    <row r="172" spans="1:17" x14ac:dyDescent="0.25">
      <c r="A172" s="2">
        <v>2029</v>
      </c>
      <c r="B172" s="2">
        <v>5</v>
      </c>
      <c r="C172" s="2">
        <v>3</v>
      </c>
      <c r="D172" s="2">
        <v>2</v>
      </c>
      <c r="E172" s="2">
        <v>3</v>
      </c>
      <c r="F172" s="2">
        <v>2</v>
      </c>
      <c r="G172" s="2">
        <v>3</v>
      </c>
      <c r="H172" s="2">
        <v>4</v>
      </c>
      <c r="I172" s="2">
        <v>4</v>
      </c>
      <c r="J172" s="2">
        <v>3</v>
      </c>
      <c r="K172" s="76">
        <f t="shared" si="223"/>
        <v>13</v>
      </c>
      <c r="L172" s="2">
        <f t="shared" si="223"/>
        <v>14</v>
      </c>
      <c r="M172" s="2">
        <f t="shared" si="223"/>
        <v>15</v>
      </c>
      <c r="N172" s="2">
        <f t="shared" si="223"/>
        <v>16</v>
      </c>
      <c r="O172" s="2">
        <f t="shared" si="223"/>
        <v>17</v>
      </c>
      <c r="P172" s="2">
        <f t="shared" si="223"/>
        <v>18</v>
      </c>
      <c r="Q172" s="76">
        <f t="shared" si="223"/>
        <v>19</v>
      </c>
    </row>
    <row r="173" spans="1:17" x14ac:dyDescent="0.25">
      <c r="A173" s="2">
        <v>2029</v>
      </c>
      <c r="B173" s="2">
        <v>5</v>
      </c>
      <c r="C173" s="2">
        <v>4</v>
      </c>
      <c r="D173" s="2">
        <v>2</v>
      </c>
      <c r="E173" s="2">
        <v>2</v>
      </c>
      <c r="F173" s="2">
        <v>4</v>
      </c>
      <c r="G173" s="2">
        <v>2</v>
      </c>
      <c r="H173" s="2">
        <v>2</v>
      </c>
      <c r="I173" s="2">
        <v>3</v>
      </c>
      <c r="J173" s="2">
        <v>3</v>
      </c>
      <c r="K173" s="76">
        <f t="shared" si="223"/>
        <v>20</v>
      </c>
      <c r="L173" s="2">
        <f t="shared" si="223"/>
        <v>21</v>
      </c>
      <c r="M173" s="2">
        <f t="shared" si="223"/>
        <v>22</v>
      </c>
      <c r="N173" s="2">
        <f t="shared" si="223"/>
        <v>23</v>
      </c>
      <c r="O173" s="2">
        <f t="shared" si="223"/>
        <v>24</v>
      </c>
      <c r="P173" s="2">
        <f t="shared" si="223"/>
        <v>25</v>
      </c>
      <c r="Q173" s="76">
        <f t="shared" si="223"/>
        <v>26</v>
      </c>
    </row>
    <row r="174" spans="1:17" x14ac:dyDescent="0.25">
      <c r="A174" s="2">
        <v>2029</v>
      </c>
      <c r="B174" s="2">
        <v>5</v>
      </c>
      <c r="C174" s="2">
        <v>5</v>
      </c>
      <c r="D174" s="2">
        <v>3</v>
      </c>
      <c r="E174" s="2">
        <v>2</v>
      </c>
      <c r="F174" s="2">
        <v>3</v>
      </c>
      <c r="G174" s="2">
        <v>3</v>
      </c>
      <c r="H174" s="2">
        <v>3</v>
      </c>
      <c r="I174" s="2">
        <v>1</v>
      </c>
      <c r="J174" s="2">
        <v>1</v>
      </c>
      <c r="K174" s="76">
        <f t="shared" si="223"/>
        <v>27</v>
      </c>
      <c r="L174" s="2">
        <f t="shared" si="223"/>
        <v>28</v>
      </c>
      <c r="M174" s="2">
        <f t="shared" si="223"/>
        <v>29</v>
      </c>
      <c r="N174" s="2">
        <f t="shared" si="223"/>
        <v>30</v>
      </c>
      <c r="O174" s="2">
        <f t="shared" si="223"/>
        <v>31</v>
      </c>
      <c r="P174" s="77" t="str">
        <f t="shared" ref="P174:P175" si="224">IF(I174&lt;&gt;1,"ERROR!!!","")</f>
        <v/>
      </c>
      <c r="Q174" s="77" t="str">
        <f t="shared" ref="Q174:Q175" si="225">IF(J174&lt;&gt;1,"ERROR!!!","")</f>
        <v/>
      </c>
    </row>
    <row r="175" spans="1:17" x14ac:dyDescent="0.25">
      <c r="A175" s="2">
        <v>2029</v>
      </c>
      <c r="B175" s="2">
        <v>5</v>
      </c>
      <c r="C175" s="2">
        <v>6</v>
      </c>
      <c r="D175" s="2">
        <v>1</v>
      </c>
      <c r="E175" s="2">
        <v>1</v>
      </c>
      <c r="F175" s="2">
        <v>1</v>
      </c>
      <c r="G175" s="2">
        <v>1</v>
      </c>
      <c r="H175" s="2">
        <v>1</v>
      </c>
      <c r="I175" s="2">
        <v>1</v>
      </c>
      <c r="J175" s="2">
        <v>1</v>
      </c>
      <c r="K175" s="77" t="str">
        <f t="shared" ref="K175:K176" si="226">IF(D175&lt;&gt;1,"ERROR!!!","")</f>
        <v/>
      </c>
      <c r="L175" s="77" t="str">
        <f t="shared" ref="L175:L176" si="227">IF(E175&lt;&gt;1,"ERROR!!!","")</f>
        <v/>
      </c>
      <c r="M175" s="77" t="str">
        <f t="shared" ref="M175:M176" si="228">IF(F175&lt;&gt;1,"ERROR!!!","")</f>
        <v/>
      </c>
      <c r="N175" s="77" t="str">
        <f t="shared" ref="N175:N176" si="229">IF(G175&lt;&gt;1,"ERROR!!!","")</f>
        <v/>
      </c>
      <c r="O175" s="77" t="str">
        <f t="shared" ref="O175:O176" si="230">IF(H175&lt;&gt;1,"ERROR!!!","")</f>
        <v/>
      </c>
      <c r="P175" s="77" t="str">
        <f t="shared" si="224"/>
        <v/>
      </c>
      <c r="Q175" s="77" t="str">
        <f t="shared" si="225"/>
        <v/>
      </c>
    </row>
    <row r="176" spans="1:17" x14ac:dyDescent="0.25">
      <c r="A176" s="2">
        <v>2029</v>
      </c>
      <c r="B176" s="2">
        <v>6</v>
      </c>
      <c r="C176" s="2">
        <v>1</v>
      </c>
      <c r="D176" s="2">
        <v>1</v>
      </c>
      <c r="E176" s="2">
        <v>1</v>
      </c>
      <c r="F176" s="2">
        <v>1</v>
      </c>
      <c r="G176" s="2">
        <v>1</v>
      </c>
      <c r="H176" s="2">
        <v>1</v>
      </c>
      <c r="I176" s="2">
        <v>3</v>
      </c>
      <c r="J176" s="2">
        <v>2</v>
      </c>
      <c r="K176" s="77" t="str">
        <f t="shared" si="226"/>
        <v/>
      </c>
      <c r="L176" s="77" t="str">
        <f t="shared" si="227"/>
        <v/>
      </c>
      <c r="M176" s="77" t="str">
        <f t="shared" si="228"/>
        <v/>
      </c>
      <c r="N176" s="77" t="str">
        <f t="shared" si="229"/>
        <v/>
      </c>
      <c r="O176" s="77" t="str">
        <f t="shared" si="230"/>
        <v/>
      </c>
      <c r="P176" s="2">
        <f t="shared" ref="K176:Q180" si="231">_xlfn.LET(_xlpm.StartDay, WEEKDAY(DATE($A176, $B176, 1), 1),_xlpm.DayNum, (COLUMN() - COLUMN($K$176) + 1) + (ROW() - ROW($K$176)) * 7 - _xlpm.StartDay + 1,IF(AND(_xlpm.DayNum &gt; 0, _xlpm.DayNum &lt;= DAY(EOMONTH(DATE($A176, $B176, 1), 0))), _xlpm.DayNum, ""))</f>
        <v>1</v>
      </c>
      <c r="Q176" s="76">
        <f t="shared" si="231"/>
        <v>2</v>
      </c>
    </row>
    <row r="177" spans="1:17" x14ac:dyDescent="0.25">
      <c r="A177" s="2">
        <v>2029</v>
      </c>
      <c r="B177" s="2">
        <v>6</v>
      </c>
      <c r="C177" s="2">
        <v>2</v>
      </c>
      <c r="D177" s="2">
        <v>3</v>
      </c>
      <c r="E177" s="2">
        <v>2</v>
      </c>
      <c r="F177" s="2">
        <v>4</v>
      </c>
      <c r="G177" s="2">
        <v>3</v>
      </c>
      <c r="H177" s="2">
        <v>3</v>
      </c>
      <c r="I177" s="2">
        <v>2</v>
      </c>
      <c r="J177" s="2">
        <v>2</v>
      </c>
      <c r="K177" s="76">
        <f t="shared" si="231"/>
        <v>3</v>
      </c>
      <c r="L177" s="2">
        <f t="shared" si="231"/>
        <v>4</v>
      </c>
      <c r="M177" s="2">
        <f t="shared" si="231"/>
        <v>5</v>
      </c>
      <c r="N177" s="2">
        <f t="shared" si="231"/>
        <v>6</v>
      </c>
      <c r="O177" s="2">
        <f t="shared" si="231"/>
        <v>7</v>
      </c>
      <c r="P177" s="2">
        <f t="shared" si="231"/>
        <v>8</v>
      </c>
      <c r="Q177" s="76">
        <f t="shared" si="231"/>
        <v>9</v>
      </c>
    </row>
    <row r="178" spans="1:17" x14ac:dyDescent="0.25">
      <c r="A178" s="2">
        <v>2029</v>
      </c>
      <c r="B178" s="2">
        <v>6</v>
      </c>
      <c r="C178" s="2">
        <v>3</v>
      </c>
      <c r="D178" s="2">
        <v>2</v>
      </c>
      <c r="E178" s="2">
        <v>3</v>
      </c>
      <c r="F178" s="2">
        <v>3</v>
      </c>
      <c r="G178" s="2">
        <v>3</v>
      </c>
      <c r="H178" s="2">
        <v>3</v>
      </c>
      <c r="I178" s="2">
        <v>3</v>
      </c>
      <c r="J178" s="2">
        <v>2</v>
      </c>
      <c r="K178" s="76">
        <f t="shared" si="231"/>
        <v>10</v>
      </c>
      <c r="L178" s="2">
        <f t="shared" si="231"/>
        <v>11</v>
      </c>
      <c r="M178" s="2">
        <f t="shared" si="231"/>
        <v>12</v>
      </c>
      <c r="N178" s="2">
        <f t="shared" si="231"/>
        <v>13</v>
      </c>
      <c r="O178" s="2">
        <f t="shared" si="231"/>
        <v>14</v>
      </c>
      <c r="P178" s="2">
        <f t="shared" si="231"/>
        <v>15</v>
      </c>
      <c r="Q178" s="76">
        <f t="shared" si="231"/>
        <v>16</v>
      </c>
    </row>
    <row r="179" spans="1:17" x14ac:dyDescent="0.25">
      <c r="A179" s="2">
        <v>2029</v>
      </c>
      <c r="B179" s="2">
        <v>6</v>
      </c>
      <c r="C179" s="2">
        <v>4</v>
      </c>
      <c r="D179" s="2">
        <v>2</v>
      </c>
      <c r="E179" s="2">
        <v>3</v>
      </c>
      <c r="F179" s="2">
        <v>2</v>
      </c>
      <c r="G179" s="2">
        <v>2</v>
      </c>
      <c r="H179" s="2">
        <v>2</v>
      </c>
      <c r="I179" s="2">
        <v>3</v>
      </c>
      <c r="J179" s="2">
        <v>3</v>
      </c>
      <c r="K179" s="76">
        <f t="shared" si="231"/>
        <v>17</v>
      </c>
      <c r="L179" s="2">
        <f t="shared" si="231"/>
        <v>18</v>
      </c>
      <c r="M179" s="2">
        <f t="shared" si="231"/>
        <v>19</v>
      </c>
      <c r="N179" s="2">
        <f t="shared" si="231"/>
        <v>20</v>
      </c>
      <c r="O179" s="2">
        <f t="shared" si="231"/>
        <v>21</v>
      </c>
      <c r="P179" s="2">
        <f t="shared" si="231"/>
        <v>22</v>
      </c>
      <c r="Q179" s="76">
        <f t="shared" si="231"/>
        <v>23</v>
      </c>
    </row>
    <row r="180" spans="1:17" x14ac:dyDescent="0.25">
      <c r="A180" s="2">
        <v>2029</v>
      </c>
      <c r="B180" s="2">
        <v>6</v>
      </c>
      <c r="C180" s="2">
        <v>5</v>
      </c>
      <c r="D180" s="2">
        <v>4</v>
      </c>
      <c r="E180" s="2">
        <v>3</v>
      </c>
      <c r="F180" s="2">
        <v>2</v>
      </c>
      <c r="G180" s="2">
        <v>3</v>
      </c>
      <c r="H180" s="2">
        <v>2</v>
      </c>
      <c r="I180" s="2">
        <v>2</v>
      </c>
      <c r="J180" s="2">
        <v>2</v>
      </c>
      <c r="K180" s="76">
        <f t="shared" si="231"/>
        <v>24</v>
      </c>
      <c r="L180" s="2">
        <f t="shared" si="231"/>
        <v>25</v>
      </c>
      <c r="M180" s="2">
        <f t="shared" si="231"/>
        <v>26</v>
      </c>
      <c r="N180" s="2">
        <f t="shared" si="231"/>
        <v>27</v>
      </c>
      <c r="O180" s="2">
        <f t="shared" si="231"/>
        <v>28</v>
      </c>
      <c r="P180" s="2">
        <f t="shared" si="231"/>
        <v>29</v>
      </c>
      <c r="Q180" s="76">
        <f t="shared" si="231"/>
        <v>30</v>
      </c>
    </row>
    <row r="181" spans="1:17" x14ac:dyDescent="0.25">
      <c r="A181" s="2">
        <v>2029</v>
      </c>
      <c r="B181" s="2">
        <v>6</v>
      </c>
      <c r="C181" s="2">
        <v>6</v>
      </c>
      <c r="D181" s="2">
        <v>1</v>
      </c>
      <c r="E181" s="2">
        <v>1</v>
      </c>
      <c r="F181" s="2">
        <v>1</v>
      </c>
      <c r="G181" s="2">
        <v>1</v>
      </c>
      <c r="H181" s="2">
        <v>1</v>
      </c>
      <c r="I181" s="2">
        <v>1</v>
      </c>
      <c r="J181" s="2">
        <v>1</v>
      </c>
      <c r="K181" s="77" t="str">
        <f t="shared" ref="K181" si="232">IF(D181&lt;&gt;1,"ERROR!!!","")</f>
        <v/>
      </c>
      <c r="L181" s="77" t="str">
        <f t="shared" ref="L181" si="233">IF(E181&lt;&gt;1,"ERROR!!!","")</f>
        <v/>
      </c>
      <c r="M181" s="77" t="str">
        <f t="shared" ref="M181" si="234">IF(F181&lt;&gt;1,"ERROR!!!","")</f>
        <v/>
      </c>
      <c r="N181" s="77" t="str">
        <f t="shared" ref="N181" si="235">IF(G181&lt;&gt;1,"ERROR!!!","")</f>
        <v/>
      </c>
      <c r="O181" s="77" t="str">
        <f t="shared" ref="O181" si="236">IF(H181&lt;&gt;1,"ERROR!!!","")</f>
        <v/>
      </c>
      <c r="P181" s="77" t="str">
        <f t="shared" ref="P181" si="237">IF(I181&lt;&gt;1,"ERROR!!!","")</f>
        <v/>
      </c>
      <c r="Q181" s="77" t="str">
        <f t="shared" ref="Q181" si="238">IF(J181&lt;&gt;1,"ERROR!!!","")</f>
        <v/>
      </c>
    </row>
    <row r="182" spans="1:17" x14ac:dyDescent="0.25">
      <c r="A182" s="2">
        <v>2029</v>
      </c>
      <c r="B182" s="2">
        <v>7</v>
      </c>
      <c r="C182" s="2">
        <v>1</v>
      </c>
      <c r="D182" s="2">
        <v>2</v>
      </c>
      <c r="E182" s="2">
        <v>2</v>
      </c>
      <c r="F182" s="2">
        <v>2</v>
      </c>
      <c r="G182" s="2">
        <v>2</v>
      </c>
      <c r="H182" s="2">
        <v>3</v>
      </c>
      <c r="I182" s="2">
        <v>3</v>
      </c>
      <c r="J182" s="2">
        <v>3</v>
      </c>
      <c r="K182" s="76">
        <f t="shared" ref="K182:Q186" si="239">_xlfn.LET(_xlpm.StartDay, WEEKDAY(DATE($A182, $B182, 1), 1),_xlpm.DayNum, (COLUMN() - COLUMN($K$182) + 1) + (ROW() - ROW($K$182)) * 7 - _xlpm.StartDay + 1,IF(AND(_xlpm.DayNum &gt; 0, _xlpm.DayNum &lt;= DAY(EOMONTH(DATE($A182, $B182, 1), 0))), _xlpm.DayNum, ""))</f>
        <v>1</v>
      </c>
      <c r="L182" s="2">
        <f t="shared" si="239"/>
        <v>2</v>
      </c>
      <c r="M182" s="2">
        <f t="shared" si="239"/>
        <v>3</v>
      </c>
      <c r="N182" s="2">
        <f t="shared" si="239"/>
        <v>4</v>
      </c>
      <c r="O182" s="2">
        <f t="shared" si="239"/>
        <v>5</v>
      </c>
      <c r="P182" s="2">
        <f t="shared" si="239"/>
        <v>6</v>
      </c>
      <c r="Q182" s="76">
        <f t="shared" si="239"/>
        <v>7</v>
      </c>
    </row>
    <row r="183" spans="1:17" x14ac:dyDescent="0.25">
      <c r="A183" s="2">
        <v>2029</v>
      </c>
      <c r="B183" s="2">
        <v>7</v>
      </c>
      <c r="C183" s="2">
        <v>2</v>
      </c>
      <c r="D183" s="2">
        <v>4</v>
      </c>
      <c r="E183" s="2">
        <v>3</v>
      </c>
      <c r="F183" s="2">
        <v>2</v>
      </c>
      <c r="G183" s="2">
        <v>3</v>
      </c>
      <c r="H183" s="2">
        <v>3</v>
      </c>
      <c r="I183" s="2">
        <v>3</v>
      </c>
      <c r="J183" s="2">
        <v>3</v>
      </c>
      <c r="K183" s="76">
        <f t="shared" si="239"/>
        <v>8</v>
      </c>
      <c r="L183" s="2">
        <f t="shared" si="239"/>
        <v>9</v>
      </c>
      <c r="M183" s="2">
        <f t="shared" si="239"/>
        <v>10</v>
      </c>
      <c r="N183" s="2">
        <f t="shared" si="239"/>
        <v>11</v>
      </c>
      <c r="O183" s="2">
        <f t="shared" si="239"/>
        <v>12</v>
      </c>
      <c r="P183" s="2">
        <f t="shared" si="239"/>
        <v>13</v>
      </c>
      <c r="Q183" s="76">
        <f t="shared" si="239"/>
        <v>14</v>
      </c>
    </row>
    <row r="184" spans="1:17" x14ac:dyDescent="0.25">
      <c r="A184" s="2">
        <v>2029</v>
      </c>
      <c r="B184" s="2">
        <v>7</v>
      </c>
      <c r="C184" s="2">
        <v>3</v>
      </c>
      <c r="D184" s="2">
        <v>3</v>
      </c>
      <c r="E184" s="2">
        <v>2</v>
      </c>
      <c r="F184" s="2">
        <v>2</v>
      </c>
      <c r="G184" s="2">
        <v>3</v>
      </c>
      <c r="H184" s="2">
        <v>2</v>
      </c>
      <c r="I184" s="2">
        <v>3</v>
      </c>
      <c r="J184" s="2">
        <v>2</v>
      </c>
      <c r="K184" s="76">
        <f t="shared" si="239"/>
        <v>15</v>
      </c>
      <c r="L184" s="2">
        <f t="shared" si="239"/>
        <v>16</v>
      </c>
      <c r="M184" s="2">
        <f t="shared" si="239"/>
        <v>17</v>
      </c>
      <c r="N184" s="2">
        <f t="shared" si="239"/>
        <v>18</v>
      </c>
      <c r="O184" s="2">
        <f t="shared" si="239"/>
        <v>19</v>
      </c>
      <c r="P184" s="2">
        <f t="shared" si="239"/>
        <v>20</v>
      </c>
      <c r="Q184" s="76">
        <f t="shared" si="239"/>
        <v>21</v>
      </c>
    </row>
    <row r="185" spans="1:17" x14ac:dyDescent="0.25">
      <c r="A185" s="2">
        <v>2029</v>
      </c>
      <c r="B185" s="2">
        <v>7</v>
      </c>
      <c r="C185" s="2">
        <v>4</v>
      </c>
      <c r="D185" s="2">
        <v>3</v>
      </c>
      <c r="E185" s="2">
        <v>3</v>
      </c>
      <c r="F185" s="2">
        <v>3</v>
      </c>
      <c r="G185" s="2">
        <v>3</v>
      </c>
      <c r="H185" s="2">
        <v>3</v>
      </c>
      <c r="I185" s="2">
        <v>3</v>
      </c>
      <c r="J185" s="2">
        <v>4</v>
      </c>
      <c r="K185" s="76">
        <f t="shared" si="239"/>
        <v>22</v>
      </c>
      <c r="L185" s="2">
        <f t="shared" si="239"/>
        <v>23</v>
      </c>
      <c r="M185" s="2">
        <f t="shared" si="239"/>
        <v>24</v>
      </c>
      <c r="N185" s="2">
        <f t="shared" si="239"/>
        <v>25</v>
      </c>
      <c r="O185" s="2">
        <f t="shared" si="239"/>
        <v>26</v>
      </c>
      <c r="P185" s="2">
        <f t="shared" si="239"/>
        <v>27</v>
      </c>
      <c r="Q185" s="76">
        <f t="shared" si="239"/>
        <v>28</v>
      </c>
    </row>
    <row r="186" spans="1:17" x14ac:dyDescent="0.25">
      <c r="A186" s="2">
        <v>2029</v>
      </c>
      <c r="B186" s="2">
        <v>7</v>
      </c>
      <c r="C186" s="2">
        <v>5</v>
      </c>
      <c r="D186" s="2">
        <v>3</v>
      </c>
      <c r="E186" s="2">
        <v>3</v>
      </c>
      <c r="F186" s="2">
        <v>3</v>
      </c>
      <c r="G186" s="2">
        <v>1</v>
      </c>
      <c r="H186" s="2">
        <v>1</v>
      </c>
      <c r="I186" s="2">
        <v>1</v>
      </c>
      <c r="J186" s="2">
        <v>1</v>
      </c>
      <c r="K186" s="76">
        <f t="shared" si="239"/>
        <v>29</v>
      </c>
      <c r="L186" s="2">
        <f t="shared" si="239"/>
        <v>30</v>
      </c>
      <c r="M186" s="2">
        <f t="shared" si="239"/>
        <v>31</v>
      </c>
      <c r="N186" s="77" t="str">
        <f t="shared" ref="N186:N187" si="240">IF(G186&lt;&gt;1,"ERROR!!!","")</f>
        <v/>
      </c>
      <c r="O186" s="77" t="str">
        <f t="shared" ref="O186:O187" si="241">IF(H186&lt;&gt;1,"ERROR!!!","")</f>
        <v/>
      </c>
      <c r="P186" s="77" t="str">
        <f t="shared" ref="P186:P187" si="242">IF(I186&lt;&gt;1,"ERROR!!!","")</f>
        <v/>
      </c>
      <c r="Q186" s="77" t="str">
        <f t="shared" ref="Q186:Q187" si="243">IF(J186&lt;&gt;1,"ERROR!!!","")</f>
        <v/>
      </c>
    </row>
    <row r="187" spans="1:17" x14ac:dyDescent="0.25">
      <c r="A187" s="2">
        <v>2029</v>
      </c>
      <c r="B187" s="2">
        <v>7</v>
      </c>
      <c r="C187" s="2">
        <v>6</v>
      </c>
      <c r="D187" s="2">
        <v>1</v>
      </c>
      <c r="E187" s="2">
        <v>1</v>
      </c>
      <c r="F187" s="2">
        <v>1</v>
      </c>
      <c r="G187" s="2">
        <v>1</v>
      </c>
      <c r="H187" s="2">
        <v>1</v>
      </c>
      <c r="I187" s="2">
        <v>1</v>
      </c>
      <c r="J187" s="2">
        <v>1</v>
      </c>
      <c r="K187" s="77" t="str">
        <f t="shared" ref="K187:K188" si="244">IF(D187&lt;&gt;1,"ERROR!!!","")</f>
        <v/>
      </c>
      <c r="L187" s="77" t="str">
        <f t="shared" ref="L187:L188" si="245">IF(E187&lt;&gt;1,"ERROR!!!","")</f>
        <v/>
      </c>
      <c r="M187" s="77" t="str">
        <f t="shared" ref="M187:M188" si="246">IF(F187&lt;&gt;1,"ERROR!!!","")</f>
        <v/>
      </c>
      <c r="N187" s="77" t="str">
        <f t="shared" si="240"/>
        <v/>
      </c>
      <c r="O187" s="77" t="str">
        <f t="shared" si="241"/>
        <v/>
      </c>
      <c r="P187" s="77" t="str">
        <f t="shared" si="242"/>
        <v/>
      </c>
      <c r="Q187" s="77" t="str">
        <f t="shared" si="243"/>
        <v/>
      </c>
    </row>
    <row r="188" spans="1:17" x14ac:dyDescent="0.25">
      <c r="A188" s="2">
        <v>2029</v>
      </c>
      <c r="B188" s="2">
        <v>8</v>
      </c>
      <c r="C188" s="2">
        <v>1</v>
      </c>
      <c r="D188" s="2">
        <v>1</v>
      </c>
      <c r="E188" s="2">
        <v>1</v>
      </c>
      <c r="F188" s="2">
        <v>1</v>
      </c>
      <c r="G188" s="2">
        <v>3</v>
      </c>
      <c r="H188" s="2">
        <v>3</v>
      </c>
      <c r="I188" s="2">
        <v>3</v>
      </c>
      <c r="J188" s="2">
        <v>2</v>
      </c>
      <c r="K188" s="77" t="str">
        <f t="shared" si="244"/>
        <v/>
      </c>
      <c r="L188" s="77" t="str">
        <f t="shared" si="245"/>
        <v/>
      </c>
      <c r="M188" s="77" t="str">
        <f t="shared" si="246"/>
        <v/>
      </c>
      <c r="N188" s="2">
        <f t="shared" ref="K188:Q192" si="247">_xlfn.LET(_xlpm.StartDay, WEEKDAY(DATE($A188, $B188, 1), 1),_xlpm.DayNum, (COLUMN() - COLUMN($K$188) + 1) + (ROW() - ROW($K$188)) * 7 - _xlpm.StartDay + 1,IF(AND(_xlpm.DayNum &gt; 0, _xlpm.DayNum &lt;= DAY(EOMONTH(DATE($A188, $B188, 1), 0))), _xlpm.DayNum, ""))</f>
        <v>1</v>
      </c>
      <c r="O188" s="2">
        <f t="shared" si="247"/>
        <v>2</v>
      </c>
      <c r="P188" s="2">
        <f t="shared" si="247"/>
        <v>3</v>
      </c>
      <c r="Q188" s="76">
        <f t="shared" si="247"/>
        <v>4</v>
      </c>
    </row>
    <row r="189" spans="1:17" x14ac:dyDescent="0.25">
      <c r="A189" s="2">
        <v>2029</v>
      </c>
      <c r="B189" s="2">
        <v>8</v>
      </c>
      <c r="C189" s="2">
        <v>2</v>
      </c>
      <c r="D189" s="2">
        <v>3</v>
      </c>
      <c r="E189" s="2">
        <v>2</v>
      </c>
      <c r="F189" s="2">
        <v>2</v>
      </c>
      <c r="G189" s="2">
        <v>3</v>
      </c>
      <c r="H189" s="2">
        <v>2</v>
      </c>
      <c r="I189" s="2">
        <v>2</v>
      </c>
      <c r="J189" s="2">
        <v>2</v>
      </c>
      <c r="K189" s="76">
        <f t="shared" si="247"/>
        <v>5</v>
      </c>
      <c r="L189" s="2">
        <f t="shared" si="247"/>
        <v>6</v>
      </c>
      <c r="M189" s="2">
        <f t="shared" si="247"/>
        <v>7</v>
      </c>
      <c r="N189" s="2">
        <f t="shared" si="247"/>
        <v>8</v>
      </c>
      <c r="O189" s="2">
        <f t="shared" si="247"/>
        <v>9</v>
      </c>
      <c r="P189" s="2">
        <f t="shared" si="247"/>
        <v>10</v>
      </c>
      <c r="Q189" s="76">
        <f t="shared" si="247"/>
        <v>11</v>
      </c>
    </row>
    <row r="190" spans="1:17" x14ac:dyDescent="0.25">
      <c r="A190" s="2">
        <v>2029</v>
      </c>
      <c r="B190" s="2">
        <v>8</v>
      </c>
      <c r="C190" s="2">
        <v>3</v>
      </c>
      <c r="D190" s="2">
        <v>2</v>
      </c>
      <c r="E190" s="2">
        <v>2</v>
      </c>
      <c r="F190" s="2">
        <v>3</v>
      </c>
      <c r="G190" s="2">
        <v>2</v>
      </c>
      <c r="H190" s="2">
        <v>2</v>
      </c>
      <c r="I190" s="2">
        <v>2</v>
      </c>
      <c r="J190" s="2">
        <v>3</v>
      </c>
      <c r="K190" s="76">
        <f t="shared" si="247"/>
        <v>12</v>
      </c>
      <c r="L190" s="2">
        <f t="shared" si="247"/>
        <v>13</v>
      </c>
      <c r="M190" s="2">
        <f t="shared" si="247"/>
        <v>14</v>
      </c>
      <c r="N190" s="2">
        <f t="shared" si="247"/>
        <v>15</v>
      </c>
      <c r="O190" s="2">
        <f t="shared" si="247"/>
        <v>16</v>
      </c>
      <c r="P190" s="2">
        <f t="shared" si="247"/>
        <v>17</v>
      </c>
      <c r="Q190" s="76">
        <f t="shared" si="247"/>
        <v>18</v>
      </c>
    </row>
    <row r="191" spans="1:17" x14ac:dyDescent="0.25">
      <c r="A191" s="2">
        <v>2029</v>
      </c>
      <c r="B191" s="2">
        <v>8</v>
      </c>
      <c r="C191" s="2">
        <v>4</v>
      </c>
      <c r="D191" s="2">
        <v>3</v>
      </c>
      <c r="E191" s="2">
        <v>3</v>
      </c>
      <c r="F191" s="2">
        <v>3</v>
      </c>
      <c r="G191" s="2">
        <v>2</v>
      </c>
      <c r="H191" s="2">
        <v>3</v>
      </c>
      <c r="I191" s="2">
        <v>2</v>
      </c>
      <c r="J191" s="2">
        <v>2</v>
      </c>
      <c r="K191" s="76">
        <f t="shared" si="247"/>
        <v>19</v>
      </c>
      <c r="L191" s="2">
        <f t="shared" si="247"/>
        <v>20</v>
      </c>
      <c r="M191" s="2">
        <f t="shared" si="247"/>
        <v>21</v>
      </c>
      <c r="N191" s="2">
        <f t="shared" si="247"/>
        <v>22</v>
      </c>
      <c r="O191" s="2">
        <f t="shared" si="247"/>
        <v>23</v>
      </c>
      <c r="P191" s="2">
        <f t="shared" si="247"/>
        <v>24</v>
      </c>
      <c r="Q191" s="76">
        <f t="shared" si="247"/>
        <v>25</v>
      </c>
    </row>
    <row r="192" spans="1:17" x14ac:dyDescent="0.25">
      <c r="A192" s="2">
        <v>2029</v>
      </c>
      <c r="B192" s="2">
        <v>8</v>
      </c>
      <c r="C192" s="2">
        <v>5</v>
      </c>
      <c r="D192" s="2">
        <v>3</v>
      </c>
      <c r="E192" s="2">
        <v>2</v>
      </c>
      <c r="F192" s="2">
        <v>2</v>
      </c>
      <c r="G192" s="2">
        <v>2</v>
      </c>
      <c r="H192" s="2">
        <v>2</v>
      </c>
      <c r="I192" s="2">
        <v>2</v>
      </c>
      <c r="J192" s="2">
        <v>1</v>
      </c>
      <c r="K192" s="76">
        <f t="shared" si="247"/>
        <v>26</v>
      </c>
      <c r="L192" s="2">
        <f t="shared" si="247"/>
        <v>27</v>
      </c>
      <c r="M192" s="2">
        <f t="shared" si="247"/>
        <v>28</v>
      </c>
      <c r="N192" s="2">
        <f t="shared" si="247"/>
        <v>29</v>
      </c>
      <c r="O192" s="2">
        <f t="shared" si="247"/>
        <v>30</v>
      </c>
      <c r="P192" s="2">
        <f t="shared" si="247"/>
        <v>31</v>
      </c>
      <c r="Q192" s="77" t="str">
        <f t="shared" ref="Q192:Q193" si="248">IF(J192&lt;&gt;1,"ERROR!!!","")</f>
        <v/>
      </c>
    </row>
    <row r="193" spans="1:17" x14ac:dyDescent="0.25">
      <c r="A193" s="2">
        <v>2029</v>
      </c>
      <c r="B193" s="2">
        <v>8</v>
      </c>
      <c r="C193" s="2">
        <v>6</v>
      </c>
      <c r="D193" s="2">
        <v>1</v>
      </c>
      <c r="E193" s="2">
        <v>1</v>
      </c>
      <c r="F193" s="2">
        <v>1</v>
      </c>
      <c r="G193" s="2">
        <v>1</v>
      </c>
      <c r="H193" s="2">
        <v>1</v>
      </c>
      <c r="I193" s="2">
        <v>1</v>
      </c>
      <c r="J193" s="2">
        <v>1</v>
      </c>
      <c r="K193" s="77" t="str">
        <f t="shared" ref="K193:K194" si="249">IF(D193&lt;&gt;1,"ERROR!!!","")</f>
        <v/>
      </c>
      <c r="L193" s="77" t="str">
        <f t="shared" ref="L193:L194" si="250">IF(E193&lt;&gt;1,"ERROR!!!","")</f>
        <v/>
      </c>
      <c r="M193" s="77" t="str">
        <f t="shared" ref="M193:M194" si="251">IF(F193&lt;&gt;1,"ERROR!!!","")</f>
        <v/>
      </c>
      <c r="N193" s="77" t="str">
        <f t="shared" ref="N193:N194" si="252">IF(G193&lt;&gt;1,"ERROR!!!","")</f>
        <v/>
      </c>
      <c r="O193" s="77" t="str">
        <f t="shared" ref="O193:O194" si="253">IF(H193&lt;&gt;1,"ERROR!!!","")</f>
        <v/>
      </c>
      <c r="P193" s="77" t="str">
        <f t="shared" ref="P193:P194" si="254">IF(I193&lt;&gt;1,"ERROR!!!","")</f>
        <v/>
      </c>
      <c r="Q193" s="77" t="str">
        <f t="shared" si="248"/>
        <v/>
      </c>
    </row>
    <row r="194" spans="1:17" x14ac:dyDescent="0.25">
      <c r="A194" s="2">
        <v>2029</v>
      </c>
      <c r="B194" s="2">
        <v>9</v>
      </c>
      <c r="C194" s="2">
        <v>1</v>
      </c>
      <c r="D194" s="2">
        <v>1</v>
      </c>
      <c r="E194" s="2">
        <v>1</v>
      </c>
      <c r="F194" s="2">
        <v>1</v>
      </c>
      <c r="G194" s="2">
        <v>1</v>
      </c>
      <c r="H194" s="2">
        <v>1</v>
      </c>
      <c r="I194" s="2">
        <v>1</v>
      </c>
      <c r="J194" s="2">
        <v>2</v>
      </c>
      <c r="K194" s="77" t="str">
        <f t="shared" si="249"/>
        <v/>
      </c>
      <c r="L194" s="77" t="str">
        <f t="shared" si="250"/>
        <v/>
      </c>
      <c r="M194" s="77" t="str">
        <f t="shared" si="251"/>
        <v/>
      </c>
      <c r="N194" s="77" t="str">
        <f t="shared" si="252"/>
        <v/>
      </c>
      <c r="O194" s="77" t="str">
        <f t="shared" si="253"/>
        <v/>
      </c>
      <c r="P194" s="77" t="str">
        <f t="shared" si="254"/>
        <v/>
      </c>
      <c r="Q194" s="76">
        <f t="shared" ref="K194:Q199" si="255">_xlfn.LET(_xlpm.StartDay, WEEKDAY(DATE($A194, $B194, 1), 1),_xlpm.DayNum, (COLUMN() - COLUMN($K$194) + 1) + (ROW() - ROW($K$194)) * 7 - _xlpm.StartDay + 1,IF(AND(_xlpm.DayNum &gt; 0, _xlpm.DayNum &lt;= DAY(EOMONTH(DATE($A194, $B194, 1), 0))), _xlpm.DayNum, ""))</f>
        <v>1</v>
      </c>
    </row>
    <row r="195" spans="1:17" x14ac:dyDescent="0.25">
      <c r="A195" s="2">
        <v>2029</v>
      </c>
      <c r="B195" s="2">
        <v>9</v>
      </c>
      <c r="C195" s="2">
        <v>2</v>
      </c>
      <c r="D195" s="2">
        <v>3</v>
      </c>
      <c r="E195" s="2">
        <v>3</v>
      </c>
      <c r="F195" s="2">
        <v>3</v>
      </c>
      <c r="G195" s="2">
        <v>4</v>
      </c>
      <c r="H195" s="2">
        <v>3</v>
      </c>
      <c r="I195" s="2">
        <v>2</v>
      </c>
      <c r="J195" s="2">
        <v>4</v>
      </c>
      <c r="K195" s="76">
        <f t="shared" si="255"/>
        <v>2</v>
      </c>
      <c r="L195" s="2">
        <f t="shared" si="255"/>
        <v>3</v>
      </c>
      <c r="M195" s="2">
        <f t="shared" si="255"/>
        <v>4</v>
      </c>
      <c r="N195" s="2">
        <f t="shared" si="255"/>
        <v>5</v>
      </c>
      <c r="O195" s="2">
        <f t="shared" si="255"/>
        <v>6</v>
      </c>
      <c r="P195" s="2">
        <f t="shared" si="255"/>
        <v>7</v>
      </c>
      <c r="Q195" s="76">
        <f t="shared" si="255"/>
        <v>8</v>
      </c>
    </row>
    <row r="196" spans="1:17" x14ac:dyDescent="0.25">
      <c r="A196" s="2">
        <v>2029</v>
      </c>
      <c r="B196" s="2">
        <v>9</v>
      </c>
      <c r="C196" s="2">
        <v>3</v>
      </c>
      <c r="D196" s="2">
        <v>3</v>
      </c>
      <c r="E196" s="2">
        <v>3</v>
      </c>
      <c r="F196" s="2">
        <v>3</v>
      </c>
      <c r="G196" s="2">
        <v>3</v>
      </c>
      <c r="H196" s="2">
        <v>3</v>
      </c>
      <c r="I196" s="2">
        <v>2</v>
      </c>
      <c r="J196" s="2">
        <v>3</v>
      </c>
      <c r="K196" s="76">
        <f t="shared" si="255"/>
        <v>9</v>
      </c>
      <c r="L196" s="2">
        <f t="shared" si="255"/>
        <v>10</v>
      </c>
      <c r="M196" s="2">
        <f t="shared" si="255"/>
        <v>11</v>
      </c>
      <c r="N196" s="2">
        <f t="shared" si="255"/>
        <v>12</v>
      </c>
      <c r="O196" s="2">
        <f t="shared" si="255"/>
        <v>13</v>
      </c>
      <c r="P196" s="2">
        <f t="shared" si="255"/>
        <v>14</v>
      </c>
      <c r="Q196" s="76">
        <f t="shared" si="255"/>
        <v>15</v>
      </c>
    </row>
    <row r="197" spans="1:17" x14ac:dyDescent="0.25">
      <c r="A197" s="2">
        <v>2029</v>
      </c>
      <c r="B197" s="2">
        <v>9</v>
      </c>
      <c r="C197" s="2">
        <v>4</v>
      </c>
      <c r="D197" s="2">
        <v>2</v>
      </c>
      <c r="E197" s="2">
        <v>4</v>
      </c>
      <c r="F197" s="2">
        <v>3</v>
      </c>
      <c r="G197" s="2">
        <v>2</v>
      </c>
      <c r="H197" s="2">
        <v>2</v>
      </c>
      <c r="I197" s="2">
        <v>3</v>
      </c>
      <c r="J197" s="2">
        <v>2</v>
      </c>
      <c r="K197" s="76">
        <f t="shared" si="255"/>
        <v>16</v>
      </c>
      <c r="L197" s="2">
        <f t="shared" si="255"/>
        <v>17</v>
      </c>
      <c r="M197" s="2">
        <f t="shared" si="255"/>
        <v>18</v>
      </c>
      <c r="N197" s="2">
        <f t="shared" si="255"/>
        <v>19</v>
      </c>
      <c r="O197" s="2">
        <f t="shared" si="255"/>
        <v>20</v>
      </c>
      <c r="P197" s="2">
        <f t="shared" si="255"/>
        <v>21</v>
      </c>
      <c r="Q197" s="76">
        <f t="shared" si="255"/>
        <v>22</v>
      </c>
    </row>
    <row r="198" spans="1:17" x14ac:dyDescent="0.25">
      <c r="A198" s="2">
        <v>2029</v>
      </c>
      <c r="B198" s="2">
        <v>9</v>
      </c>
      <c r="C198" s="2">
        <v>5</v>
      </c>
      <c r="D198" s="2">
        <v>3</v>
      </c>
      <c r="E198" s="2">
        <v>4</v>
      </c>
      <c r="F198" s="2">
        <v>3</v>
      </c>
      <c r="G198" s="2">
        <v>3</v>
      </c>
      <c r="H198" s="2">
        <v>3</v>
      </c>
      <c r="I198" s="2">
        <v>2</v>
      </c>
      <c r="J198" s="2">
        <v>2</v>
      </c>
      <c r="K198" s="76">
        <f t="shared" si="255"/>
        <v>23</v>
      </c>
      <c r="L198" s="2">
        <f t="shared" si="255"/>
        <v>24</v>
      </c>
      <c r="M198" s="2">
        <f t="shared" si="255"/>
        <v>25</v>
      </c>
      <c r="N198" s="2">
        <f t="shared" si="255"/>
        <v>26</v>
      </c>
      <c r="O198" s="2">
        <f t="shared" si="255"/>
        <v>27</v>
      </c>
      <c r="P198" s="2">
        <f t="shared" si="255"/>
        <v>28</v>
      </c>
      <c r="Q198" s="76">
        <f t="shared" si="255"/>
        <v>29</v>
      </c>
    </row>
    <row r="199" spans="1:17" x14ac:dyDescent="0.25">
      <c r="A199" s="2">
        <v>2029</v>
      </c>
      <c r="B199" s="2">
        <v>9</v>
      </c>
      <c r="C199" s="2">
        <v>6</v>
      </c>
      <c r="D199" s="2">
        <v>2</v>
      </c>
      <c r="E199" s="2">
        <v>1</v>
      </c>
      <c r="F199" s="2">
        <v>1</v>
      </c>
      <c r="G199" s="2">
        <v>1</v>
      </c>
      <c r="H199" s="2">
        <v>1</v>
      </c>
      <c r="I199" s="2">
        <v>1</v>
      </c>
      <c r="J199" s="2">
        <v>1</v>
      </c>
      <c r="K199" s="76">
        <f t="shared" si="255"/>
        <v>30</v>
      </c>
      <c r="L199" s="77" t="str">
        <f t="shared" ref="L199" si="256">IF(E199&lt;&gt;1,"ERROR!!!","")</f>
        <v/>
      </c>
      <c r="M199" s="77" t="str">
        <f t="shared" ref="M199" si="257">IF(F199&lt;&gt;1,"ERROR!!!","")</f>
        <v/>
      </c>
      <c r="N199" s="77" t="str">
        <f t="shared" ref="N199" si="258">IF(G199&lt;&gt;1,"ERROR!!!","")</f>
        <v/>
      </c>
      <c r="O199" s="77" t="str">
        <f t="shared" ref="O199" si="259">IF(H199&lt;&gt;1,"ERROR!!!","")</f>
        <v/>
      </c>
      <c r="P199" s="77" t="str">
        <f t="shared" ref="P199" si="260">IF(I199&lt;&gt;1,"ERROR!!!","")</f>
        <v/>
      </c>
      <c r="Q199" s="77" t="str">
        <f t="shared" ref="Q199" si="261">IF(J199&lt;&gt;1,"ERROR!!!","")</f>
        <v/>
      </c>
    </row>
    <row r="200" spans="1:17" x14ac:dyDescent="0.25">
      <c r="A200" s="2">
        <v>2029</v>
      </c>
      <c r="B200" s="2">
        <v>10</v>
      </c>
      <c r="C200" s="2">
        <v>1</v>
      </c>
      <c r="D200" s="2">
        <v>1</v>
      </c>
      <c r="E200" s="2">
        <v>2</v>
      </c>
      <c r="F200" s="2">
        <v>2</v>
      </c>
      <c r="G200" s="2">
        <v>2</v>
      </c>
      <c r="H200" s="2">
        <v>2</v>
      </c>
      <c r="I200" s="2">
        <v>3</v>
      </c>
      <c r="J200" s="2">
        <v>3</v>
      </c>
      <c r="K200" s="77" t="str">
        <f t="shared" ref="K200" si="262">IF(D200&lt;&gt;1,"ERROR!!!","")</f>
        <v/>
      </c>
      <c r="L200" s="2">
        <f t="shared" ref="K200:Q204" si="263">_xlfn.LET(_xlpm.StartDay, WEEKDAY(DATE($A200, $B200, 1), 1),_xlpm.DayNum, (COLUMN() - COLUMN($K$200) + 1) + (ROW() - ROW($K$200)) * 7 - _xlpm.StartDay + 1,IF(AND(_xlpm.DayNum &gt; 0, _xlpm.DayNum &lt;= DAY(EOMONTH(DATE($A200, $B200, 1), 0))), _xlpm.DayNum, ""))</f>
        <v>1</v>
      </c>
      <c r="M200" s="2">
        <f t="shared" si="263"/>
        <v>2</v>
      </c>
      <c r="N200" s="2">
        <f t="shared" si="263"/>
        <v>3</v>
      </c>
      <c r="O200" s="2">
        <f t="shared" si="263"/>
        <v>4</v>
      </c>
      <c r="P200" s="2">
        <f t="shared" si="263"/>
        <v>5</v>
      </c>
      <c r="Q200" s="76">
        <f t="shared" si="263"/>
        <v>6</v>
      </c>
    </row>
    <row r="201" spans="1:17" x14ac:dyDescent="0.25">
      <c r="A201" s="2">
        <v>2029</v>
      </c>
      <c r="B201" s="2">
        <v>10</v>
      </c>
      <c r="C201" s="2">
        <v>2</v>
      </c>
      <c r="D201" s="2">
        <v>2</v>
      </c>
      <c r="E201" s="2">
        <v>4</v>
      </c>
      <c r="F201" s="2">
        <v>3</v>
      </c>
      <c r="G201" s="2">
        <v>3</v>
      </c>
      <c r="H201" s="2">
        <v>3</v>
      </c>
      <c r="I201" s="2">
        <v>3</v>
      </c>
      <c r="J201" s="2">
        <v>3</v>
      </c>
      <c r="K201" s="76">
        <f t="shared" si="263"/>
        <v>7</v>
      </c>
      <c r="L201" s="2">
        <f t="shared" si="263"/>
        <v>8</v>
      </c>
      <c r="M201" s="2">
        <f t="shared" si="263"/>
        <v>9</v>
      </c>
      <c r="N201" s="2">
        <f t="shared" si="263"/>
        <v>10</v>
      </c>
      <c r="O201" s="2">
        <f t="shared" si="263"/>
        <v>11</v>
      </c>
      <c r="P201" s="2">
        <f t="shared" si="263"/>
        <v>12</v>
      </c>
      <c r="Q201" s="76">
        <f t="shared" si="263"/>
        <v>13</v>
      </c>
    </row>
    <row r="202" spans="1:17" x14ac:dyDescent="0.25">
      <c r="A202" s="2">
        <v>2029</v>
      </c>
      <c r="B202" s="2">
        <v>10</v>
      </c>
      <c r="C202" s="2">
        <v>3</v>
      </c>
      <c r="D202" s="2">
        <v>3</v>
      </c>
      <c r="E202" s="2">
        <v>4</v>
      </c>
      <c r="F202" s="2">
        <v>3</v>
      </c>
      <c r="G202" s="2">
        <v>3</v>
      </c>
      <c r="H202" s="2">
        <v>2</v>
      </c>
      <c r="I202" s="2">
        <v>2</v>
      </c>
      <c r="J202" s="2">
        <v>3</v>
      </c>
      <c r="K202" s="76">
        <f t="shared" si="263"/>
        <v>14</v>
      </c>
      <c r="L202" s="2">
        <f t="shared" si="263"/>
        <v>15</v>
      </c>
      <c r="M202" s="2">
        <f t="shared" si="263"/>
        <v>16</v>
      </c>
      <c r="N202" s="2">
        <f t="shared" si="263"/>
        <v>17</v>
      </c>
      <c r="O202" s="2">
        <f t="shared" si="263"/>
        <v>18</v>
      </c>
      <c r="P202" s="2">
        <f t="shared" si="263"/>
        <v>19</v>
      </c>
      <c r="Q202" s="76">
        <f t="shared" si="263"/>
        <v>20</v>
      </c>
    </row>
    <row r="203" spans="1:17" x14ac:dyDescent="0.25">
      <c r="A203" s="2">
        <v>2029</v>
      </c>
      <c r="B203" s="2">
        <v>10</v>
      </c>
      <c r="C203" s="2">
        <v>4</v>
      </c>
      <c r="D203" s="2">
        <v>3</v>
      </c>
      <c r="E203" s="2">
        <v>3</v>
      </c>
      <c r="F203" s="2">
        <v>3</v>
      </c>
      <c r="G203" s="2">
        <v>3</v>
      </c>
      <c r="H203" s="2">
        <v>4</v>
      </c>
      <c r="I203" s="2">
        <v>3</v>
      </c>
      <c r="J203" s="2">
        <v>3</v>
      </c>
      <c r="K203" s="76">
        <f t="shared" si="263"/>
        <v>21</v>
      </c>
      <c r="L203" s="2">
        <f t="shared" si="263"/>
        <v>22</v>
      </c>
      <c r="M203" s="2">
        <f t="shared" si="263"/>
        <v>23</v>
      </c>
      <c r="N203" s="2">
        <f t="shared" si="263"/>
        <v>24</v>
      </c>
      <c r="O203" s="2">
        <f t="shared" si="263"/>
        <v>25</v>
      </c>
      <c r="P203" s="2">
        <f t="shared" si="263"/>
        <v>26</v>
      </c>
      <c r="Q203" s="76">
        <f t="shared" si="263"/>
        <v>27</v>
      </c>
    </row>
    <row r="204" spans="1:17" x14ac:dyDescent="0.25">
      <c r="A204" s="2">
        <v>2029</v>
      </c>
      <c r="B204" s="2">
        <v>10</v>
      </c>
      <c r="C204" s="2">
        <v>5</v>
      </c>
      <c r="D204" s="2">
        <v>3</v>
      </c>
      <c r="E204" s="2">
        <v>4</v>
      </c>
      <c r="F204" s="2">
        <v>3</v>
      </c>
      <c r="G204" s="2">
        <v>2</v>
      </c>
      <c r="H204" s="2">
        <v>1</v>
      </c>
      <c r="I204" s="2">
        <v>1</v>
      </c>
      <c r="J204" s="2">
        <v>1</v>
      </c>
      <c r="K204" s="76">
        <f t="shared" si="263"/>
        <v>28</v>
      </c>
      <c r="L204" s="2">
        <f t="shared" si="263"/>
        <v>29</v>
      </c>
      <c r="M204" s="2">
        <f t="shared" si="263"/>
        <v>30</v>
      </c>
      <c r="N204" s="2">
        <f t="shared" si="263"/>
        <v>31</v>
      </c>
      <c r="O204" s="77" t="str">
        <f t="shared" ref="O204:O205" si="264">IF(H204&lt;&gt;1,"ERROR!!!","")</f>
        <v/>
      </c>
      <c r="P204" s="77" t="str">
        <f t="shared" ref="P204:P205" si="265">IF(I204&lt;&gt;1,"ERROR!!!","")</f>
        <v/>
      </c>
      <c r="Q204" s="77" t="str">
        <f t="shared" ref="Q204:Q205" si="266">IF(J204&lt;&gt;1,"ERROR!!!","")</f>
        <v/>
      </c>
    </row>
    <row r="205" spans="1:17" x14ac:dyDescent="0.25">
      <c r="A205" s="2">
        <v>2029</v>
      </c>
      <c r="B205" s="2">
        <v>10</v>
      </c>
      <c r="C205" s="2">
        <v>6</v>
      </c>
      <c r="D205" s="2">
        <v>1</v>
      </c>
      <c r="E205" s="2">
        <v>1</v>
      </c>
      <c r="F205" s="2">
        <v>1</v>
      </c>
      <c r="G205" s="2">
        <v>1</v>
      </c>
      <c r="H205" s="2">
        <v>1</v>
      </c>
      <c r="I205" s="2">
        <v>1</v>
      </c>
      <c r="J205" s="2">
        <v>1</v>
      </c>
      <c r="K205" s="77" t="str">
        <f t="shared" ref="K205:K206" si="267">IF(D205&lt;&gt;1,"ERROR!!!","")</f>
        <v/>
      </c>
      <c r="L205" s="77" t="str">
        <f t="shared" ref="L205:L206" si="268">IF(E205&lt;&gt;1,"ERROR!!!","")</f>
        <v/>
      </c>
      <c r="M205" s="77" t="str">
        <f t="shared" ref="M205:M206" si="269">IF(F205&lt;&gt;1,"ERROR!!!","")</f>
        <v/>
      </c>
      <c r="N205" s="77" t="str">
        <f t="shared" ref="N205:N206" si="270">IF(G205&lt;&gt;1,"ERROR!!!","")</f>
        <v/>
      </c>
      <c r="O205" s="77" t="str">
        <f t="shared" si="264"/>
        <v/>
      </c>
      <c r="P205" s="77" t="str">
        <f t="shared" si="265"/>
        <v/>
      </c>
      <c r="Q205" s="77" t="str">
        <f t="shared" si="266"/>
        <v/>
      </c>
    </row>
    <row r="206" spans="1:17" x14ac:dyDescent="0.25">
      <c r="A206" s="2">
        <v>2029</v>
      </c>
      <c r="B206" s="2">
        <v>11</v>
      </c>
      <c r="C206" s="2">
        <v>1</v>
      </c>
      <c r="D206" s="2">
        <v>1</v>
      </c>
      <c r="E206" s="2">
        <v>1</v>
      </c>
      <c r="F206" s="2">
        <v>1</v>
      </c>
      <c r="G206" s="2">
        <v>1</v>
      </c>
      <c r="H206" s="2">
        <v>2</v>
      </c>
      <c r="I206" s="2">
        <v>2</v>
      </c>
      <c r="J206" s="2">
        <v>2</v>
      </c>
      <c r="K206" s="77" t="str">
        <f t="shared" si="267"/>
        <v/>
      </c>
      <c r="L206" s="77" t="str">
        <f t="shared" si="268"/>
        <v/>
      </c>
      <c r="M206" s="77" t="str">
        <f t="shared" si="269"/>
        <v/>
      </c>
      <c r="N206" s="77" t="str">
        <f t="shared" si="270"/>
        <v/>
      </c>
      <c r="O206" s="2">
        <f t="shared" ref="K206:Q210" si="271">_xlfn.LET(_xlpm.StartDay, WEEKDAY(DATE($A206, $B206, 1), 1),_xlpm.DayNum, (COLUMN() - COLUMN($K$206) + 1) + (ROW() - ROW($K$206)) * 7 - _xlpm.StartDay + 1,IF(AND(_xlpm.DayNum &gt; 0, _xlpm.DayNum &lt;= DAY(EOMONTH(DATE($A206, $B206, 1), 0))), _xlpm.DayNum, ""))</f>
        <v>1</v>
      </c>
      <c r="P206" s="2">
        <f t="shared" si="271"/>
        <v>2</v>
      </c>
      <c r="Q206" s="76">
        <f t="shared" si="271"/>
        <v>3</v>
      </c>
    </row>
    <row r="207" spans="1:17" x14ac:dyDescent="0.25">
      <c r="A207" s="2">
        <v>2029</v>
      </c>
      <c r="B207" s="2">
        <v>11</v>
      </c>
      <c r="C207" s="2">
        <v>2</v>
      </c>
      <c r="D207" s="2">
        <v>2</v>
      </c>
      <c r="E207" s="2">
        <v>3</v>
      </c>
      <c r="F207" s="2">
        <v>3</v>
      </c>
      <c r="G207" s="2">
        <v>3</v>
      </c>
      <c r="H207" s="2">
        <v>2</v>
      </c>
      <c r="I207" s="2">
        <v>2</v>
      </c>
      <c r="J207" s="2">
        <v>3</v>
      </c>
      <c r="K207" s="76">
        <f t="shared" si="271"/>
        <v>4</v>
      </c>
      <c r="L207" s="2">
        <f t="shared" si="271"/>
        <v>5</v>
      </c>
      <c r="M207" s="2">
        <f t="shared" si="271"/>
        <v>6</v>
      </c>
      <c r="N207" s="2">
        <f t="shared" si="271"/>
        <v>7</v>
      </c>
      <c r="O207" s="2">
        <f t="shared" si="271"/>
        <v>8</v>
      </c>
      <c r="P207" s="2">
        <f t="shared" si="271"/>
        <v>9</v>
      </c>
      <c r="Q207" s="76">
        <f t="shared" si="271"/>
        <v>10</v>
      </c>
    </row>
    <row r="208" spans="1:17" x14ac:dyDescent="0.25">
      <c r="A208" s="2">
        <v>2029</v>
      </c>
      <c r="B208" s="2">
        <v>11</v>
      </c>
      <c r="C208" s="2">
        <v>3</v>
      </c>
      <c r="D208" s="2">
        <v>2</v>
      </c>
      <c r="E208" s="2">
        <v>4</v>
      </c>
      <c r="F208" s="2">
        <v>3</v>
      </c>
      <c r="G208" s="2">
        <v>3</v>
      </c>
      <c r="H208" s="2">
        <v>3</v>
      </c>
      <c r="I208" s="2">
        <v>2</v>
      </c>
      <c r="J208" s="2">
        <v>3</v>
      </c>
      <c r="K208" s="76">
        <f t="shared" si="271"/>
        <v>11</v>
      </c>
      <c r="L208" s="2">
        <f t="shared" si="271"/>
        <v>12</v>
      </c>
      <c r="M208" s="2">
        <f t="shared" si="271"/>
        <v>13</v>
      </c>
      <c r="N208" s="2">
        <f t="shared" si="271"/>
        <v>14</v>
      </c>
      <c r="O208" s="2">
        <f t="shared" si="271"/>
        <v>15</v>
      </c>
      <c r="P208" s="2">
        <f t="shared" si="271"/>
        <v>16</v>
      </c>
      <c r="Q208" s="76">
        <f t="shared" si="271"/>
        <v>17</v>
      </c>
    </row>
    <row r="209" spans="1:17" x14ac:dyDescent="0.25">
      <c r="A209" s="2">
        <v>2029</v>
      </c>
      <c r="B209" s="2">
        <v>11</v>
      </c>
      <c r="C209" s="2">
        <v>4</v>
      </c>
      <c r="D209" s="2">
        <v>2</v>
      </c>
      <c r="E209" s="2">
        <v>4</v>
      </c>
      <c r="F209" s="2">
        <v>2</v>
      </c>
      <c r="G209" s="2">
        <v>4</v>
      </c>
      <c r="H209" s="2">
        <v>4</v>
      </c>
      <c r="I209" s="2">
        <v>3</v>
      </c>
      <c r="J209" s="2">
        <v>2</v>
      </c>
      <c r="K209" s="76">
        <f t="shared" si="271"/>
        <v>18</v>
      </c>
      <c r="L209" s="2">
        <f t="shared" si="271"/>
        <v>19</v>
      </c>
      <c r="M209" s="2">
        <f t="shared" si="271"/>
        <v>20</v>
      </c>
      <c r="N209" s="2">
        <f t="shared" si="271"/>
        <v>21</v>
      </c>
      <c r="O209" s="2">
        <f t="shared" si="271"/>
        <v>22</v>
      </c>
      <c r="P209" s="2">
        <f t="shared" si="271"/>
        <v>23</v>
      </c>
      <c r="Q209" s="76">
        <f t="shared" si="271"/>
        <v>24</v>
      </c>
    </row>
    <row r="210" spans="1:17" x14ac:dyDescent="0.25">
      <c r="A210" s="2">
        <v>2029</v>
      </c>
      <c r="B210" s="2">
        <v>11</v>
      </c>
      <c r="C210" s="2">
        <v>5</v>
      </c>
      <c r="D210" s="2">
        <v>2</v>
      </c>
      <c r="E210" s="2">
        <v>4</v>
      </c>
      <c r="F210" s="2">
        <v>2</v>
      </c>
      <c r="G210" s="2">
        <v>2</v>
      </c>
      <c r="H210" s="2">
        <v>2</v>
      </c>
      <c r="I210" s="2">
        <v>2</v>
      </c>
      <c r="J210" s="2">
        <v>1</v>
      </c>
      <c r="K210" s="76">
        <f t="shared" si="271"/>
        <v>25</v>
      </c>
      <c r="L210" s="2">
        <f t="shared" si="271"/>
        <v>26</v>
      </c>
      <c r="M210" s="2">
        <f t="shared" si="271"/>
        <v>27</v>
      </c>
      <c r="N210" s="2">
        <f t="shared" si="271"/>
        <v>28</v>
      </c>
      <c r="O210" s="2">
        <f t="shared" si="271"/>
        <v>29</v>
      </c>
      <c r="P210" s="2">
        <f t="shared" si="271"/>
        <v>30</v>
      </c>
      <c r="Q210" s="77" t="str">
        <f t="shared" ref="Q210:Q211" si="272">IF(J210&lt;&gt;1,"ERROR!!!","")</f>
        <v/>
      </c>
    </row>
    <row r="211" spans="1:17" x14ac:dyDescent="0.25">
      <c r="A211" s="2">
        <v>2029</v>
      </c>
      <c r="B211" s="2">
        <v>11</v>
      </c>
      <c r="C211" s="2">
        <v>6</v>
      </c>
      <c r="D211" s="2">
        <v>1</v>
      </c>
      <c r="E211" s="2">
        <v>1</v>
      </c>
      <c r="F211" s="2">
        <v>1</v>
      </c>
      <c r="G211" s="2">
        <v>1</v>
      </c>
      <c r="H211" s="2">
        <v>1</v>
      </c>
      <c r="I211" s="2">
        <v>1</v>
      </c>
      <c r="J211" s="2">
        <v>1</v>
      </c>
      <c r="K211" s="77" t="str">
        <f t="shared" ref="K211:K212" si="273">IF(D211&lt;&gt;1,"ERROR!!!","")</f>
        <v/>
      </c>
      <c r="L211" s="77" t="str">
        <f t="shared" ref="L211:L212" si="274">IF(E211&lt;&gt;1,"ERROR!!!","")</f>
        <v/>
      </c>
      <c r="M211" s="77" t="str">
        <f t="shared" ref="M211:M212" si="275">IF(F211&lt;&gt;1,"ERROR!!!","")</f>
        <v/>
      </c>
      <c r="N211" s="77" t="str">
        <f t="shared" ref="N211:N212" si="276">IF(G211&lt;&gt;1,"ERROR!!!","")</f>
        <v/>
      </c>
      <c r="O211" s="77" t="str">
        <f t="shared" ref="O211:O212" si="277">IF(H211&lt;&gt;1,"ERROR!!!","")</f>
        <v/>
      </c>
      <c r="P211" s="77" t="str">
        <f t="shared" ref="P211:P212" si="278">IF(I211&lt;&gt;1,"ERROR!!!","")</f>
        <v/>
      </c>
      <c r="Q211" s="77" t="str">
        <f t="shared" si="272"/>
        <v/>
      </c>
    </row>
    <row r="212" spans="1:17" x14ac:dyDescent="0.25">
      <c r="A212" s="2">
        <v>2029</v>
      </c>
      <c r="B212" s="2">
        <v>12</v>
      </c>
      <c r="C212" s="2">
        <v>1</v>
      </c>
      <c r="D212" s="2">
        <v>1</v>
      </c>
      <c r="E212" s="2">
        <v>1</v>
      </c>
      <c r="F212" s="2">
        <v>1</v>
      </c>
      <c r="G212" s="2">
        <v>1</v>
      </c>
      <c r="H212" s="2">
        <v>1</v>
      </c>
      <c r="I212" s="2">
        <v>1</v>
      </c>
      <c r="J212" s="2">
        <v>4</v>
      </c>
      <c r="K212" s="77" t="str">
        <f t="shared" si="273"/>
        <v/>
      </c>
      <c r="L212" s="77" t="str">
        <f t="shared" si="274"/>
        <v/>
      </c>
      <c r="M212" s="77" t="str">
        <f t="shared" si="275"/>
        <v/>
      </c>
      <c r="N212" s="77" t="str">
        <f t="shared" si="276"/>
        <v/>
      </c>
      <c r="O212" s="77" t="str">
        <f t="shared" si="277"/>
        <v/>
      </c>
      <c r="P212" s="77" t="str">
        <f t="shared" si="278"/>
        <v/>
      </c>
      <c r="Q212" s="76">
        <f t="shared" ref="K212:Q217" si="279">_xlfn.LET(_xlpm.StartDay, WEEKDAY(DATE($A212, $B212, 1), 1),_xlpm.DayNum, (COLUMN() - COLUMN($K$212) + 1) + (ROW() - ROW($K$212)) * 7 - _xlpm.StartDay + 1,IF(AND(_xlpm.DayNum &gt; 0, _xlpm.DayNum &lt;= DAY(EOMONTH(DATE($A212, $B212, 1), 0))), _xlpm.DayNum, ""))</f>
        <v>1</v>
      </c>
    </row>
    <row r="213" spans="1:17" x14ac:dyDescent="0.25">
      <c r="A213" s="2">
        <v>2029</v>
      </c>
      <c r="B213" s="2">
        <v>12</v>
      </c>
      <c r="C213" s="2">
        <v>2</v>
      </c>
      <c r="D213" s="2">
        <v>2</v>
      </c>
      <c r="E213" s="2">
        <v>2</v>
      </c>
      <c r="F213" s="2">
        <v>2</v>
      </c>
      <c r="G213" s="2">
        <v>3</v>
      </c>
      <c r="H213" s="2">
        <v>2</v>
      </c>
      <c r="I213" s="2">
        <v>2</v>
      </c>
      <c r="J213" s="2">
        <v>4</v>
      </c>
      <c r="K213" s="76">
        <f t="shared" si="279"/>
        <v>2</v>
      </c>
      <c r="L213" s="2">
        <f t="shared" si="279"/>
        <v>3</v>
      </c>
      <c r="M213" s="2">
        <f t="shared" si="279"/>
        <v>4</v>
      </c>
      <c r="N213" s="2">
        <f t="shared" si="279"/>
        <v>5</v>
      </c>
      <c r="O213" s="2">
        <f t="shared" si="279"/>
        <v>6</v>
      </c>
      <c r="P213" s="2">
        <f t="shared" si="279"/>
        <v>7</v>
      </c>
      <c r="Q213" s="76">
        <f t="shared" si="279"/>
        <v>8</v>
      </c>
    </row>
    <row r="214" spans="1:17" x14ac:dyDescent="0.25">
      <c r="A214" s="2">
        <v>2029</v>
      </c>
      <c r="B214" s="2">
        <v>12</v>
      </c>
      <c r="C214" s="2">
        <v>3</v>
      </c>
      <c r="D214" s="2">
        <v>2</v>
      </c>
      <c r="E214" s="2">
        <v>3</v>
      </c>
      <c r="F214" s="2">
        <v>4</v>
      </c>
      <c r="G214" s="2">
        <v>3</v>
      </c>
      <c r="H214" s="2">
        <v>3</v>
      </c>
      <c r="I214" s="2">
        <v>3</v>
      </c>
      <c r="J214" s="2">
        <v>2</v>
      </c>
      <c r="K214" s="76">
        <f t="shared" si="279"/>
        <v>9</v>
      </c>
      <c r="L214" s="2">
        <f t="shared" si="279"/>
        <v>10</v>
      </c>
      <c r="M214" s="2">
        <f t="shared" si="279"/>
        <v>11</v>
      </c>
      <c r="N214" s="2">
        <f t="shared" si="279"/>
        <v>12</v>
      </c>
      <c r="O214" s="2">
        <f t="shared" si="279"/>
        <v>13</v>
      </c>
      <c r="P214" s="2">
        <f t="shared" si="279"/>
        <v>14</v>
      </c>
      <c r="Q214" s="76">
        <f t="shared" si="279"/>
        <v>15</v>
      </c>
    </row>
    <row r="215" spans="1:17" x14ac:dyDescent="0.25">
      <c r="A215" s="2">
        <v>2029</v>
      </c>
      <c r="B215" s="2">
        <v>12</v>
      </c>
      <c r="C215" s="2">
        <v>4</v>
      </c>
      <c r="D215" s="2">
        <v>3</v>
      </c>
      <c r="E215" s="2">
        <v>2</v>
      </c>
      <c r="F215" s="2">
        <v>3</v>
      </c>
      <c r="G215" s="2">
        <v>3</v>
      </c>
      <c r="H215" s="2">
        <v>2</v>
      </c>
      <c r="I215" s="2">
        <v>2</v>
      </c>
      <c r="J215" s="2">
        <v>4</v>
      </c>
      <c r="K215" s="76">
        <f t="shared" si="279"/>
        <v>16</v>
      </c>
      <c r="L215" s="2">
        <f t="shared" si="279"/>
        <v>17</v>
      </c>
      <c r="M215" s="2">
        <f t="shared" si="279"/>
        <v>18</v>
      </c>
      <c r="N215" s="2">
        <f t="shared" si="279"/>
        <v>19</v>
      </c>
      <c r="O215" s="2">
        <f t="shared" si="279"/>
        <v>20</v>
      </c>
      <c r="P215" s="2">
        <f t="shared" si="279"/>
        <v>21</v>
      </c>
      <c r="Q215" s="76">
        <f t="shared" si="279"/>
        <v>22</v>
      </c>
    </row>
    <row r="216" spans="1:17" x14ac:dyDescent="0.25">
      <c r="A216" s="2">
        <v>2029</v>
      </c>
      <c r="B216" s="2">
        <v>12</v>
      </c>
      <c r="C216" s="2">
        <v>5</v>
      </c>
      <c r="D216" s="2">
        <v>4</v>
      </c>
      <c r="E216" s="2">
        <v>4</v>
      </c>
      <c r="F216" s="2">
        <v>2</v>
      </c>
      <c r="G216" s="2">
        <v>4</v>
      </c>
      <c r="H216" s="2">
        <v>2</v>
      </c>
      <c r="I216" s="2">
        <v>3</v>
      </c>
      <c r="J216" s="2">
        <v>2</v>
      </c>
      <c r="K216" s="76">
        <f t="shared" si="279"/>
        <v>23</v>
      </c>
      <c r="L216" s="2">
        <f t="shared" si="279"/>
        <v>24</v>
      </c>
      <c r="M216" s="2">
        <f t="shared" si="279"/>
        <v>25</v>
      </c>
      <c r="N216" s="2">
        <f t="shared" si="279"/>
        <v>26</v>
      </c>
      <c r="O216" s="2">
        <f t="shared" si="279"/>
        <v>27</v>
      </c>
      <c r="P216" s="2">
        <f t="shared" si="279"/>
        <v>28</v>
      </c>
      <c r="Q216" s="76">
        <f t="shared" si="279"/>
        <v>29</v>
      </c>
    </row>
    <row r="217" spans="1:17" x14ac:dyDescent="0.25">
      <c r="A217" s="2">
        <v>2029</v>
      </c>
      <c r="B217" s="2">
        <v>12</v>
      </c>
      <c r="C217" s="2">
        <v>6</v>
      </c>
      <c r="D217" s="2">
        <v>2</v>
      </c>
      <c r="E217" s="2">
        <v>2</v>
      </c>
      <c r="F217" s="2">
        <v>1</v>
      </c>
      <c r="G217" s="2">
        <v>1</v>
      </c>
      <c r="H217" s="2">
        <v>1</v>
      </c>
      <c r="I217" s="2">
        <v>1</v>
      </c>
      <c r="J217" s="2">
        <v>1</v>
      </c>
      <c r="K217" s="76">
        <f t="shared" si="279"/>
        <v>30</v>
      </c>
      <c r="L217" s="2">
        <f t="shared" si="279"/>
        <v>31</v>
      </c>
      <c r="M217" s="77" t="str">
        <f t="shared" ref="M217" si="280">IF(F217&lt;&gt;1,"ERROR!!!","")</f>
        <v/>
      </c>
      <c r="N217" s="77" t="str">
        <f t="shared" ref="N217" si="281">IF(G217&lt;&gt;1,"ERROR!!!","")</f>
        <v/>
      </c>
      <c r="O217" s="77" t="str">
        <f t="shared" ref="O217" si="282">IF(H217&lt;&gt;1,"ERROR!!!","")</f>
        <v/>
      </c>
      <c r="P217" s="77" t="str">
        <f t="shared" ref="P217" si="283">IF(I217&lt;&gt;1,"ERROR!!!","")</f>
        <v/>
      </c>
      <c r="Q217" s="77" t="str">
        <f t="shared" ref="Q217" si="284">IF(J217&lt;&gt;1,"ERROR!!!","")</f>
        <v/>
      </c>
    </row>
    <row r="218" spans="1:17" x14ac:dyDescent="0.25">
      <c r="A218" s="2">
        <v>2030</v>
      </c>
      <c r="B218" s="2">
        <v>1</v>
      </c>
      <c r="C218" s="2">
        <v>1</v>
      </c>
      <c r="D218" s="2">
        <v>1</v>
      </c>
      <c r="E218" s="2">
        <v>1</v>
      </c>
      <c r="F218" s="2">
        <v>2</v>
      </c>
      <c r="G218" s="2">
        <v>2</v>
      </c>
      <c r="H218" s="2">
        <v>2</v>
      </c>
      <c r="I218" s="2">
        <v>2</v>
      </c>
      <c r="J218" s="2">
        <v>4</v>
      </c>
      <c r="K218" s="77" t="str">
        <f t="shared" ref="K218" si="285">IF(D218&lt;&gt;1,"ERROR!!!","")</f>
        <v/>
      </c>
      <c r="L218" s="77" t="str">
        <f t="shared" ref="L218" si="286">IF(E218&lt;&gt;1,"ERROR!!!","")</f>
        <v/>
      </c>
      <c r="M218" s="2">
        <f t="shared" ref="K218:Q222" si="287">_xlfn.LET(_xlpm.StartDay, WEEKDAY(DATE($A218, $B218, 1), 1),_xlpm.DayNum, (COLUMN() - COLUMN($K$218) + 1) + (ROW() - ROW($K$218)) * 7 - _xlpm.StartDay + 1,IF(AND(_xlpm.DayNum &gt; 0, _xlpm.DayNum &lt;= DAY(EOMONTH(DATE($A218, $B218, 1), 0))), _xlpm.DayNum, ""))</f>
        <v>1</v>
      </c>
      <c r="N218" s="2">
        <f t="shared" si="287"/>
        <v>2</v>
      </c>
      <c r="O218" s="2">
        <f t="shared" si="287"/>
        <v>3</v>
      </c>
      <c r="P218" s="2">
        <f t="shared" si="287"/>
        <v>4</v>
      </c>
      <c r="Q218" s="76">
        <f t="shared" si="287"/>
        <v>5</v>
      </c>
    </row>
    <row r="219" spans="1:17" x14ac:dyDescent="0.25">
      <c r="A219" s="2">
        <v>2030</v>
      </c>
      <c r="B219" s="2">
        <v>1</v>
      </c>
      <c r="C219" s="2">
        <v>2</v>
      </c>
      <c r="D219" s="2">
        <v>3</v>
      </c>
      <c r="E219" s="2">
        <v>3</v>
      </c>
      <c r="F219" s="2">
        <v>3</v>
      </c>
      <c r="G219" s="2">
        <v>3</v>
      </c>
      <c r="H219" s="2">
        <v>2</v>
      </c>
      <c r="I219" s="2">
        <v>2</v>
      </c>
      <c r="J219" s="2">
        <v>3</v>
      </c>
      <c r="K219" s="76">
        <f t="shared" si="287"/>
        <v>6</v>
      </c>
      <c r="L219" s="2">
        <f t="shared" si="287"/>
        <v>7</v>
      </c>
      <c r="M219" s="2">
        <f t="shared" si="287"/>
        <v>8</v>
      </c>
      <c r="N219" s="2">
        <f t="shared" si="287"/>
        <v>9</v>
      </c>
      <c r="O219" s="2">
        <f t="shared" si="287"/>
        <v>10</v>
      </c>
      <c r="P219" s="2">
        <f t="shared" si="287"/>
        <v>11</v>
      </c>
      <c r="Q219" s="76">
        <f t="shared" si="287"/>
        <v>12</v>
      </c>
    </row>
    <row r="220" spans="1:17" x14ac:dyDescent="0.25">
      <c r="A220" s="2">
        <v>2030</v>
      </c>
      <c r="B220" s="2">
        <v>1</v>
      </c>
      <c r="C220" s="2">
        <v>3</v>
      </c>
      <c r="D220" s="2">
        <v>2</v>
      </c>
      <c r="E220" s="2">
        <v>2</v>
      </c>
      <c r="F220" s="2">
        <v>4</v>
      </c>
      <c r="G220" s="2">
        <v>3</v>
      </c>
      <c r="H220" s="2">
        <v>2</v>
      </c>
      <c r="I220" s="2">
        <v>2</v>
      </c>
      <c r="J220" s="2">
        <v>3</v>
      </c>
      <c r="K220" s="76">
        <f t="shared" si="287"/>
        <v>13</v>
      </c>
      <c r="L220" s="2">
        <f t="shared" si="287"/>
        <v>14</v>
      </c>
      <c r="M220" s="2">
        <f t="shared" si="287"/>
        <v>15</v>
      </c>
      <c r="N220" s="2">
        <f t="shared" si="287"/>
        <v>16</v>
      </c>
      <c r="O220" s="2">
        <f t="shared" si="287"/>
        <v>17</v>
      </c>
      <c r="P220" s="2">
        <f t="shared" si="287"/>
        <v>18</v>
      </c>
      <c r="Q220" s="76">
        <f t="shared" si="287"/>
        <v>19</v>
      </c>
    </row>
    <row r="221" spans="1:17" x14ac:dyDescent="0.25">
      <c r="A221" s="2">
        <v>2030</v>
      </c>
      <c r="B221" s="2">
        <v>1</v>
      </c>
      <c r="C221" s="2">
        <v>4</v>
      </c>
      <c r="D221" s="2">
        <v>4</v>
      </c>
      <c r="E221" s="2">
        <v>3</v>
      </c>
      <c r="F221" s="2">
        <v>2</v>
      </c>
      <c r="G221" s="2">
        <v>3</v>
      </c>
      <c r="H221" s="2">
        <v>2</v>
      </c>
      <c r="I221" s="2">
        <v>3</v>
      </c>
      <c r="J221" s="2">
        <v>2</v>
      </c>
      <c r="K221" s="76">
        <f t="shared" si="287"/>
        <v>20</v>
      </c>
      <c r="L221" s="2">
        <f t="shared" si="287"/>
        <v>21</v>
      </c>
      <c r="M221" s="2">
        <f t="shared" si="287"/>
        <v>22</v>
      </c>
      <c r="N221" s="2">
        <f t="shared" si="287"/>
        <v>23</v>
      </c>
      <c r="O221" s="2">
        <f t="shared" si="287"/>
        <v>24</v>
      </c>
      <c r="P221" s="2">
        <f t="shared" si="287"/>
        <v>25</v>
      </c>
      <c r="Q221" s="76">
        <f t="shared" si="287"/>
        <v>26</v>
      </c>
    </row>
    <row r="222" spans="1:17" x14ac:dyDescent="0.25">
      <c r="A222" s="2">
        <v>2030</v>
      </c>
      <c r="B222" s="2">
        <v>1</v>
      </c>
      <c r="C222" s="2">
        <v>5</v>
      </c>
      <c r="D222" s="2">
        <v>2</v>
      </c>
      <c r="E222" s="2">
        <v>2</v>
      </c>
      <c r="F222" s="2">
        <v>3</v>
      </c>
      <c r="G222" s="2">
        <v>2</v>
      </c>
      <c r="H222" s="2">
        <v>2</v>
      </c>
      <c r="I222" s="2">
        <v>1</v>
      </c>
      <c r="J222" s="2">
        <v>1</v>
      </c>
      <c r="K222" s="76">
        <f t="shared" si="287"/>
        <v>27</v>
      </c>
      <c r="L222" s="2">
        <f t="shared" si="287"/>
        <v>28</v>
      </c>
      <c r="M222" s="2">
        <f t="shared" si="287"/>
        <v>29</v>
      </c>
      <c r="N222" s="2">
        <f t="shared" si="287"/>
        <v>30</v>
      </c>
      <c r="O222" s="2">
        <f t="shared" si="287"/>
        <v>31</v>
      </c>
      <c r="P222" s="77" t="str">
        <f t="shared" ref="P222:P223" si="288">IF(I222&lt;&gt;1,"ERROR!!!","")</f>
        <v/>
      </c>
      <c r="Q222" s="77" t="str">
        <f t="shared" ref="Q222:Q223" si="289">IF(J222&lt;&gt;1,"ERROR!!!","")</f>
        <v/>
      </c>
    </row>
    <row r="223" spans="1:17" x14ac:dyDescent="0.25">
      <c r="A223" s="2">
        <v>2030</v>
      </c>
      <c r="B223" s="2">
        <v>1</v>
      </c>
      <c r="C223" s="2">
        <v>6</v>
      </c>
      <c r="D223" s="2">
        <v>1</v>
      </c>
      <c r="E223" s="2">
        <v>1</v>
      </c>
      <c r="F223" s="2">
        <v>1</v>
      </c>
      <c r="G223" s="2">
        <v>1</v>
      </c>
      <c r="H223" s="2">
        <v>1</v>
      </c>
      <c r="I223" s="2">
        <v>1</v>
      </c>
      <c r="J223" s="2">
        <v>1</v>
      </c>
      <c r="K223" s="77" t="str">
        <f t="shared" ref="K223:K224" si="290">IF(D223&lt;&gt;1,"ERROR!!!","")</f>
        <v/>
      </c>
      <c r="L223" s="77" t="str">
        <f t="shared" ref="L223:L224" si="291">IF(E223&lt;&gt;1,"ERROR!!!","")</f>
        <v/>
      </c>
      <c r="M223" s="77" t="str">
        <f t="shared" ref="M223:M224" si="292">IF(F223&lt;&gt;1,"ERROR!!!","")</f>
        <v/>
      </c>
      <c r="N223" s="77" t="str">
        <f t="shared" ref="N223:N224" si="293">IF(G223&lt;&gt;1,"ERROR!!!","")</f>
        <v/>
      </c>
      <c r="O223" s="77" t="str">
        <f t="shared" ref="O223:O224" si="294">IF(H223&lt;&gt;1,"ERROR!!!","")</f>
        <v/>
      </c>
      <c r="P223" s="77" t="str">
        <f t="shared" si="288"/>
        <v/>
      </c>
      <c r="Q223" s="77" t="str">
        <f t="shared" si="289"/>
        <v/>
      </c>
    </row>
    <row r="224" spans="1:17" x14ac:dyDescent="0.25">
      <c r="A224" s="2">
        <v>2030</v>
      </c>
      <c r="B224" s="2">
        <v>2</v>
      </c>
      <c r="C224" s="2">
        <v>1</v>
      </c>
      <c r="D224" s="2">
        <v>1</v>
      </c>
      <c r="E224" s="2">
        <v>1</v>
      </c>
      <c r="F224" s="2">
        <v>1</v>
      </c>
      <c r="G224" s="2">
        <v>1</v>
      </c>
      <c r="H224" s="2">
        <v>1</v>
      </c>
      <c r="I224" s="2">
        <v>4</v>
      </c>
      <c r="J224" s="2">
        <v>3</v>
      </c>
      <c r="K224" s="77" t="str">
        <f t="shared" si="290"/>
        <v/>
      </c>
      <c r="L224" s="77" t="str">
        <f t="shared" si="291"/>
        <v/>
      </c>
      <c r="M224" s="77" t="str">
        <f t="shared" si="292"/>
        <v/>
      </c>
      <c r="N224" s="77" t="str">
        <f t="shared" si="293"/>
        <v/>
      </c>
      <c r="O224" s="77" t="str">
        <f t="shared" si="294"/>
        <v/>
      </c>
      <c r="P224" s="2">
        <f t="shared" ref="K224:Q228" si="295">_xlfn.LET(_xlpm.StartDay, WEEKDAY(DATE($A224, $B224, 1), 1),_xlpm.DayNum, (COLUMN() - COLUMN($K$224) + 1) + (ROW() - ROW($K$224)) * 7 - _xlpm.StartDay + 1,IF(AND(_xlpm.DayNum &gt; 0, _xlpm.DayNum &lt;= DAY(EOMONTH(DATE($A224, $B224, 1), 0))), _xlpm.DayNum, ""))</f>
        <v>1</v>
      </c>
      <c r="Q224" s="76">
        <f t="shared" si="295"/>
        <v>2</v>
      </c>
    </row>
    <row r="225" spans="1:17" x14ac:dyDescent="0.25">
      <c r="A225" s="2">
        <v>2030</v>
      </c>
      <c r="B225" s="2">
        <v>2</v>
      </c>
      <c r="C225" s="2">
        <v>2</v>
      </c>
      <c r="D225" s="2">
        <v>3</v>
      </c>
      <c r="E225" s="2">
        <v>3</v>
      </c>
      <c r="F225" s="2">
        <v>2</v>
      </c>
      <c r="G225" s="2">
        <v>2</v>
      </c>
      <c r="H225" s="2">
        <v>2</v>
      </c>
      <c r="I225" s="2">
        <v>3</v>
      </c>
      <c r="J225" s="2">
        <v>2</v>
      </c>
      <c r="K225" s="76">
        <f t="shared" si="295"/>
        <v>3</v>
      </c>
      <c r="L225" s="2">
        <f t="shared" si="295"/>
        <v>4</v>
      </c>
      <c r="M225" s="2">
        <f t="shared" si="295"/>
        <v>5</v>
      </c>
      <c r="N225" s="2">
        <f t="shared" si="295"/>
        <v>6</v>
      </c>
      <c r="O225" s="2">
        <f t="shared" si="295"/>
        <v>7</v>
      </c>
      <c r="P225" s="2">
        <f t="shared" si="295"/>
        <v>8</v>
      </c>
      <c r="Q225" s="76">
        <f t="shared" si="295"/>
        <v>9</v>
      </c>
    </row>
    <row r="226" spans="1:17" x14ac:dyDescent="0.25">
      <c r="A226" s="2">
        <v>2030</v>
      </c>
      <c r="B226" s="2">
        <v>2</v>
      </c>
      <c r="C226" s="2">
        <v>3</v>
      </c>
      <c r="D226" s="2">
        <v>2</v>
      </c>
      <c r="E226" s="2">
        <v>3</v>
      </c>
      <c r="F226" s="2">
        <v>3</v>
      </c>
      <c r="G226" s="2">
        <v>4</v>
      </c>
      <c r="H226" s="2">
        <v>2</v>
      </c>
      <c r="I226" s="2">
        <v>2</v>
      </c>
      <c r="J226" s="2">
        <v>3</v>
      </c>
      <c r="K226" s="76">
        <f t="shared" si="295"/>
        <v>10</v>
      </c>
      <c r="L226" s="2">
        <f t="shared" si="295"/>
        <v>11</v>
      </c>
      <c r="M226" s="2">
        <f t="shared" si="295"/>
        <v>12</v>
      </c>
      <c r="N226" s="2">
        <f t="shared" si="295"/>
        <v>13</v>
      </c>
      <c r="O226" s="2">
        <f t="shared" si="295"/>
        <v>14</v>
      </c>
      <c r="P226" s="2">
        <f t="shared" si="295"/>
        <v>15</v>
      </c>
      <c r="Q226" s="76">
        <f t="shared" si="295"/>
        <v>16</v>
      </c>
    </row>
    <row r="227" spans="1:17" x14ac:dyDescent="0.25">
      <c r="A227" s="2">
        <v>2030</v>
      </c>
      <c r="B227" s="2">
        <v>2</v>
      </c>
      <c r="C227" s="2">
        <v>4</v>
      </c>
      <c r="D227" s="2">
        <v>3</v>
      </c>
      <c r="E227" s="2">
        <v>2</v>
      </c>
      <c r="F227" s="2">
        <v>3</v>
      </c>
      <c r="G227" s="2">
        <v>2</v>
      </c>
      <c r="H227" s="2">
        <v>4</v>
      </c>
      <c r="I227" s="2">
        <v>3</v>
      </c>
      <c r="J227" s="2">
        <v>2</v>
      </c>
      <c r="K227" s="76">
        <f t="shared" si="295"/>
        <v>17</v>
      </c>
      <c r="L227" s="2">
        <f t="shared" si="295"/>
        <v>18</v>
      </c>
      <c r="M227" s="2">
        <f t="shared" si="295"/>
        <v>19</v>
      </c>
      <c r="N227" s="2">
        <f t="shared" si="295"/>
        <v>20</v>
      </c>
      <c r="O227" s="2">
        <f t="shared" si="295"/>
        <v>21</v>
      </c>
      <c r="P227" s="2">
        <f t="shared" si="295"/>
        <v>22</v>
      </c>
      <c r="Q227" s="76">
        <f t="shared" si="295"/>
        <v>23</v>
      </c>
    </row>
    <row r="228" spans="1:17" x14ac:dyDescent="0.25">
      <c r="A228" s="2">
        <v>2030</v>
      </c>
      <c r="B228" s="2">
        <v>2</v>
      </c>
      <c r="C228" s="2">
        <v>5</v>
      </c>
      <c r="D228" s="2">
        <v>3</v>
      </c>
      <c r="E228" s="2">
        <v>2</v>
      </c>
      <c r="F228" s="2">
        <v>3</v>
      </c>
      <c r="G228" s="2">
        <v>2</v>
      </c>
      <c r="H228" s="2">
        <v>2</v>
      </c>
      <c r="I228" s="2">
        <v>1</v>
      </c>
      <c r="J228" s="2">
        <v>1</v>
      </c>
      <c r="K228" s="76">
        <f t="shared" si="295"/>
        <v>24</v>
      </c>
      <c r="L228" s="2">
        <f t="shared" si="295"/>
        <v>25</v>
      </c>
      <c r="M228" s="2">
        <f t="shared" si="295"/>
        <v>26</v>
      </c>
      <c r="N228" s="2">
        <f t="shared" si="295"/>
        <v>27</v>
      </c>
      <c r="O228" s="2">
        <f t="shared" si="295"/>
        <v>28</v>
      </c>
      <c r="P228" s="77" t="str">
        <f t="shared" ref="P228:P229" si="296">IF(I228&lt;&gt;1,"ERROR!!!","")</f>
        <v/>
      </c>
      <c r="Q228" s="77" t="str">
        <f t="shared" ref="Q228:Q229" si="297">IF(J228&lt;&gt;1,"ERROR!!!","")</f>
        <v/>
      </c>
    </row>
    <row r="229" spans="1:17" x14ac:dyDescent="0.25">
      <c r="A229" s="2">
        <v>2030</v>
      </c>
      <c r="B229" s="2">
        <v>2</v>
      </c>
      <c r="C229" s="2">
        <v>6</v>
      </c>
      <c r="D229" s="2">
        <v>1</v>
      </c>
      <c r="E229" s="2">
        <v>1</v>
      </c>
      <c r="F229" s="2">
        <v>1</v>
      </c>
      <c r="G229" s="2">
        <v>1</v>
      </c>
      <c r="H229" s="2">
        <v>1</v>
      </c>
      <c r="I229" s="2">
        <v>1</v>
      </c>
      <c r="J229" s="2">
        <v>1</v>
      </c>
      <c r="K229" s="77" t="str">
        <f t="shared" ref="K229:K230" si="298">IF(D229&lt;&gt;1,"ERROR!!!","")</f>
        <v/>
      </c>
      <c r="L229" s="77" t="str">
        <f t="shared" ref="L229:L230" si="299">IF(E229&lt;&gt;1,"ERROR!!!","")</f>
        <v/>
      </c>
      <c r="M229" s="77" t="str">
        <f t="shared" ref="M229:M230" si="300">IF(F229&lt;&gt;1,"ERROR!!!","")</f>
        <v/>
      </c>
      <c r="N229" s="77" t="str">
        <f t="shared" ref="N229:N230" si="301">IF(G229&lt;&gt;1,"ERROR!!!","")</f>
        <v/>
      </c>
      <c r="O229" s="77" t="str">
        <f t="shared" ref="O229:O230" si="302">IF(H229&lt;&gt;1,"ERROR!!!","")</f>
        <v/>
      </c>
      <c r="P229" s="77" t="str">
        <f t="shared" si="296"/>
        <v/>
      </c>
      <c r="Q229" s="77" t="str">
        <f t="shared" si="297"/>
        <v/>
      </c>
    </row>
    <row r="230" spans="1:17" x14ac:dyDescent="0.25">
      <c r="A230" s="2">
        <v>2030</v>
      </c>
      <c r="B230" s="2">
        <v>3</v>
      </c>
      <c r="C230" s="2">
        <v>1</v>
      </c>
      <c r="D230" s="2">
        <v>1</v>
      </c>
      <c r="E230" s="2">
        <v>1</v>
      </c>
      <c r="F230" s="2">
        <v>1</v>
      </c>
      <c r="G230" s="2">
        <v>1</v>
      </c>
      <c r="H230" s="2">
        <v>1</v>
      </c>
      <c r="I230" s="2">
        <v>3</v>
      </c>
      <c r="J230" s="2">
        <v>3</v>
      </c>
      <c r="K230" s="77" t="str">
        <f t="shared" si="298"/>
        <v/>
      </c>
      <c r="L230" s="77" t="str">
        <f t="shared" si="299"/>
        <v/>
      </c>
      <c r="M230" s="77" t="str">
        <f t="shared" si="300"/>
        <v/>
      </c>
      <c r="N230" s="77" t="str">
        <f t="shared" si="301"/>
        <v/>
      </c>
      <c r="O230" s="77" t="str">
        <f t="shared" si="302"/>
        <v/>
      </c>
      <c r="P230" s="2">
        <f t="shared" ref="K230:Q235" si="303">_xlfn.LET(_xlpm.StartDay, WEEKDAY(DATE($A230, $B230, 1), 1),_xlpm.DayNum, (COLUMN() - COLUMN($K$230) + 1) + (ROW() - ROW($K$230)) * 7 - _xlpm.StartDay + 1,IF(AND(_xlpm.DayNum &gt; 0, _xlpm.DayNum &lt;= DAY(EOMONTH(DATE($A230, $B230, 1), 0))), _xlpm.DayNum, ""))</f>
        <v>1</v>
      </c>
      <c r="Q230" s="76">
        <f t="shared" si="303"/>
        <v>2</v>
      </c>
    </row>
    <row r="231" spans="1:17" x14ac:dyDescent="0.25">
      <c r="A231" s="2">
        <v>2030</v>
      </c>
      <c r="B231" s="2">
        <v>3</v>
      </c>
      <c r="C231" s="2">
        <v>2</v>
      </c>
      <c r="D231" s="2">
        <v>2</v>
      </c>
      <c r="E231" s="2">
        <v>3</v>
      </c>
      <c r="F231" s="2">
        <v>2</v>
      </c>
      <c r="G231" s="2">
        <v>3</v>
      </c>
      <c r="H231" s="2">
        <v>3</v>
      </c>
      <c r="I231" s="2">
        <v>3</v>
      </c>
      <c r="J231" s="2">
        <v>3</v>
      </c>
      <c r="K231" s="76">
        <f t="shared" si="303"/>
        <v>3</v>
      </c>
      <c r="L231" s="2">
        <f t="shared" si="303"/>
        <v>4</v>
      </c>
      <c r="M231" s="2">
        <f t="shared" si="303"/>
        <v>5</v>
      </c>
      <c r="N231" s="2">
        <f t="shared" si="303"/>
        <v>6</v>
      </c>
      <c r="O231" s="2">
        <f t="shared" si="303"/>
        <v>7</v>
      </c>
      <c r="P231" s="2">
        <f t="shared" si="303"/>
        <v>8</v>
      </c>
      <c r="Q231" s="76">
        <f t="shared" si="303"/>
        <v>9</v>
      </c>
    </row>
    <row r="232" spans="1:17" x14ac:dyDescent="0.25">
      <c r="A232" s="2">
        <v>2030</v>
      </c>
      <c r="B232" s="2">
        <v>3</v>
      </c>
      <c r="C232" s="2">
        <v>3</v>
      </c>
      <c r="D232" s="2">
        <v>2</v>
      </c>
      <c r="E232" s="2">
        <v>3</v>
      </c>
      <c r="F232" s="2">
        <v>2</v>
      </c>
      <c r="G232" s="2">
        <v>3</v>
      </c>
      <c r="H232" s="2">
        <v>3</v>
      </c>
      <c r="I232" s="2">
        <v>3</v>
      </c>
      <c r="J232" s="2">
        <v>2</v>
      </c>
      <c r="K232" s="76">
        <f t="shared" si="303"/>
        <v>10</v>
      </c>
      <c r="L232" s="2">
        <f t="shared" si="303"/>
        <v>11</v>
      </c>
      <c r="M232" s="2">
        <f t="shared" si="303"/>
        <v>12</v>
      </c>
      <c r="N232" s="2">
        <f t="shared" si="303"/>
        <v>13</v>
      </c>
      <c r="O232" s="2">
        <f t="shared" si="303"/>
        <v>14</v>
      </c>
      <c r="P232" s="2">
        <f t="shared" si="303"/>
        <v>15</v>
      </c>
      <c r="Q232" s="76">
        <f t="shared" si="303"/>
        <v>16</v>
      </c>
    </row>
    <row r="233" spans="1:17" x14ac:dyDescent="0.25">
      <c r="A233" s="2">
        <v>2030</v>
      </c>
      <c r="B233" s="2">
        <v>3</v>
      </c>
      <c r="C233" s="2">
        <v>4</v>
      </c>
      <c r="D233" s="2">
        <v>3</v>
      </c>
      <c r="E233" s="2">
        <v>3</v>
      </c>
      <c r="F233" s="2">
        <v>3</v>
      </c>
      <c r="G233" s="2">
        <v>2</v>
      </c>
      <c r="H233" s="2">
        <v>2</v>
      </c>
      <c r="I233" s="2">
        <v>2</v>
      </c>
      <c r="J233" s="2">
        <v>4</v>
      </c>
      <c r="K233" s="76">
        <f t="shared" si="303"/>
        <v>17</v>
      </c>
      <c r="L233" s="2">
        <f t="shared" si="303"/>
        <v>18</v>
      </c>
      <c r="M233" s="2">
        <f t="shared" si="303"/>
        <v>19</v>
      </c>
      <c r="N233" s="2">
        <f t="shared" si="303"/>
        <v>20</v>
      </c>
      <c r="O233" s="2">
        <f t="shared" si="303"/>
        <v>21</v>
      </c>
      <c r="P233" s="2">
        <f t="shared" si="303"/>
        <v>22</v>
      </c>
      <c r="Q233" s="76">
        <f t="shared" si="303"/>
        <v>23</v>
      </c>
    </row>
    <row r="234" spans="1:17" x14ac:dyDescent="0.25">
      <c r="A234" s="2">
        <v>2030</v>
      </c>
      <c r="B234" s="2">
        <v>3</v>
      </c>
      <c r="C234" s="2">
        <v>5</v>
      </c>
      <c r="D234" s="2">
        <v>3</v>
      </c>
      <c r="E234" s="2">
        <v>3</v>
      </c>
      <c r="F234" s="2">
        <v>3</v>
      </c>
      <c r="G234" s="2">
        <v>4</v>
      </c>
      <c r="H234" s="2">
        <v>2</v>
      </c>
      <c r="I234" s="2">
        <v>2</v>
      </c>
      <c r="J234" s="2">
        <v>2</v>
      </c>
      <c r="K234" s="76">
        <f t="shared" si="303"/>
        <v>24</v>
      </c>
      <c r="L234" s="2">
        <f t="shared" si="303"/>
        <v>25</v>
      </c>
      <c r="M234" s="2">
        <f t="shared" si="303"/>
        <v>26</v>
      </c>
      <c r="N234" s="2">
        <f t="shared" si="303"/>
        <v>27</v>
      </c>
      <c r="O234" s="2">
        <f t="shared" si="303"/>
        <v>28</v>
      </c>
      <c r="P234" s="2">
        <f t="shared" si="303"/>
        <v>29</v>
      </c>
      <c r="Q234" s="76">
        <f t="shared" si="303"/>
        <v>30</v>
      </c>
    </row>
    <row r="235" spans="1:17" x14ac:dyDescent="0.25">
      <c r="A235" s="2">
        <v>2030</v>
      </c>
      <c r="B235" s="2">
        <v>3</v>
      </c>
      <c r="C235" s="2">
        <v>6</v>
      </c>
      <c r="D235" s="2">
        <v>2</v>
      </c>
      <c r="E235" s="2">
        <v>1</v>
      </c>
      <c r="F235" s="2">
        <v>1</v>
      </c>
      <c r="G235" s="2">
        <v>1</v>
      </c>
      <c r="H235" s="2">
        <v>1</v>
      </c>
      <c r="I235" s="2">
        <v>1</v>
      </c>
      <c r="J235" s="2">
        <v>1</v>
      </c>
      <c r="K235" s="76">
        <f t="shared" si="303"/>
        <v>31</v>
      </c>
      <c r="L235" s="77" t="str">
        <f t="shared" ref="L235" si="304">IF(E235&lt;&gt;1,"ERROR!!!","")</f>
        <v/>
      </c>
      <c r="M235" s="77" t="str">
        <f t="shared" ref="M235" si="305">IF(F235&lt;&gt;1,"ERROR!!!","")</f>
        <v/>
      </c>
      <c r="N235" s="77" t="str">
        <f t="shared" ref="N235" si="306">IF(G235&lt;&gt;1,"ERROR!!!","")</f>
        <v/>
      </c>
      <c r="O235" s="77" t="str">
        <f t="shared" ref="O235" si="307">IF(H235&lt;&gt;1,"ERROR!!!","")</f>
        <v/>
      </c>
      <c r="P235" s="77" t="str">
        <f t="shared" ref="P235" si="308">IF(I235&lt;&gt;1,"ERROR!!!","")</f>
        <v/>
      </c>
      <c r="Q235" s="77" t="str">
        <f t="shared" ref="Q235" si="309">IF(J235&lt;&gt;1,"ERROR!!!","")</f>
        <v/>
      </c>
    </row>
    <row r="236" spans="1:17" x14ac:dyDescent="0.25">
      <c r="A236" s="2">
        <v>2030</v>
      </c>
      <c r="B236" s="2">
        <v>4</v>
      </c>
      <c r="C236" s="2">
        <v>1</v>
      </c>
      <c r="D236" s="2">
        <v>1</v>
      </c>
      <c r="E236" s="2">
        <v>2</v>
      </c>
      <c r="F236" s="2">
        <v>2</v>
      </c>
      <c r="G236" s="2">
        <v>2</v>
      </c>
      <c r="H236" s="2">
        <v>2</v>
      </c>
      <c r="I236" s="2">
        <v>2</v>
      </c>
      <c r="J236" s="2">
        <v>2</v>
      </c>
      <c r="K236" s="77" t="str">
        <f t="shared" ref="K236" si="310">IF(D236&lt;&gt;1,"ERROR!!!","")</f>
        <v/>
      </c>
      <c r="L236" s="2">
        <f t="shared" ref="K236:Q240" si="311">_xlfn.LET(_xlpm.StartDay, WEEKDAY(DATE($A236, $B236, 1), 1),_xlpm.DayNum, (COLUMN() - COLUMN($K$236) + 1) + (ROW() - ROW($K$236)) * 7 - _xlpm.StartDay + 1,IF(AND(_xlpm.DayNum &gt; 0, _xlpm.DayNum &lt;= DAY(EOMONTH(DATE($A236, $B236, 1), 0))), _xlpm.DayNum, ""))</f>
        <v>1</v>
      </c>
      <c r="M236" s="2">
        <f t="shared" si="311"/>
        <v>2</v>
      </c>
      <c r="N236" s="2">
        <f t="shared" si="311"/>
        <v>3</v>
      </c>
      <c r="O236" s="2">
        <f t="shared" si="311"/>
        <v>4</v>
      </c>
      <c r="P236" s="2">
        <f t="shared" si="311"/>
        <v>5</v>
      </c>
      <c r="Q236" s="76">
        <f t="shared" si="311"/>
        <v>6</v>
      </c>
    </row>
    <row r="237" spans="1:17" x14ac:dyDescent="0.25">
      <c r="A237" s="2">
        <v>2030</v>
      </c>
      <c r="B237" s="2">
        <v>4</v>
      </c>
      <c r="C237" s="2">
        <v>2</v>
      </c>
      <c r="D237" s="2">
        <v>3</v>
      </c>
      <c r="E237" s="2">
        <v>2</v>
      </c>
      <c r="F237" s="2">
        <v>2</v>
      </c>
      <c r="G237" s="2">
        <v>3</v>
      </c>
      <c r="H237" s="2">
        <v>2</v>
      </c>
      <c r="I237" s="2">
        <v>2</v>
      </c>
      <c r="J237" s="2">
        <v>2</v>
      </c>
      <c r="K237" s="76">
        <f t="shared" si="311"/>
        <v>7</v>
      </c>
      <c r="L237" s="2">
        <f t="shared" si="311"/>
        <v>8</v>
      </c>
      <c r="M237" s="2">
        <f t="shared" si="311"/>
        <v>9</v>
      </c>
      <c r="N237" s="2">
        <f t="shared" si="311"/>
        <v>10</v>
      </c>
      <c r="O237" s="2">
        <f t="shared" si="311"/>
        <v>11</v>
      </c>
      <c r="P237" s="2">
        <f t="shared" si="311"/>
        <v>12</v>
      </c>
      <c r="Q237" s="76">
        <f t="shared" si="311"/>
        <v>13</v>
      </c>
    </row>
    <row r="238" spans="1:17" x14ac:dyDescent="0.25">
      <c r="A238" s="2">
        <v>2030</v>
      </c>
      <c r="B238" s="2">
        <v>4</v>
      </c>
      <c r="C238" s="2">
        <v>3</v>
      </c>
      <c r="D238" s="2">
        <v>3</v>
      </c>
      <c r="E238" s="2">
        <v>2</v>
      </c>
      <c r="F238" s="2">
        <v>3</v>
      </c>
      <c r="G238" s="2">
        <v>2</v>
      </c>
      <c r="H238" s="2">
        <v>3</v>
      </c>
      <c r="I238" s="2">
        <v>2</v>
      </c>
      <c r="J238" s="2">
        <v>2</v>
      </c>
      <c r="K238" s="76">
        <f t="shared" si="311"/>
        <v>14</v>
      </c>
      <c r="L238" s="2">
        <f t="shared" si="311"/>
        <v>15</v>
      </c>
      <c r="M238" s="2">
        <f t="shared" si="311"/>
        <v>16</v>
      </c>
      <c r="N238" s="2">
        <f t="shared" si="311"/>
        <v>17</v>
      </c>
      <c r="O238" s="2">
        <f t="shared" si="311"/>
        <v>18</v>
      </c>
      <c r="P238" s="2">
        <f t="shared" si="311"/>
        <v>19</v>
      </c>
      <c r="Q238" s="76">
        <f t="shared" si="311"/>
        <v>20</v>
      </c>
    </row>
    <row r="239" spans="1:17" x14ac:dyDescent="0.25">
      <c r="A239" s="2">
        <v>2030</v>
      </c>
      <c r="B239" s="2">
        <v>4</v>
      </c>
      <c r="C239" s="2">
        <v>4</v>
      </c>
      <c r="D239" s="2">
        <v>3</v>
      </c>
      <c r="E239" s="2">
        <v>2</v>
      </c>
      <c r="F239" s="2">
        <v>2</v>
      </c>
      <c r="G239" s="2">
        <v>4</v>
      </c>
      <c r="H239" s="2">
        <v>3</v>
      </c>
      <c r="I239" s="2">
        <v>3</v>
      </c>
      <c r="J239" s="2">
        <v>3</v>
      </c>
      <c r="K239" s="76">
        <f t="shared" si="311"/>
        <v>21</v>
      </c>
      <c r="L239" s="2">
        <f t="shared" si="311"/>
        <v>22</v>
      </c>
      <c r="M239" s="2">
        <f t="shared" si="311"/>
        <v>23</v>
      </c>
      <c r="N239" s="2">
        <f t="shared" si="311"/>
        <v>24</v>
      </c>
      <c r="O239" s="2">
        <f t="shared" si="311"/>
        <v>25</v>
      </c>
      <c r="P239" s="2">
        <f t="shared" si="311"/>
        <v>26</v>
      </c>
      <c r="Q239" s="76">
        <f t="shared" si="311"/>
        <v>27</v>
      </c>
    </row>
    <row r="240" spans="1:17" x14ac:dyDescent="0.25">
      <c r="A240" s="2">
        <v>2030</v>
      </c>
      <c r="B240" s="2">
        <v>4</v>
      </c>
      <c r="C240" s="2">
        <v>5</v>
      </c>
      <c r="D240" s="2">
        <v>2</v>
      </c>
      <c r="E240" s="2">
        <v>2</v>
      </c>
      <c r="F240" s="2">
        <v>3</v>
      </c>
      <c r="G240" s="2">
        <v>1</v>
      </c>
      <c r="H240" s="2">
        <v>1</v>
      </c>
      <c r="I240" s="2">
        <v>1</v>
      </c>
      <c r="J240" s="2">
        <v>1</v>
      </c>
      <c r="K240" s="76">
        <f t="shared" si="311"/>
        <v>28</v>
      </c>
      <c r="L240" s="2">
        <f t="shared" si="311"/>
        <v>29</v>
      </c>
      <c r="M240" s="2">
        <f t="shared" si="311"/>
        <v>30</v>
      </c>
      <c r="N240" s="77" t="str">
        <f t="shared" ref="N240:N241" si="312">IF(G240&lt;&gt;1,"ERROR!!!","")</f>
        <v/>
      </c>
      <c r="O240" s="77" t="str">
        <f t="shared" ref="O240:O241" si="313">IF(H240&lt;&gt;1,"ERROR!!!","")</f>
        <v/>
      </c>
      <c r="P240" s="77" t="str">
        <f t="shared" ref="P240:P241" si="314">IF(I240&lt;&gt;1,"ERROR!!!","")</f>
        <v/>
      </c>
      <c r="Q240" s="77" t="str">
        <f t="shared" ref="Q240:Q241" si="315">IF(J240&lt;&gt;1,"ERROR!!!","")</f>
        <v/>
      </c>
    </row>
    <row r="241" spans="1:17" x14ac:dyDescent="0.25">
      <c r="A241" s="2">
        <v>2030</v>
      </c>
      <c r="B241" s="2">
        <v>4</v>
      </c>
      <c r="C241" s="2">
        <v>6</v>
      </c>
      <c r="D241" s="2">
        <v>1</v>
      </c>
      <c r="E241" s="2">
        <v>1</v>
      </c>
      <c r="F241" s="2">
        <v>1</v>
      </c>
      <c r="G241" s="2">
        <v>1</v>
      </c>
      <c r="H241" s="2">
        <v>1</v>
      </c>
      <c r="I241" s="2">
        <v>1</v>
      </c>
      <c r="J241" s="2">
        <v>1</v>
      </c>
      <c r="K241" s="77" t="str">
        <f t="shared" ref="K241:K242" si="316">IF(D241&lt;&gt;1,"ERROR!!!","")</f>
        <v/>
      </c>
      <c r="L241" s="77" t="str">
        <f t="shared" ref="L241:L242" si="317">IF(E241&lt;&gt;1,"ERROR!!!","")</f>
        <v/>
      </c>
      <c r="M241" s="77" t="str">
        <f t="shared" ref="M241:M242" si="318">IF(F241&lt;&gt;1,"ERROR!!!","")</f>
        <v/>
      </c>
      <c r="N241" s="77" t="str">
        <f t="shared" si="312"/>
        <v/>
      </c>
      <c r="O241" s="77" t="str">
        <f t="shared" si="313"/>
        <v/>
      </c>
      <c r="P241" s="77" t="str">
        <f t="shared" si="314"/>
        <v/>
      </c>
      <c r="Q241" s="77" t="str">
        <f t="shared" si="315"/>
        <v/>
      </c>
    </row>
    <row r="242" spans="1:17" x14ac:dyDescent="0.25">
      <c r="A242" s="2">
        <v>2030</v>
      </c>
      <c r="B242" s="2">
        <v>5</v>
      </c>
      <c r="C242" s="2">
        <v>1</v>
      </c>
      <c r="D242" s="2">
        <v>1</v>
      </c>
      <c r="E242" s="2">
        <v>1</v>
      </c>
      <c r="F242" s="2">
        <v>1</v>
      </c>
      <c r="G242" s="2">
        <v>3</v>
      </c>
      <c r="H242" s="2">
        <v>3</v>
      </c>
      <c r="I242" s="2">
        <v>3</v>
      </c>
      <c r="J242" s="2">
        <v>2</v>
      </c>
      <c r="K242" s="77" t="str">
        <f t="shared" si="316"/>
        <v/>
      </c>
      <c r="L242" s="77" t="str">
        <f t="shared" si="317"/>
        <v/>
      </c>
      <c r="M242" s="77" t="str">
        <f t="shared" si="318"/>
        <v/>
      </c>
      <c r="N242" s="2">
        <f t="shared" ref="K242:Q246" si="319">_xlfn.LET(_xlpm.StartDay, WEEKDAY(DATE($A242, $B242, 1), 1),_xlpm.DayNum, (COLUMN() - COLUMN($K$242) + 1) + (ROW() - ROW($K$242)) * 7 - _xlpm.StartDay + 1,IF(AND(_xlpm.DayNum &gt; 0, _xlpm.DayNum &lt;= DAY(EOMONTH(DATE($A242, $B242, 1), 0))), _xlpm.DayNum, ""))</f>
        <v>1</v>
      </c>
      <c r="O242" s="2">
        <f t="shared" si="319"/>
        <v>2</v>
      </c>
      <c r="P242" s="2">
        <f t="shared" si="319"/>
        <v>3</v>
      </c>
      <c r="Q242" s="76">
        <f t="shared" si="319"/>
        <v>4</v>
      </c>
    </row>
    <row r="243" spans="1:17" x14ac:dyDescent="0.25">
      <c r="A243" s="2">
        <v>2030</v>
      </c>
      <c r="B243" s="2">
        <v>5</v>
      </c>
      <c r="C243" s="2">
        <v>2</v>
      </c>
      <c r="D243" s="2">
        <v>3</v>
      </c>
      <c r="E243" s="2">
        <v>2</v>
      </c>
      <c r="F243" s="2">
        <v>2</v>
      </c>
      <c r="G243" s="2">
        <v>3</v>
      </c>
      <c r="H243" s="2">
        <v>3</v>
      </c>
      <c r="I243" s="2">
        <v>3</v>
      </c>
      <c r="J243" s="2">
        <v>3</v>
      </c>
      <c r="K243" s="76">
        <f t="shared" si="319"/>
        <v>5</v>
      </c>
      <c r="L243" s="2">
        <f t="shared" si="319"/>
        <v>6</v>
      </c>
      <c r="M243" s="2">
        <f t="shared" si="319"/>
        <v>7</v>
      </c>
      <c r="N243" s="2">
        <f t="shared" si="319"/>
        <v>8</v>
      </c>
      <c r="O243" s="2">
        <f t="shared" si="319"/>
        <v>9</v>
      </c>
      <c r="P243" s="2">
        <f t="shared" si="319"/>
        <v>10</v>
      </c>
      <c r="Q243" s="76">
        <f t="shared" si="319"/>
        <v>11</v>
      </c>
    </row>
    <row r="244" spans="1:17" x14ac:dyDescent="0.25">
      <c r="A244" s="2">
        <v>2030</v>
      </c>
      <c r="B244" s="2">
        <v>5</v>
      </c>
      <c r="C244" s="2">
        <v>3</v>
      </c>
      <c r="D244" s="2">
        <v>2</v>
      </c>
      <c r="E244" s="2">
        <v>2</v>
      </c>
      <c r="F244" s="2">
        <v>2</v>
      </c>
      <c r="G244" s="2">
        <v>2</v>
      </c>
      <c r="H244" s="2">
        <v>3</v>
      </c>
      <c r="I244" s="2">
        <v>2</v>
      </c>
      <c r="J244" s="2">
        <v>3</v>
      </c>
      <c r="K244" s="76">
        <f t="shared" si="319"/>
        <v>12</v>
      </c>
      <c r="L244" s="2">
        <f t="shared" si="319"/>
        <v>13</v>
      </c>
      <c r="M244" s="2">
        <f t="shared" si="319"/>
        <v>14</v>
      </c>
      <c r="N244" s="2">
        <f t="shared" si="319"/>
        <v>15</v>
      </c>
      <c r="O244" s="2">
        <f t="shared" si="319"/>
        <v>16</v>
      </c>
      <c r="P244" s="2">
        <f t="shared" si="319"/>
        <v>17</v>
      </c>
      <c r="Q244" s="76">
        <f t="shared" si="319"/>
        <v>18</v>
      </c>
    </row>
    <row r="245" spans="1:17" x14ac:dyDescent="0.25">
      <c r="A245" s="2">
        <v>2030</v>
      </c>
      <c r="B245" s="2">
        <v>5</v>
      </c>
      <c r="C245" s="2">
        <v>4</v>
      </c>
      <c r="D245" s="2">
        <v>3</v>
      </c>
      <c r="E245" s="2">
        <v>2</v>
      </c>
      <c r="F245" s="2">
        <v>3</v>
      </c>
      <c r="G245" s="2">
        <v>2</v>
      </c>
      <c r="H245" s="2">
        <v>3</v>
      </c>
      <c r="I245" s="2">
        <v>3</v>
      </c>
      <c r="J245" s="2">
        <v>4</v>
      </c>
      <c r="K245" s="76">
        <f t="shared" si="319"/>
        <v>19</v>
      </c>
      <c r="L245" s="2">
        <f t="shared" si="319"/>
        <v>20</v>
      </c>
      <c r="M245" s="2">
        <f t="shared" si="319"/>
        <v>21</v>
      </c>
      <c r="N245" s="2">
        <f t="shared" si="319"/>
        <v>22</v>
      </c>
      <c r="O245" s="2">
        <f t="shared" si="319"/>
        <v>23</v>
      </c>
      <c r="P245" s="2">
        <f t="shared" si="319"/>
        <v>24</v>
      </c>
      <c r="Q245" s="76">
        <f t="shared" si="319"/>
        <v>25</v>
      </c>
    </row>
    <row r="246" spans="1:17" x14ac:dyDescent="0.25">
      <c r="A246" s="2">
        <v>2030</v>
      </c>
      <c r="B246" s="2">
        <v>5</v>
      </c>
      <c r="C246" s="2">
        <v>5</v>
      </c>
      <c r="D246" s="2">
        <v>4</v>
      </c>
      <c r="E246" s="2">
        <v>3</v>
      </c>
      <c r="F246" s="2">
        <v>2</v>
      </c>
      <c r="G246" s="2">
        <v>2</v>
      </c>
      <c r="H246" s="2">
        <v>2</v>
      </c>
      <c r="I246" s="2">
        <v>2</v>
      </c>
      <c r="J246" s="2">
        <v>1</v>
      </c>
      <c r="K246" s="76">
        <f t="shared" si="319"/>
        <v>26</v>
      </c>
      <c r="L246" s="2">
        <f t="shared" si="319"/>
        <v>27</v>
      </c>
      <c r="M246" s="2">
        <f t="shared" si="319"/>
        <v>28</v>
      </c>
      <c r="N246" s="2">
        <f t="shared" si="319"/>
        <v>29</v>
      </c>
      <c r="O246" s="2">
        <f t="shared" si="319"/>
        <v>30</v>
      </c>
      <c r="P246" s="2">
        <f t="shared" si="319"/>
        <v>31</v>
      </c>
      <c r="Q246" s="77" t="str">
        <f t="shared" ref="Q246:Q247" si="320">IF(J246&lt;&gt;1,"ERROR!!!","")</f>
        <v/>
      </c>
    </row>
    <row r="247" spans="1:17" x14ac:dyDescent="0.25">
      <c r="A247" s="2">
        <v>2030</v>
      </c>
      <c r="B247" s="2">
        <v>5</v>
      </c>
      <c r="C247" s="2">
        <v>6</v>
      </c>
      <c r="D247" s="2">
        <v>1</v>
      </c>
      <c r="E247" s="2">
        <v>1</v>
      </c>
      <c r="F247" s="2">
        <v>1</v>
      </c>
      <c r="G247" s="2">
        <v>1</v>
      </c>
      <c r="H247" s="2">
        <v>1</v>
      </c>
      <c r="I247" s="2">
        <v>1</v>
      </c>
      <c r="J247" s="2">
        <v>1</v>
      </c>
      <c r="K247" s="77" t="str">
        <f t="shared" ref="K247:K248" si="321">IF(D247&lt;&gt;1,"ERROR!!!","")</f>
        <v/>
      </c>
      <c r="L247" s="77" t="str">
        <f t="shared" ref="L247:L248" si="322">IF(E247&lt;&gt;1,"ERROR!!!","")</f>
        <v/>
      </c>
      <c r="M247" s="77" t="str">
        <f t="shared" ref="M247:M248" si="323">IF(F247&lt;&gt;1,"ERROR!!!","")</f>
        <v/>
      </c>
      <c r="N247" s="77" t="str">
        <f t="shared" ref="N247:N248" si="324">IF(G247&lt;&gt;1,"ERROR!!!","")</f>
        <v/>
      </c>
      <c r="O247" s="77" t="str">
        <f t="shared" ref="O247:O248" si="325">IF(H247&lt;&gt;1,"ERROR!!!","")</f>
        <v/>
      </c>
      <c r="P247" s="77" t="str">
        <f t="shared" ref="P247:P248" si="326">IF(I247&lt;&gt;1,"ERROR!!!","")</f>
        <v/>
      </c>
      <c r="Q247" s="77" t="str">
        <f t="shared" si="320"/>
        <v/>
      </c>
    </row>
    <row r="248" spans="1:17" x14ac:dyDescent="0.25">
      <c r="A248" s="2">
        <v>2030</v>
      </c>
      <c r="B248" s="2">
        <v>6</v>
      </c>
      <c r="C248" s="2">
        <v>1</v>
      </c>
      <c r="D248" s="2">
        <v>1</v>
      </c>
      <c r="E248" s="2">
        <v>1</v>
      </c>
      <c r="F248" s="2">
        <v>1</v>
      </c>
      <c r="G248" s="2">
        <v>1</v>
      </c>
      <c r="H248" s="2">
        <v>1</v>
      </c>
      <c r="I248" s="2">
        <v>1</v>
      </c>
      <c r="J248" s="2">
        <v>3</v>
      </c>
      <c r="K248" s="77" t="str">
        <f t="shared" si="321"/>
        <v/>
      </c>
      <c r="L248" s="77" t="str">
        <f t="shared" si="322"/>
        <v/>
      </c>
      <c r="M248" s="77" t="str">
        <f t="shared" si="323"/>
        <v/>
      </c>
      <c r="N248" s="77" t="str">
        <f t="shared" si="324"/>
        <v/>
      </c>
      <c r="O248" s="77" t="str">
        <f t="shared" si="325"/>
        <v/>
      </c>
      <c r="P248" s="77" t="str">
        <f t="shared" si="326"/>
        <v/>
      </c>
      <c r="Q248" s="76">
        <f t="shared" ref="K248:Q253" si="327">_xlfn.LET(_xlpm.StartDay, WEEKDAY(DATE($A248, $B248, 1), 1),_xlpm.DayNum, (COLUMN() - COLUMN($K$248) + 1) + (ROW() - ROW($K$248)) * 7 - _xlpm.StartDay + 1,IF(AND(_xlpm.DayNum &gt; 0, _xlpm.DayNum &lt;= DAY(EOMONTH(DATE($A248, $B248, 1), 0))), _xlpm.DayNum, ""))</f>
        <v>1</v>
      </c>
    </row>
    <row r="249" spans="1:17" x14ac:dyDescent="0.25">
      <c r="A249" s="2">
        <v>2030</v>
      </c>
      <c r="B249" s="2">
        <v>6</v>
      </c>
      <c r="C249" s="2">
        <v>2</v>
      </c>
      <c r="D249" s="2">
        <v>4</v>
      </c>
      <c r="E249" s="2">
        <v>3</v>
      </c>
      <c r="F249" s="2">
        <v>2</v>
      </c>
      <c r="G249" s="2">
        <v>2</v>
      </c>
      <c r="H249" s="2">
        <v>2</v>
      </c>
      <c r="I249" s="2">
        <v>2</v>
      </c>
      <c r="J249" s="2">
        <v>3</v>
      </c>
      <c r="K249" s="76">
        <f t="shared" si="327"/>
        <v>2</v>
      </c>
      <c r="L249" s="2">
        <f t="shared" si="327"/>
        <v>3</v>
      </c>
      <c r="M249" s="2">
        <f t="shared" si="327"/>
        <v>4</v>
      </c>
      <c r="N249" s="2">
        <f t="shared" si="327"/>
        <v>5</v>
      </c>
      <c r="O249" s="2">
        <f t="shared" si="327"/>
        <v>6</v>
      </c>
      <c r="P249" s="2">
        <f t="shared" si="327"/>
        <v>7</v>
      </c>
      <c r="Q249" s="76">
        <f t="shared" si="327"/>
        <v>8</v>
      </c>
    </row>
    <row r="250" spans="1:17" x14ac:dyDescent="0.25">
      <c r="A250" s="2">
        <v>2030</v>
      </c>
      <c r="B250" s="2">
        <v>6</v>
      </c>
      <c r="C250" s="2">
        <v>3</v>
      </c>
      <c r="D250" s="2">
        <v>2</v>
      </c>
      <c r="E250" s="2">
        <v>2</v>
      </c>
      <c r="F250" s="2">
        <v>2</v>
      </c>
      <c r="G250" s="2">
        <v>2</v>
      </c>
      <c r="H250" s="2">
        <v>2</v>
      </c>
      <c r="I250" s="2">
        <v>3</v>
      </c>
      <c r="J250" s="2">
        <v>2</v>
      </c>
      <c r="K250" s="76">
        <f t="shared" si="327"/>
        <v>9</v>
      </c>
      <c r="L250" s="2">
        <f t="shared" si="327"/>
        <v>10</v>
      </c>
      <c r="M250" s="2">
        <f t="shared" si="327"/>
        <v>11</v>
      </c>
      <c r="N250" s="2">
        <f t="shared" si="327"/>
        <v>12</v>
      </c>
      <c r="O250" s="2">
        <f t="shared" si="327"/>
        <v>13</v>
      </c>
      <c r="P250" s="2">
        <f t="shared" si="327"/>
        <v>14</v>
      </c>
      <c r="Q250" s="76">
        <f t="shared" si="327"/>
        <v>15</v>
      </c>
    </row>
    <row r="251" spans="1:17" x14ac:dyDescent="0.25">
      <c r="A251" s="2">
        <v>2030</v>
      </c>
      <c r="B251" s="2">
        <v>6</v>
      </c>
      <c r="C251" s="2">
        <v>4</v>
      </c>
      <c r="D251" s="2">
        <v>2</v>
      </c>
      <c r="E251" s="2">
        <v>2</v>
      </c>
      <c r="F251" s="2">
        <v>2</v>
      </c>
      <c r="G251" s="2">
        <v>4</v>
      </c>
      <c r="H251" s="2">
        <v>4</v>
      </c>
      <c r="I251" s="2">
        <v>2</v>
      </c>
      <c r="J251" s="2">
        <v>3</v>
      </c>
      <c r="K251" s="76">
        <f t="shared" si="327"/>
        <v>16</v>
      </c>
      <c r="L251" s="2">
        <f t="shared" si="327"/>
        <v>17</v>
      </c>
      <c r="M251" s="2">
        <f t="shared" si="327"/>
        <v>18</v>
      </c>
      <c r="N251" s="2">
        <f t="shared" si="327"/>
        <v>19</v>
      </c>
      <c r="O251" s="2">
        <f t="shared" si="327"/>
        <v>20</v>
      </c>
      <c r="P251" s="2">
        <f t="shared" si="327"/>
        <v>21</v>
      </c>
      <c r="Q251" s="76">
        <f t="shared" si="327"/>
        <v>22</v>
      </c>
    </row>
    <row r="252" spans="1:17" x14ac:dyDescent="0.25">
      <c r="A252" s="2">
        <v>2030</v>
      </c>
      <c r="B252" s="2">
        <v>6</v>
      </c>
      <c r="C252" s="2">
        <v>5</v>
      </c>
      <c r="D252" s="2">
        <v>2</v>
      </c>
      <c r="E252" s="2">
        <v>3</v>
      </c>
      <c r="F252" s="2">
        <v>3</v>
      </c>
      <c r="G252" s="2">
        <v>3</v>
      </c>
      <c r="H252" s="2">
        <v>4</v>
      </c>
      <c r="I252" s="2">
        <v>2</v>
      </c>
      <c r="J252" s="2">
        <v>2</v>
      </c>
      <c r="K252" s="76">
        <f t="shared" si="327"/>
        <v>23</v>
      </c>
      <c r="L252" s="2">
        <f t="shared" si="327"/>
        <v>24</v>
      </c>
      <c r="M252" s="2">
        <f t="shared" si="327"/>
        <v>25</v>
      </c>
      <c r="N252" s="2">
        <f t="shared" si="327"/>
        <v>26</v>
      </c>
      <c r="O252" s="2">
        <f t="shared" si="327"/>
        <v>27</v>
      </c>
      <c r="P252" s="2">
        <f t="shared" si="327"/>
        <v>28</v>
      </c>
      <c r="Q252" s="76">
        <f t="shared" si="327"/>
        <v>29</v>
      </c>
    </row>
    <row r="253" spans="1:17" x14ac:dyDescent="0.25">
      <c r="A253" s="2">
        <v>2030</v>
      </c>
      <c r="B253" s="2">
        <v>6</v>
      </c>
      <c r="C253" s="2">
        <v>6</v>
      </c>
      <c r="D253" s="2">
        <v>2</v>
      </c>
      <c r="E253" s="2">
        <v>1</v>
      </c>
      <c r="F253" s="2">
        <v>1</v>
      </c>
      <c r="G253" s="2">
        <v>1</v>
      </c>
      <c r="H253" s="2">
        <v>1</v>
      </c>
      <c r="I253" s="2">
        <v>1</v>
      </c>
      <c r="J253" s="2">
        <v>1</v>
      </c>
      <c r="K253" s="76">
        <f t="shared" si="327"/>
        <v>30</v>
      </c>
      <c r="L253" s="77" t="str">
        <f t="shared" ref="L253" si="328">IF(E253&lt;&gt;1,"ERROR!!!","")</f>
        <v/>
      </c>
      <c r="M253" s="77" t="str">
        <f t="shared" ref="M253" si="329">IF(F253&lt;&gt;1,"ERROR!!!","")</f>
        <v/>
      </c>
      <c r="N253" s="77" t="str">
        <f t="shared" ref="N253" si="330">IF(G253&lt;&gt;1,"ERROR!!!","")</f>
        <v/>
      </c>
      <c r="O253" s="77" t="str">
        <f t="shared" ref="O253" si="331">IF(H253&lt;&gt;1,"ERROR!!!","")</f>
        <v/>
      </c>
      <c r="P253" s="77" t="str">
        <f t="shared" ref="P253" si="332">IF(I253&lt;&gt;1,"ERROR!!!","")</f>
        <v/>
      </c>
      <c r="Q253" s="77" t="str">
        <f t="shared" ref="Q253" si="333">IF(J253&lt;&gt;1,"ERROR!!!","")</f>
        <v/>
      </c>
    </row>
    <row r="254" spans="1:17" x14ac:dyDescent="0.25">
      <c r="A254" s="2">
        <v>2030</v>
      </c>
      <c r="B254" s="2">
        <v>7</v>
      </c>
      <c r="C254" s="2">
        <v>1</v>
      </c>
      <c r="D254" s="2">
        <v>1</v>
      </c>
      <c r="E254" s="2">
        <v>2</v>
      </c>
      <c r="F254" s="2">
        <v>2</v>
      </c>
      <c r="G254" s="2">
        <v>2</v>
      </c>
      <c r="H254" s="2">
        <v>2</v>
      </c>
      <c r="I254" s="2">
        <v>2</v>
      </c>
      <c r="J254" s="2">
        <v>2</v>
      </c>
      <c r="K254" s="77" t="str">
        <f t="shared" ref="K254" si="334">IF(D254&lt;&gt;1,"ERROR!!!","")</f>
        <v/>
      </c>
      <c r="L254" s="2">
        <f t="shared" ref="K254:Q258" si="335">_xlfn.LET(_xlpm.StartDay, WEEKDAY(DATE($A254, $B254, 1), 1),_xlpm.DayNum, (COLUMN() - COLUMN($K$254) + 1) + (ROW() - ROW($K$254)) * 7 - _xlpm.StartDay + 1,IF(AND(_xlpm.DayNum &gt; 0, _xlpm.DayNum &lt;= DAY(EOMONTH(DATE($A254, $B254, 1), 0))), _xlpm.DayNum, ""))</f>
        <v>1</v>
      </c>
      <c r="M254" s="2">
        <f t="shared" si="335"/>
        <v>2</v>
      </c>
      <c r="N254" s="2">
        <f t="shared" si="335"/>
        <v>3</v>
      </c>
      <c r="O254" s="2">
        <f t="shared" si="335"/>
        <v>4</v>
      </c>
      <c r="P254" s="2">
        <f t="shared" si="335"/>
        <v>5</v>
      </c>
      <c r="Q254" s="76">
        <f t="shared" si="335"/>
        <v>6</v>
      </c>
    </row>
    <row r="255" spans="1:17" x14ac:dyDescent="0.25">
      <c r="A255" s="2">
        <v>2030</v>
      </c>
      <c r="B255" s="2">
        <v>7</v>
      </c>
      <c r="C255" s="2">
        <v>2</v>
      </c>
      <c r="D255" s="2">
        <v>4</v>
      </c>
      <c r="E255" s="2">
        <v>2</v>
      </c>
      <c r="F255" s="2">
        <v>3</v>
      </c>
      <c r="G255" s="2">
        <v>3</v>
      </c>
      <c r="H255" s="2">
        <v>2</v>
      </c>
      <c r="I255" s="2">
        <v>3</v>
      </c>
      <c r="J255" s="2">
        <v>3</v>
      </c>
      <c r="K255" s="76">
        <f t="shared" si="335"/>
        <v>7</v>
      </c>
      <c r="L255" s="2">
        <f t="shared" si="335"/>
        <v>8</v>
      </c>
      <c r="M255" s="2">
        <f t="shared" si="335"/>
        <v>9</v>
      </c>
      <c r="N255" s="2">
        <f t="shared" si="335"/>
        <v>10</v>
      </c>
      <c r="O255" s="2">
        <f t="shared" si="335"/>
        <v>11</v>
      </c>
      <c r="P255" s="2">
        <f t="shared" si="335"/>
        <v>12</v>
      </c>
      <c r="Q255" s="76">
        <f t="shared" si="335"/>
        <v>13</v>
      </c>
    </row>
    <row r="256" spans="1:17" x14ac:dyDescent="0.25">
      <c r="A256" s="2">
        <v>2030</v>
      </c>
      <c r="B256" s="2">
        <v>7</v>
      </c>
      <c r="C256" s="2">
        <v>3</v>
      </c>
      <c r="D256" s="2">
        <v>4</v>
      </c>
      <c r="E256" s="2">
        <v>3</v>
      </c>
      <c r="F256" s="2">
        <v>3</v>
      </c>
      <c r="G256" s="2">
        <v>2</v>
      </c>
      <c r="H256" s="2">
        <v>4</v>
      </c>
      <c r="I256" s="2">
        <v>2</v>
      </c>
      <c r="J256" s="2">
        <v>2</v>
      </c>
      <c r="K256" s="76">
        <f t="shared" si="335"/>
        <v>14</v>
      </c>
      <c r="L256" s="2">
        <f t="shared" si="335"/>
        <v>15</v>
      </c>
      <c r="M256" s="2">
        <f t="shared" si="335"/>
        <v>16</v>
      </c>
      <c r="N256" s="2">
        <f t="shared" si="335"/>
        <v>17</v>
      </c>
      <c r="O256" s="2">
        <f t="shared" si="335"/>
        <v>18</v>
      </c>
      <c r="P256" s="2">
        <f t="shared" si="335"/>
        <v>19</v>
      </c>
      <c r="Q256" s="76">
        <f t="shared" si="335"/>
        <v>20</v>
      </c>
    </row>
    <row r="257" spans="1:17" x14ac:dyDescent="0.25">
      <c r="A257" s="2">
        <v>2030</v>
      </c>
      <c r="B257" s="2">
        <v>7</v>
      </c>
      <c r="C257" s="2">
        <v>4</v>
      </c>
      <c r="D257" s="2">
        <v>3</v>
      </c>
      <c r="E257" s="2">
        <v>4</v>
      </c>
      <c r="F257" s="2">
        <v>3</v>
      </c>
      <c r="G257" s="2">
        <v>3</v>
      </c>
      <c r="H257" s="2">
        <v>4</v>
      </c>
      <c r="I257" s="2">
        <v>2</v>
      </c>
      <c r="J257" s="2">
        <v>3</v>
      </c>
      <c r="K257" s="76">
        <f t="shared" si="335"/>
        <v>21</v>
      </c>
      <c r="L257" s="2">
        <f t="shared" si="335"/>
        <v>22</v>
      </c>
      <c r="M257" s="2">
        <f t="shared" si="335"/>
        <v>23</v>
      </c>
      <c r="N257" s="2">
        <f t="shared" si="335"/>
        <v>24</v>
      </c>
      <c r="O257" s="2">
        <f t="shared" si="335"/>
        <v>25</v>
      </c>
      <c r="P257" s="2">
        <f t="shared" si="335"/>
        <v>26</v>
      </c>
      <c r="Q257" s="76">
        <f t="shared" si="335"/>
        <v>27</v>
      </c>
    </row>
    <row r="258" spans="1:17" x14ac:dyDescent="0.25">
      <c r="A258" s="2">
        <v>2030</v>
      </c>
      <c r="B258" s="2">
        <v>7</v>
      </c>
      <c r="C258" s="2">
        <v>5</v>
      </c>
      <c r="D258" s="2">
        <v>3</v>
      </c>
      <c r="E258" s="2">
        <v>3</v>
      </c>
      <c r="F258" s="2">
        <v>2</v>
      </c>
      <c r="G258" s="2">
        <v>3</v>
      </c>
      <c r="H258" s="2">
        <v>1</v>
      </c>
      <c r="I258" s="2">
        <v>1</v>
      </c>
      <c r="J258" s="2">
        <v>1</v>
      </c>
      <c r="K258" s="76">
        <f t="shared" si="335"/>
        <v>28</v>
      </c>
      <c r="L258" s="2">
        <f t="shared" si="335"/>
        <v>29</v>
      </c>
      <c r="M258" s="2">
        <f t="shared" si="335"/>
        <v>30</v>
      </c>
      <c r="N258" s="2">
        <f t="shared" si="335"/>
        <v>31</v>
      </c>
      <c r="O258" s="77" t="str">
        <f t="shared" ref="O258:O259" si="336">IF(H258&lt;&gt;1,"ERROR!!!","")</f>
        <v/>
      </c>
      <c r="P258" s="77" t="str">
        <f t="shared" ref="P258:P259" si="337">IF(I258&lt;&gt;1,"ERROR!!!","")</f>
        <v/>
      </c>
      <c r="Q258" s="77" t="str">
        <f t="shared" ref="Q258:Q259" si="338">IF(J258&lt;&gt;1,"ERROR!!!","")</f>
        <v/>
      </c>
    </row>
    <row r="259" spans="1:17" x14ac:dyDescent="0.25">
      <c r="A259" s="2">
        <v>2030</v>
      </c>
      <c r="B259" s="2">
        <v>7</v>
      </c>
      <c r="C259" s="2">
        <v>6</v>
      </c>
      <c r="D259" s="2">
        <v>1</v>
      </c>
      <c r="E259" s="2">
        <v>1</v>
      </c>
      <c r="F259" s="2">
        <v>1</v>
      </c>
      <c r="G259" s="2">
        <v>1</v>
      </c>
      <c r="H259" s="2">
        <v>1</v>
      </c>
      <c r="I259" s="2">
        <v>1</v>
      </c>
      <c r="J259" s="2">
        <v>1</v>
      </c>
      <c r="K259" s="77" t="str">
        <f t="shared" ref="K259:K260" si="339">IF(D259&lt;&gt;1,"ERROR!!!","")</f>
        <v/>
      </c>
      <c r="L259" s="77" t="str">
        <f t="shared" ref="L259:L260" si="340">IF(E259&lt;&gt;1,"ERROR!!!","")</f>
        <v/>
      </c>
      <c r="M259" s="77" t="str">
        <f t="shared" ref="M259:M260" si="341">IF(F259&lt;&gt;1,"ERROR!!!","")</f>
        <v/>
      </c>
      <c r="N259" s="77" t="str">
        <f t="shared" ref="N259:N260" si="342">IF(G259&lt;&gt;1,"ERROR!!!","")</f>
        <v/>
      </c>
      <c r="O259" s="77" t="str">
        <f t="shared" si="336"/>
        <v/>
      </c>
      <c r="P259" s="77" t="str">
        <f t="shared" si="337"/>
        <v/>
      </c>
      <c r="Q259" s="77" t="str">
        <f t="shared" si="338"/>
        <v/>
      </c>
    </row>
    <row r="260" spans="1:17" x14ac:dyDescent="0.25">
      <c r="A260" s="2">
        <v>2030</v>
      </c>
      <c r="B260" s="2">
        <v>8</v>
      </c>
      <c r="C260" s="2">
        <v>1</v>
      </c>
      <c r="D260" s="2">
        <v>1</v>
      </c>
      <c r="E260" s="2">
        <v>1</v>
      </c>
      <c r="F260" s="2">
        <v>1</v>
      </c>
      <c r="G260" s="2">
        <v>1</v>
      </c>
      <c r="H260" s="2">
        <v>3</v>
      </c>
      <c r="I260" s="2">
        <v>3</v>
      </c>
      <c r="J260" s="2">
        <v>3</v>
      </c>
      <c r="K260" s="77" t="str">
        <f t="shared" si="339"/>
        <v/>
      </c>
      <c r="L260" s="77" t="str">
        <f t="shared" si="340"/>
        <v/>
      </c>
      <c r="M260" s="77" t="str">
        <f t="shared" si="341"/>
        <v/>
      </c>
      <c r="N260" s="77" t="str">
        <f t="shared" si="342"/>
        <v/>
      </c>
      <c r="O260" s="2">
        <f t="shared" ref="K260:Q264" si="343">_xlfn.LET(_xlpm.StartDay, WEEKDAY(DATE($A260, $B260, 1), 1),_xlpm.DayNum, (COLUMN() - COLUMN($K$260) + 1) + (ROW() - ROW($K$260)) * 7 - _xlpm.StartDay + 1,IF(AND(_xlpm.DayNum &gt; 0, _xlpm.DayNum &lt;= DAY(EOMONTH(DATE($A260, $B260, 1), 0))), _xlpm.DayNum, ""))</f>
        <v>1</v>
      </c>
      <c r="P260" s="2">
        <f t="shared" si="343"/>
        <v>2</v>
      </c>
      <c r="Q260" s="76">
        <f t="shared" si="343"/>
        <v>3</v>
      </c>
    </row>
    <row r="261" spans="1:17" x14ac:dyDescent="0.25">
      <c r="A261" s="2">
        <v>2030</v>
      </c>
      <c r="B261" s="2">
        <v>8</v>
      </c>
      <c r="C261" s="2">
        <v>2</v>
      </c>
      <c r="D261" s="2">
        <v>2</v>
      </c>
      <c r="E261" s="2">
        <v>2</v>
      </c>
      <c r="F261" s="2">
        <v>3</v>
      </c>
      <c r="G261" s="2">
        <v>3</v>
      </c>
      <c r="H261" s="2">
        <v>3</v>
      </c>
      <c r="I261" s="2">
        <v>2</v>
      </c>
      <c r="J261" s="2">
        <v>2</v>
      </c>
      <c r="K261" s="76">
        <f t="shared" si="343"/>
        <v>4</v>
      </c>
      <c r="L261" s="2">
        <f t="shared" si="343"/>
        <v>5</v>
      </c>
      <c r="M261" s="2">
        <f t="shared" si="343"/>
        <v>6</v>
      </c>
      <c r="N261" s="2">
        <f t="shared" si="343"/>
        <v>7</v>
      </c>
      <c r="O261" s="2">
        <f t="shared" si="343"/>
        <v>8</v>
      </c>
      <c r="P261" s="2">
        <f t="shared" si="343"/>
        <v>9</v>
      </c>
      <c r="Q261" s="76">
        <f t="shared" si="343"/>
        <v>10</v>
      </c>
    </row>
    <row r="262" spans="1:17" x14ac:dyDescent="0.25">
      <c r="A262" s="2">
        <v>2030</v>
      </c>
      <c r="B262" s="2">
        <v>8</v>
      </c>
      <c r="C262" s="2">
        <v>3</v>
      </c>
      <c r="D262" s="2">
        <v>3</v>
      </c>
      <c r="E262" s="2">
        <v>3</v>
      </c>
      <c r="F262" s="2">
        <v>2</v>
      </c>
      <c r="G262" s="2">
        <v>2</v>
      </c>
      <c r="H262" s="2">
        <v>3</v>
      </c>
      <c r="I262" s="2">
        <v>2</v>
      </c>
      <c r="J262" s="2">
        <v>2</v>
      </c>
      <c r="K262" s="76">
        <f t="shared" si="343"/>
        <v>11</v>
      </c>
      <c r="L262" s="2">
        <f t="shared" si="343"/>
        <v>12</v>
      </c>
      <c r="M262" s="2">
        <f t="shared" si="343"/>
        <v>13</v>
      </c>
      <c r="N262" s="2">
        <f t="shared" si="343"/>
        <v>14</v>
      </c>
      <c r="O262" s="2">
        <f t="shared" si="343"/>
        <v>15</v>
      </c>
      <c r="P262" s="2">
        <f t="shared" si="343"/>
        <v>16</v>
      </c>
      <c r="Q262" s="76">
        <f t="shared" si="343"/>
        <v>17</v>
      </c>
    </row>
    <row r="263" spans="1:17" x14ac:dyDescent="0.25">
      <c r="A263" s="2">
        <v>2030</v>
      </c>
      <c r="B263" s="2">
        <v>8</v>
      </c>
      <c r="C263" s="2">
        <v>4</v>
      </c>
      <c r="D263" s="2">
        <v>3</v>
      </c>
      <c r="E263" s="2">
        <v>3</v>
      </c>
      <c r="F263" s="2">
        <v>4</v>
      </c>
      <c r="G263" s="2">
        <v>2</v>
      </c>
      <c r="H263" s="2">
        <v>2</v>
      </c>
      <c r="I263" s="2">
        <v>2</v>
      </c>
      <c r="J263" s="2">
        <v>3</v>
      </c>
      <c r="K263" s="76">
        <f t="shared" si="343"/>
        <v>18</v>
      </c>
      <c r="L263" s="2">
        <f t="shared" si="343"/>
        <v>19</v>
      </c>
      <c r="M263" s="2">
        <f t="shared" si="343"/>
        <v>20</v>
      </c>
      <c r="N263" s="2">
        <f t="shared" si="343"/>
        <v>21</v>
      </c>
      <c r="O263" s="2">
        <f t="shared" si="343"/>
        <v>22</v>
      </c>
      <c r="P263" s="2">
        <f t="shared" si="343"/>
        <v>23</v>
      </c>
      <c r="Q263" s="76">
        <f t="shared" si="343"/>
        <v>24</v>
      </c>
    </row>
    <row r="264" spans="1:17" x14ac:dyDescent="0.25">
      <c r="A264" s="2">
        <v>2030</v>
      </c>
      <c r="B264" s="2">
        <v>8</v>
      </c>
      <c r="C264" s="2">
        <v>5</v>
      </c>
      <c r="D264" s="2">
        <v>2</v>
      </c>
      <c r="E264" s="2">
        <v>3</v>
      </c>
      <c r="F264" s="2">
        <v>2</v>
      </c>
      <c r="G264" s="2">
        <v>3</v>
      </c>
      <c r="H264" s="2">
        <v>2</v>
      </c>
      <c r="I264" s="2">
        <v>2</v>
      </c>
      <c r="J264" s="2">
        <v>2</v>
      </c>
      <c r="K264" s="76">
        <f t="shared" si="343"/>
        <v>25</v>
      </c>
      <c r="L264" s="2">
        <f t="shared" si="343"/>
        <v>26</v>
      </c>
      <c r="M264" s="2">
        <f t="shared" si="343"/>
        <v>27</v>
      </c>
      <c r="N264" s="2">
        <f t="shared" si="343"/>
        <v>28</v>
      </c>
      <c r="O264" s="2">
        <f t="shared" si="343"/>
        <v>29</v>
      </c>
      <c r="P264" s="2">
        <f t="shared" si="343"/>
        <v>30</v>
      </c>
      <c r="Q264" s="76">
        <f t="shared" si="343"/>
        <v>31</v>
      </c>
    </row>
    <row r="265" spans="1:17" x14ac:dyDescent="0.25">
      <c r="A265" s="2">
        <v>2030</v>
      </c>
      <c r="B265" s="2">
        <v>8</v>
      </c>
      <c r="C265" s="2">
        <v>6</v>
      </c>
      <c r="D265" s="2">
        <v>1</v>
      </c>
      <c r="E265" s="2">
        <v>1</v>
      </c>
      <c r="F265" s="2">
        <v>1</v>
      </c>
      <c r="G265" s="2">
        <v>1</v>
      </c>
      <c r="H265" s="2">
        <v>1</v>
      </c>
      <c r="I265" s="2">
        <v>1</v>
      </c>
      <c r="J265" s="2">
        <v>1</v>
      </c>
      <c r="K265" s="77" t="str">
        <f t="shared" ref="K265" si="344">IF(D265&lt;&gt;1,"ERROR!!!","")</f>
        <v/>
      </c>
      <c r="L265" s="77" t="str">
        <f t="shared" ref="L265" si="345">IF(E265&lt;&gt;1,"ERROR!!!","")</f>
        <v/>
      </c>
      <c r="M265" s="77" t="str">
        <f t="shared" ref="M265" si="346">IF(F265&lt;&gt;1,"ERROR!!!","")</f>
        <v/>
      </c>
      <c r="N265" s="77" t="str">
        <f t="shared" ref="N265" si="347">IF(G265&lt;&gt;1,"ERROR!!!","")</f>
        <v/>
      </c>
      <c r="O265" s="77" t="str">
        <f t="shared" ref="O265" si="348">IF(H265&lt;&gt;1,"ERROR!!!","")</f>
        <v/>
      </c>
      <c r="P265" s="77" t="str">
        <f t="shared" ref="P265" si="349">IF(I265&lt;&gt;1,"ERROR!!!","")</f>
        <v/>
      </c>
      <c r="Q265" s="77" t="str">
        <f t="shared" ref="Q265" si="350">IF(J265&lt;&gt;1,"ERROR!!!","")</f>
        <v/>
      </c>
    </row>
    <row r="266" spans="1:17" x14ac:dyDescent="0.25">
      <c r="A266" s="2">
        <v>2030</v>
      </c>
      <c r="B266" s="2">
        <v>9</v>
      </c>
      <c r="C266" s="2">
        <v>1</v>
      </c>
      <c r="D266" s="2">
        <v>2</v>
      </c>
      <c r="E266" s="2">
        <v>2</v>
      </c>
      <c r="F266" s="2">
        <v>2</v>
      </c>
      <c r="G266" s="2">
        <v>2</v>
      </c>
      <c r="H266" s="2">
        <v>2</v>
      </c>
      <c r="I266" s="2">
        <v>2</v>
      </c>
      <c r="J266" s="2">
        <v>2</v>
      </c>
      <c r="K266" s="76">
        <f t="shared" ref="K266:Q270" si="351">_xlfn.LET(_xlpm.StartDay, WEEKDAY(DATE($A266, $B266, 1), 1),_xlpm.DayNum, (COLUMN() - COLUMN($K$266) + 1) + (ROW() - ROW($K$266)) * 7 - _xlpm.StartDay + 1,IF(AND(_xlpm.DayNum &gt; 0, _xlpm.DayNum &lt;= DAY(EOMONTH(DATE($A266, $B266, 1), 0))), _xlpm.DayNum, ""))</f>
        <v>1</v>
      </c>
      <c r="L266" s="2">
        <f t="shared" si="351"/>
        <v>2</v>
      </c>
      <c r="M266" s="2">
        <f t="shared" si="351"/>
        <v>3</v>
      </c>
      <c r="N266" s="2">
        <f t="shared" si="351"/>
        <v>4</v>
      </c>
      <c r="O266" s="2">
        <f t="shared" si="351"/>
        <v>5</v>
      </c>
      <c r="P266" s="2">
        <f t="shared" si="351"/>
        <v>6</v>
      </c>
      <c r="Q266" s="76">
        <f t="shared" si="351"/>
        <v>7</v>
      </c>
    </row>
    <row r="267" spans="1:17" x14ac:dyDescent="0.25">
      <c r="A267" s="2">
        <v>2030</v>
      </c>
      <c r="B267" s="2">
        <v>9</v>
      </c>
      <c r="C267" s="2">
        <v>2</v>
      </c>
      <c r="D267" s="2">
        <v>4</v>
      </c>
      <c r="E267" s="2">
        <v>2</v>
      </c>
      <c r="F267" s="2">
        <v>3</v>
      </c>
      <c r="G267" s="2">
        <v>3</v>
      </c>
      <c r="H267" s="2">
        <v>2</v>
      </c>
      <c r="I267" s="2">
        <v>3</v>
      </c>
      <c r="J267" s="2">
        <v>2</v>
      </c>
      <c r="K267" s="76">
        <f t="shared" si="351"/>
        <v>8</v>
      </c>
      <c r="L267" s="2">
        <f t="shared" si="351"/>
        <v>9</v>
      </c>
      <c r="M267" s="2">
        <f t="shared" si="351"/>
        <v>10</v>
      </c>
      <c r="N267" s="2">
        <f t="shared" si="351"/>
        <v>11</v>
      </c>
      <c r="O267" s="2">
        <f t="shared" si="351"/>
        <v>12</v>
      </c>
      <c r="P267" s="2">
        <f t="shared" si="351"/>
        <v>13</v>
      </c>
      <c r="Q267" s="76">
        <f t="shared" si="351"/>
        <v>14</v>
      </c>
    </row>
    <row r="268" spans="1:17" x14ac:dyDescent="0.25">
      <c r="A268" s="2">
        <v>2030</v>
      </c>
      <c r="B268" s="2">
        <v>9</v>
      </c>
      <c r="C268" s="2">
        <v>3</v>
      </c>
      <c r="D268" s="2">
        <v>3</v>
      </c>
      <c r="E268" s="2">
        <v>3</v>
      </c>
      <c r="F268" s="2">
        <v>2</v>
      </c>
      <c r="G268" s="2">
        <v>4</v>
      </c>
      <c r="H268" s="2">
        <v>3</v>
      </c>
      <c r="I268" s="2">
        <v>2</v>
      </c>
      <c r="J268" s="2">
        <v>3</v>
      </c>
      <c r="K268" s="76">
        <f t="shared" si="351"/>
        <v>15</v>
      </c>
      <c r="L268" s="2">
        <f t="shared" si="351"/>
        <v>16</v>
      </c>
      <c r="M268" s="2">
        <f t="shared" si="351"/>
        <v>17</v>
      </c>
      <c r="N268" s="2">
        <f t="shared" si="351"/>
        <v>18</v>
      </c>
      <c r="O268" s="2">
        <f t="shared" si="351"/>
        <v>19</v>
      </c>
      <c r="P268" s="2">
        <f t="shared" si="351"/>
        <v>20</v>
      </c>
      <c r="Q268" s="76">
        <f t="shared" si="351"/>
        <v>21</v>
      </c>
    </row>
    <row r="269" spans="1:17" x14ac:dyDescent="0.25">
      <c r="A269" s="2">
        <v>2030</v>
      </c>
      <c r="B269" s="2">
        <v>9</v>
      </c>
      <c r="C269" s="2">
        <v>4</v>
      </c>
      <c r="D269" s="2">
        <v>2</v>
      </c>
      <c r="E269" s="2">
        <v>4</v>
      </c>
      <c r="F269" s="2">
        <v>3</v>
      </c>
      <c r="G269" s="2">
        <v>2</v>
      </c>
      <c r="H269" s="2">
        <v>2</v>
      </c>
      <c r="I269" s="2">
        <v>2</v>
      </c>
      <c r="J269" s="2">
        <v>2</v>
      </c>
      <c r="K269" s="76">
        <f t="shared" si="351"/>
        <v>22</v>
      </c>
      <c r="L269" s="2">
        <f t="shared" si="351"/>
        <v>23</v>
      </c>
      <c r="M269" s="2">
        <f t="shared" si="351"/>
        <v>24</v>
      </c>
      <c r="N269" s="2">
        <f t="shared" si="351"/>
        <v>25</v>
      </c>
      <c r="O269" s="2">
        <f t="shared" si="351"/>
        <v>26</v>
      </c>
      <c r="P269" s="2">
        <f t="shared" si="351"/>
        <v>27</v>
      </c>
      <c r="Q269" s="76">
        <f t="shared" si="351"/>
        <v>28</v>
      </c>
    </row>
    <row r="270" spans="1:17" x14ac:dyDescent="0.25">
      <c r="A270" s="2">
        <v>2030</v>
      </c>
      <c r="B270" s="2">
        <v>9</v>
      </c>
      <c r="C270" s="2">
        <v>5</v>
      </c>
      <c r="D270" s="2">
        <v>2</v>
      </c>
      <c r="E270" s="2">
        <v>2</v>
      </c>
      <c r="F270" s="2">
        <v>1</v>
      </c>
      <c r="G270" s="2">
        <v>1</v>
      </c>
      <c r="H270" s="2">
        <v>1</v>
      </c>
      <c r="I270" s="2">
        <v>1</v>
      </c>
      <c r="J270" s="2">
        <v>1</v>
      </c>
      <c r="K270" s="76">
        <f t="shared" si="351"/>
        <v>29</v>
      </c>
      <c r="L270" s="2">
        <f t="shared" si="351"/>
        <v>30</v>
      </c>
      <c r="M270" s="77" t="str">
        <f t="shared" ref="M270:M271" si="352">IF(F270&lt;&gt;1,"ERROR!!!","")</f>
        <v/>
      </c>
      <c r="N270" s="77" t="str">
        <f t="shared" ref="N270:N271" si="353">IF(G270&lt;&gt;1,"ERROR!!!","")</f>
        <v/>
      </c>
      <c r="O270" s="77" t="str">
        <f t="shared" ref="O270:O271" si="354">IF(H270&lt;&gt;1,"ERROR!!!","")</f>
        <v/>
      </c>
      <c r="P270" s="77" t="str">
        <f t="shared" ref="P270:P271" si="355">IF(I270&lt;&gt;1,"ERROR!!!","")</f>
        <v/>
      </c>
      <c r="Q270" s="77" t="str">
        <f t="shared" ref="Q270:Q271" si="356">IF(J270&lt;&gt;1,"ERROR!!!","")</f>
        <v/>
      </c>
    </row>
    <row r="271" spans="1:17" x14ac:dyDescent="0.25">
      <c r="A271" s="2">
        <v>2030</v>
      </c>
      <c r="B271" s="2">
        <v>9</v>
      </c>
      <c r="C271" s="2">
        <v>6</v>
      </c>
      <c r="D271" s="2">
        <v>1</v>
      </c>
      <c r="E271" s="2">
        <v>1</v>
      </c>
      <c r="F271" s="2">
        <v>1</v>
      </c>
      <c r="G271" s="2">
        <v>1</v>
      </c>
      <c r="H271" s="2">
        <v>1</v>
      </c>
      <c r="I271" s="2">
        <v>1</v>
      </c>
      <c r="J271" s="2">
        <v>1</v>
      </c>
      <c r="K271" s="77" t="str">
        <f t="shared" ref="K271:K272" si="357">IF(D271&lt;&gt;1,"ERROR!!!","")</f>
        <v/>
      </c>
      <c r="L271" s="77" t="str">
        <f t="shared" ref="L271:L272" si="358">IF(E271&lt;&gt;1,"ERROR!!!","")</f>
        <v/>
      </c>
      <c r="M271" s="77" t="str">
        <f t="shared" si="352"/>
        <v/>
      </c>
      <c r="N271" s="77" t="str">
        <f t="shared" si="353"/>
        <v/>
      </c>
      <c r="O271" s="77" t="str">
        <f t="shared" si="354"/>
        <v/>
      </c>
      <c r="P271" s="77" t="str">
        <f t="shared" si="355"/>
        <v/>
      </c>
      <c r="Q271" s="77" t="str">
        <f t="shared" si="356"/>
        <v/>
      </c>
    </row>
    <row r="272" spans="1:17" x14ac:dyDescent="0.25">
      <c r="A272" s="2">
        <v>2030</v>
      </c>
      <c r="B272" s="2">
        <v>10</v>
      </c>
      <c r="C272" s="2">
        <v>1</v>
      </c>
      <c r="D272" s="2">
        <v>1</v>
      </c>
      <c r="E272" s="2">
        <v>1</v>
      </c>
      <c r="F272" s="2">
        <v>3</v>
      </c>
      <c r="G272" s="2">
        <v>2</v>
      </c>
      <c r="H272" s="2">
        <v>3</v>
      </c>
      <c r="I272" s="2">
        <v>3</v>
      </c>
      <c r="J272" s="2">
        <v>2</v>
      </c>
      <c r="K272" s="77" t="str">
        <f t="shared" si="357"/>
        <v/>
      </c>
      <c r="L272" s="77" t="str">
        <f t="shared" si="358"/>
        <v/>
      </c>
      <c r="M272" s="2">
        <f t="shared" ref="K272:Q276" si="359">_xlfn.LET(_xlpm.StartDay, WEEKDAY(DATE($A272, $B272, 1), 1),_xlpm.DayNum, (COLUMN() - COLUMN($K$272) + 1) + (ROW() - ROW($K$272)) * 7 - _xlpm.StartDay + 1,IF(AND(_xlpm.DayNum &gt; 0, _xlpm.DayNum &lt;= DAY(EOMONTH(DATE($A272, $B272, 1), 0))), _xlpm.DayNum, ""))</f>
        <v>1</v>
      </c>
      <c r="N272" s="2">
        <f t="shared" si="359"/>
        <v>2</v>
      </c>
      <c r="O272" s="2">
        <f t="shared" si="359"/>
        <v>3</v>
      </c>
      <c r="P272" s="2">
        <f t="shared" si="359"/>
        <v>4</v>
      </c>
      <c r="Q272" s="76">
        <f t="shared" si="359"/>
        <v>5</v>
      </c>
    </row>
    <row r="273" spans="1:17" x14ac:dyDescent="0.25">
      <c r="A273" s="2">
        <v>2030</v>
      </c>
      <c r="B273" s="2">
        <v>10</v>
      </c>
      <c r="C273" s="2">
        <v>2</v>
      </c>
      <c r="D273" s="2">
        <v>3</v>
      </c>
      <c r="E273" s="2">
        <v>3</v>
      </c>
      <c r="F273" s="2">
        <v>2</v>
      </c>
      <c r="G273" s="2">
        <v>3</v>
      </c>
      <c r="H273" s="2">
        <v>2</v>
      </c>
      <c r="I273" s="2">
        <v>2</v>
      </c>
      <c r="J273" s="2">
        <v>2</v>
      </c>
      <c r="K273" s="76">
        <f t="shared" si="359"/>
        <v>6</v>
      </c>
      <c r="L273" s="2">
        <f t="shared" si="359"/>
        <v>7</v>
      </c>
      <c r="M273" s="2">
        <f t="shared" si="359"/>
        <v>8</v>
      </c>
      <c r="N273" s="2">
        <f t="shared" si="359"/>
        <v>9</v>
      </c>
      <c r="O273" s="2">
        <f t="shared" si="359"/>
        <v>10</v>
      </c>
      <c r="P273" s="2">
        <f t="shared" si="359"/>
        <v>11</v>
      </c>
      <c r="Q273" s="76">
        <f t="shared" si="359"/>
        <v>12</v>
      </c>
    </row>
    <row r="274" spans="1:17" x14ac:dyDescent="0.25">
      <c r="A274" s="2">
        <v>2030</v>
      </c>
      <c r="B274" s="2">
        <v>10</v>
      </c>
      <c r="C274" s="2">
        <v>3</v>
      </c>
      <c r="D274" s="2">
        <v>2</v>
      </c>
      <c r="E274" s="2">
        <v>3</v>
      </c>
      <c r="F274" s="2">
        <v>2</v>
      </c>
      <c r="G274" s="2">
        <v>2</v>
      </c>
      <c r="H274" s="2">
        <v>2</v>
      </c>
      <c r="I274" s="2">
        <v>4</v>
      </c>
      <c r="J274" s="2">
        <v>2</v>
      </c>
      <c r="K274" s="76">
        <f t="shared" si="359"/>
        <v>13</v>
      </c>
      <c r="L274" s="2">
        <f t="shared" si="359"/>
        <v>14</v>
      </c>
      <c r="M274" s="2">
        <f t="shared" si="359"/>
        <v>15</v>
      </c>
      <c r="N274" s="2">
        <f t="shared" si="359"/>
        <v>16</v>
      </c>
      <c r="O274" s="2">
        <f t="shared" si="359"/>
        <v>17</v>
      </c>
      <c r="P274" s="2">
        <f t="shared" si="359"/>
        <v>18</v>
      </c>
      <c r="Q274" s="76">
        <f t="shared" si="359"/>
        <v>19</v>
      </c>
    </row>
    <row r="275" spans="1:17" x14ac:dyDescent="0.25">
      <c r="A275" s="2">
        <v>2030</v>
      </c>
      <c r="B275" s="2">
        <v>10</v>
      </c>
      <c r="C275" s="2">
        <v>4</v>
      </c>
      <c r="D275" s="2">
        <v>2</v>
      </c>
      <c r="E275" s="2">
        <v>2</v>
      </c>
      <c r="F275" s="2">
        <v>2</v>
      </c>
      <c r="G275" s="2">
        <v>2</v>
      </c>
      <c r="H275" s="2">
        <v>2</v>
      </c>
      <c r="I275" s="2">
        <v>2</v>
      </c>
      <c r="J275" s="2">
        <v>2</v>
      </c>
      <c r="K275" s="76">
        <f t="shared" si="359"/>
        <v>20</v>
      </c>
      <c r="L275" s="2">
        <f t="shared" si="359"/>
        <v>21</v>
      </c>
      <c r="M275" s="2">
        <f t="shared" si="359"/>
        <v>22</v>
      </c>
      <c r="N275" s="2">
        <f t="shared" si="359"/>
        <v>23</v>
      </c>
      <c r="O275" s="2">
        <f t="shared" si="359"/>
        <v>24</v>
      </c>
      <c r="P275" s="2">
        <f t="shared" si="359"/>
        <v>25</v>
      </c>
      <c r="Q275" s="76">
        <f t="shared" si="359"/>
        <v>26</v>
      </c>
    </row>
    <row r="276" spans="1:17" x14ac:dyDescent="0.25">
      <c r="A276" s="2">
        <v>2030</v>
      </c>
      <c r="B276" s="2">
        <v>10</v>
      </c>
      <c r="C276" s="2">
        <v>5</v>
      </c>
      <c r="D276" s="2">
        <v>3</v>
      </c>
      <c r="E276" s="2">
        <v>3</v>
      </c>
      <c r="F276" s="2">
        <v>3</v>
      </c>
      <c r="G276" s="2">
        <v>2</v>
      </c>
      <c r="H276" s="2">
        <v>2</v>
      </c>
      <c r="I276" s="2">
        <v>1</v>
      </c>
      <c r="J276" s="2">
        <v>1</v>
      </c>
      <c r="K276" s="76">
        <f t="shared" si="359"/>
        <v>27</v>
      </c>
      <c r="L276" s="2">
        <f t="shared" si="359"/>
        <v>28</v>
      </c>
      <c r="M276" s="2">
        <f t="shared" si="359"/>
        <v>29</v>
      </c>
      <c r="N276" s="2">
        <f t="shared" si="359"/>
        <v>30</v>
      </c>
      <c r="O276" s="2">
        <f t="shared" si="359"/>
        <v>31</v>
      </c>
      <c r="P276" s="77" t="str">
        <f t="shared" ref="P276:P277" si="360">IF(I276&lt;&gt;1,"ERROR!!!","")</f>
        <v/>
      </c>
      <c r="Q276" s="77" t="str">
        <f t="shared" ref="Q276:Q277" si="361">IF(J276&lt;&gt;1,"ERROR!!!","")</f>
        <v/>
      </c>
    </row>
    <row r="277" spans="1:17" x14ac:dyDescent="0.25">
      <c r="A277" s="2">
        <v>2030</v>
      </c>
      <c r="B277" s="2">
        <v>10</v>
      </c>
      <c r="C277" s="2">
        <v>6</v>
      </c>
      <c r="D277" s="2">
        <v>1</v>
      </c>
      <c r="E277" s="2">
        <v>1</v>
      </c>
      <c r="F277" s="2">
        <v>1</v>
      </c>
      <c r="G277" s="2">
        <v>1</v>
      </c>
      <c r="H277" s="2">
        <v>1</v>
      </c>
      <c r="I277" s="2">
        <v>1</v>
      </c>
      <c r="J277" s="2">
        <v>1</v>
      </c>
      <c r="K277" s="77" t="str">
        <f t="shared" ref="K277:K278" si="362">IF(D277&lt;&gt;1,"ERROR!!!","")</f>
        <v/>
      </c>
      <c r="L277" s="77" t="str">
        <f t="shared" ref="L277:L278" si="363">IF(E277&lt;&gt;1,"ERROR!!!","")</f>
        <v/>
      </c>
      <c r="M277" s="77" t="str">
        <f t="shared" ref="M277:M278" si="364">IF(F277&lt;&gt;1,"ERROR!!!","")</f>
        <v/>
      </c>
      <c r="N277" s="77" t="str">
        <f t="shared" ref="N277:N278" si="365">IF(G277&lt;&gt;1,"ERROR!!!","")</f>
        <v/>
      </c>
      <c r="O277" s="77" t="str">
        <f t="shared" ref="O277:O278" si="366">IF(H277&lt;&gt;1,"ERROR!!!","")</f>
        <v/>
      </c>
      <c r="P277" s="77" t="str">
        <f t="shared" si="360"/>
        <v/>
      </c>
      <c r="Q277" s="77" t="str">
        <f t="shared" si="361"/>
        <v/>
      </c>
    </row>
    <row r="278" spans="1:17" x14ac:dyDescent="0.25">
      <c r="A278" s="2">
        <v>2030</v>
      </c>
      <c r="B278" s="2">
        <v>11</v>
      </c>
      <c r="C278" s="2">
        <v>1</v>
      </c>
      <c r="D278" s="2">
        <v>1</v>
      </c>
      <c r="E278" s="2">
        <v>1</v>
      </c>
      <c r="F278" s="2">
        <v>1</v>
      </c>
      <c r="G278" s="2">
        <v>1</v>
      </c>
      <c r="H278" s="2">
        <v>1</v>
      </c>
      <c r="I278" s="2">
        <v>2</v>
      </c>
      <c r="J278" s="2">
        <v>2</v>
      </c>
      <c r="K278" s="77" t="str">
        <f t="shared" si="362"/>
        <v/>
      </c>
      <c r="L278" s="77" t="str">
        <f t="shared" si="363"/>
        <v/>
      </c>
      <c r="M278" s="77" t="str">
        <f t="shared" si="364"/>
        <v/>
      </c>
      <c r="N278" s="77" t="str">
        <f t="shared" si="365"/>
        <v/>
      </c>
      <c r="O278" s="77" t="str">
        <f t="shared" si="366"/>
        <v/>
      </c>
      <c r="P278" s="2">
        <f t="shared" ref="K278:Q282" si="367">_xlfn.LET(_xlpm.StartDay, WEEKDAY(DATE($A278, $B278, 1), 1),_xlpm.DayNum, (COLUMN() - COLUMN($K$278) + 1) + (ROW() - ROW($K$278)) * 7 - _xlpm.StartDay + 1,IF(AND(_xlpm.DayNum &gt; 0, _xlpm.DayNum &lt;= DAY(EOMONTH(DATE($A278, $B278, 1), 0))), _xlpm.DayNum, ""))</f>
        <v>1</v>
      </c>
      <c r="Q278" s="76">
        <f t="shared" si="367"/>
        <v>2</v>
      </c>
    </row>
    <row r="279" spans="1:17" x14ac:dyDescent="0.25">
      <c r="A279" s="2">
        <v>2030</v>
      </c>
      <c r="B279" s="2">
        <v>11</v>
      </c>
      <c r="C279" s="2">
        <v>2</v>
      </c>
      <c r="D279" s="2">
        <v>3</v>
      </c>
      <c r="E279" s="2">
        <v>2</v>
      </c>
      <c r="F279" s="2">
        <v>3</v>
      </c>
      <c r="G279" s="2">
        <v>4</v>
      </c>
      <c r="H279" s="2">
        <v>3</v>
      </c>
      <c r="I279" s="2">
        <v>3</v>
      </c>
      <c r="J279" s="2">
        <v>3</v>
      </c>
      <c r="K279" s="76">
        <f t="shared" si="367"/>
        <v>3</v>
      </c>
      <c r="L279" s="2">
        <f t="shared" si="367"/>
        <v>4</v>
      </c>
      <c r="M279" s="2">
        <f t="shared" si="367"/>
        <v>5</v>
      </c>
      <c r="N279" s="2">
        <f t="shared" si="367"/>
        <v>6</v>
      </c>
      <c r="O279" s="2">
        <f t="shared" si="367"/>
        <v>7</v>
      </c>
      <c r="P279" s="2">
        <f t="shared" si="367"/>
        <v>8</v>
      </c>
      <c r="Q279" s="76">
        <f t="shared" si="367"/>
        <v>9</v>
      </c>
    </row>
    <row r="280" spans="1:17" x14ac:dyDescent="0.25">
      <c r="A280" s="2">
        <v>2030</v>
      </c>
      <c r="B280" s="2">
        <v>11</v>
      </c>
      <c r="C280" s="2">
        <v>3</v>
      </c>
      <c r="D280" s="2">
        <v>4</v>
      </c>
      <c r="E280" s="2">
        <v>2</v>
      </c>
      <c r="F280" s="2">
        <v>3</v>
      </c>
      <c r="G280" s="2">
        <v>2</v>
      </c>
      <c r="H280" s="2">
        <v>2</v>
      </c>
      <c r="I280" s="2">
        <v>3</v>
      </c>
      <c r="J280" s="2">
        <v>2</v>
      </c>
      <c r="K280" s="76">
        <f t="shared" si="367"/>
        <v>10</v>
      </c>
      <c r="L280" s="2">
        <f t="shared" si="367"/>
        <v>11</v>
      </c>
      <c r="M280" s="2">
        <f t="shared" si="367"/>
        <v>12</v>
      </c>
      <c r="N280" s="2">
        <f t="shared" si="367"/>
        <v>13</v>
      </c>
      <c r="O280" s="2">
        <f t="shared" si="367"/>
        <v>14</v>
      </c>
      <c r="P280" s="2">
        <f t="shared" si="367"/>
        <v>15</v>
      </c>
      <c r="Q280" s="76">
        <f t="shared" si="367"/>
        <v>16</v>
      </c>
    </row>
    <row r="281" spans="1:17" x14ac:dyDescent="0.25">
      <c r="A281" s="2">
        <v>2030</v>
      </c>
      <c r="B281" s="2">
        <v>11</v>
      </c>
      <c r="C281" s="2">
        <v>4</v>
      </c>
      <c r="D281" s="2">
        <v>3</v>
      </c>
      <c r="E281" s="2">
        <v>4</v>
      </c>
      <c r="F281" s="2">
        <v>3</v>
      </c>
      <c r="G281" s="2">
        <v>2</v>
      </c>
      <c r="H281" s="2">
        <v>3</v>
      </c>
      <c r="I281" s="2">
        <v>2</v>
      </c>
      <c r="J281" s="2">
        <v>4</v>
      </c>
      <c r="K281" s="76">
        <f t="shared" si="367"/>
        <v>17</v>
      </c>
      <c r="L281" s="2">
        <f t="shared" si="367"/>
        <v>18</v>
      </c>
      <c r="M281" s="2">
        <f t="shared" si="367"/>
        <v>19</v>
      </c>
      <c r="N281" s="2">
        <f t="shared" si="367"/>
        <v>20</v>
      </c>
      <c r="O281" s="2">
        <f t="shared" si="367"/>
        <v>21</v>
      </c>
      <c r="P281" s="2">
        <f t="shared" si="367"/>
        <v>22</v>
      </c>
      <c r="Q281" s="76">
        <f t="shared" si="367"/>
        <v>23</v>
      </c>
    </row>
    <row r="282" spans="1:17" x14ac:dyDescent="0.25">
      <c r="A282" s="2">
        <v>2030</v>
      </c>
      <c r="B282" s="2">
        <v>11</v>
      </c>
      <c r="C282" s="2">
        <v>5</v>
      </c>
      <c r="D282" s="2">
        <v>2</v>
      </c>
      <c r="E282" s="2">
        <v>2</v>
      </c>
      <c r="F282" s="2">
        <v>3</v>
      </c>
      <c r="G282" s="2">
        <v>2</v>
      </c>
      <c r="H282" s="2">
        <v>4</v>
      </c>
      <c r="I282" s="2">
        <v>2</v>
      </c>
      <c r="J282" s="2">
        <v>2</v>
      </c>
      <c r="K282" s="76">
        <f t="shared" si="367"/>
        <v>24</v>
      </c>
      <c r="L282" s="2">
        <f t="shared" si="367"/>
        <v>25</v>
      </c>
      <c r="M282" s="2">
        <f t="shared" si="367"/>
        <v>26</v>
      </c>
      <c r="N282" s="2">
        <f t="shared" si="367"/>
        <v>27</v>
      </c>
      <c r="O282" s="2">
        <f t="shared" si="367"/>
        <v>28</v>
      </c>
      <c r="P282" s="2">
        <f t="shared" si="367"/>
        <v>29</v>
      </c>
      <c r="Q282" s="76">
        <f t="shared" si="367"/>
        <v>30</v>
      </c>
    </row>
    <row r="283" spans="1:17" x14ac:dyDescent="0.25">
      <c r="A283" s="2">
        <v>2030</v>
      </c>
      <c r="B283" s="2">
        <v>11</v>
      </c>
      <c r="C283" s="2">
        <v>6</v>
      </c>
      <c r="D283" s="2">
        <v>1</v>
      </c>
      <c r="E283" s="2">
        <v>1</v>
      </c>
      <c r="F283" s="2">
        <v>1</v>
      </c>
      <c r="G283" s="2">
        <v>1</v>
      </c>
      <c r="H283" s="2">
        <v>1</v>
      </c>
      <c r="I283" s="2">
        <v>1</v>
      </c>
      <c r="J283" s="2">
        <v>1</v>
      </c>
      <c r="K283" s="77" t="str">
        <f t="shared" ref="K283" si="368">IF(D283&lt;&gt;1,"ERROR!!!","")</f>
        <v/>
      </c>
      <c r="L283" s="77" t="str">
        <f t="shared" ref="L283" si="369">IF(E283&lt;&gt;1,"ERROR!!!","")</f>
        <v/>
      </c>
      <c r="M283" s="77" t="str">
        <f t="shared" ref="M283" si="370">IF(F283&lt;&gt;1,"ERROR!!!","")</f>
        <v/>
      </c>
      <c r="N283" s="77" t="str">
        <f t="shared" ref="N283" si="371">IF(G283&lt;&gt;1,"ERROR!!!","")</f>
        <v/>
      </c>
      <c r="O283" s="77" t="str">
        <f t="shared" ref="O283" si="372">IF(H283&lt;&gt;1,"ERROR!!!","")</f>
        <v/>
      </c>
      <c r="P283" s="77" t="str">
        <f t="shared" ref="P283" si="373">IF(I283&lt;&gt;1,"ERROR!!!","")</f>
        <v/>
      </c>
      <c r="Q283" s="77" t="str">
        <f t="shared" ref="Q283" si="374">IF(J283&lt;&gt;1,"ERROR!!!","")</f>
        <v/>
      </c>
    </row>
    <row r="284" spans="1:17" x14ac:dyDescent="0.25">
      <c r="A284" s="2">
        <v>2030</v>
      </c>
      <c r="B284" s="2">
        <v>12</v>
      </c>
      <c r="C284" s="2">
        <v>1</v>
      </c>
      <c r="D284" s="2">
        <v>2</v>
      </c>
      <c r="E284" s="2">
        <v>2</v>
      </c>
      <c r="F284" s="2">
        <v>2</v>
      </c>
      <c r="G284" s="2">
        <v>2</v>
      </c>
      <c r="H284" s="2">
        <v>2</v>
      </c>
      <c r="I284" s="2">
        <v>2</v>
      </c>
      <c r="J284" s="2">
        <v>2</v>
      </c>
      <c r="K284" s="76">
        <f t="shared" ref="K284:Q288" si="375">_xlfn.LET(_xlpm.StartDay, WEEKDAY(DATE($A284, $B284, 1), 1),_xlpm.DayNum, (COLUMN() - COLUMN($K$284) + 1) + (ROW() - ROW($K$284)) * 7 - _xlpm.StartDay + 1,IF(AND(_xlpm.DayNum &gt; 0, _xlpm.DayNum &lt;= DAY(EOMONTH(DATE($A284, $B284, 1), 0))), _xlpm.DayNum, ""))</f>
        <v>1</v>
      </c>
      <c r="L284" s="2">
        <f t="shared" si="375"/>
        <v>2</v>
      </c>
      <c r="M284" s="2">
        <f t="shared" si="375"/>
        <v>3</v>
      </c>
      <c r="N284" s="2">
        <f t="shared" si="375"/>
        <v>4</v>
      </c>
      <c r="O284" s="2">
        <f t="shared" si="375"/>
        <v>5</v>
      </c>
      <c r="P284" s="2">
        <f t="shared" si="375"/>
        <v>6</v>
      </c>
      <c r="Q284" s="76">
        <f t="shared" si="375"/>
        <v>7</v>
      </c>
    </row>
    <row r="285" spans="1:17" x14ac:dyDescent="0.25">
      <c r="A285" s="2">
        <v>2030</v>
      </c>
      <c r="B285" s="2">
        <v>12</v>
      </c>
      <c r="C285" s="2">
        <v>2</v>
      </c>
      <c r="D285" s="2">
        <v>3</v>
      </c>
      <c r="E285" s="2">
        <v>2</v>
      </c>
      <c r="F285" s="2">
        <v>3</v>
      </c>
      <c r="G285" s="2">
        <v>3</v>
      </c>
      <c r="H285" s="2">
        <v>3</v>
      </c>
      <c r="I285" s="2">
        <v>4</v>
      </c>
      <c r="J285" s="2">
        <v>3</v>
      </c>
      <c r="K285" s="76">
        <f t="shared" si="375"/>
        <v>8</v>
      </c>
      <c r="L285" s="2">
        <f t="shared" si="375"/>
        <v>9</v>
      </c>
      <c r="M285" s="2">
        <f t="shared" si="375"/>
        <v>10</v>
      </c>
      <c r="N285" s="2">
        <f t="shared" si="375"/>
        <v>11</v>
      </c>
      <c r="O285" s="2">
        <f t="shared" si="375"/>
        <v>12</v>
      </c>
      <c r="P285" s="2">
        <f t="shared" si="375"/>
        <v>13</v>
      </c>
      <c r="Q285" s="76">
        <f t="shared" si="375"/>
        <v>14</v>
      </c>
    </row>
    <row r="286" spans="1:17" x14ac:dyDescent="0.25">
      <c r="A286" s="2">
        <v>2030</v>
      </c>
      <c r="B286" s="2">
        <v>12</v>
      </c>
      <c r="C286" s="2">
        <v>3</v>
      </c>
      <c r="D286" s="2">
        <v>2</v>
      </c>
      <c r="E286" s="2">
        <v>3</v>
      </c>
      <c r="F286" s="2">
        <v>2</v>
      </c>
      <c r="G286" s="2">
        <v>3</v>
      </c>
      <c r="H286" s="2">
        <v>2</v>
      </c>
      <c r="I286" s="2">
        <v>4</v>
      </c>
      <c r="J286" s="2">
        <v>3</v>
      </c>
      <c r="K286" s="76">
        <f t="shared" si="375"/>
        <v>15</v>
      </c>
      <c r="L286" s="2">
        <f t="shared" si="375"/>
        <v>16</v>
      </c>
      <c r="M286" s="2">
        <f t="shared" si="375"/>
        <v>17</v>
      </c>
      <c r="N286" s="2">
        <f t="shared" si="375"/>
        <v>18</v>
      </c>
      <c r="O286" s="2">
        <f t="shared" si="375"/>
        <v>19</v>
      </c>
      <c r="P286" s="2">
        <f t="shared" si="375"/>
        <v>20</v>
      </c>
      <c r="Q286" s="76">
        <f t="shared" si="375"/>
        <v>21</v>
      </c>
    </row>
    <row r="287" spans="1:17" x14ac:dyDescent="0.25">
      <c r="A287" s="2">
        <v>2030</v>
      </c>
      <c r="B287" s="2">
        <v>12</v>
      </c>
      <c r="C287" s="2">
        <v>4</v>
      </c>
      <c r="D287" s="2">
        <v>2</v>
      </c>
      <c r="E287" s="2">
        <v>3</v>
      </c>
      <c r="F287" s="2">
        <v>4</v>
      </c>
      <c r="G287" s="2">
        <v>2</v>
      </c>
      <c r="H287" s="2">
        <v>3</v>
      </c>
      <c r="I287" s="2">
        <v>3</v>
      </c>
      <c r="J287" s="2">
        <v>3</v>
      </c>
      <c r="K287" s="76">
        <f t="shared" si="375"/>
        <v>22</v>
      </c>
      <c r="L287" s="2">
        <f t="shared" si="375"/>
        <v>23</v>
      </c>
      <c r="M287" s="2">
        <f t="shared" si="375"/>
        <v>24</v>
      </c>
      <c r="N287" s="2">
        <f t="shared" si="375"/>
        <v>25</v>
      </c>
      <c r="O287" s="2">
        <f t="shared" si="375"/>
        <v>26</v>
      </c>
      <c r="P287" s="2">
        <f t="shared" si="375"/>
        <v>27</v>
      </c>
      <c r="Q287" s="76">
        <f t="shared" si="375"/>
        <v>28</v>
      </c>
    </row>
    <row r="288" spans="1:17" x14ac:dyDescent="0.25">
      <c r="A288" s="2">
        <v>2030</v>
      </c>
      <c r="B288" s="2">
        <v>12</v>
      </c>
      <c r="C288" s="2">
        <v>5</v>
      </c>
      <c r="D288" s="2">
        <v>4</v>
      </c>
      <c r="E288" s="2">
        <v>2</v>
      </c>
      <c r="F288" s="2">
        <v>3</v>
      </c>
      <c r="G288" s="2">
        <v>1</v>
      </c>
      <c r="H288" s="2">
        <v>1</v>
      </c>
      <c r="I288" s="2">
        <v>1</v>
      </c>
      <c r="J288" s="2">
        <v>1</v>
      </c>
      <c r="K288" s="76">
        <f t="shared" si="375"/>
        <v>29</v>
      </c>
      <c r="L288" s="2">
        <f t="shared" si="375"/>
        <v>30</v>
      </c>
      <c r="M288" s="2">
        <f t="shared" si="375"/>
        <v>31</v>
      </c>
      <c r="N288" s="77" t="str">
        <f t="shared" ref="N288:N289" si="376">IF(G288&lt;&gt;1,"ERROR!!!","")</f>
        <v/>
      </c>
      <c r="O288" s="77" t="str">
        <f t="shared" ref="O288:O289" si="377">IF(H288&lt;&gt;1,"ERROR!!!","")</f>
        <v/>
      </c>
      <c r="P288" s="77" t="str">
        <f t="shared" ref="P288:P289" si="378">IF(I288&lt;&gt;1,"ERROR!!!","")</f>
        <v/>
      </c>
      <c r="Q288" s="77" t="str">
        <f t="shared" ref="Q288:Q289" si="379">IF(J288&lt;&gt;1,"ERROR!!!","")</f>
        <v/>
      </c>
    </row>
    <row r="289" spans="1:17" x14ac:dyDescent="0.25">
      <c r="A289" s="2">
        <v>2030</v>
      </c>
      <c r="B289" s="2">
        <v>12</v>
      </c>
      <c r="C289" s="2">
        <v>6</v>
      </c>
      <c r="D289" s="2">
        <v>1</v>
      </c>
      <c r="E289" s="2">
        <v>1</v>
      </c>
      <c r="F289" s="2">
        <v>1</v>
      </c>
      <c r="G289" s="2">
        <v>1</v>
      </c>
      <c r="H289" s="2">
        <v>1</v>
      </c>
      <c r="I289" s="2">
        <v>1</v>
      </c>
      <c r="J289" s="2">
        <v>1</v>
      </c>
      <c r="K289" s="77" t="str">
        <f t="shared" ref="K289" si="380">IF(D289&lt;&gt;1,"ERROR!!!","")</f>
        <v/>
      </c>
      <c r="L289" s="77" t="str">
        <f t="shared" ref="L289" si="381">IF(E289&lt;&gt;1,"ERROR!!!","")</f>
        <v/>
      </c>
      <c r="M289" s="77" t="str">
        <f t="shared" ref="M289" si="382">IF(F289&lt;&gt;1,"ERROR!!!","")</f>
        <v/>
      </c>
      <c r="N289" s="77" t="str">
        <f t="shared" si="376"/>
        <v/>
      </c>
      <c r="O289" s="77" t="str">
        <f t="shared" si="377"/>
        <v/>
      </c>
      <c r="P289" s="77" t="str">
        <f t="shared" si="378"/>
        <v/>
      </c>
      <c r="Q289" s="77" t="str">
        <f t="shared" si="379"/>
        <v/>
      </c>
    </row>
  </sheetData>
  <conditionalFormatting sqref="D2:J289">
    <cfRule type="cellIs" dxfId="3" priority="1" operator="equal">
      <formula>$S$4</formula>
    </cfRule>
    <cfRule type="cellIs" dxfId="2" priority="2" operator="equal">
      <formula>$S$3</formula>
    </cfRule>
    <cfRule type="cellIs" dxfId="1" priority="3" operator="equal">
      <formula>$S$2</formula>
    </cfRule>
    <cfRule type="cellIs" dxfId="0" priority="4" operator="equal">
      <formula>$S$1</formula>
    </cfRule>
  </conditionalFormatting>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F7B59B-024D-430C-9C97-1A485FF9FE94}">
  <dimension ref="A1:M64"/>
  <sheetViews>
    <sheetView workbookViewId="0">
      <selection activeCell="F4" sqref="F4:M5"/>
    </sheetView>
  </sheetViews>
  <sheetFormatPr defaultRowHeight="15" x14ac:dyDescent="0.25"/>
  <sheetData>
    <row r="1" spans="1:13" x14ac:dyDescent="0.25">
      <c r="F1">
        <v>50</v>
      </c>
      <c r="G1">
        <v>100</v>
      </c>
      <c r="H1">
        <v>40</v>
      </c>
      <c r="I1">
        <v>135</v>
      </c>
      <c r="J1">
        <v>15</v>
      </c>
    </row>
    <row r="2" spans="1:13" x14ac:dyDescent="0.25">
      <c r="B2" s="29" t="s">
        <v>158</v>
      </c>
      <c r="C2">
        <v>0</v>
      </c>
      <c r="D2">
        <v>70</v>
      </c>
      <c r="F2">
        <v>20</v>
      </c>
      <c r="G2">
        <v>100</v>
      </c>
      <c r="H2">
        <v>15</v>
      </c>
      <c r="I2">
        <v>135</v>
      </c>
      <c r="J2">
        <v>8</v>
      </c>
    </row>
    <row r="3" spans="1:13" x14ac:dyDescent="0.25">
      <c r="B3" s="30" t="s">
        <v>159</v>
      </c>
      <c r="C3">
        <v>75</v>
      </c>
      <c r="D3">
        <v>70</v>
      </c>
    </row>
    <row r="4" spans="1:13" ht="15" customHeight="1" x14ac:dyDescent="0.55000000000000004">
      <c r="B4" s="31"/>
      <c r="F4" s="82"/>
      <c r="G4" s="82"/>
      <c r="H4" s="82"/>
      <c r="I4" s="82"/>
      <c r="J4" s="82"/>
      <c r="K4" s="82"/>
      <c r="L4" s="82"/>
      <c r="M4" s="82"/>
    </row>
    <row r="5" spans="1:13" ht="15" customHeight="1" x14ac:dyDescent="0.55000000000000004">
      <c r="B5" s="32" t="s">
        <v>160</v>
      </c>
      <c r="C5">
        <v>0</v>
      </c>
      <c r="D5">
        <v>70</v>
      </c>
      <c r="F5" s="82"/>
      <c r="G5" s="82"/>
      <c r="H5" s="82"/>
      <c r="I5" s="82"/>
      <c r="J5" s="82"/>
      <c r="K5" s="82"/>
      <c r="L5" s="82"/>
      <c r="M5" s="82"/>
    </row>
    <row r="6" spans="1:13" x14ac:dyDescent="0.25">
      <c r="B6" s="33" t="s">
        <v>161</v>
      </c>
      <c r="C6">
        <v>55</v>
      </c>
      <c r="D6">
        <v>70</v>
      </c>
    </row>
    <row r="7" spans="1:13" x14ac:dyDescent="0.25">
      <c r="A7" t="s">
        <v>165</v>
      </c>
      <c r="B7" s="34" t="s">
        <v>162</v>
      </c>
      <c r="C7">
        <v>0</v>
      </c>
      <c r="D7">
        <v>90</v>
      </c>
    </row>
    <row r="8" spans="1:13" x14ac:dyDescent="0.25">
      <c r="A8" t="s">
        <v>165</v>
      </c>
      <c r="B8" s="35" t="s">
        <v>163</v>
      </c>
      <c r="C8">
        <v>50</v>
      </c>
      <c r="D8">
        <v>90</v>
      </c>
    </row>
    <row r="9" spans="1:13" x14ac:dyDescent="0.25">
      <c r="A9" t="s">
        <v>165</v>
      </c>
      <c r="B9" s="36" t="s">
        <v>164</v>
      </c>
      <c r="C9">
        <v>95</v>
      </c>
      <c r="D9">
        <v>90</v>
      </c>
    </row>
    <row r="10" spans="1:13" x14ac:dyDescent="0.25">
      <c r="B10" s="31"/>
    </row>
    <row r="11" spans="1:13" x14ac:dyDescent="0.25">
      <c r="B11" s="36" t="s">
        <v>164</v>
      </c>
      <c r="C11">
        <v>0</v>
      </c>
      <c r="D11">
        <v>45</v>
      </c>
    </row>
    <row r="12" spans="1:13" x14ac:dyDescent="0.25">
      <c r="B12" s="37" t="s">
        <v>166</v>
      </c>
      <c r="C12">
        <v>85</v>
      </c>
      <c r="D12">
        <v>45</v>
      </c>
    </row>
    <row r="13" spans="1:13" x14ac:dyDescent="0.25">
      <c r="A13" t="s">
        <v>165</v>
      </c>
      <c r="B13" s="34" t="s">
        <v>162</v>
      </c>
      <c r="C13">
        <v>0</v>
      </c>
      <c r="D13">
        <v>90</v>
      </c>
    </row>
    <row r="14" spans="1:13" x14ac:dyDescent="0.25">
      <c r="A14" t="s">
        <v>165</v>
      </c>
      <c r="B14" s="35" t="s">
        <v>163</v>
      </c>
      <c r="C14">
        <v>75</v>
      </c>
      <c r="D14">
        <v>90</v>
      </c>
    </row>
    <row r="15" spans="1:13" x14ac:dyDescent="0.25">
      <c r="A15" t="s">
        <v>165</v>
      </c>
      <c r="B15" s="36" t="s">
        <v>164</v>
      </c>
      <c r="C15">
        <v>100</v>
      </c>
      <c r="D15">
        <v>90</v>
      </c>
    </row>
    <row r="17" spans="1:4" x14ac:dyDescent="0.25">
      <c r="B17" s="38" t="s">
        <v>167</v>
      </c>
      <c r="C17">
        <v>0</v>
      </c>
      <c r="D17">
        <v>45</v>
      </c>
    </row>
    <row r="18" spans="1:4" x14ac:dyDescent="0.25">
      <c r="B18" s="39" t="s">
        <v>168</v>
      </c>
      <c r="C18">
        <v>85</v>
      </c>
      <c r="D18">
        <v>45</v>
      </c>
    </row>
    <row r="19" spans="1:4" x14ac:dyDescent="0.25">
      <c r="A19" t="s">
        <v>165</v>
      </c>
      <c r="B19" s="34" t="s">
        <v>162</v>
      </c>
      <c r="C19">
        <v>0</v>
      </c>
      <c r="D19">
        <v>90</v>
      </c>
    </row>
    <row r="20" spans="1:4" x14ac:dyDescent="0.25">
      <c r="A20" t="s">
        <v>165</v>
      </c>
      <c r="B20" s="35" t="s">
        <v>163</v>
      </c>
      <c r="C20">
        <v>50</v>
      </c>
      <c r="D20">
        <v>90</v>
      </c>
    </row>
    <row r="21" spans="1:4" x14ac:dyDescent="0.25">
      <c r="A21" t="s">
        <v>165</v>
      </c>
      <c r="B21" s="36" t="s">
        <v>164</v>
      </c>
      <c r="C21">
        <v>95</v>
      </c>
      <c r="D21">
        <v>90</v>
      </c>
    </row>
    <row r="22" spans="1:4" x14ac:dyDescent="0.25">
      <c r="B22" s="31"/>
    </row>
    <row r="23" spans="1:4" x14ac:dyDescent="0.25">
      <c r="B23" s="31"/>
    </row>
    <row r="24" spans="1:4" x14ac:dyDescent="0.25">
      <c r="B24" s="31"/>
    </row>
    <row r="25" spans="1:4" x14ac:dyDescent="0.25">
      <c r="B25" s="40" t="s">
        <v>169</v>
      </c>
      <c r="C25">
        <v>0</v>
      </c>
      <c r="D25">
        <v>70</v>
      </c>
    </row>
    <row r="26" spans="1:4" x14ac:dyDescent="0.25">
      <c r="B26" s="41" t="s">
        <v>170</v>
      </c>
      <c r="C26">
        <v>85</v>
      </c>
      <c r="D26">
        <v>70</v>
      </c>
    </row>
    <row r="27" spans="1:4" x14ac:dyDescent="0.25">
      <c r="A27" t="s">
        <v>165</v>
      </c>
      <c r="B27" s="34" t="s">
        <v>162</v>
      </c>
      <c r="C27">
        <v>0</v>
      </c>
      <c r="D27">
        <v>135</v>
      </c>
    </row>
    <row r="28" spans="1:4" x14ac:dyDescent="0.25">
      <c r="A28" t="s">
        <v>165</v>
      </c>
      <c r="B28" s="42" t="s">
        <v>171</v>
      </c>
      <c r="C28">
        <v>60</v>
      </c>
      <c r="D28">
        <v>135</v>
      </c>
    </row>
    <row r="30" spans="1:4" x14ac:dyDescent="0.25">
      <c r="A30" t="s">
        <v>165</v>
      </c>
      <c r="B30" s="43" t="s">
        <v>172</v>
      </c>
    </row>
    <row r="31" spans="1:4" x14ac:dyDescent="0.25">
      <c r="B31" s="44" t="s">
        <v>173</v>
      </c>
    </row>
    <row r="32" spans="1:4" x14ac:dyDescent="0.25">
      <c r="B32" s="31"/>
    </row>
    <row r="33" spans="1:5" x14ac:dyDescent="0.25">
      <c r="B33" s="45" t="s">
        <v>174</v>
      </c>
      <c r="C33">
        <v>0</v>
      </c>
      <c r="D33">
        <v>90</v>
      </c>
    </row>
    <row r="34" spans="1:5" x14ac:dyDescent="0.25">
      <c r="B34" s="46" t="s">
        <v>175</v>
      </c>
      <c r="C34">
        <v>25</v>
      </c>
      <c r="D34">
        <v>90</v>
      </c>
    </row>
    <row r="35" spans="1:5" x14ac:dyDescent="0.25">
      <c r="B35" s="45" t="s">
        <v>174</v>
      </c>
      <c r="C35">
        <v>100</v>
      </c>
      <c r="D35">
        <v>90</v>
      </c>
    </row>
    <row r="36" spans="1:5" x14ac:dyDescent="0.25">
      <c r="B36" s="31"/>
    </row>
    <row r="37" spans="1:5" x14ac:dyDescent="0.25">
      <c r="B37" s="47" t="s">
        <v>176</v>
      </c>
      <c r="E37">
        <v>75</v>
      </c>
    </row>
    <row r="38" spans="1:5" x14ac:dyDescent="0.25">
      <c r="B38" s="31"/>
    </row>
    <row r="39" spans="1:5" x14ac:dyDescent="0.25">
      <c r="A39" t="s">
        <v>165</v>
      </c>
      <c r="B39" s="48" t="s">
        <v>177</v>
      </c>
      <c r="C39">
        <v>0</v>
      </c>
      <c r="D39">
        <v>90</v>
      </c>
    </row>
    <row r="40" spans="1:5" x14ac:dyDescent="0.25">
      <c r="A40" t="s">
        <v>165</v>
      </c>
      <c r="B40" s="49" t="s">
        <v>178</v>
      </c>
      <c r="C40">
        <v>30</v>
      </c>
      <c r="D40">
        <v>90</v>
      </c>
    </row>
    <row r="41" spans="1:5" x14ac:dyDescent="0.25">
      <c r="A41" t="s">
        <v>165</v>
      </c>
      <c r="B41" s="50" t="s">
        <v>179</v>
      </c>
      <c r="C41">
        <v>0</v>
      </c>
      <c r="D41">
        <v>90</v>
      </c>
    </row>
    <row r="42" spans="1:5" x14ac:dyDescent="0.25">
      <c r="A42" t="s">
        <v>165</v>
      </c>
      <c r="B42" s="51" t="s">
        <v>180</v>
      </c>
      <c r="C42">
        <v>30</v>
      </c>
      <c r="D42">
        <v>90</v>
      </c>
    </row>
    <row r="43" spans="1:5" x14ac:dyDescent="0.25">
      <c r="A43" t="s">
        <v>165</v>
      </c>
      <c r="B43" s="52" t="s">
        <v>181</v>
      </c>
      <c r="C43">
        <v>0</v>
      </c>
      <c r="D43">
        <v>90</v>
      </c>
    </row>
    <row r="44" spans="1:5" x14ac:dyDescent="0.25">
      <c r="A44" t="s">
        <v>165</v>
      </c>
      <c r="B44" s="53" t="s">
        <v>182</v>
      </c>
      <c r="C44">
        <v>30</v>
      </c>
      <c r="D44">
        <v>90</v>
      </c>
    </row>
    <row r="45" spans="1:5" x14ac:dyDescent="0.25">
      <c r="A45" t="s">
        <v>165</v>
      </c>
      <c r="B45" s="54" t="s">
        <v>183</v>
      </c>
      <c r="C45">
        <v>0</v>
      </c>
      <c r="D45">
        <v>90</v>
      </c>
    </row>
    <row r="46" spans="1:5" x14ac:dyDescent="0.25">
      <c r="A46" t="s">
        <v>165</v>
      </c>
      <c r="B46" s="55" t="s">
        <v>184</v>
      </c>
      <c r="C46">
        <v>30</v>
      </c>
      <c r="D46">
        <v>90</v>
      </c>
    </row>
    <row r="47" spans="1:5" x14ac:dyDescent="0.25">
      <c r="A47" t="s">
        <v>165</v>
      </c>
      <c r="B47" s="56" t="s">
        <v>185</v>
      </c>
      <c r="C47">
        <v>0</v>
      </c>
      <c r="D47">
        <v>90</v>
      </c>
    </row>
    <row r="48" spans="1:5" x14ac:dyDescent="0.25">
      <c r="A48" t="s">
        <v>165</v>
      </c>
      <c r="B48" s="57" t="s">
        <v>186</v>
      </c>
      <c r="C48">
        <v>30</v>
      </c>
      <c r="D48">
        <v>90</v>
      </c>
    </row>
    <row r="50" spans="1:4" x14ac:dyDescent="0.25">
      <c r="A50" t="s">
        <v>165</v>
      </c>
      <c r="B50" s="58" t="s">
        <v>187</v>
      </c>
    </row>
    <row r="52" spans="1:4" x14ac:dyDescent="0.25">
      <c r="B52" s="60" t="s">
        <v>188</v>
      </c>
      <c r="C52">
        <v>0</v>
      </c>
      <c r="D52">
        <v>90</v>
      </c>
    </row>
    <row r="53" spans="1:4" x14ac:dyDescent="0.25">
      <c r="B53" s="61" t="s">
        <v>189</v>
      </c>
      <c r="C53">
        <v>100</v>
      </c>
      <c r="D53">
        <v>90</v>
      </c>
    </row>
    <row r="54" spans="1:4" x14ac:dyDescent="0.25">
      <c r="A54" t="s">
        <v>165</v>
      </c>
      <c r="B54" s="62" t="s">
        <v>190</v>
      </c>
    </row>
    <row r="56" spans="1:4" x14ac:dyDescent="0.25">
      <c r="B56" s="63" t="s">
        <v>191</v>
      </c>
      <c r="C56">
        <v>0</v>
      </c>
      <c r="D56">
        <v>90</v>
      </c>
    </row>
    <row r="57" spans="1:4" x14ac:dyDescent="0.25">
      <c r="B57" s="64" t="s">
        <v>192</v>
      </c>
      <c r="C57">
        <v>100</v>
      </c>
      <c r="D57">
        <v>90</v>
      </c>
    </row>
    <row r="58" spans="1:4" x14ac:dyDescent="0.25">
      <c r="B58" s="65" t="s">
        <v>193</v>
      </c>
      <c r="C58">
        <v>0</v>
      </c>
      <c r="D58">
        <v>90</v>
      </c>
    </row>
    <row r="59" spans="1:4" x14ac:dyDescent="0.25">
      <c r="B59" s="59" t="s">
        <v>189</v>
      </c>
      <c r="C59">
        <v>100</v>
      </c>
      <c r="D59">
        <v>90</v>
      </c>
    </row>
    <row r="61" spans="1:4" x14ac:dyDescent="0.25">
      <c r="B61" s="68" t="s">
        <v>195</v>
      </c>
    </row>
    <row r="62" spans="1:4" x14ac:dyDescent="0.25">
      <c r="B62" s="69" t="s">
        <v>196</v>
      </c>
    </row>
    <row r="63" spans="1:4" x14ac:dyDescent="0.25">
      <c r="B63" s="70" t="s">
        <v>197</v>
      </c>
    </row>
    <row r="64" spans="1:4" x14ac:dyDescent="0.25">
      <c r="A64" t="s">
        <v>165</v>
      </c>
      <c r="B64" s="71" t="s">
        <v>198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DASHBOARD</vt:lpstr>
      <vt:lpstr>DASHBOARD Light</vt:lpstr>
      <vt:lpstr>Financial Goals</vt:lpstr>
      <vt:lpstr>Financial Goals Light</vt:lpstr>
      <vt:lpstr>Income Expenses</vt:lpstr>
      <vt:lpstr>Income Expenses Light</vt:lpstr>
      <vt:lpstr>Essential Costs</vt:lpstr>
      <vt:lpstr>Essential Costs Light</vt:lpstr>
      <vt:lpstr>Processing</vt:lpstr>
      <vt:lpstr>Control</vt:lpstr>
      <vt:lpstr>Data</vt:lpstr>
      <vt:lpstr>heatmap-DATA</vt:lpstr>
      <vt:lpstr>Resources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Dashboard Presentation</dc:creator>
  <cp:lastModifiedBy>User</cp:lastModifiedBy>
  <dcterms:created xsi:type="dcterms:W3CDTF">2025-09-16T10:18:44Z</dcterms:created>
  <dcterms:modified xsi:type="dcterms:W3CDTF">2026-09-18T07:41:20Z</dcterms:modified>
</cp:coreProperties>
</file>