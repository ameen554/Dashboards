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6e5fe5563ab6cfd/Desktop/Dashboard Projects/Dashboard/Chart53/"/>
    </mc:Choice>
  </mc:AlternateContent>
  <xr:revisionPtr revIDLastSave="1" documentId="13_ncr:1_{4D0FB8FD-CF45-486A-BF78-BEAB50E0EBE0}" xr6:coauthVersionLast="47" xr6:coauthVersionMax="47" xr10:uidLastSave="{455C1574-7879-4B1F-B8F5-AE44CA10A917}"/>
  <bookViews>
    <workbookView xWindow="-120" yWindow="-120" windowWidth="20730" windowHeight="11310" activeTab="3" xr2:uid="{B2AF9BDC-586F-41C9-BE93-773677773A3D}"/>
  </bookViews>
  <sheets>
    <sheet name="DASHBOARD" sheetId="1" r:id="rId1"/>
    <sheet name="DASHBOARD Contrast" sheetId="5" r:id="rId2"/>
    <sheet name="Processing" sheetId="2" r:id="rId3"/>
    <sheet name="Data" sheetId="4" r:id="rId4"/>
    <sheet name="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5" l="1"/>
  <c r="K15" i="2" a="1"/>
  <c r="L17" i="2"/>
  <c r="E21" i="1"/>
  <c r="L19" i="2" s="1"/>
  <c r="O8" i="2" a="1"/>
  <c r="N8" i="2" a="1"/>
  <c r="N9" i="2" a="1"/>
  <c r="B23" i="2" a="1"/>
  <c r="D23" i="2" s="1"/>
  <c r="F23" i="2" s="1"/>
  <c r="B24" i="2" a="1"/>
  <c r="D24" i="2" s="1"/>
  <c r="F24" i="2" s="1"/>
  <c r="B25" i="2" a="1"/>
  <c r="D25" i="2" s="1"/>
  <c r="F25" i="2" s="1"/>
  <c r="B22" i="2" a="1"/>
  <c r="D22" i="2" s="1"/>
  <c r="F22" i="2" s="1"/>
  <c r="C39" i="4"/>
  <c r="C40" i="4"/>
  <c r="C41" i="4"/>
  <c r="C42" i="4"/>
  <c r="C43" i="4"/>
  <c r="C44" i="4"/>
  <c r="C45" i="4"/>
  <c r="C46" i="4"/>
  <c r="C47" i="4"/>
  <c r="C48" i="4"/>
  <c r="C4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2" i="4"/>
  <c r="A17" i="2"/>
  <c r="U16" i="2" s="1" a="1"/>
  <c r="B14" i="2"/>
  <c r="E23" i="5" l="1" a="1"/>
  <c r="N24" i="2" a="1"/>
  <c r="N25" i="2" a="1"/>
  <c r="M25" i="2" s="1"/>
  <c r="N26" i="2" a="1"/>
  <c r="M26" i="2" s="1"/>
  <c r="N27" i="2" a="1"/>
  <c r="M27" i="2" s="1"/>
  <c r="L18" i="2"/>
  <c r="L21" i="2"/>
  <c r="L20" i="2"/>
  <c r="V3" i="2" a="1"/>
  <c r="A2" i="2" a="1"/>
  <c r="B2" i="2" s="1"/>
  <c r="G22" i="2"/>
  <c r="G25" i="2"/>
  <c r="G24" i="2"/>
  <c r="G23" i="2"/>
  <c r="C22" i="2"/>
  <c r="C25" i="2"/>
  <c r="C24" i="2"/>
  <c r="C23" i="2"/>
  <c r="E22" i="2"/>
  <c r="E25" i="2"/>
  <c r="E24" i="2"/>
  <c r="E23" i="2"/>
  <c r="I13" i="2"/>
  <c r="I12" i="2"/>
  <c r="I4" i="2"/>
  <c r="I5" i="2"/>
  <c r="I3" i="2"/>
  <c r="I10" i="2"/>
  <c r="I2" i="2"/>
  <c r="I11" i="2"/>
  <c r="I9" i="2"/>
  <c r="I8" i="2"/>
  <c r="I7" i="2"/>
  <c r="I6" i="2"/>
  <c r="E23" i="1" a="1"/>
  <c r="K16" i="2" l="1"/>
  <c r="AA3" i="2"/>
  <c r="V4" i="2" a="1"/>
  <c r="AA4" i="2" l="1"/>
  <c r="V5" i="2" a="1"/>
  <c r="AA5" i="2" l="1"/>
  <c r="V6" i="2" a="1"/>
  <c r="X109" i="2" s="1"/>
  <c r="G2" i="2"/>
  <c r="J2" i="2" s="1"/>
  <c r="M24" i="2"/>
  <c r="O24" i="2" s="1"/>
  <c r="O25" i="2"/>
  <c r="O26" i="2"/>
  <c r="O27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101" i="2" l="1"/>
  <c r="X117" i="2"/>
  <c r="X102" i="2"/>
  <c r="X118" i="2"/>
  <c r="X103" i="2"/>
  <c r="X111" i="2"/>
  <c r="X119" i="2"/>
  <c r="X110" i="2"/>
  <c r="X96" i="2"/>
  <c r="X104" i="2"/>
  <c r="X112" i="2"/>
  <c r="X120" i="2"/>
  <c r="X108" i="2"/>
  <c r="X100" i="2"/>
  <c r="X116" i="2"/>
  <c r="X97" i="2"/>
  <c r="X105" i="2"/>
  <c r="X113" i="2"/>
  <c r="X121" i="2"/>
  <c r="X98" i="2"/>
  <c r="X106" i="2"/>
  <c r="X114" i="2"/>
  <c r="X122" i="2"/>
  <c r="X99" i="2"/>
  <c r="X107" i="2"/>
  <c r="X115" i="2"/>
  <c r="AA6" i="2"/>
  <c r="V7" i="2" a="1"/>
  <c r="G13" i="2"/>
  <c r="J13" i="2" s="1"/>
  <c r="X149" i="2" l="1"/>
  <c r="X141" i="2"/>
  <c r="X133" i="2"/>
  <c r="X148" i="2"/>
  <c r="X140" i="2"/>
  <c r="X132" i="2"/>
  <c r="X151" i="2"/>
  <c r="V8" i="2" a="1"/>
  <c r="X147" i="2"/>
  <c r="X139" i="2"/>
  <c r="X131" i="2"/>
  <c r="AA7" i="2"/>
  <c r="X146" i="2"/>
  <c r="X138" i="2"/>
  <c r="X130" i="2"/>
  <c r="X144" i="2"/>
  <c r="X135" i="2"/>
  <c r="X145" i="2"/>
  <c r="X137" i="2"/>
  <c r="X129" i="2"/>
  <c r="X152" i="2"/>
  <c r="X136" i="2"/>
  <c r="X128" i="2"/>
  <c r="X143" i="2"/>
  <c r="X127" i="2"/>
  <c r="X150" i="2"/>
  <c r="X142" i="2"/>
  <c r="X134" i="2"/>
  <c r="X126" i="2"/>
  <c r="A15" i="2"/>
  <c r="A14" i="2" s="1"/>
  <c r="F13" i="2"/>
  <c r="F2" i="2"/>
  <c r="J17" i="2"/>
  <c r="X181" i="2" l="1"/>
  <c r="X173" i="2"/>
  <c r="X165" i="2"/>
  <c r="X157" i="2"/>
  <c r="X180" i="2"/>
  <c r="X172" i="2"/>
  <c r="X164" i="2"/>
  <c r="X156" i="2"/>
  <c r="X175" i="2"/>
  <c r="X179" i="2"/>
  <c r="X171" i="2"/>
  <c r="X163" i="2"/>
  <c r="X178" i="2"/>
  <c r="X170" i="2"/>
  <c r="X162" i="2"/>
  <c r="X177" i="2"/>
  <c r="X169" i="2"/>
  <c r="X161" i="2"/>
  <c r="X176" i="2"/>
  <c r="X168" i="2"/>
  <c r="X160" i="2"/>
  <c r="X167" i="2"/>
  <c r="X159" i="2"/>
  <c r="X182" i="2"/>
  <c r="X174" i="2"/>
  <c r="X166" i="2"/>
  <c r="X158" i="2"/>
  <c r="V9" i="2" a="1"/>
  <c r="AA8" i="2"/>
  <c r="G9" i="2"/>
  <c r="J9" i="2" s="1"/>
  <c r="G10" i="2"/>
  <c r="J10" i="2" s="1"/>
  <c r="G6" i="2"/>
  <c r="J6" i="2" s="1"/>
  <c r="G11" i="2"/>
  <c r="J11" i="2" s="1"/>
  <c r="G8" i="2"/>
  <c r="J8" i="2" s="1"/>
  <c r="G5" i="2"/>
  <c r="J5" i="2" s="1"/>
  <c r="G12" i="2"/>
  <c r="J12" i="2" s="1"/>
  <c r="G3" i="2"/>
  <c r="J3" i="2" s="1"/>
  <c r="G7" i="2"/>
  <c r="J7" i="2" s="1"/>
  <c r="G4" i="2"/>
  <c r="J4" i="2" s="1"/>
  <c r="N2" i="2"/>
  <c r="P2" i="2" s="1"/>
  <c r="C8" i="2"/>
  <c r="C6" i="2"/>
  <c r="C4" i="2"/>
  <c r="C2" i="2"/>
  <c r="X197" i="2" l="1"/>
  <c r="X203" i="2"/>
  <c r="X201" i="2"/>
  <c r="X191" i="2"/>
  <c r="X195" i="2"/>
  <c r="X198" i="2"/>
  <c r="X186" i="2"/>
  <c r="X189" i="2"/>
  <c r="X193" i="2"/>
  <c r="X210" i="2"/>
  <c r="X208" i="2"/>
  <c r="X204" i="2"/>
  <c r="X200" i="2"/>
  <c r="X196" i="2"/>
  <c r="X194" i="2"/>
  <c r="X190" i="2"/>
  <c r="X187" i="2"/>
  <c r="X206" i="2"/>
  <c r="X212" i="2"/>
  <c r="X202" i="2"/>
  <c r="V10" i="2" a="1"/>
  <c r="X192" i="2"/>
  <c r="X188" i="2"/>
  <c r="X205" i="2"/>
  <c r="X211" i="2"/>
  <c r="X199" i="2"/>
  <c r="AA9" i="2"/>
  <c r="X207" i="2"/>
  <c r="X209" i="2"/>
  <c r="C10" i="2"/>
  <c r="X229" i="2" l="1"/>
  <c r="X227" i="2"/>
  <c r="X225" i="2"/>
  <c r="X231" i="2"/>
  <c r="V11" i="2" a="1"/>
  <c r="X221" i="2"/>
  <c r="X219" i="2"/>
  <c r="X217" i="2"/>
  <c r="X223" i="2"/>
  <c r="X236" i="2"/>
  <c r="X234" i="2"/>
  <c r="X232" i="2"/>
  <c r="X230" i="2"/>
  <c r="X242" i="2"/>
  <c r="X240" i="2"/>
  <c r="X228" i="2"/>
  <c r="X226" i="2"/>
  <c r="X224" i="2"/>
  <c r="X241" i="2"/>
  <c r="AA10" i="2"/>
  <c r="X220" i="2"/>
  <c r="X218" i="2"/>
  <c r="X216" i="2"/>
  <c r="X237" i="2"/>
  <c r="X235" i="2"/>
  <c r="X233" i="2"/>
  <c r="X239" i="2"/>
  <c r="X222" i="2"/>
  <c r="X238" i="2"/>
  <c r="X261" i="2" l="1"/>
  <c r="X251" i="2"/>
  <c r="X254" i="2"/>
  <c r="X247" i="2"/>
  <c r="X262" i="2"/>
  <c r="X246" i="2"/>
  <c r="X266" i="2"/>
  <c r="X252" i="2"/>
  <c r="X248" i="2"/>
  <c r="X270" i="2"/>
  <c r="X271" i="2"/>
  <c r="X267" i="2"/>
  <c r="X257" i="2"/>
  <c r="X253" i="2"/>
  <c r="X272" i="2"/>
  <c r="X264" i="2"/>
  <c r="X250" i="2"/>
  <c r="V12" i="2" a="1"/>
  <c r="X268" i="2"/>
  <c r="X260" i="2"/>
  <c r="X258" i="2"/>
  <c r="X256" i="2"/>
  <c r="X263" i="2"/>
  <c r="X265" i="2"/>
  <c r="X269" i="2"/>
  <c r="X249" i="2"/>
  <c r="X255" i="2"/>
  <c r="X259" i="2"/>
  <c r="AA11" i="2"/>
  <c r="X293" i="2" l="1"/>
  <c r="X299" i="2"/>
  <c r="X281" i="2"/>
  <c r="X279" i="2"/>
  <c r="X291" i="2"/>
  <c r="X302" i="2"/>
  <c r="X286" i="2"/>
  <c r="X277" i="2"/>
  <c r="X283" i="2"/>
  <c r="X296" i="2"/>
  <c r="X295" i="2"/>
  <c r="X301" i="2"/>
  <c r="X289" i="2"/>
  <c r="X287" i="2"/>
  <c r="X285" i="2"/>
  <c r="X278" i="2"/>
  <c r="X288" i="2"/>
  <c r="X280" i="2"/>
  <c r="X282" i="2"/>
  <c r="V13" i="2" a="1"/>
  <c r="X298" i="2"/>
  <c r="X300" i="2"/>
  <c r="X290" i="2"/>
  <c r="X292" i="2"/>
  <c r="X294" i="2"/>
  <c r="X297" i="2"/>
  <c r="X276" i="2"/>
  <c r="AA12" i="2"/>
  <c r="X284" i="2"/>
  <c r="X317" i="2" l="1"/>
  <c r="X315" i="2"/>
  <c r="X321" i="2"/>
  <c r="X311" i="2"/>
  <c r="X309" i="2"/>
  <c r="X307" i="2"/>
  <c r="X313" i="2"/>
  <c r="X318" i="2"/>
  <c r="X332" i="2"/>
  <c r="X328" i="2"/>
  <c r="X308" i="2"/>
  <c r="X310" i="2"/>
  <c r="X320" i="2"/>
  <c r="X312" i="2"/>
  <c r="X331" i="2"/>
  <c r="X324" i="2"/>
  <c r="X330" i="2"/>
  <c r="X322" i="2"/>
  <c r="X326" i="2"/>
  <c r="X306" i="2"/>
  <c r="X316" i="2"/>
  <c r="X314" i="2"/>
  <c r="X327" i="2"/>
  <c r="X325" i="2"/>
  <c r="X323" i="2"/>
  <c r="X329" i="2"/>
  <c r="AA13" i="2"/>
  <c r="X319" i="2"/>
  <c r="V14" i="2" a="1"/>
  <c r="Y4" i="2" s="1" a="1"/>
  <c r="V16" i="2" l="1" a="1"/>
  <c r="N4" i="2" s="1"/>
  <c r="N5" i="2" s="1"/>
  <c r="P5" i="2" s="1"/>
  <c r="Y27" i="2" a="1"/>
  <c r="Y110" i="2" a="1"/>
  <c r="Y260" i="2" a="1"/>
  <c r="Y78" i="2" a="1"/>
  <c r="Y48" i="2" a="1"/>
  <c r="Y17" i="2" a="1"/>
  <c r="Y166" i="2" a="1"/>
  <c r="Y44" i="2" a="1"/>
  <c r="Y176" i="2" a="1"/>
  <c r="Y284" i="2" a="1"/>
  <c r="Y272" i="2" a="1"/>
  <c r="Y115" i="2" a="1"/>
  <c r="Y182" i="2" a="1"/>
  <c r="Y111" i="2" a="1"/>
  <c r="Y294" i="2" a="1"/>
  <c r="Y181" i="2" a="1"/>
  <c r="Y168" i="2" a="1"/>
  <c r="Y291" i="2" a="1"/>
  <c r="Y139" i="2" a="1"/>
  <c r="Y247" i="2" a="1"/>
  <c r="Y211" i="2" a="1"/>
  <c r="Y75" i="2" a="1"/>
  <c r="Y261" i="2" a="1"/>
  <c r="Y74" i="2" a="1"/>
  <c r="Y279" i="2" a="1"/>
  <c r="Y214" i="2" a="1"/>
  <c r="Y66" i="2" a="1"/>
  <c r="Y81" i="2" a="1"/>
  <c r="Y335" i="2" a="1"/>
  <c r="Y300" i="2" a="1"/>
  <c r="Y113" i="2" a="1"/>
  <c r="Y15" i="2" a="1"/>
  <c r="Y63" i="2" a="1"/>
  <c r="Y14" i="2" a="1"/>
  <c r="Y319" i="2" a="1"/>
  <c r="Y306" i="2" a="1"/>
  <c r="Y310" i="2" a="1"/>
  <c r="Y311" i="2" a="1"/>
  <c r="Y238" i="2" a="1"/>
  <c r="Y169" i="2" a="1"/>
  <c r="Y77" i="2" a="1"/>
  <c r="Y152" i="2" a="1"/>
  <c r="Y285" i="2" a="1"/>
  <c r="Y174" i="2" a="1"/>
  <c r="Y67" i="2" a="1"/>
  <c r="Y187" i="2" a="1"/>
  <c r="Y266" i="2" a="1"/>
  <c r="Y292" i="2" a="1"/>
  <c r="Y304" i="2" a="1"/>
  <c r="Y50" i="2" a="1"/>
  <c r="Y150" i="2" a="1"/>
  <c r="Y56" i="2" a="1"/>
  <c r="Y94" i="2" a="1"/>
  <c r="Y52" i="2" a="1"/>
  <c r="Y90" i="2" a="1"/>
  <c r="Y114" i="2" a="1"/>
  <c r="Y235" i="2" a="1"/>
  <c r="Y16" i="2" a="1"/>
  <c r="Y223" i="2" a="1"/>
  <c r="Y95" i="2" a="1"/>
  <c r="Y163" i="2" a="1"/>
  <c r="Y126" i="2" a="1"/>
  <c r="Y86" i="2" a="1"/>
  <c r="Y164" i="2" a="1"/>
  <c r="Y43" i="2" a="1"/>
  <c r="Y133" i="2" a="1"/>
  <c r="Y301" i="2" a="1"/>
  <c r="Y33" i="2" a="1"/>
  <c r="Y91" i="2" a="1"/>
  <c r="Y22" i="2" a="1"/>
  <c r="Y69" i="2" a="1"/>
  <c r="Y190" i="2" a="1"/>
  <c r="Y205" i="2" a="1"/>
  <c r="Y333" i="2" a="1"/>
  <c r="Y210" i="2" a="1"/>
  <c r="Y183" i="2" a="1"/>
  <c r="Y307" i="2" a="1"/>
  <c r="Y130" i="2" a="1"/>
  <c r="Y143" i="2" a="1"/>
  <c r="Y208" i="2" a="1"/>
  <c r="Y268" i="2" a="1"/>
  <c r="Y263" i="2" a="1"/>
  <c r="Y222" i="2" a="1"/>
  <c r="Y188" i="2" a="1"/>
  <c r="Y12" i="2" a="1"/>
  <c r="Y309" i="2" a="1"/>
  <c r="Y286" i="2" a="1"/>
  <c r="Y278" i="2" a="1"/>
  <c r="Y248" i="2" a="1"/>
  <c r="Y229" i="2" a="1"/>
  <c r="Y290" i="2" a="1"/>
  <c r="Y132" i="2" a="1"/>
  <c r="Y177" i="2" a="1"/>
  <c r="Y231" i="2" a="1"/>
  <c r="Y47" i="2" a="1"/>
  <c r="Y281" i="2" a="1"/>
  <c r="Y244" i="2" a="1"/>
  <c r="Y239" i="2" a="1"/>
  <c r="Y315" i="2" a="1"/>
  <c r="Y162" i="2" a="1"/>
  <c r="Y262" i="2" a="1"/>
  <c r="Y202" i="2" a="1"/>
  <c r="Y226" i="2" a="1"/>
  <c r="Y171" i="2" a="1"/>
  <c r="Y215" i="2" a="1"/>
  <c r="Y254" i="2" a="1"/>
  <c r="Y37" i="2" a="1"/>
  <c r="Y8" i="2" a="1"/>
  <c r="Y3" i="2" a="1"/>
  <c r="Y124" i="2" a="1"/>
  <c r="Y36" i="2" a="1"/>
  <c r="Y136" i="2" a="1"/>
  <c r="Y106" i="2" a="1"/>
  <c r="Y21" i="2" a="1"/>
  <c r="Y158" i="2" a="1"/>
  <c r="Y20" i="2" a="1"/>
  <c r="Y196" i="2" a="1"/>
  <c r="Y142" i="2" a="1"/>
  <c r="Y220" i="2" a="1"/>
  <c r="Y99" i="2" a="1"/>
  <c r="Y303" i="2" a="1"/>
  <c r="Y295" i="2" a="1"/>
  <c r="Y9" i="2" a="1"/>
  <c r="Y128" i="2" a="1"/>
  <c r="Y159" i="2" a="1"/>
  <c r="Y30" i="2" a="1"/>
  <c r="Y42" i="2" a="1"/>
  <c r="Y57" i="2" a="1"/>
  <c r="Y165" i="2" a="1"/>
  <c r="Y93" i="2" a="1"/>
  <c r="Y129" i="2" a="1"/>
  <c r="Y89" i="2" a="1"/>
  <c r="Y41" i="2" a="1"/>
  <c r="Y49" i="2" a="1"/>
  <c r="Y173" i="2" a="1"/>
  <c r="Y96" i="2" a="1"/>
  <c r="Y241" i="2" a="1"/>
  <c r="Y264" i="2" a="1"/>
  <c r="Y203" i="2" a="1"/>
  <c r="Y250" i="2" a="1"/>
  <c r="Y321" i="2" a="1"/>
  <c r="Y197" i="2" a="1"/>
  <c r="Y206" i="2" a="1"/>
  <c r="Y160" i="2" a="1"/>
  <c r="Y68" i="2" a="1"/>
  <c r="Y131" i="2" a="1"/>
  <c r="Y7" i="2" a="1"/>
  <c r="Y275" i="2" a="1"/>
  <c r="Y88" i="2" a="1"/>
  <c r="Y329" i="2" a="1"/>
  <c r="Y82" i="2" a="1"/>
  <c r="Y332" i="2" a="1"/>
  <c r="Y317" i="2" a="1"/>
  <c r="Y227" i="2" a="1"/>
  <c r="Y334" i="2" a="1"/>
  <c r="Y191" i="2" a="1"/>
  <c r="Y156" i="2" a="1"/>
  <c r="Y71" i="2" a="1"/>
  <c r="Y72" i="2" a="1"/>
  <c r="Y194" i="2" a="1"/>
  <c r="Y92" i="2" a="1"/>
  <c r="Y207" i="2" a="1"/>
  <c r="Y55" i="2" a="1"/>
  <c r="Y98" i="2" a="1"/>
  <c r="Y212" i="2" a="1"/>
  <c r="Y76" i="2" a="1"/>
  <c r="Y24" i="2" a="1"/>
  <c r="Y123" i="2" a="1"/>
  <c r="Y200" i="2" a="1"/>
  <c r="Y11" i="2" a="1"/>
  <c r="Y213" i="2" a="1"/>
  <c r="Y299" i="2" a="1"/>
  <c r="Y251" i="2" a="1"/>
  <c r="Y243" i="2" a="1"/>
  <c r="Y83" i="2" a="1"/>
  <c r="Y246" i="2" a="1"/>
  <c r="Y276" i="2" a="1"/>
  <c r="Y109" i="2" a="1"/>
  <c r="Y154" i="2" a="1"/>
  <c r="Y232" i="2" a="1"/>
  <c r="Y138" i="2" a="1"/>
  <c r="Y144" i="2" a="1"/>
  <c r="Y97" i="2" a="1"/>
  <c r="Y100" i="2" a="1"/>
  <c r="Y242" i="2" a="1"/>
  <c r="Y23" i="2" a="1"/>
  <c r="Y178" i="2" a="1"/>
  <c r="Y297" i="2" a="1"/>
  <c r="Y121" i="2" a="1"/>
  <c r="Y255" i="2" a="1"/>
  <c r="Y302" i="2" a="1"/>
  <c r="Y314" i="2" a="1"/>
  <c r="Y245" i="2" a="1"/>
  <c r="Y60" i="2" a="1"/>
  <c r="Y277" i="2" a="1"/>
  <c r="Y185" i="2" a="1"/>
  <c r="Y62" i="2" a="1"/>
  <c r="Y35" i="2" a="1"/>
  <c r="Y167" i="2" a="1"/>
  <c r="Y104" i="2" a="1"/>
  <c r="Y137" i="2" a="1"/>
  <c r="Y320" i="2" a="1"/>
  <c r="Y199" i="2" a="1"/>
  <c r="Y193" i="2" a="1"/>
  <c r="Y116" i="2" a="1"/>
  <c r="Y87" i="2" a="1"/>
  <c r="Y308" i="2" a="1"/>
  <c r="Y249" i="2" a="1"/>
  <c r="Y105" i="2" a="1"/>
  <c r="Y108" i="2" a="1"/>
  <c r="Y259" i="2" a="1"/>
  <c r="Y61" i="2" a="1"/>
  <c r="Y151" i="2" a="1"/>
  <c r="Y28" i="2" a="1"/>
  <c r="Y58" i="2" a="1"/>
  <c r="Y73" i="2" a="1"/>
  <c r="Y322" i="2" a="1"/>
  <c r="Y323" i="2" a="1"/>
  <c r="Y325" i="2" a="1"/>
  <c r="Y318" i="2" a="1"/>
  <c r="Y135" i="2" a="1"/>
  <c r="Y257" i="2" a="1"/>
  <c r="Y147" i="2" a="1"/>
  <c r="Y270" i="2" a="1"/>
  <c r="Y117" i="2" a="1"/>
  <c r="Y161" i="2" a="1"/>
  <c r="Y269" i="2" a="1"/>
  <c r="Y145" i="2" a="1"/>
  <c r="Y157" i="2" a="1"/>
  <c r="Y186" i="2" a="1"/>
  <c r="Y271" i="2" a="1"/>
  <c r="Y274" i="2" a="1"/>
  <c r="Y253" i="2" a="1"/>
  <c r="Y293" i="2" a="1"/>
  <c r="Y219" i="2" a="1"/>
  <c r="Y26" i="2" a="1"/>
  <c r="Y155" i="2" a="1"/>
  <c r="Y25" i="2" a="1"/>
  <c r="Y296" i="2" a="1"/>
  <c r="Y85" i="2" a="1"/>
  <c r="Y198" i="2" a="1"/>
  <c r="Y221" i="2" a="1"/>
  <c r="Y84" i="2" a="1"/>
  <c r="Y148" i="2" a="1"/>
  <c r="Y240" i="2" a="1"/>
  <c r="Y204" i="2" a="1"/>
  <c r="Y218" i="2" a="1"/>
  <c r="Y103" i="2" a="1"/>
  <c r="Y233" i="2" a="1"/>
  <c r="Y6" i="2" a="1"/>
  <c r="Y184" i="2" a="1"/>
  <c r="Y5" i="2" a="1"/>
  <c r="Y289" i="2" a="1"/>
  <c r="Y31" i="2" a="1"/>
  <c r="Y46" i="2" a="1"/>
  <c r="Y146" i="2" a="1"/>
  <c r="Y125" i="2" a="1"/>
  <c r="Y287" i="2" a="1"/>
  <c r="Y312" i="2" a="1"/>
  <c r="Y141" i="2" a="1"/>
  <c r="Y172" i="2" a="1"/>
  <c r="Y119" i="2" a="1"/>
  <c r="Y288" i="2" a="1"/>
  <c r="Y140" i="2" a="1"/>
  <c r="Y45" i="2" a="1"/>
  <c r="Y39" i="2" a="1"/>
  <c r="Y228" i="2" a="1"/>
  <c r="Y107" i="2" a="1"/>
  <c r="Y224" i="2" a="1"/>
  <c r="Y316" i="2" a="1"/>
  <c r="Y59" i="2" a="1"/>
  <c r="Y252" i="2" a="1"/>
  <c r="Y267" i="2" a="1"/>
  <c r="Y79" i="2" a="1"/>
  <c r="Y326" i="2" a="1"/>
  <c r="Y53" i="2" a="1"/>
  <c r="Y13" i="2" a="1"/>
  <c r="Y149" i="2" a="1"/>
  <c r="Y305" i="2" a="1"/>
  <c r="Y209" i="2" a="1"/>
  <c r="Y225" i="2" a="1"/>
  <c r="Y175" i="2" a="1"/>
  <c r="Y170" i="2" a="1"/>
  <c r="Y273" i="2" a="1"/>
  <c r="Y40" i="2" a="1"/>
  <c r="Y236" i="2" a="1"/>
  <c r="Y258" i="2" a="1"/>
  <c r="Y328" i="2" a="1"/>
  <c r="Y330" i="2" a="1"/>
  <c r="Y324" i="2" a="1"/>
  <c r="Y127" i="2" a="1"/>
  <c r="Y327" i="2" a="1"/>
  <c r="Y331" i="2" a="1"/>
  <c r="Y313" i="2" a="1"/>
  <c r="Y180" i="2" a="1"/>
  <c r="Y237" i="2" a="1"/>
  <c r="Y19" i="2" a="1"/>
  <c r="Y201" i="2" a="1"/>
  <c r="Y18" i="2" a="1"/>
  <c r="Y256" i="2" a="1"/>
  <c r="Y65" i="2" a="1"/>
  <c r="Y34" i="2" a="1"/>
  <c r="Y54" i="2" a="1"/>
  <c r="Y122" i="2" a="1"/>
  <c r="Y282" i="2" a="1"/>
  <c r="Y102" i="2" a="1"/>
  <c r="Y217" i="2" a="1"/>
  <c r="Y80" i="2" a="1"/>
  <c r="Y283" i="2" a="1"/>
  <c r="Y64" i="2" a="1"/>
  <c r="Y265" i="2" a="1"/>
  <c r="Y153" i="2" a="1"/>
  <c r="Y134" i="2" a="1"/>
  <c r="Y280" i="2" a="1"/>
  <c r="Y179" i="2" a="1"/>
  <c r="Y230" i="2" a="1"/>
  <c r="Y32" i="2" a="1"/>
  <c r="Y195" i="2" a="1"/>
  <c r="Y118" i="2" a="1"/>
  <c r="Y112" i="2" a="1"/>
  <c r="Y234" i="2" a="1"/>
  <c r="Y70" i="2" a="1"/>
  <c r="Y192" i="2" a="1"/>
  <c r="Y10" i="2" a="1"/>
  <c r="Y101" i="2" a="1"/>
  <c r="Y216" i="2" a="1"/>
  <c r="Y189" i="2" a="1"/>
  <c r="Y298" i="2" a="1"/>
  <c r="Y29" i="2" a="1"/>
  <c r="Y120" i="2" a="1"/>
  <c r="Y51" i="2" a="1"/>
  <c r="Y38" i="2" a="1"/>
  <c r="X341" i="2"/>
  <c r="Y341" i="2" s="1" a="1"/>
  <c r="X339" i="2"/>
  <c r="Y339" i="2" s="1" a="1"/>
  <c r="X345" i="2"/>
  <c r="Y345" i="2" s="1" a="1"/>
  <c r="X343" i="2"/>
  <c r="Y343" i="2" s="1" a="1"/>
  <c r="X362" i="2"/>
  <c r="Y362" i="2" s="1" a="1"/>
  <c r="X360" i="2"/>
  <c r="Y360" i="2" s="1" a="1"/>
  <c r="X350" i="2"/>
  <c r="Y350" i="2" s="1" a="1"/>
  <c r="X358" i="2"/>
  <c r="Y358" i="2" s="1" a="1"/>
  <c r="X337" i="2"/>
  <c r="Y337" i="2" s="1" a="1"/>
  <c r="X354" i="2"/>
  <c r="Y354" i="2" s="1" a="1"/>
  <c r="X336" i="2"/>
  <c r="Y336" i="2" s="1" a="1"/>
  <c r="X357" i="2"/>
  <c r="Y357" i="2" s="1" a="1"/>
  <c r="X361" i="2"/>
  <c r="Y361" i="2" s="1" a="1"/>
  <c r="X349" i="2"/>
  <c r="Y349" i="2" s="1" a="1"/>
  <c r="X356" i="2"/>
  <c r="Y356" i="2" s="1" a="1"/>
  <c r="X352" i="2"/>
  <c r="Y352" i="2" s="1" a="1"/>
  <c r="X340" i="2"/>
  <c r="Y340" i="2" s="1" a="1"/>
  <c r="X346" i="2"/>
  <c r="Y346" i="2" s="1" a="1"/>
  <c r="X344" i="2"/>
  <c r="Y344" i="2" s="1" a="1"/>
  <c r="X347" i="2"/>
  <c r="Y347" i="2" s="1" a="1"/>
  <c r="X348" i="2"/>
  <c r="Y348" i="2" s="1" a="1"/>
  <c r="AA14" i="2"/>
  <c r="X338" i="2"/>
  <c r="Y338" i="2" s="1" a="1"/>
  <c r="X342" i="2"/>
  <c r="Y342" i="2" s="1" a="1"/>
  <c r="X355" i="2"/>
  <c r="Y355" i="2" s="1" a="1"/>
  <c r="X359" i="2"/>
  <c r="Y359" i="2" s="1" a="1"/>
  <c r="X353" i="2"/>
  <c r="Y353" i="2" s="1" a="1"/>
  <c r="X351" i="2"/>
  <c r="Y351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<sst xmlns="http://schemas.openxmlformats.org/spreadsheetml/2006/main" count="219" uniqueCount="88">
  <si>
    <t>JANUARY</t>
  </si>
  <si>
    <t>Month</t>
  </si>
  <si>
    <t>Sectors</t>
  </si>
  <si>
    <t>0EBAC7</t>
  </si>
  <si>
    <t>C3EFE5</t>
  </si>
  <si>
    <t>Plan</t>
  </si>
  <si>
    <t>Value 1</t>
  </si>
  <si>
    <t>Value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</si>
  <si>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</si>
  <si>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</si>
  <si>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</si>
  <si>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</si>
  <si>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</si>
  <si>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</si>
  <si>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</si>
  <si>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</si>
  <si>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</si>
  <si>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</si>
  <si>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</si>
  <si>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</si>
  <si>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Name Month</t>
  </si>
  <si>
    <t>Expenditure Budget</t>
  </si>
  <si>
    <t>Current</t>
  </si>
  <si>
    <t>counter</t>
  </si>
  <si>
    <t xml:space="preserve">analysis </t>
  </si>
  <si>
    <t>warehouse</t>
  </si>
  <si>
    <t>Renovation</t>
  </si>
  <si>
    <t>product</t>
  </si>
  <si>
    <t>person</t>
  </si>
  <si>
    <t>strategy</t>
  </si>
  <si>
    <t>processes</t>
  </si>
  <si>
    <t>marketing</t>
  </si>
  <si>
    <t>analysis</t>
  </si>
  <si>
    <t>design</t>
  </si>
  <si>
    <t>renovation</t>
  </si>
  <si>
    <t>store</t>
  </si>
  <si>
    <t>Market analysis and location selection – studying competitors, target audience, foot traffic, and rental options.</t>
  </si>
  <si>
    <t>Market Analysis</t>
  </si>
  <si>
    <t>Lease</t>
  </si>
  <si>
    <t>Signing the lease agreement – negotiating terms, signing the contract, and handling necessary paperwork.</t>
  </si>
  <si>
    <t>Design Project</t>
  </si>
  <si>
    <t>Design project development – planning the layout, branding, and visual design.</t>
  </si>
  <si>
    <t>Renovation and site preparation – construction work, finishing, and setting up utilities.</t>
  </si>
  <si>
    <t>Equipment</t>
  </si>
  <si>
    <r>
      <t>Purchasing and installing equipment</t>
    </r>
    <r>
      <rPr>
        <sz val="11"/>
        <color theme="1"/>
        <rFont val="Aptos Narrow"/>
        <family val="2"/>
        <scheme val="minor"/>
      </rPr>
      <t xml:space="preserve"> – shelves, cash registers, lighting, and furniture.</t>
    </r>
  </si>
  <si>
    <t>Assortment</t>
  </si>
  <si>
    <t>Forming the product assortment – signing contracts with suppliers and purchasing initial inventory.</t>
  </si>
  <si>
    <t>Staff</t>
  </si>
  <si>
    <t>Hiring and training staff – recruiting employees, conducting training, and processing paperwork.</t>
  </si>
  <si>
    <t>Strategy</t>
  </si>
  <si>
    <t>Developing a marketing strategy – advertising campaigns, social media setup, and promotions.</t>
  </si>
  <si>
    <t>Testing internal processes – trial sales, POS system setup, and logistics testing.</t>
  </si>
  <si>
    <t>Test Processes</t>
  </si>
  <si>
    <t>Advertising</t>
  </si>
  <si>
    <t>Launching an advertising campaign – announcements, promotions, and attracting first customers.</t>
  </si>
  <si>
    <t>Store Opening</t>
  </si>
  <si>
    <t>Store grand opening – hosting an opening event and starting sales.</t>
  </si>
  <si>
    <t>Adjustments</t>
  </si>
  <si>
    <t>Performance analysis and strategy adjustments – evaluating KPIs, improving processes, and planning future growth.</t>
  </si>
  <si>
    <t>Descript</t>
  </si>
  <si>
    <t>Tasks</t>
  </si>
  <si>
    <t>Home &amp; Living</t>
  </si>
  <si>
    <t>Fruit &amp;  Veg</t>
  </si>
  <si>
    <t>Electronics</t>
  </si>
  <si>
    <t>Clothing &amp; Style</t>
  </si>
  <si>
    <t>Indent</t>
  </si>
  <si>
    <t>Budget Used</t>
  </si>
  <si>
    <t>Expenses</t>
  </si>
  <si>
    <t>Current Budget</t>
  </si>
  <si>
    <t>Total Budget</t>
  </si>
  <si>
    <t>LN</t>
  </si>
  <si>
    <t>Label</t>
  </si>
  <si>
    <t>Progress Bar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</si>
  <si>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</si>
  <si>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</si>
  <si>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</si>
  <si>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</si>
  <si>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</si>
  <si>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</si>
  <si>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</si>
  <si>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</si>
  <si>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</si>
  <si>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</si>
  <si>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Margin</t>
  </si>
  <si>
    <t>Budget</t>
  </si>
  <si>
    <t>Time Line</t>
  </si>
  <si>
    <t>Planned Profit</t>
  </si>
  <si>
    <t>Month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</si>
</sst>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rgb="FF618791"/>
      <name val="Aptos Narrow"/>
      <family val="2"/>
      <scheme val="minor"/>
    </font>
    <font>
      <b/>
      <sz val="18"/>
      <color rgb="FF61879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sz val="11"/>
      <name val="Aptos Narrow"/>
      <family val="2"/>
      <scheme val="minor"/>
    </font>
    <font>
      <b/>
      <sz val="22"/>
      <name val="Aptos Narrow"/>
      <family val="2"/>
      <scheme val="minor"/>
    </font>
    <font>
      <b/>
      <sz val="1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3EFE5"/>
        <bgColor indexed="64"/>
      </patternFill>
    </fill>
    <fill>
      <patternFill patternType="solid">
        <fgColor rgb="FF0EBAC7"/>
        <bgColor indexed="64"/>
      </patternFill>
    </fill>
    <fill>
      <patternFill patternType="solid">
        <fgColor rgb="FF00849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vertical="top"/>
    </xf>
    <xf numFmtId="0" fontId="0" fillId="4" borderId="0" xfId="0" applyFill="1"/>
    <xf numFmtId="0" fontId="0" fillId="0" borderId="0" xfId="1" applyNumberFormat="1" applyFont="1"/>
    <xf numFmtId="0" fontId="6" fillId="0" borderId="0" xfId="0" applyFont="1"/>
    <xf numFmtId="9" fontId="0" fillId="0" borderId="0" xfId="1" applyFont="1"/>
    <xf numFmtId="0" fontId="5" fillId="0" borderId="0" xfId="0" applyFont="1"/>
    <xf numFmtId="9" fontId="5" fillId="0" borderId="0" xfId="1" applyFont="1"/>
    <xf numFmtId="44" fontId="0" fillId="0" borderId="0" xfId="2" applyFont="1"/>
    <xf numFmtId="164" fontId="0" fillId="0" borderId="0" xfId="2" applyNumberFormat="1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 applyAlignment="1">
      <alignment horizontal="center"/>
    </xf>
    <xf numFmtId="44" fontId="0" fillId="0" borderId="0" xfId="0" applyNumberFormat="1"/>
    <xf numFmtId="9" fontId="0" fillId="0" borderId="0" xfId="2" applyNumberFormat="1" applyFont="1"/>
    <xf numFmtId="0" fontId="0" fillId="5" borderId="0" xfId="0" applyFill="1"/>
    <xf numFmtId="0" fontId="7" fillId="2" borderId="0" xfId="0" applyFont="1" applyFill="1"/>
    <xf numFmtId="0" fontId="9" fillId="2" borderId="0" xfId="0" applyFont="1" applyFill="1" applyAlignment="1">
      <alignment vertical="top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491"/>
      <color rgb="FF6DBFC7"/>
      <color rgb="FF81A5BC"/>
      <color rgb="FF41647A"/>
      <color rgb="FF00CBDE"/>
      <color rgb="FF00A9C7"/>
      <color rgb="FFE87D3A"/>
      <color rgb="FFE3CEBA"/>
      <color rgb="FFAEE5E8"/>
      <color rgb="FF56F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microsoft.com/office/2011/relationships/chartColorStyle" Target="colors12.xml"/><Relationship Id="rId1" Type="http://schemas.microsoft.com/office/2011/relationships/chartStyle" Target="style12.xml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microsoft.com/office/2011/relationships/chartColorStyle" Target="colors25.xml"/><Relationship Id="rId1" Type="http://schemas.microsoft.com/office/2011/relationships/chartStyle" Target="style25.xml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rgbClr val="0EBAC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46-436A-A490-1E8E87713AA9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646-436A-A490-1E8E87713AA9}"/>
              </c:ext>
            </c:extLst>
          </c:dPt>
          <c:val>
            <c:numRef>
              <c:f>Processing!$A$2:$B$2</c:f>
              <c:numCache>
                <c:formatCode>0.0%</c:formatCode>
                <c:ptCount val="2"/>
                <c:pt idx="0" formatCode="0%">
                  <c:v>1</c:v>
                </c:pt>
                <c:pt idx="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46-436A-A490-1E8E8771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doughnutChart>
        <c:varyColors val="1"/>
        <c:ser>
          <c:idx val="0"/>
          <c:order val="0"/>
          <c:spPr>
            <a:solidFill>
              <a:srgbClr val="F0F7EC"/>
            </a:solidFill>
            <a:ln w="12700">
              <a:solidFill>
                <a:srgbClr val="C3EFE5"/>
              </a:solidFill>
            </a:ln>
          </c:spPr>
          <c:dPt>
            <c:idx val="0"/>
            <c:bubble3D val="0"/>
            <c:spPr>
              <a:solidFill>
                <a:srgbClr val="C3EFE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646-436A-A490-1E8E87713AA9}"/>
              </c:ext>
            </c:extLst>
          </c:dPt>
          <c:dPt>
            <c:idx val="1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46-436A-A490-1E8E87713AA9}"/>
              </c:ext>
            </c:extLst>
          </c:dPt>
          <c:dPt>
            <c:idx val="2"/>
            <c:bubble3D val="0"/>
            <c:spPr>
              <a:solidFill>
                <a:srgbClr val="C3EFE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646-436A-A490-1E8E87713AA9}"/>
              </c:ext>
            </c:extLst>
          </c:dPt>
          <c:dPt>
            <c:idx val="3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646-436A-A490-1E8E87713AA9}"/>
              </c:ext>
            </c:extLst>
          </c:dPt>
          <c:dPt>
            <c:idx val="4"/>
            <c:bubble3D val="0"/>
            <c:spPr>
              <a:solidFill>
                <a:srgbClr val="C3EFE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9646-436A-A490-1E8E87713AA9}"/>
              </c:ext>
            </c:extLst>
          </c:dPt>
          <c:dPt>
            <c:idx val="5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646-436A-A490-1E8E87713AA9}"/>
              </c:ext>
            </c:extLst>
          </c:dPt>
          <c:dPt>
            <c:idx val="6"/>
            <c:bubble3D val="0"/>
            <c:spPr>
              <a:solidFill>
                <a:srgbClr val="C3EFE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646-436A-A490-1E8E87713AA9}"/>
              </c:ext>
            </c:extLst>
          </c:dPt>
          <c:dPt>
            <c:idx val="7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646-436A-A490-1E8E87713AA9}"/>
              </c:ext>
            </c:extLst>
          </c:dPt>
          <c:dPt>
            <c:idx val="8"/>
            <c:bubble3D val="0"/>
            <c:spPr>
              <a:solidFill>
                <a:srgbClr val="C3EFE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646-436A-A490-1E8E87713AA9}"/>
              </c:ext>
            </c:extLst>
          </c:dPt>
          <c:dPt>
            <c:idx val="9"/>
            <c:bubble3D val="0"/>
            <c:spPr>
              <a:solidFill>
                <a:srgbClr val="C3EFE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646-436A-A490-1E8E87713AA9}"/>
              </c:ext>
            </c:extLst>
          </c:dPt>
          <c:val>
            <c:numRef>
              <c:f>Processing!$C$1:$C$10</c:f>
              <c:numCache>
                <c:formatCode>General</c:formatCode>
                <c:ptCount val="10"/>
                <c:pt idx="0">
                  <c:v>20</c:v>
                </c:pt>
                <c:pt idx="1">
                  <c:v>0.7</c:v>
                </c:pt>
                <c:pt idx="2">
                  <c:v>20</c:v>
                </c:pt>
                <c:pt idx="3">
                  <c:v>0.7</c:v>
                </c:pt>
                <c:pt idx="4">
                  <c:v>20</c:v>
                </c:pt>
                <c:pt idx="5">
                  <c:v>0.7</c:v>
                </c:pt>
                <c:pt idx="6">
                  <c:v>20</c:v>
                </c:pt>
                <c:pt idx="7">
                  <c:v>0.7</c:v>
                </c:pt>
                <c:pt idx="8">
                  <c:v>20</c:v>
                </c:pt>
                <c:pt idx="9">
                  <c:v>97.199999999999989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6-436A-A490-1E8E87713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Processing!$L$1</c:f>
              <c:strCache>
                <c:ptCount val="1"/>
                <c:pt idx="0">
                  <c:v>Sectors</c:v>
                </c:pt>
              </c:strCache>
            </c:strRef>
          </c:tx>
          <c:spPr>
            <a:noFill/>
            <a:ln w="12700">
              <a:solidFill>
                <a:srgbClr val="C3EFE5"/>
              </a:solidFill>
            </a:ln>
          </c:spPr>
          <c:dPt>
            <c:idx val="0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C3-42BC-A1F0-D3D2E83A551E}"/>
              </c:ext>
            </c:extLst>
          </c:dPt>
          <c:dPt>
            <c:idx val="1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C3-42BC-A1F0-D3D2E83A551E}"/>
              </c:ext>
            </c:extLst>
          </c:dPt>
          <c:dPt>
            <c:idx val="2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C3-42BC-A1F0-D3D2E83A551E}"/>
              </c:ext>
            </c:extLst>
          </c:dPt>
          <c:dPt>
            <c:idx val="3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C3-42BC-A1F0-D3D2E83A551E}"/>
              </c:ext>
            </c:extLst>
          </c:dPt>
          <c:dPt>
            <c:idx val="4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C3-42BC-A1F0-D3D2E83A551E}"/>
              </c:ext>
            </c:extLst>
          </c:dPt>
          <c:dPt>
            <c:idx val="5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C3-42BC-A1F0-D3D2E83A551E}"/>
              </c:ext>
            </c:extLst>
          </c:dPt>
          <c:dPt>
            <c:idx val="6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C3-42BC-A1F0-D3D2E83A551E}"/>
              </c:ext>
            </c:extLst>
          </c:dPt>
          <c:dPt>
            <c:idx val="7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7C3-42BC-A1F0-D3D2E83A551E}"/>
              </c:ext>
            </c:extLst>
          </c:dPt>
          <c:dPt>
            <c:idx val="8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7C3-42BC-A1F0-D3D2E83A551E}"/>
              </c:ext>
            </c:extLst>
          </c:dPt>
          <c:dPt>
            <c:idx val="9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7C3-42BC-A1F0-D3D2E83A551E}"/>
              </c:ext>
            </c:extLst>
          </c:dPt>
          <c:dPt>
            <c:idx val="10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7C3-42BC-A1F0-D3D2E83A551E}"/>
              </c:ext>
            </c:extLst>
          </c:dPt>
          <c:dPt>
            <c:idx val="11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7C3-42BC-A1F0-D3D2E83A551E}"/>
              </c:ext>
            </c:extLst>
          </c:dPt>
          <c:val>
            <c:numRef>
              <c:f>Processing!$L$2:$L$13</c:f>
              <c:numCache>
                <c:formatCode>General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7C3-42BC-A1F0-D3D2E83A5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3"/>
      </c:doughnutChart>
      <c:doughnut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37C3-42BC-A1F0-D3D2E83A551E}"/>
              </c:ext>
            </c:extLst>
          </c:dPt>
          <c:dPt>
            <c:idx val="1"/>
            <c:bubble3D val="0"/>
            <c:spPr>
              <a:solidFill>
                <a:schemeClr val="bg1">
                  <a:alpha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37C3-42BC-A1F0-D3D2E83A551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37C3-42BC-A1F0-D3D2E83A551E}"/>
              </c:ext>
            </c:extLst>
          </c:dPt>
          <c:val>
            <c:numRef>
              <c:f>Processing!$N$2:$P$2</c:f>
              <c:numCache>
                <c:formatCode>General</c:formatCode>
                <c:ptCount val="3"/>
                <c:pt idx="0">
                  <c:v>330</c:v>
                </c:pt>
                <c:pt idx="1">
                  <c:v>30</c:v>
                </c:pt>
                <c:pt idx="2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1F-37C3-42BC-A1F0-D3D2E83A5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2"/>
        <c:extLst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Processing!$H$1</c:f>
              <c:strCache>
                <c:ptCount val="1"/>
                <c:pt idx="0">
                  <c:v>Value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EA9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EC3-4275-A153-52622C5797E9}"/>
              </c:ext>
            </c:extLst>
          </c:dPt>
          <c:dPt>
            <c:idx val="1"/>
            <c:invertIfNegative val="0"/>
            <c:bubble3D val="0"/>
            <c:spPr>
              <a:solidFill>
                <a:srgbClr val="A3BD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C3-4275-A153-52622C5797E9}"/>
              </c:ext>
            </c:extLst>
          </c:dPt>
          <c:dPt>
            <c:idx val="2"/>
            <c:invertIfNegative val="0"/>
            <c:bubble3D val="0"/>
            <c:spPr>
              <a:solidFill>
                <a:srgbClr val="92B1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EC3-4275-A153-52622C5797E9}"/>
              </c:ext>
            </c:extLst>
          </c:dPt>
          <c:dPt>
            <c:idx val="3"/>
            <c:invertIfNegative val="0"/>
            <c:bubble3D val="0"/>
            <c:spPr>
              <a:solidFill>
                <a:srgbClr val="81A5B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EC3-4275-A153-52622C5797E9}"/>
              </c:ext>
            </c:extLst>
          </c:dPt>
          <c:dPt>
            <c:idx val="4"/>
            <c:invertIfNegative val="0"/>
            <c:bubble3D val="0"/>
            <c:spPr>
              <a:solidFill>
                <a:srgbClr val="7099B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C3-4275-A153-52622C5797E9}"/>
              </c:ext>
            </c:extLst>
          </c:dPt>
          <c:dPt>
            <c:idx val="5"/>
            <c:invertIfNegative val="0"/>
            <c:bubble3D val="0"/>
            <c:spPr>
              <a:solidFill>
                <a:srgbClr val="5F8D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EC3-4275-A153-52622C5797E9}"/>
              </c:ext>
            </c:extLst>
          </c:dPt>
          <c:dPt>
            <c:idx val="6"/>
            <c:invertIfNegative val="0"/>
            <c:bubble3D val="0"/>
            <c:spPr>
              <a:solidFill>
                <a:srgbClr val="5380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EC3-4275-A153-52622C5797E9}"/>
              </c:ext>
            </c:extLst>
          </c:dPt>
          <c:dPt>
            <c:idx val="7"/>
            <c:invertIfNegative val="0"/>
            <c:bubble3D val="0"/>
            <c:spPr>
              <a:solidFill>
                <a:srgbClr val="4A72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EC3-4275-A153-52622C5797E9}"/>
              </c:ext>
            </c:extLst>
          </c:dPt>
          <c:dPt>
            <c:idx val="8"/>
            <c:invertIfNegative val="0"/>
            <c:bubble3D val="0"/>
            <c:spPr>
              <a:solidFill>
                <a:srgbClr val="41647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EC3-4275-A153-52622C5797E9}"/>
              </c:ext>
            </c:extLst>
          </c:dPt>
          <c:dPt>
            <c:idx val="9"/>
            <c:invertIfNegative val="0"/>
            <c:bubble3D val="0"/>
            <c:spPr>
              <a:solidFill>
                <a:srgbClr val="38566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C3-4275-A153-52622C5797E9}"/>
              </c:ext>
            </c:extLst>
          </c:dPt>
          <c:dPt>
            <c:idx val="10"/>
            <c:invertIfNegative val="0"/>
            <c:bubble3D val="0"/>
            <c:spPr>
              <a:solidFill>
                <a:srgbClr val="2F48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C3-4275-A153-52622C5797E9}"/>
              </c:ext>
            </c:extLst>
          </c:dPt>
          <c:dPt>
            <c:idx val="11"/>
            <c:invertIfNegative val="0"/>
            <c:bubble3D val="0"/>
            <c:spPr>
              <a:solidFill>
                <a:srgbClr val="2F48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EC3-4275-A153-52622C5797E9}"/>
              </c:ext>
            </c:extLst>
          </c:dPt>
          <c:cat>
            <c:strRef>
              <c:f>Processing!$M$2:$M$14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Processing!$H$2:$H$13</c:f>
              <c:numCache>
                <c:formatCode>#,##0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9-4AEF-B904-18BBB91928E6}"/>
            </c:ext>
          </c:extLst>
        </c:ser>
        <c:ser>
          <c:idx val="1"/>
          <c:order val="1"/>
          <c:tx>
            <c:strRef>
              <c:f>Processing!$I$1</c:f>
              <c:strCache>
                <c:ptCount val="1"/>
                <c:pt idx="0">
                  <c:v>Value 2</c:v>
                </c:pt>
              </c:strCache>
            </c:strRef>
          </c:tx>
          <c:spPr>
            <a:solidFill>
              <a:srgbClr val="0EBAC6">
                <a:alpha val="50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B7CE4D5-0F9C-40FB-BD8B-B2A184FAC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B0CB-4927-9D09-4AD59C70E5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F1AF7DD-EEA9-45C6-A45B-91CBE4A40F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0CB-4927-9D09-4AD59C70E5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3A41F14-6A6B-4EB6-BDAB-782C183BC7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0CB-4927-9D09-4AD59C70E5A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92208F-1440-40B8-9AE4-50579A27F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0CB-4927-9D09-4AD59C70E5A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83D447-9DBE-4849-B026-4DE945F7E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0CB-4927-9D09-4AD59C70E5A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23D1DF9-0006-432E-AEBB-0BFF38B57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0CB-4927-9D09-4AD59C70E5A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9CCBCD-2451-47C4-93C5-5B8B533B5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0CB-4927-9D09-4AD59C70E5A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AB474B7-0CCA-48DE-817A-9C3CC51857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0CB-4927-9D09-4AD59C70E5A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CD2BCAA-008B-4487-A325-53E41A945A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0CB-4927-9D09-4AD59C70E5A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56F177C-DF87-42CB-B433-DA3651258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0CB-4927-9D09-4AD59C70E5A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422667-C96B-4268-AE12-2BB2DCEF6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0CB-4927-9D09-4AD59C70E5A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EE75F41-8D03-4EE6-ABF4-5CEBF02924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0CB-4927-9D09-4AD59C70E5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Processing!$M$2:$M$14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Processing!$I$2:$I$13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Processing!$J$2:$J$13</c15:f>
                <c15:dlblRangeCache>
                  <c:ptCount val="12"/>
                  <c:pt idx="11">
                    <c:v>2,53,304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0D9-4AEF-B904-18BBB9192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645033632"/>
        <c:axId val="242100256"/>
      </c:barChart>
      <c:catAx>
        <c:axId val="164503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61879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2100256"/>
        <c:crosses val="autoZero"/>
        <c:auto val="1"/>
        <c:lblAlgn val="ctr"/>
        <c:lblOffset val="100"/>
        <c:noMultiLvlLbl val="0"/>
      </c:catAx>
      <c:valAx>
        <c:axId val="2421002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4503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Processing!$A$14</c:f>
              <c:numCache>
                <c:formatCode>0%</c:formatCode>
                <c:ptCount val="1"/>
                <c:pt idx="0">
                  <c:v>0.18867924528301883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3-4834-A28E-12A4E0F92D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53-4834-A28E-12A4E0F92D79}"/>
              </c:ext>
            </c:extLst>
          </c:dPt>
          <c:val>
            <c:numRef>
              <c:f>Processing!$A$15</c:f>
              <c:numCache>
                <c:formatCode>0%</c:formatCode>
                <c:ptCount val="1"/>
                <c:pt idx="0">
                  <c:v>0.81132075471698117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53-4834-A28E-12A4E0F92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49568064"/>
        <c:axId val="249568544"/>
      </c:barChart>
      <c:catAx>
        <c:axId val="24956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568544"/>
        <c:crosses val="autoZero"/>
        <c:auto val="1"/>
        <c:lblAlgn val="ctr"/>
        <c:lblOffset val="100"/>
        <c:noMultiLvlLbl val="0"/>
      </c:catAx>
      <c:valAx>
        <c:axId val="24956854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2495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Processing!$R$1</c:f>
              <c:strCache>
                <c:ptCount val="1"/>
                <c:pt idx="0">
                  <c:v>Sectors</c:v>
                </c:pt>
              </c:strCache>
            </c:strRef>
          </c:tx>
          <c:spPr>
            <a:solidFill>
              <a:srgbClr val="476775"/>
            </a:solidFill>
            <a:ln w="12700">
              <a:solidFill>
                <a:srgbClr val="C3EFE5"/>
              </a:solidFill>
            </a:ln>
          </c:spPr>
          <c:dPt>
            <c:idx val="0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18-4238-9FD6-49998C6F8F41}"/>
              </c:ext>
            </c:extLst>
          </c:dPt>
          <c:dPt>
            <c:idx val="1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18-4238-9FD6-49998C6F8F41}"/>
              </c:ext>
            </c:extLst>
          </c:dPt>
          <c:dPt>
            <c:idx val="2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18-4238-9FD6-49998C6F8F41}"/>
              </c:ext>
            </c:extLst>
          </c:dPt>
          <c:dPt>
            <c:idx val="3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18-4238-9FD6-49998C6F8F41}"/>
              </c:ext>
            </c:extLst>
          </c:dPt>
          <c:dPt>
            <c:idx val="4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18-4238-9FD6-49998C6F8F41}"/>
              </c:ext>
            </c:extLst>
          </c:dPt>
          <c:dPt>
            <c:idx val="5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18-4238-9FD6-49998C6F8F41}"/>
              </c:ext>
            </c:extLst>
          </c:dPt>
          <c:dPt>
            <c:idx val="6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18-4238-9FD6-49998C6F8F41}"/>
              </c:ext>
            </c:extLst>
          </c:dPt>
          <c:dPt>
            <c:idx val="7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18-4238-9FD6-49998C6F8F41}"/>
              </c:ext>
            </c:extLst>
          </c:dPt>
          <c:dPt>
            <c:idx val="8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18-4238-9FD6-49998C6F8F41}"/>
              </c:ext>
            </c:extLst>
          </c:dPt>
          <c:dPt>
            <c:idx val="9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18-4238-9FD6-49998C6F8F41}"/>
              </c:ext>
            </c:extLst>
          </c:dPt>
          <c:dPt>
            <c:idx val="10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918-4238-9FD6-49998C6F8F41}"/>
              </c:ext>
            </c:extLst>
          </c:dPt>
          <c:dPt>
            <c:idx val="11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918-4238-9FD6-49998C6F8F41}"/>
              </c:ext>
            </c:extLst>
          </c:dPt>
          <c:dPt>
            <c:idx val="12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CED-4484-902B-5765784F27D1}"/>
              </c:ext>
            </c:extLst>
          </c:dPt>
          <c:dPt>
            <c:idx val="13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CED-4484-902B-5765784F27D1}"/>
              </c:ext>
            </c:extLst>
          </c:dPt>
          <c:dPt>
            <c:idx val="14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CED-4484-902B-5765784F27D1}"/>
              </c:ext>
            </c:extLst>
          </c:dPt>
          <c:dPt>
            <c:idx val="15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CED-4484-902B-5765784F27D1}"/>
              </c:ext>
            </c:extLst>
          </c:dPt>
          <c:dPt>
            <c:idx val="16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CED-4484-902B-5765784F27D1}"/>
              </c:ext>
            </c:extLst>
          </c:dPt>
          <c:dPt>
            <c:idx val="17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CED-4484-902B-5765784F27D1}"/>
              </c:ext>
            </c:extLst>
          </c:dPt>
          <c:dPt>
            <c:idx val="18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CED-4484-902B-5765784F27D1}"/>
              </c:ext>
            </c:extLst>
          </c:dPt>
          <c:dPt>
            <c:idx val="19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CED-4484-902B-5765784F27D1}"/>
              </c:ext>
            </c:extLst>
          </c:dPt>
          <c:val>
            <c:numRef>
              <c:f>Processing!$R$2:$R$21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18-4238-9FD6-49998C6F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gradFill flip="none" rotWithShape="1">
                <a:gsLst>
                  <a:gs pos="0">
                    <a:schemeClr val="bg1">
                      <a:alpha val="80000"/>
                    </a:schemeClr>
                  </a:gs>
                  <a:gs pos="100000">
                    <a:schemeClr val="bg1">
                      <a:alpha val="23000"/>
                    </a:scheme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918-4238-9FD6-49998C6F8F41}"/>
              </c:ext>
            </c:extLst>
          </c:dPt>
          <c:dPt>
            <c:idx val="1"/>
            <c:bubble3D val="0"/>
            <c:spPr>
              <a:solidFill>
                <a:srgbClr val="0EBAC6">
                  <a:alpha val="7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918-4238-9FD6-49998C6F8F4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D918-4238-9FD6-49998C6F8F4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2CED-4484-902B-5765784F27D1}"/>
              </c:ext>
            </c:extLst>
          </c:dPt>
          <c:val>
            <c:numRef>
              <c:f>Processing!$N$5:$Q$5</c:f>
              <c:numCache>
                <c:formatCode>0%</c:formatCode>
                <c:ptCount val="4"/>
                <c:pt idx="0">
                  <c:v>0.87510178571428576</c:v>
                </c:pt>
                <c:pt idx="1">
                  <c:v>0.1</c:v>
                </c:pt>
                <c:pt idx="2">
                  <c:v>2.4898214285714232E-2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918-4238-9FD6-49998C6F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819491684022009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3EFE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4F-4830-A764-A0F935A1146D}"/>
              </c:ext>
            </c:extLst>
          </c:dPt>
          <c:dPt>
            <c:idx val="1"/>
            <c:invertIfNegative val="0"/>
            <c:bubble3D val="0"/>
            <c:spPr>
              <a:solidFill>
                <a:srgbClr val="2F48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4F-4830-A764-A0F935A1146D}"/>
              </c:ext>
            </c:extLst>
          </c:dPt>
          <c:dPt>
            <c:idx val="2"/>
            <c:invertIfNegative val="0"/>
            <c:bubble3D val="0"/>
            <c:spPr>
              <a:solidFill>
                <a:srgbClr val="9BE5D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4F-4830-A764-A0F935A1146D}"/>
              </c:ext>
            </c:extLst>
          </c:dPt>
          <c:dPt>
            <c:idx val="3"/>
            <c:invertIfNegative val="0"/>
            <c:bubble3D val="0"/>
            <c:spPr>
              <a:solidFill>
                <a:srgbClr val="3058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4F-4830-A764-A0F935A1146D}"/>
              </c:ext>
            </c:extLst>
          </c:dPt>
          <c:dPt>
            <c:idx val="4"/>
            <c:invertIfNegative val="0"/>
            <c:bubble3D val="0"/>
            <c:spPr>
              <a:solidFill>
                <a:srgbClr val="7EA9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4F-4830-A764-A0F935A1146D}"/>
              </c:ext>
            </c:extLst>
          </c:dPt>
          <c:xVal>
            <c:numRef>
              <c:f>Processing!$J$17:$J$21</c:f>
              <c:numCache>
                <c:formatCode>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xVal>
          <c:yVal>
            <c:numRef>
              <c:f>Processing!$K$17:$K$21</c:f>
              <c:numCache>
                <c:formatCode>0%</c:formatCode>
                <c:ptCount val="5"/>
                <c:pt idx="0">
                  <c:v>0.4</c:v>
                </c:pt>
                <c:pt idx="1">
                  <c:v>0.4</c:v>
                </c:pt>
                <c:pt idx="2">
                  <c:v>0.37</c:v>
                </c:pt>
                <c:pt idx="3">
                  <c:v>0.35</c:v>
                </c:pt>
                <c:pt idx="4">
                  <c:v>0.34</c:v>
                </c:pt>
              </c:numCache>
            </c:numRef>
          </c:yVal>
          <c:bubbleSize>
            <c:numRef>
              <c:f>Processing!$L$17:$L$21</c:f>
              <c:numCache>
                <c:formatCode>General</c:formatCode>
                <c:ptCount val="5"/>
                <c:pt idx="0">
                  <c:v>700000</c:v>
                </c:pt>
                <c:pt idx="1">
                  <c:v>700000</c:v>
                </c:pt>
                <c:pt idx="2">
                  <c:v>400000</c:v>
                </c:pt>
                <c:pt idx="3">
                  <c:v>220000</c:v>
                </c:pt>
                <c:pt idx="4">
                  <c:v>135000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A-004F-4830-A764-A0F935A1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93985215"/>
        <c:axId val="1093984255"/>
      </c:bubbleChart>
      <c:valAx>
        <c:axId val="1093985215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93984255"/>
        <c:crosses val="autoZero"/>
        <c:crossBetween val="midCat"/>
      </c:valAx>
      <c:valAx>
        <c:axId val="1093984255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09398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rgbClr val="2F4858"/>
            </a:solidFill>
            <a:ln>
              <a:noFill/>
            </a:ln>
            <a:effectLst/>
          </c:spPr>
          <c:val>
            <c:numRef>
              <c:f>Processing!$X$3:$X$362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307157.0625</c:v>
                </c:pt>
                <c:pt idx="4">
                  <c:v>307157.0625</c:v>
                </c:pt>
                <c:pt idx="5">
                  <c:v>307157.0625</c:v>
                </c:pt>
                <c:pt idx="6">
                  <c:v>307157.0625</c:v>
                </c:pt>
                <c:pt idx="7">
                  <c:v>307157.0625</c:v>
                </c:pt>
                <c:pt idx="8">
                  <c:v>307157.0625</c:v>
                </c:pt>
                <c:pt idx="9">
                  <c:v>307157.0625</c:v>
                </c:pt>
                <c:pt idx="10">
                  <c:v>307157.0625</c:v>
                </c:pt>
                <c:pt idx="11">
                  <c:v>307157.0625</c:v>
                </c:pt>
                <c:pt idx="12">
                  <c:v>307157.0625</c:v>
                </c:pt>
                <c:pt idx="13">
                  <c:v>307157.0625</c:v>
                </c:pt>
                <c:pt idx="14">
                  <c:v>307157.0625</c:v>
                </c:pt>
                <c:pt idx="15">
                  <c:v>307157.0625</c:v>
                </c:pt>
                <c:pt idx="16">
                  <c:v>307157.0625</c:v>
                </c:pt>
                <c:pt idx="17">
                  <c:v>307157.0625</c:v>
                </c:pt>
                <c:pt idx="18">
                  <c:v>307157.0625</c:v>
                </c:pt>
                <c:pt idx="19">
                  <c:v>307157.0625</c:v>
                </c:pt>
                <c:pt idx="20">
                  <c:v>307157.0625</c:v>
                </c:pt>
                <c:pt idx="21">
                  <c:v>307157.0625</c:v>
                </c:pt>
                <c:pt idx="22">
                  <c:v>307157.0625</c:v>
                </c:pt>
                <c:pt idx="23">
                  <c:v>307157.0625</c:v>
                </c:pt>
                <c:pt idx="24">
                  <c:v>307157.0625</c:v>
                </c:pt>
                <c:pt idx="25">
                  <c:v>307157.0625</c:v>
                </c:pt>
                <c:pt idx="26">
                  <c:v>307157.0625</c:v>
                </c:pt>
                <c:pt idx="27">
                  <c:v>307157.0625</c:v>
                </c:pt>
                <c:pt idx="28">
                  <c:v>307157.0625</c:v>
                </c:pt>
                <c:pt idx="29">
                  <c:v>307157.0625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330283.31939499878</c:v>
                </c:pt>
                <c:pt idx="34">
                  <c:v>330283.31939499878</c:v>
                </c:pt>
                <c:pt idx="35">
                  <c:v>330283.31939499878</c:v>
                </c:pt>
                <c:pt idx="36">
                  <c:v>330283.31939499878</c:v>
                </c:pt>
                <c:pt idx="37">
                  <c:v>330283.31939499878</c:v>
                </c:pt>
                <c:pt idx="38">
                  <c:v>330283.31939499878</c:v>
                </c:pt>
                <c:pt idx="39">
                  <c:v>330283.31939499878</c:v>
                </c:pt>
                <c:pt idx="40">
                  <c:v>330283.31939499878</c:v>
                </c:pt>
                <c:pt idx="41">
                  <c:v>330283.31939499878</c:v>
                </c:pt>
                <c:pt idx="42">
                  <c:v>330283.31939499878</c:v>
                </c:pt>
                <c:pt idx="43">
                  <c:v>330283.31939499878</c:v>
                </c:pt>
                <c:pt idx="44">
                  <c:v>330283.31939499878</c:v>
                </c:pt>
                <c:pt idx="45">
                  <c:v>330283.31939499878</c:v>
                </c:pt>
                <c:pt idx="46">
                  <c:v>330283.31939499878</c:v>
                </c:pt>
                <c:pt idx="47">
                  <c:v>330283.31939499878</c:v>
                </c:pt>
                <c:pt idx="48">
                  <c:v>330283.31939499878</c:v>
                </c:pt>
                <c:pt idx="49">
                  <c:v>330283.31939499878</c:v>
                </c:pt>
                <c:pt idx="50">
                  <c:v>330283.31939499878</c:v>
                </c:pt>
                <c:pt idx="51">
                  <c:v>330283.31939499878</c:v>
                </c:pt>
                <c:pt idx="52">
                  <c:v>330283.31939499878</c:v>
                </c:pt>
                <c:pt idx="53">
                  <c:v>330283.31939499878</c:v>
                </c:pt>
                <c:pt idx="54">
                  <c:v>330283.31939499878</c:v>
                </c:pt>
                <c:pt idx="55">
                  <c:v>330283.31939499878</c:v>
                </c:pt>
                <c:pt idx="56">
                  <c:v>330283.31939499878</c:v>
                </c:pt>
                <c:pt idx="57">
                  <c:v>330283.31939499878</c:v>
                </c:pt>
                <c:pt idx="58">
                  <c:v>330283.31939499878</c:v>
                </c:pt>
                <c:pt idx="59">
                  <c:v>330283.31939499878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355150.78241308138</c:v>
                </c:pt>
                <c:pt idx="64">
                  <c:v>355150.78241308138</c:v>
                </c:pt>
                <c:pt idx="65">
                  <c:v>355150.78241308138</c:v>
                </c:pt>
                <c:pt idx="66">
                  <c:v>355150.78241308138</c:v>
                </c:pt>
                <c:pt idx="67">
                  <c:v>355150.78241308138</c:v>
                </c:pt>
                <c:pt idx="68">
                  <c:v>355150.78241308138</c:v>
                </c:pt>
                <c:pt idx="69">
                  <c:v>355150.78241308138</c:v>
                </c:pt>
                <c:pt idx="70">
                  <c:v>355150.78241308138</c:v>
                </c:pt>
                <c:pt idx="71">
                  <c:v>355150.78241308138</c:v>
                </c:pt>
                <c:pt idx="72">
                  <c:v>355150.78241308138</c:v>
                </c:pt>
                <c:pt idx="73">
                  <c:v>355150.78241308138</c:v>
                </c:pt>
                <c:pt idx="74">
                  <c:v>355150.78241308138</c:v>
                </c:pt>
                <c:pt idx="75">
                  <c:v>355150.78241308138</c:v>
                </c:pt>
                <c:pt idx="76">
                  <c:v>355150.78241308138</c:v>
                </c:pt>
                <c:pt idx="77">
                  <c:v>355150.78241308138</c:v>
                </c:pt>
                <c:pt idx="78">
                  <c:v>355150.78241308138</c:v>
                </c:pt>
                <c:pt idx="79">
                  <c:v>355150.78241308138</c:v>
                </c:pt>
                <c:pt idx="80">
                  <c:v>355150.78241308138</c:v>
                </c:pt>
                <c:pt idx="81">
                  <c:v>355150.78241308138</c:v>
                </c:pt>
                <c:pt idx="82">
                  <c:v>355150.78241308138</c:v>
                </c:pt>
                <c:pt idx="83">
                  <c:v>355150.78241308138</c:v>
                </c:pt>
                <c:pt idx="84">
                  <c:v>355150.78241308138</c:v>
                </c:pt>
                <c:pt idx="85">
                  <c:v>355150.78241308138</c:v>
                </c:pt>
                <c:pt idx="86">
                  <c:v>355150.78241308138</c:v>
                </c:pt>
                <c:pt idx="87">
                  <c:v>355150.78241308138</c:v>
                </c:pt>
                <c:pt idx="88">
                  <c:v>355150.78241308138</c:v>
                </c:pt>
                <c:pt idx="89">
                  <c:v>355150.78241308138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381890.54924017406</c:v>
                </c:pt>
                <c:pt idx="94">
                  <c:v>381890.54924017406</c:v>
                </c:pt>
                <c:pt idx="95">
                  <c:v>381890.54924017406</c:v>
                </c:pt>
                <c:pt idx="96">
                  <c:v>381890.54924017406</c:v>
                </c:pt>
                <c:pt idx="97">
                  <c:v>381890.54924017406</c:v>
                </c:pt>
                <c:pt idx="98">
                  <c:v>381890.54924017406</c:v>
                </c:pt>
                <c:pt idx="99">
                  <c:v>381890.54924017406</c:v>
                </c:pt>
                <c:pt idx="100">
                  <c:v>381890.54924017406</c:v>
                </c:pt>
                <c:pt idx="101">
                  <c:v>381890.54924017406</c:v>
                </c:pt>
                <c:pt idx="102">
                  <c:v>381890.54924017406</c:v>
                </c:pt>
                <c:pt idx="103">
                  <c:v>381890.54924017406</c:v>
                </c:pt>
                <c:pt idx="104">
                  <c:v>381890.54924017406</c:v>
                </c:pt>
                <c:pt idx="105">
                  <c:v>381890.54924017406</c:v>
                </c:pt>
                <c:pt idx="106">
                  <c:v>381890.54924017406</c:v>
                </c:pt>
                <c:pt idx="107">
                  <c:v>381890.54924017406</c:v>
                </c:pt>
                <c:pt idx="108">
                  <c:v>381890.54924017406</c:v>
                </c:pt>
                <c:pt idx="109">
                  <c:v>381890.54924017406</c:v>
                </c:pt>
                <c:pt idx="110">
                  <c:v>381890.54924017406</c:v>
                </c:pt>
                <c:pt idx="111">
                  <c:v>381890.54924017406</c:v>
                </c:pt>
                <c:pt idx="112">
                  <c:v>381890.54924017406</c:v>
                </c:pt>
                <c:pt idx="113">
                  <c:v>381890.54924017406</c:v>
                </c:pt>
                <c:pt idx="114">
                  <c:v>381890.54924017406</c:v>
                </c:pt>
                <c:pt idx="115">
                  <c:v>381890.54924017406</c:v>
                </c:pt>
                <c:pt idx="116">
                  <c:v>381890.54924017406</c:v>
                </c:pt>
                <c:pt idx="117">
                  <c:v>381890.54924017406</c:v>
                </c:pt>
                <c:pt idx="118">
                  <c:v>381890.54924017406</c:v>
                </c:pt>
                <c:pt idx="119">
                  <c:v>381890.54924017406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410643.58807840815</c:v>
                </c:pt>
                <c:pt idx="124">
                  <c:v>410643.58807840815</c:v>
                </c:pt>
                <c:pt idx="125">
                  <c:v>410643.58807840815</c:v>
                </c:pt>
                <c:pt idx="126">
                  <c:v>410643.58807840815</c:v>
                </c:pt>
                <c:pt idx="127">
                  <c:v>410643.58807840815</c:v>
                </c:pt>
                <c:pt idx="128">
                  <c:v>410643.58807840815</c:v>
                </c:pt>
                <c:pt idx="129">
                  <c:v>410643.58807840815</c:v>
                </c:pt>
                <c:pt idx="130">
                  <c:v>410643.58807840815</c:v>
                </c:pt>
                <c:pt idx="131">
                  <c:v>410643.58807840815</c:v>
                </c:pt>
                <c:pt idx="132">
                  <c:v>410643.58807840815</c:v>
                </c:pt>
                <c:pt idx="133">
                  <c:v>410643.58807840815</c:v>
                </c:pt>
                <c:pt idx="134">
                  <c:v>410643.58807840815</c:v>
                </c:pt>
                <c:pt idx="135">
                  <c:v>410643.58807840815</c:v>
                </c:pt>
                <c:pt idx="136">
                  <c:v>410643.58807840815</c:v>
                </c:pt>
                <c:pt idx="137">
                  <c:v>410643.58807840815</c:v>
                </c:pt>
                <c:pt idx="138">
                  <c:v>410643.58807840815</c:v>
                </c:pt>
                <c:pt idx="139">
                  <c:v>410643.58807840815</c:v>
                </c:pt>
                <c:pt idx="140">
                  <c:v>410643.58807840815</c:v>
                </c:pt>
                <c:pt idx="141">
                  <c:v>410643.58807840815</c:v>
                </c:pt>
                <c:pt idx="142">
                  <c:v>410643.58807840815</c:v>
                </c:pt>
                <c:pt idx="143">
                  <c:v>410643.58807840815</c:v>
                </c:pt>
                <c:pt idx="144">
                  <c:v>410643.58807840815</c:v>
                </c:pt>
                <c:pt idx="145">
                  <c:v>410643.58807840815</c:v>
                </c:pt>
                <c:pt idx="146">
                  <c:v>410643.58807840815</c:v>
                </c:pt>
                <c:pt idx="147">
                  <c:v>410643.58807840815</c:v>
                </c:pt>
                <c:pt idx="148">
                  <c:v>410643.58807840815</c:v>
                </c:pt>
                <c:pt idx="149">
                  <c:v>410643.58807840815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441561.48081019364</c:v>
                </c:pt>
                <c:pt idx="154">
                  <c:v>441561.48081019364</c:v>
                </c:pt>
                <c:pt idx="155">
                  <c:v>441561.48081019364</c:v>
                </c:pt>
                <c:pt idx="156">
                  <c:v>441561.48081019364</c:v>
                </c:pt>
                <c:pt idx="157">
                  <c:v>441561.48081019364</c:v>
                </c:pt>
                <c:pt idx="158">
                  <c:v>441561.48081019364</c:v>
                </c:pt>
                <c:pt idx="159">
                  <c:v>441561.48081019364</c:v>
                </c:pt>
                <c:pt idx="160">
                  <c:v>441561.48081019364</c:v>
                </c:pt>
                <c:pt idx="161">
                  <c:v>441561.48081019364</c:v>
                </c:pt>
                <c:pt idx="162">
                  <c:v>441561.48081019364</c:v>
                </c:pt>
                <c:pt idx="163">
                  <c:v>441561.48081019364</c:v>
                </c:pt>
                <c:pt idx="164">
                  <c:v>441561.48081019364</c:v>
                </c:pt>
                <c:pt idx="165">
                  <c:v>441561.48081019364</c:v>
                </c:pt>
                <c:pt idx="166">
                  <c:v>441561.48081019364</c:v>
                </c:pt>
                <c:pt idx="167">
                  <c:v>441561.48081019364</c:v>
                </c:pt>
                <c:pt idx="168">
                  <c:v>441561.48081019364</c:v>
                </c:pt>
                <c:pt idx="169">
                  <c:v>441561.48081019364</c:v>
                </c:pt>
                <c:pt idx="170">
                  <c:v>441561.48081019364</c:v>
                </c:pt>
                <c:pt idx="171">
                  <c:v>441561.48081019364</c:v>
                </c:pt>
                <c:pt idx="172">
                  <c:v>441561.48081019364</c:v>
                </c:pt>
                <c:pt idx="173">
                  <c:v>441561.48081019364</c:v>
                </c:pt>
                <c:pt idx="174">
                  <c:v>441561.48081019364</c:v>
                </c:pt>
                <c:pt idx="175">
                  <c:v>441561.48081019364</c:v>
                </c:pt>
                <c:pt idx="176">
                  <c:v>441561.48081019364</c:v>
                </c:pt>
                <c:pt idx="177">
                  <c:v>441561.48081019364</c:v>
                </c:pt>
                <c:pt idx="178">
                  <c:v>441561.48081019364</c:v>
                </c:pt>
                <c:pt idx="179">
                  <c:v>441561.48081019364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474807.22211608524</c:v>
                </c:pt>
                <c:pt idx="184">
                  <c:v>474807.22211608524</c:v>
                </c:pt>
                <c:pt idx="185">
                  <c:v>474807.22211608524</c:v>
                </c:pt>
                <c:pt idx="186">
                  <c:v>474807.22211608524</c:v>
                </c:pt>
                <c:pt idx="187">
                  <c:v>474807.22211608524</c:v>
                </c:pt>
                <c:pt idx="188">
                  <c:v>474807.22211608524</c:v>
                </c:pt>
                <c:pt idx="189">
                  <c:v>474807.22211608524</c:v>
                </c:pt>
                <c:pt idx="190">
                  <c:v>474807.22211608524</c:v>
                </c:pt>
                <c:pt idx="191">
                  <c:v>474807.22211608524</c:v>
                </c:pt>
                <c:pt idx="192">
                  <c:v>474807.22211608524</c:v>
                </c:pt>
                <c:pt idx="193">
                  <c:v>474807.22211608524</c:v>
                </c:pt>
                <c:pt idx="194">
                  <c:v>474807.22211608524</c:v>
                </c:pt>
                <c:pt idx="195">
                  <c:v>474807.22211608524</c:v>
                </c:pt>
                <c:pt idx="196">
                  <c:v>474807.22211608524</c:v>
                </c:pt>
                <c:pt idx="197">
                  <c:v>474807.22211608524</c:v>
                </c:pt>
                <c:pt idx="198">
                  <c:v>474807.22211608524</c:v>
                </c:pt>
                <c:pt idx="199">
                  <c:v>474807.22211608524</c:v>
                </c:pt>
                <c:pt idx="200">
                  <c:v>474807.22211608524</c:v>
                </c:pt>
                <c:pt idx="201">
                  <c:v>474807.22211608524</c:v>
                </c:pt>
                <c:pt idx="202">
                  <c:v>474807.22211608524</c:v>
                </c:pt>
                <c:pt idx="203">
                  <c:v>474807.22211608524</c:v>
                </c:pt>
                <c:pt idx="204">
                  <c:v>474807.22211608524</c:v>
                </c:pt>
                <c:pt idx="205">
                  <c:v>474807.22211608524</c:v>
                </c:pt>
                <c:pt idx="206">
                  <c:v>474807.22211608524</c:v>
                </c:pt>
                <c:pt idx="207">
                  <c:v>474807.22211608524</c:v>
                </c:pt>
                <c:pt idx="208">
                  <c:v>474807.22211608524</c:v>
                </c:pt>
                <c:pt idx="209">
                  <c:v>474807.22211608524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510556.07875927998</c:v>
                </c:pt>
                <c:pt idx="214">
                  <c:v>510556.07875927998</c:v>
                </c:pt>
                <c:pt idx="215">
                  <c:v>510556.07875927998</c:v>
                </c:pt>
                <c:pt idx="216">
                  <c:v>510556.07875927998</c:v>
                </c:pt>
                <c:pt idx="217">
                  <c:v>510556.07875927998</c:v>
                </c:pt>
                <c:pt idx="218">
                  <c:v>510556.07875927998</c:v>
                </c:pt>
                <c:pt idx="219">
                  <c:v>510556.07875927998</c:v>
                </c:pt>
                <c:pt idx="220">
                  <c:v>510556.07875927998</c:v>
                </c:pt>
                <c:pt idx="221">
                  <c:v>510556.07875927998</c:v>
                </c:pt>
                <c:pt idx="222">
                  <c:v>510556.07875927998</c:v>
                </c:pt>
                <c:pt idx="223">
                  <c:v>510556.07875927998</c:v>
                </c:pt>
                <c:pt idx="224">
                  <c:v>510556.07875927998</c:v>
                </c:pt>
                <c:pt idx="225">
                  <c:v>510556.07875927998</c:v>
                </c:pt>
                <c:pt idx="226">
                  <c:v>510556.07875927998</c:v>
                </c:pt>
                <c:pt idx="227">
                  <c:v>510556.07875927998</c:v>
                </c:pt>
                <c:pt idx="228">
                  <c:v>510556.07875927998</c:v>
                </c:pt>
                <c:pt idx="229">
                  <c:v>510556.07875927998</c:v>
                </c:pt>
                <c:pt idx="230">
                  <c:v>510556.07875927998</c:v>
                </c:pt>
                <c:pt idx="231">
                  <c:v>510556.07875927998</c:v>
                </c:pt>
                <c:pt idx="232">
                  <c:v>510556.07875927998</c:v>
                </c:pt>
                <c:pt idx="233">
                  <c:v>510556.07875927998</c:v>
                </c:pt>
                <c:pt idx="234">
                  <c:v>510556.07875927998</c:v>
                </c:pt>
                <c:pt idx="235">
                  <c:v>510556.07875927998</c:v>
                </c:pt>
                <c:pt idx="236">
                  <c:v>510556.07875927998</c:v>
                </c:pt>
                <c:pt idx="237">
                  <c:v>510556.07875927998</c:v>
                </c:pt>
                <c:pt idx="238">
                  <c:v>510556.07875927998</c:v>
                </c:pt>
                <c:pt idx="239">
                  <c:v>510556.07875927998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548996.51356676652</c:v>
                </c:pt>
                <c:pt idx="244">
                  <c:v>548996.51356676652</c:v>
                </c:pt>
                <c:pt idx="245">
                  <c:v>548996.51356676652</c:v>
                </c:pt>
                <c:pt idx="246">
                  <c:v>548996.51356676652</c:v>
                </c:pt>
                <c:pt idx="247">
                  <c:v>548996.51356676652</c:v>
                </c:pt>
                <c:pt idx="248">
                  <c:v>548996.51356676652</c:v>
                </c:pt>
                <c:pt idx="249">
                  <c:v>548996.51356676652</c:v>
                </c:pt>
                <c:pt idx="250">
                  <c:v>548996.51356676652</c:v>
                </c:pt>
                <c:pt idx="251">
                  <c:v>548996.51356676652</c:v>
                </c:pt>
                <c:pt idx="252">
                  <c:v>548996.51356676652</c:v>
                </c:pt>
                <c:pt idx="253">
                  <c:v>548996.51356676652</c:v>
                </c:pt>
                <c:pt idx="254">
                  <c:v>548996.51356676652</c:v>
                </c:pt>
                <c:pt idx="255">
                  <c:v>548996.51356676652</c:v>
                </c:pt>
                <c:pt idx="256">
                  <c:v>548996.51356676652</c:v>
                </c:pt>
                <c:pt idx="257">
                  <c:v>548996.51356676652</c:v>
                </c:pt>
                <c:pt idx="258">
                  <c:v>548996.51356676652</c:v>
                </c:pt>
                <c:pt idx="259">
                  <c:v>548996.51356676652</c:v>
                </c:pt>
                <c:pt idx="260">
                  <c:v>548996.51356676652</c:v>
                </c:pt>
                <c:pt idx="261">
                  <c:v>548996.51356676652</c:v>
                </c:pt>
                <c:pt idx="262">
                  <c:v>548996.51356676652</c:v>
                </c:pt>
                <c:pt idx="263">
                  <c:v>548996.51356676652</c:v>
                </c:pt>
                <c:pt idx="264">
                  <c:v>548996.51356676652</c:v>
                </c:pt>
                <c:pt idx="265">
                  <c:v>548996.51356676652</c:v>
                </c:pt>
                <c:pt idx="266">
                  <c:v>548996.51356676652</c:v>
                </c:pt>
                <c:pt idx="267">
                  <c:v>548996.51356676652</c:v>
                </c:pt>
                <c:pt idx="268">
                  <c:v>548996.51356676652</c:v>
                </c:pt>
                <c:pt idx="269">
                  <c:v>548996.51356676652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590331.17897822428</c:v>
                </c:pt>
                <c:pt idx="274">
                  <c:v>590331.17897822428</c:v>
                </c:pt>
                <c:pt idx="275">
                  <c:v>590331.17897822428</c:v>
                </c:pt>
                <c:pt idx="276">
                  <c:v>590331.17897822428</c:v>
                </c:pt>
                <c:pt idx="277">
                  <c:v>590331.17897822428</c:v>
                </c:pt>
                <c:pt idx="278">
                  <c:v>590331.17897822428</c:v>
                </c:pt>
                <c:pt idx="279">
                  <c:v>590331.17897822428</c:v>
                </c:pt>
                <c:pt idx="280">
                  <c:v>590331.17897822428</c:v>
                </c:pt>
                <c:pt idx="281">
                  <c:v>590331.17897822428</c:v>
                </c:pt>
                <c:pt idx="282">
                  <c:v>590331.17897822428</c:v>
                </c:pt>
                <c:pt idx="283">
                  <c:v>590331.17897822428</c:v>
                </c:pt>
                <c:pt idx="284">
                  <c:v>590331.17897822428</c:v>
                </c:pt>
                <c:pt idx="285">
                  <c:v>590331.17897822428</c:v>
                </c:pt>
                <c:pt idx="286">
                  <c:v>590331.17897822428</c:v>
                </c:pt>
                <c:pt idx="287">
                  <c:v>590331.17897822428</c:v>
                </c:pt>
                <c:pt idx="288">
                  <c:v>590331.17897822428</c:v>
                </c:pt>
                <c:pt idx="289">
                  <c:v>590331.17897822428</c:v>
                </c:pt>
                <c:pt idx="290">
                  <c:v>590331.17897822428</c:v>
                </c:pt>
                <c:pt idx="291">
                  <c:v>590331.17897822428</c:v>
                </c:pt>
                <c:pt idx="292">
                  <c:v>590331.17897822428</c:v>
                </c:pt>
                <c:pt idx="293">
                  <c:v>590331.17897822428</c:v>
                </c:pt>
                <c:pt idx="294">
                  <c:v>590331.17897822428</c:v>
                </c:pt>
                <c:pt idx="295">
                  <c:v>590331.17897822428</c:v>
                </c:pt>
                <c:pt idx="296">
                  <c:v>590331.17897822428</c:v>
                </c:pt>
                <c:pt idx="297">
                  <c:v>590331.17897822428</c:v>
                </c:pt>
                <c:pt idx="298">
                  <c:v>590331.17897822428</c:v>
                </c:pt>
                <c:pt idx="299">
                  <c:v>590331.17897822428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634777.98540051794</c:v>
                </c:pt>
                <c:pt idx="304">
                  <c:v>634777.98540051794</c:v>
                </c:pt>
                <c:pt idx="305">
                  <c:v>634777.98540051794</c:v>
                </c:pt>
                <c:pt idx="306">
                  <c:v>634777.98540051794</c:v>
                </c:pt>
                <c:pt idx="307">
                  <c:v>634777.98540051794</c:v>
                </c:pt>
                <c:pt idx="308">
                  <c:v>634777.98540051794</c:v>
                </c:pt>
                <c:pt idx="309">
                  <c:v>634777.98540051794</c:v>
                </c:pt>
                <c:pt idx="310">
                  <c:v>634777.98540051794</c:v>
                </c:pt>
                <c:pt idx="311">
                  <c:v>634777.98540051794</c:v>
                </c:pt>
                <c:pt idx="312">
                  <c:v>634777.98540051794</c:v>
                </c:pt>
                <c:pt idx="313">
                  <c:v>634777.98540051794</c:v>
                </c:pt>
                <c:pt idx="314">
                  <c:v>634777.98540051794</c:v>
                </c:pt>
                <c:pt idx="315">
                  <c:v>634777.98540051794</c:v>
                </c:pt>
                <c:pt idx="316">
                  <c:v>634777.98540051794</c:v>
                </c:pt>
                <c:pt idx="317">
                  <c:v>634777.98540051794</c:v>
                </c:pt>
                <c:pt idx="318">
                  <c:v>634777.98540051794</c:v>
                </c:pt>
                <c:pt idx="319">
                  <c:v>634777.98540051794</c:v>
                </c:pt>
                <c:pt idx="320">
                  <c:v>634777.98540051794</c:v>
                </c:pt>
                <c:pt idx="321">
                  <c:v>634777.98540051794</c:v>
                </c:pt>
                <c:pt idx="322">
                  <c:v>634777.98540051794</c:v>
                </c:pt>
                <c:pt idx="323">
                  <c:v>634777.98540051794</c:v>
                </c:pt>
                <c:pt idx="324">
                  <c:v>634777.98540051794</c:v>
                </c:pt>
                <c:pt idx="325">
                  <c:v>634777.98540051794</c:v>
                </c:pt>
                <c:pt idx="326">
                  <c:v>634777.98540051794</c:v>
                </c:pt>
                <c:pt idx="327">
                  <c:v>634777.98540051794</c:v>
                </c:pt>
                <c:pt idx="328">
                  <c:v>634777.98540051794</c:v>
                </c:pt>
                <c:pt idx="329">
                  <c:v>634777.98540051794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682571.25</c:v>
                </c:pt>
                <c:pt idx="334">
                  <c:v>682571.25</c:v>
                </c:pt>
                <c:pt idx="335">
                  <c:v>682571.25</c:v>
                </c:pt>
                <c:pt idx="336">
                  <c:v>682571.25</c:v>
                </c:pt>
                <c:pt idx="337">
                  <c:v>682571.25</c:v>
                </c:pt>
                <c:pt idx="338">
                  <c:v>682571.25</c:v>
                </c:pt>
                <c:pt idx="339">
                  <c:v>682571.25</c:v>
                </c:pt>
                <c:pt idx="340">
                  <c:v>682571.25</c:v>
                </c:pt>
                <c:pt idx="341">
                  <c:v>682571.25</c:v>
                </c:pt>
                <c:pt idx="342">
                  <c:v>682571.25</c:v>
                </c:pt>
                <c:pt idx="343">
                  <c:v>682571.25</c:v>
                </c:pt>
                <c:pt idx="344">
                  <c:v>682571.25</c:v>
                </c:pt>
                <c:pt idx="345">
                  <c:v>682571.25</c:v>
                </c:pt>
                <c:pt idx="346">
                  <c:v>682571.25</c:v>
                </c:pt>
                <c:pt idx="347">
                  <c:v>682571.25</c:v>
                </c:pt>
                <c:pt idx="348">
                  <c:v>682571.25</c:v>
                </c:pt>
                <c:pt idx="349">
                  <c:v>682571.25</c:v>
                </c:pt>
                <c:pt idx="350">
                  <c:v>682571.25</c:v>
                </c:pt>
                <c:pt idx="351">
                  <c:v>682571.25</c:v>
                </c:pt>
                <c:pt idx="352">
                  <c:v>682571.25</c:v>
                </c:pt>
                <c:pt idx="353">
                  <c:v>682571.25</c:v>
                </c:pt>
                <c:pt idx="354">
                  <c:v>682571.25</c:v>
                </c:pt>
                <c:pt idx="355">
                  <c:v>682571.25</c:v>
                </c:pt>
                <c:pt idx="356">
                  <c:v>682571.25</c:v>
                </c:pt>
                <c:pt idx="357">
                  <c:v>682571.25</c:v>
                </c:pt>
                <c:pt idx="358">
                  <c:v>682571.25</c:v>
                </c:pt>
                <c:pt idx="359">
                  <c:v>682571.25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0-4040-BAB6-5983BAFAB4B3}"/>
            </c:ext>
          </c:extLst>
        </c:ser>
        <c:ser>
          <c:idx val="1"/>
          <c:order val="1"/>
          <c:spPr>
            <a:solidFill>
              <a:srgbClr val="0EBAC6">
                <a:alpha val="69804"/>
              </a:srgbClr>
            </a:solidFill>
            <a:ln w="25400">
              <a:noFill/>
            </a:ln>
            <a:effectLst/>
          </c:spPr>
          <c:val>
            <c:numRef>
              <c:f>Processing!$Y$3:$Y$362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682571.25</c:v>
                </c:pt>
                <c:pt idx="334">
                  <c:v>682571.25</c:v>
                </c:pt>
                <c:pt idx="335">
                  <c:v>682571.25</c:v>
                </c:pt>
                <c:pt idx="336">
                  <c:v>682571.25</c:v>
                </c:pt>
                <c:pt idx="337">
                  <c:v>682571.25</c:v>
                </c:pt>
                <c:pt idx="338">
                  <c:v>682571.25</c:v>
                </c:pt>
                <c:pt idx="339">
                  <c:v>682571.25</c:v>
                </c:pt>
                <c:pt idx="340">
                  <c:v>682571.25</c:v>
                </c:pt>
                <c:pt idx="341">
                  <c:v>682571.25</c:v>
                </c:pt>
                <c:pt idx="342">
                  <c:v>682571.25</c:v>
                </c:pt>
                <c:pt idx="343">
                  <c:v>682571.25</c:v>
                </c:pt>
                <c:pt idx="344">
                  <c:v>682571.25</c:v>
                </c:pt>
                <c:pt idx="345">
                  <c:v>682571.25</c:v>
                </c:pt>
                <c:pt idx="346">
                  <c:v>682571.25</c:v>
                </c:pt>
                <c:pt idx="347">
                  <c:v>682571.25</c:v>
                </c:pt>
                <c:pt idx="348">
                  <c:v>682571.25</c:v>
                </c:pt>
                <c:pt idx="349">
                  <c:v>682571.25</c:v>
                </c:pt>
                <c:pt idx="350">
                  <c:v>682571.25</c:v>
                </c:pt>
                <c:pt idx="351">
                  <c:v>682571.25</c:v>
                </c:pt>
                <c:pt idx="352">
                  <c:v>682571.25</c:v>
                </c:pt>
                <c:pt idx="353">
                  <c:v>682571.25</c:v>
                </c:pt>
                <c:pt idx="354">
                  <c:v>682571.25</c:v>
                </c:pt>
                <c:pt idx="355">
                  <c:v>682571.25</c:v>
                </c:pt>
                <c:pt idx="356">
                  <c:v>682571.25</c:v>
                </c:pt>
                <c:pt idx="357">
                  <c:v>682571.25</c:v>
                </c:pt>
                <c:pt idx="358">
                  <c:v>682571.25</c:v>
                </c:pt>
                <c:pt idx="359">
                  <c:v>682571.25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0-4040-BAB6-5983BAFA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82367"/>
        <c:axId val="1760797247"/>
      </c:radarChart>
      <c:catAx>
        <c:axId val="1760782367"/>
        <c:scaling>
          <c:orientation val="minMax"/>
        </c:scaling>
        <c:delete val="1"/>
        <c:axPos val="b"/>
        <c:majorTickMark val="none"/>
        <c:minorTickMark val="none"/>
        <c:tickLblPos val="nextTo"/>
        <c:crossAx val="1760797247"/>
        <c:crosses val="autoZero"/>
        <c:auto val="1"/>
        <c:lblAlgn val="ctr"/>
        <c:lblOffset val="100"/>
        <c:noMultiLvlLbl val="0"/>
      </c:catAx>
      <c:valAx>
        <c:axId val="17607972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7EA9AD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6078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7EA9A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2-45BC-AF5C-01B9115F59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2-45BC-AF5C-01B9115F59BB}"/>
              </c:ext>
            </c:extLst>
          </c:dPt>
          <c:dPt>
            <c:idx val="2"/>
            <c:bubble3D val="0"/>
            <c:spPr>
              <a:solidFill>
                <a:srgbClr val="7EA9A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D2-45BC-AF5C-01B9115F59BB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D2-45BC-AF5C-01B9115F5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rgbClr val="2E4747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Processing!$M$27:$O$27</c:f>
              <c:numCache>
                <c:formatCode>0%</c:formatCode>
                <c:ptCount val="3"/>
                <c:pt idx="0">
                  <c:v>0.125</c:v>
                </c:pt>
                <c:pt idx="1">
                  <c:v>0.25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2-45BC-AF5C-01B9115F5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53809C"/>
            </a:solidFill>
            <a:ln>
              <a:noFill/>
            </a:ln>
          </c:spPr>
          <c:dPt>
            <c:idx val="0"/>
            <c:bubble3D val="0"/>
            <c:spPr>
              <a:solidFill>
                <a:srgbClr val="53809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2-45BC-AF5C-01B9115F59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2-45BC-AF5C-01B9115F59BB}"/>
              </c:ext>
            </c:extLst>
          </c:dPt>
          <c:dPt>
            <c:idx val="2"/>
            <c:bubble3D val="0"/>
            <c:spPr>
              <a:solidFill>
                <a:srgbClr val="53809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EA-4392-8F65-D2B48C6B3817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D2-45BC-AF5C-01B9115F5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2E4747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Processing!$M$26:$O$26</c:f>
              <c:numCache>
                <c:formatCode>0%</c:formatCode>
                <c:ptCount val="3"/>
                <c:pt idx="0">
                  <c:v>0.16</c:v>
                </c:pt>
                <c:pt idx="1">
                  <c:v>0.18</c:v>
                </c:pt>
                <c:pt idx="2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2-45BC-AF5C-01B9115F5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1647A"/>
            </a:solidFill>
            <a:ln>
              <a:noFill/>
            </a:ln>
          </c:spPr>
          <c:dPt>
            <c:idx val="0"/>
            <c:bubble3D val="0"/>
            <c:spPr>
              <a:solidFill>
                <a:srgbClr val="4164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2-45BC-AF5C-01B9115F59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2-45BC-AF5C-01B9115F59BB}"/>
              </c:ext>
            </c:extLst>
          </c:dPt>
          <c:dPt>
            <c:idx val="2"/>
            <c:bubble3D val="0"/>
            <c:spPr>
              <a:solidFill>
                <a:srgbClr val="4164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EA-4392-8F65-D2B48C6B3817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D2-45BC-AF5C-01B9115F5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E4747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Processing!$M$25:$O$25</c:f>
              <c:numCache>
                <c:formatCode>0%</c:formatCode>
                <c:ptCount val="3"/>
                <c:pt idx="0">
                  <c:v>0.1</c:v>
                </c:pt>
                <c:pt idx="1">
                  <c:v>0.3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2-45BC-AF5C-01B9115F5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2F48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D2-45BC-AF5C-01B9115F59B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D2-45BC-AF5C-01B9115F59BB}"/>
              </c:ext>
            </c:extLst>
          </c:dPt>
          <c:dPt>
            <c:idx val="2"/>
            <c:bubble3D val="0"/>
            <c:spPr>
              <a:solidFill>
                <a:srgbClr val="2F48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EA-4392-8F65-D2B48C6B3817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D2-45BC-AF5C-01B9115F59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E4747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Processing!$M$24:$O$24</c:f>
              <c:numCache>
                <c:formatCode>0%</c:formatCode>
                <c:ptCount val="3"/>
                <c:pt idx="0">
                  <c:v>0.19</c:v>
                </c:pt>
                <c:pt idx="1">
                  <c:v>0.12</c:v>
                </c:pt>
                <c:pt idx="2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2-45BC-AF5C-01B9115F5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Processing!$C$22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5-4C1B-9FED-1E4E73E9E6A7}"/>
            </c:ext>
          </c:extLst>
        </c:ser>
        <c:ser>
          <c:idx val="1"/>
          <c:order val="1"/>
          <c:spPr>
            <a:solidFill>
              <a:srgbClr val="C1F087"/>
            </a:solidFill>
            <a:ln>
              <a:noFill/>
            </a:ln>
            <a:effectLst/>
          </c:spPr>
          <c:invertIfNegative val="0"/>
          <c:val>
            <c:numRef>
              <c:f>Processing!$D$22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15-4C1B-9FED-1E4E73E9E6A7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15-4C1B-9FED-1E4E73E9E6A7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15-4C1B-9FED-1E4E73E9E6A7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15-4C1B-9FED-1E4E73E9E6A7}"/>
              </c:ext>
            </c:extLst>
          </c:dPt>
          <c:val>
            <c:numRef>
              <c:f>Processing!$G$22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15-4C1B-9FED-1E4E73E9E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66-430C-A746-F0DC06B6D41C}"/>
              </c:ext>
            </c:extLst>
          </c:dPt>
          <c:val>
            <c:numRef>
              <c:f>Processing!$C$23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6-430C-A746-F0DC06B6D41C}"/>
            </c:ext>
          </c:extLst>
        </c:ser>
        <c:ser>
          <c:idx val="1"/>
          <c:order val="1"/>
          <c:spPr>
            <a:solidFill>
              <a:srgbClr val="BEFCFF"/>
            </a:solidFill>
            <a:ln>
              <a:noFill/>
            </a:ln>
            <a:effectLst/>
          </c:spPr>
          <c:invertIfNegative val="0"/>
          <c:val>
            <c:numRef>
              <c:f>Processing!$D$23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66-430C-A746-F0DC06B6D41C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Processing!$E$23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66-430C-A746-F0DC06B6D41C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66-430C-A746-F0DC06B6D41C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C66-430C-A746-F0DC06B6D41C}"/>
              </c:ext>
            </c:extLst>
          </c:dPt>
          <c:val>
            <c:numRef>
              <c:f>Processing!$G$23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66-430C-A746-F0DC06B6D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Processing!$C$24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E-4540-A210-F2D857AFBE63}"/>
            </c:ext>
          </c:extLst>
        </c:ser>
        <c:ser>
          <c:idx val="1"/>
          <c:order val="1"/>
          <c:spPr>
            <a:solidFill>
              <a:srgbClr val="BEFC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E8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9FE-4540-A210-F2D857AFBE63}"/>
              </c:ext>
            </c:extLst>
          </c:dPt>
          <c:val>
            <c:numRef>
              <c:f>Processing!$D$24</c:f>
              <c:numCache>
                <c:formatCode>0%</c:formatCode>
                <c:ptCount val="1"/>
                <c:pt idx="0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E-4540-A210-F2D857AFBE63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Processing!$E$24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FE-4540-A210-F2D857AFBE63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Processing!$F$24</c:f>
              <c:numCache>
                <c:formatCode>0%</c:formatCode>
                <c:ptCount val="1"/>
                <c:pt idx="0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FE-4540-A210-F2D857AFBE63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9FE-4540-A210-F2D857AFBE63}"/>
              </c:ext>
            </c:extLst>
          </c:dPt>
          <c:val>
            <c:numRef>
              <c:f>Processing!$G$24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FE-4540-A210-F2D857AF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Processing!$C$25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F-4F65-86E0-827F695D657D}"/>
            </c:ext>
          </c:extLst>
        </c:ser>
        <c:ser>
          <c:idx val="1"/>
          <c:order val="1"/>
          <c:spPr>
            <a:solidFill>
              <a:srgbClr val="8723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8B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1F-4F65-86E0-827F695D657D}"/>
              </c:ext>
            </c:extLst>
          </c:dPt>
          <c:val>
            <c:numRef>
              <c:f>Processing!$D$25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F-4F65-86E0-827F695D657D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Processing!$E$25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F-4F65-86E0-827F695D657D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Processing!$F$25</c:f>
              <c:numCache>
                <c:formatCode>0%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1F-4F65-86E0-827F695D657D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B1F-4F65-86E0-827F695D657D}"/>
              </c:ext>
            </c:extLst>
          </c:dPt>
          <c:val>
            <c:numRef>
              <c:f>Processing!$G$25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1F-4F65-86E0-827F695D6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E8BA580-0801-421B-8896-A89BD5489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56F-4D5F-800F-3EE09248BE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2E4747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Processing!$A$14</c:f>
              <c:numCache>
                <c:formatCode>0%</c:formatCode>
                <c:ptCount val="1"/>
                <c:pt idx="0">
                  <c:v>0.18867924528301883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Processing!$N$9</c15:f>
                <c15:dlblRangeCache>
                  <c:ptCount val="1"/>
                  <c:pt idx="0">
                    <c:v> $47,793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56F-4D5F-800F-3EE09248BED9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6F-4D5F-800F-3EE09248BED9}"/>
              </c:ext>
            </c:extLst>
          </c:dPt>
          <c:val>
            <c:numRef>
              <c:f>Processing!$A$15</c:f>
              <c:numCache>
                <c:formatCode>0%</c:formatCode>
                <c:ptCount val="1"/>
                <c:pt idx="0">
                  <c:v>0.81132075471698117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F-4D5F-800F-3EE09248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49568064"/>
        <c:axId val="249568544"/>
      </c:barChart>
      <c:catAx>
        <c:axId val="24956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568544"/>
        <c:crosses val="autoZero"/>
        <c:auto val="1"/>
        <c:lblAlgn val="ctr"/>
        <c:lblOffset val="100"/>
        <c:noMultiLvlLbl val="0"/>
      </c:catAx>
      <c:valAx>
        <c:axId val="24956854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2495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rgbClr val="0EBAC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4B-4C92-8AF4-15D6BCB8F779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4B-4C92-8AF4-15D6BCB8F779}"/>
              </c:ext>
            </c:extLst>
          </c:dPt>
          <c:val>
            <c:numRef>
              <c:f>Processing!$A$2:$B$2</c:f>
              <c:numCache>
                <c:formatCode>0.0%</c:formatCode>
                <c:ptCount val="2"/>
                <c:pt idx="0" formatCode="0%">
                  <c:v>1</c:v>
                </c:pt>
                <c:pt idx="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4B-4C92-8AF4-15D6BCB8F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doughnutChart>
        <c:varyColors val="1"/>
        <c:ser>
          <c:idx val="0"/>
          <c:order val="0"/>
          <c:spPr>
            <a:solidFill>
              <a:srgbClr val="F0F7EC"/>
            </a:solidFill>
            <a:ln w="12700">
              <a:solidFill>
                <a:srgbClr val="008491"/>
              </a:solidFill>
            </a:ln>
          </c:spPr>
          <c:dPt>
            <c:idx val="0"/>
            <c:bubble3D val="0"/>
            <c:spPr>
              <a:solidFill>
                <a:srgbClr val="008491"/>
              </a:solidFill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54B-4C92-8AF4-15D6BCB8F779}"/>
              </c:ext>
            </c:extLst>
          </c:dPt>
          <c:dPt>
            <c:idx val="1"/>
            <c:bubble3D val="0"/>
            <c:spPr>
              <a:noFill/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54B-4C92-8AF4-15D6BCB8F779}"/>
              </c:ext>
            </c:extLst>
          </c:dPt>
          <c:dPt>
            <c:idx val="2"/>
            <c:bubble3D val="0"/>
            <c:spPr>
              <a:solidFill>
                <a:srgbClr val="008491"/>
              </a:solidFill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54B-4C92-8AF4-15D6BCB8F779}"/>
              </c:ext>
            </c:extLst>
          </c:dPt>
          <c:dPt>
            <c:idx val="3"/>
            <c:bubble3D val="0"/>
            <c:spPr>
              <a:noFill/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54B-4C92-8AF4-15D6BCB8F779}"/>
              </c:ext>
            </c:extLst>
          </c:dPt>
          <c:dPt>
            <c:idx val="4"/>
            <c:bubble3D val="0"/>
            <c:spPr>
              <a:solidFill>
                <a:srgbClr val="008491"/>
              </a:solidFill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54B-4C92-8AF4-15D6BCB8F779}"/>
              </c:ext>
            </c:extLst>
          </c:dPt>
          <c:dPt>
            <c:idx val="5"/>
            <c:bubble3D val="0"/>
            <c:spPr>
              <a:noFill/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54B-4C92-8AF4-15D6BCB8F779}"/>
              </c:ext>
            </c:extLst>
          </c:dPt>
          <c:dPt>
            <c:idx val="6"/>
            <c:bubble3D val="0"/>
            <c:spPr>
              <a:solidFill>
                <a:srgbClr val="008491"/>
              </a:solidFill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54B-4C92-8AF4-15D6BCB8F779}"/>
              </c:ext>
            </c:extLst>
          </c:dPt>
          <c:dPt>
            <c:idx val="7"/>
            <c:bubble3D val="0"/>
            <c:spPr>
              <a:noFill/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54B-4C92-8AF4-15D6BCB8F779}"/>
              </c:ext>
            </c:extLst>
          </c:dPt>
          <c:dPt>
            <c:idx val="8"/>
            <c:bubble3D val="0"/>
            <c:spPr>
              <a:solidFill>
                <a:srgbClr val="008491"/>
              </a:solidFill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254B-4C92-8AF4-15D6BCB8F779}"/>
              </c:ext>
            </c:extLst>
          </c:dPt>
          <c:dPt>
            <c:idx val="9"/>
            <c:bubble3D val="0"/>
            <c:spPr>
              <a:solidFill>
                <a:srgbClr val="008491"/>
              </a:solidFill>
              <a:ln w="12700">
                <a:solidFill>
                  <a:srgbClr val="00849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254B-4C92-8AF4-15D6BCB8F779}"/>
              </c:ext>
            </c:extLst>
          </c:dPt>
          <c:val>
            <c:numRef>
              <c:f>Processing!$C$1:$C$10</c:f>
              <c:numCache>
                <c:formatCode>General</c:formatCode>
                <c:ptCount val="10"/>
                <c:pt idx="0">
                  <c:v>20</c:v>
                </c:pt>
                <c:pt idx="1">
                  <c:v>0.7</c:v>
                </c:pt>
                <c:pt idx="2">
                  <c:v>20</c:v>
                </c:pt>
                <c:pt idx="3">
                  <c:v>0.7</c:v>
                </c:pt>
                <c:pt idx="4">
                  <c:v>20</c:v>
                </c:pt>
                <c:pt idx="5">
                  <c:v>0.7</c:v>
                </c:pt>
                <c:pt idx="6">
                  <c:v>20</c:v>
                </c:pt>
                <c:pt idx="7">
                  <c:v>0.7</c:v>
                </c:pt>
                <c:pt idx="8">
                  <c:v>20</c:v>
                </c:pt>
                <c:pt idx="9">
                  <c:v>97.199999999999989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54B-4C92-8AF4-15D6BCB8F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Processing!$L$1</c:f>
              <c:strCache>
                <c:ptCount val="1"/>
                <c:pt idx="0">
                  <c:v>Sectors</c:v>
                </c:pt>
              </c:strCache>
            </c:strRef>
          </c:tx>
          <c:spPr>
            <a:noFill/>
            <a:ln w="12700">
              <a:solidFill>
                <a:srgbClr val="C3EFE5"/>
              </a:solidFill>
            </a:ln>
          </c:spPr>
          <c:dPt>
            <c:idx val="0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80-4677-A229-8AAF5654342B}"/>
              </c:ext>
            </c:extLst>
          </c:dPt>
          <c:dPt>
            <c:idx val="1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80-4677-A229-8AAF5654342B}"/>
              </c:ext>
            </c:extLst>
          </c:dPt>
          <c:dPt>
            <c:idx val="2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80-4677-A229-8AAF5654342B}"/>
              </c:ext>
            </c:extLst>
          </c:dPt>
          <c:dPt>
            <c:idx val="3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80-4677-A229-8AAF5654342B}"/>
              </c:ext>
            </c:extLst>
          </c:dPt>
          <c:dPt>
            <c:idx val="4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80-4677-A229-8AAF5654342B}"/>
              </c:ext>
            </c:extLst>
          </c:dPt>
          <c:dPt>
            <c:idx val="5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80-4677-A229-8AAF5654342B}"/>
              </c:ext>
            </c:extLst>
          </c:dPt>
          <c:dPt>
            <c:idx val="6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580-4677-A229-8AAF5654342B}"/>
              </c:ext>
            </c:extLst>
          </c:dPt>
          <c:dPt>
            <c:idx val="7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580-4677-A229-8AAF5654342B}"/>
              </c:ext>
            </c:extLst>
          </c:dPt>
          <c:dPt>
            <c:idx val="8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580-4677-A229-8AAF5654342B}"/>
              </c:ext>
            </c:extLst>
          </c:dPt>
          <c:dPt>
            <c:idx val="9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580-4677-A229-8AAF5654342B}"/>
              </c:ext>
            </c:extLst>
          </c:dPt>
          <c:dPt>
            <c:idx val="10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580-4677-A229-8AAF5654342B}"/>
              </c:ext>
            </c:extLst>
          </c:dPt>
          <c:dPt>
            <c:idx val="11"/>
            <c:bubble3D val="0"/>
            <c:spPr>
              <a:noFill/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580-4677-A229-8AAF5654342B}"/>
              </c:ext>
            </c:extLst>
          </c:dPt>
          <c:val>
            <c:numRef>
              <c:f>Processing!$L$2:$L$13</c:f>
              <c:numCache>
                <c:formatCode>General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80-4677-A229-8AAF56543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3"/>
      </c:doughnutChart>
      <c:doughnut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E580-4677-A229-8AAF5654342B}"/>
              </c:ext>
            </c:extLst>
          </c:dPt>
          <c:dPt>
            <c:idx val="1"/>
            <c:bubble3D val="0"/>
            <c:spPr>
              <a:solidFill>
                <a:schemeClr val="bg1">
                  <a:alpha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E580-4677-A229-8AAF5654342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E580-4677-A229-8AAF5654342B}"/>
              </c:ext>
            </c:extLst>
          </c:dPt>
          <c:val>
            <c:numRef>
              <c:f>Processing!$N$2:$P$2</c:f>
              <c:numCache>
                <c:formatCode>General</c:formatCode>
                <c:ptCount val="3"/>
                <c:pt idx="0">
                  <c:v>330</c:v>
                </c:pt>
                <c:pt idx="1">
                  <c:v>30</c:v>
                </c:pt>
                <c:pt idx="2">
                  <c:v>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1F-E580-4677-A229-8AAF56543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2"/>
        <c:extLst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Processing!$H$1</c:f>
              <c:strCache>
                <c:ptCount val="1"/>
                <c:pt idx="0">
                  <c:v>Value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EA9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E3-4460-802D-16F27100F0AC}"/>
              </c:ext>
            </c:extLst>
          </c:dPt>
          <c:dPt>
            <c:idx val="1"/>
            <c:invertIfNegative val="0"/>
            <c:bubble3D val="0"/>
            <c:spPr>
              <a:solidFill>
                <a:srgbClr val="A3BD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E3-4460-802D-16F27100F0AC}"/>
              </c:ext>
            </c:extLst>
          </c:dPt>
          <c:dPt>
            <c:idx val="2"/>
            <c:invertIfNegative val="0"/>
            <c:bubble3D val="0"/>
            <c:spPr>
              <a:solidFill>
                <a:srgbClr val="92B1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E3-4460-802D-16F27100F0AC}"/>
              </c:ext>
            </c:extLst>
          </c:dPt>
          <c:dPt>
            <c:idx val="3"/>
            <c:invertIfNegative val="0"/>
            <c:bubble3D val="0"/>
            <c:spPr>
              <a:solidFill>
                <a:srgbClr val="81A5B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E3-4460-802D-16F27100F0AC}"/>
              </c:ext>
            </c:extLst>
          </c:dPt>
          <c:dPt>
            <c:idx val="4"/>
            <c:invertIfNegative val="0"/>
            <c:bubble3D val="0"/>
            <c:spPr>
              <a:solidFill>
                <a:srgbClr val="7099B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E3-4460-802D-16F27100F0AC}"/>
              </c:ext>
            </c:extLst>
          </c:dPt>
          <c:dPt>
            <c:idx val="5"/>
            <c:invertIfNegative val="0"/>
            <c:bubble3D val="0"/>
            <c:spPr>
              <a:solidFill>
                <a:srgbClr val="5F8D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6E3-4460-802D-16F27100F0AC}"/>
              </c:ext>
            </c:extLst>
          </c:dPt>
          <c:dPt>
            <c:idx val="6"/>
            <c:invertIfNegative val="0"/>
            <c:bubble3D val="0"/>
            <c:spPr>
              <a:solidFill>
                <a:srgbClr val="5380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6E3-4460-802D-16F27100F0AC}"/>
              </c:ext>
            </c:extLst>
          </c:dPt>
          <c:dPt>
            <c:idx val="7"/>
            <c:invertIfNegative val="0"/>
            <c:bubble3D val="0"/>
            <c:spPr>
              <a:solidFill>
                <a:srgbClr val="4A72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6E3-4460-802D-16F27100F0AC}"/>
              </c:ext>
            </c:extLst>
          </c:dPt>
          <c:dPt>
            <c:idx val="8"/>
            <c:invertIfNegative val="0"/>
            <c:bubble3D val="0"/>
            <c:spPr>
              <a:solidFill>
                <a:srgbClr val="41647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6E3-4460-802D-16F27100F0AC}"/>
              </c:ext>
            </c:extLst>
          </c:dPt>
          <c:dPt>
            <c:idx val="9"/>
            <c:invertIfNegative val="0"/>
            <c:bubble3D val="0"/>
            <c:spPr>
              <a:solidFill>
                <a:srgbClr val="38566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6E3-4460-802D-16F27100F0AC}"/>
              </c:ext>
            </c:extLst>
          </c:dPt>
          <c:dPt>
            <c:idx val="10"/>
            <c:invertIfNegative val="0"/>
            <c:bubble3D val="0"/>
            <c:spPr>
              <a:solidFill>
                <a:srgbClr val="2F48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6E3-4460-802D-16F27100F0AC}"/>
              </c:ext>
            </c:extLst>
          </c:dPt>
          <c:dPt>
            <c:idx val="11"/>
            <c:invertIfNegative val="0"/>
            <c:bubble3D val="0"/>
            <c:spPr>
              <a:solidFill>
                <a:srgbClr val="2F48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6E3-4460-802D-16F27100F0AC}"/>
              </c:ext>
            </c:extLst>
          </c:dPt>
          <c:cat>
            <c:strRef>
              <c:f>Processing!$M$2:$M$14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Processing!$H$2:$H$13</c:f>
              <c:numCache>
                <c:formatCode>#,##0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E3-4460-802D-16F27100F0AC}"/>
            </c:ext>
          </c:extLst>
        </c:ser>
        <c:ser>
          <c:idx val="1"/>
          <c:order val="1"/>
          <c:tx>
            <c:strRef>
              <c:f>Processing!$I$1</c:f>
              <c:strCache>
                <c:ptCount val="1"/>
                <c:pt idx="0">
                  <c:v>Value 2</c:v>
                </c:pt>
              </c:strCache>
            </c:strRef>
          </c:tx>
          <c:spPr>
            <a:solidFill>
              <a:srgbClr val="0EBAC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9F91B7F-F81E-45F8-A4BD-2E4C6B43A2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6E3-4460-802D-16F27100F0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0F9271-3F4F-418C-9164-2B9DB3F13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6E3-4460-802D-16F27100F0A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7D0D51-252B-4494-9B38-D8CB72B6F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6E3-4460-802D-16F27100F0A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C9830E3-FC37-45FE-8891-146154656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6E3-4460-802D-16F27100F0A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2E094B-1EBD-47A0-8EE9-A67BD7DEA5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6E3-4460-802D-16F27100F0A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0A4AAEC-7700-49B8-AF1C-345A22A932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6E3-4460-802D-16F27100F0A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AF7479-838F-4AA5-A20B-6EC7F1A876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6E3-4460-802D-16F27100F0A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488300A-4897-4DE9-A399-6DAFA27B2C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6E3-4460-802D-16F27100F0A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657F05E-68B6-4315-9CCF-6CFBDAC06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6E3-4460-802D-16F27100F0A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E982A2D-D97B-4891-9C99-2FED300D5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6E3-4460-802D-16F27100F0A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5C057E0-261A-415E-9991-2E066DCA1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6E3-4460-802D-16F27100F0A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A8B29C3-C175-4D73-B5F8-A7694C5536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6E3-4460-802D-16F27100F0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Processing!$M$2:$M$14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Processing!$I$2:$I$13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Processing!$J$2:$J$13</c15:f>
                <c15:dlblRangeCache>
                  <c:ptCount val="12"/>
                  <c:pt idx="11">
                    <c:v>2,53,304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66E3-4460-802D-16F27100F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645033632"/>
        <c:axId val="242100256"/>
      </c:barChart>
      <c:catAx>
        <c:axId val="164503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2100256"/>
        <c:crosses val="autoZero"/>
        <c:auto val="1"/>
        <c:lblAlgn val="ctr"/>
        <c:lblOffset val="100"/>
        <c:noMultiLvlLbl val="0"/>
      </c:catAx>
      <c:valAx>
        <c:axId val="24210025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64503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Processing!$A$14</c:f>
              <c:numCache>
                <c:formatCode>0%</c:formatCode>
                <c:ptCount val="1"/>
                <c:pt idx="0">
                  <c:v>0.18867924528301883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A-4009-9AEA-BDE5BCC37743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2A-4009-9AEA-BDE5BCC37743}"/>
              </c:ext>
            </c:extLst>
          </c:dPt>
          <c:val>
            <c:numRef>
              <c:f>Processing!$A$15</c:f>
              <c:numCache>
                <c:formatCode>0%</c:formatCode>
                <c:ptCount val="1"/>
                <c:pt idx="0">
                  <c:v>0.81132075471698117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A-4009-9AEA-BDE5BCC37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49568064"/>
        <c:axId val="249568544"/>
      </c:barChart>
      <c:catAx>
        <c:axId val="24956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568544"/>
        <c:crosses val="autoZero"/>
        <c:auto val="1"/>
        <c:lblAlgn val="ctr"/>
        <c:lblOffset val="100"/>
        <c:noMultiLvlLbl val="0"/>
      </c:catAx>
      <c:valAx>
        <c:axId val="24956854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2495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Processing!$R$1</c:f>
              <c:strCache>
                <c:ptCount val="1"/>
                <c:pt idx="0">
                  <c:v>Sectors</c:v>
                </c:pt>
              </c:strCache>
            </c:strRef>
          </c:tx>
          <c:spPr>
            <a:solidFill>
              <a:srgbClr val="476775"/>
            </a:solidFill>
            <a:ln w="12700">
              <a:solidFill>
                <a:srgbClr val="C3EFE5"/>
              </a:solidFill>
            </a:ln>
          </c:spPr>
          <c:dPt>
            <c:idx val="0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30-4675-A531-C64D8EBDC50C}"/>
              </c:ext>
            </c:extLst>
          </c:dPt>
          <c:dPt>
            <c:idx val="1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30-4675-A531-C64D8EBDC50C}"/>
              </c:ext>
            </c:extLst>
          </c:dPt>
          <c:dPt>
            <c:idx val="2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30-4675-A531-C64D8EBDC50C}"/>
              </c:ext>
            </c:extLst>
          </c:dPt>
          <c:dPt>
            <c:idx val="3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30-4675-A531-C64D8EBDC50C}"/>
              </c:ext>
            </c:extLst>
          </c:dPt>
          <c:dPt>
            <c:idx val="4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630-4675-A531-C64D8EBDC50C}"/>
              </c:ext>
            </c:extLst>
          </c:dPt>
          <c:dPt>
            <c:idx val="5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630-4675-A531-C64D8EBDC50C}"/>
              </c:ext>
            </c:extLst>
          </c:dPt>
          <c:dPt>
            <c:idx val="6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630-4675-A531-C64D8EBDC50C}"/>
              </c:ext>
            </c:extLst>
          </c:dPt>
          <c:dPt>
            <c:idx val="7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630-4675-A531-C64D8EBDC50C}"/>
              </c:ext>
            </c:extLst>
          </c:dPt>
          <c:dPt>
            <c:idx val="8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630-4675-A531-C64D8EBDC50C}"/>
              </c:ext>
            </c:extLst>
          </c:dPt>
          <c:dPt>
            <c:idx val="9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630-4675-A531-C64D8EBDC50C}"/>
              </c:ext>
            </c:extLst>
          </c:dPt>
          <c:dPt>
            <c:idx val="10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630-4675-A531-C64D8EBDC50C}"/>
              </c:ext>
            </c:extLst>
          </c:dPt>
          <c:dPt>
            <c:idx val="11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630-4675-A531-C64D8EBDC50C}"/>
              </c:ext>
            </c:extLst>
          </c:dPt>
          <c:dPt>
            <c:idx val="12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630-4675-A531-C64D8EBDC50C}"/>
              </c:ext>
            </c:extLst>
          </c:dPt>
          <c:dPt>
            <c:idx val="13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630-4675-A531-C64D8EBDC50C}"/>
              </c:ext>
            </c:extLst>
          </c:dPt>
          <c:dPt>
            <c:idx val="14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630-4675-A531-C64D8EBDC50C}"/>
              </c:ext>
            </c:extLst>
          </c:dPt>
          <c:dPt>
            <c:idx val="15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630-4675-A531-C64D8EBDC50C}"/>
              </c:ext>
            </c:extLst>
          </c:dPt>
          <c:dPt>
            <c:idx val="16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630-4675-A531-C64D8EBDC50C}"/>
              </c:ext>
            </c:extLst>
          </c:dPt>
          <c:dPt>
            <c:idx val="17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630-4675-A531-C64D8EBDC50C}"/>
              </c:ext>
            </c:extLst>
          </c:dPt>
          <c:dPt>
            <c:idx val="18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630-4675-A531-C64D8EBDC50C}"/>
              </c:ext>
            </c:extLst>
          </c:dPt>
          <c:dPt>
            <c:idx val="19"/>
            <c:bubble3D val="0"/>
            <c:spPr>
              <a:solidFill>
                <a:srgbClr val="476775"/>
              </a:solidFill>
              <a:ln w="12700">
                <a:solidFill>
                  <a:srgbClr val="C3EFE5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630-4675-A531-C64D8EBDC50C}"/>
              </c:ext>
            </c:extLst>
          </c:dPt>
          <c:val>
            <c:numRef>
              <c:f>Processing!$R$2:$R$21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630-4675-A531-C64D8EBDC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gradFill flip="none" rotWithShape="1">
                <a:gsLst>
                  <a:gs pos="0">
                    <a:schemeClr val="bg1">
                      <a:alpha val="80000"/>
                    </a:schemeClr>
                  </a:gs>
                  <a:gs pos="100000">
                    <a:schemeClr val="bg1">
                      <a:alpha val="23000"/>
                    </a:scheme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E630-4675-A531-C64D8EBDC50C}"/>
              </c:ext>
            </c:extLst>
          </c:dPt>
          <c:dPt>
            <c:idx val="1"/>
            <c:bubble3D val="0"/>
            <c:spPr>
              <a:solidFill>
                <a:srgbClr val="0EBAC6">
                  <a:alpha val="7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630-4675-A531-C64D8EBDC50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E630-4675-A531-C64D8EBDC50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E630-4675-A531-C64D8EBDC50C}"/>
              </c:ext>
            </c:extLst>
          </c:dPt>
          <c:val>
            <c:numRef>
              <c:f>Processing!$N$5:$Q$5</c:f>
              <c:numCache>
                <c:formatCode>0%</c:formatCode>
                <c:ptCount val="4"/>
                <c:pt idx="0">
                  <c:v>0.87510178571428576</c:v>
                </c:pt>
                <c:pt idx="1">
                  <c:v>0.1</c:v>
                </c:pt>
                <c:pt idx="2">
                  <c:v>2.4898214285714232E-2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630-4675-A531-C64D8EBDC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819491684022009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84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B7-4806-9317-E950FDEDE19C}"/>
              </c:ext>
            </c:extLst>
          </c:dPt>
          <c:dPt>
            <c:idx val="1"/>
            <c:invertIfNegative val="0"/>
            <c:bubble3D val="0"/>
            <c:spPr>
              <a:solidFill>
                <a:srgbClr val="2F485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B7-4806-9317-E950FDEDE19C}"/>
              </c:ext>
            </c:extLst>
          </c:dPt>
          <c:dPt>
            <c:idx val="2"/>
            <c:invertIfNegative val="0"/>
            <c:bubble3D val="0"/>
            <c:spPr>
              <a:solidFill>
                <a:srgbClr val="6DBFC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B7-4806-9317-E950FDEDE19C}"/>
              </c:ext>
            </c:extLst>
          </c:dPt>
          <c:dPt>
            <c:idx val="3"/>
            <c:invertIfNegative val="0"/>
            <c:bubble3D val="0"/>
            <c:spPr>
              <a:solidFill>
                <a:srgbClr val="41647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B7-4806-9317-E950FDEDE19C}"/>
              </c:ext>
            </c:extLst>
          </c:dPt>
          <c:dPt>
            <c:idx val="4"/>
            <c:invertIfNegative val="0"/>
            <c:bubble3D val="0"/>
            <c:spPr>
              <a:solidFill>
                <a:srgbClr val="81A5B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0B7-4806-9317-E950FDEDE19C}"/>
              </c:ext>
            </c:extLst>
          </c:dPt>
          <c:xVal>
            <c:numRef>
              <c:f>Processing!$J$17:$J$21</c:f>
              <c:numCache>
                <c:formatCode>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xVal>
          <c:yVal>
            <c:numRef>
              <c:f>Processing!$K$17:$K$21</c:f>
              <c:numCache>
                <c:formatCode>0%</c:formatCode>
                <c:ptCount val="5"/>
                <c:pt idx="0">
                  <c:v>0.4</c:v>
                </c:pt>
                <c:pt idx="1">
                  <c:v>0.4</c:v>
                </c:pt>
                <c:pt idx="2">
                  <c:v>0.37</c:v>
                </c:pt>
                <c:pt idx="3">
                  <c:v>0.35</c:v>
                </c:pt>
                <c:pt idx="4">
                  <c:v>0.34</c:v>
                </c:pt>
              </c:numCache>
            </c:numRef>
          </c:yVal>
          <c:bubbleSize>
            <c:numRef>
              <c:f>Processing!$L$17:$L$21</c:f>
              <c:numCache>
                <c:formatCode>General</c:formatCode>
                <c:ptCount val="5"/>
                <c:pt idx="0">
                  <c:v>700000</c:v>
                </c:pt>
                <c:pt idx="1">
                  <c:v>700000</c:v>
                </c:pt>
                <c:pt idx="2">
                  <c:v>400000</c:v>
                </c:pt>
                <c:pt idx="3">
                  <c:v>220000</c:v>
                </c:pt>
                <c:pt idx="4">
                  <c:v>135000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A-E0B7-4806-9317-E950FDEDE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93985215"/>
        <c:axId val="1093984255"/>
      </c:bubbleChart>
      <c:valAx>
        <c:axId val="1093985215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93984255"/>
        <c:crosses val="autoZero"/>
        <c:crossBetween val="midCat"/>
      </c:valAx>
      <c:valAx>
        <c:axId val="1093984255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09398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rgbClr val="2F4858"/>
            </a:solidFill>
            <a:ln>
              <a:noFill/>
            </a:ln>
            <a:effectLst/>
          </c:spPr>
          <c:val>
            <c:numRef>
              <c:f>Processing!$X$3:$X$362</c:f>
              <c:numCache>
                <c:formatCode>General</c:formatCode>
                <c:ptCount val="3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307157.0625</c:v>
                </c:pt>
                <c:pt idx="4">
                  <c:v>307157.0625</c:v>
                </c:pt>
                <c:pt idx="5">
                  <c:v>307157.0625</c:v>
                </c:pt>
                <c:pt idx="6">
                  <c:v>307157.0625</c:v>
                </c:pt>
                <c:pt idx="7">
                  <c:v>307157.0625</c:v>
                </c:pt>
                <c:pt idx="8">
                  <c:v>307157.0625</c:v>
                </c:pt>
                <c:pt idx="9">
                  <c:v>307157.0625</c:v>
                </c:pt>
                <c:pt idx="10">
                  <c:v>307157.0625</c:v>
                </c:pt>
                <c:pt idx="11">
                  <c:v>307157.0625</c:v>
                </c:pt>
                <c:pt idx="12">
                  <c:v>307157.0625</c:v>
                </c:pt>
                <c:pt idx="13">
                  <c:v>307157.0625</c:v>
                </c:pt>
                <c:pt idx="14">
                  <c:v>307157.0625</c:v>
                </c:pt>
                <c:pt idx="15">
                  <c:v>307157.0625</c:v>
                </c:pt>
                <c:pt idx="16">
                  <c:v>307157.0625</c:v>
                </c:pt>
                <c:pt idx="17">
                  <c:v>307157.0625</c:v>
                </c:pt>
                <c:pt idx="18">
                  <c:v>307157.0625</c:v>
                </c:pt>
                <c:pt idx="19">
                  <c:v>307157.0625</c:v>
                </c:pt>
                <c:pt idx="20">
                  <c:v>307157.0625</c:v>
                </c:pt>
                <c:pt idx="21">
                  <c:v>307157.0625</c:v>
                </c:pt>
                <c:pt idx="22">
                  <c:v>307157.0625</c:v>
                </c:pt>
                <c:pt idx="23">
                  <c:v>307157.0625</c:v>
                </c:pt>
                <c:pt idx="24">
                  <c:v>307157.0625</c:v>
                </c:pt>
                <c:pt idx="25">
                  <c:v>307157.0625</c:v>
                </c:pt>
                <c:pt idx="26">
                  <c:v>307157.0625</c:v>
                </c:pt>
                <c:pt idx="27">
                  <c:v>307157.0625</c:v>
                </c:pt>
                <c:pt idx="28">
                  <c:v>307157.0625</c:v>
                </c:pt>
                <c:pt idx="29">
                  <c:v>307157.0625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330283.31939499878</c:v>
                </c:pt>
                <c:pt idx="34">
                  <c:v>330283.31939499878</c:v>
                </c:pt>
                <c:pt idx="35">
                  <c:v>330283.31939499878</c:v>
                </c:pt>
                <c:pt idx="36">
                  <c:v>330283.31939499878</c:v>
                </c:pt>
                <c:pt idx="37">
                  <c:v>330283.31939499878</c:v>
                </c:pt>
                <c:pt idx="38">
                  <c:v>330283.31939499878</c:v>
                </c:pt>
                <c:pt idx="39">
                  <c:v>330283.31939499878</c:v>
                </c:pt>
                <c:pt idx="40">
                  <c:v>330283.31939499878</c:v>
                </c:pt>
                <c:pt idx="41">
                  <c:v>330283.31939499878</c:v>
                </c:pt>
                <c:pt idx="42">
                  <c:v>330283.31939499878</c:v>
                </c:pt>
                <c:pt idx="43">
                  <c:v>330283.31939499878</c:v>
                </c:pt>
                <c:pt idx="44">
                  <c:v>330283.31939499878</c:v>
                </c:pt>
                <c:pt idx="45">
                  <c:v>330283.31939499878</c:v>
                </c:pt>
                <c:pt idx="46">
                  <c:v>330283.31939499878</c:v>
                </c:pt>
                <c:pt idx="47">
                  <c:v>330283.31939499878</c:v>
                </c:pt>
                <c:pt idx="48">
                  <c:v>330283.31939499878</c:v>
                </c:pt>
                <c:pt idx="49">
                  <c:v>330283.31939499878</c:v>
                </c:pt>
                <c:pt idx="50">
                  <c:v>330283.31939499878</c:v>
                </c:pt>
                <c:pt idx="51">
                  <c:v>330283.31939499878</c:v>
                </c:pt>
                <c:pt idx="52">
                  <c:v>330283.31939499878</c:v>
                </c:pt>
                <c:pt idx="53">
                  <c:v>330283.31939499878</c:v>
                </c:pt>
                <c:pt idx="54">
                  <c:v>330283.31939499878</c:v>
                </c:pt>
                <c:pt idx="55">
                  <c:v>330283.31939499878</c:v>
                </c:pt>
                <c:pt idx="56">
                  <c:v>330283.31939499878</c:v>
                </c:pt>
                <c:pt idx="57">
                  <c:v>330283.31939499878</c:v>
                </c:pt>
                <c:pt idx="58">
                  <c:v>330283.31939499878</c:v>
                </c:pt>
                <c:pt idx="59">
                  <c:v>330283.31939499878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355150.78241308138</c:v>
                </c:pt>
                <c:pt idx="64">
                  <c:v>355150.78241308138</c:v>
                </c:pt>
                <c:pt idx="65">
                  <c:v>355150.78241308138</c:v>
                </c:pt>
                <c:pt idx="66">
                  <c:v>355150.78241308138</c:v>
                </c:pt>
                <c:pt idx="67">
                  <c:v>355150.78241308138</c:v>
                </c:pt>
                <c:pt idx="68">
                  <c:v>355150.78241308138</c:v>
                </c:pt>
                <c:pt idx="69">
                  <c:v>355150.78241308138</c:v>
                </c:pt>
                <c:pt idx="70">
                  <c:v>355150.78241308138</c:v>
                </c:pt>
                <c:pt idx="71">
                  <c:v>355150.78241308138</c:v>
                </c:pt>
                <c:pt idx="72">
                  <c:v>355150.78241308138</c:v>
                </c:pt>
                <c:pt idx="73">
                  <c:v>355150.78241308138</c:v>
                </c:pt>
                <c:pt idx="74">
                  <c:v>355150.78241308138</c:v>
                </c:pt>
                <c:pt idx="75">
                  <c:v>355150.78241308138</c:v>
                </c:pt>
                <c:pt idx="76">
                  <c:v>355150.78241308138</c:v>
                </c:pt>
                <c:pt idx="77">
                  <c:v>355150.78241308138</c:v>
                </c:pt>
                <c:pt idx="78">
                  <c:v>355150.78241308138</c:v>
                </c:pt>
                <c:pt idx="79">
                  <c:v>355150.78241308138</c:v>
                </c:pt>
                <c:pt idx="80">
                  <c:v>355150.78241308138</c:v>
                </c:pt>
                <c:pt idx="81">
                  <c:v>355150.78241308138</c:v>
                </c:pt>
                <c:pt idx="82">
                  <c:v>355150.78241308138</c:v>
                </c:pt>
                <c:pt idx="83">
                  <c:v>355150.78241308138</c:v>
                </c:pt>
                <c:pt idx="84">
                  <c:v>355150.78241308138</c:v>
                </c:pt>
                <c:pt idx="85">
                  <c:v>355150.78241308138</c:v>
                </c:pt>
                <c:pt idx="86">
                  <c:v>355150.78241308138</c:v>
                </c:pt>
                <c:pt idx="87">
                  <c:v>355150.78241308138</c:v>
                </c:pt>
                <c:pt idx="88">
                  <c:v>355150.78241308138</c:v>
                </c:pt>
                <c:pt idx="89">
                  <c:v>355150.78241308138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381890.54924017406</c:v>
                </c:pt>
                <c:pt idx="94">
                  <c:v>381890.54924017406</c:v>
                </c:pt>
                <c:pt idx="95">
                  <c:v>381890.54924017406</c:v>
                </c:pt>
                <c:pt idx="96">
                  <c:v>381890.54924017406</c:v>
                </c:pt>
                <c:pt idx="97">
                  <c:v>381890.54924017406</c:v>
                </c:pt>
                <c:pt idx="98">
                  <c:v>381890.54924017406</c:v>
                </c:pt>
                <c:pt idx="99">
                  <c:v>381890.54924017406</c:v>
                </c:pt>
                <c:pt idx="100">
                  <c:v>381890.54924017406</c:v>
                </c:pt>
                <c:pt idx="101">
                  <c:v>381890.54924017406</c:v>
                </c:pt>
                <c:pt idx="102">
                  <c:v>381890.54924017406</c:v>
                </c:pt>
                <c:pt idx="103">
                  <c:v>381890.54924017406</c:v>
                </c:pt>
                <c:pt idx="104">
                  <c:v>381890.54924017406</c:v>
                </c:pt>
                <c:pt idx="105">
                  <c:v>381890.54924017406</c:v>
                </c:pt>
                <c:pt idx="106">
                  <c:v>381890.54924017406</c:v>
                </c:pt>
                <c:pt idx="107">
                  <c:v>381890.54924017406</c:v>
                </c:pt>
                <c:pt idx="108">
                  <c:v>381890.54924017406</c:v>
                </c:pt>
                <c:pt idx="109">
                  <c:v>381890.54924017406</c:v>
                </c:pt>
                <c:pt idx="110">
                  <c:v>381890.54924017406</c:v>
                </c:pt>
                <c:pt idx="111">
                  <c:v>381890.54924017406</c:v>
                </c:pt>
                <c:pt idx="112">
                  <c:v>381890.54924017406</c:v>
                </c:pt>
                <c:pt idx="113">
                  <c:v>381890.54924017406</c:v>
                </c:pt>
                <c:pt idx="114">
                  <c:v>381890.54924017406</c:v>
                </c:pt>
                <c:pt idx="115">
                  <c:v>381890.54924017406</c:v>
                </c:pt>
                <c:pt idx="116">
                  <c:v>381890.54924017406</c:v>
                </c:pt>
                <c:pt idx="117">
                  <c:v>381890.54924017406</c:v>
                </c:pt>
                <c:pt idx="118">
                  <c:v>381890.54924017406</c:v>
                </c:pt>
                <c:pt idx="119">
                  <c:v>381890.54924017406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410643.58807840815</c:v>
                </c:pt>
                <c:pt idx="124">
                  <c:v>410643.58807840815</c:v>
                </c:pt>
                <c:pt idx="125">
                  <c:v>410643.58807840815</c:v>
                </c:pt>
                <c:pt idx="126">
                  <c:v>410643.58807840815</c:v>
                </c:pt>
                <c:pt idx="127">
                  <c:v>410643.58807840815</c:v>
                </c:pt>
                <c:pt idx="128">
                  <c:v>410643.58807840815</c:v>
                </c:pt>
                <c:pt idx="129">
                  <c:v>410643.58807840815</c:v>
                </c:pt>
                <c:pt idx="130">
                  <c:v>410643.58807840815</c:v>
                </c:pt>
                <c:pt idx="131">
                  <c:v>410643.58807840815</c:v>
                </c:pt>
                <c:pt idx="132">
                  <c:v>410643.58807840815</c:v>
                </c:pt>
                <c:pt idx="133">
                  <c:v>410643.58807840815</c:v>
                </c:pt>
                <c:pt idx="134">
                  <c:v>410643.58807840815</c:v>
                </c:pt>
                <c:pt idx="135">
                  <c:v>410643.58807840815</c:v>
                </c:pt>
                <c:pt idx="136">
                  <c:v>410643.58807840815</c:v>
                </c:pt>
                <c:pt idx="137">
                  <c:v>410643.58807840815</c:v>
                </c:pt>
                <c:pt idx="138">
                  <c:v>410643.58807840815</c:v>
                </c:pt>
                <c:pt idx="139">
                  <c:v>410643.58807840815</c:v>
                </c:pt>
                <c:pt idx="140">
                  <c:v>410643.58807840815</c:v>
                </c:pt>
                <c:pt idx="141">
                  <c:v>410643.58807840815</c:v>
                </c:pt>
                <c:pt idx="142">
                  <c:v>410643.58807840815</c:v>
                </c:pt>
                <c:pt idx="143">
                  <c:v>410643.58807840815</c:v>
                </c:pt>
                <c:pt idx="144">
                  <c:v>410643.58807840815</c:v>
                </c:pt>
                <c:pt idx="145">
                  <c:v>410643.58807840815</c:v>
                </c:pt>
                <c:pt idx="146">
                  <c:v>410643.58807840815</c:v>
                </c:pt>
                <c:pt idx="147">
                  <c:v>410643.58807840815</c:v>
                </c:pt>
                <c:pt idx="148">
                  <c:v>410643.58807840815</c:v>
                </c:pt>
                <c:pt idx="149">
                  <c:v>410643.58807840815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441561.48081019364</c:v>
                </c:pt>
                <c:pt idx="154">
                  <c:v>441561.48081019364</c:v>
                </c:pt>
                <c:pt idx="155">
                  <c:v>441561.48081019364</c:v>
                </c:pt>
                <c:pt idx="156">
                  <c:v>441561.48081019364</c:v>
                </c:pt>
                <c:pt idx="157">
                  <c:v>441561.48081019364</c:v>
                </c:pt>
                <c:pt idx="158">
                  <c:v>441561.48081019364</c:v>
                </c:pt>
                <c:pt idx="159">
                  <c:v>441561.48081019364</c:v>
                </c:pt>
                <c:pt idx="160">
                  <c:v>441561.48081019364</c:v>
                </c:pt>
                <c:pt idx="161">
                  <c:v>441561.48081019364</c:v>
                </c:pt>
                <c:pt idx="162">
                  <c:v>441561.48081019364</c:v>
                </c:pt>
                <c:pt idx="163">
                  <c:v>441561.48081019364</c:v>
                </c:pt>
                <c:pt idx="164">
                  <c:v>441561.48081019364</c:v>
                </c:pt>
                <c:pt idx="165">
                  <c:v>441561.48081019364</c:v>
                </c:pt>
                <c:pt idx="166">
                  <c:v>441561.48081019364</c:v>
                </c:pt>
                <c:pt idx="167">
                  <c:v>441561.48081019364</c:v>
                </c:pt>
                <c:pt idx="168">
                  <c:v>441561.48081019364</c:v>
                </c:pt>
                <c:pt idx="169">
                  <c:v>441561.48081019364</c:v>
                </c:pt>
                <c:pt idx="170">
                  <c:v>441561.48081019364</c:v>
                </c:pt>
                <c:pt idx="171">
                  <c:v>441561.48081019364</c:v>
                </c:pt>
                <c:pt idx="172">
                  <c:v>441561.48081019364</c:v>
                </c:pt>
                <c:pt idx="173">
                  <c:v>441561.48081019364</c:v>
                </c:pt>
                <c:pt idx="174">
                  <c:v>441561.48081019364</c:v>
                </c:pt>
                <c:pt idx="175">
                  <c:v>441561.48081019364</c:v>
                </c:pt>
                <c:pt idx="176">
                  <c:v>441561.48081019364</c:v>
                </c:pt>
                <c:pt idx="177">
                  <c:v>441561.48081019364</c:v>
                </c:pt>
                <c:pt idx="178">
                  <c:v>441561.48081019364</c:v>
                </c:pt>
                <c:pt idx="179">
                  <c:v>441561.48081019364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474807.22211608524</c:v>
                </c:pt>
                <c:pt idx="184">
                  <c:v>474807.22211608524</c:v>
                </c:pt>
                <c:pt idx="185">
                  <c:v>474807.22211608524</c:v>
                </c:pt>
                <c:pt idx="186">
                  <c:v>474807.22211608524</c:v>
                </c:pt>
                <c:pt idx="187">
                  <c:v>474807.22211608524</c:v>
                </c:pt>
                <c:pt idx="188">
                  <c:v>474807.22211608524</c:v>
                </c:pt>
                <c:pt idx="189">
                  <c:v>474807.22211608524</c:v>
                </c:pt>
                <c:pt idx="190">
                  <c:v>474807.22211608524</c:v>
                </c:pt>
                <c:pt idx="191">
                  <c:v>474807.22211608524</c:v>
                </c:pt>
                <c:pt idx="192">
                  <c:v>474807.22211608524</c:v>
                </c:pt>
                <c:pt idx="193">
                  <c:v>474807.22211608524</c:v>
                </c:pt>
                <c:pt idx="194">
                  <c:v>474807.22211608524</c:v>
                </c:pt>
                <c:pt idx="195">
                  <c:v>474807.22211608524</c:v>
                </c:pt>
                <c:pt idx="196">
                  <c:v>474807.22211608524</c:v>
                </c:pt>
                <c:pt idx="197">
                  <c:v>474807.22211608524</c:v>
                </c:pt>
                <c:pt idx="198">
                  <c:v>474807.22211608524</c:v>
                </c:pt>
                <c:pt idx="199">
                  <c:v>474807.22211608524</c:v>
                </c:pt>
                <c:pt idx="200">
                  <c:v>474807.22211608524</c:v>
                </c:pt>
                <c:pt idx="201">
                  <c:v>474807.22211608524</c:v>
                </c:pt>
                <c:pt idx="202">
                  <c:v>474807.22211608524</c:v>
                </c:pt>
                <c:pt idx="203">
                  <c:v>474807.22211608524</c:v>
                </c:pt>
                <c:pt idx="204">
                  <c:v>474807.22211608524</c:v>
                </c:pt>
                <c:pt idx="205">
                  <c:v>474807.22211608524</c:v>
                </c:pt>
                <c:pt idx="206">
                  <c:v>474807.22211608524</c:v>
                </c:pt>
                <c:pt idx="207">
                  <c:v>474807.22211608524</c:v>
                </c:pt>
                <c:pt idx="208">
                  <c:v>474807.22211608524</c:v>
                </c:pt>
                <c:pt idx="209">
                  <c:v>474807.22211608524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510556.07875927998</c:v>
                </c:pt>
                <c:pt idx="214">
                  <c:v>510556.07875927998</c:v>
                </c:pt>
                <c:pt idx="215">
                  <c:v>510556.07875927998</c:v>
                </c:pt>
                <c:pt idx="216">
                  <c:v>510556.07875927998</c:v>
                </c:pt>
                <c:pt idx="217">
                  <c:v>510556.07875927998</c:v>
                </c:pt>
                <c:pt idx="218">
                  <c:v>510556.07875927998</c:v>
                </c:pt>
                <c:pt idx="219">
                  <c:v>510556.07875927998</c:v>
                </c:pt>
                <c:pt idx="220">
                  <c:v>510556.07875927998</c:v>
                </c:pt>
                <c:pt idx="221">
                  <c:v>510556.07875927998</c:v>
                </c:pt>
                <c:pt idx="222">
                  <c:v>510556.07875927998</c:v>
                </c:pt>
                <c:pt idx="223">
                  <c:v>510556.07875927998</c:v>
                </c:pt>
                <c:pt idx="224">
                  <c:v>510556.07875927998</c:v>
                </c:pt>
                <c:pt idx="225">
                  <c:v>510556.07875927998</c:v>
                </c:pt>
                <c:pt idx="226">
                  <c:v>510556.07875927998</c:v>
                </c:pt>
                <c:pt idx="227">
                  <c:v>510556.07875927998</c:v>
                </c:pt>
                <c:pt idx="228">
                  <c:v>510556.07875927998</c:v>
                </c:pt>
                <c:pt idx="229">
                  <c:v>510556.07875927998</c:v>
                </c:pt>
                <c:pt idx="230">
                  <c:v>510556.07875927998</c:v>
                </c:pt>
                <c:pt idx="231">
                  <c:v>510556.07875927998</c:v>
                </c:pt>
                <c:pt idx="232">
                  <c:v>510556.07875927998</c:v>
                </c:pt>
                <c:pt idx="233">
                  <c:v>510556.07875927998</c:v>
                </c:pt>
                <c:pt idx="234">
                  <c:v>510556.07875927998</c:v>
                </c:pt>
                <c:pt idx="235">
                  <c:v>510556.07875927998</c:v>
                </c:pt>
                <c:pt idx="236">
                  <c:v>510556.07875927998</c:v>
                </c:pt>
                <c:pt idx="237">
                  <c:v>510556.07875927998</c:v>
                </c:pt>
                <c:pt idx="238">
                  <c:v>510556.07875927998</c:v>
                </c:pt>
                <c:pt idx="239">
                  <c:v>510556.07875927998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548996.51356676652</c:v>
                </c:pt>
                <c:pt idx="244">
                  <c:v>548996.51356676652</c:v>
                </c:pt>
                <c:pt idx="245">
                  <c:v>548996.51356676652</c:v>
                </c:pt>
                <c:pt idx="246">
                  <c:v>548996.51356676652</c:v>
                </c:pt>
                <c:pt idx="247">
                  <c:v>548996.51356676652</c:v>
                </c:pt>
                <c:pt idx="248">
                  <c:v>548996.51356676652</c:v>
                </c:pt>
                <c:pt idx="249">
                  <c:v>548996.51356676652</c:v>
                </c:pt>
                <c:pt idx="250">
                  <c:v>548996.51356676652</c:v>
                </c:pt>
                <c:pt idx="251">
                  <c:v>548996.51356676652</c:v>
                </c:pt>
                <c:pt idx="252">
                  <c:v>548996.51356676652</c:v>
                </c:pt>
                <c:pt idx="253">
                  <c:v>548996.51356676652</c:v>
                </c:pt>
                <c:pt idx="254">
                  <c:v>548996.51356676652</c:v>
                </c:pt>
                <c:pt idx="255">
                  <c:v>548996.51356676652</c:v>
                </c:pt>
                <c:pt idx="256">
                  <c:v>548996.51356676652</c:v>
                </c:pt>
                <c:pt idx="257">
                  <c:v>548996.51356676652</c:v>
                </c:pt>
                <c:pt idx="258">
                  <c:v>548996.51356676652</c:v>
                </c:pt>
                <c:pt idx="259">
                  <c:v>548996.51356676652</c:v>
                </c:pt>
                <c:pt idx="260">
                  <c:v>548996.51356676652</c:v>
                </c:pt>
                <c:pt idx="261">
                  <c:v>548996.51356676652</c:v>
                </c:pt>
                <c:pt idx="262">
                  <c:v>548996.51356676652</c:v>
                </c:pt>
                <c:pt idx="263">
                  <c:v>548996.51356676652</c:v>
                </c:pt>
                <c:pt idx="264">
                  <c:v>548996.51356676652</c:v>
                </c:pt>
                <c:pt idx="265">
                  <c:v>548996.51356676652</c:v>
                </c:pt>
                <c:pt idx="266">
                  <c:v>548996.51356676652</c:v>
                </c:pt>
                <c:pt idx="267">
                  <c:v>548996.51356676652</c:v>
                </c:pt>
                <c:pt idx="268">
                  <c:v>548996.51356676652</c:v>
                </c:pt>
                <c:pt idx="269">
                  <c:v>548996.51356676652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590331.17897822428</c:v>
                </c:pt>
                <c:pt idx="274">
                  <c:v>590331.17897822428</c:v>
                </c:pt>
                <c:pt idx="275">
                  <c:v>590331.17897822428</c:v>
                </c:pt>
                <c:pt idx="276">
                  <c:v>590331.17897822428</c:v>
                </c:pt>
                <c:pt idx="277">
                  <c:v>590331.17897822428</c:v>
                </c:pt>
                <c:pt idx="278">
                  <c:v>590331.17897822428</c:v>
                </c:pt>
                <c:pt idx="279">
                  <c:v>590331.17897822428</c:v>
                </c:pt>
                <c:pt idx="280">
                  <c:v>590331.17897822428</c:v>
                </c:pt>
                <c:pt idx="281">
                  <c:v>590331.17897822428</c:v>
                </c:pt>
                <c:pt idx="282">
                  <c:v>590331.17897822428</c:v>
                </c:pt>
                <c:pt idx="283">
                  <c:v>590331.17897822428</c:v>
                </c:pt>
                <c:pt idx="284">
                  <c:v>590331.17897822428</c:v>
                </c:pt>
                <c:pt idx="285">
                  <c:v>590331.17897822428</c:v>
                </c:pt>
                <c:pt idx="286">
                  <c:v>590331.17897822428</c:v>
                </c:pt>
                <c:pt idx="287">
                  <c:v>590331.17897822428</c:v>
                </c:pt>
                <c:pt idx="288">
                  <c:v>590331.17897822428</c:v>
                </c:pt>
                <c:pt idx="289">
                  <c:v>590331.17897822428</c:v>
                </c:pt>
                <c:pt idx="290">
                  <c:v>590331.17897822428</c:v>
                </c:pt>
                <c:pt idx="291">
                  <c:v>590331.17897822428</c:v>
                </c:pt>
                <c:pt idx="292">
                  <c:v>590331.17897822428</c:v>
                </c:pt>
                <c:pt idx="293">
                  <c:v>590331.17897822428</c:v>
                </c:pt>
                <c:pt idx="294">
                  <c:v>590331.17897822428</c:v>
                </c:pt>
                <c:pt idx="295">
                  <c:v>590331.17897822428</c:v>
                </c:pt>
                <c:pt idx="296">
                  <c:v>590331.17897822428</c:v>
                </c:pt>
                <c:pt idx="297">
                  <c:v>590331.17897822428</c:v>
                </c:pt>
                <c:pt idx="298">
                  <c:v>590331.17897822428</c:v>
                </c:pt>
                <c:pt idx="299">
                  <c:v>590331.17897822428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634777.98540051794</c:v>
                </c:pt>
                <c:pt idx="304">
                  <c:v>634777.98540051794</c:v>
                </c:pt>
                <c:pt idx="305">
                  <c:v>634777.98540051794</c:v>
                </c:pt>
                <c:pt idx="306">
                  <c:v>634777.98540051794</c:v>
                </c:pt>
                <c:pt idx="307">
                  <c:v>634777.98540051794</c:v>
                </c:pt>
                <c:pt idx="308">
                  <c:v>634777.98540051794</c:v>
                </c:pt>
                <c:pt idx="309">
                  <c:v>634777.98540051794</c:v>
                </c:pt>
                <c:pt idx="310">
                  <c:v>634777.98540051794</c:v>
                </c:pt>
                <c:pt idx="311">
                  <c:v>634777.98540051794</c:v>
                </c:pt>
                <c:pt idx="312">
                  <c:v>634777.98540051794</c:v>
                </c:pt>
                <c:pt idx="313">
                  <c:v>634777.98540051794</c:v>
                </c:pt>
                <c:pt idx="314">
                  <c:v>634777.98540051794</c:v>
                </c:pt>
                <c:pt idx="315">
                  <c:v>634777.98540051794</c:v>
                </c:pt>
                <c:pt idx="316">
                  <c:v>634777.98540051794</c:v>
                </c:pt>
                <c:pt idx="317">
                  <c:v>634777.98540051794</c:v>
                </c:pt>
                <c:pt idx="318">
                  <c:v>634777.98540051794</c:v>
                </c:pt>
                <c:pt idx="319">
                  <c:v>634777.98540051794</c:v>
                </c:pt>
                <c:pt idx="320">
                  <c:v>634777.98540051794</c:v>
                </c:pt>
                <c:pt idx="321">
                  <c:v>634777.98540051794</c:v>
                </c:pt>
                <c:pt idx="322">
                  <c:v>634777.98540051794</c:v>
                </c:pt>
                <c:pt idx="323">
                  <c:v>634777.98540051794</c:v>
                </c:pt>
                <c:pt idx="324">
                  <c:v>634777.98540051794</c:v>
                </c:pt>
                <c:pt idx="325">
                  <c:v>634777.98540051794</c:v>
                </c:pt>
                <c:pt idx="326">
                  <c:v>634777.98540051794</c:v>
                </c:pt>
                <c:pt idx="327">
                  <c:v>634777.98540051794</c:v>
                </c:pt>
                <c:pt idx="328">
                  <c:v>634777.98540051794</c:v>
                </c:pt>
                <c:pt idx="329">
                  <c:v>634777.98540051794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682571.25</c:v>
                </c:pt>
                <c:pt idx="334">
                  <c:v>682571.25</c:v>
                </c:pt>
                <c:pt idx="335">
                  <c:v>682571.25</c:v>
                </c:pt>
                <c:pt idx="336">
                  <c:v>682571.25</c:v>
                </c:pt>
                <c:pt idx="337">
                  <c:v>682571.25</c:v>
                </c:pt>
                <c:pt idx="338">
                  <c:v>682571.25</c:v>
                </c:pt>
                <c:pt idx="339">
                  <c:v>682571.25</c:v>
                </c:pt>
                <c:pt idx="340">
                  <c:v>682571.25</c:v>
                </c:pt>
                <c:pt idx="341">
                  <c:v>682571.25</c:v>
                </c:pt>
                <c:pt idx="342">
                  <c:v>682571.25</c:v>
                </c:pt>
                <c:pt idx="343">
                  <c:v>682571.25</c:v>
                </c:pt>
                <c:pt idx="344">
                  <c:v>682571.25</c:v>
                </c:pt>
                <c:pt idx="345">
                  <c:v>682571.25</c:v>
                </c:pt>
                <c:pt idx="346">
                  <c:v>682571.25</c:v>
                </c:pt>
                <c:pt idx="347">
                  <c:v>682571.25</c:v>
                </c:pt>
                <c:pt idx="348">
                  <c:v>682571.25</c:v>
                </c:pt>
                <c:pt idx="349">
                  <c:v>682571.25</c:v>
                </c:pt>
                <c:pt idx="350">
                  <c:v>682571.25</c:v>
                </c:pt>
                <c:pt idx="351">
                  <c:v>682571.25</c:v>
                </c:pt>
                <c:pt idx="352">
                  <c:v>682571.25</c:v>
                </c:pt>
                <c:pt idx="353">
                  <c:v>682571.25</c:v>
                </c:pt>
                <c:pt idx="354">
                  <c:v>682571.25</c:v>
                </c:pt>
                <c:pt idx="355">
                  <c:v>682571.25</c:v>
                </c:pt>
                <c:pt idx="356">
                  <c:v>682571.25</c:v>
                </c:pt>
                <c:pt idx="357">
                  <c:v>682571.25</c:v>
                </c:pt>
                <c:pt idx="358">
                  <c:v>682571.25</c:v>
                </c:pt>
                <c:pt idx="359">
                  <c:v>682571.25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6-4AE6-AA4E-66B6B46A21D7}"/>
            </c:ext>
          </c:extLst>
        </c:ser>
        <c:ser>
          <c:idx val="1"/>
          <c:order val="1"/>
          <c:spPr>
            <a:solidFill>
              <a:srgbClr val="0EBAC6"/>
            </a:solidFill>
            <a:ln w="25400">
              <a:noFill/>
            </a:ln>
            <a:effectLst/>
          </c:spPr>
          <c:val>
            <c:numRef>
              <c:f>Processing!$Y$3:$Y$362</c:f>
              <c:numCache>
                <c:formatCode>General</c:formatCode>
                <c:ptCount val="3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682571.25</c:v>
                </c:pt>
                <c:pt idx="334">
                  <c:v>682571.25</c:v>
                </c:pt>
                <c:pt idx="335">
                  <c:v>682571.25</c:v>
                </c:pt>
                <c:pt idx="336">
                  <c:v>682571.25</c:v>
                </c:pt>
                <c:pt idx="337">
                  <c:v>682571.25</c:v>
                </c:pt>
                <c:pt idx="338">
                  <c:v>682571.25</c:v>
                </c:pt>
                <c:pt idx="339">
                  <c:v>682571.25</c:v>
                </c:pt>
                <c:pt idx="340">
                  <c:v>682571.25</c:v>
                </c:pt>
                <c:pt idx="341">
                  <c:v>682571.25</c:v>
                </c:pt>
                <c:pt idx="342">
                  <c:v>682571.25</c:v>
                </c:pt>
                <c:pt idx="343">
                  <c:v>682571.25</c:v>
                </c:pt>
                <c:pt idx="344">
                  <c:v>682571.25</c:v>
                </c:pt>
                <c:pt idx="345">
                  <c:v>682571.25</c:v>
                </c:pt>
                <c:pt idx="346">
                  <c:v>682571.25</c:v>
                </c:pt>
                <c:pt idx="347">
                  <c:v>682571.25</c:v>
                </c:pt>
                <c:pt idx="348">
                  <c:v>682571.25</c:v>
                </c:pt>
                <c:pt idx="349">
                  <c:v>682571.25</c:v>
                </c:pt>
                <c:pt idx="350">
                  <c:v>682571.25</c:v>
                </c:pt>
                <c:pt idx="351">
                  <c:v>682571.25</c:v>
                </c:pt>
                <c:pt idx="352">
                  <c:v>682571.25</c:v>
                </c:pt>
                <c:pt idx="353">
                  <c:v>682571.25</c:v>
                </c:pt>
                <c:pt idx="354">
                  <c:v>682571.25</c:v>
                </c:pt>
                <c:pt idx="355">
                  <c:v>682571.25</c:v>
                </c:pt>
                <c:pt idx="356">
                  <c:v>682571.25</c:v>
                </c:pt>
                <c:pt idx="357">
                  <c:v>682571.25</c:v>
                </c:pt>
                <c:pt idx="358">
                  <c:v>682571.25</c:v>
                </c:pt>
                <c:pt idx="359">
                  <c:v>682571.25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6-4AE6-AA4E-66B6B46A2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782367"/>
        <c:axId val="1760797247"/>
      </c:radarChart>
      <c:catAx>
        <c:axId val="1760782367"/>
        <c:scaling>
          <c:orientation val="minMax"/>
        </c:scaling>
        <c:delete val="1"/>
        <c:axPos val="b"/>
        <c:majorTickMark val="none"/>
        <c:minorTickMark val="none"/>
        <c:tickLblPos val="nextTo"/>
        <c:crossAx val="1760797247"/>
        <c:crosses val="autoZero"/>
        <c:auto val="1"/>
        <c:lblAlgn val="ctr"/>
        <c:lblOffset val="100"/>
        <c:noMultiLvlLbl val="0"/>
      </c:catAx>
      <c:valAx>
        <c:axId val="176079724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6078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81A5BC"/>
            </a:solidFill>
            <a:ln>
              <a:noFill/>
            </a:ln>
          </c:spPr>
          <c:dPt>
            <c:idx val="0"/>
            <c:bubble3D val="0"/>
            <c:spPr>
              <a:solidFill>
                <a:srgbClr val="81A5B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D5-4A12-8CF8-D4BF3F5C2259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D5-4A12-8CF8-D4BF3F5C2259}"/>
              </c:ext>
            </c:extLst>
          </c:dPt>
          <c:dPt>
            <c:idx val="2"/>
            <c:bubble3D val="0"/>
            <c:spPr>
              <a:solidFill>
                <a:srgbClr val="81A5B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D5-4A12-8CF8-D4BF3F5C2259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D5-4A12-8CF8-D4BF3F5C22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Processing!$M$27:$O$27</c:f>
              <c:numCache>
                <c:formatCode>0%</c:formatCode>
                <c:ptCount val="3"/>
                <c:pt idx="0">
                  <c:v>0.125</c:v>
                </c:pt>
                <c:pt idx="1">
                  <c:v>0.25</c:v>
                </c:pt>
                <c:pt idx="2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D5-4A12-8CF8-D4BF3F5C2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53809C"/>
            </a:solidFill>
            <a:ln>
              <a:noFill/>
            </a:ln>
          </c:spPr>
          <c:dPt>
            <c:idx val="0"/>
            <c:bubble3D val="0"/>
            <c:spPr>
              <a:solidFill>
                <a:srgbClr val="53809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9C-477A-96B8-02BFA951E8E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9C-477A-96B8-02BFA951E8E5}"/>
              </c:ext>
            </c:extLst>
          </c:dPt>
          <c:dPt>
            <c:idx val="2"/>
            <c:bubble3D val="0"/>
            <c:spPr>
              <a:solidFill>
                <a:srgbClr val="53809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9C-477A-96B8-02BFA951E8E5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9C-477A-96B8-02BFA951E8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Processing!$M$26:$O$26</c:f>
              <c:numCache>
                <c:formatCode>0%</c:formatCode>
                <c:ptCount val="3"/>
                <c:pt idx="0">
                  <c:v>0.16</c:v>
                </c:pt>
                <c:pt idx="1">
                  <c:v>0.18</c:v>
                </c:pt>
                <c:pt idx="2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9C-477A-96B8-02BFA951E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1647A"/>
            </a:solidFill>
            <a:ln>
              <a:noFill/>
            </a:ln>
          </c:spPr>
          <c:dPt>
            <c:idx val="0"/>
            <c:bubble3D val="0"/>
            <c:spPr>
              <a:solidFill>
                <a:srgbClr val="4164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B0-4416-BA6D-DE984DFB7B2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B0-4416-BA6D-DE984DFB7B28}"/>
              </c:ext>
            </c:extLst>
          </c:dPt>
          <c:dPt>
            <c:idx val="2"/>
            <c:bubble3D val="0"/>
            <c:spPr>
              <a:solidFill>
                <a:srgbClr val="41647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B0-4416-BA6D-DE984DFB7B28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B0-4416-BA6D-DE984DFB7B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Processing!$M$25:$O$25</c:f>
              <c:numCache>
                <c:formatCode>0%</c:formatCode>
                <c:ptCount val="3"/>
                <c:pt idx="0">
                  <c:v>0.1</c:v>
                </c:pt>
                <c:pt idx="1">
                  <c:v>0.3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B0-4416-BA6D-DE984DFB7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2F48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F4-4545-9D86-889301C4B274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F4-4545-9D86-889301C4B274}"/>
              </c:ext>
            </c:extLst>
          </c:dPt>
          <c:dPt>
            <c:idx val="2"/>
            <c:bubble3D val="0"/>
            <c:spPr>
              <a:solidFill>
                <a:srgbClr val="2F48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F4-4545-9D86-889301C4B274}"/>
              </c:ext>
            </c:extLst>
          </c:dPt>
          <c:dLbls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F4-4545-9D86-889301C4B2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Processing!$M$24:$O$24</c:f>
              <c:numCache>
                <c:formatCode>0%</c:formatCode>
                <c:ptCount val="3"/>
                <c:pt idx="0">
                  <c:v>0.19</c:v>
                </c:pt>
                <c:pt idx="1">
                  <c:v>0.12</c:v>
                </c:pt>
                <c:pt idx="2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F4-4545-9D86-889301C4B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Processing!$C$22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09F-8977-2D7D6A83DBBE}"/>
            </c:ext>
          </c:extLst>
        </c:ser>
        <c:ser>
          <c:idx val="1"/>
          <c:order val="1"/>
          <c:spPr>
            <a:solidFill>
              <a:srgbClr val="C1F087"/>
            </a:solidFill>
            <a:ln>
              <a:noFill/>
            </a:ln>
            <a:effectLst/>
          </c:spPr>
          <c:invertIfNegative val="0"/>
          <c:val>
            <c:numRef>
              <c:f>Processing!$D$22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09F-8977-2D7D6A83DBBE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Processing!$E$22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BA-409F-8977-2D7D6A83DBBE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BA-409F-8977-2D7D6A83DBBE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BA-409F-8977-2D7D6A83DBBE}"/>
              </c:ext>
            </c:extLst>
          </c:dPt>
          <c:val>
            <c:numRef>
              <c:f>Processing!$G$22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BA-409F-8977-2D7D6A83D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4B-408E-9F12-5EA13FC9566B}"/>
              </c:ext>
            </c:extLst>
          </c:dPt>
          <c:val>
            <c:numRef>
              <c:f>Processing!$C$23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B-408E-9F12-5EA13FC9566B}"/>
            </c:ext>
          </c:extLst>
        </c:ser>
        <c:ser>
          <c:idx val="1"/>
          <c:order val="1"/>
          <c:spPr>
            <a:solidFill>
              <a:srgbClr val="BEFCFF"/>
            </a:solidFill>
            <a:ln>
              <a:noFill/>
            </a:ln>
            <a:effectLst/>
          </c:spPr>
          <c:invertIfNegative val="0"/>
          <c:val>
            <c:numRef>
              <c:f>Processing!$D$23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4B-408E-9F12-5EA13FC9566B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Processing!$E$23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4B-408E-9F12-5EA13FC9566B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4B-408E-9F12-5EA13FC9566B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14B-408E-9F12-5EA13FC9566B}"/>
              </c:ext>
            </c:extLst>
          </c:dPt>
          <c:val>
            <c:numRef>
              <c:f>Processing!$G$23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4B-408E-9F12-5EA13FC95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Processing!$C$24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5-413F-8252-3EE1BFFCB86F}"/>
            </c:ext>
          </c:extLst>
        </c:ser>
        <c:ser>
          <c:idx val="1"/>
          <c:order val="1"/>
          <c:spPr>
            <a:solidFill>
              <a:srgbClr val="BEFC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E8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A5-413F-8252-3EE1BFFCB86F}"/>
              </c:ext>
            </c:extLst>
          </c:dPt>
          <c:val>
            <c:numRef>
              <c:f>Processing!$D$24</c:f>
              <c:numCache>
                <c:formatCode>0%</c:formatCode>
                <c:ptCount val="1"/>
                <c:pt idx="0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A5-413F-8252-3EE1BFFCB86F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Processing!$E$24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A5-413F-8252-3EE1BFFCB86F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Processing!$F$24</c:f>
              <c:numCache>
                <c:formatCode>0%</c:formatCode>
                <c:ptCount val="1"/>
                <c:pt idx="0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A5-413F-8252-3EE1BFFCB86F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FA5-413F-8252-3EE1BFFCB86F}"/>
              </c:ext>
            </c:extLst>
          </c:dPt>
          <c:val>
            <c:numRef>
              <c:f>Processing!$G$24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A5-413F-8252-3EE1BFFCB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Processing!$C$25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5-4493-BBA2-77DA3FB9914C}"/>
            </c:ext>
          </c:extLst>
        </c:ser>
        <c:ser>
          <c:idx val="1"/>
          <c:order val="1"/>
          <c:spPr>
            <a:solidFill>
              <a:srgbClr val="8723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8B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85-4493-BBA2-77DA3FB9914C}"/>
              </c:ext>
            </c:extLst>
          </c:dPt>
          <c:val>
            <c:numRef>
              <c:f>Processing!$D$25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85-4493-BBA2-77DA3FB9914C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Processing!$E$25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85-4493-BBA2-77DA3FB9914C}"/>
            </c:ext>
          </c:extLst>
        </c:ser>
        <c:ser>
          <c:idx val="3"/>
          <c:order val="3"/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val>
            <c:numRef>
              <c:f>Processing!$F$25</c:f>
              <c:numCache>
                <c:formatCode>0%</c:formatCode>
                <c:ptCount val="1"/>
                <c:pt idx="0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85-4493-BBA2-77DA3FB9914C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285-4493-BBA2-77DA3FB9914C}"/>
              </c:ext>
            </c:extLst>
          </c:dPt>
          <c:val>
            <c:numRef>
              <c:f>Processing!$G$25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85-4493-BBA2-77DA3FB9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17168688"/>
        <c:axId val="317169168"/>
      </c:barChart>
      <c:catAx>
        <c:axId val="317168688"/>
        <c:scaling>
          <c:orientation val="minMax"/>
        </c:scaling>
        <c:delete val="1"/>
        <c:axPos val="l"/>
        <c:majorTickMark val="out"/>
        <c:minorTickMark val="none"/>
        <c:tickLblPos val="nextTo"/>
        <c:crossAx val="317169168"/>
        <c:crosses val="autoZero"/>
        <c:auto val="1"/>
        <c:lblAlgn val="ctr"/>
        <c:lblOffset val="100"/>
        <c:noMultiLvlLbl val="0"/>
      </c:catAx>
      <c:valAx>
        <c:axId val="317169168"/>
        <c:scaling>
          <c:orientation val="minMax"/>
          <c:max val="1.2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317168688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98E5A9-2522-44D7-B552-F623E20E5AF2}" type="CELLRANGE">
                      <a:rPr lang="en-US"/>
                      <a:pPr>
                        <a:defRPr sz="1800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D26-421B-A0EF-76158C78F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2E4747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Processing!$A$14</c:f>
              <c:numCache>
                <c:formatCode>0%</c:formatCode>
                <c:ptCount val="1"/>
                <c:pt idx="0">
                  <c:v>0.18867924528301883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Processing!$N$9</c15:f>
                <c15:dlblRangeCache>
                  <c:ptCount val="1"/>
                  <c:pt idx="0">
                    <c:v> $47,793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D26-421B-A0EF-76158C78FBAA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26-421B-A0EF-76158C78FBAA}"/>
              </c:ext>
            </c:extLst>
          </c:dPt>
          <c:val>
            <c:numRef>
              <c:f>Processing!$A$15</c:f>
              <c:numCache>
                <c:formatCode>0%</c:formatCode>
                <c:ptCount val="1"/>
                <c:pt idx="0">
                  <c:v>0.81132075471698117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26-421B-A0EF-76158C78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49568064"/>
        <c:axId val="249568544"/>
      </c:barChart>
      <c:catAx>
        <c:axId val="24956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568544"/>
        <c:crosses val="autoZero"/>
        <c:auto val="1"/>
        <c:lblAlgn val="ctr"/>
        <c:lblOffset val="100"/>
        <c:noMultiLvlLbl val="0"/>
      </c:catAx>
      <c:valAx>
        <c:axId val="249568544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24956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Processing!$A$19" max="48" min="1" page="10" val="48"/>
</file>

<file path=xl/ctrlProps/ctrlProp2.xml><?xml version="1.0" encoding="utf-8"?>
<formControlPr xmlns="http://schemas.microsoft.com/office/spreadsheetml/2009/9/main" objectType="Spin" dx="26" fmlaLink="Processing!$B$15" max="100" min="11" page="10" val="53"/>
</file>

<file path=xl/ctrlProps/ctrlProp3.xml><?xml version="1.0" encoding="utf-8"?>
<formControlPr xmlns="http://schemas.microsoft.com/office/spreadsheetml/2009/9/main" objectType="Spin" dx="26" fmlaLink="Processing!$A$19" max="48" min="1" page="10" val="48"/>
</file>

<file path=xl/ctrlProps/ctrlProp4.xml><?xml version="1.0" encoding="utf-8"?>
<formControlPr xmlns="http://schemas.microsoft.com/office/spreadsheetml/2009/9/main" objectType="Spin" dx="26" fmlaLink="Processing!$B$15" max="100" min="11" page="10" val="53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.svg"/><Relationship Id="rId18" Type="http://schemas.openxmlformats.org/officeDocument/2006/relationships/image" Target="../media/image8.png"/><Relationship Id="rId26" Type="http://schemas.openxmlformats.org/officeDocument/2006/relationships/image" Target="../media/image16.png"/><Relationship Id="rId39" Type="http://schemas.openxmlformats.org/officeDocument/2006/relationships/image" Target="../media/image29.svg"/><Relationship Id="rId21" Type="http://schemas.openxmlformats.org/officeDocument/2006/relationships/image" Target="../media/image11.svg"/><Relationship Id="rId34" Type="http://schemas.openxmlformats.org/officeDocument/2006/relationships/image" Target="../media/image24.png"/><Relationship Id="rId42" Type="http://schemas.openxmlformats.org/officeDocument/2006/relationships/image" Target="../media/image32.png"/><Relationship Id="rId47" Type="http://schemas.openxmlformats.org/officeDocument/2006/relationships/chart" Target="../charts/chart1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image" Target="../media/image6.png"/><Relationship Id="rId29" Type="http://schemas.openxmlformats.org/officeDocument/2006/relationships/image" Target="../media/image19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14.png"/><Relationship Id="rId32" Type="http://schemas.openxmlformats.org/officeDocument/2006/relationships/image" Target="../media/image22.png"/><Relationship Id="rId37" Type="http://schemas.openxmlformats.org/officeDocument/2006/relationships/image" Target="../media/image27.svg"/><Relationship Id="rId40" Type="http://schemas.openxmlformats.org/officeDocument/2006/relationships/image" Target="../media/image30.png"/><Relationship Id="rId45" Type="http://schemas.openxmlformats.org/officeDocument/2006/relationships/chart" Target="../charts/chart13.xml"/><Relationship Id="rId5" Type="http://schemas.openxmlformats.org/officeDocument/2006/relationships/chart" Target="../charts/chart5.xml"/><Relationship Id="rId15" Type="http://schemas.openxmlformats.org/officeDocument/2006/relationships/image" Target="../media/image5.svg"/><Relationship Id="rId23" Type="http://schemas.openxmlformats.org/officeDocument/2006/relationships/image" Target="../media/image13.svg"/><Relationship Id="rId28" Type="http://schemas.openxmlformats.org/officeDocument/2006/relationships/image" Target="../media/image18.png"/><Relationship Id="rId36" Type="http://schemas.openxmlformats.org/officeDocument/2006/relationships/image" Target="../media/image26.png"/><Relationship Id="rId10" Type="http://schemas.openxmlformats.org/officeDocument/2006/relationships/chart" Target="../charts/chart10.xml"/><Relationship Id="rId19" Type="http://schemas.openxmlformats.org/officeDocument/2006/relationships/image" Target="../media/image9.svg"/><Relationship Id="rId31" Type="http://schemas.openxmlformats.org/officeDocument/2006/relationships/image" Target="../media/image21.svg"/><Relationship Id="rId44" Type="http://schemas.openxmlformats.org/officeDocument/2006/relationships/chart" Target="../charts/chart1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png"/><Relationship Id="rId22" Type="http://schemas.openxmlformats.org/officeDocument/2006/relationships/image" Target="../media/image12.png"/><Relationship Id="rId27" Type="http://schemas.openxmlformats.org/officeDocument/2006/relationships/image" Target="../media/image17.svg"/><Relationship Id="rId30" Type="http://schemas.openxmlformats.org/officeDocument/2006/relationships/image" Target="../media/image20.png"/><Relationship Id="rId35" Type="http://schemas.openxmlformats.org/officeDocument/2006/relationships/image" Target="../media/image25.svg"/><Relationship Id="rId43" Type="http://schemas.openxmlformats.org/officeDocument/2006/relationships/image" Target="../media/image33.svg"/><Relationship Id="rId48" Type="http://schemas.openxmlformats.org/officeDocument/2006/relationships/chart" Target="../charts/chart16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image" Target="../media/image2.png"/><Relationship Id="rId17" Type="http://schemas.openxmlformats.org/officeDocument/2006/relationships/image" Target="../media/image7.svg"/><Relationship Id="rId25" Type="http://schemas.openxmlformats.org/officeDocument/2006/relationships/image" Target="../media/image15.svg"/><Relationship Id="rId33" Type="http://schemas.openxmlformats.org/officeDocument/2006/relationships/image" Target="../media/image23.svg"/><Relationship Id="rId38" Type="http://schemas.openxmlformats.org/officeDocument/2006/relationships/image" Target="../media/image28.png"/><Relationship Id="rId46" Type="http://schemas.openxmlformats.org/officeDocument/2006/relationships/chart" Target="../charts/chart14.xml"/><Relationship Id="rId20" Type="http://schemas.openxmlformats.org/officeDocument/2006/relationships/image" Target="../media/image10.png"/><Relationship Id="rId41" Type="http://schemas.openxmlformats.org/officeDocument/2006/relationships/image" Target="../media/image31.sv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.svg"/><Relationship Id="rId18" Type="http://schemas.openxmlformats.org/officeDocument/2006/relationships/image" Target="../media/image8.png"/><Relationship Id="rId26" Type="http://schemas.openxmlformats.org/officeDocument/2006/relationships/image" Target="../media/image16.png"/><Relationship Id="rId39" Type="http://schemas.openxmlformats.org/officeDocument/2006/relationships/image" Target="../media/image29.svg"/><Relationship Id="rId21" Type="http://schemas.openxmlformats.org/officeDocument/2006/relationships/image" Target="../media/image11.svg"/><Relationship Id="rId34" Type="http://schemas.openxmlformats.org/officeDocument/2006/relationships/image" Target="../media/image24.png"/><Relationship Id="rId42" Type="http://schemas.openxmlformats.org/officeDocument/2006/relationships/image" Target="../media/image32.png"/><Relationship Id="rId47" Type="http://schemas.openxmlformats.org/officeDocument/2006/relationships/chart" Target="../charts/chart31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6" Type="http://schemas.openxmlformats.org/officeDocument/2006/relationships/image" Target="../media/image6.png"/><Relationship Id="rId29" Type="http://schemas.openxmlformats.org/officeDocument/2006/relationships/image" Target="../media/image19.svg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24" Type="http://schemas.openxmlformats.org/officeDocument/2006/relationships/image" Target="../media/image14.png"/><Relationship Id="rId32" Type="http://schemas.openxmlformats.org/officeDocument/2006/relationships/image" Target="../media/image22.png"/><Relationship Id="rId37" Type="http://schemas.openxmlformats.org/officeDocument/2006/relationships/image" Target="../media/image27.svg"/><Relationship Id="rId40" Type="http://schemas.openxmlformats.org/officeDocument/2006/relationships/image" Target="../media/image30.png"/><Relationship Id="rId45" Type="http://schemas.openxmlformats.org/officeDocument/2006/relationships/chart" Target="../charts/chart29.xml"/><Relationship Id="rId5" Type="http://schemas.openxmlformats.org/officeDocument/2006/relationships/chart" Target="../charts/chart21.xml"/><Relationship Id="rId15" Type="http://schemas.openxmlformats.org/officeDocument/2006/relationships/image" Target="../media/image5.svg"/><Relationship Id="rId23" Type="http://schemas.openxmlformats.org/officeDocument/2006/relationships/image" Target="../media/image13.svg"/><Relationship Id="rId28" Type="http://schemas.openxmlformats.org/officeDocument/2006/relationships/image" Target="../media/image18.png"/><Relationship Id="rId36" Type="http://schemas.openxmlformats.org/officeDocument/2006/relationships/image" Target="../media/image26.png"/><Relationship Id="rId10" Type="http://schemas.openxmlformats.org/officeDocument/2006/relationships/chart" Target="../charts/chart26.xml"/><Relationship Id="rId19" Type="http://schemas.openxmlformats.org/officeDocument/2006/relationships/image" Target="../media/image9.svg"/><Relationship Id="rId31" Type="http://schemas.openxmlformats.org/officeDocument/2006/relationships/image" Target="../media/image21.svg"/><Relationship Id="rId44" Type="http://schemas.openxmlformats.org/officeDocument/2006/relationships/chart" Target="../charts/chart28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image" Target="../media/image4.png"/><Relationship Id="rId22" Type="http://schemas.openxmlformats.org/officeDocument/2006/relationships/image" Target="../media/image12.png"/><Relationship Id="rId27" Type="http://schemas.openxmlformats.org/officeDocument/2006/relationships/image" Target="../media/image17.svg"/><Relationship Id="rId30" Type="http://schemas.openxmlformats.org/officeDocument/2006/relationships/image" Target="../media/image20.png"/><Relationship Id="rId35" Type="http://schemas.openxmlformats.org/officeDocument/2006/relationships/image" Target="../media/image25.svg"/><Relationship Id="rId43" Type="http://schemas.openxmlformats.org/officeDocument/2006/relationships/image" Target="../media/image33.svg"/><Relationship Id="rId48" Type="http://schemas.openxmlformats.org/officeDocument/2006/relationships/chart" Target="../charts/chart32.xml"/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12" Type="http://schemas.openxmlformats.org/officeDocument/2006/relationships/image" Target="../media/image2.png"/><Relationship Id="rId17" Type="http://schemas.openxmlformats.org/officeDocument/2006/relationships/image" Target="../media/image7.svg"/><Relationship Id="rId25" Type="http://schemas.openxmlformats.org/officeDocument/2006/relationships/image" Target="../media/image15.svg"/><Relationship Id="rId33" Type="http://schemas.openxmlformats.org/officeDocument/2006/relationships/image" Target="../media/image23.svg"/><Relationship Id="rId38" Type="http://schemas.openxmlformats.org/officeDocument/2006/relationships/image" Target="../media/image28.png"/><Relationship Id="rId46" Type="http://schemas.openxmlformats.org/officeDocument/2006/relationships/chart" Target="../charts/chart30.xml"/><Relationship Id="rId20" Type="http://schemas.openxmlformats.org/officeDocument/2006/relationships/image" Target="../media/image10.png"/><Relationship Id="rId41" Type="http://schemas.openxmlformats.org/officeDocument/2006/relationships/image" Target="../media/image3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14794</xdr:colOff>
      <xdr:row>9</xdr:row>
      <xdr:rowOff>7389</xdr:rowOff>
    </xdr:from>
    <xdr:to>
      <xdr:col>9</xdr:col>
      <xdr:colOff>167194</xdr:colOff>
      <xdr:row>36</xdr:row>
      <xdr:rowOff>98829</xdr:rowOff>
    </xdr:to>
    <xdr:sp macro="" textlink="">
      <xdr:nvSpPr>
        <xdr:cNvPr id="6" name="Block Arc 5">
          <a:extLst>
            <a:ext uri="{FF2B5EF4-FFF2-40B4-BE49-F238E27FC236}">
              <a16:creationId xmlns:a16="http://schemas.microsoft.com/office/drawing/2014/main" id="{443FA421-B7BE-140C-B0BB-A70EA61118D4}"/>
            </a:ext>
          </a:extLst>
        </xdr:cNvPr>
        <xdr:cNvSpPr/>
      </xdr:nvSpPr>
      <xdr:spPr>
        <a:xfrm rot="5400000">
          <a:off x="624394" y="1653309"/>
          <a:ext cx="5029200" cy="5029200"/>
        </a:xfrm>
        <a:prstGeom prst="blockArc">
          <a:avLst>
            <a:gd name="adj1" fmla="val 10800000"/>
            <a:gd name="adj2" fmla="val 26683"/>
            <a:gd name="adj3" fmla="val 1288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114300</xdr:colOff>
      <xdr:row>6</xdr:row>
      <xdr:rowOff>7620</xdr:rowOff>
    </xdr:from>
    <xdr:to>
      <xdr:col>10</xdr:col>
      <xdr:colOff>144780</xdr:colOff>
      <xdr:row>39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8EDBF-A240-EB1E-6254-B9DD24DBA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33</xdr:row>
      <xdr:rowOff>167640</xdr:rowOff>
    </xdr:from>
    <xdr:to>
      <xdr:col>11</xdr:col>
      <xdr:colOff>228600</xdr:colOff>
      <xdr:row>38</xdr:row>
      <xdr:rowOff>76200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4CEF85C9-908F-AA78-4DFA-9382D76D36CF}"/>
            </a:ext>
          </a:extLst>
        </xdr:cNvPr>
        <xdr:cNvGrpSpPr/>
      </xdr:nvGrpSpPr>
      <xdr:grpSpPr>
        <a:xfrm>
          <a:off x="4158615" y="6492835"/>
          <a:ext cx="2618423" cy="875943"/>
          <a:chOff x="4160520" y="5105400"/>
          <a:chExt cx="2689860" cy="822960"/>
        </a:xfrm>
      </xdr:grpSpPr>
      <xdr:sp macro="" textlink="">
        <xdr:nvSpPr>
          <xdr:cNvPr id="18" name="Freeform: Shape 17">
            <a:extLst>
              <a:ext uri="{FF2B5EF4-FFF2-40B4-BE49-F238E27FC236}">
                <a16:creationId xmlns:a16="http://schemas.microsoft.com/office/drawing/2014/main" id="{EC9527C3-77D6-B366-CF97-33E3B85C49F0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1FB8FFCF-F3EF-A8C2-2786-53F6629E6610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9</xdr:col>
      <xdr:colOff>0</xdr:colOff>
      <xdr:row>26</xdr:row>
      <xdr:rowOff>99060</xdr:rowOff>
    </xdr:from>
    <xdr:to>
      <xdr:col>10</xdr:col>
      <xdr:colOff>121920</xdr:colOff>
      <xdr:row>30</xdr:row>
      <xdr:rowOff>99060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C0B1768-42DC-D77F-BC91-360E4EF7BFE5}"/>
            </a:ext>
          </a:extLst>
        </xdr:cNvPr>
        <xdr:cNvSpPr/>
      </xdr:nvSpPr>
      <xdr:spPr>
        <a:xfrm>
          <a:off x="5486400" y="4853940"/>
          <a:ext cx="731520" cy="73152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91440</xdr:colOff>
      <xdr:row>16</xdr:row>
      <xdr:rowOff>68580</xdr:rowOff>
    </xdr:from>
    <xdr:to>
      <xdr:col>10</xdr:col>
      <xdr:colOff>213360</xdr:colOff>
      <xdr:row>20</xdr:row>
      <xdr:rowOff>68580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574A95A-3514-F94E-C47E-2EA3DEC1FAD2}"/>
            </a:ext>
          </a:extLst>
        </xdr:cNvPr>
        <xdr:cNvSpPr/>
      </xdr:nvSpPr>
      <xdr:spPr>
        <a:xfrm>
          <a:off x="5577840" y="2994660"/>
          <a:ext cx="731520" cy="73152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251460</xdr:colOff>
      <xdr:row>8</xdr:row>
      <xdr:rowOff>22860</xdr:rowOff>
    </xdr:from>
    <xdr:to>
      <xdr:col>8</xdr:col>
      <xdr:colOff>373380</xdr:colOff>
      <xdr:row>12</xdr:row>
      <xdr:rowOff>22860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0352253-4718-1BDA-4483-75A429103691}"/>
            </a:ext>
          </a:extLst>
        </xdr:cNvPr>
        <xdr:cNvSpPr/>
      </xdr:nvSpPr>
      <xdr:spPr>
        <a:xfrm>
          <a:off x="4518660" y="1485900"/>
          <a:ext cx="731520" cy="73152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556260</xdr:colOff>
      <xdr:row>26</xdr:row>
      <xdr:rowOff>53340</xdr:rowOff>
    </xdr:from>
    <xdr:to>
      <xdr:col>13</xdr:col>
      <xdr:colOff>198120</xdr:colOff>
      <xdr:row>30</xdr:row>
      <xdr:rowOff>144780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F81031F7-CF2C-639B-A544-082B912B6003}"/>
            </a:ext>
          </a:extLst>
        </xdr:cNvPr>
        <xdr:cNvGrpSpPr/>
      </xdr:nvGrpSpPr>
      <xdr:grpSpPr>
        <a:xfrm>
          <a:off x="5318760" y="5024199"/>
          <a:ext cx="2618423" cy="865347"/>
          <a:chOff x="4160520" y="5105400"/>
          <a:chExt cx="2689860" cy="822960"/>
        </a:xfrm>
      </xdr:grpSpPr>
      <xdr:sp macro="" textlink="">
        <xdr:nvSpPr>
          <xdr:cNvPr id="21" name="Freeform: Shape 20">
            <a:extLst>
              <a:ext uri="{FF2B5EF4-FFF2-40B4-BE49-F238E27FC236}">
                <a16:creationId xmlns:a16="http://schemas.microsoft.com/office/drawing/2014/main" id="{64A4FB2E-8549-C17D-1943-6E9976E07FCF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216F7B20-7C4B-2F63-7B48-367F10BC58BA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9</xdr:col>
      <xdr:colOff>38100</xdr:colOff>
      <xdr:row>16</xdr:row>
      <xdr:rowOff>15240</xdr:rowOff>
    </xdr:from>
    <xdr:to>
      <xdr:col>13</xdr:col>
      <xdr:colOff>289560</xdr:colOff>
      <xdr:row>20</xdr:row>
      <xdr:rowOff>106680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335F136-B332-F111-0C55-F3A360FF7513}"/>
            </a:ext>
          </a:extLst>
        </xdr:cNvPr>
        <xdr:cNvGrpSpPr/>
      </xdr:nvGrpSpPr>
      <xdr:grpSpPr>
        <a:xfrm>
          <a:off x="5395913" y="3110865"/>
          <a:ext cx="2632710" cy="865346"/>
          <a:chOff x="4160520" y="5105400"/>
          <a:chExt cx="2689860" cy="822960"/>
        </a:xfrm>
      </xdr:grpSpPr>
      <xdr:sp macro="" textlink="">
        <xdr:nvSpPr>
          <xdr:cNvPr id="24" name="Freeform: Shape 23">
            <a:extLst>
              <a:ext uri="{FF2B5EF4-FFF2-40B4-BE49-F238E27FC236}">
                <a16:creationId xmlns:a16="http://schemas.microsoft.com/office/drawing/2014/main" id="{59BC42FD-600D-8A09-EC4F-A659BA4812B0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13FD0464-E168-9569-69E9-F3BF143B5B77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7</xdr:col>
      <xdr:colOff>198120</xdr:colOff>
      <xdr:row>7</xdr:row>
      <xdr:rowOff>160020</xdr:rowOff>
    </xdr:from>
    <xdr:to>
      <xdr:col>11</xdr:col>
      <xdr:colOff>449580</xdr:colOff>
      <xdr:row>12</xdr:row>
      <xdr:rowOff>68580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27463D9-A283-C2A8-D8B5-9B5C3E057896}"/>
            </a:ext>
          </a:extLst>
        </xdr:cNvPr>
        <xdr:cNvGrpSpPr/>
      </xdr:nvGrpSpPr>
      <xdr:grpSpPr>
        <a:xfrm>
          <a:off x="4365308" y="1514356"/>
          <a:ext cx="2632710" cy="875943"/>
          <a:chOff x="4160520" y="5105400"/>
          <a:chExt cx="2689860" cy="822960"/>
        </a:xfrm>
      </xdr:grpSpPr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3F82CC4B-CBF4-A17D-A554-CFB57812A61B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25701160-EC12-4D0F-FDF5-55DBF4983BA7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5</xdr:col>
      <xdr:colOff>15240</xdr:colOff>
      <xdr:row>11</xdr:row>
      <xdr:rowOff>175260</xdr:rowOff>
    </xdr:from>
    <xdr:to>
      <xdr:col>5</xdr:col>
      <xdr:colOff>198120</xdr:colOff>
      <xdr:row>12</xdr:row>
      <xdr:rowOff>175260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D6728ACA-56FE-2826-D70C-21FA7FFA6752}"/>
            </a:ext>
          </a:extLst>
        </xdr:cNvPr>
        <xdr:cNvSpPr/>
      </xdr:nvSpPr>
      <xdr:spPr>
        <a:xfrm>
          <a:off x="3063240" y="218694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15240</xdr:colOff>
      <xdr:row>32</xdr:row>
      <xdr:rowOff>106680</xdr:rowOff>
    </xdr:from>
    <xdr:to>
      <xdr:col>5</xdr:col>
      <xdr:colOff>198120</xdr:colOff>
      <xdr:row>33</xdr:row>
      <xdr:rowOff>106680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467878F-B49B-4B5E-5C1C-BB1850F9523E}"/>
            </a:ext>
          </a:extLst>
        </xdr:cNvPr>
        <xdr:cNvSpPr/>
      </xdr:nvSpPr>
      <xdr:spPr>
        <a:xfrm>
          <a:off x="3063240" y="595884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541020</xdr:colOff>
      <xdr:row>13</xdr:row>
      <xdr:rowOff>175260</xdr:rowOff>
    </xdr:from>
    <xdr:to>
      <xdr:col>7</xdr:col>
      <xdr:colOff>114300</xdr:colOff>
      <xdr:row>14</xdr:row>
      <xdr:rowOff>175260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5127203-904A-4D9C-B2AF-65C135BEF621}"/>
            </a:ext>
          </a:extLst>
        </xdr:cNvPr>
        <xdr:cNvSpPr/>
      </xdr:nvSpPr>
      <xdr:spPr>
        <a:xfrm>
          <a:off x="4198620" y="255270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7620</xdr:colOff>
      <xdr:row>19</xdr:row>
      <xdr:rowOff>76200</xdr:rowOff>
    </xdr:from>
    <xdr:to>
      <xdr:col>8</xdr:col>
      <xdr:colOff>190500</xdr:colOff>
      <xdr:row>20</xdr:row>
      <xdr:rowOff>76200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47FA2F6-9BFC-10FB-32B5-82449BFF0168}"/>
            </a:ext>
          </a:extLst>
        </xdr:cNvPr>
        <xdr:cNvSpPr/>
      </xdr:nvSpPr>
      <xdr:spPr>
        <a:xfrm>
          <a:off x="4884420" y="355092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579120</xdr:colOff>
      <xdr:row>26</xdr:row>
      <xdr:rowOff>0</xdr:rowOff>
    </xdr:from>
    <xdr:to>
      <xdr:col>8</xdr:col>
      <xdr:colOff>152400</xdr:colOff>
      <xdr:row>27</xdr:row>
      <xdr:rowOff>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FF6AA7C-F350-0256-A3DC-E1491328762E}"/>
            </a:ext>
          </a:extLst>
        </xdr:cNvPr>
        <xdr:cNvSpPr/>
      </xdr:nvSpPr>
      <xdr:spPr>
        <a:xfrm>
          <a:off x="4846320" y="475488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419100</xdr:colOff>
      <xdr:row>31</xdr:row>
      <xdr:rowOff>7620</xdr:rowOff>
    </xdr:from>
    <xdr:to>
      <xdr:col>6</xdr:col>
      <xdr:colOff>601980</xdr:colOff>
      <xdr:row>32</xdr:row>
      <xdr:rowOff>7620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CFCCFB3B-6224-1943-FFBA-250B92AE5701}"/>
            </a:ext>
          </a:extLst>
        </xdr:cNvPr>
        <xdr:cNvSpPr/>
      </xdr:nvSpPr>
      <xdr:spPr>
        <a:xfrm>
          <a:off x="4076700" y="567690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567690</xdr:colOff>
      <xdr:row>15</xdr:row>
      <xdr:rowOff>180975</xdr:rowOff>
    </xdr:from>
    <xdr:to>
      <xdr:col>7</xdr:col>
      <xdr:colOff>11430</xdr:colOff>
      <xdr:row>17</xdr:row>
      <xdr:rowOff>142875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6E4FE7F-D3F2-3DB5-C051-A8A09B28212D}"/>
            </a:ext>
          </a:extLst>
        </xdr:cNvPr>
        <xdr:cNvSpPr txBox="1"/>
      </xdr:nvSpPr>
      <xdr:spPr>
        <a:xfrm>
          <a:off x="3615690" y="2924175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rgbClr val="61879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rgbClr val="618791"/>
              </a:solidFill>
              <a:latin typeface="+mn-lt"/>
              <a:ea typeface="+mn-ea"/>
              <a:cs typeface="+mn-cs"/>
            </a:rPr>
            <a:t>6</a:t>
          </a:r>
          <a:endParaRPr lang="ru-RU" sz="1800" b="1">
            <a:solidFill>
              <a:srgbClr val="61879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464820</xdr:colOff>
      <xdr:row>20</xdr:row>
      <xdr:rowOff>3810</xdr:rowOff>
    </xdr:from>
    <xdr:to>
      <xdr:col>7</xdr:col>
      <xdr:colOff>518160</xdr:colOff>
      <xdr:row>21</xdr:row>
      <xdr:rowOff>148590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851823B-0675-2EC5-6175-73172DB7D71D}"/>
            </a:ext>
          </a:extLst>
        </xdr:cNvPr>
        <xdr:cNvSpPr txBox="1"/>
      </xdr:nvSpPr>
      <xdr:spPr>
        <a:xfrm>
          <a:off x="4122420" y="366141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rgbClr val="61879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rgbClr val="618791"/>
              </a:solidFill>
              <a:latin typeface="+mn-lt"/>
              <a:ea typeface="+mn-ea"/>
              <a:cs typeface="+mn-cs"/>
            </a:rPr>
            <a:t>7</a:t>
          </a:r>
          <a:endParaRPr lang="ru-RU" sz="1800" b="1">
            <a:solidFill>
              <a:srgbClr val="61879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464820</xdr:colOff>
      <xdr:row>24</xdr:row>
      <xdr:rowOff>70485</xdr:rowOff>
    </xdr:from>
    <xdr:to>
      <xdr:col>7</xdr:col>
      <xdr:colOff>518160</xdr:colOff>
      <xdr:row>26</xdr:row>
      <xdr:rowOff>32385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D2AD5D3-80F9-B472-CF8F-5BEFDBC147A0}"/>
            </a:ext>
          </a:extLst>
        </xdr:cNvPr>
        <xdr:cNvSpPr txBox="1"/>
      </xdr:nvSpPr>
      <xdr:spPr>
        <a:xfrm>
          <a:off x="4122420" y="4459605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800" b="1">
              <a:solidFill>
                <a:srgbClr val="618791"/>
              </a:solidFill>
            </a:rPr>
            <a:t>202</a:t>
          </a:r>
          <a:r>
            <a:rPr lang="pl-PL" sz="1800" b="1">
              <a:solidFill>
                <a:srgbClr val="618791"/>
              </a:solidFill>
            </a:rPr>
            <a:t>8</a:t>
          </a:r>
          <a:endParaRPr lang="ru-RU" sz="1800" b="1">
            <a:solidFill>
              <a:srgbClr val="618791"/>
            </a:solidFill>
          </a:endParaRPr>
        </a:p>
      </xdr:txBody>
    </xdr:sp>
    <xdr:clientData/>
  </xdr:twoCellAnchor>
  <xdr:twoCellAnchor>
    <xdr:from>
      <xdr:col>5</xdr:col>
      <xdr:colOff>567690</xdr:colOff>
      <xdr:row>28</xdr:row>
      <xdr:rowOff>60960</xdr:rowOff>
    </xdr:from>
    <xdr:to>
      <xdr:col>7</xdr:col>
      <xdr:colOff>11430</xdr:colOff>
      <xdr:row>30</xdr:row>
      <xdr:rowOff>22860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9FCE907-5B3E-10C1-C4E9-C59CC999988C}"/>
            </a:ext>
          </a:extLst>
        </xdr:cNvPr>
        <xdr:cNvSpPr txBox="1"/>
      </xdr:nvSpPr>
      <xdr:spPr>
        <a:xfrm>
          <a:off x="3615690" y="518160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rgbClr val="61879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rgbClr val="618791"/>
              </a:solidFill>
              <a:latin typeface="+mn-lt"/>
              <a:ea typeface="+mn-ea"/>
              <a:cs typeface="+mn-cs"/>
            </a:rPr>
            <a:t>9</a:t>
          </a:r>
          <a:endParaRPr lang="ru-RU" sz="1800" b="1">
            <a:solidFill>
              <a:srgbClr val="61879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377190</xdr:colOff>
      <xdr:row>14</xdr:row>
      <xdr:rowOff>15240</xdr:rowOff>
    </xdr:from>
    <xdr:to>
      <xdr:col>5</xdr:col>
      <xdr:colOff>430530</xdr:colOff>
      <xdr:row>15</xdr:row>
      <xdr:rowOff>160020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1418CD8-5B52-D593-E054-425F545BD069}"/>
            </a:ext>
          </a:extLst>
        </xdr:cNvPr>
        <xdr:cNvSpPr txBox="1"/>
      </xdr:nvSpPr>
      <xdr:spPr>
        <a:xfrm>
          <a:off x="2815590" y="257556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rgbClr val="61879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rgbClr val="618791"/>
              </a:solidFill>
              <a:latin typeface="+mn-lt"/>
              <a:ea typeface="+mn-ea"/>
              <a:cs typeface="+mn-cs"/>
            </a:rPr>
            <a:t>5</a:t>
          </a:r>
          <a:endParaRPr lang="ru-RU" sz="1800" b="1">
            <a:solidFill>
              <a:srgbClr val="61879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213360</xdr:colOff>
      <xdr:row>17</xdr:row>
      <xdr:rowOff>60960</xdr:rowOff>
    </xdr:from>
    <xdr:to>
      <xdr:col>6</xdr:col>
      <xdr:colOff>396240</xdr:colOff>
      <xdr:row>28</xdr:row>
      <xdr:rowOff>60960</xdr:rowOff>
    </xdr:to>
    <xdr:sp macro="" textlink="">
      <xdr:nvSpPr>
        <xdr:cNvPr id="40" name="Circle: Hollow 39">
          <a:extLst>
            <a:ext uri="{FF2B5EF4-FFF2-40B4-BE49-F238E27FC236}">
              <a16:creationId xmlns:a16="http://schemas.microsoft.com/office/drawing/2014/main" id="{D6633C48-ECCE-9383-C5F0-97565CB339C6}"/>
            </a:ext>
          </a:extLst>
        </xdr:cNvPr>
        <xdr:cNvSpPr/>
      </xdr:nvSpPr>
      <xdr:spPr>
        <a:xfrm>
          <a:off x="2042160" y="3169920"/>
          <a:ext cx="2011680" cy="2011680"/>
        </a:xfrm>
        <a:prstGeom prst="donut">
          <a:avLst>
            <a:gd name="adj" fmla="val 19686"/>
          </a:avLst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152019</xdr:colOff>
      <xdr:row>6</xdr:row>
      <xdr:rowOff>18826</xdr:rowOff>
    </xdr:from>
    <xdr:to>
      <xdr:col>20</xdr:col>
      <xdr:colOff>23241</xdr:colOff>
      <xdr:row>23</xdr:row>
      <xdr:rowOff>117886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6B8C0E59-3C0C-DFD2-B5CF-CA58FF2DA8AA}"/>
            </a:ext>
          </a:extLst>
        </xdr:cNvPr>
        <xdr:cNvSpPr/>
      </xdr:nvSpPr>
      <xdr:spPr>
        <a:xfrm>
          <a:off x="8686419" y="1116106"/>
          <a:ext cx="3528822" cy="3208020"/>
        </a:xfrm>
        <a:prstGeom prst="ellipse">
          <a:avLst/>
        </a:prstGeom>
        <a:gradFill flip="none" rotWithShape="1">
          <a:gsLst>
            <a:gs pos="38000">
              <a:srgbClr val="0EBAC7"/>
            </a:gs>
            <a:gs pos="100000">
              <a:srgbClr val="8F36A8"/>
            </a:gs>
          </a:gsLst>
          <a:path path="circle">
            <a:fillToRect r="100000" b="100000"/>
          </a:path>
          <a:tileRect l="-100000" t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24</xdr:row>
          <xdr:rowOff>85725</xdr:rowOff>
        </xdr:from>
        <xdr:to>
          <xdr:col>5</xdr:col>
          <xdr:colOff>180975</xdr:colOff>
          <xdr:row>27</xdr:row>
          <xdr:rowOff>19050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506797</xdr:colOff>
      <xdr:row>3</xdr:row>
      <xdr:rowOff>1024</xdr:rowOff>
    </xdr:from>
    <xdr:to>
      <xdr:col>20</xdr:col>
      <xdr:colOff>130574</xdr:colOff>
      <xdr:row>25</xdr:row>
      <xdr:rowOff>157934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88756A6F-0E29-4ABC-A093-483F5A748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487679</xdr:colOff>
      <xdr:row>10</xdr:row>
      <xdr:rowOff>178846</xdr:rowOff>
    </xdr:from>
    <xdr:to>
      <xdr:col>18</xdr:col>
      <xdr:colOff>119639</xdr:colOff>
      <xdr:row>18</xdr:row>
      <xdr:rowOff>149623</xdr:rowOff>
    </xdr:to>
    <xdr:sp macro="" textlink="">
      <xdr:nvSpPr>
        <xdr:cNvPr id="42" name="Isosceles Triangle 7">
          <a:extLst>
            <a:ext uri="{FF2B5EF4-FFF2-40B4-BE49-F238E27FC236}">
              <a16:creationId xmlns:a16="http://schemas.microsoft.com/office/drawing/2014/main" id="{C3C3EFF7-1EC6-6A04-D3CB-4FD3BF23E3F8}"/>
            </a:ext>
          </a:extLst>
        </xdr:cNvPr>
        <xdr:cNvSpPr/>
      </xdr:nvSpPr>
      <xdr:spPr>
        <a:xfrm rot="10443392">
          <a:off x="9631679" y="2007646"/>
          <a:ext cx="1460760" cy="1433817"/>
        </a:xfrm>
        <a:custGeom>
          <a:avLst/>
          <a:gdLst>
            <a:gd name="connsiteX0" fmla="*/ 0 w 1378366"/>
            <a:gd name="connsiteY0" fmla="*/ 1234440 h 1234440"/>
            <a:gd name="connsiteX1" fmla="*/ 689183 w 1378366"/>
            <a:gd name="connsiteY1" fmla="*/ 0 h 1234440"/>
            <a:gd name="connsiteX2" fmla="*/ 1378366 w 1378366"/>
            <a:gd name="connsiteY2" fmla="*/ 1234440 h 1234440"/>
            <a:gd name="connsiteX3" fmla="*/ 0 w 1378366"/>
            <a:gd name="connsiteY3" fmla="*/ 1234440 h 1234440"/>
            <a:gd name="connsiteX0" fmla="*/ 15020 w 1393386"/>
            <a:gd name="connsiteY0" fmla="*/ 1234440 h 1388745"/>
            <a:gd name="connsiteX1" fmla="*/ 704203 w 1393386"/>
            <a:gd name="connsiteY1" fmla="*/ 0 h 1388745"/>
            <a:gd name="connsiteX2" fmla="*/ 1393386 w 1393386"/>
            <a:gd name="connsiteY2" fmla="*/ 1234440 h 1388745"/>
            <a:gd name="connsiteX3" fmla="*/ 15020 w 1393386"/>
            <a:gd name="connsiteY3" fmla="*/ 1234440 h 1388745"/>
            <a:gd name="connsiteX0" fmla="*/ 15020 w 1417372"/>
            <a:gd name="connsiteY0" fmla="*/ 1234440 h 1472008"/>
            <a:gd name="connsiteX1" fmla="*/ 704203 w 1417372"/>
            <a:gd name="connsiteY1" fmla="*/ 0 h 1472008"/>
            <a:gd name="connsiteX2" fmla="*/ 1393386 w 1417372"/>
            <a:gd name="connsiteY2" fmla="*/ 1234440 h 1472008"/>
            <a:gd name="connsiteX3" fmla="*/ 15020 w 1417372"/>
            <a:gd name="connsiteY3" fmla="*/ 1234440 h 1472008"/>
            <a:gd name="connsiteX0" fmla="*/ 15020 w 1417372"/>
            <a:gd name="connsiteY0" fmla="*/ 1307981 h 1545549"/>
            <a:gd name="connsiteX1" fmla="*/ 704203 w 1417372"/>
            <a:gd name="connsiteY1" fmla="*/ 73541 h 1545549"/>
            <a:gd name="connsiteX2" fmla="*/ 1393386 w 1417372"/>
            <a:gd name="connsiteY2" fmla="*/ 1307981 h 1545549"/>
            <a:gd name="connsiteX3" fmla="*/ 15020 w 1417372"/>
            <a:gd name="connsiteY3" fmla="*/ 1307981 h 1545549"/>
            <a:gd name="connsiteX0" fmla="*/ 26208 w 1428560"/>
            <a:gd name="connsiteY0" fmla="*/ 1256010 h 1493578"/>
            <a:gd name="connsiteX1" fmla="*/ 715391 w 1428560"/>
            <a:gd name="connsiteY1" fmla="*/ 21570 h 1493578"/>
            <a:gd name="connsiteX2" fmla="*/ 1404574 w 1428560"/>
            <a:gd name="connsiteY2" fmla="*/ 1256010 h 1493578"/>
            <a:gd name="connsiteX3" fmla="*/ 26208 w 1428560"/>
            <a:gd name="connsiteY3" fmla="*/ 1256010 h 1493578"/>
            <a:gd name="connsiteX0" fmla="*/ 20279 w 1422631"/>
            <a:gd name="connsiteY0" fmla="*/ 1237036 h 1474604"/>
            <a:gd name="connsiteX1" fmla="*/ 709462 w 1422631"/>
            <a:gd name="connsiteY1" fmla="*/ 2596 h 1474604"/>
            <a:gd name="connsiteX2" fmla="*/ 1398645 w 1422631"/>
            <a:gd name="connsiteY2" fmla="*/ 1237036 h 1474604"/>
            <a:gd name="connsiteX3" fmla="*/ 20279 w 1422631"/>
            <a:gd name="connsiteY3" fmla="*/ 1237036 h 1474604"/>
            <a:gd name="connsiteX0" fmla="*/ 20279 w 1412148"/>
            <a:gd name="connsiteY0" fmla="*/ 1237036 h 1525903"/>
            <a:gd name="connsiteX1" fmla="*/ 709462 w 1412148"/>
            <a:gd name="connsiteY1" fmla="*/ 2596 h 1525903"/>
            <a:gd name="connsiteX2" fmla="*/ 1398645 w 1412148"/>
            <a:gd name="connsiteY2" fmla="*/ 1237036 h 1525903"/>
            <a:gd name="connsiteX3" fmla="*/ 20279 w 1412148"/>
            <a:gd name="connsiteY3" fmla="*/ 1237036 h 1525903"/>
            <a:gd name="connsiteX0" fmla="*/ 20279 w 1406351"/>
            <a:gd name="connsiteY0" fmla="*/ 1237036 h 1484380"/>
            <a:gd name="connsiteX1" fmla="*/ 709462 w 1406351"/>
            <a:gd name="connsiteY1" fmla="*/ 2596 h 1484380"/>
            <a:gd name="connsiteX2" fmla="*/ 1398645 w 1406351"/>
            <a:gd name="connsiteY2" fmla="*/ 1237036 h 1484380"/>
            <a:gd name="connsiteX3" fmla="*/ 20279 w 1406351"/>
            <a:gd name="connsiteY3" fmla="*/ 1237036 h 1484380"/>
            <a:gd name="connsiteX0" fmla="*/ 20279 w 1421186"/>
            <a:gd name="connsiteY0" fmla="*/ 1237036 h 1475280"/>
            <a:gd name="connsiteX1" fmla="*/ 709462 w 1421186"/>
            <a:gd name="connsiteY1" fmla="*/ 2596 h 1475280"/>
            <a:gd name="connsiteX2" fmla="*/ 1398645 w 1421186"/>
            <a:gd name="connsiteY2" fmla="*/ 1237036 h 1475280"/>
            <a:gd name="connsiteX3" fmla="*/ 20279 w 1421186"/>
            <a:gd name="connsiteY3" fmla="*/ 1237036 h 1475280"/>
            <a:gd name="connsiteX0" fmla="*/ 56667 w 1457574"/>
            <a:gd name="connsiteY0" fmla="*/ 1237080 h 1481400"/>
            <a:gd name="connsiteX1" fmla="*/ 745850 w 1457574"/>
            <a:gd name="connsiteY1" fmla="*/ 2640 h 1481400"/>
            <a:gd name="connsiteX2" fmla="*/ 1435033 w 1457574"/>
            <a:gd name="connsiteY2" fmla="*/ 1237080 h 1481400"/>
            <a:gd name="connsiteX3" fmla="*/ 56667 w 1457574"/>
            <a:gd name="connsiteY3" fmla="*/ 1237080 h 1481400"/>
            <a:gd name="connsiteX0" fmla="*/ 56667 w 1454246"/>
            <a:gd name="connsiteY0" fmla="*/ 1237080 h 1434761"/>
            <a:gd name="connsiteX1" fmla="*/ 745850 w 1454246"/>
            <a:gd name="connsiteY1" fmla="*/ 2640 h 1434761"/>
            <a:gd name="connsiteX2" fmla="*/ 1435033 w 1454246"/>
            <a:gd name="connsiteY2" fmla="*/ 1237080 h 1434761"/>
            <a:gd name="connsiteX3" fmla="*/ 56667 w 1454246"/>
            <a:gd name="connsiteY3" fmla="*/ 1237080 h 1434761"/>
            <a:gd name="connsiteX0" fmla="*/ 56667 w 1460760"/>
            <a:gd name="connsiteY0" fmla="*/ 1237080 h 1433817"/>
            <a:gd name="connsiteX1" fmla="*/ 745850 w 1460760"/>
            <a:gd name="connsiteY1" fmla="*/ 2640 h 1433817"/>
            <a:gd name="connsiteX2" fmla="*/ 1435033 w 1460760"/>
            <a:gd name="connsiteY2" fmla="*/ 1237080 h 1433817"/>
            <a:gd name="connsiteX3" fmla="*/ 56667 w 1460760"/>
            <a:gd name="connsiteY3" fmla="*/ 1237080 h 143381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460760" h="1433817">
              <a:moveTo>
                <a:pt x="56667" y="1237080"/>
              </a:moveTo>
              <a:cubicBezTo>
                <a:pt x="-171094" y="1011925"/>
                <a:pt x="334246" y="-60038"/>
                <a:pt x="745850" y="2640"/>
              </a:cubicBezTo>
              <a:cubicBezTo>
                <a:pt x="1157454" y="65318"/>
                <a:pt x="1568787" y="940052"/>
                <a:pt x="1435033" y="1237080"/>
              </a:cubicBezTo>
              <a:cubicBezTo>
                <a:pt x="1301279" y="1534108"/>
                <a:pt x="284428" y="1462235"/>
                <a:pt x="56667" y="1237080"/>
              </a:cubicBez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/>
        </a:p>
      </xdr:txBody>
    </xdr:sp>
    <xdr:clientData/>
  </xdr:twoCellAnchor>
  <xdr:twoCellAnchor>
    <xdr:from>
      <xdr:col>13</xdr:col>
      <xdr:colOff>304798</xdr:colOff>
      <xdr:row>3</xdr:row>
      <xdr:rowOff>58014</xdr:rowOff>
    </xdr:from>
    <xdr:to>
      <xdr:col>20</xdr:col>
      <xdr:colOff>397318</xdr:colOff>
      <xdr:row>27</xdr:row>
      <xdr:rowOff>28614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1C151557-4FCC-8AD8-83EB-431BD99F7F5F}"/>
            </a:ext>
          </a:extLst>
        </xdr:cNvPr>
        <xdr:cNvSpPr/>
      </xdr:nvSpPr>
      <xdr:spPr>
        <a:xfrm rot="9900000">
          <a:off x="8229598" y="613185"/>
          <a:ext cx="4359720" cy="4411972"/>
        </a:xfrm>
        <a:custGeom>
          <a:avLst/>
          <a:gdLst>
            <a:gd name="connsiteX0" fmla="*/ 1376057 w 4359720"/>
            <a:gd name="connsiteY0" fmla="*/ 3472792 h 4359720"/>
            <a:gd name="connsiteX1" fmla="*/ 3577284 w 4359720"/>
            <a:gd name="connsiteY1" fmla="*/ 2933960 h 4359720"/>
            <a:gd name="connsiteX2" fmla="*/ 2192238 w 4359720"/>
            <a:gd name="connsiteY2" fmla="*/ 793620 h 4359720"/>
            <a:gd name="connsiteX3" fmla="*/ 831001 w 4359720"/>
            <a:gd name="connsiteY3" fmla="*/ 3140580 h 4359720"/>
            <a:gd name="connsiteX4" fmla="*/ 1376057 w 4359720"/>
            <a:gd name="connsiteY4" fmla="*/ 3472792 h 4359720"/>
            <a:gd name="connsiteX5" fmla="*/ 1615810 w 4359720"/>
            <a:gd name="connsiteY5" fmla="*/ 4284921 h 4359720"/>
            <a:gd name="connsiteX6" fmla="*/ 74799 w 4359720"/>
            <a:gd name="connsiteY6" fmla="*/ 1615810 h 4359720"/>
            <a:gd name="connsiteX7" fmla="*/ 2743910 w 4359720"/>
            <a:gd name="connsiteY7" fmla="*/ 74799 h 4359720"/>
            <a:gd name="connsiteX8" fmla="*/ 4284921 w 4359720"/>
            <a:gd name="connsiteY8" fmla="*/ 2743910 h 4359720"/>
            <a:gd name="connsiteX9" fmla="*/ 1615810 w 4359720"/>
            <a:gd name="connsiteY9" fmla="*/ 4284921 h 43597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359720" h="4359720">
              <a:moveTo>
                <a:pt x="1376057" y="3472792"/>
              </a:moveTo>
              <a:cubicBezTo>
                <a:pt x="2176670" y="3687842"/>
                <a:pt x="3535567" y="3540612"/>
                <a:pt x="3577284" y="2933960"/>
              </a:cubicBezTo>
              <a:cubicBezTo>
                <a:pt x="3632906" y="2125090"/>
                <a:pt x="2811879" y="802571"/>
                <a:pt x="2192238" y="793620"/>
              </a:cubicBezTo>
              <a:cubicBezTo>
                <a:pt x="1572597" y="784669"/>
                <a:pt x="537617" y="2546212"/>
                <a:pt x="831001" y="3140580"/>
              </a:cubicBezTo>
              <a:cubicBezTo>
                <a:pt x="904347" y="3289172"/>
                <a:pt x="1109186" y="3401109"/>
                <a:pt x="1376057" y="3472792"/>
              </a:cubicBezTo>
              <a:close/>
              <a:moveTo>
                <a:pt x="1615810" y="4284921"/>
              </a:moveTo>
              <a:cubicBezTo>
                <a:pt x="453217" y="3973406"/>
                <a:pt x="-236717" y="2778404"/>
                <a:pt x="74799" y="1615810"/>
              </a:cubicBezTo>
              <a:cubicBezTo>
                <a:pt x="386314" y="453217"/>
                <a:pt x="1581316" y="-236717"/>
                <a:pt x="2743910" y="74799"/>
              </a:cubicBezTo>
              <a:cubicBezTo>
                <a:pt x="3906503" y="386314"/>
                <a:pt x="4596437" y="1581316"/>
                <a:pt x="4284921" y="2743910"/>
              </a:cubicBezTo>
              <a:cubicBezTo>
                <a:pt x="3973406" y="3906503"/>
                <a:pt x="2778404" y="4596437"/>
                <a:pt x="1615810" y="4284921"/>
              </a:cubicBezTo>
              <a:close/>
            </a:path>
          </a:pathLst>
        </a:custGeom>
        <a:solidFill>
          <a:srgbClr val="C3EFE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/>
        </a:p>
      </xdr:txBody>
    </xdr:sp>
    <xdr:clientData/>
  </xdr:twoCellAnchor>
  <xdr:twoCellAnchor>
    <xdr:from>
      <xdr:col>14</xdr:col>
      <xdr:colOff>545374</xdr:colOff>
      <xdr:row>21</xdr:row>
      <xdr:rowOff>59871</xdr:rowOff>
    </xdr:from>
    <xdr:to>
      <xdr:col>23</xdr:col>
      <xdr:colOff>606334</xdr:colOff>
      <xdr:row>40</xdr:row>
      <xdr:rowOff>50172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644AC84E-94C4-D879-CF50-757073969EBF}"/>
            </a:ext>
          </a:extLst>
        </xdr:cNvPr>
        <xdr:cNvGrpSpPr/>
      </xdr:nvGrpSpPr>
      <xdr:grpSpPr>
        <a:xfrm>
          <a:off x="8879749" y="4122879"/>
          <a:ext cx="5399723" cy="3606824"/>
          <a:chOff x="10256520" y="3992880"/>
          <a:chExt cx="5943600" cy="4775661"/>
        </a:xfrm>
      </xdr:grpSpPr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B24202C6-998B-470C-9833-AA5155E67576}"/>
              </a:ext>
            </a:extLst>
          </xdr:cNvPr>
          <xdr:cNvGraphicFramePr>
            <a:graphicFrameLocks/>
          </xdr:cNvGraphicFramePr>
        </xdr:nvGraphicFramePr>
        <xdr:xfrm>
          <a:off x="10256520" y="3992880"/>
          <a:ext cx="5943600" cy="47756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6" name="Chart 55">
            <a:extLst>
              <a:ext uri="{FF2B5EF4-FFF2-40B4-BE49-F238E27FC236}">
                <a16:creationId xmlns:a16="http://schemas.microsoft.com/office/drawing/2014/main" id="{EEB8A3C8-00E5-4ED7-ACDF-3D52A60F67E4}"/>
              </a:ext>
            </a:extLst>
          </xdr:cNvPr>
          <xdr:cNvGraphicFramePr>
            <a:graphicFrameLocks/>
          </xdr:cNvGraphicFramePr>
        </xdr:nvGraphicFramePr>
        <xdr:xfrm>
          <a:off x="10256520" y="4682298"/>
          <a:ext cx="5943600" cy="396722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22</xdr:col>
      <xdr:colOff>468726</xdr:colOff>
      <xdr:row>5</xdr:row>
      <xdr:rowOff>177371</xdr:rowOff>
    </xdr:from>
    <xdr:to>
      <xdr:col>32</xdr:col>
      <xdr:colOff>492037</xdr:colOff>
      <xdr:row>26</xdr:row>
      <xdr:rowOff>84026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5A1E6AE-532B-1AAE-0DFF-1A5C07CE342F}"/>
            </a:ext>
          </a:extLst>
        </xdr:cNvPr>
        <xdr:cNvGrpSpPr/>
      </xdr:nvGrpSpPr>
      <xdr:grpSpPr>
        <a:xfrm>
          <a:off x="13565601" y="1144754"/>
          <a:ext cx="5976436" cy="3910131"/>
          <a:chOff x="14764873" y="1118666"/>
          <a:chExt cx="5760720" cy="3456662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E0C37B8-51AC-415B-B228-1E80E5BEDBA4}"/>
              </a:ext>
            </a:extLst>
          </xdr:cNvPr>
          <xdr:cNvGraphicFramePr>
            <a:graphicFrameLocks/>
          </xdr:cNvGraphicFramePr>
        </xdr:nvGraphicFramePr>
        <xdr:xfrm>
          <a:off x="14764873" y="1118666"/>
          <a:ext cx="5760720" cy="34566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5" name="Chord 4">
            <a:extLst>
              <a:ext uri="{FF2B5EF4-FFF2-40B4-BE49-F238E27FC236}">
                <a16:creationId xmlns:a16="http://schemas.microsoft.com/office/drawing/2014/main" id="{EEB5069F-745F-1E94-E93C-92C559DBD715}"/>
              </a:ext>
            </a:extLst>
          </xdr:cNvPr>
          <xdr:cNvSpPr/>
        </xdr:nvSpPr>
        <xdr:spPr>
          <a:xfrm rot="5400000">
            <a:off x="16371622" y="1768355"/>
            <a:ext cx="2163901" cy="2212116"/>
          </a:xfrm>
          <a:prstGeom prst="chord">
            <a:avLst>
              <a:gd name="adj1" fmla="val 5388822"/>
              <a:gd name="adj2" fmla="val 16200000"/>
            </a:avLst>
          </a:prstGeom>
          <a:solidFill>
            <a:srgbClr val="C3EFE5"/>
          </a:solidFill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C6E4FD-F8A1-93A4-29F4-1EFEDCE8ED7F}"/>
              </a:ext>
            </a:extLst>
          </xdr:cNvPr>
          <xdr:cNvSpPr/>
        </xdr:nvSpPr>
        <xdr:spPr>
          <a:xfrm>
            <a:off x="16125355" y="2836482"/>
            <a:ext cx="3049354" cy="1618977"/>
          </a:xfrm>
          <a:prstGeom prst="rect">
            <a:avLst/>
          </a:prstGeom>
          <a:solidFill>
            <a:srgbClr val="C3EFE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4</xdr:col>
      <xdr:colOff>377190</xdr:colOff>
      <xdr:row>29</xdr:row>
      <xdr:rowOff>175260</xdr:rowOff>
    </xdr:from>
    <xdr:to>
      <xdr:col>5</xdr:col>
      <xdr:colOff>430530</xdr:colOff>
      <xdr:row>31</xdr:row>
      <xdr:rowOff>137160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A8F7F5C-262C-D0F6-70FE-0C8B1C19AF85}"/>
            </a:ext>
          </a:extLst>
        </xdr:cNvPr>
        <xdr:cNvSpPr txBox="1"/>
      </xdr:nvSpPr>
      <xdr:spPr>
        <a:xfrm>
          <a:off x="2815590" y="547878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rgbClr val="618791"/>
              </a:solidFill>
              <a:latin typeface="+mn-lt"/>
              <a:ea typeface="+mn-ea"/>
              <a:cs typeface="+mn-cs"/>
            </a:rPr>
            <a:t>20</a:t>
          </a:r>
          <a:r>
            <a:rPr lang="pl-PL" sz="1800" b="1">
              <a:solidFill>
                <a:srgbClr val="618791"/>
              </a:solidFill>
              <a:latin typeface="+mn-lt"/>
              <a:ea typeface="+mn-ea"/>
              <a:cs typeface="+mn-cs"/>
            </a:rPr>
            <a:t>30</a:t>
          </a:r>
          <a:endParaRPr lang="ru-RU" sz="1800" b="1">
            <a:solidFill>
              <a:srgbClr val="61879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609599</xdr:colOff>
      <xdr:row>20</xdr:row>
      <xdr:rowOff>111423</xdr:rowOff>
    </xdr:from>
    <xdr:to>
      <xdr:col>35</xdr:col>
      <xdr:colOff>250371</xdr:colOff>
      <xdr:row>70</xdr:row>
      <xdr:rowOff>115939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A3EB93-CEBB-49F4-B510-CC1BA1239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43542</xdr:colOff>
      <xdr:row>22</xdr:row>
      <xdr:rowOff>119743</xdr:rowOff>
    </xdr:from>
    <xdr:to>
      <xdr:col>31</xdr:col>
      <xdr:colOff>348342</xdr:colOff>
      <xdr:row>38</xdr:row>
      <xdr:rowOff>141514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4500E19B-4304-41BE-91B7-BA16E3942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428817</xdr:colOff>
      <xdr:row>42</xdr:row>
      <xdr:rowOff>98616</xdr:rowOff>
    </xdr:from>
    <xdr:to>
      <xdr:col>10</xdr:col>
      <xdr:colOff>521764</xdr:colOff>
      <xdr:row>55</xdr:row>
      <xdr:rowOff>150475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81BA3A71-AD8E-2484-2183-1283F5DBDED2}"/>
            </a:ext>
          </a:extLst>
        </xdr:cNvPr>
        <xdr:cNvGrpSpPr/>
      </xdr:nvGrpSpPr>
      <xdr:grpSpPr>
        <a:xfrm>
          <a:off x="2214755" y="8165100"/>
          <a:ext cx="4260134" cy="2567055"/>
          <a:chOff x="7342093" y="8617004"/>
          <a:chExt cx="3731944" cy="2035155"/>
        </a:xfrm>
      </xdr:grpSpPr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FC3F06F3-0586-48C7-AFD1-454126701F0E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9" name="Isosceles Triangle 38">
            <a:extLst>
              <a:ext uri="{FF2B5EF4-FFF2-40B4-BE49-F238E27FC236}">
                <a16:creationId xmlns:a16="http://schemas.microsoft.com/office/drawing/2014/main" id="{F2CDA6CB-75E3-5364-5471-B2A5B0C7CEFE}"/>
              </a:ext>
            </a:extLst>
          </xdr:cNvPr>
          <xdr:cNvSpPr/>
        </xdr:nvSpPr>
        <xdr:spPr>
          <a:xfrm rot="16200000">
            <a:off x="7750105" y="8927790"/>
            <a:ext cx="1749076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41" name="Moon 40">
            <a:extLst>
              <a:ext uri="{FF2B5EF4-FFF2-40B4-BE49-F238E27FC236}">
                <a16:creationId xmlns:a16="http://schemas.microsoft.com/office/drawing/2014/main" id="{C77DA332-BEA1-CB2E-FB7C-035A4DFB9471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2" name="Moon 51">
            <a:extLst>
              <a:ext uri="{FF2B5EF4-FFF2-40B4-BE49-F238E27FC236}">
                <a16:creationId xmlns:a16="http://schemas.microsoft.com/office/drawing/2014/main" id="{71DF3346-062F-0BE6-881E-81F4C4773618}"/>
              </a:ext>
            </a:extLst>
          </xdr:cNvPr>
          <xdr:cNvSpPr/>
        </xdr:nvSpPr>
        <xdr:spPr>
          <a:xfrm rot="7200000">
            <a:off x="8534398" y="8408894"/>
            <a:ext cx="672353" cy="1201270"/>
          </a:xfrm>
          <a:prstGeom prst="moon">
            <a:avLst>
              <a:gd name="adj" fmla="val 87500"/>
            </a:avLst>
          </a:pr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3" name="Moon 52">
            <a:extLst>
              <a:ext uri="{FF2B5EF4-FFF2-40B4-BE49-F238E27FC236}">
                <a16:creationId xmlns:a16="http://schemas.microsoft.com/office/drawing/2014/main" id="{3C9C5F5A-3DBD-0A66-F286-7FBECBECB592}"/>
              </a:ext>
            </a:extLst>
          </xdr:cNvPr>
          <xdr:cNvSpPr/>
        </xdr:nvSpPr>
        <xdr:spPr>
          <a:xfrm rot="11843358">
            <a:off x="8588186" y="9430869"/>
            <a:ext cx="672353" cy="1201270"/>
          </a:xfrm>
          <a:prstGeom prst="moon">
            <a:avLst>
              <a:gd name="adj" fmla="val 38900"/>
            </a:avLst>
          </a:prstGeom>
          <a:solidFill>
            <a:srgbClr val="7EA9A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11</xdr:col>
      <xdr:colOff>279461</xdr:colOff>
      <xdr:row>44</xdr:row>
      <xdr:rowOff>33242</xdr:rowOff>
    </xdr:from>
    <xdr:to>
      <xdr:col>16</xdr:col>
      <xdr:colOff>493623</xdr:colOff>
      <xdr:row>54</xdr:row>
      <xdr:rowOff>19268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DCE30553-30E6-7212-6278-DBD247AEA84D}"/>
            </a:ext>
          </a:extLst>
        </xdr:cNvPr>
        <xdr:cNvGrpSpPr/>
      </xdr:nvGrpSpPr>
      <xdr:grpSpPr>
        <a:xfrm>
          <a:off x="6827899" y="8486680"/>
          <a:ext cx="3190724" cy="1920791"/>
          <a:chOff x="7342093" y="8617004"/>
          <a:chExt cx="3731944" cy="2035155"/>
        </a:xfrm>
      </xdr:grpSpPr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710FC8BC-6400-9C84-1B06-18739F2FE4A7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026" name="Isosceles Triangle 38">
            <a:extLst>
              <a:ext uri="{FF2B5EF4-FFF2-40B4-BE49-F238E27FC236}">
                <a16:creationId xmlns:a16="http://schemas.microsoft.com/office/drawing/2014/main" id="{61EC1BC7-3F22-7D25-8E36-0351D81A1021}"/>
              </a:ext>
            </a:extLst>
          </xdr:cNvPr>
          <xdr:cNvSpPr/>
        </xdr:nvSpPr>
        <xdr:spPr>
          <a:xfrm rot="16200000">
            <a:off x="7829609" y="8927790"/>
            <a:ext cx="1590068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28" name="Moon 1027">
            <a:extLst>
              <a:ext uri="{FF2B5EF4-FFF2-40B4-BE49-F238E27FC236}">
                <a16:creationId xmlns:a16="http://schemas.microsoft.com/office/drawing/2014/main" id="{B46435E5-D140-4801-2808-16050480F282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29" name="Moon 1028">
            <a:extLst>
              <a:ext uri="{FF2B5EF4-FFF2-40B4-BE49-F238E27FC236}">
                <a16:creationId xmlns:a16="http://schemas.microsoft.com/office/drawing/2014/main" id="{EC0AD222-C14D-4128-1F6C-CD481AF116F2}"/>
              </a:ext>
            </a:extLst>
          </xdr:cNvPr>
          <xdr:cNvSpPr/>
        </xdr:nvSpPr>
        <xdr:spPr>
          <a:xfrm rot="7200000">
            <a:off x="8534398" y="8408894"/>
            <a:ext cx="672353" cy="1201270"/>
          </a:xfrm>
          <a:prstGeom prst="moon">
            <a:avLst>
              <a:gd name="adj" fmla="val 87500"/>
            </a:avLst>
          </a:pr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30" name="Moon 1029">
            <a:extLst>
              <a:ext uri="{FF2B5EF4-FFF2-40B4-BE49-F238E27FC236}">
                <a16:creationId xmlns:a16="http://schemas.microsoft.com/office/drawing/2014/main" id="{8C4098D0-533F-86D1-8C90-C394C0E03262}"/>
              </a:ext>
            </a:extLst>
          </xdr:cNvPr>
          <xdr:cNvSpPr/>
        </xdr:nvSpPr>
        <xdr:spPr>
          <a:xfrm rot="11843358">
            <a:off x="8588186" y="9430869"/>
            <a:ext cx="672353" cy="1201270"/>
          </a:xfrm>
          <a:prstGeom prst="moon">
            <a:avLst>
              <a:gd name="adj" fmla="val 38900"/>
            </a:avLst>
          </a:pr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17</xdr:col>
      <xdr:colOff>251320</xdr:colOff>
      <xdr:row>45</xdr:row>
      <xdr:rowOff>98211</xdr:rowOff>
    </xdr:from>
    <xdr:to>
      <xdr:col>21</xdr:col>
      <xdr:colOff>200393</xdr:colOff>
      <xdr:row>52</xdr:row>
      <xdr:rowOff>150884</xdr:rowOff>
    </xdr:to>
    <xdr:grpSp>
      <xdr:nvGrpSpPr>
        <xdr:cNvPr id="1031" name="Group 1030">
          <a:extLst>
            <a:ext uri="{FF2B5EF4-FFF2-40B4-BE49-F238E27FC236}">
              <a16:creationId xmlns:a16="http://schemas.microsoft.com/office/drawing/2014/main" id="{BB73606B-3E3C-D8EC-E124-A98B3F0C58C5}"/>
            </a:ext>
          </a:extLst>
        </xdr:cNvPr>
        <xdr:cNvGrpSpPr/>
      </xdr:nvGrpSpPr>
      <xdr:grpSpPr>
        <a:xfrm>
          <a:off x="10371633" y="8745125"/>
          <a:ext cx="2330323" cy="1407009"/>
          <a:chOff x="7342093" y="8617004"/>
          <a:chExt cx="3731944" cy="2035155"/>
        </a:xfrm>
      </xdr:grpSpPr>
      <xdr:graphicFrame macro="">
        <xdr:nvGraphicFramePr>
          <xdr:cNvPr id="1032" name="Chart 1031">
            <a:extLst>
              <a:ext uri="{FF2B5EF4-FFF2-40B4-BE49-F238E27FC236}">
                <a16:creationId xmlns:a16="http://schemas.microsoft.com/office/drawing/2014/main" id="{DA9FE85F-0966-4E16-128D-43A87CEFF6AC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033" name="Isosceles Triangle 38">
            <a:extLst>
              <a:ext uri="{FF2B5EF4-FFF2-40B4-BE49-F238E27FC236}">
                <a16:creationId xmlns:a16="http://schemas.microsoft.com/office/drawing/2014/main" id="{BEAD9758-3E02-4124-E706-2383C9E59BBB}"/>
              </a:ext>
            </a:extLst>
          </xdr:cNvPr>
          <xdr:cNvSpPr/>
        </xdr:nvSpPr>
        <xdr:spPr>
          <a:xfrm rot="16200000">
            <a:off x="7829608" y="8927790"/>
            <a:ext cx="1590069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34" name="Moon 1033">
            <a:extLst>
              <a:ext uri="{FF2B5EF4-FFF2-40B4-BE49-F238E27FC236}">
                <a16:creationId xmlns:a16="http://schemas.microsoft.com/office/drawing/2014/main" id="{B98D2CFA-103E-464B-A659-2D71A33BA920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35" name="Moon 1034">
            <a:extLst>
              <a:ext uri="{FF2B5EF4-FFF2-40B4-BE49-F238E27FC236}">
                <a16:creationId xmlns:a16="http://schemas.microsoft.com/office/drawing/2014/main" id="{37568226-75B8-24F8-2092-5766A87FDC3D}"/>
              </a:ext>
            </a:extLst>
          </xdr:cNvPr>
          <xdr:cNvSpPr/>
        </xdr:nvSpPr>
        <xdr:spPr>
          <a:xfrm rot="7200000">
            <a:off x="8534398" y="8451992"/>
            <a:ext cx="672353" cy="1201270"/>
          </a:xfrm>
          <a:prstGeom prst="moon">
            <a:avLst>
              <a:gd name="adj" fmla="val 87500"/>
            </a:avLst>
          </a:pr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36" name="Moon 1035">
            <a:extLst>
              <a:ext uri="{FF2B5EF4-FFF2-40B4-BE49-F238E27FC236}">
                <a16:creationId xmlns:a16="http://schemas.microsoft.com/office/drawing/2014/main" id="{33047C05-B0FE-AA61-F2B6-CD573D3BD424}"/>
              </a:ext>
            </a:extLst>
          </xdr:cNvPr>
          <xdr:cNvSpPr/>
        </xdr:nvSpPr>
        <xdr:spPr>
          <a:xfrm rot="11843358">
            <a:off x="8588186" y="9409320"/>
            <a:ext cx="672353" cy="1201269"/>
          </a:xfrm>
          <a:prstGeom prst="moon">
            <a:avLst>
              <a:gd name="adj" fmla="val 38900"/>
            </a:avLst>
          </a:pr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21</xdr:col>
      <xdr:colOff>567691</xdr:colOff>
      <xdr:row>46</xdr:row>
      <xdr:rowOff>96929</xdr:rowOff>
    </xdr:from>
    <xdr:to>
      <xdr:col>24</xdr:col>
      <xdr:colOff>473500</xdr:colOff>
      <xdr:row>51</xdr:row>
      <xdr:rowOff>152163</xdr:rowOff>
    </xdr:to>
    <xdr:grpSp>
      <xdr:nvGrpSpPr>
        <xdr:cNvPr id="1037" name="Group 1036">
          <a:extLst>
            <a:ext uri="{FF2B5EF4-FFF2-40B4-BE49-F238E27FC236}">
              <a16:creationId xmlns:a16="http://schemas.microsoft.com/office/drawing/2014/main" id="{381D3524-FD4B-8D53-903E-EC7D39CE1742}"/>
            </a:ext>
          </a:extLst>
        </xdr:cNvPr>
        <xdr:cNvGrpSpPr/>
      </xdr:nvGrpSpPr>
      <xdr:grpSpPr>
        <a:xfrm>
          <a:off x="13069254" y="8937320"/>
          <a:ext cx="1691746" cy="1022616"/>
          <a:chOff x="7342093" y="8617004"/>
          <a:chExt cx="3731944" cy="2035155"/>
        </a:xfrm>
      </xdr:grpSpPr>
      <xdr:graphicFrame macro="">
        <xdr:nvGraphicFramePr>
          <xdr:cNvPr id="1038" name="Chart 1037">
            <a:extLst>
              <a:ext uri="{FF2B5EF4-FFF2-40B4-BE49-F238E27FC236}">
                <a16:creationId xmlns:a16="http://schemas.microsoft.com/office/drawing/2014/main" id="{AF2FE81A-552B-AB8C-5888-31507E56A3C6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039" name="Isosceles Triangle 38">
            <a:extLst>
              <a:ext uri="{FF2B5EF4-FFF2-40B4-BE49-F238E27FC236}">
                <a16:creationId xmlns:a16="http://schemas.microsoft.com/office/drawing/2014/main" id="{89C3FF2E-9454-8929-CF7E-173A0667FB45}"/>
              </a:ext>
            </a:extLst>
          </xdr:cNvPr>
          <xdr:cNvSpPr/>
        </xdr:nvSpPr>
        <xdr:spPr>
          <a:xfrm rot="16200000">
            <a:off x="7901886" y="8927789"/>
            <a:ext cx="1445518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40" name="Moon 1039">
            <a:extLst>
              <a:ext uri="{FF2B5EF4-FFF2-40B4-BE49-F238E27FC236}">
                <a16:creationId xmlns:a16="http://schemas.microsoft.com/office/drawing/2014/main" id="{AA282E1A-8510-0BA0-16AA-46861D196540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41" name="Moon 1040">
            <a:extLst>
              <a:ext uri="{FF2B5EF4-FFF2-40B4-BE49-F238E27FC236}">
                <a16:creationId xmlns:a16="http://schemas.microsoft.com/office/drawing/2014/main" id="{CCB7D412-D376-5D84-5B5E-8022E3A72299}"/>
              </a:ext>
            </a:extLst>
          </xdr:cNvPr>
          <xdr:cNvSpPr/>
        </xdr:nvSpPr>
        <xdr:spPr>
          <a:xfrm rot="7200000">
            <a:off x="8526949" y="8524978"/>
            <a:ext cx="672353" cy="1201271"/>
          </a:xfrm>
          <a:prstGeom prst="moon">
            <a:avLst>
              <a:gd name="adj" fmla="val 87500"/>
            </a:avLst>
          </a:pr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042" name="Moon 1041">
            <a:extLst>
              <a:ext uri="{FF2B5EF4-FFF2-40B4-BE49-F238E27FC236}">
                <a16:creationId xmlns:a16="http://schemas.microsoft.com/office/drawing/2014/main" id="{CD700FC8-8188-F3BE-26D7-8769D1A89CCC}"/>
              </a:ext>
            </a:extLst>
          </xdr:cNvPr>
          <xdr:cNvSpPr/>
        </xdr:nvSpPr>
        <xdr:spPr>
          <a:xfrm rot="11843358">
            <a:off x="8558379" y="9371558"/>
            <a:ext cx="672353" cy="1201270"/>
          </a:xfrm>
          <a:prstGeom prst="moon">
            <a:avLst>
              <a:gd name="adj" fmla="val 38900"/>
            </a:avLst>
          </a:pr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 editAs="oneCell">
    <xdr:from>
      <xdr:col>18</xdr:col>
      <xdr:colOff>54428</xdr:colOff>
      <xdr:row>8</xdr:row>
      <xdr:rowOff>97971</xdr:rowOff>
    </xdr:from>
    <xdr:to>
      <xdr:col>18</xdr:col>
      <xdr:colOff>420188</xdr:colOff>
      <xdr:row>10</xdr:row>
      <xdr:rowOff>93617</xdr:rowOff>
    </xdr:to>
    <xdr:pic>
      <xdr:nvPicPr>
        <xdr:cNvPr id="14" name="Graphic 13" descr="Warehouse outline">
          <a:extLst>
            <a:ext uri="{FF2B5EF4-FFF2-40B4-BE49-F238E27FC236}">
              <a16:creationId xmlns:a16="http://schemas.microsoft.com/office/drawing/2014/main" id="{17D058FB-1319-8409-BCCE-042C40131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1027228" y="1578428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17</xdr:col>
      <xdr:colOff>97971</xdr:colOff>
      <xdr:row>7</xdr:row>
      <xdr:rowOff>152400</xdr:rowOff>
    </xdr:from>
    <xdr:to>
      <xdr:col>17</xdr:col>
      <xdr:colOff>463731</xdr:colOff>
      <xdr:row>9</xdr:row>
      <xdr:rowOff>148046</xdr:rowOff>
    </xdr:to>
    <xdr:pic>
      <xdr:nvPicPr>
        <xdr:cNvPr id="51" name="Graphic 50" descr="Research outline">
          <a:extLst>
            <a:ext uri="{FF2B5EF4-FFF2-40B4-BE49-F238E27FC236}">
              <a16:creationId xmlns:a16="http://schemas.microsoft.com/office/drawing/2014/main" id="{D08F798D-AB53-042A-65F5-988C03DA2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0461171" y="14478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18</xdr:col>
      <xdr:colOff>185056</xdr:colOff>
      <xdr:row>11</xdr:row>
      <xdr:rowOff>174170</xdr:rowOff>
    </xdr:from>
    <xdr:to>
      <xdr:col>18</xdr:col>
      <xdr:colOff>550816</xdr:colOff>
      <xdr:row>13</xdr:row>
      <xdr:rowOff>169816</xdr:rowOff>
    </xdr:to>
    <xdr:pic>
      <xdr:nvPicPr>
        <xdr:cNvPr id="60" name="Graphic 59" descr="Palette outline">
          <a:extLst>
            <a:ext uri="{FF2B5EF4-FFF2-40B4-BE49-F238E27FC236}">
              <a16:creationId xmlns:a16="http://schemas.microsoft.com/office/drawing/2014/main" id="{1F67C17F-504D-E0F5-6803-704D65A30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1157856" y="2209799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18</xdr:col>
      <xdr:colOff>163287</xdr:colOff>
      <xdr:row>14</xdr:row>
      <xdr:rowOff>163287</xdr:rowOff>
    </xdr:from>
    <xdr:to>
      <xdr:col>18</xdr:col>
      <xdr:colOff>437607</xdr:colOff>
      <xdr:row>16</xdr:row>
      <xdr:rowOff>67493</xdr:rowOff>
    </xdr:to>
    <xdr:pic>
      <xdr:nvPicPr>
        <xdr:cNvPr id="62" name="Graphic 61" descr="Roller Paint Tool outline">
          <a:extLst>
            <a:ext uri="{FF2B5EF4-FFF2-40B4-BE49-F238E27FC236}">
              <a16:creationId xmlns:a16="http://schemas.microsoft.com/office/drawing/2014/main" id="{D6349F91-F718-75B4-E8B8-98E41201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1136087" y="2754087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17</xdr:col>
      <xdr:colOff>119743</xdr:colOff>
      <xdr:row>19</xdr:row>
      <xdr:rowOff>108856</xdr:rowOff>
    </xdr:from>
    <xdr:to>
      <xdr:col>17</xdr:col>
      <xdr:colOff>485503</xdr:colOff>
      <xdr:row>21</xdr:row>
      <xdr:rowOff>104502</xdr:rowOff>
    </xdr:to>
    <xdr:pic>
      <xdr:nvPicPr>
        <xdr:cNvPr id="1043" name="Graphic 1042" descr="Inventory outline">
          <a:extLst>
            <a:ext uri="{FF2B5EF4-FFF2-40B4-BE49-F238E27FC236}">
              <a16:creationId xmlns:a16="http://schemas.microsoft.com/office/drawing/2014/main" id="{244E3E6B-4947-025E-652D-325A6922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0482943" y="3624942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18</xdr:row>
      <xdr:rowOff>174171</xdr:rowOff>
    </xdr:from>
    <xdr:to>
      <xdr:col>16</xdr:col>
      <xdr:colOff>507274</xdr:colOff>
      <xdr:row>20</xdr:row>
      <xdr:rowOff>169817</xdr:rowOff>
    </xdr:to>
    <xdr:pic>
      <xdr:nvPicPr>
        <xdr:cNvPr id="1045" name="Graphic 1044" descr="Children outline">
          <a:extLst>
            <a:ext uri="{FF2B5EF4-FFF2-40B4-BE49-F238E27FC236}">
              <a16:creationId xmlns:a16="http://schemas.microsoft.com/office/drawing/2014/main" id="{F21EA6D2-8E30-8EF6-FC50-B65E799C5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9895114" y="35052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15</xdr:col>
      <xdr:colOff>337458</xdr:colOff>
      <xdr:row>17</xdr:row>
      <xdr:rowOff>21772</xdr:rowOff>
    </xdr:from>
    <xdr:to>
      <xdr:col>16</xdr:col>
      <xdr:colOff>93618</xdr:colOff>
      <xdr:row>19</xdr:row>
      <xdr:rowOff>17417</xdr:rowOff>
    </xdr:to>
    <xdr:pic>
      <xdr:nvPicPr>
        <xdr:cNvPr id="1049" name="Graphic 1048" descr="Playbook outline">
          <a:extLst>
            <a:ext uri="{FF2B5EF4-FFF2-40B4-BE49-F238E27FC236}">
              <a16:creationId xmlns:a16="http://schemas.microsoft.com/office/drawing/2014/main" id="{A72BC958-64D6-3568-8DC7-CD0A18290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9481458" y="3167743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15</xdr:col>
      <xdr:colOff>65316</xdr:colOff>
      <xdr:row>14</xdr:row>
      <xdr:rowOff>119742</xdr:rowOff>
    </xdr:from>
    <xdr:to>
      <xdr:col>15</xdr:col>
      <xdr:colOff>431076</xdr:colOff>
      <xdr:row>16</xdr:row>
      <xdr:rowOff>115388</xdr:rowOff>
    </xdr:to>
    <xdr:pic>
      <xdr:nvPicPr>
        <xdr:cNvPr id="1051" name="Graphic 1050" descr="Cycle with people outline">
          <a:extLst>
            <a:ext uri="{FF2B5EF4-FFF2-40B4-BE49-F238E27FC236}">
              <a16:creationId xmlns:a16="http://schemas.microsoft.com/office/drawing/2014/main" id="{446A8390-3656-3586-7425-58EDF7064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9209316" y="2710542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14</xdr:col>
      <xdr:colOff>522514</xdr:colOff>
      <xdr:row>11</xdr:row>
      <xdr:rowOff>152399</xdr:rowOff>
    </xdr:from>
    <xdr:to>
      <xdr:col>15</xdr:col>
      <xdr:colOff>278674</xdr:colOff>
      <xdr:row>13</xdr:row>
      <xdr:rowOff>148045</xdr:rowOff>
    </xdr:to>
    <xdr:pic>
      <xdr:nvPicPr>
        <xdr:cNvPr id="1053" name="Graphic 1052" descr="Marketing outline">
          <a:extLst>
            <a:ext uri="{FF2B5EF4-FFF2-40B4-BE49-F238E27FC236}">
              <a16:creationId xmlns:a16="http://schemas.microsoft.com/office/drawing/2014/main" id="{1C818B17-4C02-5335-44C8-88B975404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9056914" y="2188028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15</xdr:col>
      <xdr:colOff>261258</xdr:colOff>
      <xdr:row>9</xdr:row>
      <xdr:rowOff>32658</xdr:rowOff>
    </xdr:from>
    <xdr:to>
      <xdr:col>16</xdr:col>
      <xdr:colOff>17418</xdr:colOff>
      <xdr:row>11</xdr:row>
      <xdr:rowOff>28303</xdr:rowOff>
    </xdr:to>
    <xdr:pic>
      <xdr:nvPicPr>
        <xdr:cNvPr id="1055" name="Graphic 1054" descr="Store outline">
          <a:extLst>
            <a:ext uri="{FF2B5EF4-FFF2-40B4-BE49-F238E27FC236}">
              <a16:creationId xmlns:a16="http://schemas.microsoft.com/office/drawing/2014/main" id="{68D91D27-2C5C-6FF1-132E-D005B8034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9405258" y="1698172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16</xdr:col>
      <xdr:colOff>185058</xdr:colOff>
      <xdr:row>8</xdr:row>
      <xdr:rowOff>43544</xdr:rowOff>
    </xdr:from>
    <xdr:to>
      <xdr:col>16</xdr:col>
      <xdr:colOff>550818</xdr:colOff>
      <xdr:row>10</xdr:row>
      <xdr:rowOff>39190</xdr:rowOff>
    </xdr:to>
    <xdr:pic>
      <xdr:nvPicPr>
        <xdr:cNvPr id="1057" name="Graphic 1056" descr="Presentation with org chart outline">
          <a:extLst>
            <a:ext uri="{FF2B5EF4-FFF2-40B4-BE49-F238E27FC236}">
              <a16:creationId xmlns:a16="http://schemas.microsoft.com/office/drawing/2014/main" id="{74265E54-EED3-6CAA-3C4F-133907DA5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9938658" y="1524001"/>
          <a:ext cx="365760" cy="365760"/>
        </a:xfrm>
        <a:prstGeom prst="rect">
          <a:avLst/>
        </a:prstGeom>
      </xdr:spPr>
    </xdr:pic>
    <xdr:clientData/>
  </xdr:twoCellAnchor>
  <xdr:twoCellAnchor>
    <xdr:from>
      <xdr:col>19</xdr:col>
      <xdr:colOff>511629</xdr:colOff>
      <xdr:row>7</xdr:row>
      <xdr:rowOff>174170</xdr:rowOff>
    </xdr:from>
    <xdr:to>
      <xdr:col>22</xdr:col>
      <xdr:colOff>326571</xdr:colOff>
      <xdr:row>9</xdr:row>
      <xdr:rowOff>97971</xdr:rowOff>
    </xdr:to>
    <xdr:sp macro="" textlink="Processing!N8">
      <xdr:nvSpPr>
        <xdr:cNvPr id="1058" name="TextBox 1057" hidden="1">
          <a:extLst>
            <a:ext uri="{FF2B5EF4-FFF2-40B4-BE49-F238E27FC236}">
              <a16:creationId xmlns:a16="http://schemas.microsoft.com/office/drawing/2014/main" id="{8F355E1E-04EA-65F4-2177-297105960070}"/>
            </a:ext>
          </a:extLst>
        </xdr:cNvPr>
        <xdr:cNvSpPr txBox="1"/>
      </xdr:nvSpPr>
      <xdr:spPr>
        <a:xfrm>
          <a:off x="12094029" y="1469570"/>
          <a:ext cx="1643742" cy="293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1D8E78A-18A2-4A65-9977-387B8623B437}" type="TxLink">
            <a:rPr lang="en-US" sz="1400" b="1" i="0" u="none" strike="noStrike">
              <a:solidFill>
                <a:srgbClr val="618791"/>
              </a:solidFill>
              <a:latin typeface="Aptos Narrow"/>
            </a:rPr>
            <a:pPr/>
            <a:t>Adjustments</a:t>
          </a:fld>
          <a:endParaRPr lang="ru-RU" sz="1400" b="1">
            <a:solidFill>
              <a:srgbClr val="618791"/>
            </a:solidFill>
          </a:endParaRPr>
        </a:p>
      </xdr:txBody>
    </xdr:sp>
    <xdr:clientData/>
  </xdr:twoCellAnchor>
  <xdr:twoCellAnchor>
    <xdr:from>
      <xdr:col>19</xdr:col>
      <xdr:colOff>511629</xdr:colOff>
      <xdr:row>9</xdr:row>
      <xdr:rowOff>87085</xdr:rowOff>
    </xdr:from>
    <xdr:to>
      <xdr:col>23</xdr:col>
      <xdr:colOff>478971</xdr:colOff>
      <xdr:row>17</xdr:row>
      <xdr:rowOff>54429</xdr:rowOff>
    </xdr:to>
    <xdr:sp macro="" textlink="Processing!O8">
      <xdr:nvSpPr>
        <xdr:cNvPr id="1059" name="TextBox 1058" hidden="1">
          <a:extLst>
            <a:ext uri="{FF2B5EF4-FFF2-40B4-BE49-F238E27FC236}">
              <a16:creationId xmlns:a16="http://schemas.microsoft.com/office/drawing/2014/main" id="{F98CD728-0691-B983-674A-FAE01A850D1C}"/>
            </a:ext>
          </a:extLst>
        </xdr:cNvPr>
        <xdr:cNvSpPr txBox="1"/>
      </xdr:nvSpPr>
      <xdr:spPr>
        <a:xfrm>
          <a:off x="12094029" y="1752599"/>
          <a:ext cx="2405742" cy="1447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4340C4-96F7-422C-8918-14739C3A4B2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Performance analysis and strategy adjustments – evaluating KPIs, improving processes, and planning future growth.</a:t>
          </a:fld>
          <a:endParaRPr lang="ru-RU" sz="1400" b="1">
            <a:solidFill>
              <a:srgbClr val="618791"/>
            </a:solidFill>
          </a:endParaRPr>
        </a:p>
      </xdr:txBody>
    </xdr:sp>
    <xdr:clientData/>
  </xdr:twoCellAnchor>
  <xdr:twoCellAnchor>
    <xdr:from>
      <xdr:col>15</xdr:col>
      <xdr:colOff>488374</xdr:colOff>
      <xdr:row>12</xdr:row>
      <xdr:rowOff>185056</xdr:rowOff>
    </xdr:from>
    <xdr:to>
      <xdr:col>18</xdr:col>
      <xdr:colOff>153886</xdr:colOff>
      <xdr:row>14</xdr:row>
      <xdr:rowOff>108857</xdr:rowOff>
    </xdr:to>
    <xdr:sp macro="" textlink="Processing!N8">
      <xdr:nvSpPr>
        <xdr:cNvPr id="1060" name="TextBox 1059">
          <a:extLst>
            <a:ext uri="{FF2B5EF4-FFF2-40B4-BE49-F238E27FC236}">
              <a16:creationId xmlns:a16="http://schemas.microsoft.com/office/drawing/2014/main" id="{7F000AAF-0BA1-2A02-D370-06D9B8696AA4}"/>
            </a:ext>
          </a:extLst>
        </xdr:cNvPr>
        <xdr:cNvSpPr txBox="1"/>
      </xdr:nvSpPr>
      <xdr:spPr>
        <a:xfrm>
          <a:off x="9632374" y="2405742"/>
          <a:ext cx="1494312" cy="293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1D8E78A-18A2-4A65-9977-387B8623B437}" type="TxLink">
            <a:rPr lang="en-US" sz="1400" b="1" i="0" u="none" strike="noStrike">
              <a:solidFill>
                <a:srgbClr val="618791"/>
              </a:solidFill>
              <a:latin typeface="Aptos Narrow"/>
            </a:rPr>
            <a:pPr algn="ctr"/>
            <a:t>Adjustments</a:t>
          </a:fld>
          <a:endParaRPr lang="ru-RU" sz="1400" b="1">
            <a:solidFill>
              <a:srgbClr val="618791"/>
            </a:solidFill>
          </a:endParaRPr>
        </a:p>
      </xdr:txBody>
    </xdr:sp>
    <xdr:clientData/>
  </xdr:twoCellAnchor>
  <xdr:twoCellAnchor>
    <xdr:from>
      <xdr:col>15</xdr:col>
      <xdr:colOff>488374</xdr:colOff>
      <xdr:row>11</xdr:row>
      <xdr:rowOff>119742</xdr:rowOff>
    </xdr:from>
    <xdr:to>
      <xdr:col>18</xdr:col>
      <xdr:colOff>153886</xdr:colOff>
      <xdr:row>13</xdr:row>
      <xdr:rowOff>43543</xdr:rowOff>
    </xdr:to>
    <xdr:sp macro="" textlink="Processing!N7">
      <xdr:nvSpPr>
        <xdr:cNvPr id="1061" name="TextBox 1060">
          <a:extLst>
            <a:ext uri="{FF2B5EF4-FFF2-40B4-BE49-F238E27FC236}">
              <a16:creationId xmlns:a16="http://schemas.microsoft.com/office/drawing/2014/main" id="{C9E9EB06-20CB-B837-25C8-03A7493B43EC}"/>
            </a:ext>
          </a:extLst>
        </xdr:cNvPr>
        <xdr:cNvSpPr txBox="1"/>
      </xdr:nvSpPr>
      <xdr:spPr>
        <a:xfrm>
          <a:off x="9632374" y="2155371"/>
          <a:ext cx="1494312" cy="293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BB89FC-BBA7-465C-95C8-A6C595B3D57B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Tasks</a:t>
          </a:fld>
          <a:endParaRPr lang="ru-RU" sz="1800" b="1">
            <a:solidFill>
              <a:srgbClr val="618791"/>
            </a:solidFill>
          </a:endParaRPr>
        </a:p>
      </xdr:txBody>
    </xdr:sp>
    <xdr:clientData/>
  </xdr:twoCellAnchor>
  <xdr:twoCellAnchor>
    <xdr:from>
      <xdr:col>15</xdr:col>
      <xdr:colOff>466602</xdr:colOff>
      <xdr:row>14</xdr:row>
      <xdr:rowOff>108857</xdr:rowOff>
    </xdr:from>
    <xdr:to>
      <xdr:col>18</xdr:col>
      <xdr:colOff>132114</xdr:colOff>
      <xdr:row>16</xdr:row>
      <xdr:rowOff>32658</xdr:rowOff>
    </xdr:to>
    <xdr:sp macro="" textlink="Processing!N9">
      <xdr:nvSpPr>
        <xdr:cNvPr id="1062" name="TextBox 1061">
          <a:extLst>
            <a:ext uri="{FF2B5EF4-FFF2-40B4-BE49-F238E27FC236}">
              <a16:creationId xmlns:a16="http://schemas.microsoft.com/office/drawing/2014/main" id="{E2FECD59-6CBF-A074-9615-DAF17109C020}"/>
            </a:ext>
          </a:extLst>
        </xdr:cNvPr>
        <xdr:cNvSpPr txBox="1"/>
      </xdr:nvSpPr>
      <xdr:spPr>
        <a:xfrm>
          <a:off x="9610602" y="2699657"/>
          <a:ext cx="1494312" cy="293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3232A9-8C68-4F9C-A329-2A4BC6876E16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 $47,793 </a:t>
          </a:fld>
          <a:endParaRPr lang="ru-RU" sz="3200" b="1">
            <a:solidFill>
              <a:srgbClr val="618791"/>
            </a:solidFill>
          </a:endParaRPr>
        </a:p>
      </xdr:txBody>
    </xdr:sp>
    <xdr:clientData/>
  </xdr:twoCellAnchor>
  <xdr:twoCellAnchor editAs="oneCell">
    <xdr:from>
      <xdr:col>17</xdr:col>
      <xdr:colOff>533400</xdr:colOff>
      <xdr:row>17</xdr:row>
      <xdr:rowOff>43543</xdr:rowOff>
    </xdr:from>
    <xdr:to>
      <xdr:col>18</xdr:col>
      <xdr:colOff>289560</xdr:colOff>
      <xdr:row>19</xdr:row>
      <xdr:rowOff>39188</xdr:rowOff>
    </xdr:to>
    <xdr:pic>
      <xdr:nvPicPr>
        <xdr:cNvPr id="1063" name="Graphic 1062" descr="Register outline">
          <a:extLst>
            <a:ext uri="{FF2B5EF4-FFF2-40B4-BE49-F238E27FC236}">
              <a16:creationId xmlns:a16="http://schemas.microsoft.com/office/drawing/2014/main" id="{84BAC863-F836-45C0-B06A-B3EAD7D5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>
          <a:off x="10896600" y="3189514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380999</xdr:colOff>
      <xdr:row>8</xdr:row>
      <xdr:rowOff>163286</xdr:rowOff>
    </xdr:from>
    <xdr:to>
      <xdr:col>8</xdr:col>
      <xdr:colOff>228599</xdr:colOff>
      <xdr:row>11</xdr:row>
      <xdr:rowOff>65314</xdr:rowOff>
    </xdr:to>
    <xdr:pic>
      <xdr:nvPicPr>
        <xdr:cNvPr id="1065" name="Graphic 1064" descr="Fruit bowl outline">
          <a:extLst>
            <a:ext uri="{FF2B5EF4-FFF2-40B4-BE49-F238E27FC236}">
              <a16:creationId xmlns:a16="http://schemas.microsoft.com/office/drawing/2014/main" id="{65D41207-BF15-38EA-4087-A79FC3941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4648199" y="1643743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217714</xdr:colOff>
      <xdr:row>17</xdr:row>
      <xdr:rowOff>21772</xdr:rowOff>
    </xdr:from>
    <xdr:to>
      <xdr:col>10</xdr:col>
      <xdr:colOff>65314</xdr:colOff>
      <xdr:row>19</xdr:row>
      <xdr:rowOff>108857</xdr:rowOff>
    </xdr:to>
    <xdr:pic>
      <xdr:nvPicPr>
        <xdr:cNvPr id="1067" name="Graphic 1066" descr="Computer outline">
          <a:extLst>
            <a:ext uri="{FF2B5EF4-FFF2-40B4-BE49-F238E27FC236}">
              <a16:creationId xmlns:a16="http://schemas.microsoft.com/office/drawing/2014/main" id="{D78DD182-148C-3475-D234-70094382A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96DAC541-7B7A-43D3-8B79-37D633B846F1}">
              <asvg:svgBlip xmlns:asvg="http://schemas.microsoft.com/office/drawing/2016/SVG/main" r:embed="rId39"/>
            </a:ext>
          </a:extLst>
        </a:blip>
        <a:stretch>
          <a:fillRect/>
        </a:stretch>
      </xdr:blipFill>
      <xdr:spPr>
        <a:xfrm>
          <a:off x="5704114" y="3167743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119743</xdr:colOff>
      <xdr:row>27</xdr:row>
      <xdr:rowOff>65314</xdr:rowOff>
    </xdr:from>
    <xdr:to>
      <xdr:col>9</xdr:col>
      <xdr:colOff>576943</xdr:colOff>
      <xdr:row>29</xdr:row>
      <xdr:rowOff>152400</xdr:rowOff>
    </xdr:to>
    <xdr:pic>
      <xdr:nvPicPr>
        <xdr:cNvPr id="1071" name="Graphic 1070" descr="Suit outline">
          <a:extLst>
            <a:ext uri="{FF2B5EF4-FFF2-40B4-BE49-F238E27FC236}">
              <a16:creationId xmlns:a16="http://schemas.microsoft.com/office/drawing/2014/main" id="{F1950A3C-6311-6517-1BFC-75A65559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96DAC541-7B7A-43D3-8B79-37D633B846F1}">
              <asvg:svgBlip xmlns:asvg="http://schemas.microsoft.com/office/drawing/2016/SVG/main" r:embed="rId41"/>
            </a:ext>
          </a:extLst>
        </a:blip>
        <a:stretch>
          <a:fillRect/>
        </a:stretch>
      </xdr:blipFill>
      <xdr:spPr>
        <a:xfrm>
          <a:off x="5606143" y="5061857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34</xdr:row>
      <xdr:rowOff>152400</xdr:rowOff>
    </xdr:from>
    <xdr:to>
      <xdr:col>8</xdr:col>
      <xdr:colOff>0</xdr:colOff>
      <xdr:row>37</xdr:row>
      <xdr:rowOff>54429</xdr:rowOff>
    </xdr:to>
    <xdr:pic>
      <xdr:nvPicPr>
        <xdr:cNvPr id="1073" name="Graphic 1072" descr="Home1 outline">
          <a:extLst>
            <a:ext uri="{FF2B5EF4-FFF2-40B4-BE49-F238E27FC236}">
              <a16:creationId xmlns:a16="http://schemas.microsoft.com/office/drawing/2014/main" id="{FF9A78FB-7887-811A-2B8F-09AFBB55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96DAC541-7B7A-43D3-8B79-37D633B846F1}">
              <asvg:svgBlip xmlns:asvg="http://schemas.microsoft.com/office/drawing/2016/SVG/main" r:embed="rId43"/>
            </a:ext>
          </a:extLst>
        </a:blip>
        <a:stretch>
          <a:fillRect/>
        </a:stretch>
      </xdr:blipFill>
      <xdr:spPr>
        <a:xfrm>
          <a:off x="4419600" y="6444343"/>
          <a:ext cx="457200" cy="457200"/>
        </a:xfrm>
        <a:prstGeom prst="rect">
          <a:avLst/>
        </a:prstGeom>
      </xdr:spPr>
    </xdr:pic>
    <xdr:clientData/>
  </xdr:twoCellAnchor>
  <xdr:twoCellAnchor>
    <xdr:from>
      <xdr:col>8</xdr:col>
      <xdr:colOff>433257</xdr:colOff>
      <xdr:row>8</xdr:row>
      <xdr:rowOff>90656</xdr:rowOff>
    </xdr:from>
    <xdr:to>
      <xdr:col>11</xdr:col>
      <xdr:colOff>341817</xdr:colOff>
      <xdr:row>11</xdr:row>
      <xdr:rowOff>133681</xdr:rowOff>
    </xdr:to>
    <xdr:graphicFrame macro="">
      <xdr:nvGraphicFramePr>
        <xdr:cNvPr id="1075" name="Chart 1074">
          <a:extLst>
            <a:ext uri="{FF2B5EF4-FFF2-40B4-BE49-F238E27FC236}">
              <a16:creationId xmlns:a16="http://schemas.microsoft.com/office/drawing/2014/main" id="{A73D16CA-F198-4A84-94DC-F88D9D55E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10</xdr:col>
      <xdr:colOff>283698</xdr:colOff>
      <xdr:row>16</xdr:row>
      <xdr:rowOff>122507</xdr:rowOff>
    </xdr:from>
    <xdr:to>
      <xdr:col>13</xdr:col>
      <xdr:colOff>192258</xdr:colOff>
      <xdr:row>19</xdr:row>
      <xdr:rowOff>162599</xdr:rowOff>
    </xdr:to>
    <xdr:graphicFrame macro="">
      <xdr:nvGraphicFramePr>
        <xdr:cNvPr id="1077" name="Chart 1076">
          <a:extLst>
            <a:ext uri="{FF2B5EF4-FFF2-40B4-BE49-F238E27FC236}">
              <a16:creationId xmlns:a16="http://schemas.microsoft.com/office/drawing/2014/main" id="{10672D4D-AF0F-47FA-911B-46B951102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10</xdr:col>
      <xdr:colOff>198120</xdr:colOff>
      <xdr:row>26</xdr:row>
      <xdr:rowOff>167640</xdr:rowOff>
    </xdr:from>
    <xdr:to>
      <xdr:col>13</xdr:col>
      <xdr:colOff>106680</xdr:colOff>
      <xdr:row>30</xdr:row>
      <xdr:rowOff>21336</xdr:rowOff>
    </xdr:to>
    <xdr:graphicFrame macro="">
      <xdr:nvGraphicFramePr>
        <xdr:cNvPr id="1078" name="Chart 1077">
          <a:extLst>
            <a:ext uri="{FF2B5EF4-FFF2-40B4-BE49-F238E27FC236}">
              <a16:creationId xmlns:a16="http://schemas.microsoft.com/office/drawing/2014/main" id="{813F3D5F-E331-4E2F-9D1F-EB45AC92F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</xdr:col>
      <xdr:colOff>236220</xdr:colOff>
      <xdr:row>34</xdr:row>
      <xdr:rowOff>106680</xdr:rowOff>
    </xdr:from>
    <xdr:to>
      <xdr:col>11</xdr:col>
      <xdr:colOff>141306</xdr:colOff>
      <xdr:row>37</xdr:row>
      <xdr:rowOff>134547</xdr:rowOff>
    </xdr:to>
    <xdr:graphicFrame macro="">
      <xdr:nvGraphicFramePr>
        <xdr:cNvPr id="1079" name="Chart 1078">
          <a:extLst>
            <a:ext uri="{FF2B5EF4-FFF2-40B4-BE49-F238E27FC236}">
              <a16:creationId xmlns:a16="http://schemas.microsoft.com/office/drawing/2014/main" id="{F916A62C-EC21-4113-AD7F-4D8871525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</xdr:col>
      <xdr:colOff>397329</xdr:colOff>
      <xdr:row>7</xdr:row>
      <xdr:rowOff>181790</xdr:rowOff>
    </xdr:from>
    <xdr:to>
      <xdr:col>10</xdr:col>
      <xdr:colOff>502920</xdr:colOff>
      <xdr:row>9</xdr:row>
      <xdr:rowOff>105591</xdr:rowOff>
    </xdr:to>
    <xdr:sp macro="" textlink="Processing!$A$22">
      <xdr:nvSpPr>
        <xdr:cNvPr id="1080" name="TextBox 1079">
          <a:extLst>
            <a:ext uri="{FF2B5EF4-FFF2-40B4-BE49-F238E27FC236}">
              <a16:creationId xmlns:a16="http://schemas.microsoft.com/office/drawing/2014/main" id="{E78CB8C8-B528-46CB-979F-2BDEF7C5388A}"/>
            </a:ext>
          </a:extLst>
        </xdr:cNvPr>
        <xdr:cNvSpPr txBox="1"/>
      </xdr:nvSpPr>
      <xdr:spPr>
        <a:xfrm>
          <a:off x="5274129" y="1461950"/>
          <a:ext cx="132479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0834D6ED-D8D4-4445-8934-E9B84E2AC8DD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l"/>
            <a:t>Fruit &amp;  Veg</a:t>
          </a:fld>
          <a:endParaRPr lang="ru-RU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403860</xdr:colOff>
      <xdr:row>6</xdr:row>
      <xdr:rowOff>106680</xdr:rowOff>
    </xdr:from>
    <xdr:to>
      <xdr:col>11</xdr:col>
      <xdr:colOff>251460</xdr:colOff>
      <xdr:row>9</xdr:row>
      <xdr:rowOff>15240</xdr:rowOff>
    </xdr:to>
    <xdr:sp macro="" textlink="">
      <xdr:nvSpPr>
        <xdr:cNvPr id="1083" name="Oval 1082">
          <a:extLst>
            <a:ext uri="{FF2B5EF4-FFF2-40B4-BE49-F238E27FC236}">
              <a16:creationId xmlns:a16="http://schemas.microsoft.com/office/drawing/2014/main" id="{24142F6D-85C2-676E-2D17-9A55F1925D71}"/>
            </a:ext>
          </a:extLst>
        </xdr:cNvPr>
        <xdr:cNvSpPr/>
      </xdr:nvSpPr>
      <xdr:spPr>
        <a:xfrm>
          <a:off x="6499860" y="120396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243302</xdr:colOff>
      <xdr:row>6</xdr:row>
      <xdr:rowOff>174170</xdr:rowOff>
    </xdr:from>
    <xdr:to>
      <xdr:col>11</xdr:col>
      <xdr:colOff>440333</xdr:colOff>
      <xdr:row>8</xdr:row>
      <xdr:rowOff>97971</xdr:rowOff>
    </xdr:to>
    <xdr:sp macro="" textlink="Processing!$D$22">
      <xdr:nvSpPr>
        <xdr:cNvPr id="1082" name="TextBox 1081">
          <a:extLst>
            <a:ext uri="{FF2B5EF4-FFF2-40B4-BE49-F238E27FC236}">
              <a16:creationId xmlns:a16="http://schemas.microsoft.com/office/drawing/2014/main" id="{377D2F28-7141-E3E4-20AC-687BCCE97575}"/>
            </a:ext>
          </a:extLst>
        </xdr:cNvPr>
        <xdr:cNvSpPr txBox="1"/>
      </xdr:nvSpPr>
      <xdr:spPr>
        <a:xfrm>
          <a:off x="6339302" y="127145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9C40FB-E999-484F-8665-5B2B0D626423}" type="TxLink">
            <a:rPr lang="en-US" sz="1400" b="1" i="0" u="none" strike="noStrike">
              <a:solidFill>
                <a:srgbClr val="7EA9AD"/>
              </a:solidFill>
              <a:latin typeface="Aptos Narrow"/>
            </a:rPr>
            <a:pPr algn="ctr"/>
            <a:t>100%</a:t>
          </a:fld>
          <a:endParaRPr lang="ru-RU" sz="2400" b="1">
            <a:solidFill>
              <a:srgbClr val="7EA9AD"/>
            </a:solidFill>
          </a:endParaRPr>
        </a:p>
      </xdr:txBody>
    </xdr:sp>
    <xdr:clientData/>
  </xdr:twoCellAnchor>
  <xdr:twoCellAnchor>
    <xdr:from>
      <xdr:col>12</xdr:col>
      <xdr:colOff>236220</xdr:colOff>
      <xdr:row>14</xdr:row>
      <xdr:rowOff>160020</xdr:rowOff>
    </xdr:from>
    <xdr:to>
      <xdr:col>13</xdr:col>
      <xdr:colOff>83820</xdr:colOff>
      <xdr:row>17</xdr:row>
      <xdr:rowOff>68580</xdr:rowOff>
    </xdr:to>
    <xdr:sp macro="" textlink="">
      <xdr:nvSpPr>
        <xdr:cNvPr id="1084" name="Oval 1083">
          <a:extLst>
            <a:ext uri="{FF2B5EF4-FFF2-40B4-BE49-F238E27FC236}">
              <a16:creationId xmlns:a16="http://schemas.microsoft.com/office/drawing/2014/main" id="{79D59069-7D47-A4B2-7A04-E61566793FF4}"/>
            </a:ext>
          </a:extLst>
        </xdr:cNvPr>
        <xdr:cNvSpPr/>
      </xdr:nvSpPr>
      <xdr:spPr>
        <a:xfrm>
          <a:off x="7551420" y="272034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75662</xdr:colOff>
      <xdr:row>15</xdr:row>
      <xdr:rowOff>44630</xdr:rowOff>
    </xdr:from>
    <xdr:to>
      <xdr:col>13</xdr:col>
      <xdr:colOff>272693</xdr:colOff>
      <xdr:row>16</xdr:row>
      <xdr:rowOff>151311</xdr:rowOff>
    </xdr:to>
    <xdr:sp macro="" textlink="Processing!$D$23">
      <xdr:nvSpPr>
        <xdr:cNvPr id="1085" name="TextBox 1084">
          <a:extLst>
            <a:ext uri="{FF2B5EF4-FFF2-40B4-BE49-F238E27FC236}">
              <a16:creationId xmlns:a16="http://schemas.microsoft.com/office/drawing/2014/main" id="{82AF47FF-5FF4-7C37-5DE3-A6333D165B35}"/>
            </a:ext>
          </a:extLst>
        </xdr:cNvPr>
        <xdr:cNvSpPr txBox="1"/>
      </xdr:nvSpPr>
      <xdr:spPr>
        <a:xfrm>
          <a:off x="7390862" y="278783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F837C54-8865-4296-91F2-DDDEC6C0035D}" type="TxLink">
            <a:rPr lang="en-US" sz="1400" b="1" i="0" u="none" strike="noStrike">
              <a:solidFill>
                <a:srgbClr val="7EA9AD"/>
              </a:solidFill>
              <a:latin typeface="Aptos Narrow"/>
              <a:ea typeface="+mn-ea"/>
              <a:cs typeface="+mn-cs"/>
            </a:rPr>
            <a:pPr marL="0" indent="0" algn="ctr"/>
            <a:t>100%</a:t>
          </a:fld>
          <a:endParaRPr lang="ru-RU" sz="1400" b="1" i="0" u="none" strike="noStrike">
            <a:solidFill>
              <a:srgbClr val="7EA9AD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167640</xdr:colOff>
      <xdr:row>25</xdr:row>
      <xdr:rowOff>7620</xdr:rowOff>
    </xdr:from>
    <xdr:to>
      <xdr:col>13</xdr:col>
      <xdr:colOff>15240</xdr:colOff>
      <xdr:row>27</xdr:row>
      <xdr:rowOff>99060</xdr:rowOff>
    </xdr:to>
    <xdr:sp macro="" textlink="">
      <xdr:nvSpPr>
        <xdr:cNvPr id="1086" name="Oval 1085">
          <a:extLst>
            <a:ext uri="{FF2B5EF4-FFF2-40B4-BE49-F238E27FC236}">
              <a16:creationId xmlns:a16="http://schemas.microsoft.com/office/drawing/2014/main" id="{5136422B-4ABC-25F2-AE94-20660359FD78}"/>
            </a:ext>
          </a:extLst>
        </xdr:cNvPr>
        <xdr:cNvSpPr/>
      </xdr:nvSpPr>
      <xdr:spPr>
        <a:xfrm>
          <a:off x="7482840" y="457962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7082</xdr:colOff>
      <xdr:row>25</xdr:row>
      <xdr:rowOff>75110</xdr:rowOff>
    </xdr:from>
    <xdr:to>
      <xdr:col>13</xdr:col>
      <xdr:colOff>204113</xdr:colOff>
      <xdr:row>26</xdr:row>
      <xdr:rowOff>181791</xdr:rowOff>
    </xdr:to>
    <xdr:sp macro="" textlink="Processing!$D$24">
      <xdr:nvSpPr>
        <xdr:cNvPr id="1087" name="TextBox 1086">
          <a:extLst>
            <a:ext uri="{FF2B5EF4-FFF2-40B4-BE49-F238E27FC236}">
              <a16:creationId xmlns:a16="http://schemas.microsoft.com/office/drawing/2014/main" id="{58E3BE35-7922-8284-DF16-79A20BCC69BF}"/>
            </a:ext>
          </a:extLst>
        </xdr:cNvPr>
        <xdr:cNvSpPr txBox="1"/>
      </xdr:nvSpPr>
      <xdr:spPr>
        <a:xfrm>
          <a:off x="7322282" y="464711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281496A-D021-4562-8961-CA47C57A733A}" type="TxLink">
            <a:rPr lang="en-US" sz="1400" b="1" i="0" u="none" strike="noStrike">
              <a:solidFill>
                <a:srgbClr val="7EA9AD"/>
              </a:solidFill>
              <a:latin typeface="Aptos Narrow"/>
              <a:ea typeface="+mn-ea"/>
              <a:cs typeface="+mn-cs"/>
            </a:rPr>
            <a:pPr marL="0" indent="0" algn="ctr"/>
            <a:t>37%</a:t>
          </a:fld>
          <a:endParaRPr lang="ru-RU" sz="1400" b="1" i="0" u="none" strike="noStrike">
            <a:solidFill>
              <a:srgbClr val="7EA9AD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175260</xdr:colOff>
      <xdr:row>32</xdr:row>
      <xdr:rowOff>121920</xdr:rowOff>
    </xdr:from>
    <xdr:to>
      <xdr:col>11</xdr:col>
      <xdr:colOff>22860</xdr:colOff>
      <xdr:row>35</xdr:row>
      <xdr:rowOff>30480</xdr:rowOff>
    </xdr:to>
    <xdr:sp macro="" textlink="">
      <xdr:nvSpPr>
        <xdr:cNvPr id="1088" name="Oval 1087">
          <a:extLst>
            <a:ext uri="{FF2B5EF4-FFF2-40B4-BE49-F238E27FC236}">
              <a16:creationId xmlns:a16="http://schemas.microsoft.com/office/drawing/2014/main" id="{C7457F13-AAE4-3ADD-056D-CF2EBF3ACCCA}"/>
            </a:ext>
          </a:extLst>
        </xdr:cNvPr>
        <xdr:cNvSpPr/>
      </xdr:nvSpPr>
      <xdr:spPr>
        <a:xfrm>
          <a:off x="6271260" y="597408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14702</xdr:colOff>
      <xdr:row>33</xdr:row>
      <xdr:rowOff>6530</xdr:rowOff>
    </xdr:from>
    <xdr:to>
      <xdr:col>11</xdr:col>
      <xdr:colOff>211733</xdr:colOff>
      <xdr:row>34</xdr:row>
      <xdr:rowOff>113211</xdr:rowOff>
    </xdr:to>
    <xdr:sp macro="" textlink="Processing!$D$25">
      <xdr:nvSpPr>
        <xdr:cNvPr id="1089" name="TextBox 1088">
          <a:extLst>
            <a:ext uri="{FF2B5EF4-FFF2-40B4-BE49-F238E27FC236}">
              <a16:creationId xmlns:a16="http://schemas.microsoft.com/office/drawing/2014/main" id="{FFDD9E22-4922-DA1F-61B1-C668E8CCC10A}"/>
            </a:ext>
          </a:extLst>
        </xdr:cNvPr>
        <xdr:cNvSpPr txBox="1"/>
      </xdr:nvSpPr>
      <xdr:spPr>
        <a:xfrm>
          <a:off x="6110702" y="604157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CB52438-B443-431B-B5BD-B918D8F1B770}" type="TxLink">
            <a:rPr lang="en-US" sz="1400" b="1" i="0" u="none" strike="noStrike">
              <a:solidFill>
                <a:srgbClr val="7EA9AD"/>
              </a:solidFill>
              <a:latin typeface="Aptos Narrow"/>
              <a:ea typeface="+mn-ea"/>
              <a:cs typeface="+mn-cs"/>
            </a:rPr>
            <a:pPr marL="0" indent="0" algn="ctr"/>
            <a:t>45%</a:t>
          </a:fld>
          <a:endParaRPr lang="ru-RU" sz="1400" b="1" i="0" u="none" strike="noStrike">
            <a:solidFill>
              <a:srgbClr val="7EA9AD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237309</xdr:colOff>
      <xdr:row>16</xdr:row>
      <xdr:rowOff>37010</xdr:rowOff>
    </xdr:from>
    <xdr:to>
      <xdr:col>12</xdr:col>
      <xdr:colOff>342900</xdr:colOff>
      <xdr:row>17</xdr:row>
      <xdr:rowOff>143691</xdr:rowOff>
    </xdr:to>
    <xdr:sp macro="" textlink="Processing!$A$23">
      <xdr:nvSpPr>
        <xdr:cNvPr id="1090" name="TextBox 1089">
          <a:extLst>
            <a:ext uri="{FF2B5EF4-FFF2-40B4-BE49-F238E27FC236}">
              <a16:creationId xmlns:a16="http://schemas.microsoft.com/office/drawing/2014/main" id="{9412AFE6-2428-BE05-7E7F-DE5C2127A9A4}"/>
            </a:ext>
          </a:extLst>
        </xdr:cNvPr>
        <xdr:cNvSpPr txBox="1"/>
      </xdr:nvSpPr>
      <xdr:spPr>
        <a:xfrm>
          <a:off x="6333309" y="2963090"/>
          <a:ext cx="132479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3D651BF-B98F-4EFB-8CC3-46C65004E7F1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Electronics</a:t>
          </a:fld>
          <a:endParaRPr lang="ru-RU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116477</xdr:colOff>
      <xdr:row>26</xdr:row>
      <xdr:rowOff>85995</xdr:rowOff>
    </xdr:from>
    <xdr:to>
      <xdr:col>12</xdr:col>
      <xdr:colOff>380999</xdr:colOff>
      <xdr:row>28</xdr:row>
      <xdr:rowOff>42618</xdr:rowOff>
    </xdr:to>
    <xdr:sp macro="" textlink="Processing!$A$24">
      <xdr:nvSpPr>
        <xdr:cNvPr id="1091" name="TextBox 1090">
          <a:extLst>
            <a:ext uri="{FF2B5EF4-FFF2-40B4-BE49-F238E27FC236}">
              <a16:creationId xmlns:a16="http://schemas.microsoft.com/office/drawing/2014/main" id="{F656344A-9947-48C8-4155-2DFD35C449AC}"/>
            </a:ext>
          </a:extLst>
        </xdr:cNvPr>
        <xdr:cNvSpPr txBox="1"/>
      </xdr:nvSpPr>
      <xdr:spPr>
        <a:xfrm>
          <a:off x="6212477" y="4897481"/>
          <a:ext cx="1483722" cy="326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E7CDBD3-FDD8-4211-B031-91CEECF774EB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Clothing &amp; Style</a:t>
          </a:fld>
          <a:endParaRPr lang="ru-RU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161109</xdr:colOff>
      <xdr:row>34</xdr:row>
      <xdr:rowOff>14150</xdr:rowOff>
    </xdr:from>
    <xdr:to>
      <xdr:col>10</xdr:col>
      <xdr:colOff>266700</xdr:colOff>
      <xdr:row>35</xdr:row>
      <xdr:rowOff>120831</xdr:rowOff>
    </xdr:to>
    <xdr:sp macro="" textlink="Processing!$A$25">
      <xdr:nvSpPr>
        <xdr:cNvPr id="1092" name="TextBox 1091">
          <a:extLst>
            <a:ext uri="{FF2B5EF4-FFF2-40B4-BE49-F238E27FC236}">
              <a16:creationId xmlns:a16="http://schemas.microsoft.com/office/drawing/2014/main" id="{3D99EE17-3D0A-E1B2-CE59-0DC6EBA7DDBE}"/>
            </a:ext>
          </a:extLst>
        </xdr:cNvPr>
        <xdr:cNvSpPr txBox="1"/>
      </xdr:nvSpPr>
      <xdr:spPr>
        <a:xfrm>
          <a:off x="5037909" y="6232070"/>
          <a:ext cx="132479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A67B46-D499-4B8D-9619-B65252E48172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Home &amp; Living</a:t>
          </a:fld>
          <a:endParaRPr lang="ru-RU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465909</xdr:colOff>
      <xdr:row>10</xdr:row>
      <xdr:rowOff>52250</xdr:rowOff>
    </xdr:from>
    <xdr:to>
      <xdr:col>11</xdr:col>
      <xdr:colOff>160020</xdr:colOff>
      <xdr:row>12</xdr:row>
      <xdr:rowOff>167640</xdr:rowOff>
    </xdr:to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726D2F66-9482-72D3-B235-7A4F0FD15A4D}"/>
            </a:ext>
          </a:extLst>
        </xdr:cNvPr>
        <xdr:cNvSpPr txBox="1"/>
      </xdr:nvSpPr>
      <xdr:spPr>
        <a:xfrm>
          <a:off x="5342709" y="1881050"/>
          <a:ext cx="1522911" cy="48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 b="0">
              <a:solidFill>
                <a:srgbClr val="2E4747"/>
              </a:solidFill>
            </a:rPr>
            <a:t>Fresh produce for healthy living and meals</a:t>
          </a:r>
          <a:r>
            <a:rPr lang="uk-UA" sz="900" b="0">
              <a:solidFill>
                <a:srgbClr val="2E4747"/>
              </a:solidFill>
            </a:rPr>
            <a:t>.</a:t>
          </a:r>
          <a:endParaRPr lang="en-US" sz="900" b="0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10</xdr:col>
      <xdr:colOff>313509</xdr:colOff>
      <xdr:row>18</xdr:row>
      <xdr:rowOff>90350</xdr:rowOff>
    </xdr:from>
    <xdr:to>
      <xdr:col>13</xdr:col>
      <xdr:colOff>7620</xdr:colOff>
      <xdr:row>21</xdr:row>
      <xdr:rowOff>22860</xdr:rowOff>
    </xdr:to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FADF5277-8B5D-A82A-92A6-4EBB5EB7E3A2}"/>
            </a:ext>
          </a:extLst>
        </xdr:cNvPr>
        <xdr:cNvSpPr txBox="1"/>
      </xdr:nvSpPr>
      <xdr:spPr>
        <a:xfrm>
          <a:off x="6409509" y="3382190"/>
          <a:ext cx="1522911" cy="48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900" b="0">
              <a:solidFill>
                <a:srgbClr val="2E4747"/>
              </a:solidFill>
              <a:latin typeface="+mn-lt"/>
              <a:ea typeface="+mn-ea"/>
              <a:cs typeface="+mn-cs"/>
            </a:rPr>
            <a:t>Latest gadgets and tech for everyday use.</a:t>
          </a:r>
        </a:p>
      </xdr:txBody>
    </xdr:sp>
    <xdr:clientData/>
  </xdr:twoCellAnchor>
  <xdr:twoCellAnchor>
    <xdr:from>
      <xdr:col>10</xdr:col>
      <xdr:colOff>234043</xdr:colOff>
      <xdr:row>28</xdr:row>
      <xdr:rowOff>136070</xdr:rowOff>
    </xdr:from>
    <xdr:to>
      <xdr:col>12</xdr:col>
      <xdr:colOff>537754</xdr:colOff>
      <xdr:row>31</xdr:row>
      <xdr:rowOff>68580</xdr:rowOff>
    </xdr:to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8E5E9B23-F066-4847-BD5A-0D053B5BB6BC}"/>
            </a:ext>
          </a:extLst>
        </xdr:cNvPr>
        <xdr:cNvSpPr txBox="1"/>
      </xdr:nvSpPr>
      <xdr:spPr>
        <a:xfrm>
          <a:off x="6330043" y="5317670"/>
          <a:ext cx="1522911" cy="487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900" b="0">
              <a:solidFill>
                <a:srgbClr val="2E4747"/>
              </a:solidFill>
              <a:latin typeface="+mn-lt"/>
              <a:ea typeface="+mn-ea"/>
              <a:cs typeface="+mn-cs"/>
            </a:rPr>
            <a:t>Fashion-forward apparel for every occasion.</a:t>
          </a:r>
        </a:p>
      </xdr:txBody>
    </xdr:sp>
    <xdr:clientData/>
  </xdr:twoCellAnchor>
  <xdr:twoCellAnchor>
    <xdr:from>
      <xdr:col>8</xdr:col>
      <xdr:colOff>272143</xdr:colOff>
      <xdr:row>36</xdr:row>
      <xdr:rowOff>64224</xdr:rowOff>
    </xdr:from>
    <xdr:to>
      <xdr:col>11</xdr:col>
      <xdr:colOff>57694</xdr:colOff>
      <xdr:row>38</xdr:row>
      <xdr:rowOff>181792</xdr:rowOff>
    </xdr:to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1D5556B1-31C8-EB7C-89A5-C0CD02E6C5AA}"/>
            </a:ext>
          </a:extLst>
        </xdr:cNvPr>
        <xdr:cNvSpPr txBox="1"/>
      </xdr:nvSpPr>
      <xdr:spPr>
        <a:xfrm>
          <a:off x="5148943" y="6726281"/>
          <a:ext cx="1614351" cy="4876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900" b="0">
              <a:solidFill>
                <a:srgbClr val="2E4747"/>
              </a:solidFill>
              <a:latin typeface="+mn-lt"/>
              <a:ea typeface="+mn-ea"/>
              <a:cs typeface="+mn-cs"/>
            </a:rPr>
            <a:t>Quality products comfortable and stylish home.</a:t>
          </a:r>
        </a:p>
      </xdr:txBody>
    </xdr:sp>
    <xdr:clientData/>
  </xdr:twoCellAnchor>
  <xdr:twoCellAnchor>
    <xdr:from>
      <xdr:col>26</xdr:col>
      <xdr:colOff>195942</xdr:colOff>
      <xdr:row>12</xdr:row>
      <xdr:rowOff>32656</xdr:rowOff>
    </xdr:from>
    <xdr:to>
      <xdr:col>29</xdr:col>
      <xdr:colOff>10884</xdr:colOff>
      <xdr:row>14</xdr:row>
      <xdr:rowOff>87086</xdr:rowOff>
    </xdr:to>
    <xdr:sp macro="" textlink="Processing!N4">
      <xdr:nvSpPr>
        <xdr:cNvPr id="1097" name="TextBox 1096">
          <a:extLst>
            <a:ext uri="{FF2B5EF4-FFF2-40B4-BE49-F238E27FC236}">
              <a16:creationId xmlns:a16="http://schemas.microsoft.com/office/drawing/2014/main" id="{113C54A8-0EEF-4609-B4A2-77CA896AC9D4}"/>
            </a:ext>
          </a:extLst>
        </xdr:cNvPr>
        <xdr:cNvSpPr txBox="1"/>
      </xdr:nvSpPr>
      <xdr:spPr>
        <a:xfrm>
          <a:off x="16045542" y="2253342"/>
          <a:ext cx="1643742" cy="424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71F0B0D-4EED-49A7-8091-1B4101F87C7A}" type="TxLink">
            <a:rPr lang="en-US" sz="2800" b="0" i="0" u="none" strike="noStrike">
              <a:solidFill>
                <a:srgbClr val="2E4747"/>
              </a:solidFill>
              <a:latin typeface="Aptos Narrow"/>
            </a:rPr>
            <a:pPr algn="ctr"/>
            <a:t>98%</a:t>
          </a:fld>
          <a:endParaRPr lang="ru-RU" sz="3600" b="1">
            <a:solidFill>
              <a:srgbClr val="2E4747"/>
            </a:solidFill>
          </a:endParaRPr>
        </a:p>
      </xdr:txBody>
    </xdr:sp>
    <xdr:clientData/>
  </xdr:twoCellAnchor>
  <xdr:twoCellAnchor>
    <xdr:from>
      <xdr:col>26</xdr:col>
      <xdr:colOff>256358</xdr:colOff>
      <xdr:row>14</xdr:row>
      <xdr:rowOff>137923</xdr:rowOff>
    </xdr:from>
    <xdr:to>
      <xdr:col>28</xdr:col>
      <xdr:colOff>560069</xdr:colOff>
      <xdr:row>16</xdr:row>
      <xdr:rowOff>169053</xdr:rowOff>
    </xdr:to>
    <xdr:sp macro="" textlink="Processing!O4">
      <xdr:nvSpPr>
        <xdr:cNvPr id="1098" name="TextBox 1097">
          <a:extLst>
            <a:ext uri="{FF2B5EF4-FFF2-40B4-BE49-F238E27FC236}">
              <a16:creationId xmlns:a16="http://schemas.microsoft.com/office/drawing/2014/main" id="{25E0E44A-7CAD-AA8B-8A7E-5FF5D78E0E53}"/>
            </a:ext>
          </a:extLst>
        </xdr:cNvPr>
        <xdr:cNvSpPr txBox="1"/>
      </xdr:nvSpPr>
      <xdr:spPr>
        <a:xfrm>
          <a:off x="16105958" y="2728723"/>
          <a:ext cx="1522911" cy="40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034659-A52C-4731-BEEE-31768E68E18F}" type="TxLink">
            <a:rPr lang="en-US" sz="1400" b="1" i="0" u="none" strike="noStrike">
              <a:solidFill>
                <a:srgbClr val="2E4747"/>
              </a:solidFill>
              <a:latin typeface="Aptos Narrow"/>
            </a:rPr>
            <a:pPr algn="ctr"/>
            <a:t>Budget Used</a:t>
          </a:fld>
          <a:endParaRPr lang="en-US" sz="105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25</xdr:col>
      <xdr:colOff>49531</xdr:colOff>
      <xdr:row>19</xdr:row>
      <xdr:rowOff>159694</xdr:rowOff>
    </xdr:from>
    <xdr:to>
      <xdr:col>27</xdr:col>
      <xdr:colOff>353242</xdr:colOff>
      <xdr:row>22</xdr:row>
      <xdr:rowOff>5767</xdr:rowOff>
    </xdr:to>
    <xdr:sp macro="" textlink="Processing!V15">
      <xdr:nvSpPr>
        <xdr:cNvPr id="1099" name="TextBox 1098">
          <a:extLst>
            <a:ext uri="{FF2B5EF4-FFF2-40B4-BE49-F238E27FC236}">
              <a16:creationId xmlns:a16="http://schemas.microsoft.com/office/drawing/2014/main" id="{C936BEFF-6388-5C4A-C6A8-C23E6625F1DC}"/>
            </a:ext>
          </a:extLst>
        </xdr:cNvPr>
        <xdr:cNvSpPr txBox="1"/>
      </xdr:nvSpPr>
      <xdr:spPr>
        <a:xfrm>
          <a:off x="15289531" y="3675780"/>
          <a:ext cx="1522911" cy="40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1228E0F6-8E40-4836-AB8D-3FAE334A5D05}" type="TxLink">
            <a:rPr lang="en-US" sz="1400" b="1" i="0" u="none" strike="noStrike">
              <a:solidFill>
                <a:srgbClr val="2E4747"/>
              </a:solidFill>
              <a:latin typeface="Aptos Narrow"/>
              <a:ea typeface="+mn-ea"/>
              <a:cs typeface="+mn-cs"/>
            </a:rPr>
            <a:pPr marL="0" indent="0" algn="r"/>
            <a:t>Expenses</a:t>
          </a:fld>
          <a:endParaRPr lang="en-US" sz="1400" b="1" i="0" u="none" strike="noStrike">
            <a:solidFill>
              <a:srgbClr val="2E474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550271</xdr:colOff>
      <xdr:row>19</xdr:row>
      <xdr:rowOff>159694</xdr:rowOff>
    </xdr:from>
    <xdr:to>
      <xdr:col>31</xdr:col>
      <xdr:colOff>123551</xdr:colOff>
      <xdr:row>22</xdr:row>
      <xdr:rowOff>5767</xdr:rowOff>
    </xdr:to>
    <xdr:sp macro="" textlink="Processing!V16">
      <xdr:nvSpPr>
        <xdr:cNvPr id="1100" name="TextBox 1099">
          <a:extLst>
            <a:ext uri="{FF2B5EF4-FFF2-40B4-BE49-F238E27FC236}">
              <a16:creationId xmlns:a16="http://schemas.microsoft.com/office/drawing/2014/main" id="{4A3602DE-6882-5F3D-953C-8FB3B3C741AB}"/>
            </a:ext>
          </a:extLst>
        </xdr:cNvPr>
        <xdr:cNvSpPr txBox="1"/>
      </xdr:nvSpPr>
      <xdr:spPr>
        <a:xfrm>
          <a:off x="17009471" y="3675780"/>
          <a:ext cx="2011680" cy="40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1FFDD799-4003-4AF2-9C55-F8C311ED82D5}" type="TxLink">
            <a:rPr lang="en-US" sz="1800" b="0" i="0" u="none" strike="noStrike">
              <a:solidFill>
                <a:srgbClr val="2E4747"/>
              </a:solidFill>
              <a:latin typeface="Aptos Narrow"/>
              <a:ea typeface="+mn-ea"/>
              <a:cs typeface="+mn-cs"/>
            </a:rPr>
            <a:pPr marL="0" indent="0" algn="l"/>
            <a:t> $6,82,571.25 </a:t>
          </a:fld>
          <a:endParaRPr lang="en-US" sz="1800" b="0" i="0" u="none" strike="noStrike">
            <a:solidFill>
              <a:srgbClr val="2E474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49531</xdr:colOff>
      <xdr:row>39</xdr:row>
      <xdr:rowOff>94378</xdr:rowOff>
    </xdr:from>
    <xdr:to>
      <xdr:col>27</xdr:col>
      <xdr:colOff>353242</xdr:colOff>
      <xdr:row>41</xdr:row>
      <xdr:rowOff>125508</xdr:rowOff>
    </xdr:to>
    <xdr:sp macro="" textlink="Processing!J15">
      <xdr:nvSpPr>
        <xdr:cNvPr id="1101" name="TextBox 1100">
          <a:extLst>
            <a:ext uri="{FF2B5EF4-FFF2-40B4-BE49-F238E27FC236}">
              <a16:creationId xmlns:a16="http://schemas.microsoft.com/office/drawing/2014/main" id="{3ACEDBF5-CE1A-7BDE-4BA6-8579D3F6D519}"/>
            </a:ext>
          </a:extLst>
        </xdr:cNvPr>
        <xdr:cNvSpPr txBox="1"/>
      </xdr:nvSpPr>
      <xdr:spPr>
        <a:xfrm>
          <a:off x="15289531" y="7311607"/>
          <a:ext cx="1522911" cy="40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A708DA14-80D5-4B55-9752-27791C5ECC6D}" type="TxLink">
            <a:rPr lang="en-US" sz="1400" b="1" i="0" u="none" strike="noStrike">
              <a:solidFill>
                <a:srgbClr val="2E4747"/>
              </a:solidFill>
              <a:latin typeface="Aptos Narrow"/>
              <a:ea typeface="+mn-ea"/>
              <a:cs typeface="+mn-cs"/>
            </a:rPr>
            <a:pPr marL="0" indent="0" algn="r"/>
            <a:t>Current Budget</a:t>
          </a:fld>
          <a:endParaRPr lang="en-US" sz="1400" b="1" i="0" u="none" strike="noStrike">
            <a:solidFill>
              <a:srgbClr val="2E474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550271</xdr:colOff>
      <xdr:row>39</xdr:row>
      <xdr:rowOff>94378</xdr:rowOff>
    </xdr:from>
    <xdr:to>
      <xdr:col>30</xdr:col>
      <xdr:colOff>93071</xdr:colOff>
      <xdr:row>41</xdr:row>
      <xdr:rowOff>125508</xdr:rowOff>
    </xdr:to>
    <xdr:sp macro="" textlink="Processing!K15">
      <xdr:nvSpPr>
        <xdr:cNvPr id="1102" name="TextBox 1101">
          <a:extLst>
            <a:ext uri="{FF2B5EF4-FFF2-40B4-BE49-F238E27FC236}">
              <a16:creationId xmlns:a16="http://schemas.microsoft.com/office/drawing/2014/main" id="{1788AE18-413B-71CA-CE6B-06CA08638F9A}"/>
            </a:ext>
          </a:extLst>
        </xdr:cNvPr>
        <xdr:cNvSpPr txBox="1"/>
      </xdr:nvSpPr>
      <xdr:spPr>
        <a:xfrm>
          <a:off x="17009471" y="7311607"/>
          <a:ext cx="1371600" cy="40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9C158CB-5053-4F4E-9D21-7E450D961131}" type="TxLink">
            <a:rPr lang="en-US" sz="1800" b="0" i="0" u="none" strike="noStrike">
              <a:solidFill>
                <a:srgbClr val="2E4747"/>
              </a:solidFill>
              <a:latin typeface="Aptos Narrow"/>
              <a:ea typeface="+mn-ea"/>
              <a:cs typeface="+mn-cs"/>
            </a:rPr>
            <a:pPr marL="0" indent="0" algn="l"/>
            <a:t> $7,00,000 </a:t>
          </a:fld>
          <a:endParaRPr lang="en-US" sz="1800" b="0" i="0" u="none" strike="noStrike">
            <a:solidFill>
              <a:srgbClr val="2E474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49531</xdr:colOff>
      <xdr:row>40</xdr:row>
      <xdr:rowOff>181465</xdr:rowOff>
    </xdr:from>
    <xdr:to>
      <xdr:col>27</xdr:col>
      <xdr:colOff>353242</xdr:colOff>
      <xdr:row>43</xdr:row>
      <xdr:rowOff>27538</xdr:rowOff>
    </xdr:to>
    <xdr:sp macro="" textlink="Processing!J16">
      <xdr:nvSpPr>
        <xdr:cNvPr id="1103" name="TextBox 1102">
          <a:extLst>
            <a:ext uri="{FF2B5EF4-FFF2-40B4-BE49-F238E27FC236}">
              <a16:creationId xmlns:a16="http://schemas.microsoft.com/office/drawing/2014/main" id="{2F693DBA-0971-66D8-EE6D-3C2A2B131515}"/>
            </a:ext>
          </a:extLst>
        </xdr:cNvPr>
        <xdr:cNvSpPr txBox="1"/>
      </xdr:nvSpPr>
      <xdr:spPr>
        <a:xfrm>
          <a:off x="15289531" y="7583751"/>
          <a:ext cx="1522911" cy="40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F5EB05A9-AD49-4FD4-B991-168B25B5447B}" type="TxLink">
            <a:rPr lang="en-US" sz="1400" b="1" i="0" u="none" strike="noStrike">
              <a:solidFill>
                <a:srgbClr val="2E4747"/>
              </a:solidFill>
              <a:latin typeface="Aptos Narrow"/>
              <a:ea typeface="+mn-ea"/>
              <a:cs typeface="+mn-cs"/>
            </a:rPr>
            <a:pPr marL="0" indent="0" algn="r"/>
            <a:t>Total Budget</a:t>
          </a:fld>
          <a:endParaRPr lang="en-US" sz="1400" b="1" i="0" u="none" strike="noStrike">
            <a:solidFill>
              <a:srgbClr val="2E474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550271</xdr:colOff>
      <xdr:row>40</xdr:row>
      <xdr:rowOff>181465</xdr:rowOff>
    </xdr:from>
    <xdr:to>
      <xdr:col>30</xdr:col>
      <xdr:colOff>93071</xdr:colOff>
      <xdr:row>43</xdr:row>
      <xdr:rowOff>27538</xdr:rowOff>
    </xdr:to>
    <xdr:sp macro="" textlink="Processing!K16">
      <xdr:nvSpPr>
        <xdr:cNvPr id="1104" name="TextBox 1103">
          <a:extLst>
            <a:ext uri="{FF2B5EF4-FFF2-40B4-BE49-F238E27FC236}">
              <a16:creationId xmlns:a16="http://schemas.microsoft.com/office/drawing/2014/main" id="{19DA3266-8CA6-931A-E81C-F6F72D5AD585}"/>
            </a:ext>
          </a:extLst>
        </xdr:cNvPr>
        <xdr:cNvSpPr txBox="1"/>
      </xdr:nvSpPr>
      <xdr:spPr>
        <a:xfrm>
          <a:off x="17009471" y="7583751"/>
          <a:ext cx="1371600" cy="40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D56C858-FF4A-426C-A0CB-C07E22407DED}" type="TxLink">
            <a:rPr lang="en-US" sz="1800" b="0" i="0" u="none" strike="noStrike">
              <a:solidFill>
                <a:srgbClr val="2E4747"/>
              </a:solidFill>
              <a:latin typeface="Aptos Narrow"/>
              <a:ea typeface="+mn-ea"/>
              <a:cs typeface="+mn-cs"/>
            </a:rPr>
            <a:pPr marL="0" indent="0" algn="l"/>
            <a:t> $14,55,000 </a:t>
          </a:fld>
          <a:endParaRPr lang="en-US" sz="1800" b="0" i="0" u="none" strike="noStrike">
            <a:solidFill>
              <a:srgbClr val="2E474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542110</xdr:colOff>
      <xdr:row>55</xdr:row>
      <xdr:rowOff>30478</xdr:rowOff>
    </xdr:from>
    <xdr:to>
      <xdr:col>8</xdr:col>
      <xdr:colOff>236221</xdr:colOff>
      <xdr:row>57</xdr:row>
      <xdr:rowOff>145869</xdr:rowOff>
    </xdr:to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EC091F8B-752E-D954-CE3D-81248C3E1766}"/>
            </a:ext>
          </a:extLst>
        </xdr:cNvPr>
        <xdr:cNvSpPr txBox="1"/>
      </xdr:nvSpPr>
      <xdr:spPr>
        <a:xfrm>
          <a:off x="3590110" y="10208621"/>
          <a:ext cx="1522911" cy="485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</a:t>
          </a:r>
          <a:r>
            <a:rPr lang="uk-UA" sz="1400" b="1"/>
            <a:t>9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12</xdr:col>
      <xdr:colOff>422367</xdr:colOff>
      <xdr:row>55</xdr:row>
      <xdr:rowOff>30478</xdr:rowOff>
    </xdr:from>
    <xdr:to>
      <xdr:col>15</xdr:col>
      <xdr:colOff>116478</xdr:colOff>
      <xdr:row>57</xdr:row>
      <xdr:rowOff>145869</xdr:rowOff>
    </xdr:to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743845B8-F52C-19F0-9A53-6902BCE32ABC}"/>
            </a:ext>
          </a:extLst>
        </xdr:cNvPr>
        <xdr:cNvSpPr txBox="1"/>
      </xdr:nvSpPr>
      <xdr:spPr>
        <a:xfrm>
          <a:off x="7737567" y="10208621"/>
          <a:ext cx="1522911" cy="485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</a:t>
          </a:r>
          <a:r>
            <a:rPr lang="uk-UA" sz="1400" b="1"/>
            <a:t>8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17</xdr:col>
      <xdr:colOff>498567</xdr:colOff>
      <xdr:row>55</xdr:row>
      <xdr:rowOff>30478</xdr:rowOff>
    </xdr:from>
    <xdr:to>
      <xdr:col>20</xdr:col>
      <xdr:colOff>192678</xdr:colOff>
      <xdr:row>57</xdr:row>
      <xdr:rowOff>145869</xdr:rowOff>
    </xdr:to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F8706510-117C-738B-C757-CD4FC0128F69}"/>
            </a:ext>
          </a:extLst>
        </xdr:cNvPr>
        <xdr:cNvSpPr txBox="1"/>
      </xdr:nvSpPr>
      <xdr:spPr>
        <a:xfrm>
          <a:off x="10861767" y="10208621"/>
          <a:ext cx="1522911" cy="485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</a:t>
          </a:r>
          <a:r>
            <a:rPr lang="uk-UA" sz="1400" b="1"/>
            <a:t>7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21</xdr:col>
      <xdr:colOff>542110</xdr:colOff>
      <xdr:row>55</xdr:row>
      <xdr:rowOff>30478</xdr:rowOff>
    </xdr:from>
    <xdr:to>
      <xdr:col>24</xdr:col>
      <xdr:colOff>236221</xdr:colOff>
      <xdr:row>57</xdr:row>
      <xdr:rowOff>145869</xdr:rowOff>
    </xdr:to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5A25E51A-3033-F1C2-23ED-4005816CB266}"/>
            </a:ext>
          </a:extLst>
        </xdr:cNvPr>
        <xdr:cNvSpPr txBox="1"/>
      </xdr:nvSpPr>
      <xdr:spPr>
        <a:xfrm>
          <a:off x="13343710" y="10208621"/>
          <a:ext cx="1522911" cy="485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2026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561975</xdr:colOff>
          <xdr:row>35</xdr:row>
          <xdr:rowOff>133350</xdr:rowOff>
        </xdr:from>
        <xdr:to>
          <xdr:col>24</xdr:col>
          <xdr:colOff>323850</xdr:colOff>
          <xdr:row>38</xdr:row>
          <xdr:rowOff>66675</xdr:rowOff>
        </xdr:to>
        <xdr:sp macro="" textlink="">
          <xdr:nvSpPr>
            <xdr:cNvPr id="4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19</xdr:col>
      <xdr:colOff>480604</xdr:colOff>
      <xdr:row>21</xdr:row>
      <xdr:rowOff>115660</xdr:rowOff>
    </xdr:from>
    <xdr:to>
      <xdr:col>20</xdr:col>
      <xdr:colOff>533944</xdr:colOff>
      <xdr:row>23</xdr:row>
      <xdr:rowOff>77560</xdr:rowOff>
    </xdr:to>
    <xdr:sp macro="" textlink="Processing!B14">
      <xdr:nvSpPr>
        <xdr:cNvPr id="1110" name="TextBox 1109">
          <a:extLst>
            <a:ext uri="{FF2B5EF4-FFF2-40B4-BE49-F238E27FC236}">
              <a16:creationId xmlns:a16="http://schemas.microsoft.com/office/drawing/2014/main" id="{2F08BB71-F1C5-A676-82BA-5E7DF40360D6}"/>
            </a:ext>
          </a:extLst>
        </xdr:cNvPr>
        <xdr:cNvSpPr txBox="1"/>
      </xdr:nvSpPr>
      <xdr:spPr>
        <a:xfrm>
          <a:off x="12063004" y="4001860"/>
          <a:ext cx="662940" cy="332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38A563E-3610-479A-9B10-30D3AED2152E}" type="TxLink">
            <a:rPr lang="en-US" sz="2800" b="1" i="0" u="none" strike="noStrike">
              <a:solidFill>
                <a:srgbClr val="2E4747"/>
              </a:solidFill>
              <a:latin typeface="Aptos Narrow"/>
              <a:ea typeface="+mn-ea"/>
              <a:cs typeface="+mn-cs"/>
            </a:rPr>
            <a:pPr marL="0" indent="0" algn="ctr"/>
            <a:t>5.3</a:t>
          </a:fld>
          <a:endParaRPr lang="ru-RU" sz="4400" b="1">
            <a:solidFill>
              <a:srgbClr val="2E4747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149133</xdr:colOff>
      <xdr:row>21</xdr:row>
      <xdr:rowOff>123553</xdr:rowOff>
    </xdr:from>
    <xdr:to>
      <xdr:col>20</xdr:col>
      <xdr:colOff>202473</xdr:colOff>
      <xdr:row>23</xdr:row>
      <xdr:rowOff>83276</xdr:rowOff>
    </xdr:to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EE63EA81-4FE0-DF06-EC95-A0CBFD07F11B}"/>
            </a:ext>
          </a:extLst>
        </xdr:cNvPr>
        <xdr:cNvSpPr txBox="1"/>
      </xdr:nvSpPr>
      <xdr:spPr>
        <a:xfrm>
          <a:off x="11731533" y="4009753"/>
          <a:ext cx="662940" cy="329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2800" b="1">
              <a:solidFill>
                <a:srgbClr val="2E4747"/>
              </a:solidFill>
              <a:latin typeface="+mn-lt"/>
              <a:ea typeface="+mn-ea"/>
              <a:cs typeface="+mn-cs"/>
            </a:rPr>
            <a:t>x</a:t>
          </a:r>
          <a:endParaRPr lang="ru-RU" sz="2800" b="1">
            <a:solidFill>
              <a:srgbClr val="2E4747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239485</xdr:colOff>
      <xdr:row>21</xdr:row>
      <xdr:rowOff>60712</xdr:rowOff>
    </xdr:from>
    <xdr:to>
      <xdr:col>24</xdr:col>
      <xdr:colOff>231146</xdr:colOff>
      <xdr:row>23</xdr:row>
      <xdr:rowOff>132509</xdr:rowOff>
    </xdr:to>
    <xdr:sp macro="" textlink="Processing!F13">
      <xdr:nvSpPr>
        <xdr:cNvPr id="1112" name="TextBox 1111">
          <a:extLst>
            <a:ext uri="{FF2B5EF4-FFF2-40B4-BE49-F238E27FC236}">
              <a16:creationId xmlns:a16="http://schemas.microsoft.com/office/drawing/2014/main" id="{4DEBB78B-5E6C-0932-B526-540532FB4ED0}"/>
            </a:ext>
          </a:extLst>
        </xdr:cNvPr>
        <xdr:cNvSpPr txBox="1"/>
      </xdr:nvSpPr>
      <xdr:spPr>
        <a:xfrm>
          <a:off x="13041085" y="3946912"/>
          <a:ext cx="1820461" cy="441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8CFEE44C-F3EC-4332-A541-80512D8B2AC6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 $2,53,304 </a:t>
          </a:fld>
          <a:endParaRPr lang="ru-RU" sz="8000" b="1">
            <a:solidFill>
              <a:srgbClr val="2E4747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101782</xdr:colOff>
      <xdr:row>21</xdr:row>
      <xdr:rowOff>119742</xdr:rowOff>
    </xdr:from>
    <xdr:to>
      <xdr:col>19</xdr:col>
      <xdr:colOff>409847</xdr:colOff>
      <xdr:row>37</xdr:row>
      <xdr:rowOff>71647</xdr:rowOff>
    </xdr:to>
    <xdr:graphicFrame macro="">
      <xdr:nvGraphicFramePr>
        <xdr:cNvPr id="1113" name="Chart 1112">
          <a:extLst>
            <a:ext uri="{FF2B5EF4-FFF2-40B4-BE49-F238E27FC236}">
              <a16:creationId xmlns:a16="http://schemas.microsoft.com/office/drawing/2014/main" id="{CD0A90B2-BFAE-4DB9-B7C0-10AEEF03C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22</xdr:col>
      <xdr:colOff>69130</xdr:colOff>
      <xdr:row>19</xdr:row>
      <xdr:rowOff>80010</xdr:rowOff>
    </xdr:from>
    <xdr:to>
      <xdr:col>24</xdr:col>
      <xdr:colOff>413107</xdr:colOff>
      <xdr:row>21</xdr:row>
      <xdr:rowOff>39733</xdr:rowOff>
    </xdr:to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9542F546-6337-CE2A-6EDF-C18B80C23CEE}"/>
            </a:ext>
          </a:extLst>
        </xdr:cNvPr>
        <xdr:cNvSpPr txBox="1"/>
      </xdr:nvSpPr>
      <xdr:spPr>
        <a:xfrm>
          <a:off x="13480330" y="3596096"/>
          <a:ext cx="1563177" cy="329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/>
            <a:t>Planned Profit</a:t>
          </a:r>
          <a:endParaRPr lang="ru-RU" sz="1800" b="1">
            <a:solidFill>
              <a:srgbClr val="61879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47451</xdr:colOff>
      <xdr:row>9</xdr:row>
      <xdr:rowOff>29162</xdr:rowOff>
    </xdr:from>
    <xdr:to>
      <xdr:col>9</xdr:col>
      <xdr:colOff>199851</xdr:colOff>
      <xdr:row>36</xdr:row>
      <xdr:rowOff>61819</xdr:rowOff>
    </xdr:to>
    <xdr:sp macro="" textlink="">
      <xdr:nvSpPr>
        <xdr:cNvPr id="2" name="Block Arc 1">
          <a:extLst>
            <a:ext uri="{FF2B5EF4-FFF2-40B4-BE49-F238E27FC236}">
              <a16:creationId xmlns:a16="http://schemas.microsoft.com/office/drawing/2014/main" id="{2C3999E8-E041-4400-88AB-005ED7E8A801}"/>
            </a:ext>
          </a:extLst>
        </xdr:cNvPr>
        <xdr:cNvSpPr/>
      </xdr:nvSpPr>
      <xdr:spPr>
        <a:xfrm rot="5400000">
          <a:off x="657051" y="1694676"/>
          <a:ext cx="5029200" cy="5029200"/>
        </a:xfrm>
        <a:prstGeom prst="blockArc">
          <a:avLst>
            <a:gd name="adj1" fmla="val 10800000"/>
            <a:gd name="adj2" fmla="val 26683"/>
            <a:gd name="adj3" fmla="val 1288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114300</xdr:colOff>
      <xdr:row>6</xdr:row>
      <xdr:rowOff>7620</xdr:rowOff>
    </xdr:from>
    <xdr:to>
      <xdr:col>10</xdr:col>
      <xdr:colOff>144780</xdr:colOff>
      <xdr:row>39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F3FBD6-6324-4716-A363-0DD5C2381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33</xdr:row>
      <xdr:rowOff>167640</xdr:rowOff>
    </xdr:from>
    <xdr:to>
      <xdr:col>11</xdr:col>
      <xdr:colOff>228600</xdr:colOff>
      <xdr:row>38</xdr:row>
      <xdr:rowOff>76200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D29F90C-29C5-4F85-BA68-5BB944CC3E95}"/>
            </a:ext>
          </a:extLst>
        </xdr:cNvPr>
        <xdr:cNvGrpSpPr/>
      </xdr:nvGrpSpPr>
      <xdr:grpSpPr>
        <a:xfrm>
          <a:off x="4158615" y="6492835"/>
          <a:ext cx="2618423" cy="875943"/>
          <a:chOff x="4160520" y="5105400"/>
          <a:chExt cx="2689860" cy="822960"/>
        </a:xfrm>
      </xdr:grpSpPr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E1FCA28C-F1D6-AAFF-46E1-D9F351DC99BC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00293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0F652CCB-AFB5-9EA6-28D6-456924668EFD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9</xdr:col>
      <xdr:colOff>0</xdr:colOff>
      <xdr:row>26</xdr:row>
      <xdr:rowOff>99060</xdr:rowOff>
    </xdr:from>
    <xdr:to>
      <xdr:col>10</xdr:col>
      <xdr:colOff>121920</xdr:colOff>
      <xdr:row>30</xdr:row>
      <xdr:rowOff>99060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82E3C27-73DF-4922-9B8E-D123F6336698}"/>
            </a:ext>
          </a:extLst>
        </xdr:cNvPr>
        <xdr:cNvSpPr/>
      </xdr:nvSpPr>
      <xdr:spPr>
        <a:xfrm>
          <a:off x="5486400" y="4853940"/>
          <a:ext cx="731520" cy="73152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91440</xdr:colOff>
      <xdr:row>16</xdr:row>
      <xdr:rowOff>68580</xdr:rowOff>
    </xdr:from>
    <xdr:to>
      <xdr:col>10</xdr:col>
      <xdr:colOff>213360</xdr:colOff>
      <xdr:row>20</xdr:row>
      <xdr:rowOff>68580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6579796-67A7-424F-8151-B582A4621CDF}"/>
            </a:ext>
          </a:extLst>
        </xdr:cNvPr>
        <xdr:cNvSpPr/>
      </xdr:nvSpPr>
      <xdr:spPr>
        <a:xfrm>
          <a:off x="5577840" y="2994660"/>
          <a:ext cx="731520" cy="73152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251460</xdr:colOff>
      <xdr:row>8</xdr:row>
      <xdr:rowOff>22860</xdr:rowOff>
    </xdr:from>
    <xdr:to>
      <xdr:col>8</xdr:col>
      <xdr:colOff>373380</xdr:colOff>
      <xdr:row>12</xdr:row>
      <xdr:rowOff>22860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83DF4BD-870E-4E7D-8670-023007C7D2ED}"/>
            </a:ext>
          </a:extLst>
        </xdr:cNvPr>
        <xdr:cNvSpPr/>
      </xdr:nvSpPr>
      <xdr:spPr>
        <a:xfrm>
          <a:off x="4518660" y="1485900"/>
          <a:ext cx="731520" cy="73152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556260</xdr:colOff>
      <xdr:row>26</xdr:row>
      <xdr:rowOff>53340</xdr:rowOff>
    </xdr:from>
    <xdr:to>
      <xdr:col>13</xdr:col>
      <xdr:colOff>198120</xdr:colOff>
      <xdr:row>30</xdr:row>
      <xdr:rowOff>144780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5C8BE9D1-8D72-41B8-ABB1-86B19B262B05}"/>
            </a:ext>
          </a:extLst>
        </xdr:cNvPr>
        <xdr:cNvGrpSpPr/>
      </xdr:nvGrpSpPr>
      <xdr:grpSpPr>
        <a:xfrm>
          <a:off x="5318760" y="5024199"/>
          <a:ext cx="2618423" cy="865347"/>
          <a:chOff x="4160520" y="5105400"/>
          <a:chExt cx="2689860" cy="822960"/>
        </a:xfrm>
      </xdr:grpSpPr>
      <xdr:sp macro="" textlink="">
        <xdr:nvSpPr>
          <xdr:cNvPr id="11" name="Freeform: Shape 10">
            <a:extLst>
              <a:ext uri="{FF2B5EF4-FFF2-40B4-BE49-F238E27FC236}">
                <a16:creationId xmlns:a16="http://schemas.microsoft.com/office/drawing/2014/main" id="{E66E5540-D7F4-72B9-9DAA-49FFB0021FCD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00293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4A00990E-F6A0-290A-81CA-ED116833EABE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9</xdr:col>
      <xdr:colOff>38100</xdr:colOff>
      <xdr:row>16</xdr:row>
      <xdr:rowOff>15240</xdr:rowOff>
    </xdr:from>
    <xdr:to>
      <xdr:col>13</xdr:col>
      <xdr:colOff>289560</xdr:colOff>
      <xdr:row>20</xdr:row>
      <xdr:rowOff>106680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E78474B-F9F9-4F13-973F-2C1F52D11BAF}"/>
            </a:ext>
          </a:extLst>
        </xdr:cNvPr>
        <xdr:cNvGrpSpPr/>
      </xdr:nvGrpSpPr>
      <xdr:grpSpPr>
        <a:xfrm>
          <a:off x="5395913" y="3110865"/>
          <a:ext cx="2632710" cy="865346"/>
          <a:chOff x="4160520" y="5105400"/>
          <a:chExt cx="2689860" cy="822960"/>
        </a:xfrm>
      </xdr:grpSpPr>
      <xdr:sp macro="" textlink="">
        <xdr:nvSpPr>
          <xdr:cNvPr id="14" name="Freeform: Shape 13">
            <a:extLst>
              <a:ext uri="{FF2B5EF4-FFF2-40B4-BE49-F238E27FC236}">
                <a16:creationId xmlns:a16="http://schemas.microsoft.com/office/drawing/2014/main" id="{42E889D1-6B91-05C2-D6A7-82D211929AB1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00293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6876B758-0C95-4E3D-FFCD-094EC6CB7A60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7</xdr:col>
      <xdr:colOff>198120</xdr:colOff>
      <xdr:row>7</xdr:row>
      <xdr:rowOff>160020</xdr:rowOff>
    </xdr:from>
    <xdr:to>
      <xdr:col>11</xdr:col>
      <xdr:colOff>449580</xdr:colOff>
      <xdr:row>12</xdr:row>
      <xdr:rowOff>68580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8F77F92-5846-4595-8B24-36742E1C28E3}"/>
            </a:ext>
          </a:extLst>
        </xdr:cNvPr>
        <xdr:cNvGrpSpPr/>
      </xdr:nvGrpSpPr>
      <xdr:grpSpPr>
        <a:xfrm>
          <a:off x="4365308" y="1514356"/>
          <a:ext cx="2632710" cy="875943"/>
          <a:chOff x="4160520" y="5105400"/>
          <a:chExt cx="2689860" cy="822960"/>
        </a:xfrm>
      </xdr:grpSpPr>
      <xdr:sp macro="" textlink="">
        <xdr:nvSpPr>
          <xdr:cNvPr id="17" name="Freeform: Shape 16">
            <a:extLst>
              <a:ext uri="{FF2B5EF4-FFF2-40B4-BE49-F238E27FC236}">
                <a16:creationId xmlns:a16="http://schemas.microsoft.com/office/drawing/2014/main" id="{4544A108-C0CD-9BFE-F6A6-BC37492987BC}"/>
              </a:ext>
            </a:extLst>
          </xdr:cNvPr>
          <xdr:cNvSpPr/>
        </xdr:nvSpPr>
        <xdr:spPr>
          <a:xfrm>
            <a:off x="4160520" y="5105400"/>
            <a:ext cx="2689860" cy="822960"/>
          </a:xfrm>
          <a:custGeom>
            <a:avLst/>
            <a:gdLst>
              <a:gd name="connsiteX0" fmla="*/ 403860 w 2689860"/>
              <a:gd name="connsiteY0" fmla="*/ 0 h 822960"/>
              <a:gd name="connsiteX1" fmla="*/ 411480 w 2689860"/>
              <a:gd name="connsiteY1" fmla="*/ 0 h 822960"/>
              <a:gd name="connsiteX2" fmla="*/ 2278380 w 2689860"/>
              <a:gd name="connsiteY2" fmla="*/ 0 h 822960"/>
              <a:gd name="connsiteX3" fmla="*/ 2689860 w 2689860"/>
              <a:gd name="connsiteY3" fmla="*/ 411480 h 822960"/>
              <a:gd name="connsiteX4" fmla="*/ 2278380 w 2689860"/>
              <a:gd name="connsiteY4" fmla="*/ 822960 h 822960"/>
              <a:gd name="connsiteX5" fmla="*/ 411480 w 2689860"/>
              <a:gd name="connsiteY5" fmla="*/ 822960 h 822960"/>
              <a:gd name="connsiteX6" fmla="*/ 403860 w 2689860"/>
              <a:gd name="connsiteY6" fmla="*/ 822960 h 822960"/>
              <a:gd name="connsiteX7" fmla="*/ 403860 w 2689860"/>
              <a:gd name="connsiteY7" fmla="*/ 822192 h 822960"/>
              <a:gd name="connsiteX8" fmla="*/ 328552 w 2689860"/>
              <a:gd name="connsiteY8" fmla="*/ 814600 h 822960"/>
              <a:gd name="connsiteX9" fmla="*/ 0 w 2689860"/>
              <a:gd name="connsiteY9" fmla="*/ 411480 h 822960"/>
              <a:gd name="connsiteX10" fmla="*/ 328552 w 2689860"/>
              <a:gd name="connsiteY10" fmla="*/ 8360 h 822960"/>
              <a:gd name="connsiteX11" fmla="*/ 403860 w 2689860"/>
              <a:gd name="connsiteY11" fmla="*/ 768 h 82296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689860" h="822960">
                <a:moveTo>
                  <a:pt x="403860" y="0"/>
                </a:moveTo>
                <a:lnTo>
                  <a:pt x="411480" y="0"/>
                </a:lnTo>
                <a:lnTo>
                  <a:pt x="2278380" y="0"/>
                </a:lnTo>
                <a:lnTo>
                  <a:pt x="2689860" y="411480"/>
                </a:lnTo>
                <a:lnTo>
                  <a:pt x="2278380" y="822960"/>
                </a:lnTo>
                <a:lnTo>
                  <a:pt x="411480" y="822960"/>
                </a:lnTo>
                <a:lnTo>
                  <a:pt x="403860" y="822960"/>
                </a:lnTo>
                <a:lnTo>
                  <a:pt x="403860" y="822192"/>
                </a:lnTo>
                <a:lnTo>
                  <a:pt x="328552" y="814600"/>
                </a:lnTo>
                <a:cubicBezTo>
                  <a:pt x="141048" y="776231"/>
                  <a:pt x="0" y="610327"/>
                  <a:pt x="0" y="411480"/>
                </a:cubicBezTo>
                <a:cubicBezTo>
                  <a:pt x="0" y="212633"/>
                  <a:pt x="141048" y="46729"/>
                  <a:pt x="328552" y="8360"/>
                </a:cubicBezTo>
                <a:lnTo>
                  <a:pt x="403860" y="768"/>
                </a:lnTo>
                <a:close/>
              </a:path>
            </a:pathLst>
          </a:custGeom>
          <a:solidFill>
            <a:srgbClr val="00293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ru-RU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ru-RU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D2D17585-CAFE-2781-94E1-1DB81ABA2524}"/>
              </a:ext>
            </a:extLst>
          </xdr:cNvPr>
          <xdr:cNvSpPr/>
        </xdr:nvSpPr>
        <xdr:spPr>
          <a:xfrm>
            <a:off x="4213860" y="5151120"/>
            <a:ext cx="731520" cy="731520"/>
          </a:xfrm>
          <a:prstGeom prst="ellipse">
            <a:avLst/>
          </a:prstGeom>
          <a:gradFill flip="none" rotWithShape="1">
            <a:gsLst>
              <a:gs pos="2000">
                <a:schemeClr val="bg1"/>
              </a:gs>
              <a:gs pos="100000">
                <a:schemeClr val="bg1">
                  <a:lumMod val="95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5</xdr:col>
      <xdr:colOff>15240</xdr:colOff>
      <xdr:row>11</xdr:row>
      <xdr:rowOff>175260</xdr:rowOff>
    </xdr:from>
    <xdr:to>
      <xdr:col>5</xdr:col>
      <xdr:colOff>198120</xdr:colOff>
      <xdr:row>12</xdr:row>
      <xdr:rowOff>175260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35FBB8D-8130-4560-B5B0-E9901466BB49}"/>
            </a:ext>
          </a:extLst>
        </xdr:cNvPr>
        <xdr:cNvSpPr/>
      </xdr:nvSpPr>
      <xdr:spPr>
        <a:xfrm>
          <a:off x="3063240" y="218694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15240</xdr:colOff>
      <xdr:row>32</xdr:row>
      <xdr:rowOff>106680</xdr:rowOff>
    </xdr:from>
    <xdr:to>
      <xdr:col>5</xdr:col>
      <xdr:colOff>198120</xdr:colOff>
      <xdr:row>33</xdr:row>
      <xdr:rowOff>106680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DF9D879-6419-4820-B746-B33C4EFB4B75}"/>
            </a:ext>
          </a:extLst>
        </xdr:cNvPr>
        <xdr:cNvSpPr/>
      </xdr:nvSpPr>
      <xdr:spPr>
        <a:xfrm>
          <a:off x="3063240" y="595884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541020</xdr:colOff>
      <xdr:row>13</xdr:row>
      <xdr:rowOff>175260</xdr:rowOff>
    </xdr:from>
    <xdr:to>
      <xdr:col>7</xdr:col>
      <xdr:colOff>114300</xdr:colOff>
      <xdr:row>14</xdr:row>
      <xdr:rowOff>175260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54C524E-2FC7-41FE-949B-50622B989682}"/>
            </a:ext>
          </a:extLst>
        </xdr:cNvPr>
        <xdr:cNvSpPr/>
      </xdr:nvSpPr>
      <xdr:spPr>
        <a:xfrm>
          <a:off x="4198620" y="255270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7620</xdr:colOff>
      <xdr:row>19</xdr:row>
      <xdr:rowOff>76200</xdr:rowOff>
    </xdr:from>
    <xdr:to>
      <xdr:col>8</xdr:col>
      <xdr:colOff>190500</xdr:colOff>
      <xdr:row>20</xdr:row>
      <xdr:rowOff>76200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2286FA2-6BF8-4DCA-B3B1-D01CE4F996AF}"/>
            </a:ext>
          </a:extLst>
        </xdr:cNvPr>
        <xdr:cNvSpPr/>
      </xdr:nvSpPr>
      <xdr:spPr>
        <a:xfrm>
          <a:off x="4884420" y="355092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579120</xdr:colOff>
      <xdr:row>26</xdr:row>
      <xdr:rowOff>0</xdr:rowOff>
    </xdr:from>
    <xdr:to>
      <xdr:col>8</xdr:col>
      <xdr:colOff>152400</xdr:colOff>
      <xdr:row>27</xdr:row>
      <xdr:rowOff>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A5B737A-9808-4AC9-B1C5-AFE4B1883374}"/>
            </a:ext>
          </a:extLst>
        </xdr:cNvPr>
        <xdr:cNvSpPr/>
      </xdr:nvSpPr>
      <xdr:spPr>
        <a:xfrm>
          <a:off x="4846320" y="475488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419100</xdr:colOff>
      <xdr:row>31</xdr:row>
      <xdr:rowOff>7620</xdr:rowOff>
    </xdr:from>
    <xdr:to>
      <xdr:col>6</xdr:col>
      <xdr:colOff>601980</xdr:colOff>
      <xdr:row>32</xdr:row>
      <xdr:rowOff>7620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63452235-3DE0-4064-9934-41E1B9B97352}"/>
            </a:ext>
          </a:extLst>
        </xdr:cNvPr>
        <xdr:cNvSpPr/>
      </xdr:nvSpPr>
      <xdr:spPr>
        <a:xfrm>
          <a:off x="4076700" y="5676900"/>
          <a:ext cx="182880" cy="182880"/>
        </a:xfrm>
        <a:prstGeom prst="ellipse">
          <a:avLst/>
        </a:prstGeom>
        <a:gradFill flip="none" rotWithShape="1">
          <a:gsLst>
            <a:gs pos="2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567690</xdr:colOff>
      <xdr:row>15</xdr:row>
      <xdr:rowOff>180975</xdr:rowOff>
    </xdr:from>
    <xdr:to>
      <xdr:col>7</xdr:col>
      <xdr:colOff>11430</xdr:colOff>
      <xdr:row>17</xdr:row>
      <xdr:rowOff>142875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14A10FC-FE89-4D97-9E86-91442652EA83}"/>
            </a:ext>
          </a:extLst>
        </xdr:cNvPr>
        <xdr:cNvSpPr txBox="1"/>
      </xdr:nvSpPr>
      <xdr:spPr>
        <a:xfrm>
          <a:off x="3615690" y="2924175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chemeClr val="bg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chemeClr val="bg1"/>
              </a:solidFill>
              <a:latin typeface="+mn-lt"/>
              <a:ea typeface="+mn-ea"/>
              <a:cs typeface="+mn-cs"/>
            </a:rPr>
            <a:t>6</a:t>
          </a:r>
          <a:endParaRPr lang="ru-RU" sz="18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464820</xdr:colOff>
      <xdr:row>20</xdr:row>
      <xdr:rowOff>3810</xdr:rowOff>
    </xdr:from>
    <xdr:to>
      <xdr:col>7</xdr:col>
      <xdr:colOff>518160</xdr:colOff>
      <xdr:row>21</xdr:row>
      <xdr:rowOff>148590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B1F25DA-866B-4B2F-AC69-6A3562199981}"/>
            </a:ext>
          </a:extLst>
        </xdr:cNvPr>
        <xdr:cNvSpPr txBox="1"/>
      </xdr:nvSpPr>
      <xdr:spPr>
        <a:xfrm>
          <a:off x="4122420" y="366141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chemeClr val="bg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chemeClr val="bg1"/>
              </a:solidFill>
              <a:latin typeface="+mn-lt"/>
              <a:ea typeface="+mn-ea"/>
              <a:cs typeface="+mn-cs"/>
            </a:rPr>
            <a:t>7</a:t>
          </a:r>
          <a:endParaRPr lang="ru-RU" sz="18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464820</xdr:colOff>
      <xdr:row>24</xdr:row>
      <xdr:rowOff>70485</xdr:rowOff>
    </xdr:from>
    <xdr:to>
      <xdr:col>7</xdr:col>
      <xdr:colOff>518160</xdr:colOff>
      <xdr:row>26</xdr:row>
      <xdr:rowOff>32385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478571C-2D73-4E7D-9BA5-9CC8ABBA7070}"/>
            </a:ext>
          </a:extLst>
        </xdr:cNvPr>
        <xdr:cNvSpPr txBox="1"/>
      </xdr:nvSpPr>
      <xdr:spPr>
        <a:xfrm>
          <a:off x="4122420" y="4459605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800" b="1">
              <a:solidFill>
                <a:schemeClr val="bg1"/>
              </a:solidFill>
            </a:rPr>
            <a:t>202</a:t>
          </a:r>
          <a:r>
            <a:rPr lang="pl-PL" sz="1800" b="1">
              <a:solidFill>
                <a:schemeClr val="bg1"/>
              </a:solidFill>
            </a:rPr>
            <a:t>8</a:t>
          </a:r>
          <a:endParaRPr lang="ru-RU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567690</xdr:colOff>
      <xdr:row>28</xdr:row>
      <xdr:rowOff>60960</xdr:rowOff>
    </xdr:from>
    <xdr:to>
      <xdr:col>7</xdr:col>
      <xdr:colOff>11430</xdr:colOff>
      <xdr:row>30</xdr:row>
      <xdr:rowOff>22860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1154EE3-B9DA-427C-A043-4C4EF958FF4C}"/>
            </a:ext>
          </a:extLst>
        </xdr:cNvPr>
        <xdr:cNvSpPr txBox="1"/>
      </xdr:nvSpPr>
      <xdr:spPr>
        <a:xfrm>
          <a:off x="3615690" y="518160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chemeClr val="bg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chemeClr val="bg1"/>
              </a:solidFill>
              <a:latin typeface="+mn-lt"/>
              <a:ea typeface="+mn-ea"/>
              <a:cs typeface="+mn-cs"/>
            </a:rPr>
            <a:t>9</a:t>
          </a:r>
          <a:endParaRPr lang="ru-RU" sz="18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377190</xdr:colOff>
      <xdr:row>14</xdr:row>
      <xdr:rowOff>15240</xdr:rowOff>
    </xdr:from>
    <xdr:to>
      <xdr:col>5</xdr:col>
      <xdr:colOff>430530</xdr:colOff>
      <xdr:row>15</xdr:row>
      <xdr:rowOff>160020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316BDF5-D3B6-47B6-9F0A-8D877D41669C}"/>
            </a:ext>
          </a:extLst>
        </xdr:cNvPr>
        <xdr:cNvSpPr txBox="1"/>
      </xdr:nvSpPr>
      <xdr:spPr>
        <a:xfrm>
          <a:off x="2815590" y="257556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chemeClr val="bg1"/>
              </a:solidFill>
              <a:latin typeface="+mn-lt"/>
              <a:ea typeface="+mn-ea"/>
              <a:cs typeface="+mn-cs"/>
            </a:rPr>
            <a:t>202</a:t>
          </a:r>
          <a:r>
            <a:rPr lang="pl-PL" sz="1800" b="1">
              <a:solidFill>
                <a:schemeClr val="bg1"/>
              </a:solidFill>
              <a:latin typeface="+mn-lt"/>
              <a:ea typeface="+mn-ea"/>
              <a:cs typeface="+mn-cs"/>
            </a:rPr>
            <a:t>5</a:t>
          </a:r>
          <a:endParaRPr lang="ru-RU" sz="18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213360</xdr:colOff>
      <xdr:row>17</xdr:row>
      <xdr:rowOff>60960</xdr:rowOff>
    </xdr:from>
    <xdr:to>
      <xdr:col>6</xdr:col>
      <xdr:colOff>396240</xdr:colOff>
      <xdr:row>28</xdr:row>
      <xdr:rowOff>60960</xdr:rowOff>
    </xdr:to>
    <xdr:sp macro="" textlink="">
      <xdr:nvSpPr>
        <xdr:cNvPr id="30" name="Circle: Hollow 29">
          <a:extLst>
            <a:ext uri="{FF2B5EF4-FFF2-40B4-BE49-F238E27FC236}">
              <a16:creationId xmlns:a16="http://schemas.microsoft.com/office/drawing/2014/main" id="{61788BFC-8C3D-4B7E-B727-3A555BC13FB7}"/>
            </a:ext>
          </a:extLst>
        </xdr:cNvPr>
        <xdr:cNvSpPr/>
      </xdr:nvSpPr>
      <xdr:spPr>
        <a:xfrm>
          <a:off x="2042160" y="3169920"/>
          <a:ext cx="2011680" cy="2011680"/>
        </a:xfrm>
        <a:prstGeom prst="donut">
          <a:avLst>
            <a:gd name="adj" fmla="val 19686"/>
          </a:avLst>
        </a:prstGeom>
        <a:gradFill flip="none" rotWithShape="1">
          <a:gsLst>
            <a:gs pos="33000">
              <a:schemeClr val="bg1"/>
            </a:gs>
            <a:gs pos="100000">
              <a:schemeClr val="bg1">
                <a:lumMod val="95000"/>
              </a:scheme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152019</xdr:colOff>
      <xdr:row>6</xdr:row>
      <xdr:rowOff>18826</xdr:rowOff>
    </xdr:from>
    <xdr:to>
      <xdr:col>20</xdr:col>
      <xdr:colOff>23241</xdr:colOff>
      <xdr:row>23</xdr:row>
      <xdr:rowOff>117886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532E9B67-AEF8-49F6-8680-9B1F5B2A32C2}"/>
            </a:ext>
          </a:extLst>
        </xdr:cNvPr>
        <xdr:cNvSpPr/>
      </xdr:nvSpPr>
      <xdr:spPr>
        <a:xfrm>
          <a:off x="8686419" y="1116106"/>
          <a:ext cx="3528822" cy="3208020"/>
        </a:xfrm>
        <a:prstGeom prst="ellipse">
          <a:avLst/>
        </a:prstGeom>
        <a:gradFill flip="none" rotWithShape="1">
          <a:gsLst>
            <a:gs pos="38000">
              <a:srgbClr val="0EBAC7"/>
            </a:gs>
            <a:gs pos="100000">
              <a:srgbClr val="8F36A8"/>
            </a:gs>
          </a:gsLst>
          <a:path path="circle">
            <a:fillToRect r="100000" b="100000"/>
          </a:path>
          <a:tileRect l="-100000" t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24</xdr:row>
          <xdr:rowOff>85725</xdr:rowOff>
        </xdr:from>
        <xdr:to>
          <xdr:col>5</xdr:col>
          <xdr:colOff>180975</xdr:colOff>
          <xdr:row>27</xdr:row>
          <xdr:rowOff>19050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13</xdr:col>
      <xdr:colOff>506797</xdr:colOff>
      <xdr:row>3</xdr:row>
      <xdr:rowOff>1024</xdr:rowOff>
    </xdr:from>
    <xdr:to>
      <xdr:col>20</xdr:col>
      <xdr:colOff>130574</xdr:colOff>
      <xdr:row>25</xdr:row>
      <xdr:rowOff>157934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AD8823D-A879-47EB-82D6-334CFD28A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487679</xdr:colOff>
      <xdr:row>10</xdr:row>
      <xdr:rowOff>178846</xdr:rowOff>
    </xdr:from>
    <xdr:to>
      <xdr:col>18</xdr:col>
      <xdr:colOff>119639</xdr:colOff>
      <xdr:row>18</xdr:row>
      <xdr:rowOff>149623</xdr:rowOff>
    </xdr:to>
    <xdr:sp macro="" textlink="">
      <xdr:nvSpPr>
        <xdr:cNvPr id="33" name="Isosceles Triangle 7">
          <a:extLst>
            <a:ext uri="{FF2B5EF4-FFF2-40B4-BE49-F238E27FC236}">
              <a16:creationId xmlns:a16="http://schemas.microsoft.com/office/drawing/2014/main" id="{D5B25985-B5A7-4BB2-B860-798B1B891BC4}"/>
            </a:ext>
          </a:extLst>
        </xdr:cNvPr>
        <xdr:cNvSpPr/>
      </xdr:nvSpPr>
      <xdr:spPr>
        <a:xfrm rot="10443392">
          <a:off x="9631679" y="2007646"/>
          <a:ext cx="1460760" cy="1433817"/>
        </a:xfrm>
        <a:custGeom>
          <a:avLst/>
          <a:gdLst>
            <a:gd name="connsiteX0" fmla="*/ 0 w 1378366"/>
            <a:gd name="connsiteY0" fmla="*/ 1234440 h 1234440"/>
            <a:gd name="connsiteX1" fmla="*/ 689183 w 1378366"/>
            <a:gd name="connsiteY1" fmla="*/ 0 h 1234440"/>
            <a:gd name="connsiteX2" fmla="*/ 1378366 w 1378366"/>
            <a:gd name="connsiteY2" fmla="*/ 1234440 h 1234440"/>
            <a:gd name="connsiteX3" fmla="*/ 0 w 1378366"/>
            <a:gd name="connsiteY3" fmla="*/ 1234440 h 1234440"/>
            <a:gd name="connsiteX0" fmla="*/ 15020 w 1393386"/>
            <a:gd name="connsiteY0" fmla="*/ 1234440 h 1388745"/>
            <a:gd name="connsiteX1" fmla="*/ 704203 w 1393386"/>
            <a:gd name="connsiteY1" fmla="*/ 0 h 1388745"/>
            <a:gd name="connsiteX2" fmla="*/ 1393386 w 1393386"/>
            <a:gd name="connsiteY2" fmla="*/ 1234440 h 1388745"/>
            <a:gd name="connsiteX3" fmla="*/ 15020 w 1393386"/>
            <a:gd name="connsiteY3" fmla="*/ 1234440 h 1388745"/>
            <a:gd name="connsiteX0" fmla="*/ 15020 w 1417372"/>
            <a:gd name="connsiteY0" fmla="*/ 1234440 h 1472008"/>
            <a:gd name="connsiteX1" fmla="*/ 704203 w 1417372"/>
            <a:gd name="connsiteY1" fmla="*/ 0 h 1472008"/>
            <a:gd name="connsiteX2" fmla="*/ 1393386 w 1417372"/>
            <a:gd name="connsiteY2" fmla="*/ 1234440 h 1472008"/>
            <a:gd name="connsiteX3" fmla="*/ 15020 w 1417372"/>
            <a:gd name="connsiteY3" fmla="*/ 1234440 h 1472008"/>
            <a:gd name="connsiteX0" fmla="*/ 15020 w 1417372"/>
            <a:gd name="connsiteY0" fmla="*/ 1307981 h 1545549"/>
            <a:gd name="connsiteX1" fmla="*/ 704203 w 1417372"/>
            <a:gd name="connsiteY1" fmla="*/ 73541 h 1545549"/>
            <a:gd name="connsiteX2" fmla="*/ 1393386 w 1417372"/>
            <a:gd name="connsiteY2" fmla="*/ 1307981 h 1545549"/>
            <a:gd name="connsiteX3" fmla="*/ 15020 w 1417372"/>
            <a:gd name="connsiteY3" fmla="*/ 1307981 h 1545549"/>
            <a:gd name="connsiteX0" fmla="*/ 26208 w 1428560"/>
            <a:gd name="connsiteY0" fmla="*/ 1256010 h 1493578"/>
            <a:gd name="connsiteX1" fmla="*/ 715391 w 1428560"/>
            <a:gd name="connsiteY1" fmla="*/ 21570 h 1493578"/>
            <a:gd name="connsiteX2" fmla="*/ 1404574 w 1428560"/>
            <a:gd name="connsiteY2" fmla="*/ 1256010 h 1493578"/>
            <a:gd name="connsiteX3" fmla="*/ 26208 w 1428560"/>
            <a:gd name="connsiteY3" fmla="*/ 1256010 h 1493578"/>
            <a:gd name="connsiteX0" fmla="*/ 20279 w 1422631"/>
            <a:gd name="connsiteY0" fmla="*/ 1237036 h 1474604"/>
            <a:gd name="connsiteX1" fmla="*/ 709462 w 1422631"/>
            <a:gd name="connsiteY1" fmla="*/ 2596 h 1474604"/>
            <a:gd name="connsiteX2" fmla="*/ 1398645 w 1422631"/>
            <a:gd name="connsiteY2" fmla="*/ 1237036 h 1474604"/>
            <a:gd name="connsiteX3" fmla="*/ 20279 w 1422631"/>
            <a:gd name="connsiteY3" fmla="*/ 1237036 h 1474604"/>
            <a:gd name="connsiteX0" fmla="*/ 20279 w 1412148"/>
            <a:gd name="connsiteY0" fmla="*/ 1237036 h 1525903"/>
            <a:gd name="connsiteX1" fmla="*/ 709462 w 1412148"/>
            <a:gd name="connsiteY1" fmla="*/ 2596 h 1525903"/>
            <a:gd name="connsiteX2" fmla="*/ 1398645 w 1412148"/>
            <a:gd name="connsiteY2" fmla="*/ 1237036 h 1525903"/>
            <a:gd name="connsiteX3" fmla="*/ 20279 w 1412148"/>
            <a:gd name="connsiteY3" fmla="*/ 1237036 h 1525903"/>
            <a:gd name="connsiteX0" fmla="*/ 20279 w 1406351"/>
            <a:gd name="connsiteY0" fmla="*/ 1237036 h 1484380"/>
            <a:gd name="connsiteX1" fmla="*/ 709462 w 1406351"/>
            <a:gd name="connsiteY1" fmla="*/ 2596 h 1484380"/>
            <a:gd name="connsiteX2" fmla="*/ 1398645 w 1406351"/>
            <a:gd name="connsiteY2" fmla="*/ 1237036 h 1484380"/>
            <a:gd name="connsiteX3" fmla="*/ 20279 w 1406351"/>
            <a:gd name="connsiteY3" fmla="*/ 1237036 h 1484380"/>
            <a:gd name="connsiteX0" fmla="*/ 20279 w 1421186"/>
            <a:gd name="connsiteY0" fmla="*/ 1237036 h 1475280"/>
            <a:gd name="connsiteX1" fmla="*/ 709462 w 1421186"/>
            <a:gd name="connsiteY1" fmla="*/ 2596 h 1475280"/>
            <a:gd name="connsiteX2" fmla="*/ 1398645 w 1421186"/>
            <a:gd name="connsiteY2" fmla="*/ 1237036 h 1475280"/>
            <a:gd name="connsiteX3" fmla="*/ 20279 w 1421186"/>
            <a:gd name="connsiteY3" fmla="*/ 1237036 h 1475280"/>
            <a:gd name="connsiteX0" fmla="*/ 56667 w 1457574"/>
            <a:gd name="connsiteY0" fmla="*/ 1237080 h 1481400"/>
            <a:gd name="connsiteX1" fmla="*/ 745850 w 1457574"/>
            <a:gd name="connsiteY1" fmla="*/ 2640 h 1481400"/>
            <a:gd name="connsiteX2" fmla="*/ 1435033 w 1457574"/>
            <a:gd name="connsiteY2" fmla="*/ 1237080 h 1481400"/>
            <a:gd name="connsiteX3" fmla="*/ 56667 w 1457574"/>
            <a:gd name="connsiteY3" fmla="*/ 1237080 h 1481400"/>
            <a:gd name="connsiteX0" fmla="*/ 56667 w 1454246"/>
            <a:gd name="connsiteY0" fmla="*/ 1237080 h 1434761"/>
            <a:gd name="connsiteX1" fmla="*/ 745850 w 1454246"/>
            <a:gd name="connsiteY1" fmla="*/ 2640 h 1434761"/>
            <a:gd name="connsiteX2" fmla="*/ 1435033 w 1454246"/>
            <a:gd name="connsiteY2" fmla="*/ 1237080 h 1434761"/>
            <a:gd name="connsiteX3" fmla="*/ 56667 w 1454246"/>
            <a:gd name="connsiteY3" fmla="*/ 1237080 h 1434761"/>
            <a:gd name="connsiteX0" fmla="*/ 56667 w 1460760"/>
            <a:gd name="connsiteY0" fmla="*/ 1237080 h 1433817"/>
            <a:gd name="connsiteX1" fmla="*/ 745850 w 1460760"/>
            <a:gd name="connsiteY1" fmla="*/ 2640 h 1433817"/>
            <a:gd name="connsiteX2" fmla="*/ 1435033 w 1460760"/>
            <a:gd name="connsiteY2" fmla="*/ 1237080 h 1433817"/>
            <a:gd name="connsiteX3" fmla="*/ 56667 w 1460760"/>
            <a:gd name="connsiteY3" fmla="*/ 1237080 h 143381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460760" h="1433817">
              <a:moveTo>
                <a:pt x="56667" y="1237080"/>
              </a:moveTo>
              <a:cubicBezTo>
                <a:pt x="-171094" y="1011925"/>
                <a:pt x="334246" y="-60038"/>
                <a:pt x="745850" y="2640"/>
              </a:cubicBezTo>
              <a:cubicBezTo>
                <a:pt x="1157454" y="65318"/>
                <a:pt x="1568787" y="940052"/>
                <a:pt x="1435033" y="1237080"/>
              </a:cubicBezTo>
              <a:cubicBezTo>
                <a:pt x="1301279" y="1534108"/>
                <a:pt x="284428" y="1462235"/>
                <a:pt x="56667" y="1237080"/>
              </a:cubicBez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/>
        </a:p>
      </xdr:txBody>
    </xdr:sp>
    <xdr:clientData/>
  </xdr:twoCellAnchor>
  <xdr:twoCellAnchor>
    <xdr:from>
      <xdr:col>13</xdr:col>
      <xdr:colOff>299477</xdr:colOff>
      <xdr:row>3</xdr:row>
      <xdr:rowOff>125464</xdr:rowOff>
    </xdr:from>
    <xdr:to>
      <xdr:col>20</xdr:col>
      <xdr:colOff>391997</xdr:colOff>
      <xdr:row>26</xdr:row>
      <xdr:rowOff>155881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023A85E2-9F10-4D1B-BF2E-554D6FFA3367}"/>
            </a:ext>
          </a:extLst>
        </xdr:cNvPr>
        <xdr:cNvSpPr/>
      </xdr:nvSpPr>
      <xdr:spPr>
        <a:xfrm rot="9900000">
          <a:off x="8224277" y="680635"/>
          <a:ext cx="4359720" cy="4286732"/>
        </a:xfrm>
        <a:custGeom>
          <a:avLst/>
          <a:gdLst>
            <a:gd name="connsiteX0" fmla="*/ 1376057 w 4359720"/>
            <a:gd name="connsiteY0" fmla="*/ 3472792 h 4359720"/>
            <a:gd name="connsiteX1" fmla="*/ 3577284 w 4359720"/>
            <a:gd name="connsiteY1" fmla="*/ 2933960 h 4359720"/>
            <a:gd name="connsiteX2" fmla="*/ 2192238 w 4359720"/>
            <a:gd name="connsiteY2" fmla="*/ 793620 h 4359720"/>
            <a:gd name="connsiteX3" fmla="*/ 831001 w 4359720"/>
            <a:gd name="connsiteY3" fmla="*/ 3140580 h 4359720"/>
            <a:gd name="connsiteX4" fmla="*/ 1376057 w 4359720"/>
            <a:gd name="connsiteY4" fmla="*/ 3472792 h 4359720"/>
            <a:gd name="connsiteX5" fmla="*/ 1615810 w 4359720"/>
            <a:gd name="connsiteY5" fmla="*/ 4284921 h 4359720"/>
            <a:gd name="connsiteX6" fmla="*/ 74799 w 4359720"/>
            <a:gd name="connsiteY6" fmla="*/ 1615810 h 4359720"/>
            <a:gd name="connsiteX7" fmla="*/ 2743910 w 4359720"/>
            <a:gd name="connsiteY7" fmla="*/ 74799 h 4359720"/>
            <a:gd name="connsiteX8" fmla="*/ 4284921 w 4359720"/>
            <a:gd name="connsiteY8" fmla="*/ 2743910 h 4359720"/>
            <a:gd name="connsiteX9" fmla="*/ 1615810 w 4359720"/>
            <a:gd name="connsiteY9" fmla="*/ 4284921 h 43597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359720" h="4359720">
              <a:moveTo>
                <a:pt x="1376057" y="3472792"/>
              </a:moveTo>
              <a:cubicBezTo>
                <a:pt x="2176670" y="3687842"/>
                <a:pt x="3535567" y="3540612"/>
                <a:pt x="3577284" y="2933960"/>
              </a:cubicBezTo>
              <a:cubicBezTo>
                <a:pt x="3632906" y="2125090"/>
                <a:pt x="2811879" y="802571"/>
                <a:pt x="2192238" y="793620"/>
              </a:cubicBezTo>
              <a:cubicBezTo>
                <a:pt x="1572597" y="784669"/>
                <a:pt x="537617" y="2546212"/>
                <a:pt x="831001" y="3140580"/>
              </a:cubicBezTo>
              <a:cubicBezTo>
                <a:pt x="904347" y="3289172"/>
                <a:pt x="1109186" y="3401109"/>
                <a:pt x="1376057" y="3472792"/>
              </a:cubicBezTo>
              <a:close/>
              <a:moveTo>
                <a:pt x="1615810" y="4284921"/>
              </a:moveTo>
              <a:cubicBezTo>
                <a:pt x="453217" y="3973406"/>
                <a:pt x="-236717" y="2778404"/>
                <a:pt x="74799" y="1615810"/>
              </a:cubicBezTo>
              <a:cubicBezTo>
                <a:pt x="386314" y="453217"/>
                <a:pt x="1581316" y="-236717"/>
                <a:pt x="2743910" y="74799"/>
              </a:cubicBezTo>
              <a:cubicBezTo>
                <a:pt x="3906503" y="386314"/>
                <a:pt x="4596437" y="1581316"/>
                <a:pt x="4284921" y="2743910"/>
              </a:cubicBezTo>
              <a:cubicBezTo>
                <a:pt x="3973406" y="3906503"/>
                <a:pt x="2778404" y="4596437"/>
                <a:pt x="1615810" y="4284921"/>
              </a:cubicBezTo>
              <a:close/>
            </a:path>
          </a:pathLst>
        </a:custGeom>
        <a:solidFill>
          <a:srgbClr val="00849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/>
        </a:p>
      </xdr:txBody>
    </xdr:sp>
    <xdr:clientData/>
  </xdr:twoCellAnchor>
  <xdr:twoCellAnchor>
    <xdr:from>
      <xdr:col>14</xdr:col>
      <xdr:colOff>545374</xdr:colOff>
      <xdr:row>21</xdr:row>
      <xdr:rowOff>59871</xdr:rowOff>
    </xdr:from>
    <xdr:to>
      <xdr:col>23</xdr:col>
      <xdr:colOff>606334</xdr:colOff>
      <xdr:row>40</xdr:row>
      <xdr:rowOff>50172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DF9038-4542-4EDC-82A8-B87C64B07324}"/>
            </a:ext>
          </a:extLst>
        </xdr:cNvPr>
        <xdr:cNvGrpSpPr/>
      </xdr:nvGrpSpPr>
      <xdr:grpSpPr>
        <a:xfrm>
          <a:off x="8879749" y="4122879"/>
          <a:ext cx="5399723" cy="3606824"/>
          <a:chOff x="10256520" y="3992880"/>
          <a:chExt cx="5943600" cy="4775661"/>
        </a:xfrm>
      </xdr:grpSpPr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EB2A7AB1-1108-BD28-B864-D16DFC1C9E58}"/>
              </a:ext>
            </a:extLst>
          </xdr:cNvPr>
          <xdr:cNvGraphicFramePr>
            <a:graphicFrameLocks/>
          </xdr:cNvGraphicFramePr>
        </xdr:nvGraphicFramePr>
        <xdr:xfrm>
          <a:off x="10256520" y="3992880"/>
          <a:ext cx="5943600" cy="47756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7" name="Chart 36">
            <a:extLst>
              <a:ext uri="{FF2B5EF4-FFF2-40B4-BE49-F238E27FC236}">
                <a16:creationId xmlns:a16="http://schemas.microsoft.com/office/drawing/2014/main" id="{D3717448-4827-64BD-DFDC-E747D986793C}"/>
              </a:ext>
            </a:extLst>
          </xdr:cNvPr>
          <xdr:cNvGraphicFramePr>
            <a:graphicFrameLocks/>
          </xdr:cNvGraphicFramePr>
        </xdr:nvGraphicFramePr>
        <xdr:xfrm>
          <a:off x="10256520" y="4682298"/>
          <a:ext cx="5943600" cy="396722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22</xdr:col>
      <xdr:colOff>468726</xdr:colOff>
      <xdr:row>5</xdr:row>
      <xdr:rowOff>177371</xdr:rowOff>
    </xdr:from>
    <xdr:to>
      <xdr:col>32</xdr:col>
      <xdr:colOff>492037</xdr:colOff>
      <xdr:row>26</xdr:row>
      <xdr:rowOff>84026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2B9A7A4C-3EFE-406B-A367-56FC94BA4EF6}"/>
            </a:ext>
          </a:extLst>
        </xdr:cNvPr>
        <xdr:cNvGrpSpPr/>
      </xdr:nvGrpSpPr>
      <xdr:grpSpPr>
        <a:xfrm>
          <a:off x="13565601" y="1144754"/>
          <a:ext cx="5976436" cy="3910131"/>
          <a:chOff x="14764873" y="1118666"/>
          <a:chExt cx="5760720" cy="3456662"/>
        </a:xfrm>
      </xdr:grpSpPr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260DCAD6-209C-1E48-DDBE-80F6EBF1CBEA}"/>
              </a:ext>
            </a:extLst>
          </xdr:cNvPr>
          <xdr:cNvGraphicFramePr>
            <a:graphicFrameLocks/>
          </xdr:cNvGraphicFramePr>
        </xdr:nvGraphicFramePr>
        <xdr:xfrm>
          <a:off x="14764873" y="1118666"/>
          <a:ext cx="5760720" cy="34566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0" name="Chord 39">
            <a:extLst>
              <a:ext uri="{FF2B5EF4-FFF2-40B4-BE49-F238E27FC236}">
                <a16:creationId xmlns:a16="http://schemas.microsoft.com/office/drawing/2014/main" id="{1E4E8891-DF9A-A7DC-9465-7D00B690B29C}"/>
              </a:ext>
            </a:extLst>
          </xdr:cNvPr>
          <xdr:cNvSpPr/>
        </xdr:nvSpPr>
        <xdr:spPr>
          <a:xfrm rot="5400000">
            <a:off x="16371622" y="1768355"/>
            <a:ext cx="2163901" cy="2212116"/>
          </a:xfrm>
          <a:prstGeom prst="chord">
            <a:avLst>
              <a:gd name="adj1" fmla="val 5388822"/>
              <a:gd name="adj2" fmla="val 16200000"/>
            </a:avLst>
          </a:prstGeom>
          <a:solidFill>
            <a:srgbClr val="008491"/>
          </a:solidFill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5A3DC644-A2D2-7221-08A2-A3A2F2EDCC3B}"/>
              </a:ext>
            </a:extLst>
          </xdr:cNvPr>
          <xdr:cNvSpPr/>
        </xdr:nvSpPr>
        <xdr:spPr>
          <a:xfrm>
            <a:off x="16125355" y="2836482"/>
            <a:ext cx="3049354" cy="1618977"/>
          </a:xfrm>
          <a:prstGeom prst="rect">
            <a:avLst/>
          </a:prstGeom>
          <a:solidFill>
            <a:srgbClr val="00849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4</xdr:col>
      <xdr:colOff>377190</xdr:colOff>
      <xdr:row>29</xdr:row>
      <xdr:rowOff>175260</xdr:rowOff>
    </xdr:from>
    <xdr:to>
      <xdr:col>5</xdr:col>
      <xdr:colOff>430530</xdr:colOff>
      <xdr:row>31</xdr:row>
      <xdr:rowOff>137160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72A23B3-9127-494B-AB2A-988DB03608B0}"/>
            </a:ext>
          </a:extLst>
        </xdr:cNvPr>
        <xdr:cNvSpPr txBox="1"/>
      </xdr:nvSpPr>
      <xdr:spPr>
        <a:xfrm>
          <a:off x="2815590" y="5478780"/>
          <a:ext cx="6629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1800" b="1">
              <a:solidFill>
                <a:schemeClr val="bg1"/>
              </a:solidFill>
              <a:latin typeface="+mn-lt"/>
              <a:ea typeface="+mn-ea"/>
              <a:cs typeface="+mn-cs"/>
            </a:rPr>
            <a:t>20</a:t>
          </a:r>
          <a:r>
            <a:rPr lang="pl-PL" sz="1800" b="1">
              <a:solidFill>
                <a:schemeClr val="bg1"/>
              </a:solidFill>
              <a:latin typeface="+mn-lt"/>
              <a:ea typeface="+mn-ea"/>
              <a:cs typeface="+mn-cs"/>
            </a:rPr>
            <a:t>30</a:t>
          </a:r>
          <a:endParaRPr lang="ru-RU" sz="18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609599</xdr:colOff>
      <xdr:row>20</xdr:row>
      <xdr:rowOff>111423</xdr:rowOff>
    </xdr:from>
    <xdr:to>
      <xdr:col>35</xdr:col>
      <xdr:colOff>250371</xdr:colOff>
      <xdr:row>70</xdr:row>
      <xdr:rowOff>115939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74460DC-9A31-4DE1-92E2-074878A4D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43542</xdr:colOff>
      <xdr:row>22</xdr:row>
      <xdr:rowOff>119743</xdr:rowOff>
    </xdr:from>
    <xdr:to>
      <xdr:col>31</xdr:col>
      <xdr:colOff>348342</xdr:colOff>
      <xdr:row>38</xdr:row>
      <xdr:rowOff>141514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C9CB699-D60F-4DCD-AC0C-E9C52A88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414529</xdr:colOff>
      <xdr:row>42</xdr:row>
      <xdr:rowOff>108141</xdr:rowOff>
    </xdr:from>
    <xdr:to>
      <xdr:col>10</xdr:col>
      <xdr:colOff>474139</xdr:colOff>
      <xdr:row>55</xdr:row>
      <xdr:rowOff>160000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16A07039-8330-42C2-9124-B9F66A47FB67}"/>
            </a:ext>
          </a:extLst>
        </xdr:cNvPr>
        <xdr:cNvGrpSpPr/>
      </xdr:nvGrpSpPr>
      <xdr:grpSpPr>
        <a:xfrm>
          <a:off x="2200467" y="8174625"/>
          <a:ext cx="4226797" cy="2567055"/>
          <a:chOff x="7342093" y="8617004"/>
          <a:chExt cx="3731944" cy="2035155"/>
        </a:xfrm>
      </xdr:grpSpPr>
      <xdr:graphicFrame macro="">
        <xdr:nvGraphicFramePr>
          <xdr:cNvPr id="46" name="Chart 45">
            <a:extLst>
              <a:ext uri="{FF2B5EF4-FFF2-40B4-BE49-F238E27FC236}">
                <a16:creationId xmlns:a16="http://schemas.microsoft.com/office/drawing/2014/main" id="{EC727621-856F-65C9-5D2C-D3A63DEC6F0C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47" name="Isosceles Triangle 38">
            <a:extLst>
              <a:ext uri="{FF2B5EF4-FFF2-40B4-BE49-F238E27FC236}">
                <a16:creationId xmlns:a16="http://schemas.microsoft.com/office/drawing/2014/main" id="{F0068D42-9644-D2E0-FEF5-4ECE1E24FA88}"/>
              </a:ext>
            </a:extLst>
          </xdr:cNvPr>
          <xdr:cNvSpPr/>
        </xdr:nvSpPr>
        <xdr:spPr>
          <a:xfrm rot="16200000">
            <a:off x="7750105" y="8927791"/>
            <a:ext cx="1749076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81A5B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48" name="Moon 47">
            <a:extLst>
              <a:ext uri="{FF2B5EF4-FFF2-40B4-BE49-F238E27FC236}">
                <a16:creationId xmlns:a16="http://schemas.microsoft.com/office/drawing/2014/main" id="{7BE837E7-1310-974E-7848-BB79DE61CCB7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81A5B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49" name="Moon 48">
            <a:extLst>
              <a:ext uri="{FF2B5EF4-FFF2-40B4-BE49-F238E27FC236}">
                <a16:creationId xmlns:a16="http://schemas.microsoft.com/office/drawing/2014/main" id="{B912E664-4D36-1968-FC2D-56EC404B138E}"/>
              </a:ext>
            </a:extLst>
          </xdr:cNvPr>
          <xdr:cNvSpPr/>
        </xdr:nvSpPr>
        <xdr:spPr>
          <a:xfrm rot="7200000">
            <a:off x="8534398" y="8408894"/>
            <a:ext cx="672353" cy="1201270"/>
          </a:xfrm>
          <a:prstGeom prst="moon">
            <a:avLst>
              <a:gd name="adj" fmla="val 87500"/>
            </a:avLst>
          </a:prstGeom>
          <a:solidFill>
            <a:srgbClr val="81A5B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0" name="Moon 49">
            <a:extLst>
              <a:ext uri="{FF2B5EF4-FFF2-40B4-BE49-F238E27FC236}">
                <a16:creationId xmlns:a16="http://schemas.microsoft.com/office/drawing/2014/main" id="{35C8B849-2AC5-A575-D666-83E8EBEE92FD}"/>
              </a:ext>
            </a:extLst>
          </xdr:cNvPr>
          <xdr:cNvSpPr/>
        </xdr:nvSpPr>
        <xdr:spPr>
          <a:xfrm rot="11843358">
            <a:off x="8588186" y="9430869"/>
            <a:ext cx="672353" cy="1201270"/>
          </a:xfrm>
          <a:prstGeom prst="moon">
            <a:avLst>
              <a:gd name="adj" fmla="val 38900"/>
            </a:avLst>
          </a:prstGeom>
          <a:solidFill>
            <a:srgbClr val="81A5B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11</xdr:col>
      <xdr:colOff>279461</xdr:colOff>
      <xdr:row>44</xdr:row>
      <xdr:rowOff>33242</xdr:rowOff>
    </xdr:from>
    <xdr:to>
      <xdr:col>16</xdr:col>
      <xdr:colOff>493623</xdr:colOff>
      <xdr:row>54</xdr:row>
      <xdr:rowOff>19268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7A441EAE-FFD3-40C3-BE40-131F9A8E528A}"/>
            </a:ext>
          </a:extLst>
        </xdr:cNvPr>
        <xdr:cNvGrpSpPr/>
      </xdr:nvGrpSpPr>
      <xdr:grpSpPr>
        <a:xfrm>
          <a:off x="6827899" y="8486680"/>
          <a:ext cx="3190724" cy="1920791"/>
          <a:chOff x="7342093" y="8617004"/>
          <a:chExt cx="3731944" cy="2035155"/>
        </a:xfrm>
      </xdr:grpSpPr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8DD6769A-DA33-39A3-9D3A-5E54883C7430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53" name="Isosceles Triangle 38">
            <a:extLst>
              <a:ext uri="{FF2B5EF4-FFF2-40B4-BE49-F238E27FC236}">
                <a16:creationId xmlns:a16="http://schemas.microsoft.com/office/drawing/2014/main" id="{652A0983-779D-160C-06B1-DC5428F2E3D6}"/>
              </a:ext>
            </a:extLst>
          </xdr:cNvPr>
          <xdr:cNvSpPr/>
        </xdr:nvSpPr>
        <xdr:spPr>
          <a:xfrm rot="16200000">
            <a:off x="7829609" y="8927790"/>
            <a:ext cx="1590068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4" name="Moon 53">
            <a:extLst>
              <a:ext uri="{FF2B5EF4-FFF2-40B4-BE49-F238E27FC236}">
                <a16:creationId xmlns:a16="http://schemas.microsoft.com/office/drawing/2014/main" id="{B46DCC90-7C64-0719-0B3F-8F7AE3D11EDE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5" name="Moon 54">
            <a:extLst>
              <a:ext uri="{FF2B5EF4-FFF2-40B4-BE49-F238E27FC236}">
                <a16:creationId xmlns:a16="http://schemas.microsoft.com/office/drawing/2014/main" id="{907BA961-CAED-BA83-39E2-1403796E64C0}"/>
              </a:ext>
            </a:extLst>
          </xdr:cNvPr>
          <xdr:cNvSpPr/>
        </xdr:nvSpPr>
        <xdr:spPr>
          <a:xfrm rot="7200000">
            <a:off x="8534398" y="8408894"/>
            <a:ext cx="672353" cy="1201270"/>
          </a:xfrm>
          <a:prstGeom prst="moon">
            <a:avLst>
              <a:gd name="adj" fmla="val 87500"/>
            </a:avLst>
          </a:pr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6" name="Moon 55">
            <a:extLst>
              <a:ext uri="{FF2B5EF4-FFF2-40B4-BE49-F238E27FC236}">
                <a16:creationId xmlns:a16="http://schemas.microsoft.com/office/drawing/2014/main" id="{A0192148-41F0-FC17-492D-E37F7005E927}"/>
              </a:ext>
            </a:extLst>
          </xdr:cNvPr>
          <xdr:cNvSpPr/>
        </xdr:nvSpPr>
        <xdr:spPr>
          <a:xfrm rot="11843358">
            <a:off x="8588186" y="9430869"/>
            <a:ext cx="672353" cy="1201270"/>
          </a:xfrm>
          <a:prstGeom prst="moon">
            <a:avLst>
              <a:gd name="adj" fmla="val 38900"/>
            </a:avLst>
          </a:prstGeom>
          <a:solidFill>
            <a:srgbClr val="53809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17</xdr:col>
      <xdr:colOff>251320</xdr:colOff>
      <xdr:row>45</xdr:row>
      <xdr:rowOff>98211</xdr:rowOff>
    </xdr:from>
    <xdr:to>
      <xdr:col>21</xdr:col>
      <xdr:colOff>200393</xdr:colOff>
      <xdr:row>52</xdr:row>
      <xdr:rowOff>150884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C40DB24C-B776-4865-8F89-A2D8F261BBE8}"/>
            </a:ext>
          </a:extLst>
        </xdr:cNvPr>
        <xdr:cNvGrpSpPr/>
      </xdr:nvGrpSpPr>
      <xdr:grpSpPr>
        <a:xfrm>
          <a:off x="10371633" y="8745125"/>
          <a:ext cx="2330323" cy="1407009"/>
          <a:chOff x="7342093" y="8617004"/>
          <a:chExt cx="3731944" cy="2035155"/>
        </a:xfrm>
      </xdr:grpSpPr>
      <xdr:graphicFrame macro="">
        <xdr:nvGraphicFramePr>
          <xdr:cNvPr id="58" name="Chart 57">
            <a:extLst>
              <a:ext uri="{FF2B5EF4-FFF2-40B4-BE49-F238E27FC236}">
                <a16:creationId xmlns:a16="http://schemas.microsoft.com/office/drawing/2014/main" id="{FCB99A01-6F5D-A6FA-21BF-37B87D1C41AF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59" name="Isosceles Triangle 38">
            <a:extLst>
              <a:ext uri="{FF2B5EF4-FFF2-40B4-BE49-F238E27FC236}">
                <a16:creationId xmlns:a16="http://schemas.microsoft.com/office/drawing/2014/main" id="{B5477C79-B3E4-56F6-C2F9-A948CFB9582C}"/>
              </a:ext>
            </a:extLst>
          </xdr:cNvPr>
          <xdr:cNvSpPr/>
        </xdr:nvSpPr>
        <xdr:spPr>
          <a:xfrm rot="16200000">
            <a:off x="7829608" y="8927790"/>
            <a:ext cx="1590069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60" name="Moon 59">
            <a:extLst>
              <a:ext uri="{FF2B5EF4-FFF2-40B4-BE49-F238E27FC236}">
                <a16:creationId xmlns:a16="http://schemas.microsoft.com/office/drawing/2014/main" id="{BD56809B-91E5-26BD-EA02-A26F2520CB58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61" name="Moon 60">
            <a:extLst>
              <a:ext uri="{FF2B5EF4-FFF2-40B4-BE49-F238E27FC236}">
                <a16:creationId xmlns:a16="http://schemas.microsoft.com/office/drawing/2014/main" id="{0630D5A3-1D64-0B16-7744-ED98D40D48C8}"/>
              </a:ext>
            </a:extLst>
          </xdr:cNvPr>
          <xdr:cNvSpPr/>
        </xdr:nvSpPr>
        <xdr:spPr>
          <a:xfrm rot="7200000">
            <a:off x="8534398" y="8451992"/>
            <a:ext cx="672353" cy="1201270"/>
          </a:xfrm>
          <a:prstGeom prst="moon">
            <a:avLst>
              <a:gd name="adj" fmla="val 87500"/>
            </a:avLst>
          </a:pr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62" name="Moon 61">
            <a:extLst>
              <a:ext uri="{FF2B5EF4-FFF2-40B4-BE49-F238E27FC236}">
                <a16:creationId xmlns:a16="http://schemas.microsoft.com/office/drawing/2014/main" id="{D9025DD7-47A9-06BA-8538-617B05DCA2F2}"/>
              </a:ext>
            </a:extLst>
          </xdr:cNvPr>
          <xdr:cNvSpPr/>
        </xdr:nvSpPr>
        <xdr:spPr>
          <a:xfrm rot="11843358">
            <a:off x="8588186" y="9409320"/>
            <a:ext cx="672353" cy="1201269"/>
          </a:xfrm>
          <a:prstGeom prst="moon">
            <a:avLst>
              <a:gd name="adj" fmla="val 38900"/>
            </a:avLst>
          </a:prstGeom>
          <a:solidFill>
            <a:srgbClr val="41647A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21</xdr:col>
      <xdr:colOff>567691</xdr:colOff>
      <xdr:row>46</xdr:row>
      <xdr:rowOff>96929</xdr:rowOff>
    </xdr:from>
    <xdr:to>
      <xdr:col>24</xdr:col>
      <xdr:colOff>473500</xdr:colOff>
      <xdr:row>51</xdr:row>
      <xdr:rowOff>152163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7B35D4CE-D2D2-4712-A676-15EBFAA6F8D8}"/>
            </a:ext>
          </a:extLst>
        </xdr:cNvPr>
        <xdr:cNvGrpSpPr/>
      </xdr:nvGrpSpPr>
      <xdr:grpSpPr>
        <a:xfrm>
          <a:off x="13069254" y="8937320"/>
          <a:ext cx="1691746" cy="1022616"/>
          <a:chOff x="7342093" y="8617004"/>
          <a:chExt cx="3731944" cy="2035155"/>
        </a:xfrm>
      </xdr:grpSpPr>
      <xdr:graphicFrame macro="">
        <xdr:nvGraphicFramePr>
          <xdr:cNvPr id="5120" name="Chart 5119">
            <a:extLst>
              <a:ext uri="{FF2B5EF4-FFF2-40B4-BE49-F238E27FC236}">
                <a16:creationId xmlns:a16="http://schemas.microsoft.com/office/drawing/2014/main" id="{52AFBA26-CB6F-164C-7596-AD2BB492BAAA}"/>
              </a:ext>
            </a:extLst>
          </xdr:cNvPr>
          <xdr:cNvGraphicFramePr>
            <a:graphicFrameLocks/>
          </xdr:cNvGraphicFramePr>
        </xdr:nvGraphicFramePr>
        <xdr:xfrm>
          <a:off x="7576457" y="8617004"/>
          <a:ext cx="3497580" cy="2035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5122" name="Isosceles Triangle 38">
            <a:extLst>
              <a:ext uri="{FF2B5EF4-FFF2-40B4-BE49-F238E27FC236}">
                <a16:creationId xmlns:a16="http://schemas.microsoft.com/office/drawing/2014/main" id="{A1CC1115-2552-6B5F-3304-2EF819A7B83F}"/>
              </a:ext>
            </a:extLst>
          </xdr:cNvPr>
          <xdr:cNvSpPr/>
        </xdr:nvSpPr>
        <xdr:spPr>
          <a:xfrm rot="16200000">
            <a:off x="7901886" y="8927789"/>
            <a:ext cx="1445518" cy="1417611"/>
          </a:xfrm>
          <a:custGeom>
            <a:avLst/>
            <a:gdLst>
              <a:gd name="connsiteX0" fmla="*/ 0 w 1702576"/>
              <a:gd name="connsiteY0" fmla="*/ 1533683 h 1533683"/>
              <a:gd name="connsiteX1" fmla="*/ 851288 w 1702576"/>
              <a:gd name="connsiteY1" fmla="*/ 0 h 1533683"/>
              <a:gd name="connsiteX2" fmla="*/ 1702576 w 1702576"/>
              <a:gd name="connsiteY2" fmla="*/ 1533683 h 1533683"/>
              <a:gd name="connsiteX3" fmla="*/ 0 w 1702576"/>
              <a:gd name="connsiteY3" fmla="*/ 1533683 h 1533683"/>
              <a:gd name="connsiteX0" fmla="*/ 18553 w 1739682"/>
              <a:gd name="connsiteY0" fmla="*/ 1533683 h 1533683"/>
              <a:gd name="connsiteX1" fmla="*/ 869841 w 1739682"/>
              <a:gd name="connsiteY1" fmla="*/ 0 h 1533683"/>
              <a:gd name="connsiteX2" fmla="*/ 1721129 w 1739682"/>
              <a:gd name="connsiteY2" fmla="*/ 1533683 h 1533683"/>
              <a:gd name="connsiteX3" fmla="*/ 18553 w 1739682"/>
              <a:gd name="connsiteY3" fmla="*/ 1533683 h 1533683"/>
              <a:gd name="connsiteX0" fmla="*/ 35173 w 1772922"/>
              <a:gd name="connsiteY0" fmla="*/ 1533729 h 1533729"/>
              <a:gd name="connsiteX1" fmla="*/ 886461 w 1772922"/>
              <a:gd name="connsiteY1" fmla="*/ 46 h 1533729"/>
              <a:gd name="connsiteX2" fmla="*/ 1737749 w 1772922"/>
              <a:gd name="connsiteY2" fmla="*/ 1533729 h 1533729"/>
              <a:gd name="connsiteX3" fmla="*/ 35173 w 1772922"/>
              <a:gd name="connsiteY3" fmla="*/ 1533729 h 1533729"/>
              <a:gd name="connsiteX0" fmla="*/ 34530 w 1772945"/>
              <a:gd name="connsiteY0" fmla="*/ 1363404 h 1363404"/>
              <a:gd name="connsiteX1" fmla="*/ 894783 w 1772945"/>
              <a:gd name="connsiteY1" fmla="*/ 54 h 1363404"/>
              <a:gd name="connsiteX2" fmla="*/ 1737106 w 1772945"/>
              <a:gd name="connsiteY2" fmla="*/ 1363404 h 1363404"/>
              <a:gd name="connsiteX3" fmla="*/ 34530 w 1772945"/>
              <a:gd name="connsiteY3" fmla="*/ 1363404 h 1363404"/>
              <a:gd name="connsiteX0" fmla="*/ 39578 w 1773717"/>
              <a:gd name="connsiteY0" fmla="*/ 1363401 h 1363401"/>
              <a:gd name="connsiteX1" fmla="*/ 836464 w 1773717"/>
              <a:gd name="connsiteY1" fmla="*/ 54 h 1363401"/>
              <a:gd name="connsiteX2" fmla="*/ 1742154 w 1773717"/>
              <a:gd name="connsiteY2" fmla="*/ 1363401 h 1363401"/>
              <a:gd name="connsiteX3" fmla="*/ 39578 w 1773717"/>
              <a:gd name="connsiteY3" fmla="*/ 1363401 h 1363401"/>
              <a:gd name="connsiteX0" fmla="*/ 39578 w 1748587"/>
              <a:gd name="connsiteY0" fmla="*/ 1363401 h 1363401"/>
              <a:gd name="connsiteX1" fmla="*/ 836464 w 1748587"/>
              <a:gd name="connsiteY1" fmla="*/ 54 h 1363401"/>
              <a:gd name="connsiteX2" fmla="*/ 1742154 w 1748587"/>
              <a:gd name="connsiteY2" fmla="*/ 1363401 h 1363401"/>
              <a:gd name="connsiteX3" fmla="*/ 39578 w 1748587"/>
              <a:gd name="connsiteY3" fmla="*/ 1363401 h 1363401"/>
              <a:gd name="connsiteX0" fmla="*/ 9453 w 1718462"/>
              <a:gd name="connsiteY0" fmla="*/ 1363424 h 1363424"/>
              <a:gd name="connsiteX1" fmla="*/ 806339 w 1718462"/>
              <a:gd name="connsiteY1" fmla="*/ 77 h 1363424"/>
              <a:gd name="connsiteX2" fmla="*/ 1712029 w 1718462"/>
              <a:gd name="connsiteY2" fmla="*/ 1363424 h 1363424"/>
              <a:gd name="connsiteX3" fmla="*/ 9453 w 1718462"/>
              <a:gd name="connsiteY3" fmla="*/ 1363424 h 1363424"/>
              <a:gd name="connsiteX0" fmla="*/ 6590 w 1714062"/>
              <a:gd name="connsiteY0" fmla="*/ 1363402 h 1363402"/>
              <a:gd name="connsiteX1" fmla="*/ 803476 w 1714062"/>
              <a:gd name="connsiteY1" fmla="*/ 55 h 1363402"/>
              <a:gd name="connsiteX2" fmla="*/ 1709166 w 1714062"/>
              <a:gd name="connsiteY2" fmla="*/ 1363402 h 1363402"/>
              <a:gd name="connsiteX3" fmla="*/ 6590 w 1714062"/>
              <a:gd name="connsiteY3" fmla="*/ 1363402 h 1363402"/>
              <a:gd name="connsiteX0" fmla="*/ 4782 w 1711160"/>
              <a:gd name="connsiteY0" fmla="*/ 1363424 h 1363424"/>
              <a:gd name="connsiteX1" fmla="*/ 801668 w 1711160"/>
              <a:gd name="connsiteY1" fmla="*/ 77 h 1363424"/>
              <a:gd name="connsiteX2" fmla="*/ 1707358 w 1711160"/>
              <a:gd name="connsiteY2" fmla="*/ 1363424 h 1363424"/>
              <a:gd name="connsiteX3" fmla="*/ 4782 w 1711160"/>
              <a:gd name="connsiteY3" fmla="*/ 1363424 h 1363424"/>
              <a:gd name="connsiteX0" fmla="*/ 3435 w 1709813"/>
              <a:gd name="connsiteY0" fmla="*/ 1363427 h 1363427"/>
              <a:gd name="connsiteX1" fmla="*/ 800321 w 1709813"/>
              <a:gd name="connsiteY1" fmla="*/ 80 h 1363427"/>
              <a:gd name="connsiteX2" fmla="*/ 1706011 w 1709813"/>
              <a:gd name="connsiteY2" fmla="*/ 1363427 h 1363427"/>
              <a:gd name="connsiteX3" fmla="*/ 3435 w 1709813"/>
              <a:gd name="connsiteY3" fmla="*/ 1363427 h 1363427"/>
              <a:gd name="connsiteX0" fmla="*/ 2251 w 1730277"/>
              <a:gd name="connsiteY0" fmla="*/ 1363349 h 1363349"/>
              <a:gd name="connsiteX1" fmla="*/ 821792 w 1730277"/>
              <a:gd name="connsiteY1" fmla="*/ 0 h 1363349"/>
              <a:gd name="connsiteX2" fmla="*/ 1727482 w 1730277"/>
              <a:gd name="connsiteY2" fmla="*/ 1363347 h 1363349"/>
              <a:gd name="connsiteX3" fmla="*/ 2251 w 1730277"/>
              <a:gd name="connsiteY3" fmla="*/ 1363349 h 1363349"/>
              <a:gd name="connsiteX0" fmla="*/ 2306 w 1713329"/>
              <a:gd name="connsiteY0" fmla="*/ 1363349 h 1363349"/>
              <a:gd name="connsiteX1" fmla="*/ 804855 w 1713329"/>
              <a:gd name="connsiteY1" fmla="*/ 0 h 1363349"/>
              <a:gd name="connsiteX2" fmla="*/ 1710545 w 1713329"/>
              <a:gd name="connsiteY2" fmla="*/ 1363347 h 1363349"/>
              <a:gd name="connsiteX3" fmla="*/ 2306 w 1713329"/>
              <a:gd name="connsiteY3" fmla="*/ 1363349 h 1363349"/>
              <a:gd name="connsiteX0" fmla="*/ 2090 w 1713375"/>
              <a:gd name="connsiteY0" fmla="*/ 1363349 h 1363349"/>
              <a:gd name="connsiteX1" fmla="*/ 866111 w 1713375"/>
              <a:gd name="connsiteY1" fmla="*/ 0 h 1363349"/>
              <a:gd name="connsiteX2" fmla="*/ 1710329 w 1713375"/>
              <a:gd name="connsiteY2" fmla="*/ 1363347 h 1363349"/>
              <a:gd name="connsiteX3" fmla="*/ 2090 w 1713375"/>
              <a:gd name="connsiteY3" fmla="*/ 1363349 h 1363349"/>
              <a:gd name="connsiteX0" fmla="*/ 2176 w 1713345"/>
              <a:gd name="connsiteY0" fmla="*/ 1363347 h 1363347"/>
              <a:gd name="connsiteX1" fmla="*/ 839852 w 1713345"/>
              <a:gd name="connsiteY1" fmla="*/ 0 h 1363347"/>
              <a:gd name="connsiteX2" fmla="*/ 1710415 w 1713345"/>
              <a:gd name="connsiteY2" fmla="*/ 1363345 h 1363347"/>
              <a:gd name="connsiteX3" fmla="*/ 2176 w 1713345"/>
              <a:gd name="connsiteY3" fmla="*/ 1363347 h 1363347"/>
              <a:gd name="connsiteX0" fmla="*/ 2118 w 1713364"/>
              <a:gd name="connsiteY0" fmla="*/ 1363347 h 1363347"/>
              <a:gd name="connsiteX1" fmla="*/ 857357 w 1713364"/>
              <a:gd name="connsiteY1" fmla="*/ 0 h 1363347"/>
              <a:gd name="connsiteX2" fmla="*/ 1710357 w 1713364"/>
              <a:gd name="connsiteY2" fmla="*/ 1363345 h 1363347"/>
              <a:gd name="connsiteX3" fmla="*/ 2118 w 1713364"/>
              <a:gd name="connsiteY3" fmla="*/ 1363347 h 136334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13364" h="1363347">
                <a:moveTo>
                  <a:pt x="2118" y="1363347"/>
                </a:moveTo>
                <a:cubicBezTo>
                  <a:pt x="-40560" y="733206"/>
                  <a:pt x="572651" y="0"/>
                  <a:pt x="857357" y="0"/>
                </a:cubicBezTo>
                <a:cubicBezTo>
                  <a:pt x="1142063" y="0"/>
                  <a:pt x="1761712" y="793969"/>
                  <a:pt x="1710357" y="1363345"/>
                </a:cubicBezTo>
                <a:lnTo>
                  <a:pt x="2118" y="1363347"/>
                </a:lnTo>
                <a:close/>
              </a:path>
            </a:pathLst>
          </a:cu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123" name="Moon 5122">
            <a:extLst>
              <a:ext uri="{FF2B5EF4-FFF2-40B4-BE49-F238E27FC236}">
                <a16:creationId xmlns:a16="http://schemas.microsoft.com/office/drawing/2014/main" id="{9C2F8CB1-0117-6696-EA8B-C4D783CD60B0}"/>
              </a:ext>
            </a:extLst>
          </xdr:cNvPr>
          <xdr:cNvSpPr/>
        </xdr:nvSpPr>
        <xdr:spPr>
          <a:xfrm rot="10800000">
            <a:off x="7342093" y="9027459"/>
            <a:ext cx="672353" cy="1201270"/>
          </a:xfrm>
          <a:prstGeom prst="moon">
            <a:avLst/>
          </a:pr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124" name="Moon 5123">
            <a:extLst>
              <a:ext uri="{FF2B5EF4-FFF2-40B4-BE49-F238E27FC236}">
                <a16:creationId xmlns:a16="http://schemas.microsoft.com/office/drawing/2014/main" id="{651F8C57-CE97-A877-DA8F-445891714DFA}"/>
              </a:ext>
            </a:extLst>
          </xdr:cNvPr>
          <xdr:cNvSpPr/>
        </xdr:nvSpPr>
        <xdr:spPr>
          <a:xfrm rot="7200000">
            <a:off x="8526949" y="8524978"/>
            <a:ext cx="672353" cy="1201271"/>
          </a:xfrm>
          <a:prstGeom prst="moon">
            <a:avLst>
              <a:gd name="adj" fmla="val 87500"/>
            </a:avLst>
          </a:pr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125" name="Moon 5124">
            <a:extLst>
              <a:ext uri="{FF2B5EF4-FFF2-40B4-BE49-F238E27FC236}">
                <a16:creationId xmlns:a16="http://schemas.microsoft.com/office/drawing/2014/main" id="{6B6C97BD-7E53-AD68-B390-05E374CB942A}"/>
              </a:ext>
            </a:extLst>
          </xdr:cNvPr>
          <xdr:cNvSpPr/>
        </xdr:nvSpPr>
        <xdr:spPr>
          <a:xfrm rot="11843358">
            <a:off x="8558379" y="9371558"/>
            <a:ext cx="672353" cy="1201270"/>
          </a:xfrm>
          <a:prstGeom prst="moon">
            <a:avLst>
              <a:gd name="adj" fmla="val 38900"/>
            </a:avLst>
          </a:prstGeom>
          <a:solidFill>
            <a:srgbClr val="2F485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 editAs="oneCell">
    <xdr:from>
      <xdr:col>18</xdr:col>
      <xdr:colOff>54428</xdr:colOff>
      <xdr:row>8</xdr:row>
      <xdr:rowOff>97971</xdr:rowOff>
    </xdr:from>
    <xdr:to>
      <xdr:col>18</xdr:col>
      <xdr:colOff>420188</xdr:colOff>
      <xdr:row>10</xdr:row>
      <xdr:rowOff>93617</xdr:rowOff>
    </xdr:to>
    <xdr:pic>
      <xdr:nvPicPr>
        <xdr:cNvPr id="5126" name="Graphic 5125" descr="Warehouse outline">
          <a:extLst>
            <a:ext uri="{FF2B5EF4-FFF2-40B4-BE49-F238E27FC236}">
              <a16:creationId xmlns:a16="http://schemas.microsoft.com/office/drawing/2014/main" id="{0E1F7F13-3C42-4B1D-A331-3D477823E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1027228" y="1561011"/>
          <a:ext cx="365760" cy="361406"/>
        </a:xfrm>
        <a:prstGeom prst="rect">
          <a:avLst/>
        </a:prstGeom>
      </xdr:spPr>
    </xdr:pic>
    <xdr:clientData/>
  </xdr:twoCellAnchor>
  <xdr:twoCellAnchor editAs="oneCell">
    <xdr:from>
      <xdr:col>17</xdr:col>
      <xdr:colOff>97971</xdr:colOff>
      <xdr:row>7</xdr:row>
      <xdr:rowOff>152400</xdr:rowOff>
    </xdr:from>
    <xdr:to>
      <xdr:col>17</xdr:col>
      <xdr:colOff>463731</xdr:colOff>
      <xdr:row>9</xdr:row>
      <xdr:rowOff>148046</xdr:rowOff>
    </xdr:to>
    <xdr:pic>
      <xdr:nvPicPr>
        <xdr:cNvPr id="5127" name="Graphic 5126" descr="Research outline">
          <a:extLst>
            <a:ext uri="{FF2B5EF4-FFF2-40B4-BE49-F238E27FC236}">
              <a16:creationId xmlns:a16="http://schemas.microsoft.com/office/drawing/2014/main" id="{A9D05E17-AA56-46CF-885D-23754702E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0461171" y="1432560"/>
          <a:ext cx="365760" cy="361406"/>
        </a:xfrm>
        <a:prstGeom prst="rect">
          <a:avLst/>
        </a:prstGeom>
      </xdr:spPr>
    </xdr:pic>
    <xdr:clientData/>
  </xdr:twoCellAnchor>
  <xdr:twoCellAnchor editAs="oneCell">
    <xdr:from>
      <xdr:col>18</xdr:col>
      <xdr:colOff>185056</xdr:colOff>
      <xdr:row>11</xdr:row>
      <xdr:rowOff>174170</xdr:rowOff>
    </xdr:from>
    <xdr:to>
      <xdr:col>18</xdr:col>
      <xdr:colOff>550816</xdr:colOff>
      <xdr:row>13</xdr:row>
      <xdr:rowOff>169816</xdr:rowOff>
    </xdr:to>
    <xdr:pic>
      <xdr:nvPicPr>
        <xdr:cNvPr id="5128" name="Graphic 5127" descr="Palette outline">
          <a:extLst>
            <a:ext uri="{FF2B5EF4-FFF2-40B4-BE49-F238E27FC236}">
              <a16:creationId xmlns:a16="http://schemas.microsoft.com/office/drawing/2014/main" id="{853BD6BF-280D-482C-9B34-ECA64FD8D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1157856" y="2185850"/>
          <a:ext cx="365760" cy="361406"/>
        </a:xfrm>
        <a:prstGeom prst="rect">
          <a:avLst/>
        </a:prstGeom>
      </xdr:spPr>
    </xdr:pic>
    <xdr:clientData/>
  </xdr:twoCellAnchor>
  <xdr:twoCellAnchor editAs="oneCell">
    <xdr:from>
      <xdr:col>18</xdr:col>
      <xdr:colOff>163287</xdr:colOff>
      <xdr:row>14</xdr:row>
      <xdr:rowOff>163287</xdr:rowOff>
    </xdr:from>
    <xdr:to>
      <xdr:col>18</xdr:col>
      <xdr:colOff>437607</xdr:colOff>
      <xdr:row>16</xdr:row>
      <xdr:rowOff>67493</xdr:rowOff>
    </xdr:to>
    <xdr:pic>
      <xdr:nvPicPr>
        <xdr:cNvPr id="5129" name="Graphic 5128" descr="Roller Paint Tool outline">
          <a:extLst>
            <a:ext uri="{FF2B5EF4-FFF2-40B4-BE49-F238E27FC236}">
              <a16:creationId xmlns:a16="http://schemas.microsoft.com/office/drawing/2014/main" id="{BB1C210B-6205-4F61-9C2C-91BD9027B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1136087" y="2723607"/>
          <a:ext cx="274320" cy="269966"/>
        </a:xfrm>
        <a:prstGeom prst="rect">
          <a:avLst/>
        </a:prstGeom>
      </xdr:spPr>
    </xdr:pic>
    <xdr:clientData/>
  </xdr:twoCellAnchor>
  <xdr:twoCellAnchor editAs="oneCell">
    <xdr:from>
      <xdr:col>17</xdr:col>
      <xdr:colOff>119743</xdr:colOff>
      <xdr:row>19</xdr:row>
      <xdr:rowOff>108856</xdr:rowOff>
    </xdr:from>
    <xdr:to>
      <xdr:col>17</xdr:col>
      <xdr:colOff>485503</xdr:colOff>
      <xdr:row>21</xdr:row>
      <xdr:rowOff>104502</xdr:rowOff>
    </xdr:to>
    <xdr:pic>
      <xdr:nvPicPr>
        <xdr:cNvPr id="5130" name="Graphic 5129" descr="Inventory outline">
          <a:extLst>
            <a:ext uri="{FF2B5EF4-FFF2-40B4-BE49-F238E27FC236}">
              <a16:creationId xmlns:a16="http://schemas.microsoft.com/office/drawing/2014/main" id="{5CE0096F-E705-461D-A8CD-A56365146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0482943" y="3583576"/>
          <a:ext cx="365760" cy="361406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18</xdr:row>
      <xdr:rowOff>174171</xdr:rowOff>
    </xdr:from>
    <xdr:to>
      <xdr:col>16</xdr:col>
      <xdr:colOff>507274</xdr:colOff>
      <xdr:row>20</xdr:row>
      <xdr:rowOff>169817</xdr:rowOff>
    </xdr:to>
    <xdr:pic>
      <xdr:nvPicPr>
        <xdr:cNvPr id="5131" name="Graphic 5130" descr="Children outline">
          <a:extLst>
            <a:ext uri="{FF2B5EF4-FFF2-40B4-BE49-F238E27FC236}">
              <a16:creationId xmlns:a16="http://schemas.microsoft.com/office/drawing/2014/main" id="{AC1D106B-5E3C-4AAA-ADE2-18DB15D03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9895114" y="3466011"/>
          <a:ext cx="365760" cy="361406"/>
        </a:xfrm>
        <a:prstGeom prst="rect">
          <a:avLst/>
        </a:prstGeom>
      </xdr:spPr>
    </xdr:pic>
    <xdr:clientData/>
  </xdr:twoCellAnchor>
  <xdr:twoCellAnchor editAs="oneCell">
    <xdr:from>
      <xdr:col>15</xdr:col>
      <xdr:colOff>337458</xdr:colOff>
      <xdr:row>17</xdr:row>
      <xdr:rowOff>21772</xdr:rowOff>
    </xdr:from>
    <xdr:to>
      <xdr:col>16</xdr:col>
      <xdr:colOff>93618</xdr:colOff>
      <xdr:row>19</xdr:row>
      <xdr:rowOff>17417</xdr:rowOff>
    </xdr:to>
    <xdr:pic>
      <xdr:nvPicPr>
        <xdr:cNvPr id="5132" name="Graphic 5131" descr="Playbook outline">
          <a:extLst>
            <a:ext uri="{FF2B5EF4-FFF2-40B4-BE49-F238E27FC236}">
              <a16:creationId xmlns:a16="http://schemas.microsoft.com/office/drawing/2014/main" id="{30E7E0BD-B274-490E-9BF1-D8F00232D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9481458" y="3130732"/>
          <a:ext cx="365760" cy="361405"/>
        </a:xfrm>
        <a:prstGeom prst="rect">
          <a:avLst/>
        </a:prstGeom>
      </xdr:spPr>
    </xdr:pic>
    <xdr:clientData/>
  </xdr:twoCellAnchor>
  <xdr:twoCellAnchor editAs="oneCell">
    <xdr:from>
      <xdr:col>15</xdr:col>
      <xdr:colOff>65316</xdr:colOff>
      <xdr:row>14</xdr:row>
      <xdr:rowOff>119742</xdr:rowOff>
    </xdr:from>
    <xdr:to>
      <xdr:col>15</xdr:col>
      <xdr:colOff>431076</xdr:colOff>
      <xdr:row>16</xdr:row>
      <xdr:rowOff>115388</xdr:rowOff>
    </xdr:to>
    <xdr:pic>
      <xdr:nvPicPr>
        <xdr:cNvPr id="5133" name="Graphic 5132" descr="Cycle with people outline">
          <a:extLst>
            <a:ext uri="{FF2B5EF4-FFF2-40B4-BE49-F238E27FC236}">
              <a16:creationId xmlns:a16="http://schemas.microsoft.com/office/drawing/2014/main" id="{570CD37E-5D7A-461E-BFA4-957C0B3A6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9209316" y="2680062"/>
          <a:ext cx="365760" cy="361406"/>
        </a:xfrm>
        <a:prstGeom prst="rect">
          <a:avLst/>
        </a:prstGeom>
      </xdr:spPr>
    </xdr:pic>
    <xdr:clientData/>
  </xdr:twoCellAnchor>
  <xdr:twoCellAnchor editAs="oneCell">
    <xdr:from>
      <xdr:col>14</xdr:col>
      <xdr:colOff>522514</xdr:colOff>
      <xdr:row>11</xdr:row>
      <xdr:rowOff>152399</xdr:rowOff>
    </xdr:from>
    <xdr:to>
      <xdr:col>15</xdr:col>
      <xdr:colOff>278674</xdr:colOff>
      <xdr:row>13</xdr:row>
      <xdr:rowOff>148045</xdr:rowOff>
    </xdr:to>
    <xdr:pic>
      <xdr:nvPicPr>
        <xdr:cNvPr id="5134" name="Graphic 5133" descr="Marketing outline">
          <a:extLst>
            <a:ext uri="{FF2B5EF4-FFF2-40B4-BE49-F238E27FC236}">
              <a16:creationId xmlns:a16="http://schemas.microsoft.com/office/drawing/2014/main" id="{A122776F-0C8A-4A62-B74A-324DF3CDB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9056914" y="2164079"/>
          <a:ext cx="365760" cy="361406"/>
        </a:xfrm>
        <a:prstGeom prst="rect">
          <a:avLst/>
        </a:prstGeom>
      </xdr:spPr>
    </xdr:pic>
    <xdr:clientData/>
  </xdr:twoCellAnchor>
  <xdr:twoCellAnchor editAs="oneCell">
    <xdr:from>
      <xdr:col>15</xdr:col>
      <xdr:colOff>261258</xdr:colOff>
      <xdr:row>9</xdr:row>
      <xdr:rowOff>32658</xdr:rowOff>
    </xdr:from>
    <xdr:to>
      <xdr:col>16</xdr:col>
      <xdr:colOff>17418</xdr:colOff>
      <xdr:row>11</xdr:row>
      <xdr:rowOff>28303</xdr:rowOff>
    </xdr:to>
    <xdr:pic>
      <xdr:nvPicPr>
        <xdr:cNvPr id="5135" name="Graphic 5134" descr="Store outline">
          <a:extLst>
            <a:ext uri="{FF2B5EF4-FFF2-40B4-BE49-F238E27FC236}">
              <a16:creationId xmlns:a16="http://schemas.microsoft.com/office/drawing/2014/main" id="{9395A221-6E4E-40D1-AAFB-1321FC5E7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9405258" y="1678578"/>
          <a:ext cx="365760" cy="361405"/>
        </a:xfrm>
        <a:prstGeom prst="rect">
          <a:avLst/>
        </a:prstGeom>
      </xdr:spPr>
    </xdr:pic>
    <xdr:clientData/>
  </xdr:twoCellAnchor>
  <xdr:twoCellAnchor editAs="oneCell">
    <xdr:from>
      <xdr:col>16</xdr:col>
      <xdr:colOff>185058</xdr:colOff>
      <xdr:row>8</xdr:row>
      <xdr:rowOff>43544</xdr:rowOff>
    </xdr:from>
    <xdr:to>
      <xdr:col>16</xdr:col>
      <xdr:colOff>550818</xdr:colOff>
      <xdr:row>10</xdr:row>
      <xdr:rowOff>39190</xdr:rowOff>
    </xdr:to>
    <xdr:pic>
      <xdr:nvPicPr>
        <xdr:cNvPr id="5136" name="Graphic 5135" descr="Presentation with org chart outline">
          <a:extLst>
            <a:ext uri="{FF2B5EF4-FFF2-40B4-BE49-F238E27FC236}">
              <a16:creationId xmlns:a16="http://schemas.microsoft.com/office/drawing/2014/main" id="{A7A9FEE0-953D-412C-8054-5BCA5418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9938658" y="1506584"/>
          <a:ext cx="365760" cy="361406"/>
        </a:xfrm>
        <a:prstGeom prst="rect">
          <a:avLst/>
        </a:prstGeom>
      </xdr:spPr>
    </xdr:pic>
    <xdr:clientData/>
  </xdr:twoCellAnchor>
  <xdr:twoCellAnchor>
    <xdr:from>
      <xdr:col>19</xdr:col>
      <xdr:colOff>511629</xdr:colOff>
      <xdr:row>7</xdr:row>
      <xdr:rowOff>174170</xdr:rowOff>
    </xdr:from>
    <xdr:to>
      <xdr:col>22</xdr:col>
      <xdr:colOff>326571</xdr:colOff>
      <xdr:row>9</xdr:row>
      <xdr:rowOff>97971</xdr:rowOff>
    </xdr:to>
    <xdr:sp macro="" textlink="Processing!N8">
      <xdr:nvSpPr>
        <xdr:cNvPr id="5137" name="TextBox 5136">
          <a:extLst>
            <a:ext uri="{FF2B5EF4-FFF2-40B4-BE49-F238E27FC236}">
              <a16:creationId xmlns:a16="http://schemas.microsoft.com/office/drawing/2014/main" id="{A6789690-EEF1-45AE-A07A-1027FC5D4393}"/>
            </a:ext>
          </a:extLst>
        </xdr:cNvPr>
        <xdr:cNvSpPr txBox="1"/>
      </xdr:nvSpPr>
      <xdr:spPr>
        <a:xfrm>
          <a:off x="12094029" y="1454330"/>
          <a:ext cx="1643742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1D8E78A-18A2-4A65-9977-387B8623B437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/>
            <a:t>Adjustments</a:t>
          </a:fld>
          <a:endParaRPr lang="ru-RU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511629</xdr:colOff>
      <xdr:row>9</xdr:row>
      <xdr:rowOff>87085</xdr:rowOff>
    </xdr:from>
    <xdr:to>
      <xdr:col>23</xdr:col>
      <xdr:colOff>478971</xdr:colOff>
      <xdr:row>17</xdr:row>
      <xdr:rowOff>54429</xdr:rowOff>
    </xdr:to>
    <xdr:sp macro="" textlink="Processing!O8">
      <xdr:nvSpPr>
        <xdr:cNvPr id="5138" name="TextBox 5137">
          <a:extLst>
            <a:ext uri="{FF2B5EF4-FFF2-40B4-BE49-F238E27FC236}">
              <a16:creationId xmlns:a16="http://schemas.microsoft.com/office/drawing/2014/main" id="{29CC55C6-786E-46D4-9020-C52379DA3895}"/>
            </a:ext>
          </a:extLst>
        </xdr:cNvPr>
        <xdr:cNvSpPr txBox="1"/>
      </xdr:nvSpPr>
      <xdr:spPr>
        <a:xfrm>
          <a:off x="12094029" y="1733005"/>
          <a:ext cx="2405742" cy="1430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E4340C4-96F7-422C-8918-14739C3A4B2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Performance analysis and strategy adjustments – evaluating KPIs, improving processes, and planning future growth.</a:t>
          </a:fld>
          <a:endParaRPr lang="ru-RU" sz="1400" b="1">
            <a:solidFill>
              <a:srgbClr val="618791"/>
            </a:solidFill>
          </a:endParaRPr>
        </a:p>
      </xdr:txBody>
    </xdr:sp>
    <xdr:clientData/>
  </xdr:twoCellAnchor>
  <xdr:twoCellAnchor>
    <xdr:from>
      <xdr:col>15</xdr:col>
      <xdr:colOff>488374</xdr:colOff>
      <xdr:row>12</xdr:row>
      <xdr:rowOff>185056</xdr:rowOff>
    </xdr:from>
    <xdr:to>
      <xdr:col>18</xdr:col>
      <xdr:colOff>153886</xdr:colOff>
      <xdr:row>14</xdr:row>
      <xdr:rowOff>108857</xdr:rowOff>
    </xdr:to>
    <xdr:sp macro="" textlink="Processing!N8">
      <xdr:nvSpPr>
        <xdr:cNvPr id="5139" name="TextBox 5138">
          <a:extLst>
            <a:ext uri="{FF2B5EF4-FFF2-40B4-BE49-F238E27FC236}">
              <a16:creationId xmlns:a16="http://schemas.microsoft.com/office/drawing/2014/main" id="{B6676481-0488-4E31-AC40-CFF5229160A3}"/>
            </a:ext>
          </a:extLst>
        </xdr:cNvPr>
        <xdr:cNvSpPr txBox="1"/>
      </xdr:nvSpPr>
      <xdr:spPr>
        <a:xfrm>
          <a:off x="9632374" y="2379616"/>
          <a:ext cx="1494312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1D8E78A-18A2-4A65-9977-387B8623B437}" type="TxLink">
            <a:rPr lang="en-US" sz="1400" b="1" i="0" u="none" strike="noStrike">
              <a:solidFill>
                <a:srgbClr val="618791"/>
              </a:solidFill>
              <a:latin typeface="Aptos Narrow"/>
            </a:rPr>
            <a:pPr algn="ctr"/>
            <a:t>Adjustments</a:t>
          </a:fld>
          <a:endParaRPr lang="ru-RU" sz="1400" b="1">
            <a:solidFill>
              <a:srgbClr val="618791"/>
            </a:solidFill>
          </a:endParaRPr>
        </a:p>
      </xdr:txBody>
    </xdr:sp>
    <xdr:clientData/>
  </xdr:twoCellAnchor>
  <xdr:twoCellAnchor>
    <xdr:from>
      <xdr:col>15</xdr:col>
      <xdr:colOff>488374</xdr:colOff>
      <xdr:row>11</xdr:row>
      <xdr:rowOff>119742</xdr:rowOff>
    </xdr:from>
    <xdr:to>
      <xdr:col>18</xdr:col>
      <xdr:colOff>153886</xdr:colOff>
      <xdr:row>13</xdr:row>
      <xdr:rowOff>43543</xdr:rowOff>
    </xdr:to>
    <xdr:sp macro="" textlink="Processing!N7">
      <xdr:nvSpPr>
        <xdr:cNvPr id="5140" name="TextBox 5139">
          <a:extLst>
            <a:ext uri="{FF2B5EF4-FFF2-40B4-BE49-F238E27FC236}">
              <a16:creationId xmlns:a16="http://schemas.microsoft.com/office/drawing/2014/main" id="{082FEF9D-54D6-437F-BDA9-1504FA61FBBC}"/>
            </a:ext>
          </a:extLst>
        </xdr:cNvPr>
        <xdr:cNvSpPr txBox="1"/>
      </xdr:nvSpPr>
      <xdr:spPr>
        <a:xfrm>
          <a:off x="9632374" y="2131422"/>
          <a:ext cx="1494312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0BB89FC-BBA7-465C-95C8-A6C595B3D57B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Tasks</a:t>
          </a:fld>
          <a:endParaRPr lang="ru-RU" sz="1800" b="1">
            <a:solidFill>
              <a:srgbClr val="618791"/>
            </a:solidFill>
          </a:endParaRPr>
        </a:p>
      </xdr:txBody>
    </xdr:sp>
    <xdr:clientData/>
  </xdr:twoCellAnchor>
  <xdr:twoCellAnchor>
    <xdr:from>
      <xdr:col>15</xdr:col>
      <xdr:colOff>466602</xdr:colOff>
      <xdr:row>14</xdr:row>
      <xdr:rowOff>108857</xdr:rowOff>
    </xdr:from>
    <xdr:to>
      <xdr:col>18</xdr:col>
      <xdr:colOff>132114</xdr:colOff>
      <xdr:row>16</xdr:row>
      <xdr:rowOff>32658</xdr:rowOff>
    </xdr:to>
    <xdr:sp macro="" textlink="Processing!N9">
      <xdr:nvSpPr>
        <xdr:cNvPr id="5141" name="TextBox 5140">
          <a:extLst>
            <a:ext uri="{FF2B5EF4-FFF2-40B4-BE49-F238E27FC236}">
              <a16:creationId xmlns:a16="http://schemas.microsoft.com/office/drawing/2014/main" id="{B439A706-C44B-4CE4-B4DA-02A9880ACA35}"/>
            </a:ext>
          </a:extLst>
        </xdr:cNvPr>
        <xdr:cNvSpPr txBox="1"/>
      </xdr:nvSpPr>
      <xdr:spPr>
        <a:xfrm>
          <a:off x="9610602" y="2669177"/>
          <a:ext cx="1494312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3232A9-8C68-4F9C-A329-2A4BC6876E16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 $47,793 </a:t>
          </a:fld>
          <a:endParaRPr lang="ru-RU" sz="3200" b="1">
            <a:solidFill>
              <a:srgbClr val="618791"/>
            </a:solidFill>
          </a:endParaRPr>
        </a:p>
      </xdr:txBody>
    </xdr:sp>
    <xdr:clientData/>
  </xdr:twoCellAnchor>
  <xdr:twoCellAnchor editAs="oneCell">
    <xdr:from>
      <xdr:col>17</xdr:col>
      <xdr:colOff>533400</xdr:colOff>
      <xdr:row>17</xdr:row>
      <xdr:rowOff>43543</xdr:rowOff>
    </xdr:from>
    <xdr:to>
      <xdr:col>18</xdr:col>
      <xdr:colOff>289560</xdr:colOff>
      <xdr:row>19</xdr:row>
      <xdr:rowOff>39188</xdr:rowOff>
    </xdr:to>
    <xdr:pic>
      <xdr:nvPicPr>
        <xdr:cNvPr id="5142" name="Graphic 5141" descr="Register outline">
          <a:extLst>
            <a:ext uri="{FF2B5EF4-FFF2-40B4-BE49-F238E27FC236}">
              <a16:creationId xmlns:a16="http://schemas.microsoft.com/office/drawing/2014/main" id="{43A43573-C03C-4EFB-A936-0CC79619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>
          <a:off x="10896600" y="3152503"/>
          <a:ext cx="365760" cy="361405"/>
        </a:xfrm>
        <a:prstGeom prst="rect">
          <a:avLst/>
        </a:prstGeom>
      </xdr:spPr>
    </xdr:pic>
    <xdr:clientData/>
  </xdr:twoCellAnchor>
  <xdr:twoCellAnchor editAs="oneCell">
    <xdr:from>
      <xdr:col>7</xdr:col>
      <xdr:colOff>380999</xdr:colOff>
      <xdr:row>8</xdr:row>
      <xdr:rowOff>163286</xdr:rowOff>
    </xdr:from>
    <xdr:to>
      <xdr:col>8</xdr:col>
      <xdr:colOff>228599</xdr:colOff>
      <xdr:row>11</xdr:row>
      <xdr:rowOff>65314</xdr:rowOff>
    </xdr:to>
    <xdr:pic>
      <xdr:nvPicPr>
        <xdr:cNvPr id="5143" name="Graphic 5142" descr="Fruit bowl outline">
          <a:extLst>
            <a:ext uri="{FF2B5EF4-FFF2-40B4-BE49-F238E27FC236}">
              <a16:creationId xmlns:a16="http://schemas.microsoft.com/office/drawing/2014/main" id="{391BF5A7-D4C7-4D7C-9365-3FAE3F43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4648199" y="1626326"/>
          <a:ext cx="457200" cy="450668"/>
        </a:xfrm>
        <a:prstGeom prst="rect">
          <a:avLst/>
        </a:prstGeom>
      </xdr:spPr>
    </xdr:pic>
    <xdr:clientData/>
  </xdr:twoCellAnchor>
  <xdr:twoCellAnchor editAs="oneCell">
    <xdr:from>
      <xdr:col>9</xdr:col>
      <xdr:colOff>217714</xdr:colOff>
      <xdr:row>17</xdr:row>
      <xdr:rowOff>21772</xdr:rowOff>
    </xdr:from>
    <xdr:to>
      <xdr:col>10</xdr:col>
      <xdr:colOff>65314</xdr:colOff>
      <xdr:row>19</xdr:row>
      <xdr:rowOff>108857</xdr:rowOff>
    </xdr:to>
    <xdr:pic>
      <xdr:nvPicPr>
        <xdr:cNvPr id="5144" name="Graphic 5143" descr="Computer outline">
          <a:extLst>
            <a:ext uri="{FF2B5EF4-FFF2-40B4-BE49-F238E27FC236}">
              <a16:creationId xmlns:a16="http://schemas.microsoft.com/office/drawing/2014/main" id="{77C50C4C-F3FF-4A7C-9808-8CFB6AE3C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96DAC541-7B7A-43D3-8B79-37D633B846F1}">
              <asvg:svgBlip xmlns:asvg="http://schemas.microsoft.com/office/drawing/2016/SVG/main" r:embed="rId39"/>
            </a:ext>
          </a:extLst>
        </a:blip>
        <a:stretch>
          <a:fillRect/>
        </a:stretch>
      </xdr:blipFill>
      <xdr:spPr>
        <a:xfrm>
          <a:off x="5704114" y="3130732"/>
          <a:ext cx="457200" cy="452845"/>
        </a:xfrm>
        <a:prstGeom prst="rect">
          <a:avLst/>
        </a:prstGeom>
      </xdr:spPr>
    </xdr:pic>
    <xdr:clientData/>
  </xdr:twoCellAnchor>
  <xdr:twoCellAnchor editAs="oneCell">
    <xdr:from>
      <xdr:col>9</xdr:col>
      <xdr:colOff>119743</xdr:colOff>
      <xdr:row>27</xdr:row>
      <xdr:rowOff>65314</xdr:rowOff>
    </xdr:from>
    <xdr:to>
      <xdr:col>9</xdr:col>
      <xdr:colOff>576943</xdr:colOff>
      <xdr:row>29</xdr:row>
      <xdr:rowOff>152400</xdr:rowOff>
    </xdr:to>
    <xdr:pic>
      <xdr:nvPicPr>
        <xdr:cNvPr id="5145" name="Graphic 5144" descr="Suit outline">
          <a:extLst>
            <a:ext uri="{FF2B5EF4-FFF2-40B4-BE49-F238E27FC236}">
              <a16:creationId xmlns:a16="http://schemas.microsoft.com/office/drawing/2014/main" id="{CAF39BA7-2FC5-4DB2-B4F9-235174CF8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96DAC541-7B7A-43D3-8B79-37D633B846F1}">
              <asvg:svgBlip xmlns:asvg="http://schemas.microsoft.com/office/drawing/2016/SVG/main" r:embed="rId41"/>
            </a:ext>
          </a:extLst>
        </a:blip>
        <a:stretch>
          <a:fillRect/>
        </a:stretch>
      </xdr:blipFill>
      <xdr:spPr>
        <a:xfrm>
          <a:off x="5606143" y="5003074"/>
          <a:ext cx="457200" cy="452846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34</xdr:row>
      <xdr:rowOff>152400</xdr:rowOff>
    </xdr:from>
    <xdr:to>
      <xdr:col>8</xdr:col>
      <xdr:colOff>0</xdr:colOff>
      <xdr:row>37</xdr:row>
      <xdr:rowOff>54429</xdr:rowOff>
    </xdr:to>
    <xdr:pic>
      <xdr:nvPicPr>
        <xdr:cNvPr id="5146" name="Graphic 5145" descr="Home1 outline">
          <a:extLst>
            <a:ext uri="{FF2B5EF4-FFF2-40B4-BE49-F238E27FC236}">
              <a16:creationId xmlns:a16="http://schemas.microsoft.com/office/drawing/2014/main" id="{C4BE8392-B18D-4F18-8E27-33025309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96DAC541-7B7A-43D3-8B79-37D633B846F1}">
              <asvg:svgBlip xmlns:asvg="http://schemas.microsoft.com/office/drawing/2016/SVG/main" r:embed="rId43"/>
            </a:ext>
          </a:extLst>
        </a:blip>
        <a:stretch>
          <a:fillRect/>
        </a:stretch>
      </xdr:blipFill>
      <xdr:spPr>
        <a:xfrm>
          <a:off x="4419600" y="6370320"/>
          <a:ext cx="457200" cy="450669"/>
        </a:xfrm>
        <a:prstGeom prst="rect">
          <a:avLst/>
        </a:prstGeom>
      </xdr:spPr>
    </xdr:pic>
    <xdr:clientData/>
  </xdr:twoCellAnchor>
  <xdr:twoCellAnchor>
    <xdr:from>
      <xdr:col>8</xdr:col>
      <xdr:colOff>433257</xdr:colOff>
      <xdr:row>8</xdr:row>
      <xdr:rowOff>90656</xdr:rowOff>
    </xdr:from>
    <xdr:to>
      <xdr:col>11</xdr:col>
      <xdr:colOff>341817</xdr:colOff>
      <xdr:row>11</xdr:row>
      <xdr:rowOff>133681</xdr:rowOff>
    </xdr:to>
    <xdr:graphicFrame macro="">
      <xdr:nvGraphicFramePr>
        <xdr:cNvPr id="5147" name="Chart 5146">
          <a:extLst>
            <a:ext uri="{FF2B5EF4-FFF2-40B4-BE49-F238E27FC236}">
              <a16:creationId xmlns:a16="http://schemas.microsoft.com/office/drawing/2014/main" id="{24064E57-56A2-441D-9A2E-6DE90496D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10</xdr:col>
      <xdr:colOff>283698</xdr:colOff>
      <xdr:row>16</xdr:row>
      <xdr:rowOff>122507</xdr:rowOff>
    </xdr:from>
    <xdr:to>
      <xdr:col>13</xdr:col>
      <xdr:colOff>192258</xdr:colOff>
      <xdr:row>19</xdr:row>
      <xdr:rowOff>162599</xdr:rowOff>
    </xdr:to>
    <xdr:graphicFrame macro="">
      <xdr:nvGraphicFramePr>
        <xdr:cNvPr id="5148" name="Chart 5147">
          <a:extLst>
            <a:ext uri="{FF2B5EF4-FFF2-40B4-BE49-F238E27FC236}">
              <a16:creationId xmlns:a16="http://schemas.microsoft.com/office/drawing/2014/main" id="{11CAB1EE-8E04-4A04-911F-BBF677A83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10</xdr:col>
      <xdr:colOff>198120</xdr:colOff>
      <xdr:row>26</xdr:row>
      <xdr:rowOff>167640</xdr:rowOff>
    </xdr:from>
    <xdr:to>
      <xdr:col>13</xdr:col>
      <xdr:colOff>106680</xdr:colOff>
      <xdr:row>30</xdr:row>
      <xdr:rowOff>21336</xdr:rowOff>
    </xdr:to>
    <xdr:graphicFrame macro="">
      <xdr:nvGraphicFramePr>
        <xdr:cNvPr id="5149" name="Chart 5148">
          <a:extLst>
            <a:ext uri="{FF2B5EF4-FFF2-40B4-BE49-F238E27FC236}">
              <a16:creationId xmlns:a16="http://schemas.microsoft.com/office/drawing/2014/main" id="{6923D227-19C1-486C-B271-90582F833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</xdr:col>
      <xdr:colOff>236220</xdr:colOff>
      <xdr:row>34</xdr:row>
      <xdr:rowOff>106680</xdr:rowOff>
    </xdr:from>
    <xdr:to>
      <xdr:col>11</xdr:col>
      <xdr:colOff>141306</xdr:colOff>
      <xdr:row>37</xdr:row>
      <xdr:rowOff>134547</xdr:rowOff>
    </xdr:to>
    <xdr:graphicFrame macro="">
      <xdr:nvGraphicFramePr>
        <xdr:cNvPr id="5150" name="Chart 5149">
          <a:extLst>
            <a:ext uri="{FF2B5EF4-FFF2-40B4-BE49-F238E27FC236}">
              <a16:creationId xmlns:a16="http://schemas.microsoft.com/office/drawing/2014/main" id="{3BF944E3-93A6-4A68-B237-943FFB7B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</xdr:col>
      <xdr:colOff>397329</xdr:colOff>
      <xdr:row>7</xdr:row>
      <xdr:rowOff>181790</xdr:rowOff>
    </xdr:from>
    <xdr:to>
      <xdr:col>10</xdr:col>
      <xdr:colOff>502920</xdr:colOff>
      <xdr:row>9</xdr:row>
      <xdr:rowOff>105591</xdr:rowOff>
    </xdr:to>
    <xdr:sp macro="" textlink="Processing!$A$22">
      <xdr:nvSpPr>
        <xdr:cNvPr id="5151" name="TextBox 5150">
          <a:extLst>
            <a:ext uri="{FF2B5EF4-FFF2-40B4-BE49-F238E27FC236}">
              <a16:creationId xmlns:a16="http://schemas.microsoft.com/office/drawing/2014/main" id="{DEA0E09D-FB2E-49FA-BE01-1377B3E4594F}"/>
            </a:ext>
          </a:extLst>
        </xdr:cNvPr>
        <xdr:cNvSpPr txBox="1"/>
      </xdr:nvSpPr>
      <xdr:spPr>
        <a:xfrm>
          <a:off x="5274129" y="1461950"/>
          <a:ext cx="132479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0834D6ED-D8D4-4445-8934-E9B84E2AC8DD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l"/>
            <a:t>Fruit &amp;  Veg</a:t>
          </a:fld>
          <a:endParaRPr lang="ru-RU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403860</xdr:colOff>
      <xdr:row>6</xdr:row>
      <xdr:rowOff>106680</xdr:rowOff>
    </xdr:from>
    <xdr:to>
      <xdr:col>11</xdr:col>
      <xdr:colOff>251460</xdr:colOff>
      <xdr:row>9</xdr:row>
      <xdr:rowOff>15240</xdr:rowOff>
    </xdr:to>
    <xdr:sp macro="" textlink="">
      <xdr:nvSpPr>
        <xdr:cNvPr id="5152" name="Oval 5151">
          <a:extLst>
            <a:ext uri="{FF2B5EF4-FFF2-40B4-BE49-F238E27FC236}">
              <a16:creationId xmlns:a16="http://schemas.microsoft.com/office/drawing/2014/main" id="{CB63918B-E687-4154-B519-0CE13E0C6272}"/>
            </a:ext>
          </a:extLst>
        </xdr:cNvPr>
        <xdr:cNvSpPr/>
      </xdr:nvSpPr>
      <xdr:spPr>
        <a:xfrm>
          <a:off x="6499860" y="120396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243302</xdr:colOff>
      <xdr:row>6</xdr:row>
      <xdr:rowOff>174170</xdr:rowOff>
    </xdr:from>
    <xdr:to>
      <xdr:col>11</xdr:col>
      <xdr:colOff>440333</xdr:colOff>
      <xdr:row>8</xdr:row>
      <xdr:rowOff>97971</xdr:rowOff>
    </xdr:to>
    <xdr:sp macro="" textlink="Processing!$D$22">
      <xdr:nvSpPr>
        <xdr:cNvPr id="5153" name="TextBox 5152">
          <a:extLst>
            <a:ext uri="{FF2B5EF4-FFF2-40B4-BE49-F238E27FC236}">
              <a16:creationId xmlns:a16="http://schemas.microsoft.com/office/drawing/2014/main" id="{93DB83BE-96AF-46DA-A186-359E44430633}"/>
            </a:ext>
          </a:extLst>
        </xdr:cNvPr>
        <xdr:cNvSpPr txBox="1"/>
      </xdr:nvSpPr>
      <xdr:spPr>
        <a:xfrm>
          <a:off x="6339302" y="127145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9C40FB-E999-484F-8665-5B2B0D626423}" type="TxLink">
            <a:rPr lang="en-US" sz="1400" b="1" i="0" u="none" strike="noStrike">
              <a:solidFill>
                <a:srgbClr val="7EA9AD"/>
              </a:solidFill>
              <a:latin typeface="Aptos Narrow"/>
            </a:rPr>
            <a:pPr algn="ctr"/>
            <a:t>100%</a:t>
          </a:fld>
          <a:endParaRPr lang="ru-RU" sz="2400" b="1">
            <a:solidFill>
              <a:srgbClr val="7EA9AD"/>
            </a:solidFill>
          </a:endParaRPr>
        </a:p>
      </xdr:txBody>
    </xdr:sp>
    <xdr:clientData/>
  </xdr:twoCellAnchor>
  <xdr:twoCellAnchor>
    <xdr:from>
      <xdr:col>12</xdr:col>
      <xdr:colOff>236220</xdr:colOff>
      <xdr:row>14</xdr:row>
      <xdr:rowOff>160020</xdr:rowOff>
    </xdr:from>
    <xdr:to>
      <xdr:col>13</xdr:col>
      <xdr:colOff>83820</xdr:colOff>
      <xdr:row>17</xdr:row>
      <xdr:rowOff>68580</xdr:rowOff>
    </xdr:to>
    <xdr:sp macro="" textlink="">
      <xdr:nvSpPr>
        <xdr:cNvPr id="5154" name="Oval 5153">
          <a:extLst>
            <a:ext uri="{FF2B5EF4-FFF2-40B4-BE49-F238E27FC236}">
              <a16:creationId xmlns:a16="http://schemas.microsoft.com/office/drawing/2014/main" id="{FB6BF3EC-3723-487D-81A4-E960A668476A}"/>
            </a:ext>
          </a:extLst>
        </xdr:cNvPr>
        <xdr:cNvSpPr/>
      </xdr:nvSpPr>
      <xdr:spPr>
        <a:xfrm>
          <a:off x="7551420" y="272034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75662</xdr:colOff>
      <xdr:row>15</xdr:row>
      <xdr:rowOff>44630</xdr:rowOff>
    </xdr:from>
    <xdr:to>
      <xdr:col>13</xdr:col>
      <xdr:colOff>272693</xdr:colOff>
      <xdr:row>16</xdr:row>
      <xdr:rowOff>151311</xdr:rowOff>
    </xdr:to>
    <xdr:sp macro="" textlink="Processing!$D$23">
      <xdr:nvSpPr>
        <xdr:cNvPr id="5155" name="TextBox 5154">
          <a:extLst>
            <a:ext uri="{FF2B5EF4-FFF2-40B4-BE49-F238E27FC236}">
              <a16:creationId xmlns:a16="http://schemas.microsoft.com/office/drawing/2014/main" id="{82B449BD-D02C-4EBD-A893-0F90190AA46B}"/>
            </a:ext>
          </a:extLst>
        </xdr:cNvPr>
        <xdr:cNvSpPr txBox="1"/>
      </xdr:nvSpPr>
      <xdr:spPr>
        <a:xfrm>
          <a:off x="7390862" y="278783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F837C54-8865-4296-91F2-DDDEC6C0035D}" type="TxLink">
            <a:rPr lang="en-US" sz="1400" b="1" i="0" u="none" strike="noStrike">
              <a:solidFill>
                <a:srgbClr val="7EA9AD"/>
              </a:solidFill>
              <a:latin typeface="Aptos Narrow"/>
              <a:ea typeface="+mn-ea"/>
              <a:cs typeface="+mn-cs"/>
            </a:rPr>
            <a:pPr marL="0" indent="0" algn="ctr"/>
            <a:t>100%</a:t>
          </a:fld>
          <a:endParaRPr lang="ru-RU" sz="1400" b="1" i="0" u="none" strike="noStrike">
            <a:solidFill>
              <a:srgbClr val="7EA9AD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167640</xdr:colOff>
      <xdr:row>25</xdr:row>
      <xdr:rowOff>7620</xdr:rowOff>
    </xdr:from>
    <xdr:to>
      <xdr:col>13</xdr:col>
      <xdr:colOff>15240</xdr:colOff>
      <xdr:row>27</xdr:row>
      <xdr:rowOff>99060</xdr:rowOff>
    </xdr:to>
    <xdr:sp macro="" textlink="">
      <xdr:nvSpPr>
        <xdr:cNvPr id="5156" name="Oval 5155">
          <a:extLst>
            <a:ext uri="{FF2B5EF4-FFF2-40B4-BE49-F238E27FC236}">
              <a16:creationId xmlns:a16="http://schemas.microsoft.com/office/drawing/2014/main" id="{655D1D74-AA14-4179-B935-5B4DB33E9065}"/>
            </a:ext>
          </a:extLst>
        </xdr:cNvPr>
        <xdr:cNvSpPr/>
      </xdr:nvSpPr>
      <xdr:spPr>
        <a:xfrm>
          <a:off x="7482840" y="457962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7082</xdr:colOff>
      <xdr:row>25</xdr:row>
      <xdr:rowOff>75110</xdr:rowOff>
    </xdr:from>
    <xdr:to>
      <xdr:col>13</xdr:col>
      <xdr:colOff>204113</xdr:colOff>
      <xdr:row>26</xdr:row>
      <xdr:rowOff>181791</xdr:rowOff>
    </xdr:to>
    <xdr:sp macro="" textlink="Processing!$D$24">
      <xdr:nvSpPr>
        <xdr:cNvPr id="5157" name="TextBox 5156">
          <a:extLst>
            <a:ext uri="{FF2B5EF4-FFF2-40B4-BE49-F238E27FC236}">
              <a16:creationId xmlns:a16="http://schemas.microsoft.com/office/drawing/2014/main" id="{AD915341-EEA8-4EA4-8602-D060906F1257}"/>
            </a:ext>
          </a:extLst>
        </xdr:cNvPr>
        <xdr:cNvSpPr txBox="1"/>
      </xdr:nvSpPr>
      <xdr:spPr>
        <a:xfrm>
          <a:off x="7322282" y="464711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281496A-D021-4562-8961-CA47C57A733A}" type="TxLink">
            <a:rPr lang="en-US" sz="1400" b="1" i="0" u="none" strike="noStrike">
              <a:solidFill>
                <a:srgbClr val="7EA9AD"/>
              </a:solidFill>
              <a:latin typeface="Aptos Narrow"/>
              <a:ea typeface="+mn-ea"/>
              <a:cs typeface="+mn-cs"/>
            </a:rPr>
            <a:pPr marL="0" indent="0" algn="ctr"/>
            <a:t>37%</a:t>
          </a:fld>
          <a:endParaRPr lang="ru-RU" sz="1400" b="1" i="0" u="none" strike="noStrike">
            <a:solidFill>
              <a:srgbClr val="7EA9AD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175260</xdr:colOff>
      <xdr:row>32</xdr:row>
      <xdr:rowOff>121920</xdr:rowOff>
    </xdr:from>
    <xdr:to>
      <xdr:col>11</xdr:col>
      <xdr:colOff>22860</xdr:colOff>
      <xdr:row>35</xdr:row>
      <xdr:rowOff>30480</xdr:rowOff>
    </xdr:to>
    <xdr:sp macro="" textlink="">
      <xdr:nvSpPr>
        <xdr:cNvPr id="5158" name="Oval 5157">
          <a:extLst>
            <a:ext uri="{FF2B5EF4-FFF2-40B4-BE49-F238E27FC236}">
              <a16:creationId xmlns:a16="http://schemas.microsoft.com/office/drawing/2014/main" id="{FB6ABE0F-666A-4608-8436-008B965A94C5}"/>
            </a:ext>
          </a:extLst>
        </xdr:cNvPr>
        <xdr:cNvSpPr/>
      </xdr:nvSpPr>
      <xdr:spPr>
        <a:xfrm>
          <a:off x="6271260" y="5974080"/>
          <a:ext cx="457200" cy="4572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14702</xdr:colOff>
      <xdr:row>33</xdr:row>
      <xdr:rowOff>6530</xdr:rowOff>
    </xdr:from>
    <xdr:to>
      <xdr:col>11</xdr:col>
      <xdr:colOff>211733</xdr:colOff>
      <xdr:row>34</xdr:row>
      <xdr:rowOff>113211</xdr:rowOff>
    </xdr:to>
    <xdr:sp macro="" textlink="Processing!$D$25">
      <xdr:nvSpPr>
        <xdr:cNvPr id="5159" name="TextBox 5158">
          <a:extLst>
            <a:ext uri="{FF2B5EF4-FFF2-40B4-BE49-F238E27FC236}">
              <a16:creationId xmlns:a16="http://schemas.microsoft.com/office/drawing/2014/main" id="{1097E8B9-6B69-49DE-A848-F05FC235197D}"/>
            </a:ext>
          </a:extLst>
        </xdr:cNvPr>
        <xdr:cNvSpPr txBox="1"/>
      </xdr:nvSpPr>
      <xdr:spPr>
        <a:xfrm>
          <a:off x="6110702" y="6041570"/>
          <a:ext cx="80663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CB52438-B443-431B-B5BD-B918D8F1B770}" type="TxLink">
            <a:rPr lang="en-US" sz="1400" b="1" i="0" u="none" strike="noStrike">
              <a:solidFill>
                <a:srgbClr val="7EA9AD"/>
              </a:solidFill>
              <a:latin typeface="Aptos Narrow"/>
              <a:ea typeface="+mn-ea"/>
              <a:cs typeface="+mn-cs"/>
            </a:rPr>
            <a:pPr marL="0" indent="0" algn="ctr"/>
            <a:t>45%</a:t>
          </a:fld>
          <a:endParaRPr lang="ru-RU" sz="1400" b="1" i="0" u="none" strike="noStrike">
            <a:solidFill>
              <a:srgbClr val="7EA9AD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237309</xdr:colOff>
      <xdr:row>16</xdr:row>
      <xdr:rowOff>37010</xdr:rowOff>
    </xdr:from>
    <xdr:to>
      <xdr:col>12</xdr:col>
      <xdr:colOff>342900</xdr:colOff>
      <xdr:row>17</xdr:row>
      <xdr:rowOff>143691</xdr:rowOff>
    </xdr:to>
    <xdr:sp macro="" textlink="Processing!$A$23">
      <xdr:nvSpPr>
        <xdr:cNvPr id="5160" name="TextBox 5159">
          <a:extLst>
            <a:ext uri="{FF2B5EF4-FFF2-40B4-BE49-F238E27FC236}">
              <a16:creationId xmlns:a16="http://schemas.microsoft.com/office/drawing/2014/main" id="{F62B03E1-1E0A-440A-A0C3-6C361569551A}"/>
            </a:ext>
          </a:extLst>
        </xdr:cNvPr>
        <xdr:cNvSpPr txBox="1"/>
      </xdr:nvSpPr>
      <xdr:spPr>
        <a:xfrm>
          <a:off x="6333309" y="2963090"/>
          <a:ext cx="132479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3D651BF-B98F-4EFB-8CC3-46C65004E7F1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Electronics</a:t>
          </a:fld>
          <a:endParaRPr lang="ru-RU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116477</xdr:colOff>
      <xdr:row>26</xdr:row>
      <xdr:rowOff>85995</xdr:rowOff>
    </xdr:from>
    <xdr:to>
      <xdr:col>12</xdr:col>
      <xdr:colOff>380999</xdr:colOff>
      <xdr:row>28</xdr:row>
      <xdr:rowOff>42618</xdr:rowOff>
    </xdr:to>
    <xdr:sp macro="" textlink="Processing!$A$24">
      <xdr:nvSpPr>
        <xdr:cNvPr id="5161" name="TextBox 5160">
          <a:extLst>
            <a:ext uri="{FF2B5EF4-FFF2-40B4-BE49-F238E27FC236}">
              <a16:creationId xmlns:a16="http://schemas.microsoft.com/office/drawing/2014/main" id="{CF646366-D184-4AB8-8F41-FFF1531DDA65}"/>
            </a:ext>
          </a:extLst>
        </xdr:cNvPr>
        <xdr:cNvSpPr txBox="1"/>
      </xdr:nvSpPr>
      <xdr:spPr>
        <a:xfrm>
          <a:off x="6212477" y="4840875"/>
          <a:ext cx="1483722" cy="322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E7CDBD3-FDD8-4211-B031-91CEECF774EB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Clothing &amp; Style</a:t>
          </a:fld>
          <a:endParaRPr lang="ru-RU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161109</xdr:colOff>
      <xdr:row>34</xdr:row>
      <xdr:rowOff>14150</xdr:rowOff>
    </xdr:from>
    <xdr:to>
      <xdr:col>10</xdr:col>
      <xdr:colOff>266700</xdr:colOff>
      <xdr:row>35</xdr:row>
      <xdr:rowOff>120831</xdr:rowOff>
    </xdr:to>
    <xdr:sp macro="" textlink="Processing!$A$25">
      <xdr:nvSpPr>
        <xdr:cNvPr id="5162" name="TextBox 5161">
          <a:extLst>
            <a:ext uri="{FF2B5EF4-FFF2-40B4-BE49-F238E27FC236}">
              <a16:creationId xmlns:a16="http://schemas.microsoft.com/office/drawing/2014/main" id="{BB01213B-B100-433C-8359-87ED0EF1D967}"/>
            </a:ext>
          </a:extLst>
        </xdr:cNvPr>
        <xdr:cNvSpPr txBox="1"/>
      </xdr:nvSpPr>
      <xdr:spPr>
        <a:xfrm>
          <a:off x="5037909" y="6232070"/>
          <a:ext cx="1324791" cy="28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A67B46-D499-4B8D-9619-B65252E48172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Home &amp; Living</a:t>
          </a:fld>
          <a:endParaRPr lang="ru-RU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465909</xdr:colOff>
      <xdr:row>10</xdr:row>
      <xdr:rowOff>52250</xdr:rowOff>
    </xdr:from>
    <xdr:to>
      <xdr:col>11</xdr:col>
      <xdr:colOff>160020</xdr:colOff>
      <xdr:row>12</xdr:row>
      <xdr:rowOff>167640</xdr:rowOff>
    </xdr:to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33FDF2B3-4D51-48CC-8DF2-9ABA508FFC44}"/>
            </a:ext>
          </a:extLst>
        </xdr:cNvPr>
        <xdr:cNvSpPr txBox="1"/>
      </xdr:nvSpPr>
      <xdr:spPr>
        <a:xfrm>
          <a:off x="5342709" y="1881050"/>
          <a:ext cx="1522911" cy="48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900" b="0">
              <a:solidFill>
                <a:schemeClr val="accent6">
                  <a:lumMod val="40000"/>
                  <a:lumOff val="60000"/>
                </a:schemeClr>
              </a:solidFill>
            </a:rPr>
            <a:t>Fresh produce for healthy living and meals</a:t>
          </a:r>
          <a:r>
            <a:rPr lang="uk-UA" sz="900" b="0">
              <a:solidFill>
                <a:schemeClr val="accent6">
                  <a:lumMod val="40000"/>
                  <a:lumOff val="60000"/>
                </a:schemeClr>
              </a:solidFill>
            </a:rPr>
            <a:t>.</a:t>
          </a:r>
          <a:endParaRPr lang="en-US" sz="900" b="0" i="0" u="none" strike="noStrike">
            <a:solidFill>
              <a:schemeClr val="accent6">
                <a:lumMod val="40000"/>
                <a:lumOff val="60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10</xdr:col>
      <xdr:colOff>313509</xdr:colOff>
      <xdr:row>18</xdr:row>
      <xdr:rowOff>90350</xdr:rowOff>
    </xdr:from>
    <xdr:to>
      <xdr:col>13</xdr:col>
      <xdr:colOff>7620</xdr:colOff>
      <xdr:row>21</xdr:row>
      <xdr:rowOff>22860</xdr:rowOff>
    </xdr:to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9EB53479-EBB3-4127-8FCE-EB137F0BC798}"/>
            </a:ext>
          </a:extLst>
        </xdr:cNvPr>
        <xdr:cNvSpPr txBox="1"/>
      </xdr:nvSpPr>
      <xdr:spPr>
        <a:xfrm>
          <a:off x="6409509" y="3382190"/>
          <a:ext cx="1522911" cy="48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900" b="0">
              <a:solidFill>
                <a:srgbClr val="AEE5E8"/>
              </a:solidFill>
              <a:latin typeface="+mn-lt"/>
              <a:ea typeface="+mn-ea"/>
              <a:cs typeface="+mn-cs"/>
            </a:rPr>
            <a:t>Latest gadgets and tech for everyday use.</a:t>
          </a:r>
        </a:p>
      </xdr:txBody>
    </xdr:sp>
    <xdr:clientData/>
  </xdr:twoCellAnchor>
  <xdr:twoCellAnchor>
    <xdr:from>
      <xdr:col>10</xdr:col>
      <xdr:colOff>234043</xdr:colOff>
      <xdr:row>28</xdr:row>
      <xdr:rowOff>136070</xdr:rowOff>
    </xdr:from>
    <xdr:to>
      <xdr:col>12</xdr:col>
      <xdr:colOff>537754</xdr:colOff>
      <xdr:row>31</xdr:row>
      <xdr:rowOff>68580</xdr:rowOff>
    </xdr:to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D46F0606-2C45-44D6-B153-30E1B6796AEB}"/>
            </a:ext>
          </a:extLst>
        </xdr:cNvPr>
        <xdr:cNvSpPr txBox="1"/>
      </xdr:nvSpPr>
      <xdr:spPr>
        <a:xfrm>
          <a:off x="6330043" y="5256710"/>
          <a:ext cx="1522911" cy="48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900" b="0">
              <a:solidFill>
                <a:srgbClr val="E3CEBA"/>
              </a:solidFill>
              <a:latin typeface="+mn-lt"/>
              <a:ea typeface="+mn-ea"/>
              <a:cs typeface="+mn-cs"/>
            </a:rPr>
            <a:t>Fashion-forward apparel for every occasion.</a:t>
          </a:r>
        </a:p>
      </xdr:txBody>
    </xdr:sp>
    <xdr:clientData/>
  </xdr:twoCellAnchor>
  <xdr:twoCellAnchor>
    <xdr:from>
      <xdr:col>8</xdr:col>
      <xdr:colOff>272143</xdr:colOff>
      <xdr:row>36</xdr:row>
      <xdr:rowOff>64224</xdr:rowOff>
    </xdr:from>
    <xdr:to>
      <xdr:col>11</xdr:col>
      <xdr:colOff>57694</xdr:colOff>
      <xdr:row>38</xdr:row>
      <xdr:rowOff>181792</xdr:rowOff>
    </xdr:to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4428FE9B-6350-4825-84F2-E877EFD15D56}"/>
            </a:ext>
          </a:extLst>
        </xdr:cNvPr>
        <xdr:cNvSpPr txBox="1"/>
      </xdr:nvSpPr>
      <xdr:spPr>
        <a:xfrm>
          <a:off x="5148943" y="6647904"/>
          <a:ext cx="1614351" cy="483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900" b="0">
              <a:solidFill>
                <a:srgbClr val="E87D3A"/>
              </a:solidFill>
              <a:latin typeface="+mn-lt"/>
              <a:ea typeface="+mn-ea"/>
              <a:cs typeface="+mn-cs"/>
            </a:rPr>
            <a:t>Quality products comfortable and stylish home.</a:t>
          </a:r>
        </a:p>
      </xdr:txBody>
    </xdr:sp>
    <xdr:clientData/>
  </xdr:twoCellAnchor>
  <xdr:twoCellAnchor>
    <xdr:from>
      <xdr:col>26</xdr:col>
      <xdr:colOff>195942</xdr:colOff>
      <xdr:row>12</xdr:row>
      <xdr:rowOff>32656</xdr:rowOff>
    </xdr:from>
    <xdr:to>
      <xdr:col>29</xdr:col>
      <xdr:colOff>10884</xdr:colOff>
      <xdr:row>14</xdr:row>
      <xdr:rowOff>87086</xdr:rowOff>
    </xdr:to>
    <xdr:sp macro="" textlink="Processing!N4">
      <xdr:nvSpPr>
        <xdr:cNvPr id="5167" name="TextBox 5166">
          <a:extLst>
            <a:ext uri="{FF2B5EF4-FFF2-40B4-BE49-F238E27FC236}">
              <a16:creationId xmlns:a16="http://schemas.microsoft.com/office/drawing/2014/main" id="{46B47954-535D-4BA3-A95A-77F3573972A8}"/>
            </a:ext>
          </a:extLst>
        </xdr:cNvPr>
        <xdr:cNvSpPr txBox="1"/>
      </xdr:nvSpPr>
      <xdr:spPr>
        <a:xfrm>
          <a:off x="16045542" y="2227216"/>
          <a:ext cx="1643742" cy="42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71F0B0D-4EED-49A7-8091-1B4101F87C7A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98%</a:t>
          </a:fld>
          <a:endParaRPr lang="ru-RU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256358</xdr:colOff>
      <xdr:row>14</xdr:row>
      <xdr:rowOff>137923</xdr:rowOff>
    </xdr:from>
    <xdr:to>
      <xdr:col>28</xdr:col>
      <xdr:colOff>560069</xdr:colOff>
      <xdr:row>16</xdr:row>
      <xdr:rowOff>169053</xdr:rowOff>
    </xdr:to>
    <xdr:sp macro="" textlink="Processing!O4">
      <xdr:nvSpPr>
        <xdr:cNvPr id="5168" name="TextBox 5167">
          <a:extLst>
            <a:ext uri="{FF2B5EF4-FFF2-40B4-BE49-F238E27FC236}">
              <a16:creationId xmlns:a16="http://schemas.microsoft.com/office/drawing/2014/main" id="{BBF15EBD-8D96-45C3-ADD0-F50BA1BF8E05}"/>
            </a:ext>
          </a:extLst>
        </xdr:cNvPr>
        <xdr:cNvSpPr txBox="1"/>
      </xdr:nvSpPr>
      <xdr:spPr>
        <a:xfrm>
          <a:off x="16105958" y="2698243"/>
          <a:ext cx="1522911" cy="396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6034659-A52C-4731-BEEE-31768E68E18F}" type="TxLink">
            <a:rPr lang="en-US" sz="1400" b="1" i="0" u="none" strike="noStrike">
              <a:solidFill>
                <a:sysClr val="windowText" lastClr="000000"/>
              </a:solidFill>
              <a:latin typeface="Aptos Narrow"/>
            </a:rPr>
            <a:pPr algn="ctr"/>
            <a:t>Budget Used</a:t>
          </a:fld>
          <a:endParaRPr lang="en-US" sz="105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25</xdr:col>
      <xdr:colOff>49531</xdr:colOff>
      <xdr:row>19</xdr:row>
      <xdr:rowOff>159694</xdr:rowOff>
    </xdr:from>
    <xdr:to>
      <xdr:col>27</xdr:col>
      <xdr:colOff>353242</xdr:colOff>
      <xdr:row>22</xdr:row>
      <xdr:rowOff>5767</xdr:rowOff>
    </xdr:to>
    <xdr:sp macro="" textlink="Processing!V15">
      <xdr:nvSpPr>
        <xdr:cNvPr id="5169" name="TextBox 5168">
          <a:extLst>
            <a:ext uri="{FF2B5EF4-FFF2-40B4-BE49-F238E27FC236}">
              <a16:creationId xmlns:a16="http://schemas.microsoft.com/office/drawing/2014/main" id="{621F2C33-8D38-481C-97E6-85033F2BB48E}"/>
            </a:ext>
          </a:extLst>
        </xdr:cNvPr>
        <xdr:cNvSpPr txBox="1"/>
      </xdr:nvSpPr>
      <xdr:spPr>
        <a:xfrm>
          <a:off x="15289531" y="3634414"/>
          <a:ext cx="1522911" cy="394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1228E0F6-8E40-4836-AB8D-3FAE334A5D05}" type="TxLink">
            <a:rPr lang="en-US" sz="14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r"/>
            <a:t>Expenses</a:t>
          </a:fld>
          <a:endParaRPr lang="en-US" sz="1400" b="1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550271</xdr:colOff>
      <xdr:row>19</xdr:row>
      <xdr:rowOff>159694</xdr:rowOff>
    </xdr:from>
    <xdr:to>
      <xdr:col>31</xdr:col>
      <xdr:colOff>123551</xdr:colOff>
      <xdr:row>22</xdr:row>
      <xdr:rowOff>5767</xdr:rowOff>
    </xdr:to>
    <xdr:sp macro="" textlink="Processing!V16">
      <xdr:nvSpPr>
        <xdr:cNvPr id="5170" name="TextBox 5169">
          <a:extLst>
            <a:ext uri="{FF2B5EF4-FFF2-40B4-BE49-F238E27FC236}">
              <a16:creationId xmlns:a16="http://schemas.microsoft.com/office/drawing/2014/main" id="{A0112678-1657-45E9-BC33-937FAC06A2C0}"/>
            </a:ext>
          </a:extLst>
        </xdr:cNvPr>
        <xdr:cNvSpPr txBox="1"/>
      </xdr:nvSpPr>
      <xdr:spPr>
        <a:xfrm>
          <a:off x="17009471" y="3634414"/>
          <a:ext cx="2011680" cy="394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1FFDD799-4003-4AF2-9C55-F8C311ED82D5}" type="TxLink">
            <a:rPr lang="en-US" sz="1800" b="0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l"/>
            <a:t> $6,82,571.25 </a:t>
          </a:fld>
          <a:endParaRPr lang="en-US" sz="1800" b="0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49531</xdr:colOff>
      <xdr:row>39</xdr:row>
      <xdr:rowOff>94378</xdr:rowOff>
    </xdr:from>
    <xdr:to>
      <xdr:col>27</xdr:col>
      <xdr:colOff>353242</xdr:colOff>
      <xdr:row>41</xdr:row>
      <xdr:rowOff>125508</xdr:rowOff>
    </xdr:to>
    <xdr:sp macro="" textlink="Processing!J15">
      <xdr:nvSpPr>
        <xdr:cNvPr id="5171" name="TextBox 5170">
          <a:extLst>
            <a:ext uri="{FF2B5EF4-FFF2-40B4-BE49-F238E27FC236}">
              <a16:creationId xmlns:a16="http://schemas.microsoft.com/office/drawing/2014/main" id="{713AB0EB-3CB9-44B8-823D-232EFDAA0966}"/>
            </a:ext>
          </a:extLst>
        </xdr:cNvPr>
        <xdr:cNvSpPr txBox="1"/>
      </xdr:nvSpPr>
      <xdr:spPr>
        <a:xfrm>
          <a:off x="15289531" y="7226698"/>
          <a:ext cx="1522911" cy="396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A708DA14-80D5-4B55-9752-27791C5ECC6D}" type="TxLink">
            <a:rPr lang="en-US" sz="14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r"/>
            <a:t>Current Budget</a:t>
          </a:fld>
          <a:endParaRPr lang="en-US" sz="1400" b="1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550271</xdr:colOff>
      <xdr:row>39</xdr:row>
      <xdr:rowOff>94378</xdr:rowOff>
    </xdr:from>
    <xdr:to>
      <xdr:col>30</xdr:col>
      <xdr:colOff>93071</xdr:colOff>
      <xdr:row>41</xdr:row>
      <xdr:rowOff>125508</xdr:rowOff>
    </xdr:to>
    <xdr:sp macro="" textlink="Processing!K15">
      <xdr:nvSpPr>
        <xdr:cNvPr id="5172" name="TextBox 5171">
          <a:extLst>
            <a:ext uri="{FF2B5EF4-FFF2-40B4-BE49-F238E27FC236}">
              <a16:creationId xmlns:a16="http://schemas.microsoft.com/office/drawing/2014/main" id="{D0E0BA32-A522-4DF7-AC4E-80283A41F030}"/>
            </a:ext>
          </a:extLst>
        </xdr:cNvPr>
        <xdr:cNvSpPr txBox="1"/>
      </xdr:nvSpPr>
      <xdr:spPr>
        <a:xfrm>
          <a:off x="17009471" y="7226698"/>
          <a:ext cx="1371600" cy="396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9C158CB-5053-4F4E-9D21-7E450D961131}" type="TxLink">
            <a:rPr lang="en-US" sz="1800" b="0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l"/>
            <a:t> $7,00,000 </a:t>
          </a:fld>
          <a:endParaRPr lang="en-US" sz="1800" b="0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49531</xdr:colOff>
      <xdr:row>40</xdr:row>
      <xdr:rowOff>181465</xdr:rowOff>
    </xdr:from>
    <xdr:to>
      <xdr:col>27</xdr:col>
      <xdr:colOff>353242</xdr:colOff>
      <xdr:row>43</xdr:row>
      <xdr:rowOff>27538</xdr:rowOff>
    </xdr:to>
    <xdr:sp macro="" textlink="Processing!J16">
      <xdr:nvSpPr>
        <xdr:cNvPr id="5173" name="TextBox 5172">
          <a:extLst>
            <a:ext uri="{FF2B5EF4-FFF2-40B4-BE49-F238E27FC236}">
              <a16:creationId xmlns:a16="http://schemas.microsoft.com/office/drawing/2014/main" id="{6DE552C1-61EE-47D4-ABCC-85B4AA179FC8}"/>
            </a:ext>
          </a:extLst>
        </xdr:cNvPr>
        <xdr:cNvSpPr txBox="1"/>
      </xdr:nvSpPr>
      <xdr:spPr>
        <a:xfrm>
          <a:off x="15289531" y="7496665"/>
          <a:ext cx="1522911" cy="394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F5EB05A9-AD49-4FD4-B991-168B25B5447B}" type="TxLink">
            <a:rPr lang="en-US" sz="14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r"/>
            <a:t>Total Budget</a:t>
          </a:fld>
          <a:endParaRPr lang="en-US" sz="1400" b="1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550271</xdr:colOff>
      <xdr:row>40</xdr:row>
      <xdr:rowOff>181465</xdr:rowOff>
    </xdr:from>
    <xdr:to>
      <xdr:col>30</xdr:col>
      <xdr:colOff>93071</xdr:colOff>
      <xdr:row>43</xdr:row>
      <xdr:rowOff>27538</xdr:rowOff>
    </xdr:to>
    <xdr:sp macro="" textlink="Processing!K16">
      <xdr:nvSpPr>
        <xdr:cNvPr id="5174" name="TextBox 5173">
          <a:extLst>
            <a:ext uri="{FF2B5EF4-FFF2-40B4-BE49-F238E27FC236}">
              <a16:creationId xmlns:a16="http://schemas.microsoft.com/office/drawing/2014/main" id="{4B72B2E1-7B74-4D26-A570-57DB5C819347}"/>
            </a:ext>
          </a:extLst>
        </xdr:cNvPr>
        <xdr:cNvSpPr txBox="1"/>
      </xdr:nvSpPr>
      <xdr:spPr>
        <a:xfrm>
          <a:off x="17009471" y="7496665"/>
          <a:ext cx="1371600" cy="394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D56C858-FF4A-426C-A0CB-C07E22407DED}" type="TxLink">
            <a:rPr lang="en-US" sz="1800" b="0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l"/>
            <a:t> $14,55,000 </a:t>
          </a:fld>
          <a:endParaRPr lang="en-US" sz="1800" b="0" i="0" u="none" strike="noStrike">
            <a:solidFill>
              <a:sysClr val="windowText" lastClr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542110</xdr:colOff>
      <xdr:row>55</xdr:row>
      <xdr:rowOff>30478</xdr:rowOff>
    </xdr:from>
    <xdr:to>
      <xdr:col>8</xdr:col>
      <xdr:colOff>236221</xdr:colOff>
      <xdr:row>57</xdr:row>
      <xdr:rowOff>145869</xdr:rowOff>
    </xdr:to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C787EB62-A9A2-402C-AC08-F7CC76219F88}"/>
            </a:ext>
          </a:extLst>
        </xdr:cNvPr>
        <xdr:cNvSpPr txBox="1"/>
      </xdr:nvSpPr>
      <xdr:spPr>
        <a:xfrm>
          <a:off x="3590110" y="10088878"/>
          <a:ext cx="1522911" cy="481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</a:t>
          </a:r>
          <a:r>
            <a:rPr lang="uk-UA" sz="1400" b="1"/>
            <a:t>9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12</xdr:col>
      <xdr:colOff>422367</xdr:colOff>
      <xdr:row>55</xdr:row>
      <xdr:rowOff>30478</xdr:rowOff>
    </xdr:from>
    <xdr:to>
      <xdr:col>15</xdr:col>
      <xdr:colOff>116478</xdr:colOff>
      <xdr:row>57</xdr:row>
      <xdr:rowOff>145869</xdr:rowOff>
    </xdr:to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602B0333-2A96-445C-9BC5-99D8C0860330}"/>
            </a:ext>
          </a:extLst>
        </xdr:cNvPr>
        <xdr:cNvSpPr txBox="1"/>
      </xdr:nvSpPr>
      <xdr:spPr>
        <a:xfrm>
          <a:off x="7737567" y="10088878"/>
          <a:ext cx="1522911" cy="481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</a:t>
          </a:r>
          <a:r>
            <a:rPr lang="uk-UA" sz="1400" b="1"/>
            <a:t>8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17</xdr:col>
      <xdr:colOff>498567</xdr:colOff>
      <xdr:row>55</xdr:row>
      <xdr:rowOff>30478</xdr:rowOff>
    </xdr:from>
    <xdr:to>
      <xdr:col>20</xdr:col>
      <xdr:colOff>192678</xdr:colOff>
      <xdr:row>57</xdr:row>
      <xdr:rowOff>145869</xdr:rowOff>
    </xdr:to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40031912-BE67-425F-BB5C-4A60B3989819}"/>
            </a:ext>
          </a:extLst>
        </xdr:cNvPr>
        <xdr:cNvSpPr txBox="1"/>
      </xdr:nvSpPr>
      <xdr:spPr>
        <a:xfrm>
          <a:off x="10861767" y="10088878"/>
          <a:ext cx="1522911" cy="481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</a:t>
          </a:r>
          <a:r>
            <a:rPr lang="uk-UA" sz="1400" b="1"/>
            <a:t>7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xdr:twoCellAnchor>
    <xdr:from>
      <xdr:col>21</xdr:col>
      <xdr:colOff>542110</xdr:colOff>
      <xdr:row>55</xdr:row>
      <xdr:rowOff>30478</xdr:rowOff>
    </xdr:from>
    <xdr:to>
      <xdr:col>24</xdr:col>
      <xdr:colOff>236221</xdr:colOff>
      <xdr:row>57</xdr:row>
      <xdr:rowOff>145869</xdr:rowOff>
    </xdr:to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6FAC3432-E1B4-454B-98AC-6A887367843B}"/>
            </a:ext>
          </a:extLst>
        </xdr:cNvPr>
        <xdr:cNvSpPr txBox="1"/>
      </xdr:nvSpPr>
      <xdr:spPr>
        <a:xfrm>
          <a:off x="13343710" y="10088878"/>
          <a:ext cx="1522911" cy="481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Margin 2026</a:t>
          </a:r>
          <a:endParaRPr lang="en-US" sz="1400" b="1" i="0" u="none" strike="noStrike">
            <a:solidFill>
              <a:srgbClr val="2E4747"/>
            </a:solidFill>
            <a:latin typeface="Aptos Narrow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561975</xdr:colOff>
          <xdr:row>35</xdr:row>
          <xdr:rowOff>133350</xdr:rowOff>
        </xdr:from>
        <xdr:to>
          <xdr:col>24</xdr:col>
          <xdr:colOff>323850</xdr:colOff>
          <xdr:row>38</xdr:row>
          <xdr:rowOff>66675</xdr:rowOff>
        </xdr:to>
        <xdr:sp macro="" textlink="">
          <xdr:nvSpPr>
            <xdr:cNvPr id="5179" name="Spinne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19</xdr:col>
      <xdr:colOff>480603</xdr:colOff>
      <xdr:row>21</xdr:row>
      <xdr:rowOff>115660</xdr:rowOff>
    </xdr:from>
    <xdr:to>
      <xdr:col>21</xdr:col>
      <xdr:colOff>219074</xdr:colOff>
      <xdr:row>23</xdr:row>
      <xdr:rowOff>77560</xdr:rowOff>
    </xdr:to>
    <xdr:sp macro="" textlink="Processing!B14">
      <xdr:nvSpPr>
        <xdr:cNvPr id="5180" name="TextBox 5179">
          <a:extLst>
            <a:ext uri="{FF2B5EF4-FFF2-40B4-BE49-F238E27FC236}">
              <a16:creationId xmlns:a16="http://schemas.microsoft.com/office/drawing/2014/main" id="{49A19A50-8F62-472B-B3E0-7A877745762A}"/>
            </a:ext>
          </a:extLst>
        </xdr:cNvPr>
        <xdr:cNvSpPr txBox="1"/>
      </xdr:nvSpPr>
      <xdr:spPr>
        <a:xfrm>
          <a:off x="12063003" y="3916135"/>
          <a:ext cx="957671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38A563E-3610-479A-9B10-30D3AED2152E}" type="TxLink">
            <a:rPr lang="en-US" sz="2800" b="1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ctr"/>
            <a:t>5.3</a:t>
          </a:fld>
          <a:endParaRPr lang="ru-RU" sz="44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149133</xdr:colOff>
      <xdr:row>21</xdr:row>
      <xdr:rowOff>123553</xdr:rowOff>
    </xdr:from>
    <xdr:to>
      <xdr:col>20</xdr:col>
      <xdr:colOff>202473</xdr:colOff>
      <xdr:row>23</xdr:row>
      <xdr:rowOff>83276</xdr:rowOff>
    </xdr:to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DDFA582D-2A6F-4C1F-83F0-C8B79B0F1927}"/>
            </a:ext>
          </a:extLst>
        </xdr:cNvPr>
        <xdr:cNvSpPr txBox="1"/>
      </xdr:nvSpPr>
      <xdr:spPr>
        <a:xfrm>
          <a:off x="11731533" y="3964033"/>
          <a:ext cx="662940" cy="325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2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x</a:t>
          </a:r>
          <a:endParaRPr lang="ru-RU" sz="2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239485</xdr:colOff>
      <xdr:row>21</xdr:row>
      <xdr:rowOff>60712</xdr:rowOff>
    </xdr:from>
    <xdr:to>
      <xdr:col>24</xdr:col>
      <xdr:colOff>231146</xdr:colOff>
      <xdr:row>23</xdr:row>
      <xdr:rowOff>132509</xdr:rowOff>
    </xdr:to>
    <xdr:sp macro="" textlink="Processing!F13">
      <xdr:nvSpPr>
        <xdr:cNvPr id="5182" name="TextBox 5181">
          <a:extLst>
            <a:ext uri="{FF2B5EF4-FFF2-40B4-BE49-F238E27FC236}">
              <a16:creationId xmlns:a16="http://schemas.microsoft.com/office/drawing/2014/main" id="{20786961-1223-4294-8B4D-BA7AFFE62CA8}"/>
            </a:ext>
          </a:extLst>
        </xdr:cNvPr>
        <xdr:cNvSpPr txBox="1"/>
      </xdr:nvSpPr>
      <xdr:spPr>
        <a:xfrm>
          <a:off x="13041085" y="3901192"/>
          <a:ext cx="1820461" cy="437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8CFEE44C-F3EC-4332-A541-80512D8B2AC6}" type="TxLink">
            <a:rPr lang="en-US" sz="2400" b="0" i="0" u="none" strike="noStrike">
              <a:solidFill>
                <a:sysClr val="windowText" lastClr="000000"/>
              </a:solidFill>
              <a:latin typeface="Aptos Narrow"/>
              <a:ea typeface="+mn-ea"/>
              <a:cs typeface="+mn-cs"/>
            </a:rPr>
            <a:pPr marL="0" indent="0" algn="r"/>
            <a:t> $2,53,304 </a:t>
          </a:fld>
          <a:endParaRPr lang="ru-RU" sz="80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101782</xdr:colOff>
      <xdr:row>21</xdr:row>
      <xdr:rowOff>119742</xdr:rowOff>
    </xdr:from>
    <xdr:to>
      <xdr:col>19</xdr:col>
      <xdr:colOff>409847</xdr:colOff>
      <xdr:row>37</xdr:row>
      <xdr:rowOff>71647</xdr:rowOff>
    </xdr:to>
    <xdr:graphicFrame macro="">
      <xdr:nvGraphicFramePr>
        <xdr:cNvPr id="5183" name="Chart 5182">
          <a:extLst>
            <a:ext uri="{FF2B5EF4-FFF2-40B4-BE49-F238E27FC236}">
              <a16:creationId xmlns:a16="http://schemas.microsoft.com/office/drawing/2014/main" id="{8390EDA9-6B53-401E-B19A-1BC33C454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22</xdr:col>
      <xdr:colOff>69130</xdr:colOff>
      <xdr:row>19</xdr:row>
      <xdr:rowOff>80010</xdr:rowOff>
    </xdr:from>
    <xdr:to>
      <xdr:col>24</xdr:col>
      <xdr:colOff>413107</xdr:colOff>
      <xdr:row>21</xdr:row>
      <xdr:rowOff>39733</xdr:rowOff>
    </xdr:to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DD14464F-2853-41E6-8034-B5F30A1988CC}"/>
            </a:ext>
          </a:extLst>
        </xdr:cNvPr>
        <xdr:cNvSpPr txBox="1"/>
      </xdr:nvSpPr>
      <xdr:spPr>
        <a:xfrm>
          <a:off x="13480330" y="3554730"/>
          <a:ext cx="1563177" cy="325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>
              <a:solidFill>
                <a:sysClr val="windowText" lastClr="000000"/>
              </a:solidFill>
            </a:rPr>
            <a:t>Planned Profit</a:t>
          </a:r>
          <a:endParaRPr lang="ru-RU" sz="18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7620</xdr:colOff>
      <xdr:row>0</xdr:row>
      <xdr:rowOff>0</xdr:rowOff>
    </xdr:from>
    <xdr:to>
      <xdr:col>1</xdr:col>
      <xdr:colOff>434340</xdr:colOff>
      <xdr:row>2</xdr:row>
      <xdr:rowOff>121920</xdr:rowOff>
    </xdr:to>
    <xdr:sp macro="" textlink="">
      <xdr:nvSpPr>
        <xdr:cNvPr id="5185" name="Rectangle 5184">
          <a:extLst>
            <a:ext uri="{FF2B5EF4-FFF2-40B4-BE49-F238E27FC236}">
              <a16:creationId xmlns:a16="http://schemas.microsoft.com/office/drawing/2014/main" id="{AD951101-265E-4D50-E75B-4F748C056DC7}"/>
            </a:ext>
          </a:extLst>
        </xdr:cNvPr>
        <xdr:cNvSpPr/>
      </xdr:nvSpPr>
      <xdr:spPr>
        <a:xfrm>
          <a:off x="7620" y="0"/>
          <a:ext cx="1036320" cy="487680"/>
        </a:xfrm>
        <a:prstGeom prst="rect">
          <a:avLst/>
        </a:prstGeom>
        <a:solidFill>
          <a:srgbClr val="00849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8</xdr:row>
      <xdr:rowOff>144780</xdr:rowOff>
    </xdr:from>
    <xdr:to>
      <xdr:col>14</xdr:col>
      <xdr:colOff>371369</xdr:colOff>
      <xdr:row>24</xdr:row>
      <xdr:rowOff>41775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835160C5-E5D2-756F-740B-FF3678C7F90E}"/>
            </a:ext>
          </a:extLst>
        </xdr:cNvPr>
        <xdr:cNvSpPr/>
      </xdr:nvSpPr>
      <xdr:spPr>
        <a:xfrm>
          <a:off x="3261360" y="1607820"/>
          <a:ext cx="5644409" cy="2823075"/>
        </a:xfrm>
        <a:custGeom>
          <a:avLst/>
          <a:gdLst>
            <a:gd name="connsiteX0" fmla="*/ 0 w 5644409"/>
            <a:gd name="connsiteY0" fmla="*/ 0 h 2823075"/>
            <a:gd name="connsiteX1" fmla="*/ 5644409 w 5644409"/>
            <a:gd name="connsiteY1" fmla="*/ 0 h 2823075"/>
            <a:gd name="connsiteX2" fmla="*/ 5644409 w 5644409"/>
            <a:gd name="connsiteY2" fmla="*/ 133483 h 2823075"/>
            <a:gd name="connsiteX3" fmla="*/ 5644409 w 5644409"/>
            <a:gd name="connsiteY3" fmla="*/ 133484 h 2823075"/>
            <a:gd name="connsiteX4" fmla="*/ 5644408 w 5644409"/>
            <a:gd name="connsiteY4" fmla="*/ 133484 h 2823075"/>
            <a:gd name="connsiteX5" fmla="*/ 5512406 w 5644409"/>
            <a:gd name="connsiteY5" fmla="*/ 382682 h 2823075"/>
            <a:gd name="connsiteX6" fmla="*/ 446 w 5644409"/>
            <a:gd name="connsiteY6" fmla="*/ 2821729 h 2823075"/>
            <a:gd name="connsiteX7" fmla="*/ 223 w 5644409"/>
            <a:gd name="connsiteY7" fmla="*/ 1474425 h 2823075"/>
            <a:gd name="connsiteX8" fmla="*/ 1 w 5644409"/>
            <a:gd name="connsiteY8" fmla="*/ 133484 h 2823075"/>
            <a:gd name="connsiteX9" fmla="*/ 0 w 5644409"/>
            <a:gd name="connsiteY9" fmla="*/ 133484 h 2823075"/>
            <a:gd name="connsiteX10" fmla="*/ 0 w 5644409"/>
            <a:gd name="connsiteY10" fmla="*/ 127120 h 2823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5644409" h="2823075">
              <a:moveTo>
                <a:pt x="0" y="0"/>
              </a:moveTo>
              <a:lnTo>
                <a:pt x="5644409" y="0"/>
              </a:lnTo>
              <a:lnTo>
                <a:pt x="5644409" y="133483"/>
              </a:lnTo>
              <a:lnTo>
                <a:pt x="5644409" y="133484"/>
              </a:lnTo>
              <a:lnTo>
                <a:pt x="5644408" y="133484"/>
              </a:lnTo>
              <a:lnTo>
                <a:pt x="5512406" y="382682"/>
              </a:lnTo>
              <a:cubicBezTo>
                <a:pt x="4773067" y="1630053"/>
                <a:pt x="2849633" y="2869660"/>
                <a:pt x="446" y="2821729"/>
              </a:cubicBezTo>
              <a:cubicBezTo>
                <a:pt x="372" y="2374533"/>
                <a:pt x="297" y="1924478"/>
                <a:pt x="223" y="1474425"/>
              </a:cubicBezTo>
              <a:lnTo>
                <a:pt x="1" y="133484"/>
              </a:lnTo>
              <a:lnTo>
                <a:pt x="0" y="133484"/>
              </a:lnTo>
              <a:lnTo>
                <a:pt x="0" y="127120"/>
              </a:lnTo>
              <a:close/>
            </a:path>
          </a:pathLst>
        </a:custGeom>
        <a:solidFill>
          <a:srgbClr val="00849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ru-RU"/>
        </a:p>
      </xdr:txBody>
    </xdr:sp>
    <xdr:clientData/>
  </xdr:twoCellAnchor>
  <xdr:twoCellAnchor>
    <xdr:from>
      <xdr:col>5</xdr:col>
      <xdr:colOff>0</xdr:colOff>
      <xdr:row>1</xdr:row>
      <xdr:rowOff>7946</xdr:rowOff>
    </xdr:from>
    <xdr:to>
      <xdr:col>5</xdr:col>
      <xdr:colOff>129540</xdr:colOff>
      <xdr:row>1</xdr:row>
      <xdr:rowOff>137486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4710548-AB94-44CD-A5AB-6E59FF8005CA}"/>
            </a:ext>
          </a:extLst>
        </xdr:cNvPr>
        <xdr:cNvGrpSpPr/>
      </xdr:nvGrpSpPr>
      <xdr:grpSpPr>
        <a:xfrm>
          <a:off x="3048000" y="198446"/>
          <a:ext cx="129540" cy="129540"/>
          <a:chOff x="7046105" y="5402362"/>
          <a:chExt cx="129540" cy="12954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A387809-D5D0-1EFD-F261-C6E29DEAD73E}"/>
              </a:ext>
            </a:extLst>
          </xdr:cNvPr>
          <xdr:cNvSpPr/>
        </xdr:nvSpPr>
        <xdr:spPr>
          <a:xfrm>
            <a:off x="7046867" y="5403124"/>
            <a:ext cx="128016" cy="128016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7" name="Flowchart: Delay 6">
            <a:extLst>
              <a:ext uri="{FF2B5EF4-FFF2-40B4-BE49-F238E27FC236}">
                <a16:creationId xmlns:a16="http://schemas.microsoft.com/office/drawing/2014/main" id="{CBE34B9C-68BC-1DE4-C750-542183C1A18E}"/>
              </a:ext>
            </a:extLst>
          </xdr:cNvPr>
          <xdr:cNvSpPr/>
        </xdr:nvSpPr>
        <xdr:spPr>
          <a:xfrm>
            <a:off x="7046105" y="5402362"/>
            <a:ext cx="129540" cy="129540"/>
          </a:xfrm>
          <a:prstGeom prst="flowChartDelay">
            <a:avLst/>
          </a:prstGeom>
          <a:solidFill>
            <a:srgbClr val="C1F08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5</xdr:col>
      <xdr:colOff>334954</xdr:colOff>
      <xdr:row>0</xdr:row>
      <xdr:rowOff>0</xdr:rowOff>
    </xdr:from>
    <xdr:to>
      <xdr:col>5</xdr:col>
      <xdr:colOff>464494</xdr:colOff>
      <xdr:row>0</xdr:row>
      <xdr:rowOff>129540</xdr:rowOff>
    </xdr:to>
    <xdr:sp macro="" textlink="">
      <xdr:nvSpPr>
        <xdr:cNvPr id="8" name="Flowchart: Delay 7">
          <a:extLst>
            <a:ext uri="{FF2B5EF4-FFF2-40B4-BE49-F238E27FC236}">
              <a16:creationId xmlns:a16="http://schemas.microsoft.com/office/drawing/2014/main" id="{A7ED2069-5323-4C75-B1EC-7EDA6083A834}"/>
            </a:ext>
          </a:extLst>
        </xdr:cNvPr>
        <xdr:cNvSpPr/>
      </xdr:nvSpPr>
      <xdr:spPr>
        <a:xfrm rot="10800000">
          <a:off x="3382954" y="0"/>
          <a:ext cx="129540" cy="129540"/>
        </a:xfrm>
        <a:prstGeom prst="flowChartDelay">
          <a:avLst/>
        </a:prstGeom>
        <a:solidFill>
          <a:srgbClr val="C1F08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197794</xdr:colOff>
      <xdr:row>1</xdr:row>
      <xdr:rowOff>83275</xdr:rowOff>
    </xdr:from>
    <xdr:to>
      <xdr:col>5</xdr:col>
      <xdr:colOff>327334</xdr:colOff>
      <xdr:row>2</xdr:row>
      <xdr:rowOff>29935</xdr:rowOff>
    </xdr:to>
    <xdr:sp macro="" textlink="">
      <xdr:nvSpPr>
        <xdr:cNvPr id="9" name="Flowchart: Delay 8">
          <a:extLst>
            <a:ext uri="{FF2B5EF4-FFF2-40B4-BE49-F238E27FC236}">
              <a16:creationId xmlns:a16="http://schemas.microsoft.com/office/drawing/2014/main" id="{ECA9BDC4-427E-4098-AA59-D0D7D386B602}"/>
            </a:ext>
          </a:extLst>
        </xdr:cNvPr>
        <xdr:cNvSpPr/>
      </xdr:nvSpPr>
      <xdr:spPr>
        <a:xfrm>
          <a:off x="3245794" y="266155"/>
          <a:ext cx="129540" cy="129540"/>
        </a:xfrm>
        <a:prstGeom prst="flowChartDelay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30480</xdr:colOff>
      <xdr:row>2</xdr:row>
      <xdr:rowOff>15566</xdr:rowOff>
    </xdr:from>
    <xdr:to>
      <xdr:col>6</xdr:col>
      <xdr:colOff>160020</xdr:colOff>
      <xdr:row>2</xdr:row>
      <xdr:rowOff>145106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7B68767F-C7CE-477C-AFEB-15FD6283D2CD}"/>
            </a:ext>
          </a:extLst>
        </xdr:cNvPr>
        <xdr:cNvGrpSpPr/>
      </xdr:nvGrpSpPr>
      <xdr:grpSpPr>
        <a:xfrm>
          <a:off x="3688080" y="396566"/>
          <a:ext cx="129540" cy="129540"/>
          <a:chOff x="7046105" y="5402362"/>
          <a:chExt cx="129540" cy="129540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E326449-532F-6889-41D0-F3402BBBF11F}"/>
              </a:ext>
            </a:extLst>
          </xdr:cNvPr>
          <xdr:cNvSpPr/>
        </xdr:nvSpPr>
        <xdr:spPr>
          <a:xfrm>
            <a:off x="7046867" y="5403124"/>
            <a:ext cx="128016" cy="128016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2" name="Flowchart: Delay 11">
            <a:extLst>
              <a:ext uri="{FF2B5EF4-FFF2-40B4-BE49-F238E27FC236}">
                <a16:creationId xmlns:a16="http://schemas.microsoft.com/office/drawing/2014/main" id="{6CD2D6DD-AB32-7187-C5B6-F6E8E3DDF08A}"/>
              </a:ext>
            </a:extLst>
          </xdr:cNvPr>
          <xdr:cNvSpPr/>
        </xdr:nvSpPr>
        <xdr:spPr>
          <a:xfrm>
            <a:off x="7046105" y="5402362"/>
            <a:ext cx="129540" cy="129540"/>
          </a:xfrm>
          <a:prstGeom prst="flowChartDelay">
            <a:avLst/>
          </a:prstGeom>
          <a:solidFill>
            <a:srgbClr val="BEFC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6</xdr:col>
      <xdr:colOff>365434</xdr:colOff>
      <xdr:row>1</xdr:row>
      <xdr:rowOff>7620</xdr:rowOff>
    </xdr:from>
    <xdr:to>
      <xdr:col>6</xdr:col>
      <xdr:colOff>494974</xdr:colOff>
      <xdr:row>1</xdr:row>
      <xdr:rowOff>137160</xdr:rowOff>
    </xdr:to>
    <xdr:sp macro="" textlink="">
      <xdr:nvSpPr>
        <xdr:cNvPr id="13" name="Flowchart: Delay 12">
          <a:extLst>
            <a:ext uri="{FF2B5EF4-FFF2-40B4-BE49-F238E27FC236}">
              <a16:creationId xmlns:a16="http://schemas.microsoft.com/office/drawing/2014/main" id="{CC026EAD-3167-4E9E-A1AB-2A2E17E9FC22}"/>
            </a:ext>
          </a:extLst>
        </xdr:cNvPr>
        <xdr:cNvSpPr/>
      </xdr:nvSpPr>
      <xdr:spPr>
        <a:xfrm rot="10800000">
          <a:off x="4023034" y="190500"/>
          <a:ext cx="129540" cy="129540"/>
        </a:xfrm>
        <a:prstGeom prst="flowChartDelay">
          <a:avLst/>
        </a:prstGeom>
        <a:solidFill>
          <a:srgbClr val="BEFC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228274</xdr:colOff>
      <xdr:row>2</xdr:row>
      <xdr:rowOff>90895</xdr:rowOff>
    </xdr:from>
    <xdr:to>
      <xdr:col>6</xdr:col>
      <xdr:colOff>357814</xdr:colOff>
      <xdr:row>3</xdr:row>
      <xdr:rowOff>37555</xdr:rowOff>
    </xdr:to>
    <xdr:sp macro="" textlink="">
      <xdr:nvSpPr>
        <xdr:cNvPr id="14" name="Flowchart: Delay 13">
          <a:extLst>
            <a:ext uri="{FF2B5EF4-FFF2-40B4-BE49-F238E27FC236}">
              <a16:creationId xmlns:a16="http://schemas.microsoft.com/office/drawing/2014/main" id="{B43BC967-CE74-46D1-BB9F-ECFF52D55C7D}"/>
            </a:ext>
          </a:extLst>
        </xdr:cNvPr>
        <xdr:cNvSpPr/>
      </xdr:nvSpPr>
      <xdr:spPr>
        <a:xfrm>
          <a:off x="3885874" y="456655"/>
          <a:ext cx="129540" cy="129540"/>
        </a:xfrm>
        <a:prstGeom prst="flowChartDelay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563880</xdr:colOff>
      <xdr:row>4</xdr:row>
      <xdr:rowOff>30806</xdr:rowOff>
    </xdr:from>
    <xdr:to>
      <xdr:col>7</xdr:col>
      <xdr:colOff>83820</xdr:colOff>
      <xdr:row>4</xdr:row>
      <xdr:rowOff>160346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B5013B1A-3BA2-4D0C-B881-F65356D351C3}"/>
            </a:ext>
          </a:extLst>
        </xdr:cNvPr>
        <xdr:cNvGrpSpPr/>
      </xdr:nvGrpSpPr>
      <xdr:grpSpPr>
        <a:xfrm>
          <a:off x="4221480" y="792806"/>
          <a:ext cx="129540" cy="129540"/>
          <a:chOff x="7046105" y="5402362"/>
          <a:chExt cx="129540" cy="129540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3CE760E8-D5B4-72E9-2AD8-B6645F99BB73}"/>
              </a:ext>
            </a:extLst>
          </xdr:cNvPr>
          <xdr:cNvSpPr/>
        </xdr:nvSpPr>
        <xdr:spPr>
          <a:xfrm>
            <a:off x="7046867" y="5403124"/>
            <a:ext cx="128016" cy="128016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7" name="Flowchart: Delay 16">
            <a:extLst>
              <a:ext uri="{FF2B5EF4-FFF2-40B4-BE49-F238E27FC236}">
                <a16:creationId xmlns:a16="http://schemas.microsoft.com/office/drawing/2014/main" id="{F027B14C-1FE9-E29D-A3AF-9A39E492FC43}"/>
              </a:ext>
            </a:extLst>
          </xdr:cNvPr>
          <xdr:cNvSpPr/>
        </xdr:nvSpPr>
        <xdr:spPr>
          <a:xfrm>
            <a:off x="7046105" y="5402362"/>
            <a:ext cx="129540" cy="129540"/>
          </a:xfrm>
          <a:prstGeom prst="flowChartDelay">
            <a:avLst/>
          </a:prstGeom>
          <a:solidFill>
            <a:srgbClr val="FFE8D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7</xdr:col>
      <xdr:colOff>289234</xdr:colOff>
      <xdr:row>3</xdr:row>
      <xdr:rowOff>22860</xdr:rowOff>
    </xdr:from>
    <xdr:to>
      <xdr:col>7</xdr:col>
      <xdr:colOff>418774</xdr:colOff>
      <xdr:row>3</xdr:row>
      <xdr:rowOff>152400</xdr:rowOff>
    </xdr:to>
    <xdr:sp macro="" textlink="">
      <xdr:nvSpPr>
        <xdr:cNvPr id="18" name="Flowchart: Delay 17">
          <a:extLst>
            <a:ext uri="{FF2B5EF4-FFF2-40B4-BE49-F238E27FC236}">
              <a16:creationId xmlns:a16="http://schemas.microsoft.com/office/drawing/2014/main" id="{F8D607AB-EA1F-40C6-B6EC-70C970FAE029}"/>
            </a:ext>
          </a:extLst>
        </xdr:cNvPr>
        <xdr:cNvSpPr/>
      </xdr:nvSpPr>
      <xdr:spPr>
        <a:xfrm rot="10800000">
          <a:off x="4556434" y="571500"/>
          <a:ext cx="129540" cy="129540"/>
        </a:xfrm>
        <a:prstGeom prst="flowChartDelay">
          <a:avLst/>
        </a:prstGeom>
        <a:solidFill>
          <a:srgbClr val="FFE8D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152074</xdr:colOff>
      <xdr:row>4</xdr:row>
      <xdr:rowOff>106135</xdr:rowOff>
    </xdr:from>
    <xdr:to>
      <xdr:col>7</xdr:col>
      <xdr:colOff>281614</xdr:colOff>
      <xdr:row>5</xdr:row>
      <xdr:rowOff>52795</xdr:rowOff>
    </xdr:to>
    <xdr:sp macro="" textlink="">
      <xdr:nvSpPr>
        <xdr:cNvPr id="19" name="Flowchart: Delay 18">
          <a:extLst>
            <a:ext uri="{FF2B5EF4-FFF2-40B4-BE49-F238E27FC236}">
              <a16:creationId xmlns:a16="http://schemas.microsoft.com/office/drawing/2014/main" id="{C9C0D6CA-C579-44BE-B16C-BDDBAE2FC018}"/>
            </a:ext>
          </a:extLst>
        </xdr:cNvPr>
        <xdr:cNvSpPr/>
      </xdr:nvSpPr>
      <xdr:spPr>
        <a:xfrm>
          <a:off x="4419274" y="837655"/>
          <a:ext cx="129540" cy="129540"/>
        </a:xfrm>
        <a:prstGeom prst="flowChartDelay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411480</xdr:colOff>
      <xdr:row>5</xdr:row>
      <xdr:rowOff>61286</xdr:rowOff>
    </xdr:from>
    <xdr:to>
      <xdr:col>7</xdr:col>
      <xdr:colOff>541020</xdr:colOff>
      <xdr:row>6</xdr:row>
      <xdr:rowOff>7946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14EEB5C-5D60-4FCE-A505-96B2BBBA134E}"/>
            </a:ext>
          </a:extLst>
        </xdr:cNvPr>
        <xdr:cNvGrpSpPr/>
      </xdr:nvGrpSpPr>
      <xdr:grpSpPr>
        <a:xfrm>
          <a:off x="4678680" y="1013786"/>
          <a:ext cx="129540" cy="137160"/>
          <a:chOff x="7046105" y="5402362"/>
          <a:chExt cx="129540" cy="129540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45A7648C-36B9-2C71-ACB6-FA02733F3FEC}"/>
              </a:ext>
            </a:extLst>
          </xdr:cNvPr>
          <xdr:cNvSpPr/>
        </xdr:nvSpPr>
        <xdr:spPr>
          <a:xfrm>
            <a:off x="7046867" y="5403124"/>
            <a:ext cx="128016" cy="128016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22" name="Flowchart: Delay 21">
            <a:extLst>
              <a:ext uri="{FF2B5EF4-FFF2-40B4-BE49-F238E27FC236}">
                <a16:creationId xmlns:a16="http://schemas.microsoft.com/office/drawing/2014/main" id="{521C8816-B340-726B-486D-C071F223AE7A}"/>
              </a:ext>
            </a:extLst>
          </xdr:cNvPr>
          <xdr:cNvSpPr/>
        </xdr:nvSpPr>
        <xdr:spPr>
          <a:xfrm>
            <a:off x="7046105" y="5402362"/>
            <a:ext cx="129540" cy="129540"/>
          </a:xfrm>
          <a:prstGeom prst="flowChartDelay">
            <a:avLst/>
          </a:prstGeom>
          <a:solidFill>
            <a:srgbClr val="FF8B4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8</xdr:col>
      <xdr:colOff>136834</xdr:colOff>
      <xdr:row>4</xdr:row>
      <xdr:rowOff>53340</xdr:rowOff>
    </xdr:from>
    <xdr:to>
      <xdr:col>8</xdr:col>
      <xdr:colOff>266374</xdr:colOff>
      <xdr:row>5</xdr:row>
      <xdr:rowOff>0</xdr:rowOff>
    </xdr:to>
    <xdr:sp macro="" textlink="">
      <xdr:nvSpPr>
        <xdr:cNvPr id="23" name="Flowchart: Delay 22">
          <a:extLst>
            <a:ext uri="{FF2B5EF4-FFF2-40B4-BE49-F238E27FC236}">
              <a16:creationId xmlns:a16="http://schemas.microsoft.com/office/drawing/2014/main" id="{E177FECC-BCA3-4D69-A505-3BC9D2B72300}"/>
            </a:ext>
          </a:extLst>
        </xdr:cNvPr>
        <xdr:cNvSpPr/>
      </xdr:nvSpPr>
      <xdr:spPr>
        <a:xfrm rot="10800000">
          <a:off x="5013634" y="784860"/>
          <a:ext cx="129540" cy="129540"/>
        </a:xfrm>
        <a:prstGeom prst="flowChartDelay">
          <a:avLst/>
        </a:prstGeom>
        <a:solidFill>
          <a:srgbClr val="FF8B4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609274</xdr:colOff>
      <xdr:row>5</xdr:row>
      <xdr:rowOff>136615</xdr:rowOff>
    </xdr:from>
    <xdr:to>
      <xdr:col>8</xdr:col>
      <xdr:colOff>129214</xdr:colOff>
      <xdr:row>6</xdr:row>
      <xdr:rowOff>83275</xdr:rowOff>
    </xdr:to>
    <xdr:sp macro="" textlink="">
      <xdr:nvSpPr>
        <xdr:cNvPr id="24" name="Flowchart: Delay 23">
          <a:extLst>
            <a:ext uri="{FF2B5EF4-FFF2-40B4-BE49-F238E27FC236}">
              <a16:creationId xmlns:a16="http://schemas.microsoft.com/office/drawing/2014/main" id="{AA6D1D4E-14DB-4030-9FED-B795C4256B2A}"/>
            </a:ext>
          </a:extLst>
        </xdr:cNvPr>
        <xdr:cNvSpPr/>
      </xdr:nvSpPr>
      <xdr:spPr>
        <a:xfrm>
          <a:off x="4876474" y="1051015"/>
          <a:ext cx="129540" cy="129540"/>
        </a:xfrm>
        <a:prstGeom prst="flowChartDelay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F0DB-A18D-44A5-A07C-EFAB3CBF30ED}">
  <dimension ref="E20:F66"/>
  <sheetViews>
    <sheetView showRowColHeaders="0" zoomScale="64" zoomScaleNormal="64" workbookViewId="0">
      <selection activeCell="V6" sqref="V6"/>
    </sheetView>
  </sheetViews>
  <sheetFormatPr defaultColWidth="8.85546875" defaultRowHeight="15" x14ac:dyDescent="0.25"/>
  <cols>
    <col min="1" max="16384" width="8.85546875" style="3"/>
  </cols>
  <sheetData>
    <row r="20" spans="5:6" x14ac:dyDescent="0.25">
      <c r="E20" s="2"/>
      <c r="F20" s="2"/>
    </row>
    <row r="21" spans="5:6" x14ac:dyDescent="0.25">
      <c r="E21" s="24">
        <f>(Data!A2-1)+INT((Processing!A19-1)/12)+1</f>
        <v>2028</v>
      </c>
      <c r="F21" s="24"/>
    </row>
    <row r="22" spans="5:6" ht="14.45" customHeight="1" x14ac:dyDescent="0.25">
      <c r="E22" s="24"/>
      <c r="F22" s="24"/>
    </row>
    <row r="23" spans="5:6" ht="14.45" customHeight="1" x14ac:dyDescent="0.25">
      <c r="E23" s="25" t="str" cm="1">
        <f t="array" ref="E23">INDEX(Processing!U3:U14,Processing!A17)</f>
        <v>DECEMBER</v>
      </c>
      <c r="F23" s="25"/>
    </row>
    <row r="24" spans="5:6" ht="14.45" customHeight="1" x14ac:dyDescent="0.25">
      <c r="E24" s="25"/>
      <c r="F24" s="25"/>
    </row>
    <row r="25" spans="5:6" ht="14.45" customHeight="1" x14ac:dyDescent="0.25">
      <c r="E25" s="4"/>
      <c r="F25" s="4"/>
    </row>
    <row r="26" spans="5:6" x14ac:dyDescent="0.25">
      <c r="E26" s="2"/>
      <c r="F26" s="2"/>
    </row>
    <row r="27" spans="5:6" x14ac:dyDescent="0.25">
      <c r="E27" s="2"/>
      <c r="F27" s="2"/>
    </row>
    <row r="65" ht="15" customHeight="1" x14ac:dyDescent="0.25"/>
    <row r="66" ht="15" customHeight="1" x14ac:dyDescent="0.25"/>
  </sheetData>
  <mergeCells count="2">
    <mergeCell ref="E21:F22"/>
    <mergeCell ref="E23:F2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Spinner 3">
              <controlPr defaultSize="0" autoPict="0">
                <anchor moveWithCells="1" sizeWithCells="1">
                  <from>
                    <xdr:col>4</xdr:col>
                    <xdr:colOff>419100</xdr:colOff>
                    <xdr:row>24</xdr:row>
                    <xdr:rowOff>85725</xdr:rowOff>
                  </from>
                  <to>
                    <xdr:col>5</xdr:col>
                    <xdr:colOff>180975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4" name="Spinner 4">
              <controlPr defaultSize="0" autoPict="0">
                <anchor moveWithCells="1" sizeWithCells="1">
                  <from>
                    <xdr:col>23</xdr:col>
                    <xdr:colOff>561975</xdr:colOff>
                    <xdr:row>35</xdr:row>
                    <xdr:rowOff>133350</xdr:rowOff>
                  </from>
                  <to>
                    <xdr:col>24</xdr:col>
                    <xdr:colOff>323850</xdr:colOff>
                    <xdr:row>38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82BB-D8D9-4DD4-A2EB-FA8B555AC03A}">
  <dimension ref="E20:F65"/>
  <sheetViews>
    <sheetView showRowColHeaders="0" zoomScale="64" zoomScaleNormal="64" workbookViewId="0">
      <selection activeCell="M6" sqref="M6"/>
    </sheetView>
  </sheetViews>
  <sheetFormatPr defaultColWidth="8.85546875" defaultRowHeight="15" x14ac:dyDescent="0.25"/>
  <cols>
    <col min="1" max="16384" width="8.85546875" style="19"/>
  </cols>
  <sheetData>
    <row r="20" spans="5:6" x14ac:dyDescent="0.25">
      <c r="E20" s="20"/>
      <c r="F20" s="20"/>
    </row>
    <row r="21" spans="5:6" x14ac:dyDescent="0.25">
      <c r="E21" s="22">
        <f>(Data!A2-1)+INT((Processing!A19-1)/12)+1</f>
        <v>2028</v>
      </c>
      <c r="F21" s="22"/>
    </row>
    <row r="22" spans="5:6" ht="14.45" customHeight="1" x14ac:dyDescent="0.25">
      <c r="E22" s="22"/>
      <c r="F22" s="22"/>
    </row>
    <row r="23" spans="5:6" ht="14.45" customHeight="1" x14ac:dyDescent="0.25">
      <c r="E23" s="23" t="str" cm="1">
        <f t="array" ref="E23">INDEX(Processing!U3:U14,Processing!A17)</f>
        <v>DECEMBER</v>
      </c>
      <c r="F23" s="23"/>
    </row>
    <row r="24" spans="5:6" ht="14.45" customHeight="1" x14ac:dyDescent="0.25">
      <c r="E24" s="23"/>
      <c r="F24" s="23"/>
    </row>
    <row r="25" spans="5:6" ht="14.45" customHeight="1" x14ac:dyDescent="0.25">
      <c r="E25" s="21"/>
      <c r="F25" s="21"/>
    </row>
    <row r="26" spans="5:6" x14ac:dyDescent="0.25">
      <c r="E26" s="20"/>
      <c r="F26" s="20"/>
    </row>
    <row r="64" ht="15" customHeight="1" x14ac:dyDescent="0.25"/>
    <row r="65" ht="15" customHeight="1" x14ac:dyDescent="0.25"/>
  </sheetData>
  <mergeCells count="2">
    <mergeCell ref="E21:F22"/>
    <mergeCell ref="E23:F2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defaultSize="0" autoPict="0">
                <anchor moveWithCells="1" sizeWithCells="1">
                  <from>
                    <xdr:col>4</xdr:col>
                    <xdr:colOff>419100</xdr:colOff>
                    <xdr:row>24</xdr:row>
                    <xdr:rowOff>85725</xdr:rowOff>
                  </from>
                  <to>
                    <xdr:col>5</xdr:col>
                    <xdr:colOff>180975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4" name="Spinner 2">
              <controlPr defaultSize="0" autoPict="0">
                <anchor moveWithCells="1" sizeWithCells="1">
                  <from>
                    <xdr:col>23</xdr:col>
                    <xdr:colOff>561975</xdr:colOff>
                    <xdr:row>35</xdr:row>
                    <xdr:rowOff>133350</xdr:rowOff>
                  </from>
                  <to>
                    <xdr:col>24</xdr:col>
                    <xdr:colOff>323850</xdr:colOff>
                    <xdr:row>38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B477-D86F-491A-A0C6-0804251D7C5F}">
  <dimension ref="A1:AA362"/>
  <sheetViews>
    <sheetView zoomScaleNormal="100" workbookViewId="0">
      <selection activeCell="F19" sqref="F19"/>
    </sheetView>
  </sheetViews>
  <sheetFormatPr defaultRowHeight="15" x14ac:dyDescent="0.25"/>
  <cols>
    <col min="1" max="1" width="13.28515625" bestFit="1" customWidth="1"/>
    <col min="3" max="3" width="10.28515625" customWidth="1"/>
    <col min="7" max="7" width="11.5703125" bestFit="1" customWidth="1"/>
    <col min="8" max="8" width="11.7109375" customWidth="1"/>
    <col min="11" max="11" width="11.28515625" bestFit="1" customWidth="1"/>
    <col min="13" max="14" width="11.28515625" bestFit="1" customWidth="1"/>
    <col min="21" max="21" width="10.7109375" bestFit="1" customWidth="1"/>
    <col min="22" max="22" width="12.28515625" bestFit="1" customWidth="1"/>
  </cols>
  <sheetData>
    <row r="1" spans="1:27" x14ac:dyDescent="0.25">
      <c r="A1" s="9" t="s">
        <v>85</v>
      </c>
      <c r="C1">
        <v>20</v>
      </c>
      <c r="D1">
        <v>0.7</v>
      </c>
      <c r="F1" t="s">
        <v>70</v>
      </c>
      <c r="G1" t="s">
        <v>5</v>
      </c>
      <c r="H1" t="s">
        <v>6</v>
      </c>
      <c r="I1" t="s">
        <v>7</v>
      </c>
      <c r="J1" t="s">
        <v>71</v>
      </c>
      <c r="K1" t="s">
        <v>1</v>
      </c>
      <c r="L1" t="s">
        <v>2</v>
      </c>
      <c r="M1" t="s">
        <v>20</v>
      </c>
      <c r="R1" t="s">
        <v>2</v>
      </c>
      <c r="X1" s="7" t="s">
        <v>21</v>
      </c>
    </row>
    <row r="2" spans="1:27" x14ac:dyDescent="0.25">
      <c r="A2" s="8" cm="1">
        <f t="array" ref="A2">INDEX(Data!C2:C49,A19)</f>
        <v>1</v>
      </c>
      <c r="B2" s="15">
        <f>240%-A2</f>
        <v>1.4</v>
      </c>
      <c r="C2">
        <f>$D$1</f>
        <v>0.7</v>
      </c>
      <c r="F2">
        <f>LN(G13/G2)/11</f>
        <v>0.15160971095982509</v>
      </c>
      <c r="G2" s="13">
        <f>N9</f>
        <v>47793.264599482063</v>
      </c>
      <c r="H2" s="13">
        <v>100</v>
      </c>
      <c r="I2" s="13">
        <f t="shared" ref="I2:I13" si="0">IF($A$17=K2,$H$2,0)</f>
        <v>0</v>
      </c>
      <c r="J2" s="13" t="str">
        <f t="shared" ref="J2:J13" si="1">IF($A$17=K2,G2,"")</f>
        <v/>
      </c>
      <c r="K2">
        <v>1</v>
      </c>
      <c r="L2">
        <v>30</v>
      </c>
      <c r="M2" t="s">
        <v>8</v>
      </c>
      <c r="N2">
        <f>(A17-1)*30</f>
        <v>330</v>
      </c>
      <c r="O2">
        <v>30</v>
      </c>
      <c r="P2">
        <f>360-SUM(N2:O2)</f>
        <v>0</v>
      </c>
      <c r="R2">
        <v>10</v>
      </c>
      <c r="X2" s="7" t="s">
        <v>1</v>
      </c>
      <c r="Y2" s="7" t="s">
        <v>22</v>
      </c>
    </row>
    <row r="3" spans="1:27" x14ac:dyDescent="0.25">
      <c r="C3">
        <v>20</v>
      </c>
      <c r="G3" s="13">
        <f t="shared" ref="G3:G12" si="2" xml:space="preserve"> $G$2 * EXP($F$2 * K2)</f>
        <v>55617.307154050111</v>
      </c>
      <c r="H3" s="13">
        <v>100</v>
      </c>
      <c r="I3" s="13">
        <f t="shared" si="0"/>
        <v>0</v>
      </c>
      <c r="J3" s="13" t="str">
        <f t="shared" si="1"/>
        <v/>
      </c>
      <c r="K3">
        <v>2</v>
      </c>
      <c r="L3">
        <v>30</v>
      </c>
      <c r="M3" t="s">
        <v>9</v>
      </c>
      <c r="R3">
        <v>10</v>
      </c>
      <c r="T3">
        <v>1</v>
      </c>
      <c r="U3" t="s">
        <v>0</v>
      </c>
      <c r="V3" s="17" cm="1">
        <f t="array" ref="V3">INDEX(Data!$H$2:$H$49,MATCH(DASHBOARD!$E$21&amp;Processing!U3,Data!$A$2:$A$49&amp;Data!$B$2:$B$49,0))+V2</f>
        <v>307157.0625</v>
      </c>
      <c r="W3">
        <v>1</v>
      </c>
      <c r="X3">
        <v>0</v>
      </c>
      <c r="Y3" t="e" cm="1">
        <f t="array" ref="Y3">IF(INDEX($V$3:$V$14,$A$17)=X3,X3,NA())</f>
        <v>#N/A</v>
      </c>
      <c r="AA3">
        <f>V3/100</f>
        <v>3071.5706249999998</v>
      </c>
    </row>
    <row r="4" spans="1:27" x14ac:dyDescent="0.25">
      <c r="C4">
        <f>$D$1</f>
        <v>0.7</v>
      </c>
      <c r="G4" s="13">
        <f t="shared" si="2"/>
        <v>64722.192153860007</v>
      </c>
      <c r="H4" s="13">
        <v>100</v>
      </c>
      <c r="I4" s="13">
        <f t="shared" si="0"/>
        <v>0</v>
      </c>
      <c r="J4" s="13" t="str">
        <f t="shared" si="1"/>
        <v/>
      </c>
      <c r="K4">
        <v>3</v>
      </c>
      <c r="L4">
        <v>30</v>
      </c>
      <c r="M4" t="s">
        <v>10</v>
      </c>
      <c r="N4" s="1">
        <f>V16/K15</f>
        <v>0.97510178571428574</v>
      </c>
      <c r="O4" t="s">
        <v>66</v>
      </c>
      <c r="R4">
        <v>10</v>
      </c>
      <c r="T4">
        <v>2</v>
      </c>
      <c r="U4" t="s">
        <v>73</v>
      </c>
      <c r="V4" s="17" cm="1">
        <f t="array" ref="V4">INDEX(Data!$H$2:$H$49,MATCH(DASHBOARD!$E$21&amp;Processing!U4,Data!$A$2:$A$49&amp;Data!$B$2:$B$49,0))+V3</f>
        <v>330283.31939499878</v>
      </c>
      <c r="W4">
        <v>2</v>
      </c>
      <c r="X4">
        <v>0</v>
      </c>
      <c r="Y4" t="e" cm="1">
        <f t="array" ref="Y4">IF(INDEX($V$3:$V$14,$A$17)=X4,X4,NA())</f>
        <v>#N/A</v>
      </c>
      <c r="AA4">
        <f t="shared" ref="AA4:AA14" si="3">V4/100</f>
        <v>3302.8331939499876</v>
      </c>
    </row>
    <row r="5" spans="1:27" x14ac:dyDescent="0.25">
      <c r="C5">
        <v>20</v>
      </c>
      <c r="G5" s="13">
        <f t="shared" si="2"/>
        <v>75317.601148838308</v>
      </c>
      <c r="H5" s="13">
        <v>100</v>
      </c>
      <c r="I5" s="13">
        <f t="shared" si="0"/>
        <v>0</v>
      </c>
      <c r="J5" s="13" t="str">
        <f t="shared" si="1"/>
        <v/>
      </c>
      <c r="K5">
        <v>4</v>
      </c>
      <c r="L5">
        <v>30</v>
      </c>
      <c r="M5" t="s">
        <v>11</v>
      </c>
      <c r="N5" s="1">
        <f>N4-O5</f>
        <v>0.87510178571428576</v>
      </c>
      <c r="O5" s="1">
        <v>0.1</v>
      </c>
      <c r="P5" s="1">
        <f>100%-N5-O5</f>
        <v>2.4898214285714232E-2</v>
      </c>
      <c r="Q5" s="1">
        <v>1</v>
      </c>
      <c r="R5">
        <v>10</v>
      </c>
      <c r="T5">
        <v>3</v>
      </c>
      <c r="U5" t="s">
        <v>74</v>
      </c>
      <c r="V5" s="17" cm="1">
        <f t="array" ref="V5">INDEX(Data!$H$2:$H$49,MATCH(DASHBOARD!$E$21&amp;Processing!U5,Data!$A$2:$A$49&amp;Data!$B$2:$B$49,0))+V4</f>
        <v>355150.78241308138</v>
      </c>
      <c r="W5">
        <v>3</v>
      </c>
      <c r="X5">
        <v>0</v>
      </c>
      <c r="Y5" t="e" cm="1">
        <f t="array" ref="Y5">IF(INDEX($V$3:$V$14,$A$17)=X5,X5,NA())</f>
        <v>#N/A</v>
      </c>
      <c r="AA5">
        <f t="shared" si="3"/>
        <v>3551.5078241308138</v>
      </c>
    </row>
    <row r="6" spans="1:27" x14ac:dyDescent="0.25">
      <c r="C6">
        <f>$D$1</f>
        <v>0.7</v>
      </c>
      <c r="G6" s="13">
        <f t="shared" si="2"/>
        <v>87647.541809616712</v>
      </c>
      <c r="H6" s="13">
        <v>100</v>
      </c>
      <c r="I6" s="13">
        <f t="shared" si="0"/>
        <v>0</v>
      </c>
      <c r="J6" s="13" t="str">
        <f t="shared" si="1"/>
        <v/>
      </c>
      <c r="K6">
        <v>5</v>
      </c>
      <c r="L6">
        <v>30</v>
      </c>
      <c r="M6" t="s">
        <v>12</v>
      </c>
      <c r="R6">
        <v>10</v>
      </c>
      <c r="T6">
        <v>4</v>
      </c>
      <c r="U6" t="s">
        <v>75</v>
      </c>
      <c r="V6" s="17" cm="1">
        <f t="array" ref="V6">INDEX(Data!$H$2:$H$49,MATCH(DASHBOARD!$E$21&amp;Processing!U6,Data!$A$2:$A$49&amp;Data!$B$2:$B$49,0))+V5</f>
        <v>381890.54924017406</v>
      </c>
      <c r="W6">
        <v>4</v>
      </c>
      <c r="X6">
        <f t="shared" ref="X6:X32" si="4">$V$3</f>
        <v>307157.0625</v>
      </c>
      <c r="Y6" t="e" cm="1">
        <f t="array" ref="Y6">IF(INDEX($V$3:$V$14,$A$17)=X6,X6,NA())</f>
        <v>#N/A</v>
      </c>
      <c r="AA6">
        <f t="shared" si="3"/>
        <v>3818.9054924017405</v>
      </c>
    </row>
    <row r="7" spans="1:27" x14ac:dyDescent="0.25">
      <c r="C7">
        <v>20</v>
      </c>
      <c r="G7" s="13">
        <f t="shared" si="2"/>
        <v>101995.96731828462</v>
      </c>
      <c r="H7" s="13">
        <v>100</v>
      </c>
      <c r="I7" s="13">
        <f t="shared" si="0"/>
        <v>0</v>
      </c>
      <c r="J7" s="13" t="str">
        <f t="shared" si="1"/>
        <v/>
      </c>
      <c r="K7">
        <v>6</v>
      </c>
      <c r="L7">
        <v>30</v>
      </c>
      <c r="M7" t="s">
        <v>13</v>
      </c>
      <c r="N7" t="s">
        <v>60</v>
      </c>
      <c r="O7" t="s">
        <v>59</v>
      </c>
      <c r="R7">
        <v>10</v>
      </c>
      <c r="T7">
        <v>5</v>
      </c>
      <c r="U7" t="s">
        <v>12</v>
      </c>
      <c r="V7" s="17" cm="1">
        <f t="array" ref="V7">INDEX(Data!$H$2:$H$49,MATCH(DASHBOARD!$E$21&amp;Processing!U7,Data!$A$2:$A$49&amp;Data!$B$2:$B$49,0))+V6</f>
        <v>410643.58807840815</v>
      </c>
      <c r="W7">
        <v>5</v>
      </c>
      <c r="X7">
        <f t="shared" si="4"/>
        <v>307157.0625</v>
      </c>
      <c r="Y7" t="e" cm="1">
        <f t="array" ref="Y7">IF(INDEX($V$3:$V$14,$A$17)=X7,X7,NA())</f>
        <v>#N/A</v>
      </c>
      <c r="AA7">
        <f t="shared" si="3"/>
        <v>4106.4358807840817</v>
      </c>
    </row>
    <row r="8" spans="1:27" x14ac:dyDescent="0.25">
      <c r="C8">
        <f>$D$1</f>
        <v>0.7</v>
      </c>
      <c r="G8" s="13">
        <f t="shared" si="2"/>
        <v>118693.31568693399</v>
      </c>
      <c r="H8" s="13">
        <v>100</v>
      </c>
      <c r="I8" s="13">
        <f t="shared" si="0"/>
        <v>0</v>
      </c>
      <c r="J8" s="13" t="str">
        <f t="shared" si="1"/>
        <v/>
      </c>
      <c r="K8">
        <v>7</v>
      </c>
      <c r="L8">
        <v>30</v>
      </c>
      <c r="M8" t="s">
        <v>14</v>
      </c>
      <c r="N8" t="str" cm="1">
        <f t="array" ref="N8">INDEX(Data!J2:J49,$A$19)</f>
        <v>Adjustments</v>
      </c>
      <c r="O8" t="str" cm="1">
        <f t="array" ref="O8">INDEX(Data!K2:K49,$A$19)</f>
        <v>Performance analysis and strategy adjustments – evaluating KPIs, improving processes, and planning future growth.</v>
      </c>
      <c r="R8">
        <v>10</v>
      </c>
      <c r="T8">
        <v>6</v>
      </c>
      <c r="U8" t="s">
        <v>76</v>
      </c>
      <c r="V8" s="17" cm="1">
        <f t="array" ref="V8">INDEX(Data!$H$2:$H$49,MATCH(DASHBOARD!$E$21&amp;Processing!U8,Data!$A$2:$A$49&amp;Data!$B$2:$B$49,0))+V7</f>
        <v>441561.48081019364</v>
      </c>
      <c r="W8">
        <v>6</v>
      </c>
      <c r="X8">
        <f t="shared" si="4"/>
        <v>307157.0625</v>
      </c>
      <c r="Y8" t="e" cm="1">
        <f t="array" ref="Y8">IF(INDEX($V$3:$V$14,$A$17)=X8,X8,NA())</f>
        <v>#N/A</v>
      </c>
      <c r="AA8">
        <f t="shared" si="3"/>
        <v>4415.6148081019364</v>
      </c>
    </row>
    <row r="9" spans="1:27" x14ac:dyDescent="0.25">
      <c r="C9">
        <v>20</v>
      </c>
      <c r="G9" s="13">
        <f t="shared" si="2"/>
        <v>138124.11960166413</v>
      </c>
      <c r="H9" s="13">
        <v>100</v>
      </c>
      <c r="I9" s="13">
        <f t="shared" si="0"/>
        <v>0</v>
      </c>
      <c r="J9" s="13" t="str">
        <f t="shared" si="1"/>
        <v/>
      </c>
      <c r="K9">
        <v>8</v>
      </c>
      <c r="L9">
        <v>30</v>
      </c>
      <c r="M9" t="s">
        <v>15</v>
      </c>
      <c r="N9" s="12" cm="1">
        <f t="array" ref="N9">INDEX(Data!H2:H49,$A$19)</f>
        <v>47793.264599482063</v>
      </c>
      <c r="R9">
        <v>10</v>
      </c>
      <c r="T9">
        <v>7</v>
      </c>
      <c r="U9" t="s">
        <v>77</v>
      </c>
      <c r="V9" s="17" cm="1">
        <f t="array" ref="V9">INDEX(Data!$H$2:$H$49,MATCH(DASHBOARD!$E$21&amp;Processing!U9,Data!$A$2:$A$49&amp;Data!$B$2:$B$49,0))+V8</f>
        <v>474807.22211608524</v>
      </c>
      <c r="W9">
        <v>7</v>
      </c>
      <c r="X9">
        <f t="shared" si="4"/>
        <v>307157.0625</v>
      </c>
      <c r="Y9" t="e" cm="1">
        <f t="array" ref="Y9">IF(INDEX($V$3:$V$14,$A$17)=X9,X9,NA())</f>
        <v>#N/A</v>
      </c>
      <c r="AA9">
        <f t="shared" si="3"/>
        <v>4748.0722211608527</v>
      </c>
    </row>
    <row r="10" spans="1:27" x14ac:dyDescent="0.25">
      <c r="C10">
        <f>200-SUM(C1:C9)</f>
        <v>97.199999999999989</v>
      </c>
      <c r="G10" s="13">
        <f t="shared" si="2"/>
        <v>160735.8620434512</v>
      </c>
      <c r="H10" s="13">
        <v>100</v>
      </c>
      <c r="I10" s="13">
        <f t="shared" si="0"/>
        <v>0</v>
      </c>
      <c r="J10" s="13" t="str">
        <f t="shared" si="1"/>
        <v/>
      </c>
      <c r="K10">
        <v>9</v>
      </c>
      <c r="L10">
        <v>30</v>
      </c>
      <c r="M10" t="s">
        <v>16</v>
      </c>
      <c r="R10">
        <v>10</v>
      </c>
      <c r="T10">
        <v>8</v>
      </c>
      <c r="U10" t="s">
        <v>78</v>
      </c>
      <c r="V10" s="17" cm="1">
        <f t="array" ref="V10">INDEX(Data!$H$2:$H$49,MATCH(DASHBOARD!$E$21&amp;Processing!U10,Data!$A$2:$A$49&amp;Data!$B$2:$B$49,0))+V9</f>
        <v>510556.07875927998</v>
      </c>
      <c r="W10">
        <v>8</v>
      </c>
      <c r="X10">
        <f t="shared" si="4"/>
        <v>307157.0625</v>
      </c>
      <c r="Y10" t="e" cm="1">
        <f t="array" ref="Y10">IF(INDEX($V$3:$V$14,$A$17)=X10,X10,NA())</f>
        <v>#N/A</v>
      </c>
      <c r="AA10">
        <f t="shared" si="3"/>
        <v>5105.5607875927999</v>
      </c>
    </row>
    <row r="11" spans="1:27" x14ac:dyDescent="0.25">
      <c r="G11" s="13">
        <f t="shared" si="2"/>
        <v>187049.28162698745</v>
      </c>
      <c r="H11" s="13">
        <v>100</v>
      </c>
      <c r="I11" s="13">
        <f t="shared" si="0"/>
        <v>0</v>
      </c>
      <c r="J11" s="13" t="str">
        <f t="shared" si="1"/>
        <v/>
      </c>
      <c r="K11">
        <v>10</v>
      </c>
      <c r="L11">
        <v>30</v>
      </c>
      <c r="M11" t="s">
        <v>17</v>
      </c>
      <c r="R11">
        <v>10</v>
      </c>
      <c r="T11">
        <v>9</v>
      </c>
      <c r="U11" t="s">
        <v>79</v>
      </c>
      <c r="V11" s="17" cm="1">
        <f t="array" ref="V11">INDEX(Data!$H$2:$H$49,MATCH(DASHBOARD!$E$21&amp;Processing!U11,Data!$A$2:$A$49&amp;Data!$B$2:$B$49,0))+V10</f>
        <v>548996.51356676652</v>
      </c>
      <c r="W11">
        <v>9</v>
      </c>
      <c r="X11">
        <f t="shared" si="4"/>
        <v>307157.0625</v>
      </c>
      <c r="Y11" t="e" cm="1">
        <f t="array" ref="Y11">IF(INDEX($V$3:$V$14,$A$17)=X11,X11,NA())</f>
        <v>#N/A</v>
      </c>
      <c r="AA11">
        <f t="shared" si="3"/>
        <v>5489.965135667665</v>
      </c>
    </row>
    <row r="12" spans="1:27" x14ac:dyDescent="0.25">
      <c r="G12" s="13">
        <f t="shared" si="2"/>
        <v>217670.36498497159</v>
      </c>
      <c r="H12" s="13">
        <v>100</v>
      </c>
      <c r="I12" s="13">
        <f t="shared" si="0"/>
        <v>0</v>
      </c>
      <c r="J12" s="13" t="str">
        <f t="shared" si="1"/>
        <v/>
      </c>
      <c r="K12">
        <v>11</v>
      </c>
      <c r="L12">
        <v>30</v>
      </c>
      <c r="M12" t="s">
        <v>18</v>
      </c>
      <c r="R12">
        <v>10</v>
      </c>
      <c r="T12">
        <v>10</v>
      </c>
      <c r="U12" t="s">
        <v>80</v>
      </c>
      <c r="V12" s="17" cm="1">
        <f t="array" ref="V12">INDEX(Data!$H$2:$H$49,MATCH(DASHBOARD!$E$21&amp;Processing!U12,Data!$A$2:$A$49&amp;Data!$B$2:$B$49,0))+V11</f>
        <v>590331.17897822428</v>
      </c>
      <c r="W12">
        <v>10</v>
      </c>
      <c r="X12">
        <f t="shared" si="4"/>
        <v>307157.0625</v>
      </c>
      <c r="Y12" t="e" cm="1">
        <f t="array" ref="Y12">IF(INDEX($V$3:$V$14,$A$17)=X12,X12,NA())</f>
        <v>#N/A</v>
      </c>
      <c r="AA12">
        <f t="shared" si="3"/>
        <v>5903.3117897822431</v>
      </c>
    </row>
    <row r="13" spans="1:27" x14ac:dyDescent="0.25">
      <c r="A13" s="9" t="s">
        <v>86</v>
      </c>
      <c r="F13" s="12">
        <f>G13</f>
        <v>253304.30237725493</v>
      </c>
      <c r="G13" s="13">
        <f>G2*B14</f>
        <v>253304.30237725493</v>
      </c>
      <c r="H13" s="13">
        <v>100</v>
      </c>
      <c r="I13" s="13">
        <f t="shared" si="0"/>
        <v>100</v>
      </c>
      <c r="J13" s="13">
        <f t="shared" si="1"/>
        <v>253304.30237725493</v>
      </c>
      <c r="K13">
        <v>12</v>
      </c>
      <c r="L13">
        <v>30</v>
      </c>
      <c r="M13" t="s">
        <v>19</v>
      </c>
      <c r="R13">
        <v>10</v>
      </c>
      <c r="T13">
        <v>11</v>
      </c>
      <c r="U13" t="s">
        <v>81</v>
      </c>
      <c r="V13" s="17" cm="1">
        <f t="array" ref="V13">INDEX(Data!$H$2:$H$49,MATCH(DASHBOARD!$E$21&amp;Processing!U13,Data!$A$2:$A$49&amp;Data!$B$2:$B$49,0))+V12</f>
        <v>634777.98540051794</v>
      </c>
      <c r="W13">
        <v>11</v>
      </c>
      <c r="X13">
        <f t="shared" si="4"/>
        <v>307157.0625</v>
      </c>
      <c r="Y13" t="e" cm="1">
        <f t="array" ref="Y13">IF(INDEX($V$3:$V$14,$A$17)=X13,X13,NA())</f>
        <v>#N/A</v>
      </c>
      <c r="AA13">
        <f t="shared" si="3"/>
        <v>6347.779854005179</v>
      </c>
    </row>
    <row r="14" spans="1:27" x14ac:dyDescent="0.25">
      <c r="A14" s="1">
        <f>100%-A15</f>
        <v>0.18867924528301883</v>
      </c>
      <c r="B14" s="14">
        <f>B15/10</f>
        <v>5.3</v>
      </c>
      <c r="R14">
        <v>10</v>
      </c>
      <c r="T14">
        <v>12</v>
      </c>
      <c r="U14" t="s">
        <v>82</v>
      </c>
      <c r="V14" s="17" cm="1">
        <f t="array" ref="V14">INDEX(Data!$H$2:$H$49,MATCH(DASHBOARD!$E$21&amp;Processing!U14,Data!$A$2:$A$49&amp;Data!$B$2:$B$49,0))+V13</f>
        <v>682571.25</v>
      </c>
      <c r="W14">
        <v>12</v>
      </c>
      <c r="X14">
        <f t="shared" si="4"/>
        <v>307157.0625</v>
      </c>
      <c r="Y14" t="e" cm="1">
        <f t="array" ref="Y14">IF(INDEX($V$3:$V$14,$A$17)=X14,X14,NA())</f>
        <v>#N/A</v>
      </c>
      <c r="AA14">
        <f t="shared" si="3"/>
        <v>6825.7124999999996</v>
      </c>
    </row>
    <row r="15" spans="1:27" x14ac:dyDescent="0.25">
      <c r="A15" s="1">
        <f>100%-G2/G13</f>
        <v>0.81132075471698117</v>
      </c>
      <c r="B15">
        <v>53</v>
      </c>
      <c r="C15" s="6"/>
      <c r="J15" t="s">
        <v>68</v>
      </c>
      <c r="K15" s="12" cm="1">
        <f t="array" ref="K15">INDEX(I18:I21,INT((Processing!A19-1)/12)+1)</f>
        <v>700000</v>
      </c>
      <c r="R15">
        <v>10</v>
      </c>
      <c r="U15" s="9" t="s">
        <v>1</v>
      </c>
      <c r="V15" s="10" t="s">
        <v>67</v>
      </c>
      <c r="W15">
        <v>13</v>
      </c>
      <c r="X15">
        <f t="shared" si="4"/>
        <v>307157.0625</v>
      </c>
      <c r="Y15" t="e" cm="1">
        <f t="array" ref="Y15">IF(INDEX($V$3:$V$14,$A$17)=X15,X15,NA())</f>
        <v>#N/A</v>
      </c>
    </row>
    <row r="16" spans="1:27" x14ac:dyDescent="0.25">
      <c r="A16" s="9" t="s">
        <v>87</v>
      </c>
      <c r="J16" t="s">
        <v>69</v>
      </c>
      <c r="K16" s="12">
        <f>SUM(L18:L21)</f>
        <v>1455000</v>
      </c>
      <c r="R16">
        <v>10</v>
      </c>
      <c r="U16" s="17" t="str" cm="1">
        <f t="array" ref="U16">INDEX(U3:U14,$A$17)</f>
        <v>DECEMBER</v>
      </c>
      <c r="V16" s="17" cm="1">
        <f t="array" ref="V16">INDEX(V3:V14,$A$17)</f>
        <v>682571.25</v>
      </c>
      <c r="W16">
        <v>14</v>
      </c>
      <c r="X16">
        <f t="shared" si="4"/>
        <v>307157.0625</v>
      </c>
      <c r="Y16" t="e" cm="1">
        <f t="array" ref="Y16">IF(INDEX($V$3:$V$14,$A$17)=X16,X16,NA())</f>
        <v>#N/A</v>
      </c>
    </row>
    <row r="17" spans="1:25" x14ac:dyDescent="0.25">
      <c r="A17">
        <f>MOD($A$19-1,12)+1</f>
        <v>12</v>
      </c>
      <c r="I17" s="9" t="s">
        <v>84</v>
      </c>
      <c r="J17" s="1">
        <f>MAX(J18:J21)</f>
        <v>0.5</v>
      </c>
      <c r="K17" s="1">
        <v>0.4</v>
      </c>
      <c r="L17">
        <f>MAX(I21:I21)</f>
        <v>700000</v>
      </c>
      <c r="N17" s="1"/>
      <c r="R17">
        <v>10</v>
      </c>
      <c r="W17">
        <v>15</v>
      </c>
      <c r="X17">
        <f t="shared" si="4"/>
        <v>307157.0625</v>
      </c>
      <c r="Y17" t="e" cm="1">
        <f t="array" ref="Y17">IF(INDEX($V$3:$V$14,$A$17)=X17,X17,NA())</f>
        <v>#N/A</v>
      </c>
    </row>
    <row r="18" spans="1:25" x14ac:dyDescent="0.25">
      <c r="A18" s="7" t="s">
        <v>23</v>
      </c>
      <c r="H18">
        <v>2025</v>
      </c>
      <c r="I18">
        <v>135000</v>
      </c>
      <c r="J18" s="1">
        <v>0.5</v>
      </c>
      <c r="K18" s="1">
        <v>0.4</v>
      </c>
      <c r="L18">
        <f>IF(DASHBOARD!$E$21&gt;=Processing!H21,Processing!I21,0)</f>
        <v>700000</v>
      </c>
      <c r="N18" s="1"/>
      <c r="R18">
        <v>10</v>
      </c>
      <c r="W18">
        <v>16</v>
      </c>
      <c r="X18">
        <f t="shared" si="4"/>
        <v>307157.0625</v>
      </c>
      <c r="Y18" t="e" cm="1">
        <f t="array" ref="Y18">IF(INDEX($V$3:$V$14,$A$17)=X18,X18,NA())</f>
        <v>#N/A</v>
      </c>
    </row>
    <row r="19" spans="1:25" x14ac:dyDescent="0.25">
      <c r="A19">
        <v>48</v>
      </c>
      <c r="H19">
        <v>2026</v>
      </c>
      <c r="I19">
        <v>220000</v>
      </c>
      <c r="J19" s="1">
        <v>0.5</v>
      </c>
      <c r="K19" s="1">
        <v>0.37</v>
      </c>
      <c r="L19">
        <f>IF(DASHBOARD!$E$21&gt;=Processing!H20,Processing!I20,0)</f>
        <v>400000</v>
      </c>
      <c r="N19" s="1"/>
      <c r="R19">
        <v>10</v>
      </c>
      <c r="T19" s="8"/>
      <c r="W19">
        <v>17</v>
      </c>
      <c r="X19">
        <f t="shared" si="4"/>
        <v>307157.0625</v>
      </c>
      <c r="Y19" t="e" cm="1">
        <f t="array" ref="Y19">IF(INDEX($V$3:$V$14,$A$17)=X19,X19,NA())</f>
        <v>#N/A</v>
      </c>
    </row>
    <row r="20" spans="1:25" x14ac:dyDescent="0.25">
      <c r="H20">
        <v>2027</v>
      </c>
      <c r="I20">
        <v>400000</v>
      </c>
      <c r="J20" s="1">
        <v>0.5</v>
      </c>
      <c r="K20" s="1">
        <v>0.35</v>
      </c>
      <c r="L20">
        <f>IF(DASHBOARD!$E$21&gt;=Processing!H19,Processing!I19,0)</f>
        <v>220000</v>
      </c>
      <c r="N20" s="1"/>
      <c r="R20">
        <v>10</v>
      </c>
      <c r="T20" s="8"/>
      <c r="W20">
        <v>18</v>
      </c>
      <c r="X20">
        <f t="shared" si="4"/>
        <v>307157.0625</v>
      </c>
      <c r="Y20" t="e" cm="1">
        <f t="array" ref="Y20">IF(INDEX($V$3:$V$14,$A$17)=X20,X20,NA())</f>
        <v>#N/A</v>
      </c>
    </row>
    <row r="21" spans="1:25" x14ac:dyDescent="0.25">
      <c r="H21">
        <v>2028</v>
      </c>
      <c r="I21">
        <v>700000</v>
      </c>
      <c r="J21" s="1">
        <v>0.5</v>
      </c>
      <c r="K21" s="1">
        <v>0.34</v>
      </c>
      <c r="L21">
        <f>IF(DASHBOARD!$E$21&gt;=Processing!H18,Processing!I18,0)</f>
        <v>135000</v>
      </c>
      <c r="N21" s="1"/>
      <c r="R21">
        <v>10</v>
      </c>
      <c r="T21" s="8"/>
      <c r="W21">
        <v>19</v>
      </c>
      <c r="X21">
        <f t="shared" si="4"/>
        <v>307157.0625</v>
      </c>
      <c r="Y21" t="e" cm="1">
        <f t="array" ref="Y21">IF(INDEX($V$3:$V$14,$A$17)=X21,X21,NA())</f>
        <v>#N/A</v>
      </c>
    </row>
    <row r="22" spans="1:25" x14ac:dyDescent="0.25">
      <c r="A22" t="s">
        <v>62</v>
      </c>
      <c r="B22" s="8" cm="1">
        <f t="array" ref="B22">INDEX(Data!$D$2:$G$49,Processing!$A$19,MATCH(Processing!A22,Data!$D$1:$G$1,0))</f>
        <v>1</v>
      </c>
      <c r="C22" s="1">
        <f>IF($B22,$C$26,0)</f>
        <v>0.05</v>
      </c>
      <c r="D22" s="1">
        <f>B22</f>
        <v>1</v>
      </c>
      <c r="E22" s="1">
        <f>IF($B22,$C$26,0)</f>
        <v>0.05</v>
      </c>
      <c r="F22" s="8">
        <f>100%-D22</f>
        <v>0</v>
      </c>
      <c r="G22" s="1">
        <f>IF($B22&lt;100%,$C$26,0)</f>
        <v>0</v>
      </c>
      <c r="T22" s="8"/>
      <c r="W22">
        <v>20</v>
      </c>
      <c r="X22">
        <f t="shared" si="4"/>
        <v>307157.0625</v>
      </c>
      <c r="Y22" t="e" cm="1">
        <f t="array" ref="Y22">IF(INDEX($V$3:$V$14,$A$17)=X22,X22,NA())</f>
        <v>#N/A</v>
      </c>
    </row>
    <row r="23" spans="1:25" x14ac:dyDescent="0.25">
      <c r="A23" t="s">
        <v>63</v>
      </c>
      <c r="B23" s="8" cm="1">
        <f t="array" ref="B23">INDEX(Data!$D$2:$G$49,Processing!$A$19,MATCH(Processing!A23,Data!$D$1:$G$1,0))</f>
        <v>1</v>
      </c>
      <c r="C23" s="1">
        <f t="shared" ref="C23:C25" si="5">IF($B23,$C$26,0)</f>
        <v>0.05</v>
      </c>
      <c r="D23" s="1">
        <f t="shared" ref="D23:D25" si="6">B23</f>
        <v>1</v>
      </c>
      <c r="E23" s="1">
        <f t="shared" ref="E23:E25" si="7">IF($B23,$C$26,0)</f>
        <v>0.05</v>
      </c>
      <c r="F23" s="8">
        <f>100%-D23</f>
        <v>0</v>
      </c>
      <c r="G23" s="1">
        <f t="shared" ref="G23:G25" si="8">IF($B23&lt;100%,$C$26,0)</f>
        <v>0</v>
      </c>
      <c r="L23" s="9" t="s">
        <v>83</v>
      </c>
      <c r="T23" s="8"/>
      <c r="W23">
        <v>21</v>
      </c>
      <c r="X23">
        <f t="shared" si="4"/>
        <v>307157.0625</v>
      </c>
      <c r="Y23" t="e" cm="1">
        <f t="array" ref="Y23">IF(INDEX($V$3:$V$14,$A$17)=X23,X23,NA())</f>
        <v>#N/A</v>
      </c>
    </row>
    <row r="24" spans="1:25" x14ac:dyDescent="0.25">
      <c r="A24" t="s">
        <v>64</v>
      </c>
      <c r="B24" s="8" cm="1">
        <f t="array" ref="B24">INDEX(Data!$D$2:$G$49,Processing!$A$19,MATCH(Processing!A24,Data!$D$1:$G$1,0))</f>
        <v>0.37</v>
      </c>
      <c r="C24" s="1">
        <f t="shared" si="5"/>
        <v>0.05</v>
      </c>
      <c r="D24" s="1">
        <f t="shared" si="6"/>
        <v>0.37</v>
      </c>
      <c r="E24" s="1">
        <f t="shared" si="7"/>
        <v>0.05</v>
      </c>
      <c r="F24" s="8">
        <f>100%-D24</f>
        <v>0.63</v>
      </c>
      <c r="G24" s="1">
        <f t="shared" si="8"/>
        <v>0.05</v>
      </c>
      <c r="K24">
        <v>2025</v>
      </c>
      <c r="L24" s="16">
        <v>0.12</v>
      </c>
      <c r="M24" s="1">
        <f>25%-(N24/2)</f>
        <v>0.19</v>
      </c>
      <c r="N24" s="1" cm="1">
        <f t="array" ref="N24">IF(DASHBOARD!$E$21=Processing!K24,INDEX(Data!$I$2:$I$49,Processing!$A$19),IF(DASHBOARD!$E$21&gt;Processing!K24,INDEX(Data!$I$2:$I$49,12),0))</f>
        <v>0.12</v>
      </c>
      <c r="O24" s="8">
        <f>100%-N24-M24</f>
        <v>0.69</v>
      </c>
      <c r="T24" s="8"/>
      <c r="W24">
        <v>22</v>
      </c>
      <c r="X24">
        <f t="shared" si="4"/>
        <v>307157.0625</v>
      </c>
      <c r="Y24" t="e" cm="1">
        <f t="array" ref="Y24">IF(INDEX($V$3:$V$14,$A$17)=X24,X24,NA())</f>
        <v>#N/A</v>
      </c>
    </row>
    <row r="25" spans="1:25" x14ac:dyDescent="0.25">
      <c r="A25" t="s">
        <v>61</v>
      </c>
      <c r="B25" s="8" cm="1">
        <f t="array" ref="B25">INDEX(Data!$D$2:$G$49,Processing!$A$19,MATCH(Processing!A25,Data!$D$1:$G$1,0))</f>
        <v>0.45</v>
      </c>
      <c r="C25" s="1">
        <f t="shared" si="5"/>
        <v>0.05</v>
      </c>
      <c r="D25" s="1">
        <f t="shared" si="6"/>
        <v>0.45</v>
      </c>
      <c r="E25" s="1">
        <f t="shared" si="7"/>
        <v>0.05</v>
      </c>
      <c r="F25" s="8">
        <f>100%-D25</f>
        <v>0.55000000000000004</v>
      </c>
      <c r="G25" s="1">
        <f t="shared" si="8"/>
        <v>0.05</v>
      </c>
      <c r="K25">
        <v>2026</v>
      </c>
      <c r="L25" s="16">
        <v>0.3</v>
      </c>
      <c r="M25" s="1">
        <f t="shared" ref="M25:M27" si="9">25%-(N25/2)</f>
        <v>0.1</v>
      </c>
      <c r="N25" s="1" cm="1">
        <f t="array" ref="N25">IF(DASHBOARD!$E$21=Processing!K25,INDEX(Data!$I$2:$I$49,Processing!$A$19),IF(DASHBOARD!$E$21&gt;Processing!K25,INDEX(Data!$I$2:$I$49,24),0))</f>
        <v>0.3</v>
      </c>
      <c r="O25" s="8">
        <f>100%-N25-M25</f>
        <v>0.6</v>
      </c>
      <c r="T25" s="8"/>
      <c r="W25">
        <v>23</v>
      </c>
      <c r="X25">
        <f t="shared" si="4"/>
        <v>307157.0625</v>
      </c>
      <c r="Y25" t="e" cm="1">
        <f t="array" ref="Y25">IF(INDEX($V$3:$V$14,$A$17)=X25,X25,NA())</f>
        <v>#N/A</v>
      </c>
    </row>
    <row r="26" spans="1:25" x14ac:dyDescent="0.25">
      <c r="B26" t="s">
        <v>65</v>
      </c>
      <c r="C26" s="1">
        <v>0.05</v>
      </c>
      <c r="K26">
        <v>2027</v>
      </c>
      <c r="L26" s="16">
        <v>0.18</v>
      </c>
      <c r="M26" s="1">
        <f t="shared" si="9"/>
        <v>0.16</v>
      </c>
      <c r="N26" s="1" cm="1">
        <f t="array" ref="N26">IF(DASHBOARD!$E$21=Processing!K26,INDEX(Data!$I$2:$I$49,Processing!$A$19),IF(DASHBOARD!$E$21&gt;Processing!K26,INDEX(Data!$I$2:$I$49,36),0))</f>
        <v>0.18</v>
      </c>
      <c r="O26" s="8">
        <f>100%-N26-M26</f>
        <v>0.66</v>
      </c>
      <c r="T26" s="8"/>
      <c r="W26">
        <v>24</v>
      </c>
      <c r="X26">
        <f t="shared" si="4"/>
        <v>307157.0625</v>
      </c>
      <c r="Y26" t="e" cm="1">
        <f t="array" ref="Y26">IF(INDEX($V$3:$V$14,$A$17)=X26,X26,NA())</f>
        <v>#N/A</v>
      </c>
    </row>
    <row r="27" spans="1:25" x14ac:dyDescent="0.25">
      <c r="K27">
        <v>2028</v>
      </c>
      <c r="L27" s="16">
        <v>0.25</v>
      </c>
      <c r="M27" s="1">
        <f t="shared" si="9"/>
        <v>0.125</v>
      </c>
      <c r="N27" s="1" cm="1">
        <f t="array" ref="N27">IF(DASHBOARD!$E$21=Processing!K27,INDEX(Data!$I$2:$I$49,Processing!$A$19),IF(DASHBOARD!$E$21&gt;Processing!K27,INDEX(Data!$I$2:$I$49,48),0))</f>
        <v>0.25</v>
      </c>
      <c r="O27" s="8">
        <f>100%-N27-M27</f>
        <v>0.625</v>
      </c>
      <c r="T27" s="8"/>
      <c r="W27">
        <v>25</v>
      </c>
      <c r="X27">
        <f t="shared" si="4"/>
        <v>307157.0625</v>
      </c>
      <c r="Y27" t="e" cm="1">
        <f t="array" ref="Y27">IF(INDEX($V$3:$V$14,$A$17)=X27,X27,NA())</f>
        <v>#N/A</v>
      </c>
    </row>
    <row r="28" spans="1:25" x14ac:dyDescent="0.25">
      <c r="K28" s="1"/>
      <c r="T28" s="8"/>
      <c r="W28">
        <v>26</v>
      </c>
      <c r="X28">
        <f t="shared" si="4"/>
        <v>307157.0625</v>
      </c>
      <c r="Y28" t="e" cm="1">
        <f t="array" ref="Y28">IF(INDEX($V$3:$V$14,$A$17)=X28,X28,NA())</f>
        <v>#N/A</v>
      </c>
    </row>
    <row r="29" spans="1:25" x14ac:dyDescent="0.25">
      <c r="H29" s="1"/>
      <c r="T29" s="8"/>
      <c r="W29">
        <v>27</v>
      </c>
      <c r="X29">
        <f t="shared" si="4"/>
        <v>307157.0625</v>
      </c>
      <c r="Y29" t="e" cm="1">
        <f t="array" ref="Y29">IF(INDEX($V$3:$V$14,$A$17)=X29,X29,NA())</f>
        <v>#N/A</v>
      </c>
    </row>
    <row r="30" spans="1:25" x14ac:dyDescent="0.25">
      <c r="F30" s="1"/>
      <c r="T30" s="8"/>
      <c r="W30">
        <v>28</v>
      </c>
      <c r="X30">
        <f t="shared" si="4"/>
        <v>307157.0625</v>
      </c>
      <c r="Y30" t="e" cm="1">
        <f t="array" ref="Y30">IF(INDEX($V$3:$V$14,$A$17)=X30,X30,NA())</f>
        <v>#N/A</v>
      </c>
    </row>
    <row r="31" spans="1:25" ht="15" customHeight="1" x14ac:dyDescent="0.25">
      <c r="T31" s="8"/>
      <c r="W31">
        <v>29</v>
      </c>
      <c r="X31">
        <f t="shared" si="4"/>
        <v>307157.0625</v>
      </c>
      <c r="Y31" t="e" cm="1">
        <f t="array" ref="Y31">IF(INDEX($V$3:$V$14,$A$17)=X31,X31,NA())</f>
        <v>#N/A</v>
      </c>
    </row>
    <row r="32" spans="1:25" ht="15" customHeight="1" x14ac:dyDescent="0.25">
      <c r="T32" s="8"/>
      <c r="W32">
        <v>30</v>
      </c>
      <c r="X32">
        <f t="shared" si="4"/>
        <v>307157.0625</v>
      </c>
      <c r="Y32" t="e" cm="1">
        <f t="array" ref="Y32">IF(INDEX($V$3:$V$14,$A$17)=X32,X32,NA())</f>
        <v>#N/A</v>
      </c>
    </row>
    <row r="33" spans="1:25" x14ac:dyDescent="0.25">
      <c r="T33" s="8"/>
      <c r="W33">
        <v>31</v>
      </c>
      <c r="X33">
        <v>0</v>
      </c>
      <c r="Y33" t="e" cm="1">
        <f t="array" ref="Y33">IF(INDEX($V$3:$V$14,$A$17)=X33,X33,NA())</f>
        <v>#N/A</v>
      </c>
    </row>
    <row r="34" spans="1:25" x14ac:dyDescent="0.25">
      <c r="A34" s="1"/>
      <c r="B34" s="8"/>
      <c r="T34" s="8"/>
      <c r="W34">
        <v>32</v>
      </c>
      <c r="X34">
        <v>0</v>
      </c>
      <c r="Y34" t="e" cm="1">
        <f t="array" ref="Y34">IF(INDEX($V$3:$V$14,$A$17)=X34,X34,NA())</f>
        <v>#N/A</v>
      </c>
    </row>
    <row r="35" spans="1:25" x14ac:dyDescent="0.25">
      <c r="A35" s="1"/>
      <c r="B35" s="8"/>
      <c r="T35" s="8"/>
      <c r="W35">
        <v>33</v>
      </c>
      <c r="X35">
        <v>0</v>
      </c>
      <c r="Y35" t="e" cm="1">
        <f t="array" ref="Y35">IF(INDEX($V$3:$V$14,$A$17)=X35,X35,NA())</f>
        <v>#N/A</v>
      </c>
    </row>
    <row r="36" spans="1:25" x14ac:dyDescent="0.25">
      <c r="A36" s="1"/>
      <c r="B36" s="8"/>
      <c r="T36" s="8"/>
      <c r="W36">
        <v>34</v>
      </c>
      <c r="X36">
        <f t="shared" ref="X36:X62" si="10">$V$4</f>
        <v>330283.31939499878</v>
      </c>
      <c r="Y36" t="e" cm="1">
        <f t="array" ref="Y36">IF(INDEX($V$3:$V$14,$A$17)=X36,X36,NA())</f>
        <v>#N/A</v>
      </c>
    </row>
    <row r="37" spans="1:25" x14ac:dyDescent="0.25">
      <c r="A37" s="1"/>
      <c r="B37" s="8"/>
      <c r="T37" s="8"/>
      <c r="W37">
        <v>35</v>
      </c>
      <c r="X37">
        <f t="shared" si="10"/>
        <v>330283.31939499878</v>
      </c>
      <c r="Y37" t="e" cm="1">
        <f t="array" ref="Y37">IF(INDEX($V$3:$V$14,$A$17)=X37,X37,NA())</f>
        <v>#N/A</v>
      </c>
    </row>
    <row r="38" spans="1:25" x14ac:dyDescent="0.25">
      <c r="T38" s="8"/>
      <c r="W38">
        <v>36</v>
      </c>
      <c r="X38">
        <f t="shared" si="10"/>
        <v>330283.31939499878</v>
      </c>
      <c r="Y38" t="e" cm="1">
        <f t="array" ref="Y38">IF(INDEX($V$3:$V$14,$A$17)=X38,X38,NA())</f>
        <v>#N/A</v>
      </c>
    </row>
    <row r="39" spans="1:25" x14ac:dyDescent="0.25">
      <c r="T39" s="8"/>
      <c r="W39">
        <v>37</v>
      </c>
      <c r="X39">
        <f t="shared" si="10"/>
        <v>330283.31939499878</v>
      </c>
      <c r="Y39" t="e" cm="1">
        <f t="array" ref="Y39">IF(INDEX($V$3:$V$14,$A$17)=X39,X39,NA())</f>
        <v>#N/A</v>
      </c>
    </row>
    <row r="40" spans="1:25" x14ac:dyDescent="0.25">
      <c r="T40" s="8"/>
      <c r="W40">
        <v>38</v>
      </c>
      <c r="X40">
        <f t="shared" si="10"/>
        <v>330283.31939499878</v>
      </c>
      <c r="Y40" t="e" cm="1">
        <f t="array" ref="Y40">IF(INDEX($V$3:$V$14,$A$17)=X40,X40,NA())</f>
        <v>#N/A</v>
      </c>
    </row>
    <row r="41" spans="1:25" x14ac:dyDescent="0.25">
      <c r="T41" s="8"/>
      <c r="W41">
        <v>39</v>
      </c>
      <c r="X41">
        <f t="shared" si="10"/>
        <v>330283.31939499878</v>
      </c>
      <c r="Y41" t="e" cm="1">
        <f t="array" ref="Y41">IF(INDEX($V$3:$V$14,$A$17)=X41,X41,NA())</f>
        <v>#N/A</v>
      </c>
    </row>
    <row r="42" spans="1:25" x14ac:dyDescent="0.25">
      <c r="T42" s="8"/>
      <c r="W42">
        <v>40</v>
      </c>
      <c r="X42">
        <f t="shared" si="10"/>
        <v>330283.31939499878</v>
      </c>
      <c r="Y42" t="e" cm="1">
        <f t="array" ref="Y42">IF(INDEX($V$3:$V$14,$A$17)=X42,X42,NA())</f>
        <v>#N/A</v>
      </c>
    </row>
    <row r="43" spans="1:25" x14ac:dyDescent="0.25">
      <c r="T43" s="8"/>
      <c r="W43">
        <v>41</v>
      </c>
      <c r="X43">
        <f t="shared" si="10"/>
        <v>330283.31939499878</v>
      </c>
      <c r="Y43" t="e" cm="1">
        <f t="array" ref="Y43">IF(INDEX($V$3:$V$14,$A$17)=X43,X43,NA())</f>
        <v>#N/A</v>
      </c>
    </row>
    <row r="44" spans="1:25" x14ac:dyDescent="0.25">
      <c r="T44" s="8"/>
      <c r="W44">
        <v>42</v>
      </c>
      <c r="X44">
        <f t="shared" si="10"/>
        <v>330283.31939499878</v>
      </c>
      <c r="Y44" t="e" cm="1">
        <f t="array" ref="Y44">IF(INDEX($V$3:$V$14,$A$17)=X44,X44,NA())</f>
        <v>#N/A</v>
      </c>
    </row>
    <row r="45" spans="1:25" x14ac:dyDescent="0.25">
      <c r="T45" s="8"/>
      <c r="W45">
        <v>43</v>
      </c>
      <c r="X45">
        <f t="shared" si="10"/>
        <v>330283.31939499878</v>
      </c>
      <c r="Y45" t="e" cm="1">
        <f t="array" ref="Y45">IF(INDEX($V$3:$V$14,$A$17)=X45,X45,NA())</f>
        <v>#N/A</v>
      </c>
    </row>
    <row r="46" spans="1:25" x14ac:dyDescent="0.25">
      <c r="T46" s="8"/>
      <c r="W46">
        <v>44</v>
      </c>
      <c r="X46">
        <f t="shared" si="10"/>
        <v>330283.31939499878</v>
      </c>
      <c r="Y46" t="e" cm="1">
        <f t="array" ref="Y46">IF(INDEX($V$3:$V$14,$A$17)=X46,X46,NA())</f>
        <v>#N/A</v>
      </c>
    </row>
    <row r="47" spans="1:25" x14ac:dyDescent="0.25">
      <c r="T47" s="8"/>
      <c r="W47">
        <v>45</v>
      </c>
      <c r="X47">
        <f t="shared" si="10"/>
        <v>330283.31939499878</v>
      </c>
      <c r="Y47" t="e" cm="1">
        <f t="array" ref="Y47">IF(INDEX($V$3:$V$14,$A$17)=X47,X47,NA())</f>
        <v>#N/A</v>
      </c>
    </row>
    <row r="48" spans="1:25" x14ac:dyDescent="0.25">
      <c r="T48" s="8"/>
      <c r="W48">
        <v>46</v>
      </c>
      <c r="X48">
        <f t="shared" si="10"/>
        <v>330283.31939499878</v>
      </c>
      <c r="Y48" t="e" cm="1">
        <f t="array" ref="Y48">IF(INDEX($V$3:$V$14,$A$17)=X48,X48,NA())</f>
        <v>#N/A</v>
      </c>
    </row>
    <row r="49" spans="20:25" x14ac:dyDescent="0.25">
      <c r="T49" s="8"/>
      <c r="W49">
        <v>47</v>
      </c>
      <c r="X49">
        <f t="shared" si="10"/>
        <v>330283.31939499878</v>
      </c>
      <c r="Y49" t="e" cm="1">
        <f t="array" ref="Y49">IF(INDEX($V$3:$V$14,$A$17)=X49,X49,NA())</f>
        <v>#N/A</v>
      </c>
    </row>
    <row r="50" spans="20:25" x14ac:dyDescent="0.25">
      <c r="T50" s="8"/>
      <c r="W50">
        <v>48</v>
      </c>
      <c r="X50">
        <f t="shared" si="10"/>
        <v>330283.31939499878</v>
      </c>
      <c r="Y50" t="e" cm="1">
        <f t="array" ref="Y50">IF(INDEX($V$3:$V$14,$A$17)=X50,X50,NA())</f>
        <v>#N/A</v>
      </c>
    </row>
    <row r="51" spans="20:25" x14ac:dyDescent="0.25">
      <c r="T51" s="8"/>
      <c r="W51">
        <v>49</v>
      </c>
      <c r="X51">
        <f t="shared" si="10"/>
        <v>330283.31939499878</v>
      </c>
      <c r="Y51" t="e" cm="1">
        <f t="array" ref="Y51">IF(INDEX($V$3:$V$14,$A$17)=X51,X51,NA())</f>
        <v>#N/A</v>
      </c>
    </row>
    <row r="52" spans="20:25" x14ac:dyDescent="0.25">
      <c r="T52" s="8"/>
      <c r="W52">
        <v>50</v>
      </c>
      <c r="X52">
        <f t="shared" si="10"/>
        <v>330283.31939499878</v>
      </c>
      <c r="Y52" t="e" cm="1">
        <f t="array" ref="Y52">IF(INDEX($V$3:$V$14,$A$17)=X52,X52,NA())</f>
        <v>#N/A</v>
      </c>
    </row>
    <row r="53" spans="20:25" x14ac:dyDescent="0.25">
      <c r="T53" s="8"/>
      <c r="W53">
        <v>51</v>
      </c>
      <c r="X53">
        <f t="shared" si="10"/>
        <v>330283.31939499878</v>
      </c>
      <c r="Y53" t="e" cm="1">
        <f t="array" ref="Y53">IF(INDEX($V$3:$V$14,$A$17)=X53,X53,NA())</f>
        <v>#N/A</v>
      </c>
    </row>
    <row r="54" spans="20:25" x14ac:dyDescent="0.25">
      <c r="T54" s="8"/>
      <c r="W54">
        <v>52</v>
      </c>
      <c r="X54">
        <f t="shared" si="10"/>
        <v>330283.31939499878</v>
      </c>
      <c r="Y54" t="e" cm="1">
        <f t="array" ref="Y54">IF(INDEX($V$3:$V$14,$A$17)=X54,X54,NA())</f>
        <v>#N/A</v>
      </c>
    </row>
    <row r="55" spans="20:25" x14ac:dyDescent="0.25">
      <c r="T55" s="8"/>
      <c r="W55">
        <v>53</v>
      </c>
      <c r="X55">
        <f t="shared" si="10"/>
        <v>330283.31939499878</v>
      </c>
      <c r="Y55" t="e" cm="1">
        <f t="array" ref="Y55">IF(INDEX($V$3:$V$14,$A$17)=X55,X55,NA())</f>
        <v>#N/A</v>
      </c>
    </row>
    <row r="56" spans="20:25" x14ac:dyDescent="0.25">
      <c r="T56" s="8"/>
      <c r="W56">
        <v>54</v>
      </c>
      <c r="X56">
        <f t="shared" si="10"/>
        <v>330283.31939499878</v>
      </c>
      <c r="Y56" t="e" cm="1">
        <f t="array" ref="Y56">IF(INDEX($V$3:$V$14,$A$17)=X56,X56,NA())</f>
        <v>#N/A</v>
      </c>
    </row>
    <row r="57" spans="20:25" x14ac:dyDescent="0.25">
      <c r="T57" s="8"/>
      <c r="W57">
        <v>55</v>
      </c>
      <c r="X57">
        <f t="shared" si="10"/>
        <v>330283.31939499878</v>
      </c>
      <c r="Y57" t="e" cm="1">
        <f t="array" ref="Y57">IF(INDEX($V$3:$V$14,$A$17)=X57,X57,NA())</f>
        <v>#N/A</v>
      </c>
    </row>
    <row r="58" spans="20:25" x14ac:dyDescent="0.25">
      <c r="T58" s="8"/>
      <c r="W58">
        <v>56</v>
      </c>
      <c r="X58">
        <f t="shared" si="10"/>
        <v>330283.31939499878</v>
      </c>
      <c r="Y58" t="e" cm="1">
        <f t="array" ref="Y58">IF(INDEX($V$3:$V$14,$A$17)=X58,X58,NA())</f>
        <v>#N/A</v>
      </c>
    </row>
    <row r="59" spans="20:25" x14ac:dyDescent="0.25">
      <c r="T59" s="8"/>
      <c r="W59">
        <v>57</v>
      </c>
      <c r="X59">
        <f t="shared" si="10"/>
        <v>330283.31939499878</v>
      </c>
      <c r="Y59" t="e" cm="1">
        <f t="array" ref="Y59">IF(INDEX($V$3:$V$14,$A$17)=X59,X59,NA())</f>
        <v>#N/A</v>
      </c>
    </row>
    <row r="60" spans="20:25" x14ac:dyDescent="0.25">
      <c r="T60" s="8"/>
      <c r="W60">
        <v>58</v>
      </c>
      <c r="X60">
        <f t="shared" si="10"/>
        <v>330283.31939499878</v>
      </c>
      <c r="Y60" t="e" cm="1">
        <f t="array" ref="Y60">IF(INDEX($V$3:$V$14,$A$17)=X60,X60,NA())</f>
        <v>#N/A</v>
      </c>
    </row>
    <row r="61" spans="20:25" x14ac:dyDescent="0.25">
      <c r="T61" s="8"/>
      <c r="W61">
        <v>59</v>
      </c>
      <c r="X61">
        <f t="shared" si="10"/>
        <v>330283.31939499878</v>
      </c>
      <c r="Y61" t="e" cm="1">
        <f t="array" ref="Y61">IF(INDEX($V$3:$V$14,$A$17)=X61,X61,NA())</f>
        <v>#N/A</v>
      </c>
    </row>
    <row r="62" spans="20:25" x14ac:dyDescent="0.25">
      <c r="T62" s="8"/>
      <c r="W62">
        <v>60</v>
      </c>
      <c r="X62">
        <f t="shared" si="10"/>
        <v>330283.31939499878</v>
      </c>
      <c r="Y62" t="e" cm="1">
        <f t="array" ref="Y62">IF(INDEX($V$3:$V$14,$A$17)=X62,X62,NA())</f>
        <v>#N/A</v>
      </c>
    </row>
    <row r="63" spans="20:25" x14ac:dyDescent="0.25">
      <c r="T63" s="8"/>
      <c r="W63">
        <v>61</v>
      </c>
      <c r="X63">
        <v>0</v>
      </c>
      <c r="Y63" t="e" cm="1">
        <f t="array" ref="Y63">IF(INDEX($V$3:$V$14,$A$17)=X63,X63,NA())</f>
        <v>#N/A</v>
      </c>
    </row>
    <row r="64" spans="20:25" x14ac:dyDescent="0.25">
      <c r="T64" s="8"/>
      <c r="W64">
        <v>62</v>
      </c>
      <c r="X64">
        <v>0</v>
      </c>
      <c r="Y64" t="e" cm="1">
        <f t="array" ref="Y64">IF(INDEX($V$3:$V$14,$A$17)=X64,X64,NA())</f>
        <v>#N/A</v>
      </c>
    </row>
    <row r="65" spans="20:25" x14ac:dyDescent="0.25">
      <c r="T65" s="8"/>
      <c r="W65">
        <v>63</v>
      </c>
      <c r="X65">
        <v>0</v>
      </c>
      <c r="Y65" t="e" cm="1">
        <f t="array" ref="Y65">IF(INDEX($V$3:$V$14,$A$17)=X65,X65,NA())</f>
        <v>#N/A</v>
      </c>
    </row>
    <row r="66" spans="20:25" x14ac:dyDescent="0.25">
      <c r="T66" s="8"/>
      <c r="W66">
        <v>64</v>
      </c>
      <c r="X66">
        <f t="shared" ref="X66:X92" si="11">$V$5</f>
        <v>355150.78241308138</v>
      </c>
      <c r="Y66" t="e" cm="1">
        <f t="array" ref="Y66">IF(INDEX($V$3:$V$14,$A$17)=X66,X66,NA())</f>
        <v>#N/A</v>
      </c>
    </row>
    <row r="67" spans="20:25" x14ac:dyDescent="0.25">
      <c r="T67" s="8"/>
      <c r="W67">
        <v>65</v>
      </c>
      <c r="X67">
        <f t="shared" si="11"/>
        <v>355150.78241308138</v>
      </c>
      <c r="Y67" t="e" cm="1">
        <f t="array" ref="Y67">IF(INDEX($V$3:$V$14,$A$17)=X67,X67,NA())</f>
        <v>#N/A</v>
      </c>
    </row>
    <row r="68" spans="20:25" x14ac:dyDescent="0.25">
      <c r="T68" s="8"/>
      <c r="W68">
        <v>66</v>
      </c>
      <c r="X68">
        <f t="shared" si="11"/>
        <v>355150.78241308138</v>
      </c>
      <c r="Y68" t="e" cm="1">
        <f t="array" ref="Y68">IF(INDEX($V$3:$V$14,$A$17)=X68,X68,NA())</f>
        <v>#N/A</v>
      </c>
    </row>
    <row r="69" spans="20:25" x14ac:dyDescent="0.25">
      <c r="T69" s="8"/>
      <c r="W69">
        <v>67</v>
      </c>
      <c r="X69">
        <f t="shared" si="11"/>
        <v>355150.78241308138</v>
      </c>
      <c r="Y69" t="e" cm="1">
        <f t="array" ref="Y69">IF(INDEX($V$3:$V$14,$A$17)=X69,X69,NA())</f>
        <v>#N/A</v>
      </c>
    </row>
    <row r="70" spans="20:25" x14ac:dyDescent="0.25">
      <c r="T70" s="8"/>
      <c r="W70">
        <v>68</v>
      </c>
      <c r="X70">
        <f t="shared" si="11"/>
        <v>355150.78241308138</v>
      </c>
      <c r="Y70" t="e" cm="1">
        <f t="array" ref="Y70">IF(INDEX($V$3:$V$14,$A$17)=X70,X70,NA())</f>
        <v>#N/A</v>
      </c>
    </row>
    <row r="71" spans="20:25" x14ac:dyDescent="0.25">
      <c r="T71" s="8"/>
      <c r="W71">
        <v>69</v>
      </c>
      <c r="X71">
        <f t="shared" si="11"/>
        <v>355150.78241308138</v>
      </c>
      <c r="Y71" t="e" cm="1">
        <f t="array" ref="Y71">IF(INDEX($V$3:$V$14,$A$17)=X71,X71,NA())</f>
        <v>#N/A</v>
      </c>
    </row>
    <row r="72" spans="20:25" x14ac:dyDescent="0.25">
      <c r="T72" s="8"/>
      <c r="W72">
        <v>70</v>
      </c>
      <c r="X72">
        <f t="shared" si="11"/>
        <v>355150.78241308138</v>
      </c>
      <c r="Y72" t="e" cm="1">
        <f t="array" ref="Y72">IF(INDEX($V$3:$V$14,$A$17)=X72,X72,NA())</f>
        <v>#N/A</v>
      </c>
    </row>
    <row r="73" spans="20:25" x14ac:dyDescent="0.25">
      <c r="T73" s="8"/>
      <c r="W73">
        <v>71</v>
      </c>
      <c r="X73">
        <f t="shared" si="11"/>
        <v>355150.78241308138</v>
      </c>
      <c r="Y73" t="e" cm="1">
        <f t="array" ref="Y73">IF(INDEX($V$3:$V$14,$A$17)=X73,X73,NA())</f>
        <v>#N/A</v>
      </c>
    </row>
    <row r="74" spans="20:25" x14ac:dyDescent="0.25">
      <c r="T74" s="8"/>
      <c r="W74">
        <v>72</v>
      </c>
      <c r="X74">
        <f t="shared" si="11"/>
        <v>355150.78241308138</v>
      </c>
      <c r="Y74" t="e" cm="1">
        <f t="array" ref="Y74">IF(INDEX($V$3:$V$14,$A$17)=X74,X74,NA())</f>
        <v>#N/A</v>
      </c>
    </row>
    <row r="75" spans="20:25" x14ac:dyDescent="0.25">
      <c r="T75" s="8"/>
      <c r="W75">
        <v>73</v>
      </c>
      <c r="X75">
        <f t="shared" si="11"/>
        <v>355150.78241308138</v>
      </c>
      <c r="Y75" t="e" cm="1">
        <f t="array" ref="Y75">IF(INDEX($V$3:$V$14,$A$17)=X75,X75,NA())</f>
        <v>#N/A</v>
      </c>
    </row>
    <row r="76" spans="20:25" x14ac:dyDescent="0.25">
      <c r="T76" s="8"/>
      <c r="W76">
        <v>74</v>
      </c>
      <c r="X76">
        <f t="shared" si="11"/>
        <v>355150.78241308138</v>
      </c>
      <c r="Y76" t="e" cm="1">
        <f t="array" ref="Y76">IF(INDEX($V$3:$V$14,$A$17)=X76,X76,NA())</f>
        <v>#N/A</v>
      </c>
    </row>
    <row r="77" spans="20:25" x14ac:dyDescent="0.25">
      <c r="T77" s="8"/>
      <c r="W77">
        <v>75</v>
      </c>
      <c r="X77">
        <f t="shared" si="11"/>
        <v>355150.78241308138</v>
      </c>
      <c r="Y77" t="e" cm="1">
        <f t="array" ref="Y77">IF(INDEX($V$3:$V$14,$A$17)=X77,X77,NA())</f>
        <v>#N/A</v>
      </c>
    </row>
    <row r="78" spans="20:25" x14ac:dyDescent="0.25">
      <c r="T78" s="8"/>
      <c r="W78">
        <v>76</v>
      </c>
      <c r="X78">
        <f t="shared" si="11"/>
        <v>355150.78241308138</v>
      </c>
      <c r="Y78" t="e" cm="1">
        <f t="array" ref="Y78">IF(INDEX($V$3:$V$14,$A$17)=X78,X78,NA())</f>
        <v>#N/A</v>
      </c>
    </row>
    <row r="79" spans="20:25" x14ac:dyDescent="0.25">
      <c r="T79" s="8"/>
      <c r="W79">
        <v>77</v>
      </c>
      <c r="X79">
        <f t="shared" si="11"/>
        <v>355150.78241308138</v>
      </c>
      <c r="Y79" t="e" cm="1">
        <f t="array" ref="Y79">IF(INDEX($V$3:$V$14,$A$17)=X79,X79,NA())</f>
        <v>#N/A</v>
      </c>
    </row>
    <row r="80" spans="20:25" x14ac:dyDescent="0.25">
      <c r="T80" s="8"/>
      <c r="W80">
        <v>78</v>
      </c>
      <c r="X80">
        <f t="shared" si="11"/>
        <v>355150.78241308138</v>
      </c>
      <c r="Y80" t="e" cm="1">
        <f t="array" ref="Y80">IF(INDEX($V$3:$V$14,$A$17)=X80,X80,NA())</f>
        <v>#N/A</v>
      </c>
    </row>
    <row r="81" spans="20:25" x14ac:dyDescent="0.25">
      <c r="T81" s="8"/>
      <c r="W81">
        <v>79</v>
      </c>
      <c r="X81">
        <f t="shared" si="11"/>
        <v>355150.78241308138</v>
      </c>
      <c r="Y81" t="e" cm="1">
        <f t="array" ref="Y81">IF(INDEX($V$3:$V$14,$A$17)=X81,X81,NA())</f>
        <v>#N/A</v>
      </c>
    </row>
    <row r="82" spans="20:25" x14ac:dyDescent="0.25">
      <c r="T82" s="8"/>
      <c r="W82">
        <v>80</v>
      </c>
      <c r="X82">
        <f t="shared" si="11"/>
        <v>355150.78241308138</v>
      </c>
      <c r="Y82" t="e" cm="1">
        <f t="array" ref="Y82">IF(INDEX($V$3:$V$14,$A$17)=X82,X82,NA())</f>
        <v>#N/A</v>
      </c>
    </row>
    <row r="83" spans="20:25" x14ac:dyDescent="0.25">
      <c r="T83" s="8"/>
      <c r="W83">
        <v>81</v>
      </c>
      <c r="X83">
        <f t="shared" si="11"/>
        <v>355150.78241308138</v>
      </c>
      <c r="Y83" t="e" cm="1">
        <f t="array" ref="Y83">IF(INDEX($V$3:$V$14,$A$17)=X83,X83,NA())</f>
        <v>#N/A</v>
      </c>
    </row>
    <row r="84" spans="20:25" x14ac:dyDescent="0.25">
      <c r="T84" s="8"/>
      <c r="W84">
        <v>82</v>
      </c>
      <c r="X84">
        <f t="shared" si="11"/>
        <v>355150.78241308138</v>
      </c>
      <c r="Y84" t="e" cm="1">
        <f t="array" ref="Y84">IF(INDEX($V$3:$V$14,$A$17)=X84,X84,NA())</f>
        <v>#N/A</v>
      </c>
    </row>
    <row r="85" spans="20:25" x14ac:dyDescent="0.25">
      <c r="T85" s="8"/>
      <c r="W85">
        <v>83</v>
      </c>
      <c r="X85">
        <f t="shared" si="11"/>
        <v>355150.78241308138</v>
      </c>
      <c r="Y85" t="e" cm="1">
        <f t="array" ref="Y85">IF(INDEX($V$3:$V$14,$A$17)=X85,X85,NA())</f>
        <v>#N/A</v>
      </c>
    </row>
    <row r="86" spans="20:25" x14ac:dyDescent="0.25">
      <c r="T86" s="8"/>
      <c r="W86">
        <v>84</v>
      </c>
      <c r="X86">
        <f t="shared" si="11"/>
        <v>355150.78241308138</v>
      </c>
      <c r="Y86" t="e" cm="1">
        <f t="array" ref="Y86">IF(INDEX($V$3:$V$14,$A$17)=X86,X86,NA())</f>
        <v>#N/A</v>
      </c>
    </row>
    <row r="87" spans="20:25" x14ac:dyDescent="0.25">
      <c r="T87" s="8"/>
      <c r="W87">
        <v>85</v>
      </c>
      <c r="X87">
        <f t="shared" si="11"/>
        <v>355150.78241308138</v>
      </c>
      <c r="Y87" t="e" cm="1">
        <f t="array" ref="Y87">IF(INDEX($V$3:$V$14,$A$17)=X87,X87,NA())</f>
        <v>#N/A</v>
      </c>
    </row>
    <row r="88" spans="20:25" x14ac:dyDescent="0.25">
      <c r="T88" s="8"/>
      <c r="W88">
        <v>86</v>
      </c>
      <c r="X88">
        <f t="shared" si="11"/>
        <v>355150.78241308138</v>
      </c>
      <c r="Y88" t="e" cm="1">
        <f t="array" ref="Y88">IF(INDEX($V$3:$V$14,$A$17)=X88,X88,NA())</f>
        <v>#N/A</v>
      </c>
    </row>
    <row r="89" spans="20:25" x14ac:dyDescent="0.25">
      <c r="T89" s="8"/>
      <c r="W89">
        <v>87</v>
      </c>
      <c r="X89">
        <f t="shared" si="11"/>
        <v>355150.78241308138</v>
      </c>
      <c r="Y89" t="e" cm="1">
        <f t="array" ref="Y89">IF(INDEX($V$3:$V$14,$A$17)=X89,X89,NA())</f>
        <v>#N/A</v>
      </c>
    </row>
    <row r="90" spans="20:25" x14ac:dyDescent="0.25">
      <c r="T90" s="8"/>
      <c r="W90">
        <v>88</v>
      </c>
      <c r="X90">
        <f t="shared" si="11"/>
        <v>355150.78241308138</v>
      </c>
      <c r="Y90" t="e" cm="1">
        <f t="array" ref="Y90">IF(INDEX($V$3:$V$14,$A$17)=X90,X90,NA())</f>
        <v>#N/A</v>
      </c>
    </row>
    <row r="91" spans="20:25" x14ac:dyDescent="0.25">
      <c r="T91" s="8"/>
      <c r="W91">
        <v>89</v>
      </c>
      <c r="X91">
        <f t="shared" si="11"/>
        <v>355150.78241308138</v>
      </c>
      <c r="Y91" t="e" cm="1">
        <f t="array" ref="Y91">IF(INDEX($V$3:$V$14,$A$17)=X91,X91,NA())</f>
        <v>#N/A</v>
      </c>
    </row>
    <row r="92" spans="20:25" x14ac:dyDescent="0.25">
      <c r="T92" s="8"/>
      <c r="W92">
        <v>90</v>
      </c>
      <c r="X92">
        <f t="shared" si="11"/>
        <v>355150.78241308138</v>
      </c>
      <c r="Y92" t="e" cm="1">
        <f t="array" ref="Y92">IF(INDEX($V$3:$V$14,$A$17)=X92,X92,NA())</f>
        <v>#N/A</v>
      </c>
    </row>
    <row r="93" spans="20:25" x14ac:dyDescent="0.25">
      <c r="T93" s="8"/>
      <c r="W93">
        <v>91</v>
      </c>
      <c r="X93">
        <v>0</v>
      </c>
      <c r="Y93" t="e" cm="1">
        <f t="array" ref="Y93">IF(INDEX($V$3:$V$14,$A$17)=X93,X93,NA())</f>
        <v>#N/A</v>
      </c>
    </row>
    <row r="94" spans="20:25" x14ac:dyDescent="0.25">
      <c r="T94" s="8"/>
      <c r="W94">
        <v>92</v>
      </c>
      <c r="X94">
        <v>0</v>
      </c>
      <c r="Y94" t="e" cm="1">
        <f t="array" ref="Y94">IF(INDEX($V$3:$V$14,$A$17)=X94,X94,NA())</f>
        <v>#N/A</v>
      </c>
    </row>
    <row r="95" spans="20:25" x14ac:dyDescent="0.25">
      <c r="T95" s="8"/>
      <c r="W95">
        <v>93</v>
      </c>
      <c r="X95">
        <v>0</v>
      </c>
      <c r="Y95" t="e" cm="1">
        <f t="array" ref="Y95">IF(INDEX($V$3:$V$14,$A$17)=X95,X95,NA())</f>
        <v>#N/A</v>
      </c>
    </row>
    <row r="96" spans="20:25" x14ac:dyDescent="0.25">
      <c r="T96" s="8"/>
      <c r="W96">
        <v>94</v>
      </c>
      <c r="X96">
        <f t="shared" ref="X96:X122" si="12">$V$6</f>
        <v>381890.54924017406</v>
      </c>
      <c r="Y96" t="e" cm="1">
        <f t="array" ref="Y96">IF(INDEX($V$3:$V$14,$A$17)=X96,X96,NA())</f>
        <v>#N/A</v>
      </c>
    </row>
    <row r="97" spans="20:25" x14ac:dyDescent="0.25">
      <c r="T97" s="8"/>
      <c r="W97">
        <v>95</v>
      </c>
      <c r="X97">
        <f t="shared" si="12"/>
        <v>381890.54924017406</v>
      </c>
      <c r="Y97" t="e" cm="1">
        <f t="array" ref="Y97">IF(INDEX($V$3:$V$14,$A$17)=X97,X97,NA())</f>
        <v>#N/A</v>
      </c>
    </row>
    <row r="98" spans="20:25" x14ac:dyDescent="0.25">
      <c r="T98" s="8"/>
      <c r="W98">
        <v>96</v>
      </c>
      <c r="X98">
        <f t="shared" si="12"/>
        <v>381890.54924017406</v>
      </c>
      <c r="Y98" t="e" cm="1">
        <f t="array" ref="Y98">IF(INDEX($V$3:$V$14,$A$17)=X98,X98,NA())</f>
        <v>#N/A</v>
      </c>
    </row>
    <row r="99" spans="20:25" x14ac:dyDescent="0.25">
      <c r="T99" s="8"/>
      <c r="W99">
        <v>97</v>
      </c>
      <c r="X99">
        <f t="shared" si="12"/>
        <v>381890.54924017406</v>
      </c>
      <c r="Y99" t="e" cm="1">
        <f t="array" ref="Y99">IF(INDEX($V$3:$V$14,$A$17)=X99,X99,NA())</f>
        <v>#N/A</v>
      </c>
    </row>
    <row r="100" spans="20:25" x14ac:dyDescent="0.25">
      <c r="T100" s="8"/>
      <c r="W100">
        <v>98</v>
      </c>
      <c r="X100">
        <f t="shared" si="12"/>
        <v>381890.54924017406</v>
      </c>
      <c r="Y100" t="e" cm="1">
        <f t="array" ref="Y100">IF(INDEX($V$3:$V$14,$A$17)=X100,X100,NA())</f>
        <v>#N/A</v>
      </c>
    </row>
    <row r="101" spans="20:25" x14ac:dyDescent="0.25">
      <c r="T101" s="8"/>
      <c r="W101">
        <v>99</v>
      </c>
      <c r="X101">
        <f t="shared" si="12"/>
        <v>381890.54924017406</v>
      </c>
      <c r="Y101" t="e" cm="1">
        <f t="array" ref="Y101">IF(INDEX($V$3:$V$14,$A$17)=X101,X101,NA())</f>
        <v>#N/A</v>
      </c>
    </row>
    <row r="102" spans="20:25" x14ac:dyDescent="0.25">
      <c r="T102" s="8"/>
      <c r="W102">
        <v>100</v>
      </c>
      <c r="X102">
        <f t="shared" si="12"/>
        <v>381890.54924017406</v>
      </c>
      <c r="Y102" t="e" cm="1">
        <f t="array" ref="Y102">IF(INDEX($V$3:$V$14,$A$17)=X102,X102,NA())</f>
        <v>#N/A</v>
      </c>
    </row>
    <row r="103" spans="20:25" x14ac:dyDescent="0.25">
      <c r="T103" s="8"/>
      <c r="W103">
        <v>101</v>
      </c>
      <c r="X103">
        <f t="shared" si="12"/>
        <v>381890.54924017406</v>
      </c>
      <c r="Y103" t="e" cm="1">
        <f t="array" ref="Y103">IF(INDEX($V$3:$V$14,$A$17)=X103,X103,NA())</f>
        <v>#N/A</v>
      </c>
    </row>
    <row r="104" spans="20:25" x14ac:dyDescent="0.25">
      <c r="T104" s="8"/>
      <c r="W104">
        <v>102</v>
      </c>
      <c r="X104">
        <f t="shared" si="12"/>
        <v>381890.54924017406</v>
      </c>
      <c r="Y104" t="e" cm="1">
        <f t="array" ref="Y104">IF(INDEX($V$3:$V$14,$A$17)=X104,X104,NA())</f>
        <v>#N/A</v>
      </c>
    </row>
    <row r="105" spans="20:25" x14ac:dyDescent="0.25">
      <c r="T105" s="8"/>
      <c r="W105">
        <v>103</v>
      </c>
      <c r="X105">
        <f t="shared" si="12"/>
        <v>381890.54924017406</v>
      </c>
      <c r="Y105" t="e" cm="1">
        <f t="array" ref="Y105">IF(INDEX($V$3:$V$14,$A$17)=X105,X105,NA())</f>
        <v>#N/A</v>
      </c>
    </row>
    <row r="106" spans="20:25" x14ac:dyDescent="0.25">
      <c r="T106" s="8"/>
      <c r="W106">
        <v>104</v>
      </c>
      <c r="X106">
        <f t="shared" si="12"/>
        <v>381890.54924017406</v>
      </c>
      <c r="Y106" t="e" cm="1">
        <f t="array" ref="Y106">IF(INDEX($V$3:$V$14,$A$17)=X106,X106,NA())</f>
        <v>#N/A</v>
      </c>
    </row>
    <row r="107" spans="20:25" x14ac:dyDescent="0.25">
      <c r="T107" s="8"/>
      <c r="W107">
        <v>105</v>
      </c>
      <c r="X107">
        <f t="shared" si="12"/>
        <v>381890.54924017406</v>
      </c>
      <c r="Y107" t="e" cm="1">
        <f t="array" ref="Y107">IF(INDEX($V$3:$V$14,$A$17)=X107,X107,NA())</f>
        <v>#N/A</v>
      </c>
    </row>
    <row r="108" spans="20:25" x14ac:dyDescent="0.25">
      <c r="T108" s="8"/>
      <c r="W108">
        <v>106</v>
      </c>
      <c r="X108">
        <f t="shared" si="12"/>
        <v>381890.54924017406</v>
      </c>
      <c r="Y108" t="e" cm="1">
        <f t="array" ref="Y108">IF(INDEX($V$3:$V$14,$A$17)=X108,X108,NA())</f>
        <v>#N/A</v>
      </c>
    </row>
    <row r="109" spans="20:25" x14ac:dyDescent="0.25">
      <c r="T109" s="8"/>
      <c r="W109">
        <v>107</v>
      </c>
      <c r="X109">
        <f t="shared" si="12"/>
        <v>381890.54924017406</v>
      </c>
      <c r="Y109" t="e" cm="1">
        <f t="array" ref="Y109">IF(INDEX($V$3:$V$14,$A$17)=X109,X109,NA())</f>
        <v>#N/A</v>
      </c>
    </row>
    <row r="110" spans="20:25" x14ac:dyDescent="0.25">
      <c r="T110" s="8"/>
      <c r="W110">
        <v>108</v>
      </c>
      <c r="X110">
        <f t="shared" si="12"/>
        <v>381890.54924017406</v>
      </c>
      <c r="Y110" t="e" cm="1">
        <f t="array" ref="Y110">IF(INDEX($V$3:$V$14,$A$17)=X110,X110,NA())</f>
        <v>#N/A</v>
      </c>
    </row>
    <row r="111" spans="20:25" x14ac:dyDescent="0.25">
      <c r="T111" s="8"/>
      <c r="W111">
        <v>109</v>
      </c>
      <c r="X111">
        <f t="shared" si="12"/>
        <v>381890.54924017406</v>
      </c>
      <c r="Y111" t="e" cm="1">
        <f t="array" ref="Y111">IF(INDEX($V$3:$V$14,$A$17)=X111,X111,NA())</f>
        <v>#N/A</v>
      </c>
    </row>
    <row r="112" spans="20:25" x14ac:dyDescent="0.25">
      <c r="T112" s="8"/>
      <c r="W112">
        <v>110</v>
      </c>
      <c r="X112">
        <f t="shared" si="12"/>
        <v>381890.54924017406</v>
      </c>
      <c r="Y112" t="e" cm="1">
        <f t="array" ref="Y112">IF(INDEX($V$3:$V$14,$A$17)=X112,X112,NA())</f>
        <v>#N/A</v>
      </c>
    </row>
    <row r="113" spans="20:25" x14ac:dyDescent="0.25">
      <c r="T113" s="8"/>
      <c r="W113">
        <v>111</v>
      </c>
      <c r="X113">
        <f t="shared" si="12"/>
        <v>381890.54924017406</v>
      </c>
      <c r="Y113" t="e" cm="1">
        <f t="array" ref="Y113">IF(INDEX($V$3:$V$14,$A$17)=X113,X113,NA())</f>
        <v>#N/A</v>
      </c>
    </row>
    <row r="114" spans="20:25" x14ac:dyDescent="0.25">
      <c r="T114" s="8"/>
      <c r="W114">
        <v>112</v>
      </c>
      <c r="X114">
        <f t="shared" si="12"/>
        <v>381890.54924017406</v>
      </c>
      <c r="Y114" t="e" cm="1">
        <f t="array" ref="Y114">IF(INDEX($V$3:$V$14,$A$17)=X114,X114,NA())</f>
        <v>#N/A</v>
      </c>
    </row>
    <row r="115" spans="20:25" x14ac:dyDescent="0.25">
      <c r="T115" s="8"/>
      <c r="W115">
        <v>113</v>
      </c>
      <c r="X115">
        <f t="shared" si="12"/>
        <v>381890.54924017406</v>
      </c>
      <c r="Y115" t="e" cm="1">
        <f t="array" ref="Y115">IF(INDEX($V$3:$V$14,$A$17)=X115,X115,NA())</f>
        <v>#N/A</v>
      </c>
    </row>
    <row r="116" spans="20:25" x14ac:dyDescent="0.25">
      <c r="T116" s="8"/>
      <c r="W116">
        <v>114</v>
      </c>
      <c r="X116">
        <f t="shared" si="12"/>
        <v>381890.54924017406</v>
      </c>
      <c r="Y116" t="e" cm="1">
        <f t="array" ref="Y116">IF(INDEX($V$3:$V$14,$A$17)=X116,X116,NA())</f>
        <v>#N/A</v>
      </c>
    </row>
    <row r="117" spans="20:25" x14ac:dyDescent="0.25">
      <c r="T117" s="8"/>
      <c r="W117">
        <v>115</v>
      </c>
      <c r="X117">
        <f t="shared" si="12"/>
        <v>381890.54924017406</v>
      </c>
      <c r="Y117" t="e" cm="1">
        <f t="array" ref="Y117">IF(INDEX($V$3:$V$14,$A$17)=X117,X117,NA())</f>
        <v>#N/A</v>
      </c>
    </row>
    <row r="118" spans="20:25" x14ac:dyDescent="0.25">
      <c r="T118" s="8"/>
      <c r="W118">
        <v>116</v>
      </c>
      <c r="X118">
        <f t="shared" si="12"/>
        <v>381890.54924017406</v>
      </c>
      <c r="Y118" t="e" cm="1">
        <f t="array" ref="Y118">IF(INDEX($V$3:$V$14,$A$17)=X118,X118,NA())</f>
        <v>#N/A</v>
      </c>
    </row>
    <row r="119" spans="20:25" x14ac:dyDescent="0.25">
      <c r="T119" s="8"/>
      <c r="W119">
        <v>117</v>
      </c>
      <c r="X119">
        <f t="shared" si="12"/>
        <v>381890.54924017406</v>
      </c>
      <c r="Y119" t="e" cm="1">
        <f t="array" ref="Y119">IF(INDEX($V$3:$V$14,$A$17)=X119,X119,NA())</f>
        <v>#N/A</v>
      </c>
    </row>
    <row r="120" spans="20:25" x14ac:dyDescent="0.25">
      <c r="T120" s="8"/>
      <c r="W120">
        <v>118</v>
      </c>
      <c r="X120">
        <f t="shared" si="12"/>
        <v>381890.54924017406</v>
      </c>
      <c r="Y120" t="e" cm="1">
        <f t="array" ref="Y120">IF(INDEX($V$3:$V$14,$A$17)=X120,X120,NA())</f>
        <v>#N/A</v>
      </c>
    </row>
    <row r="121" spans="20:25" x14ac:dyDescent="0.25">
      <c r="T121" s="8"/>
      <c r="W121">
        <v>119</v>
      </c>
      <c r="X121">
        <f t="shared" si="12"/>
        <v>381890.54924017406</v>
      </c>
      <c r="Y121" t="e" cm="1">
        <f t="array" ref="Y121">IF(INDEX($V$3:$V$14,$A$17)=X121,X121,NA())</f>
        <v>#N/A</v>
      </c>
    </row>
    <row r="122" spans="20:25" x14ac:dyDescent="0.25">
      <c r="T122" s="8"/>
      <c r="W122">
        <v>120</v>
      </c>
      <c r="X122">
        <f t="shared" si="12"/>
        <v>381890.54924017406</v>
      </c>
      <c r="Y122" t="e" cm="1">
        <f t="array" ref="Y122">IF(INDEX($V$3:$V$14,$A$17)=X122,X122,NA())</f>
        <v>#N/A</v>
      </c>
    </row>
    <row r="123" spans="20:25" x14ac:dyDescent="0.25">
      <c r="T123" s="8"/>
      <c r="W123">
        <v>121</v>
      </c>
      <c r="X123">
        <v>0</v>
      </c>
      <c r="Y123" t="e" cm="1">
        <f t="array" ref="Y123">IF(INDEX($V$3:$V$14,$A$17)=X123,X123,NA())</f>
        <v>#N/A</v>
      </c>
    </row>
    <row r="124" spans="20:25" x14ac:dyDescent="0.25">
      <c r="T124" s="8"/>
      <c r="W124">
        <v>122</v>
      </c>
      <c r="X124">
        <v>0</v>
      </c>
      <c r="Y124" t="e" cm="1">
        <f t="array" ref="Y124">IF(INDEX($V$3:$V$14,$A$17)=X124,X124,NA())</f>
        <v>#N/A</v>
      </c>
    </row>
    <row r="125" spans="20:25" x14ac:dyDescent="0.25">
      <c r="T125" s="8"/>
      <c r="W125">
        <v>123</v>
      </c>
      <c r="X125">
        <v>0</v>
      </c>
      <c r="Y125" t="e" cm="1">
        <f t="array" ref="Y125">IF(INDEX($V$3:$V$14,$A$17)=X125,X125,NA())</f>
        <v>#N/A</v>
      </c>
    </row>
    <row r="126" spans="20:25" x14ac:dyDescent="0.25">
      <c r="T126" s="8"/>
      <c r="W126">
        <v>124</v>
      </c>
      <c r="X126">
        <f t="shared" ref="X126:X152" si="13">$V$7</f>
        <v>410643.58807840815</v>
      </c>
      <c r="Y126" t="e" cm="1">
        <f t="array" ref="Y126">IF(INDEX($V$3:$V$14,$A$17)=X126,X126,NA())</f>
        <v>#N/A</v>
      </c>
    </row>
    <row r="127" spans="20:25" x14ac:dyDescent="0.25">
      <c r="T127" s="8"/>
      <c r="W127">
        <v>125</v>
      </c>
      <c r="X127">
        <f t="shared" si="13"/>
        <v>410643.58807840815</v>
      </c>
      <c r="Y127" t="e" cm="1">
        <f t="array" ref="Y127">IF(INDEX($V$3:$V$14,$A$17)=X127,X127,NA())</f>
        <v>#N/A</v>
      </c>
    </row>
    <row r="128" spans="20:25" x14ac:dyDescent="0.25">
      <c r="T128" s="8"/>
      <c r="W128">
        <v>126</v>
      </c>
      <c r="X128">
        <f t="shared" si="13"/>
        <v>410643.58807840815</v>
      </c>
      <c r="Y128" t="e" cm="1">
        <f t="array" ref="Y128">IF(INDEX($V$3:$V$14,$A$17)=X128,X128,NA())</f>
        <v>#N/A</v>
      </c>
    </row>
    <row r="129" spans="20:25" x14ac:dyDescent="0.25">
      <c r="T129" s="8"/>
      <c r="W129">
        <v>127</v>
      </c>
      <c r="X129">
        <f t="shared" si="13"/>
        <v>410643.58807840815</v>
      </c>
      <c r="Y129" t="e" cm="1">
        <f t="array" ref="Y129">IF(INDEX($V$3:$V$14,$A$17)=X129,X129,NA())</f>
        <v>#N/A</v>
      </c>
    </row>
    <row r="130" spans="20:25" x14ac:dyDescent="0.25">
      <c r="T130" s="8"/>
      <c r="W130">
        <v>128</v>
      </c>
      <c r="X130">
        <f t="shared" si="13"/>
        <v>410643.58807840815</v>
      </c>
      <c r="Y130" t="e" cm="1">
        <f t="array" ref="Y130">IF(INDEX($V$3:$V$14,$A$17)=X130,X130,NA())</f>
        <v>#N/A</v>
      </c>
    </row>
    <row r="131" spans="20:25" x14ac:dyDescent="0.25">
      <c r="T131" s="8"/>
      <c r="W131">
        <v>129</v>
      </c>
      <c r="X131">
        <f t="shared" si="13"/>
        <v>410643.58807840815</v>
      </c>
      <c r="Y131" t="e" cm="1">
        <f t="array" ref="Y131">IF(INDEX($V$3:$V$14,$A$17)=X131,X131,NA())</f>
        <v>#N/A</v>
      </c>
    </row>
    <row r="132" spans="20:25" x14ac:dyDescent="0.25">
      <c r="T132" s="8"/>
      <c r="W132">
        <v>130</v>
      </c>
      <c r="X132">
        <f t="shared" si="13"/>
        <v>410643.58807840815</v>
      </c>
      <c r="Y132" t="e" cm="1">
        <f t="array" ref="Y132">IF(INDEX($V$3:$V$14,$A$17)=X132,X132,NA())</f>
        <v>#N/A</v>
      </c>
    </row>
    <row r="133" spans="20:25" x14ac:dyDescent="0.25">
      <c r="T133" s="8"/>
      <c r="W133">
        <v>131</v>
      </c>
      <c r="X133">
        <f t="shared" si="13"/>
        <v>410643.58807840815</v>
      </c>
      <c r="Y133" t="e" cm="1">
        <f t="array" ref="Y133">IF(INDEX($V$3:$V$14,$A$17)=X133,X133,NA())</f>
        <v>#N/A</v>
      </c>
    </row>
    <row r="134" spans="20:25" x14ac:dyDescent="0.25">
      <c r="T134" s="8"/>
      <c r="W134">
        <v>132</v>
      </c>
      <c r="X134">
        <f t="shared" si="13"/>
        <v>410643.58807840815</v>
      </c>
      <c r="Y134" t="e" cm="1">
        <f t="array" ref="Y134">IF(INDEX($V$3:$V$14,$A$17)=X134,X134,NA())</f>
        <v>#N/A</v>
      </c>
    </row>
    <row r="135" spans="20:25" x14ac:dyDescent="0.25">
      <c r="T135" s="8"/>
      <c r="W135">
        <v>133</v>
      </c>
      <c r="X135">
        <f t="shared" si="13"/>
        <v>410643.58807840815</v>
      </c>
      <c r="Y135" t="e" cm="1">
        <f t="array" ref="Y135">IF(INDEX($V$3:$V$14,$A$17)=X135,X135,NA())</f>
        <v>#N/A</v>
      </c>
    </row>
    <row r="136" spans="20:25" x14ac:dyDescent="0.25">
      <c r="T136" s="8"/>
      <c r="W136">
        <v>134</v>
      </c>
      <c r="X136">
        <f t="shared" si="13"/>
        <v>410643.58807840815</v>
      </c>
      <c r="Y136" t="e" cm="1">
        <f t="array" ref="Y136">IF(INDEX($V$3:$V$14,$A$17)=X136,X136,NA())</f>
        <v>#N/A</v>
      </c>
    </row>
    <row r="137" spans="20:25" x14ac:dyDescent="0.25">
      <c r="T137" s="8"/>
      <c r="W137">
        <v>135</v>
      </c>
      <c r="X137">
        <f t="shared" si="13"/>
        <v>410643.58807840815</v>
      </c>
      <c r="Y137" t="e" cm="1">
        <f t="array" ref="Y137">IF(INDEX($V$3:$V$14,$A$17)=X137,X137,NA())</f>
        <v>#N/A</v>
      </c>
    </row>
    <row r="138" spans="20:25" x14ac:dyDescent="0.25">
      <c r="T138" s="8"/>
      <c r="W138">
        <v>136</v>
      </c>
      <c r="X138">
        <f t="shared" si="13"/>
        <v>410643.58807840815</v>
      </c>
      <c r="Y138" t="e" cm="1">
        <f t="array" ref="Y138">IF(INDEX($V$3:$V$14,$A$17)=X138,X138,NA())</f>
        <v>#N/A</v>
      </c>
    </row>
    <row r="139" spans="20:25" x14ac:dyDescent="0.25">
      <c r="T139" s="8"/>
      <c r="W139">
        <v>137</v>
      </c>
      <c r="X139">
        <f t="shared" si="13"/>
        <v>410643.58807840815</v>
      </c>
      <c r="Y139" t="e" cm="1">
        <f t="array" ref="Y139">IF(INDEX($V$3:$V$14,$A$17)=X139,X139,NA())</f>
        <v>#N/A</v>
      </c>
    </row>
    <row r="140" spans="20:25" x14ac:dyDescent="0.25">
      <c r="T140" s="8"/>
      <c r="W140">
        <v>138</v>
      </c>
      <c r="X140">
        <f t="shared" si="13"/>
        <v>410643.58807840815</v>
      </c>
      <c r="Y140" t="e" cm="1">
        <f t="array" ref="Y140">IF(INDEX($V$3:$V$14,$A$17)=X140,X140,NA())</f>
        <v>#N/A</v>
      </c>
    </row>
    <row r="141" spans="20:25" x14ac:dyDescent="0.25">
      <c r="T141" s="8"/>
      <c r="W141">
        <v>139</v>
      </c>
      <c r="X141">
        <f t="shared" si="13"/>
        <v>410643.58807840815</v>
      </c>
      <c r="Y141" t="e" cm="1">
        <f t="array" ref="Y141">IF(INDEX($V$3:$V$14,$A$17)=X141,X141,NA())</f>
        <v>#N/A</v>
      </c>
    </row>
    <row r="142" spans="20:25" x14ac:dyDescent="0.25">
      <c r="T142" s="8"/>
      <c r="W142">
        <v>140</v>
      </c>
      <c r="X142">
        <f t="shared" si="13"/>
        <v>410643.58807840815</v>
      </c>
      <c r="Y142" t="e" cm="1">
        <f t="array" ref="Y142">IF(INDEX($V$3:$V$14,$A$17)=X142,X142,NA())</f>
        <v>#N/A</v>
      </c>
    </row>
    <row r="143" spans="20:25" x14ac:dyDescent="0.25">
      <c r="T143" s="8"/>
      <c r="W143">
        <v>141</v>
      </c>
      <c r="X143">
        <f t="shared" si="13"/>
        <v>410643.58807840815</v>
      </c>
      <c r="Y143" t="e" cm="1">
        <f t="array" ref="Y143">IF(INDEX($V$3:$V$14,$A$17)=X143,X143,NA())</f>
        <v>#N/A</v>
      </c>
    </row>
    <row r="144" spans="20:25" x14ac:dyDescent="0.25">
      <c r="T144" s="8"/>
      <c r="W144">
        <v>142</v>
      </c>
      <c r="X144">
        <f t="shared" si="13"/>
        <v>410643.58807840815</v>
      </c>
      <c r="Y144" t="e" cm="1">
        <f t="array" ref="Y144">IF(INDEX($V$3:$V$14,$A$17)=X144,X144,NA())</f>
        <v>#N/A</v>
      </c>
    </row>
    <row r="145" spans="20:25" x14ac:dyDescent="0.25">
      <c r="T145" s="8"/>
      <c r="W145">
        <v>143</v>
      </c>
      <c r="X145">
        <f t="shared" si="13"/>
        <v>410643.58807840815</v>
      </c>
      <c r="Y145" t="e" cm="1">
        <f t="array" ref="Y145">IF(INDEX($V$3:$V$14,$A$17)=X145,X145,NA())</f>
        <v>#N/A</v>
      </c>
    </row>
    <row r="146" spans="20:25" x14ac:dyDescent="0.25">
      <c r="T146" s="8"/>
      <c r="W146">
        <v>144</v>
      </c>
      <c r="X146">
        <f t="shared" si="13"/>
        <v>410643.58807840815</v>
      </c>
      <c r="Y146" t="e" cm="1">
        <f t="array" ref="Y146">IF(INDEX($V$3:$V$14,$A$17)=X146,X146,NA())</f>
        <v>#N/A</v>
      </c>
    </row>
    <row r="147" spans="20:25" x14ac:dyDescent="0.25">
      <c r="T147" s="8"/>
      <c r="W147">
        <v>145</v>
      </c>
      <c r="X147">
        <f t="shared" si="13"/>
        <v>410643.58807840815</v>
      </c>
      <c r="Y147" t="e" cm="1">
        <f t="array" ref="Y147">IF(INDEX($V$3:$V$14,$A$17)=X147,X147,NA())</f>
        <v>#N/A</v>
      </c>
    </row>
    <row r="148" spans="20:25" x14ac:dyDescent="0.25">
      <c r="T148" s="8"/>
      <c r="W148">
        <v>146</v>
      </c>
      <c r="X148">
        <f t="shared" si="13"/>
        <v>410643.58807840815</v>
      </c>
      <c r="Y148" t="e" cm="1">
        <f t="array" ref="Y148">IF(INDEX($V$3:$V$14,$A$17)=X148,X148,NA())</f>
        <v>#N/A</v>
      </c>
    </row>
    <row r="149" spans="20:25" x14ac:dyDescent="0.25">
      <c r="T149" s="8"/>
      <c r="W149">
        <v>147</v>
      </c>
      <c r="X149">
        <f t="shared" si="13"/>
        <v>410643.58807840815</v>
      </c>
      <c r="Y149" t="e" cm="1">
        <f t="array" ref="Y149">IF(INDEX($V$3:$V$14,$A$17)=X149,X149,NA())</f>
        <v>#N/A</v>
      </c>
    </row>
    <row r="150" spans="20:25" x14ac:dyDescent="0.25">
      <c r="T150" s="8"/>
      <c r="W150">
        <v>148</v>
      </c>
      <c r="X150">
        <f t="shared" si="13"/>
        <v>410643.58807840815</v>
      </c>
      <c r="Y150" t="e" cm="1">
        <f t="array" ref="Y150">IF(INDEX($V$3:$V$14,$A$17)=X150,X150,NA())</f>
        <v>#N/A</v>
      </c>
    </row>
    <row r="151" spans="20:25" x14ac:dyDescent="0.25">
      <c r="T151" s="8"/>
      <c r="W151">
        <v>149</v>
      </c>
      <c r="X151">
        <f t="shared" si="13"/>
        <v>410643.58807840815</v>
      </c>
      <c r="Y151" t="e" cm="1">
        <f t="array" ref="Y151">IF(INDEX($V$3:$V$14,$A$17)=X151,X151,NA())</f>
        <v>#N/A</v>
      </c>
    </row>
    <row r="152" spans="20:25" x14ac:dyDescent="0.25">
      <c r="T152" s="8"/>
      <c r="W152">
        <v>150</v>
      </c>
      <c r="X152">
        <f t="shared" si="13"/>
        <v>410643.58807840815</v>
      </c>
      <c r="Y152" t="e" cm="1">
        <f t="array" ref="Y152">IF(INDEX($V$3:$V$14,$A$17)=X152,X152,NA())</f>
        <v>#N/A</v>
      </c>
    </row>
    <row r="153" spans="20:25" x14ac:dyDescent="0.25">
      <c r="T153" s="8"/>
      <c r="W153">
        <v>151</v>
      </c>
      <c r="X153">
        <v>0</v>
      </c>
      <c r="Y153" t="e" cm="1">
        <f t="array" ref="Y153">IF(INDEX($V$3:$V$14,$A$17)=X153,X153,NA())</f>
        <v>#N/A</v>
      </c>
    </row>
    <row r="154" spans="20:25" x14ac:dyDescent="0.25">
      <c r="T154" s="8"/>
      <c r="W154">
        <v>152</v>
      </c>
      <c r="X154">
        <v>0</v>
      </c>
      <c r="Y154" t="e" cm="1">
        <f t="array" ref="Y154">IF(INDEX($V$3:$V$14,$A$17)=X154,X154,NA())</f>
        <v>#N/A</v>
      </c>
    </row>
    <row r="155" spans="20:25" x14ac:dyDescent="0.25">
      <c r="T155" s="8"/>
      <c r="W155">
        <v>153</v>
      </c>
      <c r="X155">
        <v>0</v>
      </c>
      <c r="Y155" t="e" cm="1">
        <f t="array" ref="Y155">IF(INDEX($V$3:$V$14,$A$17)=X155,X155,NA())</f>
        <v>#N/A</v>
      </c>
    </row>
    <row r="156" spans="20:25" x14ac:dyDescent="0.25">
      <c r="T156" s="8"/>
      <c r="W156">
        <v>154</v>
      </c>
      <c r="X156">
        <f t="shared" ref="X156:X182" si="14">$V$8</f>
        <v>441561.48081019364</v>
      </c>
      <c r="Y156" t="e" cm="1">
        <f t="array" ref="Y156">IF(INDEX($V$3:$V$14,$A$17)=X156,X156,NA())</f>
        <v>#N/A</v>
      </c>
    </row>
    <row r="157" spans="20:25" x14ac:dyDescent="0.25">
      <c r="T157" s="8"/>
      <c r="W157">
        <v>155</v>
      </c>
      <c r="X157">
        <f t="shared" si="14"/>
        <v>441561.48081019364</v>
      </c>
      <c r="Y157" t="e" cm="1">
        <f t="array" ref="Y157">IF(INDEX($V$3:$V$14,$A$17)=X157,X157,NA())</f>
        <v>#N/A</v>
      </c>
    </row>
    <row r="158" spans="20:25" x14ac:dyDescent="0.25">
      <c r="T158" s="8"/>
      <c r="W158">
        <v>156</v>
      </c>
      <c r="X158">
        <f t="shared" si="14"/>
        <v>441561.48081019364</v>
      </c>
      <c r="Y158" t="e" cm="1">
        <f t="array" ref="Y158">IF(INDEX($V$3:$V$14,$A$17)=X158,X158,NA())</f>
        <v>#N/A</v>
      </c>
    </row>
    <row r="159" spans="20:25" x14ac:dyDescent="0.25">
      <c r="T159" s="8"/>
      <c r="W159">
        <v>157</v>
      </c>
      <c r="X159">
        <f t="shared" si="14"/>
        <v>441561.48081019364</v>
      </c>
      <c r="Y159" t="e" cm="1">
        <f t="array" ref="Y159">IF(INDEX($V$3:$V$14,$A$17)=X159,X159,NA())</f>
        <v>#N/A</v>
      </c>
    </row>
    <row r="160" spans="20:25" x14ac:dyDescent="0.25">
      <c r="T160" s="8"/>
      <c r="W160">
        <v>158</v>
      </c>
      <c r="X160">
        <f t="shared" si="14"/>
        <v>441561.48081019364</v>
      </c>
      <c r="Y160" t="e" cm="1">
        <f t="array" ref="Y160">IF(INDEX($V$3:$V$14,$A$17)=X160,X160,NA())</f>
        <v>#N/A</v>
      </c>
    </row>
    <row r="161" spans="20:25" x14ac:dyDescent="0.25">
      <c r="T161" s="8"/>
      <c r="W161">
        <v>159</v>
      </c>
      <c r="X161">
        <f t="shared" si="14"/>
        <v>441561.48081019364</v>
      </c>
      <c r="Y161" t="e" cm="1">
        <f t="array" ref="Y161">IF(INDEX($V$3:$V$14,$A$17)=X161,X161,NA())</f>
        <v>#N/A</v>
      </c>
    </row>
    <row r="162" spans="20:25" x14ac:dyDescent="0.25">
      <c r="T162" s="8"/>
      <c r="W162">
        <v>160</v>
      </c>
      <c r="X162">
        <f t="shared" si="14"/>
        <v>441561.48081019364</v>
      </c>
      <c r="Y162" t="e" cm="1">
        <f t="array" ref="Y162">IF(INDEX($V$3:$V$14,$A$17)=X162,X162,NA())</f>
        <v>#N/A</v>
      </c>
    </row>
    <row r="163" spans="20:25" x14ac:dyDescent="0.25">
      <c r="T163" s="8"/>
      <c r="W163">
        <v>161</v>
      </c>
      <c r="X163">
        <f t="shared" si="14"/>
        <v>441561.48081019364</v>
      </c>
      <c r="Y163" t="e" cm="1">
        <f t="array" ref="Y163">IF(INDEX($V$3:$V$14,$A$17)=X163,X163,NA())</f>
        <v>#N/A</v>
      </c>
    </row>
    <row r="164" spans="20:25" x14ac:dyDescent="0.25">
      <c r="T164" s="8"/>
      <c r="W164">
        <v>162</v>
      </c>
      <c r="X164">
        <f t="shared" si="14"/>
        <v>441561.48081019364</v>
      </c>
      <c r="Y164" t="e" cm="1">
        <f t="array" ref="Y164">IF(INDEX($V$3:$V$14,$A$17)=X164,X164,NA())</f>
        <v>#N/A</v>
      </c>
    </row>
    <row r="165" spans="20:25" x14ac:dyDescent="0.25">
      <c r="T165" s="8"/>
      <c r="W165">
        <v>163</v>
      </c>
      <c r="X165">
        <f t="shared" si="14"/>
        <v>441561.48081019364</v>
      </c>
      <c r="Y165" t="e" cm="1">
        <f t="array" ref="Y165">IF(INDEX($V$3:$V$14,$A$17)=X165,X165,NA())</f>
        <v>#N/A</v>
      </c>
    </row>
    <row r="166" spans="20:25" x14ac:dyDescent="0.25">
      <c r="T166" s="8"/>
      <c r="W166">
        <v>164</v>
      </c>
      <c r="X166">
        <f t="shared" si="14"/>
        <v>441561.48081019364</v>
      </c>
      <c r="Y166" t="e" cm="1">
        <f t="array" ref="Y166">IF(INDEX($V$3:$V$14,$A$17)=X166,X166,NA())</f>
        <v>#N/A</v>
      </c>
    </row>
    <row r="167" spans="20:25" x14ac:dyDescent="0.25">
      <c r="T167" s="8"/>
      <c r="W167">
        <v>165</v>
      </c>
      <c r="X167">
        <f t="shared" si="14"/>
        <v>441561.48081019364</v>
      </c>
      <c r="Y167" t="e" cm="1">
        <f t="array" ref="Y167">IF(INDEX($V$3:$V$14,$A$17)=X167,X167,NA())</f>
        <v>#N/A</v>
      </c>
    </row>
    <row r="168" spans="20:25" x14ac:dyDescent="0.25">
      <c r="T168" s="8"/>
      <c r="W168">
        <v>166</v>
      </c>
      <c r="X168">
        <f t="shared" si="14"/>
        <v>441561.48081019364</v>
      </c>
      <c r="Y168" t="e" cm="1">
        <f t="array" ref="Y168">IF(INDEX($V$3:$V$14,$A$17)=X168,X168,NA())</f>
        <v>#N/A</v>
      </c>
    </row>
    <row r="169" spans="20:25" x14ac:dyDescent="0.25">
      <c r="T169" s="8"/>
      <c r="W169">
        <v>167</v>
      </c>
      <c r="X169">
        <f t="shared" si="14"/>
        <v>441561.48081019364</v>
      </c>
      <c r="Y169" t="e" cm="1">
        <f t="array" ref="Y169">IF(INDEX($V$3:$V$14,$A$17)=X169,X169,NA())</f>
        <v>#N/A</v>
      </c>
    </row>
    <row r="170" spans="20:25" x14ac:dyDescent="0.25">
      <c r="T170" s="8"/>
      <c r="W170">
        <v>168</v>
      </c>
      <c r="X170">
        <f t="shared" si="14"/>
        <v>441561.48081019364</v>
      </c>
      <c r="Y170" t="e" cm="1">
        <f t="array" ref="Y170">IF(INDEX($V$3:$V$14,$A$17)=X170,X170,NA())</f>
        <v>#N/A</v>
      </c>
    </row>
    <row r="171" spans="20:25" x14ac:dyDescent="0.25">
      <c r="T171" s="8"/>
      <c r="W171">
        <v>169</v>
      </c>
      <c r="X171">
        <f t="shared" si="14"/>
        <v>441561.48081019364</v>
      </c>
      <c r="Y171" t="e" cm="1">
        <f t="array" ref="Y171">IF(INDEX($V$3:$V$14,$A$17)=X171,X171,NA())</f>
        <v>#N/A</v>
      </c>
    </row>
    <row r="172" spans="20:25" x14ac:dyDescent="0.25">
      <c r="T172" s="8"/>
      <c r="W172">
        <v>170</v>
      </c>
      <c r="X172">
        <f t="shared" si="14"/>
        <v>441561.48081019364</v>
      </c>
      <c r="Y172" t="e" cm="1">
        <f t="array" ref="Y172">IF(INDEX($V$3:$V$14,$A$17)=X172,X172,NA())</f>
        <v>#N/A</v>
      </c>
    </row>
    <row r="173" spans="20:25" x14ac:dyDescent="0.25">
      <c r="T173" s="8"/>
      <c r="W173">
        <v>171</v>
      </c>
      <c r="X173">
        <f t="shared" si="14"/>
        <v>441561.48081019364</v>
      </c>
      <c r="Y173" t="e" cm="1">
        <f t="array" ref="Y173">IF(INDEX($V$3:$V$14,$A$17)=X173,X173,NA())</f>
        <v>#N/A</v>
      </c>
    </row>
    <row r="174" spans="20:25" x14ac:dyDescent="0.25">
      <c r="T174" s="8"/>
      <c r="W174">
        <v>172</v>
      </c>
      <c r="X174">
        <f t="shared" si="14"/>
        <v>441561.48081019364</v>
      </c>
      <c r="Y174" t="e" cm="1">
        <f t="array" ref="Y174">IF(INDEX($V$3:$V$14,$A$17)=X174,X174,NA())</f>
        <v>#N/A</v>
      </c>
    </row>
    <row r="175" spans="20:25" x14ac:dyDescent="0.25">
      <c r="T175" s="8"/>
      <c r="W175">
        <v>173</v>
      </c>
      <c r="X175">
        <f t="shared" si="14"/>
        <v>441561.48081019364</v>
      </c>
      <c r="Y175" t="e" cm="1">
        <f t="array" ref="Y175">IF(INDEX($V$3:$V$14,$A$17)=X175,X175,NA())</f>
        <v>#N/A</v>
      </c>
    </row>
    <row r="176" spans="20:25" x14ac:dyDescent="0.25">
      <c r="T176" s="8"/>
      <c r="W176">
        <v>174</v>
      </c>
      <c r="X176">
        <f t="shared" si="14"/>
        <v>441561.48081019364</v>
      </c>
      <c r="Y176" t="e" cm="1">
        <f t="array" ref="Y176">IF(INDEX($V$3:$V$14,$A$17)=X176,X176,NA())</f>
        <v>#N/A</v>
      </c>
    </row>
    <row r="177" spans="20:25" x14ac:dyDescent="0.25">
      <c r="T177" s="8"/>
      <c r="W177">
        <v>175</v>
      </c>
      <c r="X177">
        <f t="shared" si="14"/>
        <v>441561.48081019364</v>
      </c>
      <c r="Y177" t="e" cm="1">
        <f t="array" ref="Y177">IF(INDEX($V$3:$V$14,$A$17)=X177,X177,NA())</f>
        <v>#N/A</v>
      </c>
    </row>
    <row r="178" spans="20:25" x14ac:dyDescent="0.25">
      <c r="T178" s="8"/>
      <c r="W178">
        <v>176</v>
      </c>
      <c r="X178">
        <f t="shared" si="14"/>
        <v>441561.48081019364</v>
      </c>
      <c r="Y178" t="e" cm="1">
        <f t="array" ref="Y178">IF(INDEX($V$3:$V$14,$A$17)=X178,X178,NA())</f>
        <v>#N/A</v>
      </c>
    </row>
    <row r="179" spans="20:25" x14ac:dyDescent="0.25">
      <c r="T179" s="8"/>
      <c r="W179">
        <v>177</v>
      </c>
      <c r="X179">
        <f t="shared" si="14"/>
        <v>441561.48081019364</v>
      </c>
      <c r="Y179" t="e" cm="1">
        <f t="array" ref="Y179">IF(INDEX($V$3:$V$14,$A$17)=X179,X179,NA())</f>
        <v>#N/A</v>
      </c>
    </row>
    <row r="180" spans="20:25" x14ac:dyDescent="0.25">
      <c r="T180" s="8"/>
      <c r="W180">
        <v>178</v>
      </c>
      <c r="X180">
        <f t="shared" si="14"/>
        <v>441561.48081019364</v>
      </c>
      <c r="Y180" t="e" cm="1">
        <f t="array" ref="Y180">IF(INDEX($V$3:$V$14,$A$17)=X180,X180,NA())</f>
        <v>#N/A</v>
      </c>
    </row>
    <row r="181" spans="20:25" x14ac:dyDescent="0.25">
      <c r="T181" s="8"/>
      <c r="W181">
        <v>179</v>
      </c>
      <c r="X181">
        <f t="shared" si="14"/>
        <v>441561.48081019364</v>
      </c>
      <c r="Y181" t="e" cm="1">
        <f t="array" ref="Y181">IF(INDEX($V$3:$V$14,$A$17)=X181,X181,NA())</f>
        <v>#N/A</v>
      </c>
    </row>
    <row r="182" spans="20:25" x14ac:dyDescent="0.25">
      <c r="T182" s="8"/>
      <c r="W182">
        <v>180</v>
      </c>
      <c r="X182">
        <f t="shared" si="14"/>
        <v>441561.48081019364</v>
      </c>
      <c r="Y182" t="e" cm="1">
        <f t="array" ref="Y182">IF(INDEX($V$3:$V$14,$A$17)=X182,X182,NA())</f>
        <v>#N/A</v>
      </c>
    </row>
    <row r="183" spans="20:25" x14ac:dyDescent="0.25">
      <c r="T183" s="8"/>
      <c r="W183">
        <v>181</v>
      </c>
      <c r="X183">
        <v>0</v>
      </c>
      <c r="Y183" t="e" cm="1">
        <f t="array" ref="Y183">IF(INDEX($V$3:$V$14,$A$17)=X183,X183,NA())</f>
        <v>#N/A</v>
      </c>
    </row>
    <row r="184" spans="20:25" x14ac:dyDescent="0.25">
      <c r="T184" s="8"/>
      <c r="W184">
        <v>182</v>
      </c>
      <c r="X184">
        <v>0</v>
      </c>
      <c r="Y184" t="e" cm="1">
        <f t="array" ref="Y184">IF(INDEX($V$3:$V$14,$A$17)=X184,X184,NA())</f>
        <v>#N/A</v>
      </c>
    </row>
    <row r="185" spans="20:25" x14ac:dyDescent="0.25">
      <c r="T185" s="8"/>
      <c r="W185">
        <v>183</v>
      </c>
      <c r="X185">
        <v>0</v>
      </c>
      <c r="Y185" t="e" cm="1">
        <f t="array" ref="Y185">IF(INDEX($V$3:$V$14,$A$17)=X185,X185,NA())</f>
        <v>#N/A</v>
      </c>
    </row>
    <row r="186" spans="20:25" x14ac:dyDescent="0.25">
      <c r="T186" s="8"/>
      <c r="W186">
        <v>184</v>
      </c>
      <c r="X186">
        <f t="shared" ref="X186:X212" si="15">$V$9</f>
        <v>474807.22211608524</v>
      </c>
      <c r="Y186" t="e" cm="1">
        <f t="array" ref="Y186">IF(INDEX($V$3:$V$14,$A$17)=X186,X186,NA())</f>
        <v>#N/A</v>
      </c>
    </row>
    <row r="187" spans="20:25" x14ac:dyDescent="0.25">
      <c r="T187" s="8"/>
      <c r="W187">
        <v>185</v>
      </c>
      <c r="X187">
        <f t="shared" si="15"/>
        <v>474807.22211608524</v>
      </c>
      <c r="Y187" t="e" cm="1">
        <f t="array" ref="Y187">IF(INDEX($V$3:$V$14,$A$17)=X187,X187,NA())</f>
        <v>#N/A</v>
      </c>
    </row>
    <row r="188" spans="20:25" x14ac:dyDescent="0.25">
      <c r="T188" s="8"/>
      <c r="W188">
        <v>186</v>
      </c>
      <c r="X188">
        <f t="shared" si="15"/>
        <v>474807.22211608524</v>
      </c>
      <c r="Y188" t="e" cm="1">
        <f t="array" ref="Y188">IF(INDEX($V$3:$V$14,$A$17)=X188,X188,NA())</f>
        <v>#N/A</v>
      </c>
    </row>
    <row r="189" spans="20:25" x14ac:dyDescent="0.25">
      <c r="T189" s="8"/>
      <c r="W189">
        <v>187</v>
      </c>
      <c r="X189">
        <f t="shared" si="15"/>
        <v>474807.22211608524</v>
      </c>
      <c r="Y189" t="e" cm="1">
        <f t="array" ref="Y189">IF(INDEX($V$3:$V$14,$A$17)=X189,X189,NA())</f>
        <v>#N/A</v>
      </c>
    </row>
    <row r="190" spans="20:25" x14ac:dyDescent="0.25">
      <c r="T190" s="8"/>
      <c r="W190">
        <v>188</v>
      </c>
      <c r="X190">
        <f t="shared" si="15"/>
        <v>474807.22211608524</v>
      </c>
      <c r="Y190" t="e" cm="1">
        <f t="array" ref="Y190">IF(INDEX($V$3:$V$14,$A$17)=X190,X190,NA())</f>
        <v>#N/A</v>
      </c>
    </row>
    <row r="191" spans="20:25" x14ac:dyDescent="0.25">
      <c r="T191" s="8"/>
      <c r="W191">
        <v>189</v>
      </c>
      <c r="X191">
        <f t="shared" si="15"/>
        <v>474807.22211608524</v>
      </c>
      <c r="Y191" t="e" cm="1">
        <f t="array" ref="Y191">IF(INDEX($V$3:$V$14,$A$17)=X191,X191,NA())</f>
        <v>#N/A</v>
      </c>
    </row>
    <row r="192" spans="20:25" x14ac:dyDescent="0.25">
      <c r="T192" s="8"/>
      <c r="W192">
        <v>190</v>
      </c>
      <c r="X192">
        <f t="shared" si="15"/>
        <v>474807.22211608524</v>
      </c>
      <c r="Y192" t="e" cm="1">
        <f t="array" ref="Y192">IF(INDEX($V$3:$V$14,$A$17)=X192,X192,NA())</f>
        <v>#N/A</v>
      </c>
    </row>
    <row r="193" spans="20:25" x14ac:dyDescent="0.25">
      <c r="T193" s="8"/>
      <c r="W193">
        <v>191</v>
      </c>
      <c r="X193">
        <f t="shared" si="15"/>
        <v>474807.22211608524</v>
      </c>
      <c r="Y193" t="e" cm="1">
        <f t="array" ref="Y193">IF(INDEX($V$3:$V$14,$A$17)=X193,X193,NA())</f>
        <v>#N/A</v>
      </c>
    </row>
    <row r="194" spans="20:25" x14ac:dyDescent="0.25">
      <c r="T194" s="8"/>
      <c r="W194">
        <v>192</v>
      </c>
      <c r="X194">
        <f t="shared" si="15"/>
        <v>474807.22211608524</v>
      </c>
      <c r="Y194" t="e" cm="1">
        <f t="array" ref="Y194">IF(INDEX($V$3:$V$14,$A$17)=X194,X194,NA())</f>
        <v>#N/A</v>
      </c>
    </row>
    <row r="195" spans="20:25" x14ac:dyDescent="0.25">
      <c r="T195" s="8"/>
      <c r="W195">
        <v>193</v>
      </c>
      <c r="X195">
        <f t="shared" si="15"/>
        <v>474807.22211608524</v>
      </c>
      <c r="Y195" t="e" cm="1">
        <f t="array" ref="Y195">IF(INDEX($V$3:$V$14,$A$17)=X195,X195,NA())</f>
        <v>#N/A</v>
      </c>
    </row>
    <row r="196" spans="20:25" x14ac:dyDescent="0.25">
      <c r="T196" s="8"/>
      <c r="W196">
        <v>194</v>
      </c>
      <c r="X196">
        <f t="shared" si="15"/>
        <v>474807.22211608524</v>
      </c>
      <c r="Y196" t="e" cm="1">
        <f t="array" ref="Y196">IF(INDEX($V$3:$V$14,$A$17)=X196,X196,NA())</f>
        <v>#N/A</v>
      </c>
    </row>
    <row r="197" spans="20:25" x14ac:dyDescent="0.25">
      <c r="T197" s="8"/>
      <c r="W197">
        <v>195</v>
      </c>
      <c r="X197">
        <f t="shared" si="15"/>
        <v>474807.22211608524</v>
      </c>
      <c r="Y197" t="e" cm="1">
        <f t="array" ref="Y197">IF(INDEX($V$3:$V$14,$A$17)=X197,X197,NA())</f>
        <v>#N/A</v>
      </c>
    </row>
    <row r="198" spans="20:25" x14ac:dyDescent="0.25">
      <c r="T198" s="8"/>
      <c r="W198">
        <v>196</v>
      </c>
      <c r="X198">
        <f t="shared" si="15"/>
        <v>474807.22211608524</v>
      </c>
      <c r="Y198" t="e" cm="1">
        <f t="array" ref="Y198">IF(INDEX($V$3:$V$14,$A$17)=X198,X198,NA())</f>
        <v>#N/A</v>
      </c>
    </row>
    <row r="199" spans="20:25" x14ac:dyDescent="0.25">
      <c r="T199" s="8"/>
      <c r="W199">
        <v>197</v>
      </c>
      <c r="X199">
        <f t="shared" si="15"/>
        <v>474807.22211608524</v>
      </c>
      <c r="Y199" t="e" cm="1">
        <f t="array" ref="Y199">IF(INDEX($V$3:$V$14,$A$17)=X199,X199,NA())</f>
        <v>#N/A</v>
      </c>
    </row>
    <row r="200" spans="20:25" x14ac:dyDescent="0.25">
      <c r="T200" s="8"/>
      <c r="W200">
        <v>198</v>
      </c>
      <c r="X200">
        <f t="shared" si="15"/>
        <v>474807.22211608524</v>
      </c>
      <c r="Y200" t="e" cm="1">
        <f t="array" ref="Y200">IF(INDEX($V$3:$V$14,$A$17)=X200,X200,NA())</f>
        <v>#N/A</v>
      </c>
    </row>
    <row r="201" spans="20:25" x14ac:dyDescent="0.25">
      <c r="T201" s="8"/>
      <c r="W201">
        <v>199</v>
      </c>
      <c r="X201">
        <f t="shared" si="15"/>
        <v>474807.22211608524</v>
      </c>
      <c r="Y201" t="e" cm="1">
        <f t="array" ref="Y201">IF(INDEX($V$3:$V$14,$A$17)=X201,X201,NA())</f>
        <v>#N/A</v>
      </c>
    </row>
    <row r="202" spans="20:25" x14ac:dyDescent="0.25">
      <c r="T202" s="8"/>
      <c r="W202">
        <v>200</v>
      </c>
      <c r="X202">
        <f t="shared" si="15"/>
        <v>474807.22211608524</v>
      </c>
      <c r="Y202" t="e" cm="1">
        <f t="array" ref="Y202">IF(INDEX($V$3:$V$14,$A$17)=X202,X202,NA())</f>
        <v>#N/A</v>
      </c>
    </row>
    <row r="203" spans="20:25" x14ac:dyDescent="0.25">
      <c r="T203" s="8"/>
      <c r="W203">
        <v>201</v>
      </c>
      <c r="X203">
        <f t="shared" si="15"/>
        <v>474807.22211608524</v>
      </c>
      <c r="Y203" t="e" cm="1">
        <f t="array" ref="Y203">IF(INDEX($V$3:$V$14,$A$17)=X203,X203,NA())</f>
        <v>#N/A</v>
      </c>
    </row>
    <row r="204" spans="20:25" x14ac:dyDescent="0.25">
      <c r="T204" s="8"/>
      <c r="W204">
        <v>202</v>
      </c>
      <c r="X204">
        <f t="shared" si="15"/>
        <v>474807.22211608524</v>
      </c>
      <c r="Y204" t="e" cm="1">
        <f t="array" ref="Y204">IF(INDEX($V$3:$V$14,$A$17)=X204,X204,NA())</f>
        <v>#N/A</v>
      </c>
    </row>
    <row r="205" spans="20:25" x14ac:dyDescent="0.25">
      <c r="T205" s="8"/>
      <c r="W205">
        <v>203</v>
      </c>
      <c r="X205">
        <f t="shared" si="15"/>
        <v>474807.22211608524</v>
      </c>
      <c r="Y205" t="e" cm="1">
        <f t="array" ref="Y205">IF(INDEX($V$3:$V$14,$A$17)=X205,X205,NA())</f>
        <v>#N/A</v>
      </c>
    </row>
    <row r="206" spans="20:25" x14ac:dyDescent="0.25">
      <c r="T206" s="8"/>
      <c r="W206">
        <v>204</v>
      </c>
      <c r="X206">
        <f t="shared" si="15"/>
        <v>474807.22211608524</v>
      </c>
      <c r="Y206" t="e" cm="1">
        <f t="array" ref="Y206">IF(INDEX($V$3:$V$14,$A$17)=X206,X206,NA())</f>
        <v>#N/A</v>
      </c>
    </row>
    <row r="207" spans="20:25" x14ac:dyDescent="0.25">
      <c r="T207" s="8"/>
      <c r="W207">
        <v>205</v>
      </c>
      <c r="X207">
        <f t="shared" si="15"/>
        <v>474807.22211608524</v>
      </c>
      <c r="Y207" t="e" cm="1">
        <f t="array" ref="Y207">IF(INDEX($V$3:$V$14,$A$17)=X207,X207,NA())</f>
        <v>#N/A</v>
      </c>
    </row>
    <row r="208" spans="20:25" x14ac:dyDescent="0.25">
      <c r="T208" s="8"/>
      <c r="W208">
        <v>206</v>
      </c>
      <c r="X208">
        <f t="shared" si="15"/>
        <v>474807.22211608524</v>
      </c>
      <c r="Y208" t="e" cm="1">
        <f t="array" ref="Y208">IF(INDEX($V$3:$V$14,$A$17)=X208,X208,NA())</f>
        <v>#N/A</v>
      </c>
    </row>
    <row r="209" spans="20:25" x14ac:dyDescent="0.25">
      <c r="T209" s="8"/>
      <c r="W209">
        <v>207</v>
      </c>
      <c r="X209">
        <f t="shared" si="15"/>
        <v>474807.22211608524</v>
      </c>
      <c r="Y209" t="e" cm="1">
        <f t="array" ref="Y209">IF(INDEX($V$3:$V$14,$A$17)=X209,X209,NA())</f>
        <v>#N/A</v>
      </c>
    </row>
    <row r="210" spans="20:25" x14ac:dyDescent="0.25">
      <c r="T210" s="8"/>
      <c r="W210">
        <v>208</v>
      </c>
      <c r="X210">
        <f t="shared" si="15"/>
        <v>474807.22211608524</v>
      </c>
      <c r="Y210" t="e" cm="1">
        <f t="array" ref="Y210">IF(INDEX($V$3:$V$14,$A$17)=X210,X210,NA())</f>
        <v>#N/A</v>
      </c>
    </row>
    <row r="211" spans="20:25" x14ac:dyDescent="0.25">
      <c r="T211" s="8"/>
      <c r="W211">
        <v>209</v>
      </c>
      <c r="X211">
        <f t="shared" si="15"/>
        <v>474807.22211608524</v>
      </c>
      <c r="Y211" t="e" cm="1">
        <f t="array" ref="Y211">IF(INDEX($V$3:$V$14,$A$17)=X211,X211,NA())</f>
        <v>#N/A</v>
      </c>
    </row>
    <row r="212" spans="20:25" x14ac:dyDescent="0.25">
      <c r="T212" s="8"/>
      <c r="W212">
        <v>210</v>
      </c>
      <c r="X212">
        <f t="shared" si="15"/>
        <v>474807.22211608524</v>
      </c>
      <c r="Y212" t="e" cm="1">
        <f t="array" ref="Y212">IF(INDEX($V$3:$V$14,$A$17)=X212,X212,NA())</f>
        <v>#N/A</v>
      </c>
    </row>
    <row r="213" spans="20:25" x14ac:dyDescent="0.25">
      <c r="T213" s="8"/>
      <c r="W213">
        <v>211</v>
      </c>
      <c r="X213">
        <v>0</v>
      </c>
      <c r="Y213" t="e" cm="1">
        <f t="array" ref="Y213">IF(INDEX($V$3:$V$14,$A$17)=X213,X213,NA())</f>
        <v>#N/A</v>
      </c>
    </row>
    <row r="214" spans="20:25" x14ac:dyDescent="0.25">
      <c r="T214" s="8"/>
      <c r="W214">
        <v>212</v>
      </c>
      <c r="X214">
        <v>0</v>
      </c>
      <c r="Y214" t="e" cm="1">
        <f t="array" ref="Y214">IF(INDEX($V$3:$V$14,$A$17)=X214,X214,NA())</f>
        <v>#N/A</v>
      </c>
    </row>
    <row r="215" spans="20:25" x14ac:dyDescent="0.25">
      <c r="T215" s="8"/>
      <c r="W215">
        <v>213</v>
      </c>
      <c r="X215">
        <v>0</v>
      </c>
      <c r="Y215" t="e" cm="1">
        <f t="array" ref="Y215">IF(INDEX($V$3:$V$14,$A$17)=X215,X215,NA())</f>
        <v>#N/A</v>
      </c>
    </row>
    <row r="216" spans="20:25" x14ac:dyDescent="0.25">
      <c r="T216" s="8"/>
      <c r="W216">
        <v>214</v>
      </c>
      <c r="X216">
        <f t="shared" ref="X216:X242" si="16">$V$10</f>
        <v>510556.07875927998</v>
      </c>
      <c r="Y216" t="e" cm="1">
        <f t="array" ref="Y216">IF(INDEX($V$3:$V$14,$A$17)=X216,X216,NA())</f>
        <v>#N/A</v>
      </c>
    </row>
    <row r="217" spans="20:25" x14ac:dyDescent="0.25">
      <c r="T217" s="8"/>
      <c r="W217">
        <v>215</v>
      </c>
      <c r="X217">
        <f t="shared" si="16"/>
        <v>510556.07875927998</v>
      </c>
      <c r="Y217" t="e" cm="1">
        <f t="array" ref="Y217">IF(INDEX($V$3:$V$14,$A$17)=X217,X217,NA())</f>
        <v>#N/A</v>
      </c>
    </row>
    <row r="218" spans="20:25" x14ac:dyDescent="0.25">
      <c r="T218" s="8"/>
      <c r="W218">
        <v>216</v>
      </c>
      <c r="X218">
        <f t="shared" si="16"/>
        <v>510556.07875927998</v>
      </c>
      <c r="Y218" t="e" cm="1">
        <f t="array" ref="Y218">IF(INDEX($V$3:$V$14,$A$17)=X218,X218,NA())</f>
        <v>#N/A</v>
      </c>
    </row>
    <row r="219" spans="20:25" x14ac:dyDescent="0.25">
      <c r="T219" s="8"/>
      <c r="W219">
        <v>217</v>
      </c>
      <c r="X219">
        <f t="shared" si="16"/>
        <v>510556.07875927998</v>
      </c>
      <c r="Y219" t="e" cm="1">
        <f t="array" ref="Y219">IF(INDEX($V$3:$V$14,$A$17)=X219,X219,NA())</f>
        <v>#N/A</v>
      </c>
    </row>
    <row r="220" spans="20:25" x14ac:dyDescent="0.25">
      <c r="T220" s="8"/>
      <c r="W220">
        <v>218</v>
      </c>
      <c r="X220">
        <f t="shared" si="16"/>
        <v>510556.07875927998</v>
      </c>
      <c r="Y220" t="e" cm="1">
        <f t="array" ref="Y220">IF(INDEX($V$3:$V$14,$A$17)=X220,X220,NA())</f>
        <v>#N/A</v>
      </c>
    </row>
    <row r="221" spans="20:25" x14ac:dyDescent="0.25">
      <c r="T221" s="8"/>
      <c r="W221">
        <v>219</v>
      </c>
      <c r="X221">
        <f t="shared" si="16"/>
        <v>510556.07875927998</v>
      </c>
      <c r="Y221" t="e" cm="1">
        <f t="array" ref="Y221">IF(INDEX($V$3:$V$14,$A$17)=X221,X221,NA())</f>
        <v>#N/A</v>
      </c>
    </row>
    <row r="222" spans="20:25" x14ac:dyDescent="0.25">
      <c r="T222" s="8"/>
      <c r="W222">
        <v>220</v>
      </c>
      <c r="X222">
        <f t="shared" si="16"/>
        <v>510556.07875927998</v>
      </c>
      <c r="Y222" t="e" cm="1">
        <f t="array" ref="Y222">IF(INDEX($V$3:$V$14,$A$17)=X222,X222,NA())</f>
        <v>#N/A</v>
      </c>
    </row>
    <row r="223" spans="20:25" x14ac:dyDescent="0.25">
      <c r="T223" s="8"/>
      <c r="W223">
        <v>221</v>
      </c>
      <c r="X223">
        <f t="shared" si="16"/>
        <v>510556.07875927998</v>
      </c>
      <c r="Y223" t="e" cm="1">
        <f t="array" ref="Y223">IF(INDEX($V$3:$V$14,$A$17)=X223,X223,NA())</f>
        <v>#N/A</v>
      </c>
    </row>
    <row r="224" spans="20:25" x14ac:dyDescent="0.25">
      <c r="T224" s="8"/>
      <c r="W224">
        <v>222</v>
      </c>
      <c r="X224">
        <f t="shared" si="16"/>
        <v>510556.07875927998</v>
      </c>
      <c r="Y224" t="e" cm="1">
        <f t="array" ref="Y224">IF(INDEX($V$3:$V$14,$A$17)=X224,X224,NA())</f>
        <v>#N/A</v>
      </c>
    </row>
    <row r="225" spans="20:25" x14ac:dyDescent="0.25">
      <c r="T225" s="8"/>
      <c r="W225">
        <v>223</v>
      </c>
      <c r="X225">
        <f t="shared" si="16"/>
        <v>510556.07875927998</v>
      </c>
      <c r="Y225" t="e" cm="1">
        <f t="array" ref="Y225">IF(INDEX($V$3:$V$14,$A$17)=X225,X225,NA())</f>
        <v>#N/A</v>
      </c>
    </row>
    <row r="226" spans="20:25" x14ac:dyDescent="0.25">
      <c r="T226" s="8"/>
      <c r="W226">
        <v>224</v>
      </c>
      <c r="X226">
        <f t="shared" si="16"/>
        <v>510556.07875927998</v>
      </c>
      <c r="Y226" t="e" cm="1">
        <f t="array" ref="Y226">IF(INDEX($V$3:$V$14,$A$17)=X226,X226,NA())</f>
        <v>#N/A</v>
      </c>
    </row>
    <row r="227" spans="20:25" x14ac:dyDescent="0.25">
      <c r="T227" s="8"/>
      <c r="W227">
        <v>225</v>
      </c>
      <c r="X227">
        <f t="shared" si="16"/>
        <v>510556.07875927998</v>
      </c>
      <c r="Y227" t="e" cm="1">
        <f t="array" ref="Y227">IF(INDEX($V$3:$V$14,$A$17)=X227,X227,NA())</f>
        <v>#N/A</v>
      </c>
    </row>
    <row r="228" spans="20:25" x14ac:dyDescent="0.25">
      <c r="T228" s="8"/>
      <c r="W228">
        <v>226</v>
      </c>
      <c r="X228">
        <f t="shared" si="16"/>
        <v>510556.07875927998</v>
      </c>
      <c r="Y228" t="e" cm="1">
        <f t="array" ref="Y228">IF(INDEX($V$3:$V$14,$A$17)=X228,X228,NA())</f>
        <v>#N/A</v>
      </c>
    </row>
    <row r="229" spans="20:25" x14ac:dyDescent="0.25">
      <c r="T229" s="8"/>
      <c r="W229">
        <v>227</v>
      </c>
      <c r="X229">
        <f t="shared" si="16"/>
        <v>510556.07875927998</v>
      </c>
      <c r="Y229" t="e" cm="1">
        <f t="array" ref="Y229">IF(INDEX($V$3:$V$14,$A$17)=X229,X229,NA())</f>
        <v>#N/A</v>
      </c>
    </row>
    <row r="230" spans="20:25" x14ac:dyDescent="0.25">
      <c r="T230" s="8"/>
      <c r="W230">
        <v>228</v>
      </c>
      <c r="X230">
        <f t="shared" si="16"/>
        <v>510556.07875927998</v>
      </c>
      <c r="Y230" t="e" cm="1">
        <f t="array" ref="Y230">IF(INDEX($V$3:$V$14,$A$17)=X230,X230,NA())</f>
        <v>#N/A</v>
      </c>
    </row>
    <row r="231" spans="20:25" x14ac:dyDescent="0.25">
      <c r="T231" s="8"/>
      <c r="W231">
        <v>229</v>
      </c>
      <c r="X231">
        <f t="shared" si="16"/>
        <v>510556.07875927998</v>
      </c>
      <c r="Y231" t="e" cm="1">
        <f t="array" ref="Y231">IF(INDEX($V$3:$V$14,$A$17)=X231,X231,NA())</f>
        <v>#N/A</v>
      </c>
    </row>
    <row r="232" spans="20:25" x14ac:dyDescent="0.25">
      <c r="T232" s="8"/>
      <c r="W232">
        <v>230</v>
      </c>
      <c r="X232">
        <f t="shared" si="16"/>
        <v>510556.07875927998</v>
      </c>
      <c r="Y232" t="e" cm="1">
        <f t="array" ref="Y232">IF(INDEX($V$3:$V$14,$A$17)=X232,X232,NA())</f>
        <v>#N/A</v>
      </c>
    </row>
    <row r="233" spans="20:25" x14ac:dyDescent="0.25">
      <c r="T233" s="8"/>
      <c r="W233">
        <v>231</v>
      </c>
      <c r="X233">
        <f t="shared" si="16"/>
        <v>510556.07875927998</v>
      </c>
      <c r="Y233" t="e" cm="1">
        <f t="array" ref="Y233">IF(INDEX($V$3:$V$14,$A$17)=X233,X233,NA())</f>
        <v>#N/A</v>
      </c>
    </row>
    <row r="234" spans="20:25" x14ac:dyDescent="0.25">
      <c r="T234" s="8"/>
      <c r="W234">
        <v>232</v>
      </c>
      <c r="X234">
        <f t="shared" si="16"/>
        <v>510556.07875927998</v>
      </c>
      <c r="Y234" t="e" cm="1">
        <f t="array" ref="Y234">IF(INDEX($V$3:$V$14,$A$17)=X234,X234,NA())</f>
        <v>#N/A</v>
      </c>
    </row>
    <row r="235" spans="20:25" x14ac:dyDescent="0.25">
      <c r="T235" s="8"/>
      <c r="W235">
        <v>233</v>
      </c>
      <c r="X235">
        <f t="shared" si="16"/>
        <v>510556.07875927998</v>
      </c>
      <c r="Y235" t="e" cm="1">
        <f t="array" ref="Y235">IF(INDEX($V$3:$V$14,$A$17)=X235,X235,NA())</f>
        <v>#N/A</v>
      </c>
    </row>
    <row r="236" spans="20:25" x14ac:dyDescent="0.25">
      <c r="T236" s="8"/>
      <c r="W236">
        <v>234</v>
      </c>
      <c r="X236">
        <f t="shared" si="16"/>
        <v>510556.07875927998</v>
      </c>
      <c r="Y236" t="e" cm="1">
        <f t="array" ref="Y236">IF(INDEX($V$3:$V$14,$A$17)=X236,X236,NA())</f>
        <v>#N/A</v>
      </c>
    </row>
    <row r="237" spans="20:25" x14ac:dyDescent="0.25">
      <c r="T237" s="8"/>
      <c r="W237">
        <v>235</v>
      </c>
      <c r="X237">
        <f t="shared" si="16"/>
        <v>510556.07875927998</v>
      </c>
      <c r="Y237" t="e" cm="1">
        <f t="array" ref="Y237">IF(INDEX($V$3:$V$14,$A$17)=X237,X237,NA())</f>
        <v>#N/A</v>
      </c>
    </row>
    <row r="238" spans="20:25" x14ac:dyDescent="0.25">
      <c r="T238" s="8"/>
      <c r="W238">
        <v>236</v>
      </c>
      <c r="X238">
        <f t="shared" si="16"/>
        <v>510556.07875927998</v>
      </c>
      <c r="Y238" t="e" cm="1">
        <f t="array" ref="Y238">IF(INDEX($V$3:$V$14,$A$17)=X238,X238,NA())</f>
        <v>#N/A</v>
      </c>
    </row>
    <row r="239" spans="20:25" x14ac:dyDescent="0.25">
      <c r="T239" s="8"/>
      <c r="W239">
        <v>237</v>
      </c>
      <c r="X239">
        <f t="shared" si="16"/>
        <v>510556.07875927998</v>
      </c>
      <c r="Y239" t="e" cm="1">
        <f t="array" ref="Y239">IF(INDEX($V$3:$V$14,$A$17)=X239,X239,NA())</f>
        <v>#N/A</v>
      </c>
    </row>
    <row r="240" spans="20:25" x14ac:dyDescent="0.25">
      <c r="T240" s="8"/>
      <c r="W240">
        <v>238</v>
      </c>
      <c r="X240">
        <f t="shared" si="16"/>
        <v>510556.07875927998</v>
      </c>
      <c r="Y240" t="e" cm="1">
        <f t="array" ref="Y240">IF(INDEX($V$3:$V$14,$A$17)=X240,X240,NA())</f>
        <v>#N/A</v>
      </c>
    </row>
    <row r="241" spans="20:25" x14ac:dyDescent="0.25">
      <c r="T241" s="8"/>
      <c r="W241">
        <v>239</v>
      </c>
      <c r="X241">
        <f t="shared" si="16"/>
        <v>510556.07875927998</v>
      </c>
      <c r="Y241" t="e" cm="1">
        <f t="array" ref="Y241">IF(INDEX($V$3:$V$14,$A$17)=X241,X241,NA())</f>
        <v>#N/A</v>
      </c>
    </row>
    <row r="242" spans="20:25" x14ac:dyDescent="0.25">
      <c r="T242" s="8"/>
      <c r="W242">
        <v>240</v>
      </c>
      <c r="X242">
        <f t="shared" si="16"/>
        <v>510556.07875927998</v>
      </c>
      <c r="Y242" t="e" cm="1">
        <f t="array" ref="Y242">IF(INDEX($V$3:$V$14,$A$17)=X242,X242,NA())</f>
        <v>#N/A</v>
      </c>
    </row>
    <row r="243" spans="20:25" x14ac:dyDescent="0.25">
      <c r="T243" s="8"/>
      <c r="W243">
        <v>241</v>
      </c>
      <c r="X243">
        <v>0</v>
      </c>
      <c r="Y243" t="e" cm="1">
        <f t="array" ref="Y243">IF(INDEX($V$3:$V$14,$A$17)=X243,X243,NA())</f>
        <v>#N/A</v>
      </c>
    </row>
    <row r="244" spans="20:25" x14ac:dyDescent="0.25">
      <c r="T244" s="8"/>
      <c r="W244">
        <v>242</v>
      </c>
      <c r="X244">
        <v>0</v>
      </c>
      <c r="Y244" t="e" cm="1">
        <f t="array" ref="Y244">IF(INDEX($V$3:$V$14,$A$17)=X244,X244,NA())</f>
        <v>#N/A</v>
      </c>
    </row>
    <row r="245" spans="20:25" x14ac:dyDescent="0.25">
      <c r="T245" s="8"/>
      <c r="W245">
        <v>243</v>
      </c>
      <c r="X245">
        <v>0</v>
      </c>
      <c r="Y245" t="e" cm="1">
        <f t="array" ref="Y245">IF(INDEX($V$3:$V$14,$A$17)=X245,X245,NA())</f>
        <v>#N/A</v>
      </c>
    </row>
    <row r="246" spans="20:25" x14ac:dyDescent="0.25">
      <c r="T246" s="8"/>
      <c r="W246">
        <v>244</v>
      </c>
      <c r="X246">
        <f t="shared" ref="X246:X272" si="17">$V$11</f>
        <v>548996.51356676652</v>
      </c>
      <c r="Y246" t="e" cm="1">
        <f t="array" ref="Y246">IF(INDEX($V$3:$V$14,$A$17)=X246,X246,NA())</f>
        <v>#N/A</v>
      </c>
    </row>
    <row r="247" spans="20:25" x14ac:dyDescent="0.25">
      <c r="T247" s="8"/>
      <c r="W247">
        <v>245</v>
      </c>
      <c r="X247">
        <f t="shared" si="17"/>
        <v>548996.51356676652</v>
      </c>
      <c r="Y247" t="e" cm="1">
        <f t="array" ref="Y247">IF(INDEX($V$3:$V$14,$A$17)=X247,X247,NA())</f>
        <v>#N/A</v>
      </c>
    </row>
    <row r="248" spans="20:25" x14ac:dyDescent="0.25">
      <c r="T248" s="8"/>
      <c r="W248">
        <v>246</v>
      </c>
      <c r="X248">
        <f t="shared" si="17"/>
        <v>548996.51356676652</v>
      </c>
      <c r="Y248" t="e" cm="1">
        <f t="array" ref="Y248">IF(INDEX($V$3:$V$14,$A$17)=X248,X248,NA())</f>
        <v>#N/A</v>
      </c>
    </row>
    <row r="249" spans="20:25" x14ac:dyDescent="0.25">
      <c r="T249" s="8"/>
      <c r="W249">
        <v>247</v>
      </c>
      <c r="X249">
        <f t="shared" si="17"/>
        <v>548996.51356676652</v>
      </c>
      <c r="Y249" t="e" cm="1">
        <f t="array" ref="Y249">IF(INDEX($V$3:$V$14,$A$17)=X249,X249,NA())</f>
        <v>#N/A</v>
      </c>
    </row>
    <row r="250" spans="20:25" x14ac:dyDescent="0.25">
      <c r="T250" s="8"/>
      <c r="W250">
        <v>248</v>
      </c>
      <c r="X250">
        <f t="shared" si="17"/>
        <v>548996.51356676652</v>
      </c>
      <c r="Y250" t="e" cm="1">
        <f t="array" ref="Y250">IF(INDEX($V$3:$V$14,$A$17)=X250,X250,NA())</f>
        <v>#N/A</v>
      </c>
    </row>
    <row r="251" spans="20:25" x14ac:dyDescent="0.25">
      <c r="T251" s="8"/>
      <c r="W251">
        <v>249</v>
      </c>
      <c r="X251">
        <f t="shared" si="17"/>
        <v>548996.51356676652</v>
      </c>
      <c r="Y251" t="e" cm="1">
        <f t="array" ref="Y251">IF(INDEX($V$3:$V$14,$A$17)=X251,X251,NA())</f>
        <v>#N/A</v>
      </c>
    </row>
    <row r="252" spans="20:25" x14ac:dyDescent="0.25">
      <c r="T252" s="8"/>
      <c r="W252">
        <v>250</v>
      </c>
      <c r="X252">
        <f t="shared" si="17"/>
        <v>548996.51356676652</v>
      </c>
      <c r="Y252" t="e" cm="1">
        <f t="array" ref="Y252">IF(INDEX($V$3:$V$14,$A$17)=X252,X252,NA())</f>
        <v>#N/A</v>
      </c>
    </row>
    <row r="253" spans="20:25" x14ac:dyDescent="0.25">
      <c r="T253" s="8"/>
      <c r="W253">
        <v>251</v>
      </c>
      <c r="X253">
        <f t="shared" si="17"/>
        <v>548996.51356676652</v>
      </c>
      <c r="Y253" t="e" cm="1">
        <f t="array" ref="Y253">IF(INDEX($V$3:$V$14,$A$17)=X253,X253,NA())</f>
        <v>#N/A</v>
      </c>
    </row>
    <row r="254" spans="20:25" x14ac:dyDescent="0.25">
      <c r="T254" s="8"/>
      <c r="W254">
        <v>252</v>
      </c>
      <c r="X254">
        <f t="shared" si="17"/>
        <v>548996.51356676652</v>
      </c>
      <c r="Y254" t="e" cm="1">
        <f t="array" ref="Y254">IF(INDEX($V$3:$V$14,$A$17)=X254,X254,NA())</f>
        <v>#N/A</v>
      </c>
    </row>
    <row r="255" spans="20:25" x14ac:dyDescent="0.25">
      <c r="T255" s="8"/>
      <c r="W255">
        <v>253</v>
      </c>
      <c r="X255">
        <f t="shared" si="17"/>
        <v>548996.51356676652</v>
      </c>
      <c r="Y255" t="e" cm="1">
        <f t="array" ref="Y255">IF(INDEX($V$3:$V$14,$A$17)=X255,X255,NA())</f>
        <v>#N/A</v>
      </c>
    </row>
    <row r="256" spans="20:25" x14ac:dyDescent="0.25">
      <c r="T256" s="8"/>
      <c r="W256">
        <v>254</v>
      </c>
      <c r="X256">
        <f t="shared" si="17"/>
        <v>548996.51356676652</v>
      </c>
      <c r="Y256" t="e" cm="1">
        <f t="array" ref="Y256">IF(INDEX($V$3:$V$14,$A$17)=X256,X256,NA())</f>
        <v>#N/A</v>
      </c>
    </row>
    <row r="257" spans="20:25" x14ac:dyDescent="0.25">
      <c r="T257" s="8"/>
      <c r="W257">
        <v>255</v>
      </c>
      <c r="X257">
        <f t="shared" si="17"/>
        <v>548996.51356676652</v>
      </c>
      <c r="Y257" t="e" cm="1">
        <f t="array" ref="Y257">IF(INDEX($V$3:$V$14,$A$17)=X257,X257,NA())</f>
        <v>#N/A</v>
      </c>
    </row>
    <row r="258" spans="20:25" x14ac:dyDescent="0.25">
      <c r="T258" s="8"/>
      <c r="W258">
        <v>256</v>
      </c>
      <c r="X258">
        <f t="shared" si="17"/>
        <v>548996.51356676652</v>
      </c>
      <c r="Y258" t="e" cm="1">
        <f t="array" ref="Y258">IF(INDEX($V$3:$V$14,$A$17)=X258,X258,NA())</f>
        <v>#N/A</v>
      </c>
    </row>
    <row r="259" spans="20:25" x14ac:dyDescent="0.25">
      <c r="T259" s="8"/>
      <c r="W259">
        <v>257</v>
      </c>
      <c r="X259">
        <f t="shared" si="17"/>
        <v>548996.51356676652</v>
      </c>
      <c r="Y259" t="e" cm="1">
        <f t="array" ref="Y259">IF(INDEX($V$3:$V$14,$A$17)=X259,X259,NA())</f>
        <v>#N/A</v>
      </c>
    </row>
    <row r="260" spans="20:25" x14ac:dyDescent="0.25">
      <c r="T260" s="8"/>
      <c r="W260">
        <v>258</v>
      </c>
      <c r="X260">
        <f t="shared" si="17"/>
        <v>548996.51356676652</v>
      </c>
      <c r="Y260" t="e" cm="1">
        <f t="array" ref="Y260">IF(INDEX($V$3:$V$14,$A$17)=X260,X260,NA())</f>
        <v>#N/A</v>
      </c>
    </row>
    <row r="261" spans="20:25" x14ac:dyDescent="0.25">
      <c r="T261" s="8"/>
      <c r="W261">
        <v>259</v>
      </c>
      <c r="X261">
        <f t="shared" si="17"/>
        <v>548996.51356676652</v>
      </c>
      <c r="Y261" t="e" cm="1">
        <f t="array" ref="Y261">IF(INDEX($V$3:$V$14,$A$17)=X261,X261,NA())</f>
        <v>#N/A</v>
      </c>
    </row>
    <row r="262" spans="20:25" x14ac:dyDescent="0.25">
      <c r="T262" s="8"/>
      <c r="W262">
        <v>260</v>
      </c>
      <c r="X262">
        <f t="shared" si="17"/>
        <v>548996.51356676652</v>
      </c>
      <c r="Y262" t="e" cm="1">
        <f t="array" ref="Y262">IF(INDEX($V$3:$V$14,$A$17)=X262,X262,NA())</f>
        <v>#N/A</v>
      </c>
    </row>
    <row r="263" spans="20:25" x14ac:dyDescent="0.25">
      <c r="T263" s="8"/>
      <c r="W263">
        <v>261</v>
      </c>
      <c r="X263">
        <f t="shared" si="17"/>
        <v>548996.51356676652</v>
      </c>
      <c r="Y263" t="e" cm="1">
        <f t="array" ref="Y263">IF(INDEX($V$3:$V$14,$A$17)=X263,X263,NA())</f>
        <v>#N/A</v>
      </c>
    </row>
    <row r="264" spans="20:25" x14ac:dyDescent="0.25">
      <c r="T264" s="8"/>
      <c r="W264">
        <v>262</v>
      </c>
      <c r="X264">
        <f t="shared" si="17"/>
        <v>548996.51356676652</v>
      </c>
      <c r="Y264" t="e" cm="1">
        <f t="array" ref="Y264">IF(INDEX($V$3:$V$14,$A$17)=X264,X264,NA())</f>
        <v>#N/A</v>
      </c>
    </row>
    <row r="265" spans="20:25" x14ac:dyDescent="0.25">
      <c r="T265" s="8"/>
      <c r="W265">
        <v>263</v>
      </c>
      <c r="X265">
        <f t="shared" si="17"/>
        <v>548996.51356676652</v>
      </c>
      <c r="Y265" t="e" cm="1">
        <f t="array" ref="Y265">IF(INDEX($V$3:$V$14,$A$17)=X265,X265,NA())</f>
        <v>#N/A</v>
      </c>
    </row>
    <row r="266" spans="20:25" x14ac:dyDescent="0.25">
      <c r="T266" s="8"/>
      <c r="W266">
        <v>264</v>
      </c>
      <c r="X266">
        <f t="shared" si="17"/>
        <v>548996.51356676652</v>
      </c>
      <c r="Y266" t="e" cm="1">
        <f t="array" ref="Y266">IF(INDEX($V$3:$V$14,$A$17)=X266,X266,NA())</f>
        <v>#N/A</v>
      </c>
    </row>
    <row r="267" spans="20:25" x14ac:dyDescent="0.25">
      <c r="T267" s="8"/>
      <c r="W267">
        <v>265</v>
      </c>
      <c r="X267">
        <f t="shared" si="17"/>
        <v>548996.51356676652</v>
      </c>
      <c r="Y267" t="e" cm="1">
        <f t="array" ref="Y267">IF(INDEX($V$3:$V$14,$A$17)=X267,X267,NA())</f>
        <v>#N/A</v>
      </c>
    </row>
    <row r="268" spans="20:25" x14ac:dyDescent="0.25">
      <c r="T268" s="8"/>
      <c r="W268">
        <v>266</v>
      </c>
      <c r="X268">
        <f t="shared" si="17"/>
        <v>548996.51356676652</v>
      </c>
      <c r="Y268" t="e" cm="1">
        <f t="array" ref="Y268">IF(INDEX($V$3:$V$14,$A$17)=X268,X268,NA())</f>
        <v>#N/A</v>
      </c>
    </row>
    <row r="269" spans="20:25" x14ac:dyDescent="0.25">
      <c r="T269" s="8"/>
      <c r="W269">
        <v>267</v>
      </c>
      <c r="X269">
        <f t="shared" si="17"/>
        <v>548996.51356676652</v>
      </c>
      <c r="Y269" t="e" cm="1">
        <f t="array" ref="Y269">IF(INDEX($V$3:$V$14,$A$17)=X269,X269,NA())</f>
        <v>#N/A</v>
      </c>
    </row>
    <row r="270" spans="20:25" x14ac:dyDescent="0.25">
      <c r="T270" s="8"/>
      <c r="W270">
        <v>268</v>
      </c>
      <c r="X270">
        <f t="shared" si="17"/>
        <v>548996.51356676652</v>
      </c>
      <c r="Y270" t="e" cm="1">
        <f t="array" ref="Y270">IF(INDEX($V$3:$V$14,$A$17)=X270,X270,NA())</f>
        <v>#N/A</v>
      </c>
    </row>
    <row r="271" spans="20:25" x14ac:dyDescent="0.25">
      <c r="T271" s="8"/>
      <c r="W271">
        <v>269</v>
      </c>
      <c r="X271">
        <f t="shared" si="17"/>
        <v>548996.51356676652</v>
      </c>
      <c r="Y271" t="e" cm="1">
        <f t="array" ref="Y271">IF(INDEX($V$3:$V$14,$A$17)=X271,X271,NA())</f>
        <v>#N/A</v>
      </c>
    </row>
    <row r="272" spans="20:25" x14ac:dyDescent="0.25">
      <c r="T272" s="8"/>
      <c r="W272">
        <v>270</v>
      </c>
      <c r="X272">
        <f t="shared" si="17"/>
        <v>548996.51356676652</v>
      </c>
      <c r="Y272" t="e" cm="1">
        <f t="array" ref="Y272">IF(INDEX($V$3:$V$14,$A$17)=X272,X272,NA())</f>
        <v>#N/A</v>
      </c>
    </row>
    <row r="273" spans="20:25" x14ac:dyDescent="0.25">
      <c r="T273" s="8"/>
      <c r="W273">
        <v>271</v>
      </c>
      <c r="X273">
        <v>0</v>
      </c>
      <c r="Y273" t="e" cm="1">
        <f t="array" ref="Y273">IF(INDEX($V$3:$V$14,$A$17)=X273,X273,NA())</f>
        <v>#N/A</v>
      </c>
    </row>
    <row r="274" spans="20:25" x14ac:dyDescent="0.25">
      <c r="T274" s="8"/>
      <c r="W274">
        <v>272</v>
      </c>
      <c r="X274">
        <v>0</v>
      </c>
      <c r="Y274" t="e" cm="1">
        <f t="array" ref="Y274">IF(INDEX($V$3:$V$14,$A$17)=X274,X274,NA())</f>
        <v>#N/A</v>
      </c>
    </row>
    <row r="275" spans="20:25" x14ac:dyDescent="0.25">
      <c r="T275" s="8"/>
      <c r="W275">
        <v>273</v>
      </c>
      <c r="X275">
        <v>0</v>
      </c>
      <c r="Y275" t="e" cm="1">
        <f t="array" ref="Y275">IF(INDEX($V$3:$V$14,$A$17)=X275,X275,NA())</f>
        <v>#N/A</v>
      </c>
    </row>
    <row r="276" spans="20:25" x14ac:dyDescent="0.25">
      <c r="T276" s="8"/>
      <c r="W276">
        <v>274</v>
      </c>
      <c r="X276">
        <f t="shared" ref="X276:X302" si="18">$V$12</f>
        <v>590331.17897822428</v>
      </c>
      <c r="Y276" t="e" cm="1">
        <f t="array" ref="Y276">IF(INDEX($V$3:$V$14,$A$17)=X276,X276,NA())</f>
        <v>#N/A</v>
      </c>
    </row>
    <row r="277" spans="20:25" x14ac:dyDescent="0.25">
      <c r="T277" s="8"/>
      <c r="W277">
        <v>275</v>
      </c>
      <c r="X277">
        <f t="shared" si="18"/>
        <v>590331.17897822428</v>
      </c>
      <c r="Y277" t="e" cm="1">
        <f t="array" ref="Y277">IF(INDEX($V$3:$V$14,$A$17)=X277,X277,NA())</f>
        <v>#N/A</v>
      </c>
    </row>
    <row r="278" spans="20:25" x14ac:dyDescent="0.25">
      <c r="T278" s="8"/>
      <c r="W278">
        <v>276</v>
      </c>
      <c r="X278">
        <f t="shared" si="18"/>
        <v>590331.17897822428</v>
      </c>
      <c r="Y278" t="e" cm="1">
        <f t="array" ref="Y278">IF(INDEX($V$3:$V$14,$A$17)=X278,X278,NA())</f>
        <v>#N/A</v>
      </c>
    </row>
    <row r="279" spans="20:25" x14ac:dyDescent="0.25">
      <c r="T279" s="8"/>
      <c r="W279">
        <v>277</v>
      </c>
      <c r="X279">
        <f t="shared" si="18"/>
        <v>590331.17897822428</v>
      </c>
      <c r="Y279" t="e" cm="1">
        <f t="array" ref="Y279">IF(INDEX($V$3:$V$14,$A$17)=X279,X279,NA())</f>
        <v>#N/A</v>
      </c>
    </row>
    <row r="280" spans="20:25" x14ac:dyDescent="0.25">
      <c r="T280" s="8"/>
      <c r="W280">
        <v>278</v>
      </c>
      <c r="X280">
        <f t="shared" si="18"/>
        <v>590331.17897822428</v>
      </c>
      <c r="Y280" t="e" cm="1">
        <f t="array" ref="Y280">IF(INDEX($V$3:$V$14,$A$17)=X280,X280,NA())</f>
        <v>#N/A</v>
      </c>
    </row>
    <row r="281" spans="20:25" x14ac:dyDescent="0.25">
      <c r="T281" s="8"/>
      <c r="W281">
        <v>279</v>
      </c>
      <c r="X281">
        <f t="shared" si="18"/>
        <v>590331.17897822428</v>
      </c>
      <c r="Y281" t="e" cm="1">
        <f t="array" ref="Y281">IF(INDEX($V$3:$V$14,$A$17)=X281,X281,NA())</f>
        <v>#N/A</v>
      </c>
    </row>
    <row r="282" spans="20:25" x14ac:dyDescent="0.25">
      <c r="T282" s="8"/>
      <c r="W282">
        <v>280</v>
      </c>
      <c r="X282">
        <f t="shared" si="18"/>
        <v>590331.17897822428</v>
      </c>
      <c r="Y282" t="e" cm="1">
        <f t="array" ref="Y282">IF(INDEX($V$3:$V$14,$A$17)=X282,X282,NA())</f>
        <v>#N/A</v>
      </c>
    </row>
    <row r="283" spans="20:25" x14ac:dyDescent="0.25">
      <c r="T283" s="8"/>
      <c r="W283">
        <v>281</v>
      </c>
      <c r="X283">
        <f t="shared" si="18"/>
        <v>590331.17897822428</v>
      </c>
      <c r="Y283" t="e" cm="1">
        <f t="array" ref="Y283">IF(INDEX($V$3:$V$14,$A$17)=X283,X283,NA())</f>
        <v>#N/A</v>
      </c>
    </row>
    <row r="284" spans="20:25" x14ac:dyDescent="0.25">
      <c r="T284" s="8"/>
      <c r="W284">
        <v>282</v>
      </c>
      <c r="X284">
        <f t="shared" si="18"/>
        <v>590331.17897822428</v>
      </c>
      <c r="Y284" t="e" cm="1">
        <f t="array" ref="Y284">IF(INDEX($V$3:$V$14,$A$17)=X284,X284,NA())</f>
        <v>#N/A</v>
      </c>
    </row>
    <row r="285" spans="20:25" x14ac:dyDescent="0.25">
      <c r="T285" s="8"/>
      <c r="W285">
        <v>283</v>
      </c>
      <c r="X285">
        <f t="shared" si="18"/>
        <v>590331.17897822428</v>
      </c>
      <c r="Y285" t="e" cm="1">
        <f t="array" ref="Y285">IF(INDEX($V$3:$V$14,$A$17)=X285,X285,NA())</f>
        <v>#N/A</v>
      </c>
    </row>
    <row r="286" spans="20:25" x14ac:dyDescent="0.25">
      <c r="T286" s="8"/>
      <c r="W286">
        <v>284</v>
      </c>
      <c r="X286">
        <f t="shared" si="18"/>
        <v>590331.17897822428</v>
      </c>
      <c r="Y286" t="e" cm="1">
        <f t="array" ref="Y286">IF(INDEX($V$3:$V$14,$A$17)=X286,X286,NA())</f>
        <v>#N/A</v>
      </c>
    </row>
    <row r="287" spans="20:25" x14ac:dyDescent="0.25">
      <c r="T287" s="8"/>
      <c r="W287">
        <v>285</v>
      </c>
      <c r="X287">
        <f t="shared" si="18"/>
        <v>590331.17897822428</v>
      </c>
      <c r="Y287" t="e" cm="1">
        <f t="array" ref="Y287">IF(INDEX($V$3:$V$14,$A$17)=X287,X287,NA())</f>
        <v>#N/A</v>
      </c>
    </row>
    <row r="288" spans="20:25" x14ac:dyDescent="0.25">
      <c r="T288" s="8"/>
      <c r="W288">
        <v>286</v>
      </c>
      <c r="X288">
        <f t="shared" si="18"/>
        <v>590331.17897822428</v>
      </c>
      <c r="Y288" t="e" cm="1">
        <f t="array" ref="Y288">IF(INDEX($V$3:$V$14,$A$17)=X288,X288,NA())</f>
        <v>#N/A</v>
      </c>
    </row>
    <row r="289" spans="20:25" x14ac:dyDescent="0.25">
      <c r="T289" s="8"/>
      <c r="W289">
        <v>287</v>
      </c>
      <c r="X289">
        <f t="shared" si="18"/>
        <v>590331.17897822428</v>
      </c>
      <c r="Y289" t="e" cm="1">
        <f t="array" ref="Y289">IF(INDEX($V$3:$V$14,$A$17)=X289,X289,NA())</f>
        <v>#N/A</v>
      </c>
    </row>
    <row r="290" spans="20:25" x14ac:dyDescent="0.25">
      <c r="T290" s="8"/>
      <c r="W290">
        <v>288</v>
      </c>
      <c r="X290">
        <f t="shared" si="18"/>
        <v>590331.17897822428</v>
      </c>
      <c r="Y290" t="e" cm="1">
        <f t="array" ref="Y290">IF(INDEX($V$3:$V$14,$A$17)=X290,X290,NA())</f>
        <v>#N/A</v>
      </c>
    </row>
    <row r="291" spans="20:25" x14ac:dyDescent="0.25">
      <c r="T291" s="8"/>
      <c r="W291">
        <v>289</v>
      </c>
      <c r="X291">
        <f t="shared" si="18"/>
        <v>590331.17897822428</v>
      </c>
      <c r="Y291" t="e" cm="1">
        <f t="array" ref="Y291">IF(INDEX($V$3:$V$14,$A$17)=X291,X291,NA())</f>
        <v>#N/A</v>
      </c>
    </row>
    <row r="292" spans="20:25" x14ac:dyDescent="0.25">
      <c r="T292" s="8"/>
      <c r="W292">
        <v>290</v>
      </c>
      <c r="X292">
        <f t="shared" si="18"/>
        <v>590331.17897822428</v>
      </c>
      <c r="Y292" t="e" cm="1">
        <f t="array" ref="Y292">IF(INDEX($V$3:$V$14,$A$17)=X292,X292,NA())</f>
        <v>#N/A</v>
      </c>
    </row>
    <row r="293" spans="20:25" x14ac:dyDescent="0.25">
      <c r="T293" s="8"/>
      <c r="W293">
        <v>291</v>
      </c>
      <c r="X293">
        <f t="shared" si="18"/>
        <v>590331.17897822428</v>
      </c>
      <c r="Y293" t="e" cm="1">
        <f t="array" ref="Y293">IF(INDEX($V$3:$V$14,$A$17)=X293,X293,NA())</f>
        <v>#N/A</v>
      </c>
    </row>
    <row r="294" spans="20:25" x14ac:dyDescent="0.25">
      <c r="T294" s="8"/>
      <c r="W294">
        <v>292</v>
      </c>
      <c r="X294">
        <f t="shared" si="18"/>
        <v>590331.17897822428</v>
      </c>
      <c r="Y294" t="e" cm="1">
        <f t="array" ref="Y294">IF(INDEX($V$3:$V$14,$A$17)=X294,X294,NA())</f>
        <v>#N/A</v>
      </c>
    </row>
    <row r="295" spans="20:25" x14ac:dyDescent="0.25">
      <c r="T295" s="8"/>
      <c r="W295">
        <v>293</v>
      </c>
      <c r="X295">
        <f t="shared" si="18"/>
        <v>590331.17897822428</v>
      </c>
      <c r="Y295" t="e" cm="1">
        <f t="array" ref="Y295">IF(INDEX($V$3:$V$14,$A$17)=X295,X295,NA())</f>
        <v>#N/A</v>
      </c>
    </row>
    <row r="296" spans="20:25" x14ac:dyDescent="0.25">
      <c r="T296" s="8"/>
      <c r="W296">
        <v>294</v>
      </c>
      <c r="X296">
        <f t="shared" si="18"/>
        <v>590331.17897822428</v>
      </c>
      <c r="Y296" t="e" cm="1">
        <f t="array" ref="Y296">IF(INDEX($V$3:$V$14,$A$17)=X296,X296,NA())</f>
        <v>#N/A</v>
      </c>
    </row>
    <row r="297" spans="20:25" x14ac:dyDescent="0.25">
      <c r="T297" s="8"/>
      <c r="W297">
        <v>295</v>
      </c>
      <c r="X297">
        <f t="shared" si="18"/>
        <v>590331.17897822428</v>
      </c>
      <c r="Y297" t="e" cm="1">
        <f t="array" ref="Y297">IF(INDEX($V$3:$V$14,$A$17)=X297,X297,NA())</f>
        <v>#N/A</v>
      </c>
    </row>
    <row r="298" spans="20:25" x14ac:dyDescent="0.25">
      <c r="T298" s="8"/>
      <c r="W298">
        <v>296</v>
      </c>
      <c r="X298">
        <f t="shared" si="18"/>
        <v>590331.17897822428</v>
      </c>
      <c r="Y298" t="e" cm="1">
        <f t="array" ref="Y298">IF(INDEX($V$3:$V$14,$A$17)=X298,X298,NA())</f>
        <v>#N/A</v>
      </c>
    </row>
    <row r="299" spans="20:25" x14ac:dyDescent="0.25">
      <c r="T299" s="8"/>
      <c r="W299">
        <v>297</v>
      </c>
      <c r="X299">
        <f t="shared" si="18"/>
        <v>590331.17897822428</v>
      </c>
      <c r="Y299" t="e" cm="1">
        <f t="array" ref="Y299">IF(INDEX($V$3:$V$14,$A$17)=X299,X299,NA())</f>
        <v>#N/A</v>
      </c>
    </row>
    <row r="300" spans="20:25" x14ac:dyDescent="0.25">
      <c r="T300" s="8"/>
      <c r="W300">
        <v>298</v>
      </c>
      <c r="X300">
        <f t="shared" si="18"/>
        <v>590331.17897822428</v>
      </c>
      <c r="Y300" t="e" cm="1">
        <f t="array" ref="Y300">IF(INDEX($V$3:$V$14,$A$17)=X300,X300,NA())</f>
        <v>#N/A</v>
      </c>
    </row>
    <row r="301" spans="20:25" x14ac:dyDescent="0.25">
      <c r="T301" s="8"/>
      <c r="W301">
        <v>299</v>
      </c>
      <c r="X301">
        <f t="shared" si="18"/>
        <v>590331.17897822428</v>
      </c>
      <c r="Y301" t="e" cm="1">
        <f t="array" ref="Y301">IF(INDEX($V$3:$V$14,$A$17)=X301,X301,NA())</f>
        <v>#N/A</v>
      </c>
    </row>
    <row r="302" spans="20:25" x14ac:dyDescent="0.25">
      <c r="T302" s="8"/>
      <c r="W302">
        <v>300</v>
      </c>
      <c r="X302">
        <f t="shared" si="18"/>
        <v>590331.17897822428</v>
      </c>
      <c r="Y302" t="e" cm="1">
        <f t="array" ref="Y302">IF(INDEX($V$3:$V$14,$A$17)=X302,X302,NA())</f>
        <v>#N/A</v>
      </c>
    </row>
    <row r="303" spans="20:25" x14ac:dyDescent="0.25">
      <c r="T303" s="8"/>
      <c r="W303">
        <v>301</v>
      </c>
      <c r="X303">
        <v>0</v>
      </c>
      <c r="Y303" t="e" cm="1">
        <f t="array" ref="Y303">IF(INDEX($V$3:$V$14,$A$17)=X303,X303,NA())</f>
        <v>#N/A</v>
      </c>
    </row>
    <row r="304" spans="20:25" x14ac:dyDescent="0.25">
      <c r="T304" s="8"/>
      <c r="W304">
        <v>302</v>
      </c>
      <c r="X304">
        <v>0</v>
      </c>
      <c r="Y304" t="e" cm="1">
        <f t="array" ref="Y304">IF(INDEX($V$3:$V$14,$A$17)=X304,X304,NA())</f>
        <v>#N/A</v>
      </c>
    </row>
    <row r="305" spans="20:25" x14ac:dyDescent="0.25">
      <c r="T305" s="8"/>
      <c r="W305">
        <v>303</v>
      </c>
      <c r="X305">
        <v>0</v>
      </c>
      <c r="Y305" t="e" cm="1">
        <f t="array" ref="Y305">IF(INDEX($V$3:$V$14,$A$17)=X305,X305,NA())</f>
        <v>#N/A</v>
      </c>
    </row>
    <row r="306" spans="20:25" x14ac:dyDescent="0.25">
      <c r="T306" s="8"/>
      <c r="W306">
        <v>304</v>
      </c>
      <c r="X306">
        <f t="shared" ref="X306:X332" si="19">$V$13</f>
        <v>634777.98540051794</v>
      </c>
      <c r="Y306" t="e" cm="1">
        <f t="array" ref="Y306">IF(INDEX($V$3:$V$14,$A$17)=X306,X306,NA())</f>
        <v>#N/A</v>
      </c>
    </row>
    <row r="307" spans="20:25" x14ac:dyDescent="0.25">
      <c r="T307" s="8"/>
      <c r="W307">
        <v>305</v>
      </c>
      <c r="X307">
        <f t="shared" si="19"/>
        <v>634777.98540051794</v>
      </c>
      <c r="Y307" t="e" cm="1">
        <f t="array" ref="Y307">IF(INDEX($V$3:$V$14,$A$17)=X307,X307,NA())</f>
        <v>#N/A</v>
      </c>
    </row>
    <row r="308" spans="20:25" x14ac:dyDescent="0.25">
      <c r="T308" s="8"/>
      <c r="W308">
        <v>306</v>
      </c>
      <c r="X308">
        <f t="shared" si="19"/>
        <v>634777.98540051794</v>
      </c>
      <c r="Y308" t="e" cm="1">
        <f t="array" ref="Y308">IF(INDEX($V$3:$V$14,$A$17)=X308,X308,NA())</f>
        <v>#N/A</v>
      </c>
    </row>
    <row r="309" spans="20:25" x14ac:dyDescent="0.25">
      <c r="T309" s="8"/>
      <c r="W309">
        <v>307</v>
      </c>
      <c r="X309">
        <f t="shared" si="19"/>
        <v>634777.98540051794</v>
      </c>
      <c r="Y309" t="e" cm="1">
        <f t="array" ref="Y309">IF(INDEX($V$3:$V$14,$A$17)=X309,X309,NA())</f>
        <v>#N/A</v>
      </c>
    </row>
    <row r="310" spans="20:25" x14ac:dyDescent="0.25">
      <c r="T310" s="8"/>
      <c r="W310">
        <v>308</v>
      </c>
      <c r="X310">
        <f t="shared" si="19"/>
        <v>634777.98540051794</v>
      </c>
      <c r="Y310" t="e" cm="1">
        <f t="array" ref="Y310">IF(INDEX($V$3:$V$14,$A$17)=X310,X310,NA())</f>
        <v>#N/A</v>
      </c>
    </row>
    <row r="311" spans="20:25" x14ac:dyDescent="0.25">
      <c r="T311" s="8"/>
      <c r="W311">
        <v>309</v>
      </c>
      <c r="X311">
        <f t="shared" si="19"/>
        <v>634777.98540051794</v>
      </c>
      <c r="Y311" t="e" cm="1">
        <f t="array" ref="Y311">IF(INDEX($V$3:$V$14,$A$17)=X311,X311,NA())</f>
        <v>#N/A</v>
      </c>
    </row>
    <row r="312" spans="20:25" x14ac:dyDescent="0.25">
      <c r="T312" s="8"/>
      <c r="W312">
        <v>310</v>
      </c>
      <c r="X312">
        <f t="shared" si="19"/>
        <v>634777.98540051794</v>
      </c>
      <c r="Y312" t="e" cm="1">
        <f t="array" ref="Y312">IF(INDEX($V$3:$V$14,$A$17)=X312,X312,NA())</f>
        <v>#N/A</v>
      </c>
    </row>
    <row r="313" spans="20:25" x14ac:dyDescent="0.25">
      <c r="T313" s="8"/>
      <c r="W313">
        <v>311</v>
      </c>
      <c r="X313">
        <f t="shared" si="19"/>
        <v>634777.98540051794</v>
      </c>
      <c r="Y313" t="e" cm="1">
        <f t="array" ref="Y313">IF(INDEX($V$3:$V$14,$A$17)=X313,X313,NA())</f>
        <v>#N/A</v>
      </c>
    </row>
    <row r="314" spans="20:25" x14ac:dyDescent="0.25">
      <c r="T314" s="8"/>
      <c r="W314">
        <v>312</v>
      </c>
      <c r="X314">
        <f t="shared" si="19"/>
        <v>634777.98540051794</v>
      </c>
      <c r="Y314" t="e" cm="1">
        <f t="array" ref="Y314">IF(INDEX($V$3:$V$14,$A$17)=X314,X314,NA())</f>
        <v>#N/A</v>
      </c>
    </row>
    <row r="315" spans="20:25" x14ac:dyDescent="0.25">
      <c r="T315" s="8"/>
      <c r="W315">
        <v>313</v>
      </c>
      <c r="X315">
        <f t="shared" si="19"/>
        <v>634777.98540051794</v>
      </c>
      <c r="Y315" t="e" cm="1">
        <f t="array" ref="Y315">IF(INDEX($V$3:$V$14,$A$17)=X315,X315,NA())</f>
        <v>#N/A</v>
      </c>
    </row>
    <row r="316" spans="20:25" x14ac:dyDescent="0.25">
      <c r="T316" s="8"/>
      <c r="W316">
        <v>314</v>
      </c>
      <c r="X316">
        <f t="shared" si="19"/>
        <v>634777.98540051794</v>
      </c>
      <c r="Y316" t="e" cm="1">
        <f t="array" ref="Y316">IF(INDEX($V$3:$V$14,$A$17)=X316,X316,NA())</f>
        <v>#N/A</v>
      </c>
    </row>
    <row r="317" spans="20:25" x14ac:dyDescent="0.25">
      <c r="T317" s="8"/>
      <c r="W317">
        <v>315</v>
      </c>
      <c r="X317">
        <f t="shared" si="19"/>
        <v>634777.98540051794</v>
      </c>
      <c r="Y317" t="e" cm="1">
        <f t="array" ref="Y317">IF(INDEX($V$3:$V$14,$A$17)=X317,X317,NA())</f>
        <v>#N/A</v>
      </c>
    </row>
    <row r="318" spans="20:25" x14ac:dyDescent="0.25">
      <c r="T318" s="8"/>
      <c r="W318">
        <v>316</v>
      </c>
      <c r="X318">
        <f t="shared" si="19"/>
        <v>634777.98540051794</v>
      </c>
      <c r="Y318" t="e" cm="1">
        <f t="array" ref="Y318">IF(INDEX($V$3:$V$14,$A$17)=X318,X318,NA())</f>
        <v>#N/A</v>
      </c>
    </row>
    <row r="319" spans="20:25" x14ac:dyDescent="0.25">
      <c r="T319" s="8"/>
      <c r="W319">
        <v>317</v>
      </c>
      <c r="X319">
        <f t="shared" si="19"/>
        <v>634777.98540051794</v>
      </c>
      <c r="Y319" t="e" cm="1">
        <f t="array" ref="Y319">IF(INDEX($V$3:$V$14,$A$17)=X319,X319,NA())</f>
        <v>#N/A</v>
      </c>
    </row>
    <row r="320" spans="20:25" x14ac:dyDescent="0.25">
      <c r="T320" s="8"/>
      <c r="W320">
        <v>318</v>
      </c>
      <c r="X320">
        <f t="shared" si="19"/>
        <v>634777.98540051794</v>
      </c>
      <c r="Y320" t="e" cm="1">
        <f t="array" ref="Y320">IF(INDEX($V$3:$V$14,$A$17)=X320,X320,NA())</f>
        <v>#N/A</v>
      </c>
    </row>
    <row r="321" spans="20:25" x14ac:dyDescent="0.25">
      <c r="T321" s="8"/>
      <c r="W321">
        <v>319</v>
      </c>
      <c r="X321">
        <f t="shared" si="19"/>
        <v>634777.98540051794</v>
      </c>
      <c r="Y321" t="e" cm="1">
        <f t="array" ref="Y321">IF(INDEX($V$3:$V$14,$A$17)=X321,X321,NA())</f>
        <v>#N/A</v>
      </c>
    </row>
    <row r="322" spans="20:25" x14ac:dyDescent="0.25">
      <c r="T322" s="8"/>
      <c r="W322">
        <v>320</v>
      </c>
      <c r="X322">
        <f t="shared" si="19"/>
        <v>634777.98540051794</v>
      </c>
      <c r="Y322" t="e" cm="1">
        <f t="array" ref="Y322">IF(INDEX($V$3:$V$14,$A$17)=X322,X322,NA())</f>
        <v>#N/A</v>
      </c>
    </row>
    <row r="323" spans="20:25" x14ac:dyDescent="0.25">
      <c r="T323" s="8"/>
      <c r="W323">
        <v>321</v>
      </c>
      <c r="X323">
        <f t="shared" si="19"/>
        <v>634777.98540051794</v>
      </c>
      <c r="Y323" t="e" cm="1">
        <f t="array" ref="Y323">IF(INDEX($V$3:$V$14,$A$17)=X323,X323,NA())</f>
        <v>#N/A</v>
      </c>
    </row>
    <row r="324" spans="20:25" x14ac:dyDescent="0.25">
      <c r="T324" s="8"/>
      <c r="W324">
        <v>322</v>
      </c>
      <c r="X324">
        <f t="shared" si="19"/>
        <v>634777.98540051794</v>
      </c>
      <c r="Y324" t="e" cm="1">
        <f t="array" ref="Y324">IF(INDEX($V$3:$V$14,$A$17)=X324,X324,NA())</f>
        <v>#N/A</v>
      </c>
    </row>
    <row r="325" spans="20:25" x14ac:dyDescent="0.25">
      <c r="T325" s="8"/>
      <c r="W325">
        <v>323</v>
      </c>
      <c r="X325">
        <f t="shared" si="19"/>
        <v>634777.98540051794</v>
      </c>
      <c r="Y325" t="e" cm="1">
        <f t="array" ref="Y325">IF(INDEX($V$3:$V$14,$A$17)=X325,X325,NA())</f>
        <v>#N/A</v>
      </c>
    </row>
    <row r="326" spans="20:25" x14ac:dyDescent="0.25">
      <c r="T326" s="8"/>
      <c r="W326">
        <v>324</v>
      </c>
      <c r="X326">
        <f t="shared" si="19"/>
        <v>634777.98540051794</v>
      </c>
      <c r="Y326" t="e" cm="1">
        <f t="array" ref="Y326">IF(INDEX($V$3:$V$14,$A$17)=X326,X326,NA())</f>
        <v>#N/A</v>
      </c>
    </row>
    <row r="327" spans="20:25" x14ac:dyDescent="0.25">
      <c r="T327" s="8"/>
      <c r="W327">
        <v>325</v>
      </c>
      <c r="X327">
        <f t="shared" si="19"/>
        <v>634777.98540051794</v>
      </c>
      <c r="Y327" t="e" cm="1">
        <f t="array" ref="Y327">IF(INDEX($V$3:$V$14,$A$17)=X327,X327,NA())</f>
        <v>#N/A</v>
      </c>
    </row>
    <row r="328" spans="20:25" x14ac:dyDescent="0.25">
      <c r="T328" s="8"/>
      <c r="W328">
        <v>326</v>
      </c>
      <c r="X328">
        <f t="shared" si="19"/>
        <v>634777.98540051794</v>
      </c>
      <c r="Y328" t="e" cm="1">
        <f t="array" ref="Y328">IF(INDEX($V$3:$V$14,$A$17)=X328,X328,NA())</f>
        <v>#N/A</v>
      </c>
    </row>
    <row r="329" spans="20:25" x14ac:dyDescent="0.25">
      <c r="T329" s="8"/>
      <c r="W329">
        <v>327</v>
      </c>
      <c r="X329">
        <f t="shared" si="19"/>
        <v>634777.98540051794</v>
      </c>
      <c r="Y329" t="e" cm="1">
        <f t="array" ref="Y329">IF(INDEX($V$3:$V$14,$A$17)=X329,X329,NA())</f>
        <v>#N/A</v>
      </c>
    </row>
    <row r="330" spans="20:25" x14ac:dyDescent="0.25">
      <c r="T330" s="8"/>
      <c r="W330">
        <v>328</v>
      </c>
      <c r="X330">
        <f t="shared" si="19"/>
        <v>634777.98540051794</v>
      </c>
      <c r="Y330" t="e" cm="1">
        <f t="array" ref="Y330">IF(INDEX($V$3:$V$14,$A$17)=X330,X330,NA())</f>
        <v>#N/A</v>
      </c>
    </row>
    <row r="331" spans="20:25" x14ac:dyDescent="0.25">
      <c r="T331" s="8"/>
      <c r="W331">
        <v>329</v>
      </c>
      <c r="X331">
        <f t="shared" si="19"/>
        <v>634777.98540051794</v>
      </c>
      <c r="Y331" t="e" cm="1">
        <f t="array" ref="Y331">IF(INDEX($V$3:$V$14,$A$17)=X331,X331,NA())</f>
        <v>#N/A</v>
      </c>
    </row>
    <row r="332" spans="20:25" x14ac:dyDescent="0.25">
      <c r="T332" s="8"/>
      <c r="W332">
        <v>330</v>
      </c>
      <c r="X332">
        <f t="shared" si="19"/>
        <v>634777.98540051794</v>
      </c>
      <c r="Y332" t="e" cm="1">
        <f t="array" ref="Y332">IF(INDEX($V$3:$V$14,$A$17)=X332,X332,NA())</f>
        <v>#N/A</v>
      </c>
    </row>
    <row r="333" spans="20:25" x14ac:dyDescent="0.25">
      <c r="T333" s="8"/>
      <c r="W333">
        <v>331</v>
      </c>
      <c r="X333">
        <v>0</v>
      </c>
      <c r="Y333" t="e" cm="1">
        <f t="array" ref="Y333">IF(INDEX($V$3:$V$14,$A$17)=X333,X333,NA())</f>
        <v>#N/A</v>
      </c>
    </row>
    <row r="334" spans="20:25" x14ac:dyDescent="0.25">
      <c r="T334" s="8"/>
      <c r="W334">
        <v>332</v>
      </c>
      <c r="X334">
        <v>0</v>
      </c>
      <c r="Y334" t="e" cm="1">
        <f t="array" ref="Y334">IF(INDEX($V$3:$V$14,$A$17)=X334,X334,NA())</f>
        <v>#N/A</v>
      </c>
    </row>
    <row r="335" spans="20:25" x14ac:dyDescent="0.25">
      <c r="T335" s="8"/>
      <c r="W335">
        <v>333</v>
      </c>
      <c r="X335">
        <v>0</v>
      </c>
      <c r="Y335" t="e" cm="1">
        <f t="array" ref="Y335">IF(INDEX($V$3:$V$14,$A$17)=X335,X335,NA())</f>
        <v>#N/A</v>
      </c>
    </row>
    <row r="336" spans="20:25" x14ac:dyDescent="0.25">
      <c r="T336" s="8"/>
      <c r="W336">
        <v>334</v>
      </c>
      <c r="X336">
        <f t="shared" ref="X336:X362" si="20">$V$14</f>
        <v>682571.25</v>
      </c>
      <c r="Y336" cm="1">
        <f t="array" ref="Y336">IF(INDEX($V$3:$V$14,$A$17)=X336,X336,NA())</f>
        <v>682571.25</v>
      </c>
    </row>
    <row r="337" spans="20:25" x14ac:dyDescent="0.25">
      <c r="T337" s="8"/>
      <c r="W337">
        <v>335</v>
      </c>
      <c r="X337">
        <f t="shared" si="20"/>
        <v>682571.25</v>
      </c>
      <c r="Y337" cm="1">
        <f t="array" ref="Y337">IF(INDEX($V$3:$V$14,$A$17)=X337,X337,NA())</f>
        <v>682571.25</v>
      </c>
    </row>
    <row r="338" spans="20:25" x14ac:dyDescent="0.25">
      <c r="T338" s="8"/>
      <c r="W338">
        <v>336</v>
      </c>
      <c r="X338">
        <f t="shared" si="20"/>
        <v>682571.25</v>
      </c>
      <c r="Y338" cm="1">
        <f t="array" ref="Y338">IF(INDEX($V$3:$V$14,$A$17)=X338,X338,NA())</f>
        <v>682571.25</v>
      </c>
    </row>
    <row r="339" spans="20:25" x14ac:dyDescent="0.25">
      <c r="T339" s="8"/>
      <c r="W339">
        <v>337</v>
      </c>
      <c r="X339">
        <f t="shared" si="20"/>
        <v>682571.25</v>
      </c>
      <c r="Y339" cm="1">
        <f t="array" ref="Y339">IF(INDEX($V$3:$V$14,$A$17)=X339,X339,NA())</f>
        <v>682571.25</v>
      </c>
    </row>
    <row r="340" spans="20:25" x14ac:dyDescent="0.25">
      <c r="T340" s="8"/>
      <c r="W340">
        <v>338</v>
      </c>
      <c r="X340">
        <f t="shared" si="20"/>
        <v>682571.25</v>
      </c>
      <c r="Y340" cm="1">
        <f t="array" ref="Y340">IF(INDEX($V$3:$V$14,$A$17)=X340,X340,NA())</f>
        <v>682571.25</v>
      </c>
    </row>
    <row r="341" spans="20:25" x14ac:dyDescent="0.25">
      <c r="T341" s="8"/>
      <c r="W341">
        <v>339</v>
      </c>
      <c r="X341">
        <f t="shared" si="20"/>
        <v>682571.25</v>
      </c>
      <c r="Y341" cm="1">
        <f t="array" ref="Y341">IF(INDEX($V$3:$V$14,$A$17)=X341,X341,NA())</f>
        <v>682571.25</v>
      </c>
    </row>
    <row r="342" spans="20:25" x14ac:dyDescent="0.25">
      <c r="T342" s="8"/>
      <c r="W342">
        <v>340</v>
      </c>
      <c r="X342">
        <f t="shared" si="20"/>
        <v>682571.25</v>
      </c>
      <c r="Y342" cm="1">
        <f t="array" ref="Y342">IF(INDEX($V$3:$V$14,$A$17)=X342,X342,NA())</f>
        <v>682571.25</v>
      </c>
    </row>
    <row r="343" spans="20:25" x14ac:dyDescent="0.25">
      <c r="T343" s="8"/>
      <c r="W343">
        <v>341</v>
      </c>
      <c r="X343">
        <f t="shared" si="20"/>
        <v>682571.25</v>
      </c>
      <c r="Y343" cm="1">
        <f t="array" ref="Y343">IF(INDEX($V$3:$V$14,$A$17)=X343,X343,NA())</f>
        <v>682571.25</v>
      </c>
    </row>
    <row r="344" spans="20:25" x14ac:dyDescent="0.25">
      <c r="T344" s="8"/>
      <c r="W344">
        <v>342</v>
      </c>
      <c r="X344">
        <f t="shared" si="20"/>
        <v>682571.25</v>
      </c>
      <c r="Y344" cm="1">
        <f t="array" ref="Y344">IF(INDEX($V$3:$V$14,$A$17)=X344,X344,NA())</f>
        <v>682571.25</v>
      </c>
    </row>
    <row r="345" spans="20:25" x14ac:dyDescent="0.25">
      <c r="T345" s="8"/>
      <c r="W345">
        <v>343</v>
      </c>
      <c r="X345">
        <f t="shared" si="20"/>
        <v>682571.25</v>
      </c>
      <c r="Y345" cm="1">
        <f t="array" ref="Y345">IF(INDEX($V$3:$V$14,$A$17)=X345,X345,NA())</f>
        <v>682571.25</v>
      </c>
    </row>
    <row r="346" spans="20:25" x14ac:dyDescent="0.25">
      <c r="T346" s="8"/>
      <c r="W346">
        <v>344</v>
      </c>
      <c r="X346">
        <f t="shared" si="20"/>
        <v>682571.25</v>
      </c>
      <c r="Y346" cm="1">
        <f t="array" ref="Y346">IF(INDEX($V$3:$V$14,$A$17)=X346,X346,NA())</f>
        <v>682571.25</v>
      </c>
    </row>
    <row r="347" spans="20:25" x14ac:dyDescent="0.25">
      <c r="T347" s="8"/>
      <c r="W347">
        <v>345</v>
      </c>
      <c r="X347">
        <f t="shared" si="20"/>
        <v>682571.25</v>
      </c>
      <c r="Y347" cm="1">
        <f t="array" ref="Y347">IF(INDEX($V$3:$V$14,$A$17)=X347,X347,NA())</f>
        <v>682571.25</v>
      </c>
    </row>
    <row r="348" spans="20:25" x14ac:dyDescent="0.25">
      <c r="T348" s="8"/>
      <c r="W348">
        <v>346</v>
      </c>
      <c r="X348">
        <f t="shared" si="20"/>
        <v>682571.25</v>
      </c>
      <c r="Y348" cm="1">
        <f t="array" ref="Y348">IF(INDEX($V$3:$V$14,$A$17)=X348,X348,NA())</f>
        <v>682571.25</v>
      </c>
    </row>
    <row r="349" spans="20:25" x14ac:dyDescent="0.25">
      <c r="T349" s="8"/>
      <c r="W349">
        <v>347</v>
      </c>
      <c r="X349">
        <f t="shared" si="20"/>
        <v>682571.25</v>
      </c>
      <c r="Y349" cm="1">
        <f t="array" ref="Y349">IF(INDEX($V$3:$V$14,$A$17)=X349,X349,NA())</f>
        <v>682571.25</v>
      </c>
    </row>
    <row r="350" spans="20:25" x14ac:dyDescent="0.25">
      <c r="T350" s="8"/>
      <c r="W350">
        <v>348</v>
      </c>
      <c r="X350">
        <f t="shared" si="20"/>
        <v>682571.25</v>
      </c>
      <c r="Y350" cm="1">
        <f t="array" ref="Y350">IF(INDEX($V$3:$V$14,$A$17)=X350,X350,NA())</f>
        <v>682571.25</v>
      </c>
    </row>
    <row r="351" spans="20:25" x14ac:dyDescent="0.25">
      <c r="T351" s="8"/>
      <c r="W351">
        <v>349</v>
      </c>
      <c r="X351">
        <f t="shared" si="20"/>
        <v>682571.25</v>
      </c>
      <c r="Y351" cm="1">
        <f t="array" ref="Y351">IF(INDEX($V$3:$V$14,$A$17)=X351,X351,NA())</f>
        <v>682571.25</v>
      </c>
    </row>
    <row r="352" spans="20:25" x14ac:dyDescent="0.25">
      <c r="T352" s="8"/>
      <c r="W352">
        <v>350</v>
      </c>
      <c r="X352">
        <f t="shared" si="20"/>
        <v>682571.25</v>
      </c>
      <c r="Y352" cm="1">
        <f t="array" ref="Y352">IF(INDEX($V$3:$V$14,$A$17)=X352,X352,NA())</f>
        <v>682571.25</v>
      </c>
    </row>
    <row r="353" spans="20:25" x14ac:dyDescent="0.25">
      <c r="T353" s="8"/>
      <c r="W353">
        <v>351</v>
      </c>
      <c r="X353">
        <f t="shared" si="20"/>
        <v>682571.25</v>
      </c>
      <c r="Y353" cm="1">
        <f t="array" ref="Y353">IF(INDEX($V$3:$V$14,$A$17)=X353,X353,NA())</f>
        <v>682571.25</v>
      </c>
    </row>
    <row r="354" spans="20:25" x14ac:dyDescent="0.25">
      <c r="T354" s="8"/>
      <c r="W354">
        <v>352</v>
      </c>
      <c r="X354">
        <f t="shared" si="20"/>
        <v>682571.25</v>
      </c>
      <c r="Y354" cm="1">
        <f t="array" ref="Y354">IF(INDEX($V$3:$V$14,$A$17)=X354,X354,NA())</f>
        <v>682571.25</v>
      </c>
    </row>
    <row r="355" spans="20:25" x14ac:dyDescent="0.25">
      <c r="T355" s="8"/>
      <c r="W355">
        <v>353</v>
      </c>
      <c r="X355">
        <f t="shared" si="20"/>
        <v>682571.25</v>
      </c>
      <c r="Y355" cm="1">
        <f t="array" ref="Y355">IF(INDEX($V$3:$V$14,$A$17)=X355,X355,NA())</f>
        <v>682571.25</v>
      </c>
    </row>
    <row r="356" spans="20:25" x14ac:dyDescent="0.25">
      <c r="T356" s="8"/>
      <c r="W356">
        <v>354</v>
      </c>
      <c r="X356">
        <f t="shared" si="20"/>
        <v>682571.25</v>
      </c>
      <c r="Y356" cm="1">
        <f t="array" ref="Y356">IF(INDEX($V$3:$V$14,$A$17)=X356,X356,NA())</f>
        <v>682571.25</v>
      </c>
    </row>
    <row r="357" spans="20:25" x14ac:dyDescent="0.25">
      <c r="T357" s="8"/>
      <c r="W357">
        <v>355</v>
      </c>
      <c r="X357">
        <f t="shared" si="20"/>
        <v>682571.25</v>
      </c>
      <c r="Y357" cm="1">
        <f t="array" ref="Y357">IF(INDEX($V$3:$V$14,$A$17)=X357,X357,NA())</f>
        <v>682571.25</v>
      </c>
    </row>
    <row r="358" spans="20:25" x14ac:dyDescent="0.25">
      <c r="T358" s="8"/>
      <c r="W358">
        <v>356</v>
      </c>
      <c r="X358">
        <f t="shared" si="20"/>
        <v>682571.25</v>
      </c>
      <c r="Y358" cm="1">
        <f t="array" ref="Y358">IF(INDEX($V$3:$V$14,$A$17)=X358,X358,NA())</f>
        <v>682571.25</v>
      </c>
    </row>
    <row r="359" spans="20:25" x14ac:dyDescent="0.25">
      <c r="T359" s="8"/>
      <c r="W359">
        <v>357</v>
      </c>
      <c r="X359">
        <f t="shared" si="20"/>
        <v>682571.25</v>
      </c>
      <c r="Y359" cm="1">
        <f t="array" ref="Y359">IF(INDEX($V$3:$V$14,$A$17)=X359,X359,NA())</f>
        <v>682571.25</v>
      </c>
    </row>
    <row r="360" spans="20:25" x14ac:dyDescent="0.25">
      <c r="T360" s="8"/>
      <c r="W360">
        <v>358</v>
      </c>
      <c r="X360">
        <f t="shared" si="20"/>
        <v>682571.25</v>
      </c>
      <c r="Y360" cm="1">
        <f t="array" ref="Y360">IF(INDEX($V$3:$V$14,$A$17)=X360,X360,NA())</f>
        <v>682571.25</v>
      </c>
    </row>
    <row r="361" spans="20:25" x14ac:dyDescent="0.25">
      <c r="T361" s="8"/>
      <c r="W361">
        <v>359</v>
      </c>
      <c r="X361">
        <f t="shared" si="20"/>
        <v>682571.25</v>
      </c>
      <c r="Y361" cm="1">
        <f t="array" ref="Y361">IF(INDEX($V$3:$V$14,$A$17)=X361,X361,NA())</f>
        <v>682571.25</v>
      </c>
    </row>
    <row r="362" spans="20:25" x14ac:dyDescent="0.25">
      <c r="T362" s="8"/>
      <c r="W362">
        <v>360</v>
      </c>
      <c r="X362">
        <f t="shared" si="20"/>
        <v>682571.25</v>
      </c>
      <c r="Y362" cm="1">
        <f t="array" ref="Y362">IF(INDEX($V$3:$V$14,$A$17)=X362,X362,NA())</f>
        <v>682571.25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C5E8-CA6C-400F-AE1B-22638A480490}">
  <dimension ref="A1:K50"/>
  <sheetViews>
    <sheetView tabSelected="1" workbookViewId="0">
      <selection activeCell="K1" sqref="K1"/>
    </sheetView>
  </sheetViews>
  <sheetFormatPr defaultRowHeight="15" x14ac:dyDescent="0.25"/>
  <cols>
    <col min="2" max="2" width="10.7109375" bestFit="1" customWidth="1"/>
    <col min="3" max="3" width="12.140625" bestFit="1" customWidth="1"/>
    <col min="4" max="5" width="10.7109375" bestFit="1" customWidth="1"/>
    <col min="6" max="6" width="14.5703125" bestFit="1" customWidth="1"/>
    <col min="7" max="7" width="13.42578125" bestFit="1" customWidth="1"/>
    <col min="8" max="8" width="13.28515625" bestFit="1" customWidth="1"/>
    <col min="9" max="9" width="7.140625" bestFit="1" customWidth="1"/>
    <col min="10" max="10" width="15" bestFit="1" customWidth="1"/>
    <col min="11" max="11" width="93.85546875" bestFit="1" customWidth="1"/>
  </cols>
  <sheetData>
    <row r="1" spans="1:11" ht="15" customHeight="1" x14ac:dyDescent="0.25">
      <c r="C1" t="s">
        <v>72</v>
      </c>
      <c r="D1" t="s">
        <v>62</v>
      </c>
      <c r="E1" t="s">
        <v>63</v>
      </c>
      <c r="F1" t="s">
        <v>64</v>
      </c>
      <c r="G1" t="s">
        <v>61</v>
      </c>
      <c r="H1" t="s">
        <v>67</v>
      </c>
      <c r="I1" t="s">
        <v>83</v>
      </c>
    </row>
    <row r="2" spans="1:11" ht="15" customHeight="1" x14ac:dyDescent="0.25">
      <c r="A2">
        <v>2025</v>
      </c>
      <c r="B2" t="s">
        <v>0</v>
      </c>
      <c r="C2" s="8">
        <f t="shared" ref="C2:C49" si="0">ROW(B1)/COUNTA(B:B)</f>
        <v>2.0833333333333332E-2</v>
      </c>
      <c r="D2" s="1">
        <v>0</v>
      </c>
      <c r="E2" s="1">
        <v>0</v>
      </c>
      <c r="F2" s="1">
        <v>0</v>
      </c>
      <c r="G2" s="8">
        <v>0</v>
      </c>
      <c r="H2" s="11">
        <v>9491</v>
      </c>
      <c r="I2" s="18">
        <v>0</v>
      </c>
      <c r="J2" t="s">
        <v>37</v>
      </c>
      <c r="K2" t="s">
        <v>36</v>
      </c>
    </row>
    <row r="3" spans="1:11" x14ac:dyDescent="0.25">
      <c r="A3">
        <v>2025</v>
      </c>
      <c r="B3" t="s">
        <v>73</v>
      </c>
      <c r="C3" s="8">
        <f t="shared" si="0"/>
        <v>4.1666666666666664E-2</v>
      </c>
      <c r="D3" s="1">
        <v>0</v>
      </c>
      <c r="E3" s="1">
        <v>0</v>
      </c>
      <c r="F3" s="1">
        <v>0</v>
      </c>
      <c r="G3" s="8">
        <v>0</v>
      </c>
      <c r="H3" s="11">
        <v>9960</v>
      </c>
      <c r="I3" s="18">
        <v>0.02</v>
      </c>
      <c r="J3" t="s">
        <v>38</v>
      </c>
      <c r="K3" t="s">
        <v>39</v>
      </c>
    </row>
    <row r="4" spans="1:11" x14ac:dyDescent="0.25">
      <c r="A4">
        <v>2025</v>
      </c>
      <c r="B4" t="s">
        <v>74</v>
      </c>
      <c r="C4" s="8">
        <f t="shared" si="0"/>
        <v>6.25E-2</v>
      </c>
      <c r="D4" s="1">
        <v>0</v>
      </c>
      <c r="E4" s="1">
        <v>0</v>
      </c>
      <c r="F4" s="1">
        <v>0</v>
      </c>
      <c r="G4" s="8">
        <v>0</v>
      </c>
      <c r="H4" s="11">
        <v>7863</v>
      </c>
      <c r="I4" s="18">
        <v>0.03</v>
      </c>
      <c r="J4" t="s">
        <v>40</v>
      </c>
      <c r="K4" t="s">
        <v>41</v>
      </c>
    </row>
    <row r="5" spans="1:11" x14ac:dyDescent="0.25">
      <c r="A5">
        <v>2025</v>
      </c>
      <c r="B5" t="s">
        <v>75</v>
      </c>
      <c r="C5" s="8">
        <f t="shared" si="0"/>
        <v>8.3333333333333329E-2</v>
      </c>
      <c r="D5" s="1">
        <v>0</v>
      </c>
      <c r="E5" s="1">
        <v>0</v>
      </c>
      <c r="F5" s="1">
        <v>0</v>
      </c>
      <c r="G5" s="8">
        <v>0</v>
      </c>
      <c r="H5" s="11">
        <v>8395</v>
      </c>
      <c r="I5" s="18">
        <v>0.04</v>
      </c>
      <c r="J5" t="s">
        <v>26</v>
      </c>
      <c r="K5" t="s">
        <v>42</v>
      </c>
    </row>
    <row r="6" spans="1:11" x14ac:dyDescent="0.25">
      <c r="A6">
        <v>2025</v>
      </c>
      <c r="B6" t="s">
        <v>12</v>
      </c>
      <c r="C6" s="8">
        <f t="shared" si="0"/>
        <v>0.10416666666666667</v>
      </c>
      <c r="D6" s="1">
        <v>0</v>
      </c>
      <c r="E6" s="1">
        <v>0</v>
      </c>
      <c r="F6" s="1">
        <v>0</v>
      </c>
      <c r="G6" s="8">
        <v>0</v>
      </c>
      <c r="H6" s="11">
        <v>10565</v>
      </c>
      <c r="I6" s="18">
        <v>0.05</v>
      </c>
      <c r="J6" t="s">
        <v>43</v>
      </c>
      <c r="K6" t="s">
        <v>44</v>
      </c>
    </row>
    <row r="7" spans="1:11" x14ac:dyDescent="0.25">
      <c r="A7">
        <v>2025</v>
      </c>
      <c r="B7" t="s">
        <v>76</v>
      </c>
      <c r="C7" s="8">
        <f t="shared" si="0"/>
        <v>0.125</v>
      </c>
      <c r="D7" s="1">
        <v>0</v>
      </c>
      <c r="E7" s="1">
        <v>0</v>
      </c>
      <c r="F7" s="1">
        <v>0</v>
      </c>
      <c r="G7" s="8">
        <v>0</v>
      </c>
      <c r="H7" s="11">
        <v>14588</v>
      </c>
      <c r="I7" s="18">
        <v>0.06</v>
      </c>
      <c r="J7" t="s">
        <v>45</v>
      </c>
      <c r="K7" t="s">
        <v>46</v>
      </c>
    </row>
    <row r="8" spans="1:11" x14ac:dyDescent="0.25">
      <c r="A8">
        <v>2025</v>
      </c>
      <c r="B8" t="s">
        <v>77</v>
      </c>
      <c r="C8" s="8">
        <f t="shared" si="0"/>
        <v>0.14583333333333334</v>
      </c>
      <c r="D8" s="1">
        <v>0</v>
      </c>
      <c r="E8" s="1">
        <v>0</v>
      </c>
      <c r="F8" s="1">
        <v>0</v>
      </c>
      <c r="G8" s="8">
        <v>0</v>
      </c>
      <c r="H8" s="11">
        <v>18211</v>
      </c>
      <c r="I8" s="18">
        <v>7.0000000000000007E-2</v>
      </c>
      <c r="J8" t="s">
        <v>47</v>
      </c>
      <c r="K8" t="s">
        <v>48</v>
      </c>
    </row>
    <row r="9" spans="1:11" x14ac:dyDescent="0.25">
      <c r="A9">
        <v>2025</v>
      </c>
      <c r="B9" t="s">
        <v>78</v>
      </c>
      <c r="C9" s="8">
        <f t="shared" si="0"/>
        <v>0.16666666666666666</v>
      </c>
      <c r="D9" s="1">
        <v>0</v>
      </c>
      <c r="E9" s="1">
        <v>0</v>
      </c>
      <c r="F9" s="1">
        <v>0</v>
      </c>
      <c r="G9" s="8">
        <v>0</v>
      </c>
      <c r="H9" s="11">
        <v>12421</v>
      </c>
      <c r="I9" s="18">
        <v>0.08</v>
      </c>
      <c r="J9" t="s">
        <v>49</v>
      </c>
      <c r="K9" t="s">
        <v>50</v>
      </c>
    </row>
    <row r="10" spans="1:11" x14ac:dyDescent="0.25">
      <c r="A10">
        <v>2025</v>
      </c>
      <c r="B10" t="s">
        <v>79</v>
      </c>
      <c r="C10" s="8">
        <f t="shared" si="0"/>
        <v>0.1875</v>
      </c>
      <c r="D10" s="1">
        <v>0</v>
      </c>
      <c r="E10" s="1">
        <v>0</v>
      </c>
      <c r="F10" s="1">
        <v>0</v>
      </c>
      <c r="G10" s="8">
        <v>0</v>
      </c>
      <c r="H10" s="11">
        <v>7150</v>
      </c>
      <c r="I10" s="18">
        <v>0.09</v>
      </c>
      <c r="J10" t="s">
        <v>52</v>
      </c>
      <c r="K10" t="s">
        <v>51</v>
      </c>
    </row>
    <row r="11" spans="1:11" x14ac:dyDescent="0.25">
      <c r="A11">
        <v>2025</v>
      </c>
      <c r="B11" t="s">
        <v>80</v>
      </c>
      <c r="C11" s="8">
        <f t="shared" si="0"/>
        <v>0.20833333333333334</v>
      </c>
      <c r="D11" s="1">
        <v>0</v>
      </c>
      <c r="E11" s="1">
        <v>0</v>
      </c>
      <c r="F11" s="1">
        <v>0</v>
      </c>
      <c r="G11" s="8">
        <v>0</v>
      </c>
      <c r="H11" s="11">
        <v>8294</v>
      </c>
      <c r="I11" s="18">
        <v>0.1</v>
      </c>
      <c r="J11" t="s">
        <v>53</v>
      </c>
      <c r="K11" t="s">
        <v>54</v>
      </c>
    </row>
    <row r="12" spans="1:11" x14ac:dyDescent="0.25">
      <c r="A12">
        <v>2025</v>
      </c>
      <c r="B12" t="s">
        <v>81</v>
      </c>
      <c r="C12" s="8">
        <f t="shared" si="0"/>
        <v>0.22916666666666666</v>
      </c>
      <c r="D12" s="1">
        <v>0</v>
      </c>
      <c r="E12" s="1">
        <v>0</v>
      </c>
      <c r="F12" s="1">
        <v>0</v>
      </c>
      <c r="G12" s="8">
        <v>0</v>
      </c>
      <c r="H12" s="11">
        <v>9432</v>
      </c>
      <c r="I12" s="18">
        <v>0.11</v>
      </c>
      <c r="J12" t="s">
        <v>55</v>
      </c>
      <c r="K12" t="s">
        <v>56</v>
      </c>
    </row>
    <row r="13" spans="1:11" x14ac:dyDescent="0.25">
      <c r="A13">
        <v>2025</v>
      </c>
      <c r="B13" t="s">
        <v>82</v>
      </c>
      <c r="C13" s="8">
        <f t="shared" si="0"/>
        <v>0.25</v>
      </c>
      <c r="D13" s="1">
        <v>0.35</v>
      </c>
      <c r="E13" s="1">
        <v>0</v>
      </c>
      <c r="F13" s="1">
        <v>0</v>
      </c>
      <c r="G13" s="8">
        <v>0</v>
      </c>
      <c r="H13" s="11">
        <v>16003</v>
      </c>
      <c r="I13" s="18">
        <v>0.12</v>
      </c>
      <c r="J13" t="s">
        <v>57</v>
      </c>
      <c r="K13" t="s">
        <v>58</v>
      </c>
    </row>
    <row r="14" spans="1:11" x14ac:dyDescent="0.25">
      <c r="A14">
        <v>2026</v>
      </c>
      <c r="B14" t="s">
        <v>0</v>
      </c>
      <c r="C14" s="8">
        <f t="shared" si="0"/>
        <v>0.27083333333333331</v>
      </c>
      <c r="D14" s="1">
        <v>0.42</v>
      </c>
      <c r="E14" s="1">
        <v>0</v>
      </c>
      <c r="F14" s="1">
        <v>0</v>
      </c>
      <c r="G14" s="8">
        <v>0</v>
      </c>
      <c r="H14" s="11">
        <v>40157.0625</v>
      </c>
      <c r="I14" s="18">
        <v>0.05</v>
      </c>
      <c r="J14" t="s">
        <v>37</v>
      </c>
      <c r="K14" t="s">
        <v>36</v>
      </c>
    </row>
    <row r="15" spans="1:11" x14ac:dyDescent="0.25">
      <c r="A15">
        <v>2026</v>
      </c>
      <c r="B15" t="s">
        <v>73</v>
      </c>
      <c r="C15" s="8">
        <f t="shared" si="0"/>
        <v>0.29166666666666669</v>
      </c>
      <c r="D15" s="1">
        <v>0.55000000000000004</v>
      </c>
      <c r="E15" s="1">
        <v>0</v>
      </c>
      <c r="F15" s="1">
        <v>0</v>
      </c>
      <c r="G15" s="8">
        <v>0</v>
      </c>
      <c r="H15" s="11">
        <v>6701.2981504353738</v>
      </c>
      <c r="I15" s="18">
        <v>0.1</v>
      </c>
      <c r="J15" t="s">
        <v>38</v>
      </c>
      <c r="K15" t="s">
        <v>39</v>
      </c>
    </row>
    <row r="16" spans="1:11" x14ac:dyDescent="0.25">
      <c r="A16">
        <v>2026</v>
      </c>
      <c r="B16" t="s">
        <v>74</v>
      </c>
      <c r="C16" s="8">
        <f t="shared" si="0"/>
        <v>0.3125</v>
      </c>
      <c r="D16" s="1">
        <v>0.57999999999999996</v>
      </c>
      <c r="E16" s="1">
        <v>0</v>
      </c>
      <c r="F16" s="1">
        <v>0</v>
      </c>
      <c r="G16" s="8">
        <v>0</v>
      </c>
      <c r="H16" s="11">
        <v>7819.5920221803171</v>
      </c>
      <c r="I16" s="18">
        <v>0.15</v>
      </c>
      <c r="J16" t="s">
        <v>40</v>
      </c>
      <c r="K16" t="s">
        <v>41</v>
      </c>
    </row>
    <row r="17" spans="1:11" x14ac:dyDescent="0.25">
      <c r="A17">
        <v>2026</v>
      </c>
      <c r="B17" t="s">
        <v>75</v>
      </c>
      <c r="C17" s="8">
        <f t="shared" si="0"/>
        <v>0.33333333333333331</v>
      </c>
      <c r="D17" s="1">
        <v>0.5</v>
      </c>
      <c r="E17" s="1">
        <v>0</v>
      </c>
      <c r="F17" s="1">
        <v>0</v>
      </c>
      <c r="G17" s="8">
        <v>0</v>
      </c>
      <c r="H17" s="11">
        <v>9124.5036440250697</v>
      </c>
      <c r="I17" s="18">
        <v>0.2</v>
      </c>
      <c r="J17" t="s">
        <v>26</v>
      </c>
      <c r="K17" t="s">
        <v>42</v>
      </c>
    </row>
    <row r="18" spans="1:11" x14ac:dyDescent="0.25">
      <c r="A18">
        <v>2026</v>
      </c>
      <c r="B18" t="s">
        <v>12</v>
      </c>
      <c r="C18" s="8">
        <f t="shared" si="0"/>
        <v>0.35416666666666669</v>
      </c>
      <c r="D18" s="1">
        <v>0.54</v>
      </c>
      <c r="E18" s="1">
        <v>0</v>
      </c>
      <c r="F18" s="1">
        <v>0</v>
      </c>
      <c r="G18" s="8">
        <v>0</v>
      </c>
      <c r="H18" s="11">
        <v>10647.175263577577</v>
      </c>
      <c r="I18" s="18">
        <v>0.25</v>
      </c>
      <c r="J18" t="s">
        <v>43</v>
      </c>
      <c r="K18" t="s">
        <v>44</v>
      </c>
    </row>
    <row r="19" spans="1:11" x14ac:dyDescent="0.25">
      <c r="A19">
        <v>2026</v>
      </c>
      <c r="B19" t="s">
        <v>76</v>
      </c>
      <c r="C19" s="8">
        <f t="shared" si="0"/>
        <v>0.375</v>
      </c>
      <c r="D19" s="1">
        <v>0.57999999999999996</v>
      </c>
      <c r="E19" s="1">
        <v>0</v>
      </c>
      <c r="F19" s="1">
        <v>0</v>
      </c>
      <c r="G19" s="8">
        <v>0</v>
      </c>
      <c r="H19" s="11">
        <v>12423.946059528433</v>
      </c>
      <c r="I19" s="18">
        <v>0.3</v>
      </c>
      <c r="J19" t="s">
        <v>45</v>
      </c>
      <c r="K19" t="s">
        <v>46</v>
      </c>
    </row>
    <row r="20" spans="1:11" x14ac:dyDescent="0.25">
      <c r="A20">
        <v>2026</v>
      </c>
      <c r="B20" t="s">
        <v>77</v>
      </c>
      <c r="C20" s="8">
        <f t="shared" si="0"/>
        <v>0.39583333333333331</v>
      </c>
      <c r="D20" s="1">
        <v>0.63</v>
      </c>
      <c r="E20" s="1">
        <v>0</v>
      </c>
      <c r="F20" s="1">
        <v>0</v>
      </c>
      <c r="G20" s="8">
        <v>0</v>
      </c>
      <c r="H20" s="11">
        <v>14497.219390958679</v>
      </c>
      <c r="I20" s="18">
        <v>0.25</v>
      </c>
      <c r="J20" t="s">
        <v>47</v>
      </c>
      <c r="K20" t="s">
        <v>48</v>
      </c>
    </row>
    <row r="21" spans="1:11" x14ac:dyDescent="0.25">
      <c r="A21">
        <v>2026</v>
      </c>
      <c r="B21" t="s">
        <v>78</v>
      </c>
      <c r="C21" s="8">
        <f t="shared" si="0"/>
        <v>0.41666666666666669</v>
      </c>
      <c r="D21" s="1">
        <v>0.65</v>
      </c>
      <c r="E21" s="1">
        <v>0</v>
      </c>
      <c r="F21" s="1">
        <v>0</v>
      </c>
      <c r="G21" s="8">
        <v>0</v>
      </c>
      <c r="H21" s="11">
        <v>16916.474770783505</v>
      </c>
      <c r="I21" s="18">
        <v>0.3</v>
      </c>
      <c r="J21" t="s">
        <v>49</v>
      </c>
      <c r="K21" t="s">
        <v>50</v>
      </c>
    </row>
    <row r="22" spans="1:11" x14ac:dyDescent="0.25">
      <c r="A22">
        <v>2026</v>
      </c>
      <c r="B22" t="s">
        <v>79</v>
      </c>
      <c r="C22" s="8">
        <f t="shared" si="0"/>
        <v>0.4375</v>
      </c>
      <c r="D22" s="1">
        <v>0.6</v>
      </c>
      <c r="E22" s="1">
        <v>0</v>
      </c>
      <c r="F22" s="1">
        <v>0</v>
      </c>
      <c r="G22" s="8">
        <v>0</v>
      </c>
      <c r="H22" s="11">
        <v>19739.448714491111</v>
      </c>
      <c r="I22" s="18">
        <v>0.25</v>
      </c>
      <c r="J22" t="s">
        <v>52</v>
      </c>
      <c r="K22" t="s">
        <v>51</v>
      </c>
    </row>
    <row r="23" spans="1:11" x14ac:dyDescent="0.25">
      <c r="A23">
        <v>2026</v>
      </c>
      <c r="B23" t="s">
        <v>80</v>
      </c>
      <c r="C23" s="8">
        <f t="shared" si="0"/>
        <v>0.45833333333333331</v>
      </c>
      <c r="D23" s="1">
        <v>0.64</v>
      </c>
      <c r="E23" s="1">
        <v>0</v>
      </c>
      <c r="F23" s="1">
        <v>0</v>
      </c>
      <c r="G23" s="8">
        <v>0</v>
      </c>
      <c r="H23" s="11">
        <v>23033.512645612383</v>
      </c>
      <c r="I23" s="18">
        <v>0.2</v>
      </c>
      <c r="J23" t="s">
        <v>53</v>
      </c>
      <c r="K23" t="s">
        <v>54</v>
      </c>
    </row>
    <row r="24" spans="1:11" x14ac:dyDescent="0.25">
      <c r="A24">
        <v>2026</v>
      </c>
      <c r="B24" t="s">
        <v>81</v>
      </c>
      <c r="C24" s="8">
        <f t="shared" si="0"/>
        <v>0.47916666666666669</v>
      </c>
      <c r="D24" s="1">
        <v>0.7</v>
      </c>
      <c r="E24" s="1">
        <v>0</v>
      </c>
      <c r="F24" s="1">
        <v>0</v>
      </c>
      <c r="G24" s="8">
        <v>0</v>
      </c>
      <c r="H24" s="11">
        <v>26877.280742197472</v>
      </c>
      <c r="I24" s="18">
        <v>0.25</v>
      </c>
      <c r="J24" t="s">
        <v>55</v>
      </c>
      <c r="K24" t="s">
        <v>56</v>
      </c>
    </row>
    <row r="25" spans="1:11" x14ac:dyDescent="0.25">
      <c r="A25">
        <v>2026</v>
      </c>
      <c r="B25" t="s">
        <v>82</v>
      </c>
      <c r="C25" s="8">
        <f t="shared" si="0"/>
        <v>0.5</v>
      </c>
      <c r="D25" s="1">
        <v>0.9</v>
      </c>
      <c r="E25" s="1">
        <v>0.15</v>
      </c>
      <c r="F25" s="1">
        <v>0</v>
      </c>
      <c r="G25" s="8">
        <v>0</v>
      </c>
      <c r="H25" s="11">
        <v>31362.486096210079</v>
      </c>
      <c r="I25" s="18">
        <v>0.3</v>
      </c>
      <c r="J25" t="s">
        <v>57</v>
      </c>
      <c r="K25" t="s">
        <v>58</v>
      </c>
    </row>
    <row r="26" spans="1:11" x14ac:dyDescent="0.25">
      <c r="A26">
        <v>2027</v>
      </c>
      <c r="B26" t="s">
        <v>0</v>
      </c>
      <c r="C26" s="8">
        <f t="shared" si="0"/>
        <v>0.52083333333333337</v>
      </c>
      <c r="D26" s="8">
        <v>1</v>
      </c>
      <c r="E26" s="1">
        <v>0.2</v>
      </c>
      <c r="F26" s="1">
        <v>0</v>
      </c>
      <c r="G26" s="8">
        <v>0</v>
      </c>
      <c r="H26" s="11">
        <v>100252.0625</v>
      </c>
      <c r="I26" s="18">
        <v>0.01</v>
      </c>
      <c r="J26" t="s">
        <v>37</v>
      </c>
      <c r="K26" t="s">
        <v>36</v>
      </c>
    </row>
    <row r="27" spans="1:11" x14ac:dyDescent="0.25">
      <c r="A27">
        <v>2027</v>
      </c>
      <c r="B27" t="s">
        <v>73</v>
      </c>
      <c r="C27" s="8">
        <f t="shared" si="0"/>
        <v>0.54166666666666663</v>
      </c>
      <c r="D27" s="8">
        <v>1</v>
      </c>
      <c r="E27" s="1">
        <v>0.25</v>
      </c>
      <c r="F27" s="1">
        <v>0</v>
      </c>
      <c r="G27" s="8">
        <v>0</v>
      </c>
      <c r="H27" s="11">
        <v>12469.567952372745</v>
      </c>
      <c r="I27" s="18">
        <v>0.04</v>
      </c>
      <c r="J27" t="s">
        <v>38</v>
      </c>
      <c r="K27" t="s">
        <v>39</v>
      </c>
    </row>
    <row r="28" spans="1:11" x14ac:dyDescent="0.25">
      <c r="A28">
        <v>2027</v>
      </c>
      <c r="B28" t="s">
        <v>74</v>
      </c>
      <c r="C28" s="8">
        <f t="shared" si="0"/>
        <v>0.5625</v>
      </c>
      <c r="D28" s="8">
        <v>1</v>
      </c>
      <c r="E28" s="1">
        <v>0.3</v>
      </c>
      <c r="F28" s="1">
        <v>0</v>
      </c>
      <c r="G28" s="8">
        <v>0</v>
      </c>
      <c r="H28" s="11">
        <v>14020.559732904367</v>
      </c>
      <c r="I28" s="18">
        <v>7.0000000000000007E-2</v>
      </c>
      <c r="J28" t="s">
        <v>40</v>
      </c>
      <c r="K28" t="s">
        <v>41</v>
      </c>
    </row>
    <row r="29" spans="1:11" x14ac:dyDescent="0.25">
      <c r="A29">
        <v>2027</v>
      </c>
      <c r="B29" t="s">
        <v>75</v>
      </c>
      <c r="C29" s="8">
        <f t="shared" si="0"/>
        <v>0.58333333333333337</v>
      </c>
      <c r="D29" s="8">
        <v>1</v>
      </c>
      <c r="E29" s="1">
        <v>0.35</v>
      </c>
      <c r="F29" s="1">
        <v>0</v>
      </c>
      <c r="G29" s="8">
        <v>0</v>
      </c>
      <c r="H29" s="11">
        <v>15764.46721929402</v>
      </c>
      <c r="I29" s="18">
        <v>0.08</v>
      </c>
      <c r="J29" t="s">
        <v>26</v>
      </c>
      <c r="K29" t="s">
        <v>42</v>
      </c>
    </row>
    <row r="30" spans="1:11" x14ac:dyDescent="0.25">
      <c r="A30">
        <v>2027</v>
      </c>
      <c r="B30" t="s">
        <v>12</v>
      </c>
      <c r="C30" s="8">
        <f t="shared" si="0"/>
        <v>0.60416666666666663</v>
      </c>
      <c r="D30" s="8">
        <v>1</v>
      </c>
      <c r="E30" s="1">
        <v>0.5</v>
      </c>
      <c r="F30" s="1">
        <v>0</v>
      </c>
      <c r="G30" s="8">
        <v>0</v>
      </c>
      <c r="H30" s="11">
        <v>17725.285683492053</v>
      </c>
      <c r="I30" s="18">
        <v>0.11</v>
      </c>
      <c r="J30" t="s">
        <v>43</v>
      </c>
      <c r="K30" t="s">
        <v>44</v>
      </c>
    </row>
    <row r="31" spans="1:11" x14ac:dyDescent="0.25">
      <c r="A31">
        <v>2027</v>
      </c>
      <c r="B31" t="s">
        <v>76</v>
      </c>
      <c r="C31" s="8">
        <f t="shared" si="0"/>
        <v>0.625</v>
      </c>
      <c r="D31" s="8">
        <v>1</v>
      </c>
      <c r="E31" s="1">
        <v>0.6</v>
      </c>
      <c r="F31" s="1">
        <v>0</v>
      </c>
      <c r="G31" s="8">
        <v>0</v>
      </c>
      <c r="H31" s="11">
        <v>19929.994981173862</v>
      </c>
      <c r="I31" s="18">
        <v>0.12</v>
      </c>
      <c r="J31" t="s">
        <v>45</v>
      </c>
      <c r="K31" t="s">
        <v>46</v>
      </c>
    </row>
    <row r="32" spans="1:11" x14ac:dyDescent="0.25">
      <c r="A32">
        <v>2027</v>
      </c>
      <c r="B32" t="s">
        <v>77</v>
      </c>
      <c r="C32" s="8">
        <f t="shared" si="0"/>
        <v>0.64583333333333337</v>
      </c>
      <c r="D32" s="8">
        <v>1</v>
      </c>
      <c r="E32" s="1">
        <v>0.55000000000000004</v>
      </c>
      <c r="F32" s="1">
        <v>0</v>
      </c>
      <c r="G32" s="8">
        <v>0</v>
      </c>
      <c r="H32" s="11">
        <v>22408.930780706083</v>
      </c>
      <c r="I32" s="18">
        <v>0.13</v>
      </c>
      <c r="J32" t="s">
        <v>47</v>
      </c>
      <c r="K32" t="s">
        <v>48</v>
      </c>
    </row>
    <row r="33" spans="1:11" x14ac:dyDescent="0.25">
      <c r="A33">
        <v>2027</v>
      </c>
      <c r="B33" t="s">
        <v>78</v>
      </c>
      <c r="C33" s="8">
        <f t="shared" si="0"/>
        <v>0.66666666666666663</v>
      </c>
      <c r="D33" s="8">
        <v>1</v>
      </c>
      <c r="E33" s="1">
        <v>0.75</v>
      </c>
      <c r="F33" s="1">
        <v>0</v>
      </c>
      <c r="G33" s="8">
        <v>0</v>
      </c>
      <c r="H33" s="11">
        <v>25196.201966374094</v>
      </c>
      <c r="I33" s="18">
        <v>0.14000000000000001</v>
      </c>
      <c r="J33" t="s">
        <v>49</v>
      </c>
      <c r="K33" t="s">
        <v>50</v>
      </c>
    </row>
    <row r="34" spans="1:11" x14ac:dyDescent="0.25">
      <c r="A34">
        <v>2027</v>
      </c>
      <c r="B34" t="s">
        <v>79</v>
      </c>
      <c r="C34" s="8">
        <f t="shared" si="0"/>
        <v>0.6875</v>
      </c>
      <c r="D34" s="8">
        <v>1</v>
      </c>
      <c r="E34" s="1">
        <v>0.8</v>
      </c>
      <c r="F34" s="1">
        <v>0</v>
      </c>
      <c r="G34" s="8">
        <v>0</v>
      </c>
      <c r="H34" s="11">
        <v>28330.159959122655</v>
      </c>
      <c r="I34" s="18">
        <v>0.15</v>
      </c>
      <c r="J34" t="s">
        <v>52</v>
      </c>
      <c r="K34" t="s">
        <v>51</v>
      </c>
    </row>
    <row r="35" spans="1:11" x14ac:dyDescent="0.25">
      <c r="A35">
        <v>2027</v>
      </c>
      <c r="B35" t="s">
        <v>80</v>
      </c>
      <c r="C35" s="8">
        <f t="shared" si="0"/>
        <v>0.70833333333333337</v>
      </c>
      <c r="D35" s="8">
        <v>1</v>
      </c>
      <c r="E35" s="1">
        <v>0.9</v>
      </c>
      <c r="F35" s="1">
        <v>0</v>
      </c>
      <c r="G35" s="8">
        <v>0</v>
      </c>
      <c r="H35" s="11">
        <v>31853.926412425004</v>
      </c>
      <c r="I35" s="18">
        <v>0.16</v>
      </c>
      <c r="J35" t="s">
        <v>53</v>
      </c>
      <c r="K35" t="s">
        <v>54</v>
      </c>
    </row>
    <row r="36" spans="1:11" x14ac:dyDescent="0.25">
      <c r="A36">
        <v>2027</v>
      </c>
      <c r="B36" t="s">
        <v>81</v>
      </c>
      <c r="C36" s="8">
        <f t="shared" si="0"/>
        <v>0.72916666666666663</v>
      </c>
      <c r="D36" s="8">
        <v>1</v>
      </c>
      <c r="E36" s="1">
        <v>1</v>
      </c>
      <c r="F36" s="1">
        <v>0</v>
      </c>
      <c r="G36" s="8">
        <v>0</v>
      </c>
      <c r="H36" s="11">
        <v>35815.98654410179</v>
      </c>
      <c r="I36" s="18">
        <v>0.17</v>
      </c>
      <c r="J36" t="s">
        <v>55</v>
      </c>
      <c r="K36" t="s">
        <v>56</v>
      </c>
    </row>
    <row r="37" spans="1:11" x14ac:dyDescent="0.25">
      <c r="A37">
        <v>2027</v>
      </c>
      <c r="B37" t="s">
        <v>82</v>
      </c>
      <c r="C37" s="8">
        <f t="shared" si="0"/>
        <v>0.75</v>
      </c>
      <c r="D37" s="8">
        <v>1</v>
      </c>
      <c r="E37" s="1">
        <v>0.85</v>
      </c>
      <c r="F37" s="8">
        <v>0.1875</v>
      </c>
      <c r="G37" s="8">
        <v>0</v>
      </c>
      <c r="H37" s="11">
        <v>40270.856268033327</v>
      </c>
      <c r="I37" s="18">
        <v>0.18</v>
      </c>
      <c r="J37" t="s">
        <v>57</v>
      </c>
      <c r="K37" t="s">
        <v>58</v>
      </c>
    </row>
    <row r="38" spans="1:11" x14ac:dyDescent="0.25">
      <c r="A38">
        <v>2028</v>
      </c>
      <c r="B38" t="s">
        <v>0</v>
      </c>
      <c r="C38" s="8">
        <f t="shared" si="0"/>
        <v>0.77083333333333337</v>
      </c>
      <c r="D38" s="8">
        <v>1</v>
      </c>
      <c r="E38" s="1">
        <v>1</v>
      </c>
      <c r="F38" s="8">
        <v>0.20833333333333334</v>
      </c>
      <c r="G38" s="8">
        <v>0</v>
      </c>
      <c r="H38" s="11">
        <v>307157.0625</v>
      </c>
      <c r="I38" s="18">
        <v>0.02</v>
      </c>
      <c r="J38" t="s">
        <v>37</v>
      </c>
      <c r="K38" t="s">
        <v>36</v>
      </c>
    </row>
    <row r="39" spans="1:11" x14ac:dyDescent="0.25">
      <c r="A39">
        <v>2028</v>
      </c>
      <c r="B39" t="s">
        <v>73</v>
      </c>
      <c r="C39" s="8">
        <f t="shared" si="0"/>
        <v>0.79166666666666663</v>
      </c>
      <c r="D39" s="8">
        <v>1</v>
      </c>
      <c r="E39" s="1">
        <v>1</v>
      </c>
      <c r="F39" s="8">
        <v>0.22916666666666666</v>
      </c>
      <c r="G39" s="8">
        <v>0</v>
      </c>
      <c r="H39" s="11">
        <v>23126.256894998776</v>
      </c>
      <c r="I39" s="18">
        <v>0.04</v>
      </c>
      <c r="J39" t="s">
        <v>38</v>
      </c>
      <c r="K39" t="s">
        <v>39</v>
      </c>
    </row>
    <row r="40" spans="1:11" x14ac:dyDescent="0.25">
      <c r="A40">
        <v>2028</v>
      </c>
      <c r="B40" t="s">
        <v>74</v>
      </c>
      <c r="C40" s="8">
        <f t="shared" si="0"/>
        <v>0.8125</v>
      </c>
      <c r="D40" s="8">
        <v>1</v>
      </c>
      <c r="E40" s="1">
        <v>1</v>
      </c>
      <c r="F40" s="8">
        <v>0.25</v>
      </c>
      <c r="G40" s="8">
        <v>0</v>
      </c>
      <c r="H40" s="11">
        <v>24867.463018082606</v>
      </c>
      <c r="I40" s="18">
        <v>0.06</v>
      </c>
      <c r="J40" t="s">
        <v>40</v>
      </c>
      <c r="K40" t="s">
        <v>41</v>
      </c>
    </row>
    <row r="41" spans="1:11" x14ac:dyDescent="0.25">
      <c r="A41">
        <v>2028</v>
      </c>
      <c r="B41" t="s">
        <v>75</v>
      </c>
      <c r="C41" s="8">
        <f t="shared" si="0"/>
        <v>0.83333333333333337</v>
      </c>
      <c r="D41" s="8">
        <v>1</v>
      </c>
      <c r="E41" s="1">
        <v>1</v>
      </c>
      <c r="F41" s="8">
        <v>0.27083333333333331</v>
      </c>
      <c r="G41" s="8">
        <v>0</v>
      </c>
      <c r="H41" s="11">
        <v>26739.766827092681</v>
      </c>
      <c r="I41" s="18">
        <v>0.08</v>
      </c>
      <c r="J41" t="s">
        <v>26</v>
      </c>
      <c r="K41" t="s">
        <v>42</v>
      </c>
    </row>
    <row r="42" spans="1:11" x14ac:dyDescent="0.25">
      <c r="A42">
        <v>2028</v>
      </c>
      <c r="B42" t="s">
        <v>12</v>
      </c>
      <c r="C42" s="8">
        <f t="shared" si="0"/>
        <v>0.85416666666666663</v>
      </c>
      <c r="D42" s="8">
        <v>1</v>
      </c>
      <c r="E42" s="1">
        <v>1</v>
      </c>
      <c r="F42" s="8">
        <v>0.29166666666666669</v>
      </c>
      <c r="G42" s="8">
        <v>0</v>
      </c>
      <c r="H42" s="11">
        <v>28753.03883823409</v>
      </c>
      <c r="I42" s="18">
        <v>0.1</v>
      </c>
      <c r="J42" t="s">
        <v>43</v>
      </c>
      <c r="K42" t="s">
        <v>44</v>
      </c>
    </row>
    <row r="43" spans="1:11" x14ac:dyDescent="0.25">
      <c r="A43">
        <v>2028</v>
      </c>
      <c r="B43" t="s">
        <v>76</v>
      </c>
      <c r="C43" s="8">
        <f t="shared" si="0"/>
        <v>0.875</v>
      </c>
      <c r="D43" s="8">
        <v>1</v>
      </c>
      <c r="E43" s="1">
        <v>1</v>
      </c>
      <c r="F43" s="8">
        <v>0.3125</v>
      </c>
      <c r="G43" s="8">
        <v>0</v>
      </c>
      <c r="H43" s="11">
        <v>30917.892731785483</v>
      </c>
      <c r="I43" s="18">
        <v>0.12</v>
      </c>
      <c r="J43" t="s">
        <v>45</v>
      </c>
      <c r="K43" t="s">
        <v>46</v>
      </c>
    </row>
    <row r="44" spans="1:11" x14ac:dyDescent="0.25">
      <c r="A44">
        <v>2028</v>
      </c>
      <c r="B44" t="s">
        <v>77</v>
      </c>
      <c r="C44" s="8">
        <f t="shared" si="0"/>
        <v>0.89583333333333337</v>
      </c>
      <c r="D44" s="8">
        <v>1</v>
      </c>
      <c r="E44" s="1">
        <v>1</v>
      </c>
      <c r="F44" s="8">
        <v>0.33333333333333331</v>
      </c>
      <c r="G44" s="8">
        <v>0</v>
      </c>
      <c r="H44" s="11">
        <v>33245.741305891599</v>
      </c>
      <c r="I44" s="18">
        <v>0.14000000000000001</v>
      </c>
      <c r="J44" t="s">
        <v>47</v>
      </c>
      <c r="K44" t="s">
        <v>48</v>
      </c>
    </row>
    <row r="45" spans="1:11" x14ac:dyDescent="0.25">
      <c r="A45">
        <v>2028</v>
      </c>
      <c r="B45" t="s">
        <v>78</v>
      </c>
      <c r="C45" s="8">
        <f t="shared" si="0"/>
        <v>0.91666666666666663</v>
      </c>
      <c r="D45" s="8">
        <v>1</v>
      </c>
      <c r="E45" s="1">
        <v>1</v>
      </c>
      <c r="F45" s="8">
        <v>0.35416666666666669</v>
      </c>
      <c r="G45" s="8">
        <v>0</v>
      </c>
      <c r="H45" s="11">
        <v>35748.85664319474</v>
      </c>
      <c r="I45" s="18">
        <v>0.16</v>
      </c>
      <c r="J45" t="s">
        <v>49</v>
      </c>
      <c r="K45" t="s">
        <v>50</v>
      </c>
    </row>
    <row r="46" spans="1:11" x14ac:dyDescent="0.25">
      <c r="A46">
        <v>2028</v>
      </c>
      <c r="B46" t="s">
        <v>79</v>
      </c>
      <c r="C46" s="8">
        <f t="shared" si="0"/>
        <v>0.9375</v>
      </c>
      <c r="D46" s="8">
        <v>1</v>
      </c>
      <c r="E46" s="1">
        <v>1</v>
      </c>
      <c r="F46" s="8">
        <v>0.375</v>
      </c>
      <c r="G46" s="8">
        <v>0</v>
      </c>
      <c r="H46" s="11">
        <v>38440.434807486541</v>
      </c>
      <c r="I46" s="18">
        <v>0.18</v>
      </c>
      <c r="J46" t="s">
        <v>52</v>
      </c>
      <c r="K46" t="s">
        <v>51</v>
      </c>
    </row>
    <row r="47" spans="1:11" x14ac:dyDescent="0.25">
      <c r="A47">
        <v>2028</v>
      </c>
      <c r="B47" t="s">
        <v>80</v>
      </c>
      <c r="C47" s="8">
        <f t="shared" si="0"/>
        <v>0.95833333333333337</v>
      </c>
      <c r="D47" s="8">
        <v>1</v>
      </c>
      <c r="E47" s="1">
        <v>1</v>
      </c>
      <c r="F47" s="8">
        <v>0.39583333333333331</v>
      </c>
      <c r="G47" s="8">
        <v>0</v>
      </c>
      <c r="H47" s="11">
        <v>41334.665411457769</v>
      </c>
      <c r="I47" s="18">
        <v>0.2</v>
      </c>
      <c r="J47" t="s">
        <v>53</v>
      </c>
      <c r="K47" t="s">
        <v>54</v>
      </c>
    </row>
    <row r="48" spans="1:11" x14ac:dyDescent="0.25">
      <c r="A48">
        <v>2028</v>
      </c>
      <c r="B48" t="s">
        <v>81</v>
      </c>
      <c r="C48" s="8">
        <f t="shared" si="0"/>
        <v>0.97916666666666663</v>
      </c>
      <c r="D48" s="8">
        <v>1</v>
      </c>
      <c r="E48" s="1">
        <v>1</v>
      </c>
      <c r="F48" s="8">
        <v>0.41666666666666669</v>
      </c>
      <c r="G48" s="8">
        <v>0</v>
      </c>
      <c r="H48" s="11">
        <v>44446.806422293652</v>
      </c>
      <c r="I48" s="18">
        <v>0.22</v>
      </c>
      <c r="J48" t="s">
        <v>55</v>
      </c>
      <c r="K48" t="s">
        <v>56</v>
      </c>
    </row>
    <row r="49" spans="1:11" x14ac:dyDescent="0.25">
      <c r="A49">
        <v>2028</v>
      </c>
      <c r="B49" t="s">
        <v>82</v>
      </c>
      <c r="C49" s="8">
        <f t="shared" si="0"/>
        <v>1</v>
      </c>
      <c r="D49" s="8">
        <v>1</v>
      </c>
      <c r="E49" s="1">
        <v>1</v>
      </c>
      <c r="F49" s="1">
        <v>0.37</v>
      </c>
      <c r="G49" s="1">
        <v>0.45</v>
      </c>
      <c r="H49" s="11">
        <v>47793.264599482063</v>
      </c>
      <c r="I49" s="18">
        <v>0.25</v>
      </c>
      <c r="J49" t="s">
        <v>57</v>
      </c>
      <c r="K49" t="s">
        <v>58</v>
      </c>
    </row>
    <row r="50" spans="1:11" x14ac:dyDescent="0.25">
      <c r="E5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1B4B-118E-41D4-85FE-5A2645099175}">
  <dimension ref="B1:D29"/>
  <sheetViews>
    <sheetView workbookViewId="0">
      <selection activeCell="D20" sqref="D20"/>
    </sheetView>
  </sheetViews>
  <sheetFormatPr defaultRowHeight="15" x14ac:dyDescent="0.25"/>
  <sheetData>
    <row r="1" spans="2:4" x14ac:dyDescent="0.25">
      <c r="B1" s="3" t="s">
        <v>4</v>
      </c>
      <c r="D1" t="s">
        <v>24</v>
      </c>
    </row>
    <row r="2" spans="2:4" x14ac:dyDescent="0.25">
      <c r="B2" s="5" t="s">
        <v>3</v>
      </c>
      <c r="D2" t="s">
        <v>25</v>
      </c>
    </row>
    <row r="3" spans="2:4" x14ac:dyDescent="0.25">
      <c r="D3" t="s">
        <v>33</v>
      </c>
    </row>
    <row r="4" spans="2:4" x14ac:dyDescent="0.25">
      <c r="D4" t="s">
        <v>34</v>
      </c>
    </row>
    <row r="5" spans="2:4" x14ac:dyDescent="0.25">
      <c r="D5" t="s">
        <v>35</v>
      </c>
    </row>
    <row r="6" spans="2:4" x14ac:dyDescent="0.25">
      <c r="D6" t="s">
        <v>27</v>
      </c>
    </row>
    <row r="7" spans="2:4" x14ac:dyDescent="0.25">
      <c r="D7" t="s">
        <v>28</v>
      </c>
    </row>
    <row r="8" spans="2:4" x14ac:dyDescent="0.25">
      <c r="D8" t="s">
        <v>29</v>
      </c>
    </row>
    <row r="9" spans="2:4" x14ac:dyDescent="0.25">
      <c r="D9" t="s">
        <v>30</v>
      </c>
    </row>
    <row r="10" spans="2:4" x14ac:dyDescent="0.25">
      <c r="D10" t="s">
        <v>31</v>
      </c>
    </row>
    <row r="11" spans="2:4" x14ac:dyDescent="0.25">
      <c r="D11" t="s">
        <v>35</v>
      </c>
    </row>
    <row r="12" spans="2:4" x14ac:dyDescent="0.25">
      <c r="D12" t="s">
        <v>32</v>
      </c>
    </row>
    <row r="28" ht="15" customHeight="1" x14ac:dyDescent="0.25"/>
    <row r="29" ht="1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DASHBOARD Contrast</vt:lpstr>
      <vt:lpstr>Processing</vt:lpstr>
      <vt:lpstr>Data</vt:lpstr>
      <vt:lpstr>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Ivanyk</dc:creator>
  <cp:lastModifiedBy>User</cp:lastModifiedBy>
  <dcterms:created xsi:type="dcterms:W3CDTF">2025-02-04T18:24:57Z</dcterms:created>
  <dcterms:modified xsi:type="dcterms:W3CDTF">2026-09-18T05:47:54Z</dcterms:modified>
</cp:coreProperties>
</file>